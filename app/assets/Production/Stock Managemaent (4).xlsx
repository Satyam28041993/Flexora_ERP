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s" sheetId="1" r:id="rId5"/>
    <sheet state="visible" name="Stock In" sheetId="2" r:id="rId6"/>
    <sheet state="visible" name="Issues" sheetId="3" r:id="rId7"/>
    <sheet state="visible" name="Returns" sheetId="4" r:id="rId8"/>
    <sheet state="visible" name="Job usage" sheetId="5" r:id="rId9"/>
    <sheet state="visible" name="Balance Stock" sheetId="6" r:id="rId10"/>
    <sheet state="visible" name="Vendor Balance" sheetId="7" r:id="rId11"/>
  </sheets>
  <definedNames>
    <definedName hidden="1" localSheetId="1" name="_xlnm._FilterDatabase">'Stock In'!$A$1:$J$438</definedName>
    <definedName hidden="1" localSheetId="2" name="_xlnm._FilterDatabase">Issues!$A$1:$K$2005</definedName>
    <definedName hidden="1" localSheetId="3" name="_xlnm._FilterDatabase">Returns!$A$1:$L$995</definedName>
    <definedName hidden="1" localSheetId="4" name="_xlnm._FilterDatabase">'Job usage'!$A$1:$O$977</definedName>
    <definedName hidden="1" localSheetId="6" name="_xlnm._FilterDatabase">'Vendor Balance'!$A$1:$K$85</definedName>
  </definedNames>
  <calcPr/>
</workbook>
</file>

<file path=xl/sharedStrings.xml><?xml version="1.0" encoding="utf-8"?>
<sst xmlns="http://schemas.openxmlformats.org/spreadsheetml/2006/main" count="11381" uniqueCount="1198">
  <si>
    <t>Date</t>
  </si>
  <si>
    <t>Materials</t>
  </si>
  <si>
    <t>Job No.</t>
  </si>
  <si>
    <t>GSM/Micron</t>
  </si>
  <si>
    <t>Material</t>
  </si>
  <si>
    <t>Supplier</t>
  </si>
  <si>
    <t>Web Size (mm)</t>
  </si>
  <si>
    <t>Suppliers</t>
  </si>
  <si>
    <t>Client</t>
  </si>
  <si>
    <t>Chromo</t>
  </si>
  <si>
    <t>RMT Returned</t>
  </si>
  <si>
    <t>Column 11</t>
  </si>
  <si>
    <t>RMT In</t>
  </si>
  <si>
    <t>Sq. Mtr Returned</t>
  </si>
  <si>
    <t>Rate per Sq. Mtr</t>
  </si>
  <si>
    <t>RMT Issued</t>
  </si>
  <si>
    <t>Remarks</t>
  </si>
  <si>
    <t>Sq. Mtr In</t>
  </si>
  <si>
    <t>Column 1</t>
  </si>
  <si>
    <t>Sq. Mtr Issued</t>
  </si>
  <si>
    <t>Value In</t>
  </si>
  <si>
    <t>Avery</t>
  </si>
  <si>
    <t>08/061</t>
  </si>
  <si>
    <t>Allied</t>
  </si>
  <si>
    <t>21-08-2025</t>
  </si>
  <si>
    <t>Papier</t>
  </si>
  <si>
    <t>SILVER PAPER</t>
  </si>
  <si>
    <t>Surya</t>
  </si>
  <si>
    <t>Raflatech</t>
  </si>
  <si>
    <t>KONARK PROPACK</t>
  </si>
  <si>
    <t>Zalak</t>
  </si>
  <si>
    <t>V - TECH</t>
  </si>
  <si>
    <t>Tackify</t>
  </si>
  <si>
    <t>UPM</t>
  </si>
  <si>
    <t>ONLY CHROMO ( GLOSS PAPER ) RAHAT HD</t>
  </si>
  <si>
    <t>MPS Industries</t>
  </si>
  <si>
    <t>IML Blow Mould</t>
  </si>
  <si>
    <t>Arjobex Polyart</t>
  </si>
  <si>
    <t>OPAQUE MATTE</t>
  </si>
  <si>
    <t>Technova</t>
  </si>
  <si>
    <t>C-MIRRORCOAT</t>
  </si>
  <si>
    <t>P G BACK</t>
  </si>
  <si>
    <t>PP CLEAR</t>
  </si>
  <si>
    <t>PP WHITE</t>
  </si>
  <si>
    <t>DOUBLE SILICON (P G BACK)</t>
  </si>
  <si>
    <t>clear on clear</t>
  </si>
  <si>
    <t>PET MATT</t>
  </si>
  <si>
    <t>PP WHITE MATT</t>
  </si>
  <si>
    <t>Only ART Paper Without Gumming</t>
  </si>
  <si>
    <t>ONLY CHROMO ( THIN )</t>
  </si>
  <si>
    <t>08/064</t>
  </si>
  <si>
    <t>Rallis</t>
  </si>
  <si>
    <t>PP SILVER</t>
  </si>
  <si>
    <t>08/065</t>
  </si>
  <si>
    <t>Pvc Cast Film</t>
  </si>
  <si>
    <t>Manish Pack</t>
  </si>
  <si>
    <t>CHROMO ( SHINE )</t>
  </si>
  <si>
    <t>RAFLACOAT NXT (CHROMO PAPER)</t>
  </si>
  <si>
    <t>08/067</t>
  </si>
  <si>
    <t>PE CLEAR</t>
  </si>
  <si>
    <t xml:space="preserve">PE WHITE </t>
  </si>
  <si>
    <t>Void</t>
  </si>
  <si>
    <t>U- CHROMO 80/60 WGL (HM)</t>
  </si>
  <si>
    <t>DEE DEE LABEL</t>
  </si>
  <si>
    <t>08/068</t>
  </si>
  <si>
    <t>PVC Cast Film</t>
  </si>
  <si>
    <t>Yupo</t>
  </si>
  <si>
    <t xml:space="preserve">SGL Hologram </t>
  </si>
  <si>
    <t>08/074</t>
  </si>
  <si>
    <t>Verifys</t>
  </si>
  <si>
    <t xml:space="preserve">Blochum Blue Paper Sheet </t>
  </si>
  <si>
    <t>Sonafine Corporation Pvt Ltd</t>
  </si>
  <si>
    <t>Tape</t>
  </si>
  <si>
    <t xml:space="preserve">Stick Tapes </t>
  </si>
  <si>
    <t>silicon sheet</t>
  </si>
  <si>
    <t xml:space="preserve">Paper- ISF- IOF 105 Blow Mould </t>
  </si>
  <si>
    <t>Mitsubishi Chemical India Private Limited</t>
  </si>
  <si>
    <t xml:space="preserve">Paper- AMA5050 ( PIGGYBACK) </t>
  </si>
  <si>
    <t>Mudra Arts</t>
  </si>
  <si>
    <t>Special SDV Grade Security Film</t>
  </si>
  <si>
    <t>Presen Bontek Private Limited - NEW</t>
  </si>
  <si>
    <t>Self Adhesive Film</t>
  </si>
  <si>
    <t xml:space="preserve">Paper - Chromo TRP1 </t>
  </si>
  <si>
    <t>08/096</t>
  </si>
  <si>
    <t>08/040</t>
  </si>
  <si>
    <t>sgl</t>
  </si>
  <si>
    <t>08/087</t>
  </si>
  <si>
    <t>aries</t>
  </si>
  <si>
    <t>08/095</t>
  </si>
  <si>
    <t>RALLIS</t>
  </si>
  <si>
    <t>08/104</t>
  </si>
  <si>
    <t>08/108</t>
  </si>
  <si>
    <t>08/109</t>
  </si>
  <si>
    <t>08/110</t>
  </si>
  <si>
    <t>08/112</t>
  </si>
  <si>
    <t>08/115</t>
  </si>
  <si>
    <t>08/088</t>
  </si>
  <si>
    <t>AGARWAL HERBAL</t>
  </si>
  <si>
    <t>08/106</t>
  </si>
  <si>
    <t>ARIES</t>
  </si>
  <si>
    <t>08/113</t>
  </si>
  <si>
    <t>08/114</t>
  </si>
  <si>
    <t>08/105</t>
  </si>
  <si>
    <t>08/128</t>
  </si>
  <si>
    <t>08/130</t>
  </si>
  <si>
    <t>08/116</t>
  </si>
  <si>
    <t>PURE IMPRESSION</t>
  </si>
  <si>
    <t>08/117</t>
  </si>
  <si>
    <t>09/011</t>
  </si>
  <si>
    <t>JCD PRINT</t>
  </si>
  <si>
    <t>09/004</t>
  </si>
  <si>
    <t>09/005</t>
  </si>
  <si>
    <t>09/006</t>
  </si>
  <si>
    <t>09/007</t>
  </si>
  <si>
    <t>09/003</t>
  </si>
  <si>
    <t>09/008</t>
  </si>
  <si>
    <t>09/018</t>
  </si>
  <si>
    <t>09/026</t>
  </si>
  <si>
    <t>Birla</t>
  </si>
  <si>
    <t>09/023</t>
  </si>
  <si>
    <t>ANU IND</t>
  </si>
  <si>
    <t>09/024</t>
  </si>
  <si>
    <t>09/027</t>
  </si>
  <si>
    <t>09/028</t>
  </si>
  <si>
    <t>09/037</t>
  </si>
  <si>
    <t>PREGNA</t>
  </si>
  <si>
    <t>09/013</t>
  </si>
  <si>
    <t>09/014</t>
  </si>
  <si>
    <t>09/016</t>
  </si>
  <si>
    <t>09/017</t>
  </si>
  <si>
    <t>09/015</t>
  </si>
  <si>
    <t>09/025</t>
  </si>
  <si>
    <t>09/033</t>
  </si>
  <si>
    <t>09/009</t>
  </si>
  <si>
    <t>SUDARSHAN PHARMA</t>
  </si>
  <si>
    <t>09/010</t>
  </si>
  <si>
    <t>09/019</t>
  </si>
  <si>
    <t>NO RETURN</t>
  </si>
  <si>
    <t>09/034</t>
  </si>
  <si>
    <t>GLOBAL</t>
  </si>
  <si>
    <t>09/042</t>
  </si>
  <si>
    <t>09/044</t>
  </si>
  <si>
    <t>09/045</t>
  </si>
  <si>
    <t>07/181</t>
  </si>
  <si>
    <t>09/038</t>
  </si>
  <si>
    <t>09/039</t>
  </si>
  <si>
    <t>09/061</t>
  </si>
  <si>
    <t>08/135</t>
  </si>
  <si>
    <t>09/035</t>
  </si>
  <si>
    <t>09/040</t>
  </si>
  <si>
    <t>09/065</t>
  </si>
  <si>
    <t>09/048</t>
  </si>
  <si>
    <t>09/053</t>
  </si>
  <si>
    <t>09/054</t>
  </si>
  <si>
    <t>09/055</t>
  </si>
  <si>
    <t>09/059</t>
  </si>
  <si>
    <t>09/060</t>
  </si>
  <si>
    <t>09/066</t>
  </si>
  <si>
    <t>09/067</t>
  </si>
  <si>
    <t>09/074</t>
  </si>
  <si>
    <t>09/075</t>
  </si>
  <si>
    <t>09/041</t>
  </si>
  <si>
    <t>09/062</t>
  </si>
  <si>
    <t>09/063</t>
  </si>
  <si>
    <t>09/076</t>
  </si>
  <si>
    <t>09/064</t>
  </si>
  <si>
    <t>SHREE PRINT</t>
  </si>
  <si>
    <t>09/069</t>
  </si>
  <si>
    <t>09/073</t>
  </si>
  <si>
    <t>09/078</t>
  </si>
  <si>
    <t>PROPIX</t>
  </si>
  <si>
    <t>09/079</t>
  </si>
  <si>
    <t>09/080</t>
  </si>
  <si>
    <t>08/121</t>
  </si>
  <si>
    <t>08/122</t>
  </si>
  <si>
    <t>09/071</t>
  </si>
  <si>
    <t>HERBAL HILL</t>
  </si>
  <si>
    <t>09/093</t>
  </si>
  <si>
    <t>09/088</t>
  </si>
  <si>
    <t>09/091</t>
  </si>
  <si>
    <t>09/092</t>
  </si>
  <si>
    <t>09/001</t>
  </si>
  <si>
    <t>09/012</t>
  </si>
  <si>
    <t>09/029</t>
  </si>
  <si>
    <t>09/084</t>
  </si>
  <si>
    <t>09/087</t>
  </si>
  <si>
    <t>09/089</t>
  </si>
  <si>
    <t>09/094</t>
  </si>
  <si>
    <t>09/097</t>
  </si>
  <si>
    <t>09/030</t>
  </si>
  <si>
    <t>09/031</t>
  </si>
  <si>
    <t>09/032</t>
  </si>
  <si>
    <t>09/068</t>
  </si>
  <si>
    <t>BLOSSOM</t>
  </si>
  <si>
    <t>09/086</t>
  </si>
  <si>
    <t>09/085</t>
  </si>
  <si>
    <t>09/090</t>
  </si>
  <si>
    <t>09/099</t>
  </si>
  <si>
    <t>09/077</t>
  </si>
  <si>
    <t>TRIBO LUBES</t>
  </si>
  <si>
    <t>09/046</t>
  </si>
  <si>
    <t>09/047</t>
  </si>
  <si>
    <t>09/116</t>
  </si>
  <si>
    <t>09/070</t>
  </si>
  <si>
    <t>09/082</t>
  </si>
  <si>
    <t>09/112</t>
  </si>
  <si>
    <t>09/113</t>
  </si>
  <si>
    <t>25-08-2025</t>
  </si>
  <si>
    <t>09/117</t>
  </si>
  <si>
    <t>09/114</t>
  </si>
  <si>
    <t>09/115</t>
  </si>
  <si>
    <t>28-08-2025</t>
  </si>
  <si>
    <t>09/081</t>
  </si>
  <si>
    <t>30-08-2025</t>
  </si>
  <si>
    <t>09/098</t>
  </si>
  <si>
    <t>29-08-2025</t>
  </si>
  <si>
    <t>09/101</t>
  </si>
  <si>
    <t>OXITECH</t>
  </si>
  <si>
    <t>09/102</t>
  </si>
  <si>
    <t>09/103</t>
  </si>
  <si>
    <t>09/118</t>
  </si>
  <si>
    <t>09/083</t>
  </si>
  <si>
    <t>09/058</t>
  </si>
  <si>
    <t>09/072</t>
  </si>
  <si>
    <t>09/100</t>
  </si>
  <si>
    <t>09/119</t>
  </si>
  <si>
    <t>09/127</t>
  </si>
  <si>
    <t>09/128</t>
  </si>
  <si>
    <t>09/108</t>
  </si>
  <si>
    <t>09/109</t>
  </si>
  <si>
    <t>09/110</t>
  </si>
  <si>
    <t>09/111</t>
  </si>
  <si>
    <t>16-09-2025</t>
  </si>
  <si>
    <t>09/120</t>
  </si>
  <si>
    <t>17-09-2025</t>
  </si>
  <si>
    <t>09/122</t>
  </si>
  <si>
    <t>09/123</t>
  </si>
  <si>
    <t>09/133</t>
  </si>
  <si>
    <t>09/135</t>
  </si>
  <si>
    <t>09/132</t>
  </si>
  <si>
    <t>20-09-2025</t>
  </si>
  <si>
    <t>09/121</t>
  </si>
  <si>
    <t>09/124</t>
  </si>
  <si>
    <t xml:space="preserve">NO RETURN </t>
  </si>
  <si>
    <t>09/126</t>
  </si>
  <si>
    <t>09/141</t>
  </si>
  <si>
    <t>23-09-2025</t>
  </si>
  <si>
    <t>09/143</t>
  </si>
  <si>
    <t>09/144</t>
  </si>
  <si>
    <t>09/145</t>
  </si>
  <si>
    <t>09/146</t>
  </si>
  <si>
    <t>09/125</t>
  </si>
  <si>
    <t>global</t>
  </si>
  <si>
    <t>09/129</t>
  </si>
  <si>
    <t>09/130</t>
  </si>
  <si>
    <t>09/140</t>
  </si>
  <si>
    <t>09/131</t>
  </si>
  <si>
    <t>09/142</t>
  </si>
  <si>
    <t>09/147</t>
  </si>
  <si>
    <t>09/148</t>
  </si>
  <si>
    <t>09/149</t>
  </si>
  <si>
    <t>09/150</t>
  </si>
  <si>
    <t>10/001</t>
  </si>
  <si>
    <t>10/006</t>
  </si>
  <si>
    <t>14-10-2025</t>
  </si>
  <si>
    <t>10/007</t>
  </si>
  <si>
    <t>10/008</t>
  </si>
  <si>
    <t>10/010</t>
  </si>
  <si>
    <t>10/013</t>
  </si>
  <si>
    <t>10/009</t>
  </si>
  <si>
    <t>10/002</t>
  </si>
  <si>
    <t>10/003</t>
  </si>
  <si>
    <t>18-10-2025</t>
  </si>
  <si>
    <t>10/011</t>
  </si>
  <si>
    <t>SKYWALP</t>
  </si>
  <si>
    <t>17-10-2025</t>
  </si>
  <si>
    <t>10/012</t>
  </si>
  <si>
    <t>10/014</t>
  </si>
  <si>
    <t>29-10-2025</t>
  </si>
  <si>
    <t>10/015</t>
  </si>
  <si>
    <t>10/016</t>
  </si>
  <si>
    <t>10/017</t>
  </si>
  <si>
    <t>10/018</t>
  </si>
  <si>
    <t>10/019</t>
  </si>
  <si>
    <t>10/020</t>
  </si>
  <si>
    <t>10/021</t>
  </si>
  <si>
    <t>10/023</t>
  </si>
  <si>
    <t>30-10-2025</t>
  </si>
  <si>
    <t>13-11-2025</t>
  </si>
  <si>
    <t>10/025</t>
  </si>
  <si>
    <t>280 SIZE CENTER CUT BY 140</t>
  </si>
  <si>
    <t>10/026</t>
  </si>
  <si>
    <t>10/028</t>
  </si>
  <si>
    <t>22-11-2025</t>
  </si>
  <si>
    <t>10/045</t>
  </si>
  <si>
    <t>MEHTA INDUSTRY</t>
  </si>
  <si>
    <t>10/051</t>
  </si>
  <si>
    <t>25-11-2025</t>
  </si>
  <si>
    <t>10/024</t>
  </si>
  <si>
    <t>10/032</t>
  </si>
  <si>
    <t>10/034</t>
  </si>
  <si>
    <t>10/036</t>
  </si>
  <si>
    <t>26-11-2025</t>
  </si>
  <si>
    <t>10/039</t>
  </si>
  <si>
    <t>28-11-2025</t>
  </si>
  <si>
    <t>10/040</t>
  </si>
  <si>
    <t>10/041</t>
  </si>
  <si>
    <t>10/052</t>
  </si>
  <si>
    <t>10/027</t>
  </si>
  <si>
    <t>10/033</t>
  </si>
  <si>
    <t>10/035</t>
  </si>
  <si>
    <t>10/037</t>
  </si>
  <si>
    <t>10/038</t>
  </si>
  <si>
    <t>10/042</t>
  </si>
  <si>
    <t>10/043</t>
  </si>
  <si>
    <t>10/066</t>
  </si>
  <si>
    <t>10/047</t>
  </si>
  <si>
    <t>15-12-2025</t>
  </si>
  <si>
    <t>10/048</t>
  </si>
  <si>
    <t>10/049</t>
  </si>
  <si>
    <t>10/067</t>
  </si>
  <si>
    <t>SAMPLE</t>
  </si>
  <si>
    <t>10/061</t>
  </si>
  <si>
    <t>17-12-2025</t>
  </si>
  <si>
    <t>SETHU ROBOTICS</t>
  </si>
  <si>
    <t>10/062</t>
  </si>
  <si>
    <t>23-12-2025</t>
  </si>
  <si>
    <t>10/063</t>
  </si>
  <si>
    <t>10/064</t>
  </si>
  <si>
    <t>10/022</t>
  </si>
  <si>
    <t>10/068</t>
  </si>
  <si>
    <t>IGLOO</t>
  </si>
  <si>
    <t>10/069</t>
  </si>
  <si>
    <t>10/070</t>
  </si>
  <si>
    <t>24-12-2025</t>
  </si>
  <si>
    <t>10/071</t>
  </si>
  <si>
    <t>10/072</t>
  </si>
  <si>
    <t>10/031</t>
  </si>
  <si>
    <t>10/055</t>
  </si>
  <si>
    <t>30-12-2025</t>
  </si>
  <si>
    <t>10/073</t>
  </si>
  <si>
    <t>10/054</t>
  </si>
  <si>
    <t>10/057</t>
  </si>
  <si>
    <t>10/060</t>
  </si>
  <si>
    <t>10/074</t>
  </si>
  <si>
    <t>10/058</t>
  </si>
  <si>
    <t>10/059</t>
  </si>
  <si>
    <t>10/065</t>
  </si>
  <si>
    <t>10/076</t>
  </si>
  <si>
    <t>10/077</t>
  </si>
  <si>
    <t>10/078</t>
  </si>
  <si>
    <t>10/080</t>
  </si>
  <si>
    <t>10/081</t>
  </si>
  <si>
    <t>10/082</t>
  </si>
  <si>
    <t>10/084</t>
  </si>
  <si>
    <t>10/086</t>
  </si>
  <si>
    <t>10/098</t>
  </si>
  <si>
    <t>PROOFING</t>
  </si>
  <si>
    <t>Target RMT</t>
  </si>
  <si>
    <t>Job Run RMT</t>
  </si>
  <si>
    <t>10/099</t>
  </si>
  <si>
    <t>Ok Quantity</t>
  </si>
  <si>
    <t>Total Ups</t>
  </si>
  <si>
    <t>Cylinder Size</t>
  </si>
  <si>
    <t>Ok Quantity RMT</t>
  </si>
  <si>
    <t>RMT Used</t>
  </si>
  <si>
    <t>Wastage RMT</t>
  </si>
  <si>
    <t>10/087</t>
  </si>
  <si>
    <t>Wastage Sq. Mtr</t>
  </si>
  <si>
    <t>10/079</t>
  </si>
  <si>
    <t>10/083</t>
  </si>
  <si>
    <t>10/088</t>
  </si>
  <si>
    <t>10/093</t>
  </si>
  <si>
    <t>10/102</t>
  </si>
  <si>
    <t>10/105</t>
  </si>
  <si>
    <t>13-01-2026</t>
  </si>
  <si>
    <t>10/106</t>
  </si>
  <si>
    <t>10/075</t>
  </si>
  <si>
    <t>10/089</t>
  </si>
  <si>
    <t>10/090</t>
  </si>
  <si>
    <t>10/091</t>
  </si>
  <si>
    <t>10/092</t>
  </si>
  <si>
    <t>10/094</t>
  </si>
  <si>
    <t>16-01-2026</t>
  </si>
  <si>
    <t>10/095</t>
  </si>
  <si>
    <t>10/096</t>
  </si>
  <si>
    <t>10/097</t>
  </si>
  <si>
    <t>17-01-2026</t>
  </si>
  <si>
    <t>10/104</t>
  </si>
  <si>
    <t>10/111</t>
  </si>
  <si>
    <t>10/112</t>
  </si>
  <si>
    <t>10/114</t>
  </si>
  <si>
    <t>KONARK</t>
  </si>
  <si>
    <t>10/115</t>
  </si>
  <si>
    <t>11/001</t>
  </si>
  <si>
    <t>23-01-2026</t>
  </si>
  <si>
    <t>11/007</t>
  </si>
  <si>
    <t>10/113</t>
  </si>
  <si>
    <t>24-01-2026</t>
  </si>
  <si>
    <t>10/110</t>
  </si>
  <si>
    <t>27-01-2026</t>
  </si>
  <si>
    <t>10/107</t>
  </si>
  <si>
    <t>SURYA</t>
  </si>
  <si>
    <t>10/108</t>
  </si>
  <si>
    <t>11/008</t>
  </si>
  <si>
    <t>11/009</t>
  </si>
  <si>
    <t>11/014</t>
  </si>
  <si>
    <t>11/015</t>
  </si>
  <si>
    <t>11/016</t>
  </si>
  <si>
    <t>11/017</t>
  </si>
  <si>
    <t>10/103</t>
  </si>
  <si>
    <t>31-01-2026</t>
  </si>
  <si>
    <t>11/011</t>
  </si>
  <si>
    <t>SHUBHASHRI ARTS</t>
  </si>
  <si>
    <t>11/021</t>
  </si>
  <si>
    <t>DOUBT PAPER</t>
  </si>
  <si>
    <t>11/022</t>
  </si>
  <si>
    <t>10/100</t>
  </si>
  <si>
    <t>10/101</t>
  </si>
  <si>
    <t>11/003</t>
  </si>
  <si>
    <t>11/010</t>
  </si>
  <si>
    <t>11/023</t>
  </si>
  <si>
    <t>11/002</t>
  </si>
  <si>
    <t>11/004</t>
  </si>
  <si>
    <t>11/025</t>
  </si>
  <si>
    <t>11/026</t>
  </si>
  <si>
    <t>11/006</t>
  </si>
  <si>
    <t>11/013</t>
  </si>
  <si>
    <t>17-02-2026</t>
  </si>
  <si>
    <t>11/035</t>
  </si>
  <si>
    <t>11/036</t>
  </si>
  <si>
    <t>11/027</t>
  </si>
  <si>
    <t>11/028</t>
  </si>
  <si>
    <t>11/031</t>
  </si>
  <si>
    <t>11/032</t>
  </si>
  <si>
    <t>20-02-2026</t>
  </si>
  <si>
    <t>11/037</t>
  </si>
  <si>
    <t>11/038</t>
  </si>
  <si>
    <t>11/039</t>
  </si>
  <si>
    <t>24-02-2026</t>
  </si>
  <si>
    <t>11/040</t>
  </si>
  <si>
    <t>11/041</t>
  </si>
  <si>
    <t>25-02-2026</t>
  </si>
  <si>
    <t>11/042</t>
  </si>
  <si>
    <t>11/043</t>
  </si>
  <si>
    <t>26-02-2026</t>
  </si>
  <si>
    <t>11/044</t>
  </si>
  <si>
    <t>11/045</t>
  </si>
  <si>
    <t>11/046</t>
  </si>
  <si>
    <t>11/033</t>
  </si>
  <si>
    <t>28-02-2026</t>
  </si>
  <si>
    <t>11/049</t>
  </si>
  <si>
    <t>11/050</t>
  </si>
  <si>
    <t>11/051</t>
  </si>
  <si>
    <t>11/052</t>
  </si>
  <si>
    <t>11/055</t>
  </si>
  <si>
    <t>11/056</t>
  </si>
  <si>
    <t>11/057</t>
  </si>
  <si>
    <t>11/058</t>
  </si>
  <si>
    <t>11/059</t>
  </si>
  <si>
    <t>11/053</t>
  </si>
  <si>
    <t>AREIS</t>
  </si>
  <si>
    <t>11/054</t>
  </si>
  <si>
    <t>11/061</t>
  </si>
  <si>
    <t>11/062</t>
  </si>
  <si>
    <t>11/063</t>
  </si>
  <si>
    <t>16-03-2026</t>
  </si>
  <si>
    <t>11/064</t>
  </si>
  <si>
    <t>11/060</t>
  </si>
  <si>
    <t>11/065</t>
  </si>
  <si>
    <t>TRICIL</t>
  </si>
  <si>
    <t>11/066</t>
  </si>
  <si>
    <t>11/068</t>
  </si>
  <si>
    <t>11/024</t>
  </si>
  <si>
    <t>11/067</t>
  </si>
  <si>
    <t>11/070</t>
  </si>
  <si>
    <t>11/072</t>
  </si>
  <si>
    <t>17-03-2026</t>
  </si>
  <si>
    <t>11/069</t>
  </si>
  <si>
    <t>25-03-2026</t>
  </si>
  <si>
    <t>11/071</t>
  </si>
  <si>
    <t>27-03-2026</t>
  </si>
  <si>
    <t>11/073</t>
  </si>
  <si>
    <t>11/074</t>
  </si>
  <si>
    <t>11/029</t>
  </si>
  <si>
    <t>28-03-2026</t>
  </si>
  <si>
    <t>MEHTA INDUSTRIES</t>
  </si>
  <si>
    <t>11/030</t>
  </si>
  <si>
    <t>31-03-2026</t>
  </si>
  <si>
    <t>11/075</t>
  </si>
  <si>
    <t>11/077</t>
  </si>
  <si>
    <t>RASKUMARI</t>
  </si>
  <si>
    <t>11/080</t>
  </si>
  <si>
    <t>11/081</t>
  </si>
  <si>
    <t>11/082</t>
  </si>
  <si>
    <t>11/079</t>
  </si>
  <si>
    <t>11/085</t>
  </si>
  <si>
    <t>11/096</t>
  </si>
  <si>
    <t>KRISHNA ART</t>
  </si>
  <si>
    <t>11/097</t>
  </si>
  <si>
    <t>11/098</t>
  </si>
  <si>
    <t>11/089</t>
  </si>
  <si>
    <t>11/091</t>
  </si>
  <si>
    <t>11/100</t>
  </si>
  <si>
    <t>11/101</t>
  </si>
  <si>
    <t>11/102</t>
  </si>
  <si>
    <t>11/092</t>
  </si>
  <si>
    <t>125 WAS NEEDED 250 USED INSTEAD - CENTER CUT</t>
  </si>
  <si>
    <t>11/093</t>
  </si>
  <si>
    <t xml:space="preserve">SHREE PRINT </t>
  </si>
  <si>
    <t>11/099</t>
  </si>
  <si>
    <t>11/078</t>
  </si>
  <si>
    <t>11/108</t>
  </si>
  <si>
    <t>14-04-2026</t>
  </si>
  <si>
    <t>11/113</t>
  </si>
  <si>
    <t>11/114</t>
  </si>
  <si>
    <t>17-04-2026</t>
  </si>
  <si>
    <t>11/115</t>
  </si>
  <si>
    <t>11/117</t>
  </si>
  <si>
    <t>11/118</t>
  </si>
  <si>
    <t>11/090</t>
  </si>
  <si>
    <t>11/105</t>
  </si>
  <si>
    <t>PARIMAN</t>
  </si>
  <si>
    <t>11/119</t>
  </si>
  <si>
    <t>21-04-2026</t>
  </si>
  <si>
    <t>11/120</t>
  </si>
  <si>
    <t>11/095</t>
  </si>
  <si>
    <t>WYNK LIFESTYLE</t>
  </si>
  <si>
    <t>11/109</t>
  </si>
  <si>
    <t>22-04-2026</t>
  </si>
  <si>
    <t>25-04-2026</t>
  </si>
  <si>
    <t>11/122</t>
  </si>
  <si>
    <t>11/128</t>
  </si>
  <si>
    <t>11/129</t>
  </si>
  <si>
    <t>11/107</t>
  </si>
  <si>
    <t>11/111</t>
  </si>
  <si>
    <t>11/112</t>
  </si>
  <si>
    <t>11/116</t>
  </si>
  <si>
    <t>11/123</t>
  </si>
  <si>
    <t>11/124</t>
  </si>
  <si>
    <t>11/125</t>
  </si>
  <si>
    <t>11/126</t>
  </si>
  <si>
    <t>11/110</t>
  </si>
  <si>
    <t>28-04-2026</t>
  </si>
  <si>
    <t>11/121</t>
  </si>
  <si>
    <t>11/127</t>
  </si>
  <si>
    <t>11/130</t>
  </si>
  <si>
    <t>11/131</t>
  </si>
  <si>
    <t>11/132</t>
  </si>
  <si>
    <t>12/001</t>
  </si>
  <si>
    <t>12/002</t>
  </si>
  <si>
    <t>12/003</t>
  </si>
  <si>
    <t>12/005</t>
  </si>
  <si>
    <t>12/008</t>
  </si>
  <si>
    <t>12/006</t>
  </si>
  <si>
    <t>12/007</t>
  </si>
  <si>
    <t>12/009</t>
  </si>
  <si>
    <t>330 center cut - 165 used</t>
  </si>
  <si>
    <t>12/010</t>
  </si>
  <si>
    <t>12/011</t>
  </si>
  <si>
    <t>13-05-2026</t>
  </si>
  <si>
    <t>12/004</t>
  </si>
  <si>
    <t>pregna</t>
  </si>
  <si>
    <t>16-05-2026</t>
  </si>
  <si>
    <t>11/084</t>
  </si>
  <si>
    <t>20-05-2026</t>
  </si>
  <si>
    <t>RR PACKAGING</t>
  </si>
  <si>
    <t>12/013</t>
  </si>
  <si>
    <t>12/014</t>
  </si>
  <si>
    <t>12/017</t>
  </si>
  <si>
    <t>12/018</t>
  </si>
  <si>
    <t>12/019</t>
  </si>
  <si>
    <t>22-05-2026</t>
  </si>
  <si>
    <t>12/024</t>
  </si>
  <si>
    <t>26-05-2026</t>
  </si>
  <si>
    <t>12/026</t>
  </si>
  <si>
    <t>28-05-2026</t>
  </si>
  <si>
    <t>12/027</t>
  </si>
  <si>
    <t>12/028</t>
  </si>
  <si>
    <t>12/029</t>
  </si>
  <si>
    <t>12/023</t>
  </si>
  <si>
    <t>12/031</t>
  </si>
  <si>
    <t>12/035</t>
  </si>
  <si>
    <t>12/036</t>
  </si>
  <si>
    <t>12/039</t>
  </si>
  <si>
    <t>12/040</t>
  </si>
  <si>
    <t>NO RETUEN</t>
  </si>
  <si>
    <t>12/032</t>
  </si>
  <si>
    <t>12/033</t>
  </si>
  <si>
    <t>12/034</t>
  </si>
  <si>
    <t>12/037</t>
  </si>
  <si>
    <t>12/041</t>
  </si>
  <si>
    <t>12/043</t>
  </si>
  <si>
    <t>12/022</t>
  </si>
  <si>
    <t>12/025</t>
  </si>
  <si>
    <t>12/042</t>
  </si>
  <si>
    <t>18-06-2026</t>
  </si>
  <si>
    <t>12/044</t>
  </si>
  <si>
    <t>12/045</t>
  </si>
  <si>
    <t>12/046</t>
  </si>
  <si>
    <t>12/047</t>
  </si>
  <si>
    <t>12/050</t>
  </si>
  <si>
    <t>12/048</t>
  </si>
  <si>
    <t>12/030</t>
  </si>
  <si>
    <t>12/052</t>
  </si>
  <si>
    <t>20-06-2026</t>
  </si>
  <si>
    <t>12/053</t>
  </si>
  <si>
    <t>12/057</t>
  </si>
  <si>
    <t>12/058</t>
  </si>
  <si>
    <t>12/059</t>
  </si>
  <si>
    <t>12/060</t>
  </si>
  <si>
    <t>23-06-2026</t>
  </si>
  <si>
    <t>12/061</t>
  </si>
  <si>
    <t>12/062</t>
  </si>
  <si>
    <t>12/063</t>
  </si>
  <si>
    <t>12/064</t>
  </si>
  <si>
    <t>12/065</t>
  </si>
  <si>
    <t>12/067</t>
  </si>
  <si>
    <t>28-06-2026</t>
  </si>
  <si>
    <t>12/069</t>
  </si>
  <si>
    <t>12/070</t>
  </si>
  <si>
    <t>12/055</t>
  </si>
  <si>
    <t>30-06-2026</t>
  </si>
  <si>
    <t>12/056</t>
  </si>
  <si>
    <t>12/066</t>
  </si>
  <si>
    <t>12/068</t>
  </si>
  <si>
    <t>12/071</t>
  </si>
  <si>
    <t>14-07-2026</t>
  </si>
  <si>
    <t>12/073</t>
  </si>
  <si>
    <t>15-07-2026</t>
  </si>
  <si>
    <t>12/074</t>
  </si>
  <si>
    <t>12/075</t>
  </si>
  <si>
    <t>16-07-2026</t>
  </si>
  <si>
    <t>12/049</t>
  </si>
  <si>
    <t>12/072</t>
  </si>
  <si>
    <t>12/079</t>
  </si>
  <si>
    <t>19-07-2026</t>
  </si>
  <si>
    <t>12/080</t>
  </si>
  <si>
    <t>12/082</t>
  </si>
  <si>
    <t xml:space="preserve"> SEEJAR PHARMA</t>
  </si>
  <si>
    <t>20-07-2026</t>
  </si>
  <si>
    <t>12/083</t>
  </si>
  <si>
    <t>21-07-2026</t>
  </si>
  <si>
    <t>12/081</t>
  </si>
  <si>
    <t>MANJEET</t>
  </si>
  <si>
    <t>12/088</t>
  </si>
  <si>
    <t>12/089</t>
  </si>
  <si>
    <t>12/084</t>
  </si>
  <si>
    <t>12/085</t>
  </si>
  <si>
    <t>12/086</t>
  </si>
  <si>
    <t>12/087</t>
  </si>
  <si>
    <t>12/090</t>
  </si>
  <si>
    <t>22-07-2026</t>
  </si>
  <si>
    <t>12/091</t>
  </si>
  <si>
    <t>12/094</t>
  </si>
  <si>
    <t>12/095</t>
  </si>
  <si>
    <t>12/096</t>
  </si>
  <si>
    <t>12/100</t>
  </si>
  <si>
    <t>12/092</t>
  </si>
  <si>
    <t>12/097</t>
  </si>
  <si>
    <t>12/098</t>
  </si>
  <si>
    <t>12/099</t>
  </si>
  <si>
    <t>12/101</t>
  </si>
  <si>
    <t>12/102</t>
  </si>
  <si>
    <t>12/103</t>
  </si>
  <si>
    <t>12/104</t>
  </si>
  <si>
    <t>12/105</t>
  </si>
  <si>
    <t>12/107</t>
  </si>
  <si>
    <t>12/110</t>
  </si>
  <si>
    <t>12/106</t>
  </si>
  <si>
    <t>12/108</t>
  </si>
  <si>
    <t>12/109</t>
  </si>
  <si>
    <t>12/111</t>
  </si>
  <si>
    <t>12/115</t>
  </si>
  <si>
    <t>12/116</t>
  </si>
  <si>
    <t>12/093</t>
  </si>
  <si>
    <t>12/119</t>
  </si>
  <si>
    <t>250 WAS CENTER CUT</t>
  </si>
  <si>
    <t>12/120</t>
  </si>
  <si>
    <t>12/117</t>
  </si>
  <si>
    <t>12/118</t>
  </si>
  <si>
    <t>12/121</t>
  </si>
  <si>
    <t>12/122</t>
  </si>
  <si>
    <t>12/123</t>
  </si>
  <si>
    <t>12/124</t>
  </si>
  <si>
    <t>12/127</t>
  </si>
  <si>
    <t>01/002</t>
  </si>
  <si>
    <t>01/034</t>
  </si>
  <si>
    <t>12/125</t>
  </si>
  <si>
    <t>12/126</t>
  </si>
  <si>
    <t>01/001</t>
  </si>
  <si>
    <t>01/003</t>
  </si>
  <si>
    <t>01/013</t>
  </si>
  <si>
    <t>01/015</t>
  </si>
  <si>
    <t>01/016</t>
  </si>
  <si>
    <t>01/037</t>
  </si>
  <si>
    <t>01/004</t>
  </si>
  <si>
    <t>01/014</t>
  </si>
  <si>
    <t>01/017</t>
  </si>
  <si>
    <t>01/020</t>
  </si>
  <si>
    <t>01/036</t>
  </si>
  <si>
    <t>01/018</t>
  </si>
  <si>
    <t>01/019</t>
  </si>
  <si>
    <t>01/024</t>
  </si>
  <si>
    <t>01/026</t>
  </si>
  <si>
    <t>01/027</t>
  </si>
  <si>
    <t>01/028</t>
  </si>
  <si>
    <t>01/029</t>
  </si>
  <si>
    <t>01/035</t>
  </si>
  <si>
    <t>01/044</t>
  </si>
  <si>
    <t>01/025</t>
  </si>
  <si>
    <t>01/030</t>
  </si>
  <si>
    <t>01/033</t>
  </si>
  <si>
    <t>01/040</t>
  </si>
  <si>
    <t>01/041</t>
  </si>
  <si>
    <t>01/042</t>
  </si>
  <si>
    <t>01/043</t>
  </si>
  <si>
    <t>01/045</t>
  </si>
  <si>
    <t>01/005</t>
  </si>
  <si>
    <t>01/007</t>
  </si>
  <si>
    <t>01/008</t>
  </si>
  <si>
    <t>01/009</t>
  </si>
  <si>
    <t>01/010</t>
  </si>
  <si>
    <t>01/011</t>
  </si>
  <si>
    <t>01/012</t>
  </si>
  <si>
    <t>01/031</t>
  </si>
  <si>
    <t>01/039</t>
  </si>
  <si>
    <t>01/006</t>
  </si>
  <si>
    <t>01/021</t>
  </si>
  <si>
    <t>SAI DUDH</t>
  </si>
  <si>
    <t>01/022</t>
  </si>
  <si>
    <t>290 CENTER CUT IT MADE 4000RMTR</t>
  </si>
  <si>
    <t>01/023</t>
  </si>
  <si>
    <t>01/054</t>
  </si>
  <si>
    <t>01/038</t>
  </si>
  <si>
    <t>01/057</t>
  </si>
  <si>
    <t>01/058</t>
  </si>
  <si>
    <t>01/061</t>
  </si>
  <si>
    <t>01/062</t>
  </si>
  <si>
    <t>01/063</t>
  </si>
  <si>
    <t>01/064</t>
  </si>
  <si>
    <t>01/047</t>
  </si>
  <si>
    <t>SEEJAR PHARMA</t>
  </si>
  <si>
    <t>01/048</t>
  </si>
  <si>
    <t>01/049</t>
  </si>
  <si>
    <t>01/050</t>
  </si>
  <si>
    <t>01/059</t>
  </si>
  <si>
    <t>01/060</t>
  </si>
  <si>
    <t>01/066</t>
  </si>
  <si>
    <t>01/067</t>
  </si>
  <si>
    <t>01/078</t>
  </si>
  <si>
    <t>1/14/0206</t>
  </si>
  <si>
    <t>01/032</t>
  </si>
  <si>
    <t>01/046</t>
  </si>
  <si>
    <t>01/076</t>
  </si>
  <si>
    <t>01/077</t>
  </si>
  <si>
    <t>01/079</t>
  </si>
  <si>
    <t>01/080</t>
  </si>
  <si>
    <t>01/051</t>
  </si>
  <si>
    <t>01/056</t>
  </si>
  <si>
    <t>01/065</t>
  </si>
  <si>
    <t>01/081</t>
  </si>
  <si>
    <t>01/082</t>
  </si>
  <si>
    <t>01/104</t>
  </si>
  <si>
    <t>01/105</t>
  </si>
  <si>
    <t>01/106</t>
  </si>
  <si>
    <t>01/068</t>
  </si>
  <si>
    <t>01/069</t>
  </si>
  <si>
    <t>01/071</t>
  </si>
  <si>
    <t>01/072</t>
  </si>
  <si>
    <t>01/073</t>
  </si>
  <si>
    <t>01/074</t>
  </si>
  <si>
    <t>01/075</t>
  </si>
  <si>
    <t>01/092</t>
  </si>
  <si>
    <t>01/094</t>
  </si>
  <si>
    <t>01/087</t>
  </si>
  <si>
    <t>01/091</t>
  </si>
  <si>
    <t>01/093</t>
  </si>
  <si>
    <t>01/096</t>
  </si>
  <si>
    <t>PARAMOUNT</t>
  </si>
  <si>
    <t>01/097</t>
  </si>
  <si>
    <t>01/110</t>
  </si>
  <si>
    <t>RMT On‑Hand</t>
  </si>
  <si>
    <t>Sq. Mtr On‑Hand</t>
  </si>
  <si>
    <t>Avg Rate</t>
  </si>
  <si>
    <t>Stock Value</t>
  </si>
  <si>
    <t>01/101</t>
  </si>
  <si>
    <t>01/102</t>
  </si>
  <si>
    <t>01/103</t>
  </si>
  <si>
    <t>250 WAS CENTER CUT 1600 (800 X 2 )</t>
  </si>
  <si>
    <t>01/107</t>
  </si>
  <si>
    <t>01/095</t>
  </si>
  <si>
    <t>01/098</t>
  </si>
  <si>
    <t>01/099</t>
  </si>
  <si>
    <t>01/100</t>
  </si>
  <si>
    <t>01/112</t>
  </si>
  <si>
    <t>01/084</t>
  </si>
  <si>
    <t>01/086</t>
  </si>
  <si>
    <t>01/118</t>
  </si>
  <si>
    <t>01/085</t>
  </si>
  <si>
    <t>01/111</t>
  </si>
  <si>
    <t>01/115</t>
  </si>
  <si>
    <t>01/108</t>
  </si>
  <si>
    <t>01/109</t>
  </si>
  <si>
    <t>01/125</t>
  </si>
  <si>
    <t>VIMONI</t>
  </si>
  <si>
    <t>01/126</t>
  </si>
  <si>
    <t>01/070</t>
  </si>
  <si>
    <t>01/116</t>
  </si>
  <si>
    <t>01/119</t>
  </si>
  <si>
    <t>01/134</t>
  </si>
  <si>
    <t>01/135</t>
  </si>
  <si>
    <t>01/136</t>
  </si>
  <si>
    <t>01/137</t>
  </si>
  <si>
    <t>01/158</t>
  </si>
  <si>
    <t>01/146</t>
  </si>
  <si>
    <t>01/150</t>
  </si>
  <si>
    <t>01/157</t>
  </si>
  <si>
    <t>01/161</t>
  </si>
  <si>
    <t>01/162</t>
  </si>
  <si>
    <t>01/144</t>
  </si>
  <si>
    <t>01/147</t>
  </si>
  <si>
    <t>01/151</t>
  </si>
  <si>
    <t>01/154</t>
  </si>
  <si>
    <t>01/155</t>
  </si>
  <si>
    <t>01/156</t>
  </si>
  <si>
    <t>01/159</t>
  </si>
  <si>
    <t>01/128</t>
  </si>
  <si>
    <t>01/148</t>
  </si>
  <si>
    <t>01/149</t>
  </si>
  <si>
    <t>01/152</t>
  </si>
  <si>
    <t>01/153</t>
  </si>
  <si>
    <t>01/127</t>
  </si>
  <si>
    <t>01/138</t>
  </si>
  <si>
    <t>01/145</t>
  </si>
  <si>
    <t>01/166</t>
  </si>
  <si>
    <t>01/167</t>
  </si>
  <si>
    <t>150 NEEDED HAD TO USED 300M CENTER CUT &amp; MADE 5200</t>
  </si>
  <si>
    <t>01/168</t>
  </si>
  <si>
    <t>01/139</t>
  </si>
  <si>
    <t>01/140</t>
  </si>
  <si>
    <t>01/169</t>
  </si>
  <si>
    <t>01/170</t>
  </si>
  <si>
    <t>02/005</t>
  </si>
  <si>
    <t>02/001</t>
  </si>
  <si>
    <t>02/002</t>
  </si>
  <si>
    <t>02/003</t>
  </si>
  <si>
    <t>02/006</t>
  </si>
  <si>
    <t>02/007</t>
  </si>
  <si>
    <t>02/013</t>
  </si>
  <si>
    <t>02/019</t>
  </si>
  <si>
    <t>01/141</t>
  </si>
  <si>
    <t>01/142</t>
  </si>
  <si>
    <t>02/008</t>
  </si>
  <si>
    <t>02/009</t>
  </si>
  <si>
    <t>02/010</t>
  </si>
  <si>
    <t>02/012</t>
  </si>
  <si>
    <t>02/014</t>
  </si>
  <si>
    <t>02/015</t>
  </si>
  <si>
    <t>02/020</t>
  </si>
  <si>
    <t>02/004</t>
  </si>
  <si>
    <t>02/011</t>
  </si>
  <si>
    <t>02/029</t>
  </si>
  <si>
    <t>02/023</t>
  </si>
  <si>
    <t>02/024</t>
  </si>
  <si>
    <t>02/031</t>
  </si>
  <si>
    <t>02/038</t>
  </si>
  <si>
    <t>02/083</t>
  </si>
  <si>
    <t>01/160</t>
  </si>
  <si>
    <t>02/042</t>
  </si>
  <si>
    <t>02/040</t>
  </si>
  <si>
    <t>02/041</t>
  </si>
  <si>
    <t>02/036</t>
  </si>
  <si>
    <t>02/037</t>
  </si>
  <si>
    <t>02/033</t>
  </si>
  <si>
    <t>125M WAS CENTER CUT WHICH MADE 3300 RMTR</t>
  </si>
  <si>
    <t>02/035</t>
  </si>
  <si>
    <t>02/039</t>
  </si>
  <si>
    <t>125M WAS CENTER CUT WHICH MADE 3990</t>
  </si>
  <si>
    <t>02/053</t>
  </si>
  <si>
    <t>02/034</t>
  </si>
  <si>
    <t>02/049</t>
  </si>
  <si>
    <t>02/050</t>
  </si>
  <si>
    <t>02/055</t>
  </si>
  <si>
    <t>TEMPLE</t>
  </si>
  <si>
    <t>02/030</t>
  </si>
  <si>
    <t>02/043</t>
  </si>
  <si>
    <t>02/044</t>
  </si>
  <si>
    <t>02/071</t>
  </si>
  <si>
    <t>02/056</t>
  </si>
  <si>
    <t>02/057</t>
  </si>
  <si>
    <t>02/070</t>
  </si>
  <si>
    <t>01/055</t>
  </si>
  <si>
    <t>WINDERMULTI</t>
  </si>
  <si>
    <t>02/059</t>
  </si>
  <si>
    <t>02/060</t>
  </si>
  <si>
    <t>02/064</t>
  </si>
  <si>
    <t>02/068</t>
  </si>
  <si>
    <t>02/069</t>
  </si>
  <si>
    <t>01/163</t>
  </si>
  <si>
    <t>02/054</t>
  </si>
  <si>
    <t>PRAKRUTI</t>
  </si>
  <si>
    <t>02/058</t>
  </si>
  <si>
    <t>02/067</t>
  </si>
  <si>
    <t>02/076</t>
  </si>
  <si>
    <t>02/063</t>
  </si>
  <si>
    <t>02/072</t>
  </si>
  <si>
    <t>02/073</t>
  </si>
  <si>
    <t>02/074</t>
  </si>
  <si>
    <t>02/075</t>
  </si>
  <si>
    <t>02/078</t>
  </si>
  <si>
    <t>02/081</t>
  </si>
  <si>
    <t>02/032</t>
  </si>
  <si>
    <t>02/062</t>
  </si>
  <si>
    <t>02/077</t>
  </si>
  <si>
    <t>02/084</t>
  </si>
  <si>
    <t>02/065</t>
  </si>
  <si>
    <t>02/082</t>
  </si>
  <si>
    <t>02/087</t>
  </si>
  <si>
    <t>02/090</t>
  </si>
  <si>
    <t>02/086</t>
  </si>
  <si>
    <t>02/089</t>
  </si>
  <si>
    <t>02/088</t>
  </si>
  <si>
    <t>02/094</t>
  </si>
  <si>
    <t>02/097</t>
  </si>
  <si>
    <t>OCTAGREEN</t>
  </si>
  <si>
    <t>02/098</t>
  </si>
  <si>
    <t>02/099</t>
  </si>
  <si>
    <t>02/100</t>
  </si>
  <si>
    <t>02/108</t>
  </si>
  <si>
    <t>02/093</t>
  </si>
  <si>
    <t>02/101</t>
  </si>
  <si>
    <t>02/104</t>
  </si>
  <si>
    <t>02/105</t>
  </si>
  <si>
    <t>02/106</t>
  </si>
  <si>
    <t>02/107</t>
  </si>
  <si>
    <t>02/114</t>
  </si>
  <si>
    <t>02/095</t>
  </si>
  <si>
    <t>02/096</t>
  </si>
  <si>
    <t>02/102</t>
  </si>
  <si>
    <t>02/103</t>
  </si>
  <si>
    <t>02/111</t>
  </si>
  <si>
    <t>330MM CUT IN CENTER CUT WHICH MADE 110M</t>
  </si>
  <si>
    <t>02/112</t>
  </si>
  <si>
    <t>02/113</t>
  </si>
  <si>
    <t>02/117</t>
  </si>
  <si>
    <t>02/130</t>
  </si>
  <si>
    <t>02/131</t>
  </si>
  <si>
    <t>02/115</t>
  </si>
  <si>
    <t>ASLAM DAMANI</t>
  </si>
  <si>
    <t>02/128</t>
  </si>
  <si>
    <t>GANGA PHARMA</t>
  </si>
  <si>
    <t>02/132</t>
  </si>
  <si>
    <t>03/001</t>
  </si>
  <si>
    <t>03/013</t>
  </si>
  <si>
    <t>03/134</t>
  </si>
  <si>
    <t>02/118</t>
  </si>
  <si>
    <t>propix</t>
  </si>
  <si>
    <t>02/119</t>
  </si>
  <si>
    <t>02/120</t>
  </si>
  <si>
    <t>02/121</t>
  </si>
  <si>
    <t>02/122</t>
  </si>
  <si>
    <t>02/123</t>
  </si>
  <si>
    <t>03/018</t>
  </si>
  <si>
    <t>03/019</t>
  </si>
  <si>
    <t>03/022</t>
  </si>
  <si>
    <t>02/135</t>
  </si>
  <si>
    <t>02/110</t>
  </si>
  <si>
    <t>03/036</t>
  </si>
  <si>
    <t>03/037</t>
  </si>
  <si>
    <t>03/133</t>
  </si>
  <si>
    <t>02/109</t>
  </si>
  <si>
    <t>03/030</t>
  </si>
  <si>
    <t xml:space="preserve">GLOBAL </t>
  </si>
  <si>
    <t>03/033</t>
  </si>
  <si>
    <t>03/034</t>
  </si>
  <si>
    <t>03/035</t>
  </si>
  <si>
    <t>03/039</t>
  </si>
  <si>
    <t>03/040</t>
  </si>
  <si>
    <t>03/038</t>
  </si>
  <si>
    <t>03/041</t>
  </si>
  <si>
    <t>03/043</t>
  </si>
  <si>
    <t>02/139</t>
  </si>
  <si>
    <t>03/049</t>
  </si>
  <si>
    <t>03/046</t>
  </si>
  <si>
    <t>03/047</t>
  </si>
  <si>
    <t>03/048</t>
  </si>
  <si>
    <t>03/005</t>
  </si>
  <si>
    <t>03/007</t>
  </si>
  <si>
    <t>03/008</t>
  </si>
  <si>
    <t>03/011</t>
  </si>
  <si>
    <t>03/063</t>
  </si>
  <si>
    <t>03/003</t>
  </si>
  <si>
    <t>03/004</t>
  </si>
  <si>
    <t>03/006</t>
  </si>
  <si>
    <t>03/009</t>
  </si>
  <si>
    <t>03/010</t>
  </si>
  <si>
    <t>03/069</t>
  </si>
  <si>
    <t>03/002</t>
  </si>
  <si>
    <t>03/044</t>
  </si>
  <si>
    <t>SHUBHASHREE</t>
  </si>
  <si>
    <t>03/045</t>
  </si>
  <si>
    <t>03/053</t>
  </si>
  <si>
    <t>03/066</t>
  </si>
  <si>
    <t>03/074</t>
  </si>
  <si>
    <t>TEMPLE PKG</t>
  </si>
  <si>
    <t>03/023</t>
  </si>
  <si>
    <t>03/024</t>
  </si>
  <si>
    <t>03/025</t>
  </si>
  <si>
    <t>03/026</t>
  </si>
  <si>
    <t>03/042</t>
  </si>
  <si>
    <t>PGPL</t>
  </si>
  <si>
    <t>03/016</t>
  </si>
  <si>
    <t>03/017</t>
  </si>
  <si>
    <t>03/020</t>
  </si>
  <si>
    <t>03/028</t>
  </si>
  <si>
    <t>03/051</t>
  </si>
  <si>
    <t>03/064</t>
  </si>
  <si>
    <t>03/071</t>
  </si>
  <si>
    <t>03/073</t>
  </si>
  <si>
    <t>03/078</t>
  </si>
  <si>
    <t>03/050</t>
  </si>
  <si>
    <t>03/052</t>
  </si>
  <si>
    <t>03/054</t>
  </si>
  <si>
    <t>03/055</t>
  </si>
  <si>
    <t>03/056</t>
  </si>
  <si>
    <t>03/057</t>
  </si>
  <si>
    <t>03/058</t>
  </si>
  <si>
    <t>03/059</t>
  </si>
  <si>
    <t>03/061</t>
  </si>
  <si>
    <t>03/062</t>
  </si>
  <si>
    <t>03/065</t>
  </si>
  <si>
    <t>ISHA AGRO</t>
  </si>
  <si>
    <t>03/072</t>
  </si>
  <si>
    <t>03/079</t>
  </si>
  <si>
    <t>03/088</t>
  </si>
  <si>
    <t>03/080</t>
  </si>
  <si>
    <t>03/081</t>
  </si>
  <si>
    <t>03/082</t>
  </si>
  <si>
    <t>03/083</t>
  </si>
  <si>
    <t>03/084</t>
  </si>
  <si>
    <t>03/085</t>
  </si>
  <si>
    <t>03/086</t>
  </si>
  <si>
    <t>03/089</t>
  </si>
  <si>
    <t>03/090</t>
  </si>
  <si>
    <t>03/091</t>
  </si>
  <si>
    <t>03/092</t>
  </si>
  <si>
    <t>03/095</t>
  </si>
  <si>
    <t>03/097</t>
  </si>
  <si>
    <t>03/093</t>
  </si>
  <si>
    <t>03/096</t>
  </si>
  <si>
    <t>03/094</t>
  </si>
  <si>
    <t>03/099</t>
  </si>
  <si>
    <t>03/100</t>
  </si>
  <si>
    <t>DEHRADUN LABEL</t>
  </si>
  <si>
    <t>03/104</t>
  </si>
  <si>
    <t>03/105</t>
  </si>
  <si>
    <t>03/109</t>
  </si>
  <si>
    <t>03/112</t>
  </si>
  <si>
    <t>03/111</t>
  </si>
  <si>
    <t>03/031</t>
  </si>
  <si>
    <t>03/101</t>
  </si>
  <si>
    <t>CLIIENT YET TO ADD IN LIST</t>
  </si>
  <si>
    <t>03/108</t>
  </si>
  <si>
    <t>03/110</t>
  </si>
  <si>
    <t>03/115</t>
  </si>
  <si>
    <t>03/107</t>
  </si>
  <si>
    <t>03/113</t>
  </si>
  <si>
    <t>03/120</t>
  </si>
  <si>
    <t>03/121</t>
  </si>
  <si>
    <t>03/129</t>
  </si>
  <si>
    <t>03/014</t>
  </si>
  <si>
    <t>03/015</t>
  </si>
  <si>
    <t>03/114</t>
  </si>
  <si>
    <t>03/122</t>
  </si>
  <si>
    <t>03/126</t>
  </si>
  <si>
    <t>03/117</t>
  </si>
  <si>
    <t>03/118</t>
  </si>
  <si>
    <t>03/119</t>
  </si>
  <si>
    <t>03/135</t>
  </si>
  <si>
    <t>03/127</t>
  </si>
  <si>
    <t>03/128</t>
  </si>
  <si>
    <t>03/130</t>
  </si>
  <si>
    <t>03/131</t>
  </si>
  <si>
    <t>03/136</t>
  </si>
  <si>
    <t>03/137</t>
  </si>
  <si>
    <t>03/138</t>
  </si>
  <si>
    <t>03/123</t>
  </si>
  <si>
    <t>03/124</t>
  </si>
  <si>
    <t>03/125</t>
  </si>
  <si>
    <t>04/001</t>
  </si>
  <si>
    <t>04/002</t>
  </si>
  <si>
    <t>pp matt paper is used</t>
  </si>
  <si>
    <t>04/003</t>
  </si>
  <si>
    <t>04/004</t>
  </si>
  <si>
    <t>04/005</t>
  </si>
  <si>
    <t>04/006</t>
  </si>
  <si>
    <t>03/012</t>
  </si>
  <si>
    <t>03/032</t>
  </si>
  <si>
    <t>04/007</t>
  </si>
  <si>
    <t>04/008</t>
  </si>
  <si>
    <t>04/009</t>
  </si>
  <si>
    <t>04/017</t>
  </si>
  <si>
    <t>04/018</t>
  </si>
  <si>
    <t>04/019</t>
  </si>
  <si>
    <t>04/012</t>
  </si>
  <si>
    <t>04/014</t>
  </si>
  <si>
    <t>04/015</t>
  </si>
  <si>
    <t>04/016</t>
  </si>
  <si>
    <t>04/020</t>
  </si>
  <si>
    <t>03/077</t>
  </si>
  <si>
    <t>04/010</t>
  </si>
  <si>
    <t>04/011</t>
  </si>
  <si>
    <t>04/032</t>
  </si>
  <si>
    <t>04/030</t>
  </si>
  <si>
    <t>04/031</t>
  </si>
  <si>
    <t>04/033</t>
  </si>
  <si>
    <t>02/137</t>
  </si>
  <si>
    <t>04/040</t>
  </si>
  <si>
    <t>04/041</t>
  </si>
  <si>
    <t>04/043</t>
  </si>
  <si>
    <t>04/044</t>
  </si>
  <si>
    <t>04/045</t>
  </si>
  <si>
    <t>02/136</t>
  </si>
  <si>
    <t>03/102</t>
  </si>
  <si>
    <t>03/103</t>
  </si>
  <si>
    <t>03/106</t>
  </si>
  <si>
    <t>04/035</t>
  </si>
  <si>
    <t>04/036</t>
  </si>
  <si>
    <t>04/037</t>
  </si>
  <si>
    <t>04/038</t>
  </si>
  <si>
    <t>04/039</t>
  </si>
  <si>
    <t>04/049</t>
  </si>
  <si>
    <t>micro pack</t>
  </si>
  <si>
    <t>04/050</t>
  </si>
  <si>
    <t>04/062</t>
  </si>
  <si>
    <t>04/069</t>
  </si>
  <si>
    <t>04/076</t>
  </si>
  <si>
    <t>04/077</t>
  </si>
  <si>
    <t>04/078</t>
  </si>
  <si>
    <t>PAPER NAME TO BE ADD IN LIST</t>
  </si>
  <si>
    <t>04/079</t>
  </si>
  <si>
    <t>04/080</t>
  </si>
  <si>
    <t>04/081</t>
  </si>
  <si>
    <t>04/013</t>
  </si>
  <si>
    <t>04/064</t>
  </si>
  <si>
    <t>04/065</t>
  </si>
  <si>
    <t>04/074</t>
  </si>
  <si>
    <t>04/024</t>
  </si>
  <si>
    <t>NEED TO ENQUIRE ABOUT PAPER</t>
  </si>
  <si>
    <t xml:space="preserve">SAMPLE </t>
  </si>
  <si>
    <t>04/052</t>
  </si>
  <si>
    <t>04/054</t>
  </si>
  <si>
    <t>04/056</t>
  </si>
  <si>
    <t>04/059</t>
  </si>
  <si>
    <t>04/063</t>
  </si>
  <si>
    <t>04/084</t>
  </si>
  <si>
    <t>PAPER NAME YET TO BE ADD IN LIST</t>
  </si>
  <si>
    <t>04/085</t>
  </si>
  <si>
    <t>04/086</t>
  </si>
  <si>
    <t>04/087</t>
  </si>
  <si>
    <t>04/088</t>
  </si>
  <si>
    <t>04/089</t>
  </si>
  <si>
    <t>04/090</t>
  </si>
  <si>
    <t>04/091</t>
  </si>
  <si>
    <t>04/083</t>
  </si>
  <si>
    <t>04/092</t>
  </si>
  <si>
    <t>04/095</t>
  </si>
  <si>
    <t>04/022</t>
  </si>
  <si>
    <t>04/023</t>
  </si>
  <si>
    <t>04/025</t>
  </si>
  <si>
    <t>04/026</t>
  </si>
  <si>
    <t>04/029</t>
  </si>
  <si>
    <t>NO PART NAME ON ROLL</t>
  </si>
  <si>
    <t>04/051</t>
  </si>
  <si>
    <t>04/053</t>
  </si>
  <si>
    <t>04/055</t>
  </si>
  <si>
    <t>04/058</t>
  </si>
  <si>
    <t>needed 125m but used 250 m center cut for both job</t>
  </si>
  <si>
    <t>04/061</t>
  </si>
  <si>
    <t>04/097</t>
  </si>
  <si>
    <t>04/101</t>
  </si>
  <si>
    <t>04/102</t>
  </si>
  <si>
    <t>04/106</t>
  </si>
  <si>
    <t>04/082</t>
  </si>
  <si>
    <t>04/100</t>
  </si>
  <si>
    <t>03/027</t>
  </si>
  <si>
    <t>MUDRA SUPPLIER</t>
  </si>
  <si>
    <t>SUPPLIER IS MUDRA</t>
  </si>
  <si>
    <t>330M CUT IN 215 M</t>
  </si>
  <si>
    <t>03/067</t>
  </si>
  <si>
    <t>03/068</t>
  </si>
  <si>
    <t>395M CUT IN 110M</t>
  </si>
  <si>
    <t>SUPPLIER - MANGAL ENTERPRISES</t>
  </si>
  <si>
    <t xml:space="preserve">300M WAS CUT </t>
  </si>
  <si>
    <t>CLEINT NAME - PRESEN &amp; PAPER NAME -SDV SECURITY FILM</t>
  </si>
  <si>
    <t>SUPPLIER - MUDRA</t>
  </si>
  <si>
    <t>250M CUT BY 125M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</si>
</sst>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-dd-yyyy"/>
  </numFmts>
  <fonts count="17">
    <font>
      <sz val="10.0"/>
      <color rgb="FF000000"/>
      <name val="Arial"/>
      <scheme val="minor"/>
    </font>
    <font>
      <sz val="12.0"/>
      <color theme="1"/>
      <name val="FkGroteskNeue"/>
    </font>
    <font>
      <b/>
      <sz val="12.0"/>
      <color theme="1"/>
      <name val="FkGroteskNeue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&quot;Times New Roman&quot;"/>
    </font>
    <font>
      <color rgb="FF000000"/>
      <name val="Cambria"/>
    </font>
    <font>
      <color theme="1"/>
      <name val="&quot;Times New Roman&quot;"/>
    </font>
    <font>
      <b/>
      <color theme="1"/>
      <name val="Arial"/>
      <scheme val="minor"/>
    </font>
    <font>
      <color theme="1"/>
      <name val="Cambria"/>
    </font>
    <font>
      <sz val="11.0"/>
      <color theme="1"/>
      <name val="Calibri"/>
    </font>
    <font>
      <sz val="9.0"/>
      <color rgb="FF000000"/>
      <name val="Cambria"/>
    </font>
    <font>
      <color rgb="FF000000"/>
      <name val="Calibri"/>
    </font>
    <font>
      <sz val="8.0"/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/>
    </xf>
    <xf borderId="1" fillId="0" fontId="3" numFmtId="49" xfId="0" applyAlignment="1" applyBorder="1" applyFont="1" applyNumberForma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6" numFmtId="164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right" readingOrder="0" shrinkToFit="0" vertical="center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2" fontId="9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2" fontId="9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shrinkToFit="0" vertical="center" wrapText="0"/>
    </xf>
    <xf borderId="1" fillId="0" fontId="5" numFmtId="164" xfId="0" applyAlignment="1" applyBorder="1" applyFont="1" applyNumberFormat="1">
      <alignment horizontal="right" readingOrder="0" shrinkToFit="0" vertical="center" wrapText="0"/>
    </xf>
    <xf borderId="1" fillId="0" fontId="10" numFmtId="0" xfId="0" applyAlignment="1" applyBorder="1" applyFont="1">
      <alignment horizontal="right" readingOrder="0" shrinkToFit="0" vertical="center" wrapText="0"/>
    </xf>
    <xf borderId="1" fillId="0" fontId="11" numFmtId="164" xfId="0" applyAlignment="1" applyBorder="1" applyFont="1" applyNumberFormat="1">
      <alignment horizontal="right" readingOrder="0" shrinkToFit="0" vertical="center" wrapText="0"/>
    </xf>
    <xf borderId="1" fillId="0" fontId="12" numFmtId="164" xfId="0" applyAlignment="1" applyBorder="1" applyFont="1" applyNumberFormat="1">
      <alignment horizontal="right" readingOrder="0" shrinkToFit="0" vertical="center" wrapText="0"/>
    </xf>
    <xf borderId="1" fillId="0" fontId="13" numFmtId="0" xfId="0" applyAlignment="1" applyBorder="1" applyFont="1">
      <alignment horizontal="right" readingOrder="0" shrinkToFit="0" vertical="center" wrapText="0"/>
    </xf>
    <xf borderId="2" fillId="0" fontId="13" numFmtId="0" xfId="0" applyAlignment="1" applyBorder="1" applyFont="1">
      <alignment horizontal="right" readingOrder="0" shrinkToFit="0" vertical="center" wrapText="0"/>
    </xf>
    <xf borderId="1" fillId="2" fontId="13" numFmtId="0" xfId="0" applyAlignment="1" applyBorder="1" applyFont="1">
      <alignment horizontal="right" readingOrder="0" shrinkToFit="0" vertical="center" wrapText="0"/>
    </xf>
    <xf borderId="2" fillId="0" fontId="6" numFmtId="0" xfId="0" applyAlignment="1" applyBorder="1" applyFont="1">
      <alignment horizontal="right" readingOrder="0" shrinkToFit="0" vertical="center" wrapText="0"/>
    </xf>
    <xf borderId="1" fillId="0" fontId="5" numFmtId="165" xfId="0" applyAlignment="1" applyBorder="1" applyFont="1" applyNumberFormat="1">
      <alignment horizontal="right"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1" fillId="0" fontId="5" numFmtId="0" xfId="0" applyAlignment="1" applyBorder="1" applyFont="1">
      <alignment horizontal="right" shrinkToFit="0" vertical="center" wrapText="0"/>
    </xf>
    <xf borderId="2" fillId="0" fontId="6" numFmtId="0" xfId="0" applyAlignment="1" applyBorder="1" applyFont="1">
      <alignment horizontal="right"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1" fillId="2" fontId="9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6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0" fillId="2" fontId="9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0" fillId="0" fontId="1" numFmtId="1" xfId="0" applyAlignment="1" applyFont="1" applyNumberFormat="1">
      <alignment shrinkToFit="0" vertical="center" wrapText="0"/>
    </xf>
    <xf borderId="1" fillId="0" fontId="1" numFmtId="1" xfId="0" applyAlignment="1" applyBorder="1" applyFont="1" applyNumberFormat="1">
      <alignment shrinkToFit="0" vertical="center" wrapText="0"/>
    </xf>
    <xf borderId="2" fillId="0" fontId="6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Border="1" applyFont="1"/>
    <xf borderId="1" fillId="0" fontId="15" numFmtId="0" xfId="0" applyAlignment="1" applyBorder="1" applyFont="1">
      <alignment horizontal="right" readingOrder="0" shrinkToFit="0" vertical="center" wrapText="0"/>
    </xf>
    <xf borderId="1" fillId="3" fontId="1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" numFmtId="1" xfId="0" applyAlignment="1" applyBorder="1" applyFont="1" applyNumberFormat="1">
      <alignment horizontal="center" readingOrder="0"/>
    </xf>
    <xf borderId="1" fillId="3" fontId="1" numFmtId="2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/>
    </xf>
    <xf borderId="1" fillId="0" fontId="1" numFmtId="2" xfId="0" applyAlignment="1" applyBorder="1" applyFont="1" applyNumberFormat="1">
      <alignment horizontal="center"/>
    </xf>
    <xf borderId="0" fillId="0" fontId="5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right" shrinkToFit="0" vertical="center" wrapText="0"/>
    </xf>
    <xf borderId="1" fillId="0" fontId="1" numFmtId="14" xfId="0" applyAlignment="1" applyBorder="1" applyFont="1" applyNumberFormat="1">
      <alignment horizontal="right" shrinkToFit="0" vertical="center" wrapText="0"/>
    </xf>
    <xf borderId="1" fillId="0" fontId="5" numFmtId="0" xfId="0" applyAlignment="1" applyBorder="1" applyFont="1">
      <alignment horizontal="right" shrinkToFit="0" vertical="center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2" fontId="16" numFmtId="0" xfId="0" applyAlignment="1" applyBorder="1" applyFont="1">
      <alignment horizontal="right" shrinkToFit="0" vertical="center" wrapText="0"/>
    </xf>
    <xf borderId="1" fillId="4" fontId="16" numFmtId="0" xfId="0" applyAlignment="1" applyBorder="1" applyFill="1" applyFont="1">
      <alignment horizontal="right" shrinkToFit="0" vertical="center" wrapText="0"/>
    </xf>
    <xf borderId="1" fillId="0" fontId="5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0" fontId="1" numFmtId="0" xfId="0" applyAlignment="1" applyBorder="1" applyFont="1">
      <alignment horizontal="right"/>
    </xf>
    <xf borderId="0" fillId="0" fontId="5" numFmtId="164" xfId="0" applyAlignment="1" applyFont="1" applyNumberFormat="1">
      <alignment horizontal="right"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tock 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su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ur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b us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dor Bal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99" displayName="Table2" name="Table2" id="1">
  <tableColumns count="3">
    <tableColumn name="Materials" id="1"/>
    <tableColumn name="GSM/Micron" id="2"/>
    <tableColumn name="Suppliers" id="3"/>
  </tableColumns>
  <tableStyleInfo name="Masters-style" showColumnStripes="0" showFirstColumn="1" showLastColumn="1" showRowStripes="1"/>
</table>
</file>

<file path=xl/tables/table2.xml><?xml version="1.0" encoding="utf-8"?>
<table xmlns="http://schemas.openxmlformats.org/spreadsheetml/2006/main" ref="A1:J438" displayName="Table1" name="Table1" id="2">
  <autoFilter ref="$A$1:$J$438"/>
  <tableColumns count="10">
    <tableColumn name="Date" id="1"/>
    <tableColumn name="Supplier" id="2"/>
    <tableColumn name="Material" id="3"/>
    <tableColumn name="GSM/Micron" id="4"/>
    <tableColumn name="Web Size (mm)" id="5"/>
    <tableColumn name="RMT In" id="6"/>
    <tableColumn name="Rate per Sq. Mtr" id="7"/>
    <tableColumn name="Sq. Mtr In" id="8"/>
    <tableColumn name="Value In" id="9"/>
    <tableColumn name="Column 1" id="10"/>
  </tableColumns>
  <tableStyleInfo name="Stock In-style" showColumnStripes="0" showFirstColumn="1" showLastColumn="1" showRowStripes="1"/>
</table>
</file>

<file path=xl/tables/table3.xml><?xml version="1.0" encoding="utf-8"?>
<table xmlns="http://schemas.openxmlformats.org/spreadsheetml/2006/main" ref="A1:K2005" displayName="Table3" name="Table3" id="3">
  <autoFilter ref="$A$1:$K$2005"/>
  <tableColumns count="11">
    <tableColumn name="Date" id="1"/>
    <tableColumn name="Job No." id="2"/>
    <tableColumn name="Material" id="3"/>
    <tableColumn name="GSM/Micron" id="4"/>
    <tableColumn name="Web Size (mm)" id="5"/>
    <tableColumn name="Supplier" id="6"/>
    <tableColumn name="Client" id="7"/>
    <tableColumn name="RMT Issued" id="8"/>
    <tableColumn name="Sq. Mtr Issued" id="9"/>
    <tableColumn name="Remarks" id="10"/>
    <tableColumn name="Column 1" id="11"/>
  </tableColumns>
  <tableStyleInfo name="Issues-style" showColumnStripes="0" showFirstColumn="1" showLastColumn="1" showRowStripes="1"/>
</table>
</file>

<file path=xl/tables/table4.xml><?xml version="1.0" encoding="utf-8"?>
<table xmlns="http://schemas.openxmlformats.org/spreadsheetml/2006/main" ref="A1:L995" displayName="Table4" name="Table4" id="4">
  <autoFilter ref="$A$1:$L$995"/>
  <tableColumns count="12">
    <tableColumn name="Date" id="1"/>
    <tableColumn name="Job No." id="2"/>
    <tableColumn name="Material" id="3"/>
    <tableColumn name="GSM/Micron" id="4"/>
    <tableColumn name="Web Size (mm)" id="5"/>
    <tableColumn name="Supplier" id="6"/>
    <tableColumn name="Client" id="7"/>
    <tableColumn name="RMT Returned" id="8"/>
    <tableColumn name="Column 11" id="9"/>
    <tableColumn name="Sq. Mtr Returned" id="10"/>
    <tableColumn name="Remarks" id="11"/>
    <tableColumn name="Column 1" id="12"/>
  </tableColumns>
  <tableStyleInfo name="Returns-style" showColumnStripes="0" showFirstColumn="1" showLastColumn="1" showRowStripes="1"/>
</table>
</file>

<file path=xl/tables/table5.xml><?xml version="1.0" encoding="utf-8"?>
<table xmlns="http://schemas.openxmlformats.org/spreadsheetml/2006/main" ref="A1:O977" displayName="Table5" name="Table5" id="5">
  <autoFilter ref="$A$1:$O$977">
    <filterColumn colId="0">
      <filters blank="1">
        <filter val="11/058"/>
        <filter val="11/059"/>
        <filter val="11/056"/>
        <filter val="11/057"/>
        <filter val="03/059"/>
        <filter val="11/054"/>
        <filter val="11/055"/>
        <filter val="09/120"/>
        <filter val="10/010"/>
        <filter val="03/056"/>
        <filter val="03/055"/>
        <filter val="09/122"/>
        <filter val="03/058"/>
        <filter val="09/121"/>
        <filter val="03/057"/>
        <filter val="09/124"/>
        <filter val="03/052"/>
        <filter val="09/123"/>
        <filter val="03/051"/>
        <filter val="09/126"/>
        <filter val="03/054"/>
        <filter val="09/125"/>
        <filter val="03/053"/>
        <filter val="09/128"/>
        <filter val="10/007"/>
        <filter val="09/127"/>
        <filter val="10/006"/>
        <filter val="03/061"/>
        <filter val="09/129"/>
        <filter val="02/009"/>
        <filter val="10/003"/>
        <filter val="12/097"/>
        <filter val="02/008"/>
        <filter val="10/002"/>
        <filter val="12/098"/>
        <filter val="02/007"/>
        <filter val="10/001"/>
        <filter val="12/099"/>
        <filter val="02/006"/>
        <filter val="02/005"/>
        <filter val="11/063"/>
        <filter val="02/004"/>
        <filter val="04/097"/>
        <filter val="11/064"/>
        <filter val="02/003"/>
        <filter val="11/061"/>
        <filter val="02/002"/>
        <filter val="04/095"/>
        <filter val="11/062"/>
        <filter val="02/001"/>
        <filter val="11/060"/>
        <filter val="10/009"/>
        <filter val="10/008"/>
        <filter val="11/049"/>
        <filter val="11/045"/>
        <filter val="11/046"/>
        <filter val="11/043"/>
        <filter val="11/044"/>
        <filter val="10/021"/>
        <filter val="12/093"/>
        <filter val="10/020"/>
        <filter val="12/094"/>
        <filter val="03/066"/>
        <filter val="09/111"/>
        <filter val="12/095"/>
        <filter val="03/069"/>
        <filter val="09/110"/>
        <filter val="12/096"/>
        <filter val="09/113"/>
        <filter val="03/063"/>
        <filter val="09/112"/>
        <filter val="12/090"/>
        <filter val="03/062"/>
        <filter val="09/115"/>
        <filter val="12/091"/>
        <filter val="03/065"/>
        <filter val="09/114"/>
        <filter val="12/092"/>
        <filter val="03/064"/>
        <filter val="09/117"/>
        <filter val="10/018"/>
        <filter val="09/116"/>
        <filter val="10/017"/>
        <filter val="09/119"/>
        <filter val="10/016"/>
        <filter val="03/072"/>
        <filter val="09/118"/>
        <filter val="10/015"/>
        <filter val="03/071"/>
        <filter val="10/014"/>
        <filter val="12/086"/>
        <filter val="10/013"/>
        <filter val="12/087"/>
        <filter val="10/012"/>
        <filter val="12/088"/>
        <filter val="10/011"/>
        <filter val="12/089"/>
        <filter val="11/052"/>
        <filter val="11/053"/>
        <filter val="11/050"/>
        <filter val="11/051"/>
        <filter val="10/019"/>
        <filter val="11/038"/>
        <filter val="11/039"/>
        <filter val="11/036"/>
        <filter val="11/037"/>
        <filter val="03/038"/>
        <filter val="04/082"/>
        <filter val="11/035"/>
        <filter val="03/037"/>
        <filter val="04/081"/>
        <filter val="09/140"/>
        <filter val="11/032"/>
        <filter val="04/080"/>
        <filter val="11/033"/>
        <filter val="03/039"/>
        <filter val="09/142"/>
        <filter val="12/082"/>
        <filter val="03/034"/>
        <filter val="09/141"/>
        <filter val="12/083"/>
        <filter val="03/033"/>
        <filter val="09/144"/>
        <filter val="12/084"/>
        <filter val="03/036"/>
        <filter val="09/143"/>
        <filter val="12/085"/>
        <filter val="03/035"/>
        <filter val="09/146"/>
        <filter val="03/030"/>
        <filter val="09/145"/>
        <filter val="09/148"/>
        <filter val="12/080"/>
        <filter val="03/032"/>
        <filter val="09/147"/>
        <filter val="12/081"/>
        <filter val="03/031"/>
        <filter val="12/079"/>
        <filter val="09/149"/>
        <filter val="12/075"/>
        <filter val="02/029"/>
        <filter val="11/041"/>
        <filter val="11/042"/>
        <filter val="04/074"/>
        <filter val="02/024"/>
        <filter val="11/040"/>
        <filter val="02/023"/>
        <filter val="04/079"/>
        <filter val="04/078"/>
        <filter val="02/020"/>
        <filter val="04/077"/>
        <filter val="04/076"/>
        <filter val="08/109"/>
        <filter val="11/027"/>
        <filter val="08/108"/>
        <filter val="11/028"/>
        <filter val="11/025"/>
        <filter val="08/106"/>
        <filter val="11/026"/>
        <filter val="11/023"/>
        <filter val="03/049"/>
        <filter val="11/024"/>
        <filter val="03/048"/>
        <filter val="04/092"/>
        <filter val="11/021"/>
        <filter val="04/091"/>
        <filter val="11/022"/>
        <filter val="04/090"/>
        <filter val="09/131"/>
        <filter val="12/071"/>
        <filter val="03/045"/>
        <filter val="09/130"/>
        <filter val="12/072"/>
        <filter val="03/044"/>
        <filter val="09/133"/>
        <filter val="12/073"/>
        <filter val="03/047"/>
        <filter val="09/132"/>
        <filter val="12/074"/>
        <filter val="03/046"/>
        <filter val="09/135"/>
        <filter val="03/041"/>
        <filter val="03/040"/>
        <filter val="11/029"/>
        <filter val="03/043"/>
        <filter val="12/070"/>
        <filter val="03/042"/>
        <filter val="12/068"/>
        <filter val="12/069"/>
        <filter val="03/050"/>
        <filter val="12/064"/>
        <filter val="02/019"/>
        <filter val="12/065"/>
        <filter val="12/066"/>
        <filter val="12/067"/>
        <filter val="11/030"/>
        <filter val="02/015"/>
        <filter val="04/086"/>
        <filter val="11/031"/>
        <filter val="02/014"/>
        <filter val="04/085"/>
        <filter val="02/013"/>
        <filter val="04/084"/>
        <filter val="02/012"/>
        <filter val="04/083"/>
        <filter val="08/105"/>
        <filter val="02/011"/>
        <filter val="08/104"/>
        <filter val="02/010"/>
        <filter val="04/089"/>
        <filter val="04/088"/>
        <filter val="04/087"/>
        <filter val="03/019"/>
        <filter val="08/117"/>
        <filter val="03/016"/>
        <filter val="03/015"/>
        <filter val="11/098"/>
        <filter val="03/018"/>
        <filter val="11/099"/>
        <filter val="03/017"/>
        <filter val="10/054"/>
        <filter val="03/012"/>
        <filter val="03/011"/>
        <filter val="10/052"/>
        <filter val="03/014"/>
        <filter val="10/051"/>
        <filter val="03/013"/>
        <filter val="03/010"/>
        <filter val="10/049"/>
        <filter val="04/059"/>
        <filter val="10/048"/>
        <filter val="04/058"/>
        <filter val="10/047"/>
        <filter val="10/045"/>
        <filter val="08/112"/>
        <filter val="04/053"/>
        <filter val="04/052"/>
        <filter val="08/110"/>
        <filter val="04/051"/>
        <filter val="04/050"/>
        <filter val="08/116"/>
        <filter val="08/115"/>
        <filter val="04/056"/>
        <filter val="08/114"/>
        <filter val="04/055"/>
        <filter val="08/113"/>
        <filter val="04/054"/>
        <filter val="08/128"/>
        <filter val="11/089"/>
        <filter val="03/027"/>
        <filter val="03/026"/>
        <filter val="09/150"/>
        <filter val="03/028"/>
        <filter val="10/065"/>
        <filter val="03/023"/>
        <filter val="10/064"/>
        <filter val="03/022"/>
        <filter val="10/063"/>
        <filter val="03/025"/>
        <filter val="10/062"/>
        <filter val="03/024"/>
        <filter val="10/061"/>
        <filter val="10/060"/>
        <filter val="03/020"/>
        <filter val="10/059"/>
        <filter val="04/069"/>
        <filter val="10/058"/>
        <filter val="10/057"/>
        <filter val="10/055"/>
        <filter val="11/096"/>
        <filter val="04/064"/>
        <filter val="08/122"/>
        <filter val="11/097"/>
        <filter val="04/063"/>
        <filter val="08/121"/>
        <filter val="04/062"/>
        <filter val="11/095"/>
        <filter val="04/061"/>
        <filter val="11/092"/>
        <filter val="11/093"/>
        <filter val="11/090"/>
        <filter val="11/091"/>
        <filter val="04/065"/>
        <filter val="11/078"/>
        <filter val="11/079"/>
        <filter val="11/077"/>
        <filter val="10/032"/>
        <filter val="10/031"/>
        <filter val="04/039"/>
        <filter val="10/028"/>
        <filter val="04/038"/>
        <filter val="10/027"/>
        <filter val="04/037"/>
        <filter val="10/026"/>
        <filter val="04/036"/>
        <filter val="08/130"/>
        <filter val="10/025"/>
        <filter val="10/024"/>
        <filter val="10/023"/>
        <filter val="10/022"/>
        <filter val="11/085"/>
        <filter val="04/031"/>
        <filter val="04/030"/>
        <filter val="11/084"/>
        <filter val="11/081"/>
        <filter val="04/035"/>
        <filter val="11/082"/>
        <filter val="04/033"/>
        <filter val="08/135"/>
        <filter val="11/080"/>
        <filter val="04/032"/>
        <filter val="03/009"/>
        <filter val="03/008"/>
        <filter val="11/069"/>
        <filter val="11/067"/>
        <filter val="03/005"/>
        <filter val="11/068"/>
        <filter val="03/004"/>
        <filter val="11/065"/>
        <filter val="03/007"/>
        <filter val="11/066"/>
        <filter val="03/006"/>
        <filter val="10/043"/>
        <filter val="03/001"/>
        <filter val="10/042"/>
        <filter val="10/041"/>
        <filter val="03/003"/>
        <filter val="10/040"/>
        <filter val="03/002"/>
        <filter val="10/039"/>
        <filter val="04/049"/>
        <filter val="10/038"/>
        <filter val="10/037"/>
        <filter val="10/036"/>
        <filter val="10/035"/>
        <filter val="10/034"/>
        <filter val="10/033"/>
        <filter val="11/074"/>
        <filter val="11/075"/>
        <filter val="04/041"/>
        <filter val="11/072"/>
        <filter val="04/040"/>
        <filter val="11/073"/>
        <filter val="11/070"/>
        <filter val="11/071"/>
        <filter val="04/045"/>
        <filter val="04/044"/>
        <filter val="04/043"/>
        <filter val="10/090"/>
        <filter val="02/095"/>
        <filter val="02/094"/>
        <filter val="02/093"/>
        <filter val="02/090"/>
        <filter val="10/098"/>
        <filter val="10/097"/>
        <filter val="10/096"/>
        <filter val="10/095"/>
        <filter val="10/094"/>
        <filter val="01/050"/>
        <filter val="10/093"/>
        <filter val="10/092"/>
        <filter val="10/091"/>
        <filter val="01/051"/>
        <filter val="01/043"/>
        <filter val="01/042"/>
        <filter val="01/045"/>
        <filter val="01/044"/>
        <filter val="01/047"/>
        <filter val="01/046"/>
        <filter val="10/089"/>
        <filter val="01/049"/>
        <filter val="10/088"/>
        <filter val="01/048"/>
        <filter val="02/089"/>
        <filter val="02/088"/>
        <filter val="02/087"/>
        <filter val="02/086"/>
        <filter val="02/084"/>
        <filter val="02/083"/>
        <filter val="02/082"/>
        <filter val="02/081"/>
        <filter val="01/041"/>
        <filter val="01/040"/>
        <filter val="01/032"/>
        <filter val="01/031"/>
        <filter val="01/034"/>
        <filter val="01/033"/>
        <filter val="01/036"/>
        <filter val="01/035"/>
        <filter val="01/038"/>
        <filter val="10/099"/>
        <filter val="01/037"/>
        <filter val="01/039"/>
        <filter val="02/078"/>
        <filter val="02/077"/>
        <filter val="02/076"/>
        <filter val="02/075"/>
        <filter val="02/074"/>
        <filter val="10/076"/>
        <filter val="10/075"/>
        <filter val="10/074"/>
        <filter val="01/070"/>
        <filter val="10/073"/>
        <filter val="10/072"/>
        <filter val="01/072"/>
        <filter val="10/071"/>
        <filter val="01/071"/>
        <filter val="10/070"/>
        <filter val="01/074"/>
        <filter val="01/073"/>
        <filter val="01/065"/>
        <filter val="01/064"/>
        <filter val="01/067"/>
        <filter val="01/066"/>
        <filter val="10/069"/>
        <filter val="01/069"/>
        <filter val="10/068"/>
        <filter val="01/068"/>
        <filter val="10/067"/>
        <filter val="10/066"/>
        <filter val="10/087"/>
        <filter val="10/086"/>
        <filter val="10/084"/>
        <filter val="10/083"/>
        <filter val="01/061"/>
        <filter val="10/082"/>
        <filter val="01/060"/>
        <filter val="10/081"/>
        <filter val="01/063"/>
        <filter val="10/080"/>
        <filter val="01/062"/>
        <filter val="01/054"/>
        <filter val="01/056"/>
        <filter val="01/055"/>
        <filter val="01/058"/>
        <filter val="10/079"/>
        <filter val="01/057"/>
        <filter val="10/078"/>
        <filter val="10/077"/>
        <filter val="01/059"/>
        <filter val="02/099"/>
        <filter val="02/098"/>
        <filter val="02/097"/>
        <filter val="02/096"/>
        <filter val="02/050"/>
        <filter val="03/099"/>
        <filter val="03/096"/>
        <filter val="03/095"/>
        <filter val="03/097"/>
        <filter val="01/001"/>
        <filter val="01/003"/>
        <filter val="01/002"/>
        <filter val="01/005"/>
        <filter val="01/004"/>
        <filter val="02/049"/>
        <filter val="01/007"/>
        <filter val="01/006"/>
        <filter val="01/009"/>
        <filter val="01/008"/>
        <filter val="02/044"/>
        <filter val="02/043"/>
        <filter val="02/042"/>
        <filter val="02/041"/>
        <filter val="02/040"/>
        <filter val="02/039"/>
        <filter val="02/038"/>
        <filter val="02/037"/>
        <filter val="02/036"/>
        <filter val="02/035"/>
        <filter val="02/034"/>
        <filter val="02/033"/>
        <filter val="02/032"/>
        <filter val="02/031"/>
        <filter val="02/030"/>
        <filter val="02/073"/>
        <filter val="02/072"/>
        <filter val="02/071"/>
        <filter val="02/070"/>
        <filter val="03/078"/>
        <filter val="03/077"/>
        <filter val="09/100"/>
        <filter val="03/079"/>
        <filter val="09/102"/>
        <filter val="03/074"/>
        <filter val="09/101"/>
        <filter val="03/073"/>
        <filter val="01/030"/>
        <filter val="09/103"/>
        <filter val="01/021"/>
        <filter val="03/081"/>
        <filter val="01/020"/>
        <filter val="03/080"/>
        <filter val="09/108"/>
        <filter val="01/023"/>
        <filter val="03/083"/>
        <filter val="01/022"/>
        <filter val="03/082"/>
        <filter val="01/025"/>
        <filter val="09/109"/>
        <filter val="01/024"/>
        <filter val="01/027"/>
        <filter val="01/026"/>
        <filter val="01/029"/>
        <filter val="01/028"/>
        <filter val="02/069"/>
        <filter val="02/068"/>
        <filter val="02/067"/>
        <filter val="02/065"/>
        <filter val="02/064"/>
        <filter val="02/063"/>
        <filter val="02/062"/>
        <filter val="02/060"/>
        <filter val="03/089"/>
        <filter val="03/088"/>
        <filter val="03/085"/>
        <filter val="03/084"/>
        <filter val="03/086"/>
        <filter val="01/010"/>
        <filter val="03/092"/>
        <filter val="03/091"/>
        <filter val="01/012"/>
        <filter val="03/094"/>
        <filter val="01/011"/>
        <filter val="03/093"/>
        <filter val="01/014"/>
        <filter val="01/013"/>
        <filter val="01/016"/>
        <filter val="03/090"/>
        <filter val="01/015"/>
        <filter val="01/018"/>
        <filter val="02/059"/>
        <filter val="01/017"/>
        <filter val="02/058"/>
        <filter val="02/057"/>
        <filter val="01/019"/>
        <filter val="02/056"/>
        <filter val="02/055"/>
        <filter val="02/054"/>
        <filter val="02/053"/>
        <filter val="01/092"/>
        <filter val="01/091"/>
        <filter val="01/094"/>
        <filter val="01/093"/>
        <filter val="01/096"/>
        <filter val="01/095"/>
        <filter val="01/087"/>
        <filter val="01/086"/>
        <filter val="01/081"/>
        <filter val="01/080"/>
        <filter val="01/082"/>
        <filter val="01/085"/>
        <filter val="01/084"/>
        <filter val="01/076"/>
        <filter val="01/075"/>
        <filter val="01/078"/>
        <filter val="01/077"/>
        <filter val="01/079"/>
        <filter val="01/098"/>
        <filter val="01/097"/>
        <filter val="01/099"/>
        <filter val="12/013"/>
        <filter val="12/014"/>
        <filter val="12/010"/>
        <filter val="12/011"/>
        <filter val="12/017"/>
        <filter val="12/018"/>
        <filter val="12/019"/>
        <filter val="03/108"/>
        <filter val="03/107"/>
        <filter val="03/109"/>
        <filter val="03/104"/>
        <filter val="03/103"/>
        <filter val="03/106"/>
        <filter val="03/105"/>
        <filter val="03/100"/>
        <filter val="03/102"/>
        <filter val="03/101"/>
        <filter val="12/002"/>
        <filter val="12/003"/>
        <filter val="12/004"/>
        <filter val="12/005"/>
        <filter val="12/001"/>
        <filter val="12/006"/>
        <filter val="12/007"/>
        <filter val="12/008"/>
        <filter val="12/009"/>
        <filter val="11/016"/>
        <filter val="11/017"/>
        <filter val="11/014"/>
        <filter val="11/015"/>
        <filter val="11/013"/>
        <filter val="11/010"/>
        <filter val="11/011"/>
        <filter val="12/060"/>
        <filter val="12/061"/>
        <filter val="12/062"/>
        <filter val="12/063"/>
        <filter val="12/057"/>
        <filter val="12/058"/>
        <filter val="12/059"/>
        <filter val="12/053"/>
        <filter val="12/055"/>
        <filter val="12/056"/>
        <filter val="11/006"/>
        <filter val="11/003"/>
        <filter val="11/004"/>
        <filter val="11/001"/>
        <filter val="11/002"/>
        <filter val="12/050"/>
        <filter val="12/052"/>
        <filter val="11/009"/>
        <filter val="11/007"/>
        <filter val="11/008"/>
        <filter val="12/046"/>
        <filter val="12/047"/>
        <filter val="12/048"/>
        <filter val="12/049"/>
        <filter val="04/102"/>
        <filter val="12/042"/>
        <filter val="12/043"/>
        <filter val="12/044"/>
        <filter val="12/045"/>
        <filter val="04/106"/>
        <filter val="04/101"/>
        <filter val="04/100"/>
        <filter val="12/040"/>
        <filter val="12/041"/>
        <filter val="12/035"/>
        <filter val="12/036"/>
        <filter val="12/037"/>
        <filter val="12/031"/>
        <filter val="12/032"/>
        <filter val="12/033"/>
        <filter val="12/034"/>
        <filter val="12/039"/>
        <filter val="07/181"/>
        <filter val="12/030"/>
        <filter val="12/024"/>
        <filter val="12/025"/>
        <filter val="12/026"/>
        <filter val="12/027"/>
        <filter val="12/022"/>
        <filter val="12/023"/>
        <filter val="12/028"/>
        <filter val="12/029"/>
        <filter val="09/001"/>
        <filter val="09/003"/>
        <filter val="09/005"/>
        <filter val="09/004"/>
        <filter val="09/007"/>
        <filter val="09/006"/>
        <filter val="09/009"/>
        <filter val="09/008"/>
        <filter val="02/128"/>
        <filter val="02/123"/>
        <filter val="02/122"/>
        <filter val="02/121"/>
        <filter val="02/120"/>
        <filter val="02/119"/>
        <filter val="02/118"/>
        <filter val="02/117"/>
        <filter val="02/115"/>
        <filter val="02/114"/>
        <filter val="02/113"/>
        <filter val="02/112"/>
        <filter val="02/111"/>
        <filter val="02/110"/>
        <filter val="09/023"/>
        <filter val="09/025"/>
        <filter val="09/024"/>
        <filter val="09/027"/>
        <filter val="09/026"/>
        <filter val="09/029"/>
        <filter val="10/106"/>
        <filter val="09/028"/>
        <filter val="10/105"/>
        <filter val="10/104"/>
        <filter val="01/100"/>
        <filter val="10/103"/>
        <filter val="10/102"/>
        <filter val="01/102"/>
        <filter val="10/101"/>
        <filter val="01/101"/>
        <filter val="10/100"/>
        <filter val="01/104"/>
        <filter val="01/103"/>
        <filter val="01/106"/>
        <filter val="01/105"/>
        <filter val="01/108"/>
        <filter val="01/107"/>
        <filter val="01/109"/>
        <filter val="10/108"/>
        <filter val="10/107"/>
        <filter val="09/010"/>
        <filter val="09/012"/>
        <filter val="09/011"/>
        <filter val="09/014"/>
        <filter val="09/013"/>
        <filter val="09/016"/>
        <filter val="09/015"/>
        <filter val="09/018"/>
        <filter val="09/017"/>
        <filter val="10/115"/>
        <filter val="09/019"/>
        <filter val="10/114"/>
        <filter val="10/113"/>
        <filter val="10/112"/>
        <filter val="02/139"/>
        <filter val="10/111"/>
        <filter val="10/110"/>
        <filter val="02/137"/>
        <filter val="02/136"/>
        <filter val="02/135"/>
        <filter val="02/132"/>
        <filter val="02/131"/>
        <filter val="02/130"/>
        <filter val="03/137"/>
        <filter val="03/136"/>
        <filter val="09/041"/>
        <filter val="09/040"/>
        <filter val="03/138"/>
        <filter val="03/133"/>
        <filter val="09/042"/>
        <filter val="09/045"/>
        <filter val="03/135"/>
        <filter val="09/044"/>
        <filter val="03/134"/>
        <filter val="09/047"/>
        <filter val="09/046"/>
        <filter val="03/131"/>
        <filter val="09/048"/>
        <filter val="03/130"/>
        <filter val="09/030"/>
        <filter val="09/032"/>
        <filter val="09/031"/>
        <filter val="09/033"/>
        <filter val="09/035"/>
        <filter val="09/038"/>
        <filter val="09/037"/>
        <filter val="09/039"/>
        <filter val="03/119"/>
        <filter val="03/118"/>
        <filter val="09/061"/>
        <filter val="03/115"/>
        <filter val="09/060"/>
        <filter val="03/114"/>
        <filter val="09/063"/>
        <filter val="03/117"/>
        <filter val="09/062"/>
        <filter val="09/065"/>
        <filter val="03/111"/>
        <filter val="09/064"/>
        <filter val="03/110"/>
        <filter val="09/067"/>
        <filter val="03/113"/>
        <filter val="09/066"/>
        <filter val="03/112"/>
        <filter val="09/069"/>
        <filter val="09/068"/>
        <filter val="02/109"/>
        <filter val="02/108"/>
        <filter val="02/107"/>
        <filter val="02/106"/>
        <filter val="02/105"/>
        <filter val="02/104"/>
        <filter val="02/103"/>
        <filter val="02/102"/>
        <filter val="02/101"/>
        <filter val="02/100"/>
        <filter val="03/129"/>
        <filter val="03/126"/>
        <filter val="03/125"/>
        <filter val="03/128"/>
        <filter val="03/127"/>
        <filter val="09/054"/>
        <filter val="03/122"/>
        <filter val="09/053"/>
        <filter val="03/121"/>
        <filter val="03/124"/>
        <filter val="09/055"/>
        <filter val="03/123"/>
        <filter val="09/058"/>
        <filter val="03/120"/>
        <filter val="09/059"/>
        <filter val="01/170"/>
        <filter val="01/163"/>
        <filter val="01/166"/>
        <filter val="01/168"/>
        <filter val="01/167"/>
        <filter val="01/169"/>
        <filter val="01/160"/>
        <filter val="01/162"/>
        <filter val="01/161"/>
        <filter val="01/153"/>
        <filter val="01/152"/>
        <filter val="01/155"/>
        <filter val="01/154"/>
        <filter val="01/157"/>
        <filter val="01/156"/>
        <filter val="01/159"/>
        <filter val="01/158"/>
        <filter val="01/126"/>
        <filter val="01/125"/>
        <filter val="01/128"/>
        <filter val="01/127"/>
        <filter val="01/111"/>
        <filter val="01/110"/>
        <filter val="01/112"/>
        <filter val="01/115"/>
        <filter val="01/116"/>
        <filter val="01/119"/>
        <filter val="01/118"/>
        <filter val="01/151"/>
        <filter val="01/150"/>
        <filter val="01/142"/>
        <filter val="01/141"/>
        <filter val="01/144"/>
        <filter val="01/146"/>
        <filter val="01/145"/>
        <filter val="01/148"/>
        <filter val="01/147"/>
        <filter val="01/149"/>
        <filter val="01/140"/>
        <filter val="01/135"/>
        <filter val="01/134"/>
        <filter val="01/137"/>
        <filter val="01/136"/>
        <filter val="01/139"/>
        <filter val="01/138"/>
        <filter val="09/081"/>
        <filter val="09/080"/>
        <filter val="09/083"/>
        <filter val="09/082"/>
        <filter val="09/085"/>
        <filter val="09/084"/>
        <filter val="09/087"/>
        <filter val="09/086"/>
        <filter val="09/089"/>
        <filter val="09/088"/>
        <filter val="04/017"/>
        <filter val="04/016"/>
        <filter val="04/015"/>
        <filter val="04/014"/>
        <filter val="04/019"/>
        <filter val="04/018"/>
        <filter val="04/013"/>
        <filter val="04/012"/>
        <filter val="04/011"/>
        <filter val="04/010"/>
        <filter val="09/070"/>
        <filter val="09/072"/>
        <filter val="09/071"/>
        <filter val="09/074"/>
        <filter val="09/073"/>
        <filter val="09/076"/>
        <filter val="09/075"/>
        <filter val="09/078"/>
        <filter val="09/077"/>
        <filter val="09/079"/>
        <filter val="12/123"/>
        <filter val="12/124"/>
        <filter val="12/125"/>
        <filter val="04/026"/>
        <filter val="12/126"/>
        <filter val="04/025"/>
        <filter val="12/120"/>
        <filter val="08/040"/>
        <filter val="12/121"/>
        <filter val="12/122"/>
        <filter val="04/029"/>
        <filter val="04/020"/>
        <filter val="12/127"/>
        <filter val="04/024"/>
        <filter val="04/023"/>
        <filter val="04/022"/>
        <filter val="12/115"/>
        <filter val="12/110"/>
        <filter val="12/111"/>
        <filter val="12/116"/>
        <filter val="12/117"/>
        <filter val="12/118"/>
        <filter val="12/119"/>
        <filter val="09/090"/>
        <filter val="09/092"/>
        <filter val="09/091"/>
        <filter val="09/094"/>
        <filter val="09/093"/>
        <filter val="09/098"/>
        <filter val="09/097"/>
        <filter val="09/099"/>
        <filter val="12/101"/>
        <filter val="04/006"/>
        <filter val="12/102"/>
        <filter val="04/005"/>
        <filter val="12/103"/>
        <filter val="04/004"/>
        <filter val="12/104"/>
        <filter val="04/003"/>
        <filter val="08/064"/>
        <filter val="04/009"/>
        <filter val="04/008"/>
        <filter val="08/061"/>
        <filter val="12/100"/>
        <filter val="04/007"/>
        <filter val="08/068"/>
        <filter val="12/109"/>
        <filter val="08/067"/>
        <filter val="08/065"/>
        <filter val="12/105"/>
        <filter val="04/002"/>
        <filter val="12/106"/>
        <filter val="04/001"/>
        <filter val="12/107"/>
        <filter val="12/108"/>
        <filter val="11/131"/>
        <filter val="11/132"/>
        <filter val="08/074"/>
        <filter val="11/126"/>
        <filter val="11/127"/>
        <filter val="11/124"/>
        <filter val="11/125"/>
        <filter val="11/122"/>
        <filter val="11/123"/>
        <filter val="11/120"/>
        <filter val="11/121"/>
        <filter val="11/128"/>
        <filter val="11/129"/>
        <filter val="11/130"/>
        <filter val="08/088"/>
        <filter val="08/087"/>
        <filter val="11/115"/>
        <filter val="11/116"/>
        <filter val="11/113"/>
        <filter val="11/114"/>
        <filter val="11/111"/>
        <filter val="11/112"/>
        <filter val="11/110"/>
        <filter val="11/119"/>
        <filter val="11/117"/>
        <filter val="11/118"/>
        <filter val="08/096"/>
        <filter val="08/095"/>
        <filter val="11/105"/>
        <filter val="11/102"/>
        <filter val="11/100"/>
        <filter val="11/101"/>
        <filter val="11/108"/>
        <filter val="11/109"/>
        <filter val="11/107"/>
      </filters>
    </filterColumn>
  </autoFilter>
  <tableColumns count="15">
    <tableColumn name="Column 1" id="1"/>
    <tableColumn name="Material" id="2"/>
    <tableColumn name="GSM/Micron" id="3"/>
    <tableColumn name="Web Size (mm)" id="4"/>
    <tableColumn name="Target RMT" id="5"/>
    <tableColumn name="Job Run RMT" id="6"/>
    <tableColumn name="RMT Issued" id="7"/>
    <tableColumn name="RMT Returned" id="8"/>
    <tableColumn name="Ok Quantity" id="9"/>
    <tableColumn name="Total Ups" id="10"/>
    <tableColumn name="Cylinder Size" id="11"/>
    <tableColumn name="Ok Quantity RMT" id="12"/>
    <tableColumn name="RMT Used" id="13"/>
    <tableColumn name="Wastage RMT" id="14"/>
    <tableColumn name="Wastage Sq. Mtr" id="15"/>
  </tableColumns>
  <tableStyleInfo name="Job usage-style" showColumnStripes="0" showFirstColumn="1" showLastColumn="1" showRowStripes="1"/>
</table>
</file>

<file path=xl/tables/table6.xml><?xml version="1.0" encoding="utf-8"?>
<table xmlns="http://schemas.openxmlformats.org/spreadsheetml/2006/main" ref="A1:K85" displayName="Table6" name="Table6" id="6">
  <autoFilter ref="$A$1:$K$85"/>
  <tableColumns count="11">
    <tableColumn name="Client" id="1"/>
    <tableColumn name="Material" id="2"/>
    <tableColumn name="GSM/Micron" id="3"/>
    <tableColumn name="Web Size (mm)" id="4"/>
    <tableColumn name="RMT In" id="5"/>
    <tableColumn name="RMT Issued" id="6"/>
    <tableColumn name="RMT Returned" id="7"/>
    <tableColumn name="RMT On‑Hand" id="8"/>
    <tableColumn name="Sq. Mtr On‑Hand" id="9"/>
    <tableColumn name="Avg Rate" id="10"/>
    <tableColumn name="Stock Value" id="11"/>
  </tableColumns>
  <tableStyleInfo name="Vendor Bal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2" max="2" width="16.63"/>
    <col customWidth="1" min="3" max="3" width="23.5"/>
  </cols>
  <sheetData>
    <row r="1" ht="22.5" customHeight="1">
      <c r="A1" s="1" t="s">
        <v>1</v>
      </c>
      <c r="B1" s="3" t="s">
        <v>3</v>
      </c>
      <c r="C1" s="3" t="s">
        <v>7</v>
      </c>
      <c r="D1" s="4"/>
      <c r="E1" s="4"/>
    </row>
    <row r="2" ht="22.5" customHeight="1">
      <c r="A2" s="7" t="s">
        <v>9</v>
      </c>
      <c r="B2" s="7">
        <v>80.0</v>
      </c>
      <c r="C2" s="7" t="s">
        <v>21</v>
      </c>
    </row>
    <row r="3" ht="22.5" customHeight="1">
      <c r="A3" s="7" t="s">
        <v>9</v>
      </c>
      <c r="B3" s="7">
        <v>80.0</v>
      </c>
      <c r="C3" s="7" t="s">
        <v>23</v>
      </c>
    </row>
    <row r="4" ht="22.5" customHeight="1">
      <c r="A4" s="7" t="s">
        <v>9</v>
      </c>
      <c r="B4" s="7">
        <v>80.0</v>
      </c>
      <c r="C4" s="7" t="s">
        <v>25</v>
      </c>
    </row>
    <row r="5" ht="22.5" customHeight="1">
      <c r="A5" s="7" t="s">
        <v>9</v>
      </c>
      <c r="B5" s="7">
        <v>80.0</v>
      </c>
      <c r="C5" s="7" t="s">
        <v>27</v>
      </c>
    </row>
    <row r="6" ht="22.5" customHeight="1">
      <c r="A6" s="7" t="s">
        <v>9</v>
      </c>
      <c r="B6" s="7">
        <v>80.0</v>
      </c>
      <c r="C6" s="7" t="s">
        <v>28</v>
      </c>
    </row>
    <row r="7" ht="22.5" customHeight="1">
      <c r="A7" s="7" t="s">
        <v>9</v>
      </c>
      <c r="B7" s="7">
        <v>80.0</v>
      </c>
      <c r="C7" s="7" t="s">
        <v>30</v>
      </c>
    </row>
    <row r="8" ht="22.5" customHeight="1">
      <c r="A8" s="7" t="s">
        <v>9</v>
      </c>
      <c r="B8" s="7">
        <v>80.0</v>
      </c>
      <c r="C8" s="7" t="s">
        <v>31</v>
      </c>
    </row>
    <row r="9" ht="22.5" customHeight="1">
      <c r="A9" s="7" t="s">
        <v>9</v>
      </c>
      <c r="B9" s="7">
        <v>80.0</v>
      </c>
      <c r="C9" s="7" t="s">
        <v>32</v>
      </c>
    </row>
    <row r="10" ht="22.5" customHeight="1">
      <c r="A10" s="7" t="s">
        <v>9</v>
      </c>
      <c r="B10" s="7">
        <v>80.0</v>
      </c>
      <c r="C10" s="7" t="s">
        <v>33</v>
      </c>
    </row>
    <row r="11" ht="22.5" customHeight="1">
      <c r="A11" s="7" t="s">
        <v>34</v>
      </c>
      <c r="B11" s="7">
        <v>120.0</v>
      </c>
      <c r="C11" s="7" t="s">
        <v>35</v>
      </c>
    </row>
    <row r="12" ht="22.5" customHeight="1">
      <c r="A12" s="7" t="s">
        <v>36</v>
      </c>
      <c r="B12" s="7">
        <v>70.0</v>
      </c>
      <c r="C12" s="7" t="s">
        <v>37</v>
      </c>
    </row>
    <row r="13" ht="22.5" customHeight="1">
      <c r="A13" s="7" t="s">
        <v>38</v>
      </c>
      <c r="B13" s="7">
        <v>125.0</v>
      </c>
      <c r="C13" s="7" t="s">
        <v>39</v>
      </c>
    </row>
    <row r="14" ht="22.5" customHeight="1">
      <c r="A14" s="7" t="s">
        <v>40</v>
      </c>
      <c r="B14" s="7">
        <v>80.0</v>
      </c>
      <c r="C14" s="7" t="s">
        <v>21</v>
      </c>
    </row>
    <row r="15" ht="22.5" customHeight="1">
      <c r="A15" s="7" t="s">
        <v>41</v>
      </c>
      <c r="B15" s="7">
        <v>150.0</v>
      </c>
      <c r="C15" s="7" t="s">
        <v>21</v>
      </c>
    </row>
    <row r="16" ht="22.5" customHeight="1">
      <c r="A16" s="7" t="s">
        <v>42</v>
      </c>
      <c r="B16" s="7">
        <v>50.0</v>
      </c>
      <c r="C16" s="7" t="s">
        <v>21</v>
      </c>
    </row>
    <row r="17" ht="22.5" customHeight="1">
      <c r="A17" s="7" t="s">
        <v>43</v>
      </c>
      <c r="B17" s="7">
        <v>50.0</v>
      </c>
      <c r="C17" s="7" t="s">
        <v>21</v>
      </c>
    </row>
    <row r="18" ht="22.5" customHeight="1">
      <c r="A18" s="7" t="s">
        <v>26</v>
      </c>
      <c r="B18" s="7">
        <v>80.0</v>
      </c>
      <c r="C18" s="7" t="s">
        <v>21</v>
      </c>
    </row>
    <row r="19" ht="22.5" customHeight="1">
      <c r="A19" s="7" t="s">
        <v>44</v>
      </c>
      <c r="B19" s="7">
        <v>150.0</v>
      </c>
      <c r="C19" s="7" t="s">
        <v>21</v>
      </c>
    </row>
    <row r="20" ht="22.5" customHeight="1">
      <c r="A20" s="7" t="s">
        <v>45</v>
      </c>
      <c r="B20" s="7">
        <v>50.0</v>
      </c>
      <c r="C20" s="7" t="s">
        <v>21</v>
      </c>
    </row>
    <row r="21" ht="22.5" customHeight="1">
      <c r="A21" s="7" t="s">
        <v>46</v>
      </c>
      <c r="B21" s="7">
        <v>50.0</v>
      </c>
      <c r="C21" s="7" t="s">
        <v>21</v>
      </c>
    </row>
    <row r="22" ht="22.5" customHeight="1">
      <c r="A22" s="7" t="s">
        <v>47</v>
      </c>
      <c r="B22" s="7">
        <v>50.0</v>
      </c>
      <c r="C22" s="7" t="s">
        <v>30</v>
      </c>
    </row>
    <row r="23" ht="22.5" customHeight="1">
      <c r="A23" s="7" t="s">
        <v>48</v>
      </c>
      <c r="B23" s="7">
        <v>120.0</v>
      </c>
      <c r="C23" s="7" t="s">
        <v>27</v>
      </c>
    </row>
    <row r="24" ht="22.5" customHeight="1">
      <c r="A24" s="7" t="s">
        <v>26</v>
      </c>
      <c r="B24" s="7">
        <v>80.0</v>
      </c>
      <c r="C24" s="7" t="s">
        <v>27</v>
      </c>
    </row>
    <row r="25" ht="22.5" customHeight="1">
      <c r="A25" s="7" t="s">
        <v>49</v>
      </c>
      <c r="B25" s="7">
        <v>80.0</v>
      </c>
      <c r="C25" s="7" t="s">
        <v>27</v>
      </c>
    </row>
    <row r="26" ht="22.5" customHeight="1">
      <c r="A26" s="7" t="s">
        <v>48</v>
      </c>
      <c r="B26" s="7">
        <v>80.0</v>
      </c>
      <c r="C26" s="7" t="s">
        <v>27</v>
      </c>
    </row>
    <row r="27" ht="22.5" customHeight="1">
      <c r="A27" s="7" t="s">
        <v>43</v>
      </c>
      <c r="B27" s="7">
        <v>50.0</v>
      </c>
      <c r="C27" s="7" t="s">
        <v>27</v>
      </c>
    </row>
    <row r="28" ht="22.5" customHeight="1">
      <c r="A28" s="7" t="s">
        <v>43</v>
      </c>
      <c r="B28" s="7">
        <v>50.0</v>
      </c>
      <c r="C28" s="7" t="s">
        <v>23</v>
      </c>
    </row>
    <row r="29" ht="22.5" customHeight="1">
      <c r="A29" s="7" t="s">
        <v>42</v>
      </c>
      <c r="B29" s="7">
        <v>50.0</v>
      </c>
      <c r="C29" s="7" t="s">
        <v>23</v>
      </c>
    </row>
    <row r="30" ht="22.5" customHeight="1">
      <c r="A30" s="7" t="s">
        <v>52</v>
      </c>
      <c r="B30" s="7">
        <v>50.0</v>
      </c>
      <c r="C30" s="7" t="s">
        <v>31</v>
      </c>
    </row>
    <row r="31" ht="22.5" customHeight="1">
      <c r="A31" s="7" t="s">
        <v>43</v>
      </c>
      <c r="B31" s="7">
        <v>50.0</v>
      </c>
      <c r="C31" s="7" t="s">
        <v>31</v>
      </c>
    </row>
    <row r="32" ht="22.5" customHeight="1">
      <c r="A32" s="7" t="s">
        <v>42</v>
      </c>
      <c r="B32" s="7">
        <v>50.0</v>
      </c>
      <c r="C32" s="7" t="s">
        <v>31</v>
      </c>
    </row>
    <row r="33" ht="22.5" customHeight="1">
      <c r="A33" s="7" t="s">
        <v>54</v>
      </c>
      <c r="B33" s="7">
        <v>40.0</v>
      </c>
      <c r="C33" s="7" t="s">
        <v>55</v>
      </c>
    </row>
    <row r="34" ht="22.5" customHeight="1">
      <c r="A34" s="7" t="s">
        <v>42</v>
      </c>
      <c r="B34" s="7">
        <v>50.0</v>
      </c>
      <c r="C34" s="7" t="s">
        <v>32</v>
      </c>
    </row>
    <row r="35" ht="22.5" customHeight="1">
      <c r="A35" s="7" t="s">
        <v>56</v>
      </c>
      <c r="B35" s="7">
        <v>80.0</v>
      </c>
      <c r="C35" s="7" t="s">
        <v>32</v>
      </c>
    </row>
    <row r="36" ht="22.5" customHeight="1">
      <c r="A36" s="7" t="s">
        <v>57</v>
      </c>
      <c r="B36" s="7">
        <v>70.0</v>
      </c>
      <c r="C36" s="7" t="s">
        <v>33</v>
      </c>
    </row>
    <row r="37" ht="22.5" customHeight="1">
      <c r="A37" s="7" t="s">
        <v>59</v>
      </c>
      <c r="B37" s="7">
        <v>50.0</v>
      </c>
      <c r="C37" s="7" t="s">
        <v>33</v>
      </c>
    </row>
    <row r="38" ht="22.5" customHeight="1">
      <c r="A38" s="7" t="s">
        <v>60</v>
      </c>
      <c r="B38" s="7">
        <v>50.0</v>
      </c>
      <c r="C38" s="7" t="s">
        <v>33</v>
      </c>
    </row>
    <row r="39" ht="22.5" customHeight="1">
      <c r="A39" s="7" t="s">
        <v>61</v>
      </c>
      <c r="B39" s="7">
        <v>50.0</v>
      </c>
      <c r="C39" s="7" t="s">
        <v>25</v>
      </c>
    </row>
    <row r="40" ht="22.5" customHeight="1">
      <c r="A40" s="7" t="s">
        <v>62</v>
      </c>
      <c r="B40" s="7">
        <v>80.0</v>
      </c>
      <c r="C40" s="7" t="s">
        <v>63</v>
      </c>
    </row>
    <row r="41" ht="22.5" customHeight="1">
      <c r="A41" s="7" t="s">
        <v>9</v>
      </c>
      <c r="B41" s="7">
        <v>60.0</v>
      </c>
      <c r="C41" s="7" t="s">
        <v>21</v>
      </c>
    </row>
    <row r="42" ht="22.5" customHeight="1">
      <c r="A42" s="7" t="s">
        <v>65</v>
      </c>
      <c r="B42" s="7">
        <v>40.0</v>
      </c>
      <c r="C42" s="7" t="s">
        <v>66</v>
      </c>
    </row>
    <row r="43" ht="22.5" customHeight="1">
      <c r="A43" s="7" t="s">
        <v>67</v>
      </c>
      <c r="B43" s="7">
        <v>23.0</v>
      </c>
      <c r="C43" s="7" t="s">
        <v>69</v>
      </c>
    </row>
    <row r="44" ht="22.5" customHeight="1">
      <c r="A44" s="7" t="s">
        <v>70</v>
      </c>
      <c r="B44" s="7">
        <v>250.0</v>
      </c>
      <c r="C44" s="7" t="s">
        <v>71</v>
      </c>
    </row>
    <row r="45" ht="22.5" customHeight="1">
      <c r="A45" s="7" t="s">
        <v>72</v>
      </c>
      <c r="B45" s="7">
        <v>12.0</v>
      </c>
      <c r="C45" s="7" t="s">
        <v>73</v>
      </c>
    </row>
    <row r="46" ht="22.5" customHeight="1">
      <c r="A46" s="7" t="s">
        <v>74</v>
      </c>
      <c r="B46" s="7">
        <v>60.0</v>
      </c>
      <c r="C46" s="7" t="s">
        <v>27</v>
      </c>
    </row>
    <row r="47" ht="22.5" customHeight="1">
      <c r="A47" s="7" t="s">
        <v>75</v>
      </c>
      <c r="B47" s="7">
        <v>105.0</v>
      </c>
      <c r="C47" s="7" t="s">
        <v>76</v>
      </c>
    </row>
    <row r="48" ht="22.5" customHeight="1">
      <c r="A48" s="7" t="s">
        <v>77</v>
      </c>
      <c r="B48" s="7">
        <v>230.0</v>
      </c>
      <c r="C48" s="7" t="s">
        <v>21</v>
      </c>
    </row>
    <row r="49" ht="22.5" customHeight="1">
      <c r="A49" s="7" t="s">
        <v>26</v>
      </c>
      <c r="B49" s="27"/>
      <c r="C49" s="7" t="s">
        <v>78</v>
      </c>
    </row>
    <row r="50" ht="22.5" customHeight="1">
      <c r="A50" s="7" t="s">
        <v>79</v>
      </c>
      <c r="B50" s="27"/>
      <c r="C50" s="7" t="s">
        <v>80</v>
      </c>
    </row>
    <row r="51" ht="22.5" customHeight="1">
      <c r="A51" s="7" t="s">
        <v>81</v>
      </c>
      <c r="B51" s="7">
        <v>80.0</v>
      </c>
      <c r="C51" s="7" t="s">
        <v>27</v>
      </c>
    </row>
    <row r="52" ht="22.5" customHeight="1">
      <c r="A52" s="7" t="s">
        <v>82</v>
      </c>
      <c r="B52" s="7">
        <v>80.0</v>
      </c>
      <c r="C52" s="7" t="s">
        <v>21</v>
      </c>
    </row>
    <row r="53" ht="22.5" customHeight="1">
      <c r="A53" s="27"/>
      <c r="B53" s="27"/>
      <c r="C53" s="27"/>
    </row>
    <row r="54" ht="22.5" customHeight="1">
      <c r="A54" s="27"/>
      <c r="B54" s="27"/>
      <c r="C54" s="27"/>
    </row>
    <row r="55" ht="22.5" customHeight="1">
      <c r="A55" s="27"/>
      <c r="B55" s="27"/>
      <c r="C55" s="27"/>
    </row>
    <row r="56" ht="22.5" customHeight="1">
      <c r="A56" s="27"/>
      <c r="B56" s="27"/>
      <c r="C56" s="27"/>
    </row>
    <row r="57" ht="22.5" customHeight="1">
      <c r="A57" s="27"/>
      <c r="B57" s="27"/>
      <c r="C57" s="27"/>
    </row>
    <row r="58" ht="22.5" customHeight="1">
      <c r="A58" s="27"/>
      <c r="B58" s="27"/>
      <c r="C58" s="27"/>
    </row>
    <row r="59" ht="22.5" customHeight="1">
      <c r="A59" s="27"/>
      <c r="B59" s="27"/>
      <c r="C59" s="27"/>
    </row>
    <row r="60" ht="22.5" customHeight="1">
      <c r="A60" s="27"/>
      <c r="B60" s="27"/>
      <c r="C60" s="27"/>
    </row>
    <row r="61" ht="22.5" customHeight="1">
      <c r="A61" s="27"/>
      <c r="B61" s="27"/>
      <c r="C61" s="27"/>
    </row>
    <row r="62" ht="22.5" customHeight="1">
      <c r="A62" s="27"/>
      <c r="B62" s="27"/>
      <c r="C62" s="27"/>
    </row>
    <row r="63" ht="22.5" customHeight="1">
      <c r="A63" s="27"/>
      <c r="B63" s="27"/>
      <c r="C63" s="27"/>
    </row>
    <row r="64" ht="22.5" customHeight="1">
      <c r="A64" s="27"/>
      <c r="B64" s="27"/>
      <c r="C64" s="27"/>
    </row>
    <row r="65" ht="22.5" customHeight="1">
      <c r="A65" s="27"/>
      <c r="B65" s="27"/>
      <c r="C65" s="27"/>
    </row>
    <row r="66" ht="22.5" customHeight="1">
      <c r="A66" s="27"/>
      <c r="B66" s="27"/>
      <c r="C66" s="27"/>
    </row>
    <row r="67" ht="22.5" customHeight="1">
      <c r="A67" s="27"/>
      <c r="B67" s="27"/>
      <c r="C67" s="27"/>
    </row>
    <row r="68" ht="22.5" customHeight="1">
      <c r="A68" s="27"/>
      <c r="B68" s="27"/>
      <c r="C68" s="27"/>
    </row>
    <row r="69" ht="22.5" customHeight="1">
      <c r="A69" s="27"/>
      <c r="B69" s="27"/>
      <c r="C69" s="27"/>
    </row>
    <row r="70" ht="22.5" customHeight="1">
      <c r="A70" s="27"/>
      <c r="B70" s="27"/>
      <c r="C70" s="27"/>
    </row>
    <row r="71" ht="22.5" customHeight="1">
      <c r="A71" s="27"/>
      <c r="B71" s="27"/>
      <c r="C71" s="27"/>
    </row>
    <row r="72" ht="22.5" customHeight="1">
      <c r="A72" s="27"/>
      <c r="B72" s="27"/>
      <c r="C72" s="27"/>
    </row>
    <row r="73" ht="22.5" customHeight="1">
      <c r="A73" s="27"/>
      <c r="B73" s="27"/>
      <c r="C73" s="27"/>
    </row>
    <row r="74" ht="22.5" customHeight="1">
      <c r="A74" s="27"/>
      <c r="B74" s="27"/>
      <c r="C74" s="27"/>
    </row>
    <row r="75" ht="22.5" customHeight="1">
      <c r="A75" s="27"/>
      <c r="B75" s="27"/>
      <c r="C75" s="27"/>
    </row>
    <row r="76" ht="22.5" customHeight="1">
      <c r="A76" s="27"/>
      <c r="B76" s="27"/>
      <c r="C76" s="27"/>
    </row>
    <row r="77" ht="22.5" customHeight="1">
      <c r="A77" s="27"/>
      <c r="B77" s="27"/>
      <c r="C77" s="27"/>
    </row>
    <row r="78" ht="22.5" customHeight="1">
      <c r="A78" s="27"/>
      <c r="B78" s="27"/>
      <c r="C78" s="27"/>
    </row>
    <row r="79" ht="22.5" customHeight="1">
      <c r="A79" s="27"/>
      <c r="B79" s="27"/>
      <c r="C79" s="27"/>
    </row>
    <row r="80" ht="22.5" customHeight="1">
      <c r="A80" s="27"/>
      <c r="B80" s="27"/>
      <c r="C80" s="27"/>
    </row>
    <row r="81" ht="22.5" customHeight="1">
      <c r="A81" s="27"/>
      <c r="B81" s="27"/>
      <c r="C81" s="27"/>
    </row>
    <row r="82" ht="22.5" customHeight="1">
      <c r="A82" s="27"/>
      <c r="B82" s="27"/>
      <c r="C82" s="27"/>
    </row>
    <row r="83" ht="22.5" customHeight="1">
      <c r="A83" s="27"/>
      <c r="B83" s="27"/>
      <c r="C83" s="27"/>
    </row>
    <row r="84" ht="22.5" customHeight="1">
      <c r="A84" s="27"/>
      <c r="B84" s="27"/>
      <c r="C84" s="27"/>
    </row>
    <row r="85" ht="22.5" customHeight="1">
      <c r="A85" s="27"/>
      <c r="B85" s="27"/>
      <c r="C85" s="27"/>
    </row>
    <row r="86" ht="22.5" customHeight="1">
      <c r="A86" s="27"/>
      <c r="B86" s="27"/>
      <c r="C86" s="27"/>
    </row>
    <row r="87" ht="22.5" customHeight="1">
      <c r="A87" s="27"/>
      <c r="B87" s="27"/>
      <c r="C87" s="27"/>
    </row>
    <row r="88" ht="22.5" customHeight="1">
      <c r="A88" s="27"/>
      <c r="B88" s="27"/>
      <c r="C88" s="27"/>
    </row>
    <row r="89" ht="22.5" customHeight="1">
      <c r="A89" s="27"/>
      <c r="B89" s="27"/>
      <c r="C89" s="27"/>
    </row>
    <row r="90" ht="22.5" customHeight="1">
      <c r="A90" s="27"/>
      <c r="B90" s="27"/>
      <c r="C90" s="27"/>
    </row>
    <row r="91" ht="22.5" customHeight="1">
      <c r="A91" s="27"/>
      <c r="B91" s="27"/>
      <c r="C91" s="27"/>
    </row>
    <row r="92" ht="22.5" customHeight="1">
      <c r="A92" s="27"/>
      <c r="B92" s="27"/>
      <c r="C92" s="27"/>
    </row>
    <row r="93" ht="22.5" customHeight="1">
      <c r="A93" s="27"/>
      <c r="B93" s="27"/>
      <c r="C93" s="27"/>
    </row>
    <row r="94" ht="22.5" customHeight="1">
      <c r="A94" s="27"/>
      <c r="B94" s="27"/>
      <c r="C94" s="27"/>
    </row>
    <row r="95" ht="22.5" customHeight="1">
      <c r="A95" s="27"/>
      <c r="B95" s="27"/>
      <c r="C95" s="27"/>
    </row>
    <row r="96" ht="22.5" customHeight="1">
      <c r="A96" s="27"/>
      <c r="B96" s="27"/>
      <c r="C96" s="27"/>
    </row>
    <row r="97" ht="22.5" customHeight="1">
      <c r="A97" s="27"/>
      <c r="B97" s="27"/>
      <c r="C97" s="27"/>
    </row>
    <row r="98" ht="22.5" customHeight="1">
      <c r="A98" s="27"/>
      <c r="B98" s="27"/>
      <c r="C98" s="27"/>
    </row>
    <row r="99" ht="22.5" customHeight="1">
      <c r="A99" s="27"/>
      <c r="B99" s="27"/>
      <c r="C99" s="27"/>
    </row>
    <row r="100" ht="22.5" customHeight="1">
      <c r="A100" s="27"/>
      <c r="B100" s="27"/>
      <c r="C100" s="27"/>
    </row>
    <row r="101" ht="22.5" customHeight="1">
      <c r="A101" s="27"/>
      <c r="B101" s="27"/>
      <c r="C101" s="27"/>
    </row>
    <row r="102" ht="22.5" customHeight="1">
      <c r="A102" s="27"/>
      <c r="B102" s="27"/>
      <c r="C102" s="27"/>
    </row>
    <row r="103" ht="22.5" customHeight="1">
      <c r="A103" s="27"/>
      <c r="B103" s="27"/>
      <c r="C103" s="27"/>
    </row>
    <row r="104" ht="22.5" customHeight="1">
      <c r="A104" s="27"/>
      <c r="B104" s="27"/>
      <c r="C104" s="27"/>
    </row>
    <row r="105" ht="22.5" customHeight="1">
      <c r="A105" s="27"/>
      <c r="B105" s="27"/>
      <c r="C105" s="27"/>
    </row>
    <row r="106" ht="22.5" customHeight="1">
      <c r="A106" s="27"/>
      <c r="B106" s="27"/>
      <c r="C106" s="27"/>
    </row>
    <row r="107" ht="22.5" customHeight="1">
      <c r="A107" s="27"/>
      <c r="B107" s="27"/>
      <c r="C107" s="27"/>
    </row>
    <row r="108" ht="22.5" customHeight="1">
      <c r="A108" s="27"/>
      <c r="B108" s="27"/>
      <c r="C108" s="27"/>
    </row>
    <row r="109" ht="22.5" customHeight="1">
      <c r="A109" s="27"/>
      <c r="B109" s="27"/>
      <c r="C109" s="27"/>
    </row>
    <row r="110" ht="22.5" customHeight="1">
      <c r="A110" s="27"/>
      <c r="B110" s="27"/>
      <c r="C110" s="27"/>
    </row>
    <row r="111" ht="22.5" customHeight="1">
      <c r="A111" s="27"/>
      <c r="B111" s="27"/>
      <c r="C111" s="27"/>
    </row>
    <row r="112" ht="22.5" customHeight="1">
      <c r="A112" s="27"/>
      <c r="B112" s="27"/>
      <c r="C112" s="27"/>
    </row>
    <row r="113" ht="22.5" customHeight="1">
      <c r="A113" s="27"/>
      <c r="B113" s="27"/>
      <c r="C113" s="27"/>
    </row>
    <row r="114" ht="22.5" customHeight="1">
      <c r="A114" s="27"/>
      <c r="B114" s="27"/>
      <c r="C114" s="27"/>
    </row>
    <row r="115" ht="22.5" customHeight="1">
      <c r="A115" s="27"/>
      <c r="B115" s="27"/>
      <c r="C115" s="27"/>
    </row>
    <row r="116" ht="22.5" customHeight="1">
      <c r="A116" s="27"/>
      <c r="B116" s="27"/>
      <c r="C116" s="27"/>
    </row>
    <row r="117" ht="22.5" customHeight="1">
      <c r="A117" s="27"/>
      <c r="B117" s="27"/>
      <c r="C117" s="27"/>
    </row>
    <row r="118" ht="22.5" customHeight="1">
      <c r="A118" s="27"/>
      <c r="B118" s="27"/>
      <c r="C118" s="27"/>
    </row>
    <row r="119" ht="22.5" customHeight="1">
      <c r="A119" s="27"/>
      <c r="B119" s="27"/>
      <c r="C119" s="27"/>
    </row>
    <row r="120" ht="22.5" customHeight="1">
      <c r="A120" s="27"/>
      <c r="B120" s="27"/>
      <c r="C120" s="27"/>
    </row>
    <row r="121" ht="22.5" customHeight="1">
      <c r="A121" s="27"/>
      <c r="B121" s="27"/>
      <c r="C121" s="27"/>
    </row>
    <row r="122" ht="22.5" customHeight="1">
      <c r="A122" s="27"/>
      <c r="B122" s="27"/>
      <c r="C122" s="27"/>
    </row>
    <row r="123" ht="22.5" customHeight="1">
      <c r="A123" s="27"/>
      <c r="B123" s="27"/>
      <c r="C123" s="27"/>
    </row>
    <row r="124" ht="22.5" customHeight="1">
      <c r="A124" s="27"/>
      <c r="B124" s="27"/>
      <c r="C124" s="27"/>
    </row>
    <row r="125" ht="22.5" customHeight="1">
      <c r="A125" s="27"/>
      <c r="B125" s="27"/>
      <c r="C125" s="27"/>
    </row>
    <row r="126" ht="22.5" customHeight="1">
      <c r="A126" s="27"/>
      <c r="B126" s="27"/>
      <c r="C126" s="27"/>
    </row>
    <row r="127" ht="22.5" customHeight="1">
      <c r="A127" s="27"/>
      <c r="B127" s="27"/>
      <c r="C127" s="27"/>
    </row>
    <row r="128" ht="22.5" customHeight="1">
      <c r="A128" s="27"/>
      <c r="B128" s="27"/>
      <c r="C128" s="27"/>
    </row>
    <row r="129" ht="22.5" customHeight="1">
      <c r="A129" s="27"/>
      <c r="B129" s="27"/>
      <c r="C129" s="27"/>
    </row>
    <row r="130" ht="22.5" customHeight="1">
      <c r="A130" s="27"/>
      <c r="B130" s="27"/>
      <c r="C130" s="27"/>
    </row>
    <row r="131" ht="22.5" customHeight="1">
      <c r="A131" s="27"/>
      <c r="B131" s="27"/>
      <c r="C131" s="27"/>
    </row>
    <row r="132" ht="22.5" customHeight="1">
      <c r="A132" s="27"/>
      <c r="B132" s="27"/>
      <c r="C132" s="27"/>
    </row>
    <row r="133" ht="22.5" customHeight="1">
      <c r="A133" s="27"/>
      <c r="B133" s="27"/>
      <c r="C133" s="27"/>
    </row>
    <row r="134" ht="22.5" customHeight="1">
      <c r="A134" s="27"/>
      <c r="B134" s="27"/>
      <c r="C134" s="27"/>
    </row>
    <row r="135" ht="22.5" customHeight="1">
      <c r="A135" s="27"/>
      <c r="B135" s="27"/>
      <c r="C135" s="27"/>
    </row>
    <row r="136" ht="22.5" customHeight="1">
      <c r="A136" s="27"/>
      <c r="B136" s="27"/>
      <c r="C136" s="27"/>
    </row>
    <row r="137" ht="22.5" customHeight="1">
      <c r="A137" s="27"/>
      <c r="B137" s="27"/>
      <c r="C137" s="27"/>
    </row>
    <row r="138" ht="22.5" customHeight="1">
      <c r="A138" s="27"/>
      <c r="B138" s="27"/>
      <c r="C138" s="27"/>
    </row>
    <row r="139" ht="22.5" customHeight="1">
      <c r="A139" s="27"/>
      <c r="B139" s="27"/>
      <c r="C139" s="27"/>
    </row>
    <row r="140" ht="22.5" customHeight="1">
      <c r="A140" s="27"/>
      <c r="B140" s="27"/>
      <c r="C140" s="27"/>
    </row>
    <row r="141" ht="22.5" customHeight="1">
      <c r="A141" s="27"/>
      <c r="B141" s="27"/>
      <c r="C141" s="27"/>
    </row>
    <row r="142" ht="22.5" customHeight="1">
      <c r="A142" s="27"/>
      <c r="B142" s="27"/>
      <c r="C142" s="27"/>
    </row>
    <row r="143" ht="22.5" customHeight="1">
      <c r="A143" s="27"/>
      <c r="B143" s="27"/>
      <c r="C143" s="27"/>
    </row>
    <row r="144" ht="22.5" customHeight="1">
      <c r="A144" s="27"/>
      <c r="B144" s="27"/>
      <c r="C144" s="27"/>
    </row>
    <row r="145" ht="22.5" customHeight="1">
      <c r="A145" s="27"/>
      <c r="B145" s="27"/>
      <c r="C145" s="27"/>
    </row>
    <row r="146" ht="22.5" customHeight="1">
      <c r="A146" s="27"/>
      <c r="B146" s="27"/>
      <c r="C146" s="27"/>
    </row>
    <row r="147" ht="22.5" customHeight="1">
      <c r="A147" s="27"/>
      <c r="B147" s="27"/>
      <c r="C147" s="27"/>
    </row>
    <row r="148" ht="22.5" customHeight="1">
      <c r="A148" s="27"/>
      <c r="B148" s="27"/>
      <c r="C148" s="27"/>
    </row>
    <row r="149" ht="22.5" customHeight="1">
      <c r="A149" s="27"/>
      <c r="B149" s="27"/>
      <c r="C149" s="27"/>
    </row>
    <row r="150" ht="22.5" customHeight="1">
      <c r="A150" s="27"/>
      <c r="B150" s="27"/>
      <c r="C150" s="27"/>
    </row>
    <row r="151" ht="22.5" customHeight="1">
      <c r="A151" s="27"/>
      <c r="B151" s="27"/>
      <c r="C151" s="27"/>
    </row>
    <row r="152" ht="22.5" customHeight="1">
      <c r="A152" s="27"/>
      <c r="B152" s="27"/>
      <c r="C152" s="27"/>
    </row>
    <row r="153" ht="22.5" customHeight="1">
      <c r="A153" s="27"/>
      <c r="B153" s="27"/>
      <c r="C153" s="27"/>
    </row>
    <row r="154" ht="22.5" customHeight="1">
      <c r="A154" s="27"/>
      <c r="B154" s="27"/>
      <c r="C154" s="27"/>
    </row>
    <row r="155" ht="22.5" customHeight="1">
      <c r="A155" s="27"/>
      <c r="B155" s="27"/>
      <c r="C155" s="27"/>
    </row>
    <row r="156" ht="22.5" customHeight="1">
      <c r="A156" s="27"/>
      <c r="B156" s="27"/>
      <c r="C156" s="27"/>
    </row>
    <row r="157" ht="22.5" customHeight="1">
      <c r="A157" s="27"/>
      <c r="B157" s="27"/>
      <c r="C157" s="27"/>
    </row>
    <row r="158" ht="22.5" customHeight="1">
      <c r="A158" s="27"/>
      <c r="B158" s="27"/>
      <c r="C158" s="27"/>
    </row>
    <row r="159" ht="22.5" customHeight="1">
      <c r="A159" s="27"/>
      <c r="B159" s="27"/>
      <c r="C159" s="27"/>
    </row>
    <row r="160" ht="22.5" customHeight="1">
      <c r="A160" s="27"/>
      <c r="B160" s="27"/>
      <c r="C160" s="27"/>
    </row>
    <row r="161" ht="22.5" customHeight="1">
      <c r="A161" s="27"/>
      <c r="B161" s="27"/>
      <c r="C161" s="27"/>
    </row>
    <row r="162" ht="22.5" customHeight="1">
      <c r="A162" s="27"/>
      <c r="B162" s="27"/>
      <c r="C162" s="27"/>
    </row>
    <row r="163" ht="22.5" customHeight="1">
      <c r="A163" s="27"/>
      <c r="B163" s="27"/>
      <c r="C163" s="27"/>
    </row>
    <row r="164" ht="22.5" customHeight="1">
      <c r="A164" s="27"/>
      <c r="B164" s="27"/>
      <c r="C164" s="27"/>
    </row>
    <row r="165" ht="22.5" customHeight="1">
      <c r="A165" s="27"/>
      <c r="B165" s="27"/>
      <c r="C165" s="27"/>
    </row>
    <row r="166" ht="22.5" customHeight="1">
      <c r="A166" s="27"/>
      <c r="B166" s="27"/>
      <c r="C166" s="27"/>
    </row>
    <row r="167" ht="22.5" customHeight="1">
      <c r="A167" s="27"/>
      <c r="B167" s="27"/>
      <c r="C167" s="27"/>
    </row>
    <row r="168" ht="22.5" customHeight="1">
      <c r="A168" s="27"/>
      <c r="B168" s="27"/>
      <c r="C168" s="27"/>
    </row>
    <row r="169" ht="22.5" customHeight="1">
      <c r="A169" s="27"/>
      <c r="B169" s="27"/>
      <c r="C169" s="27"/>
    </row>
    <row r="170" ht="22.5" customHeight="1">
      <c r="A170" s="27"/>
      <c r="B170" s="27"/>
      <c r="C170" s="27"/>
    </row>
    <row r="171" ht="22.5" customHeight="1">
      <c r="A171" s="27"/>
      <c r="B171" s="27"/>
      <c r="C171" s="27"/>
    </row>
    <row r="172" ht="22.5" customHeight="1">
      <c r="A172" s="27"/>
      <c r="B172" s="27"/>
      <c r="C172" s="27"/>
    </row>
    <row r="173" ht="22.5" customHeight="1">
      <c r="A173" s="27"/>
      <c r="B173" s="27"/>
      <c r="C173" s="27"/>
    </row>
    <row r="174" ht="22.5" customHeight="1">
      <c r="A174" s="27"/>
      <c r="B174" s="27"/>
      <c r="C174" s="27"/>
    </row>
    <row r="175" ht="22.5" customHeight="1">
      <c r="A175" s="27"/>
      <c r="B175" s="27"/>
      <c r="C175" s="27"/>
    </row>
    <row r="176" ht="22.5" customHeight="1">
      <c r="A176" s="27"/>
      <c r="B176" s="27"/>
      <c r="C176" s="27"/>
    </row>
    <row r="177" ht="22.5" customHeight="1">
      <c r="A177" s="27"/>
      <c r="B177" s="27"/>
      <c r="C177" s="27"/>
    </row>
    <row r="178" ht="22.5" customHeight="1">
      <c r="A178" s="27"/>
      <c r="B178" s="27"/>
      <c r="C178" s="27"/>
    </row>
    <row r="179" ht="22.5" customHeight="1">
      <c r="A179" s="27"/>
      <c r="B179" s="27"/>
      <c r="C179" s="27"/>
    </row>
    <row r="180" ht="22.5" customHeight="1">
      <c r="A180" s="27"/>
      <c r="B180" s="27"/>
      <c r="C180" s="27"/>
    </row>
    <row r="181" ht="22.5" customHeight="1">
      <c r="A181" s="27"/>
      <c r="B181" s="27"/>
      <c r="C181" s="27"/>
    </row>
    <row r="182" ht="22.5" customHeight="1">
      <c r="A182" s="27"/>
      <c r="B182" s="27"/>
      <c r="C182" s="27"/>
    </row>
    <row r="183" ht="22.5" customHeight="1">
      <c r="A183" s="27"/>
      <c r="B183" s="27"/>
      <c r="C183" s="27"/>
    </row>
    <row r="184" ht="22.5" customHeight="1">
      <c r="A184" s="27"/>
      <c r="B184" s="27"/>
      <c r="C184" s="27"/>
    </row>
    <row r="185" ht="22.5" customHeight="1">
      <c r="A185" s="27"/>
      <c r="B185" s="27"/>
      <c r="C185" s="27"/>
    </row>
    <row r="186" ht="22.5" customHeight="1">
      <c r="A186" s="27"/>
      <c r="B186" s="27"/>
      <c r="C186" s="27"/>
    </row>
    <row r="187" ht="22.5" customHeight="1">
      <c r="A187" s="27"/>
      <c r="B187" s="27"/>
      <c r="C187" s="27"/>
    </row>
    <row r="188" ht="22.5" customHeight="1">
      <c r="A188" s="27"/>
      <c r="B188" s="27"/>
      <c r="C188" s="27"/>
    </row>
    <row r="189" ht="22.5" customHeight="1">
      <c r="A189" s="27"/>
      <c r="B189" s="27"/>
      <c r="C189" s="27"/>
    </row>
    <row r="190" ht="22.5" customHeight="1">
      <c r="A190" s="27"/>
      <c r="B190" s="27"/>
      <c r="C190" s="27"/>
    </row>
    <row r="191" ht="22.5" customHeight="1">
      <c r="A191" s="27"/>
      <c r="B191" s="27"/>
      <c r="C191" s="27"/>
    </row>
    <row r="192" ht="22.5" customHeight="1">
      <c r="A192" s="27"/>
      <c r="B192" s="27"/>
      <c r="C192" s="27"/>
    </row>
    <row r="193" ht="22.5" customHeight="1">
      <c r="A193" s="27"/>
      <c r="B193" s="27"/>
      <c r="C193" s="27"/>
    </row>
    <row r="194" ht="22.5" customHeight="1">
      <c r="A194" s="27"/>
      <c r="B194" s="27"/>
      <c r="C194" s="27"/>
    </row>
    <row r="195" ht="22.5" customHeight="1">
      <c r="A195" s="27"/>
      <c r="B195" s="27"/>
      <c r="C195" s="27"/>
    </row>
    <row r="196" ht="22.5" customHeight="1">
      <c r="A196" s="27"/>
      <c r="B196" s="27"/>
      <c r="C196" s="27"/>
    </row>
    <row r="197" ht="22.5" customHeight="1">
      <c r="A197" s="27"/>
      <c r="B197" s="27"/>
      <c r="C197" s="27"/>
    </row>
    <row r="198" ht="22.5" customHeight="1">
      <c r="A198" s="27"/>
      <c r="B198" s="27"/>
      <c r="C198" s="27"/>
    </row>
    <row r="199" ht="22.5" customHeight="1">
      <c r="A199" s="27"/>
      <c r="B199" s="27"/>
      <c r="C199" s="27"/>
    </row>
    <row r="200" ht="22.5" customHeight="1">
      <c r="A200" s="27"/>
      <c r="B200" s="27"/>
      <c r="C200" s="27"/>
    </row>
    <row r="201" ht="22.5" customHeight="1">
      <c r="A201" s="27"/>
      <c r="B201" s="27"/>
      <c r="C201" s="27"/>
    </row>
    <row r="202" ht="22.5" customHeight="1">
      <c r="A202" s="27"/>
      <c r="B202" s="27"/>
      <c r="C202" s="27"/>
    </row>
    <row r="203" ht="22.5" customHeight="1">
      <c r="A203" s="27"/>
      <c r="B203" s="27"/>
      <c r="C203" s="27"/>
    </row>
    <row r="204" ht="22.5" customHeight="1">
      <c r="A204" s="27"/>
      <c r="B204" s="27"/>
      <c r="C204" s="27"/>
    </row>
    <row r="205" ht="22.5" customHeight="1">
      <c r="A205" s="27"/>
      <c r="B205" s="27"/>
      <c r="C205" s="27"/>
    </row>
    <row r="206" ht="22.5" customHeight="1">
      <c r="A206" s="27"/>
      <c r="B206" s="27"/>
      <c r="C206" s="27"/>
    </row>
    <row r="207" ht="22.5" customHeight="1">
      <c r="A207" s="27"/>
      <c r="B207" s="27"/>
      <c r="C207" s="27"/>
    </row>
    <row r="208" ht="22.5" customHeight="1">
      <c r="A208" s="27"/>
      <c r="B208" s="27"/>
      <c r="C208" s="27"/>
    </row>
    <row r="209" ht="22.5" customHeight="1">
      <c r="A209" s="27"/>
      <c r="B209" s="27"/>
      <c r="C209" s="27"/>
    </row>
    <row r="210" ht="22.5" customHeight="1">
      <c r="A210" s="27"/>
      <c r="B210" s="27"/>
      <c r="C210" s="27"/>
    </row>
    <row r="211" ht="22.5" customHeight="1">
      <c r="A211" s="27"/>
      <c r="B211" s="27"/>
      <c r="C211" s="27"/>
    </row>
    <row r="212" ht="22.5" customHeight="1">
      <c r="A212" s="27"/>
      <c r="B212" s="27"/>
      <c r="C212" s="27"/>
    </row>
    <row r="213" ht="22.5" customHeight="1">
      <c r="A213" s="27"/>
      <c r="B213" s="27"/>
      <c r="C213" s="27"/>
    </row>
    <row r="214" ht="22.5" customHeight="1">
      <c r="A214" s="27"/>
      <c r="B214" s="27"/>
      <c r="C214" s="27"/>
    </row>
    <row r="215" ht="22.5" customHeight="1">
      <c r="A215" s="27"/>
      <c r="B215" s="27"/>
      <c r="C215" s="27"/>
    </row>
    <row r="216" ht="22.5" customHeight="1">
      <c r="A216" s="27"/>
      <c r="B216" s="27"/>
      <c r="C216" s="27"/>
    </row>
    <row r="217" ht="22.5" customHeight="1">
      <c r="A217" s="27"/>
      <c r="B217" s="27"/>
      <c r="C217" s="27"/>
    </row>
    <row r="218" ht="22.5" customHeight="1">
      <c r="A218" s="27"/>
      <c r="B218" s="27"/>
      <c r="C218" s="27"/>
    </row>
    <row r="219" ht="22.5" customHeight="1">
      <c r="A219" s="27"/>
      <c r="B219" s="27"/>
      <c r="C219" s="27"/>
    </row>
    <row r="220" ht="22.5" customHeight="1">
      <c r="A220" s="27"/>
      <c r="B220" s="27"/>
      <c r="C220" s="27"/>
    </row>
    <row r="221" ht="22.5" customHeight="1">
      <c r="A221" s="27"/>
      <c r="B221" s="27"/>
      <c r="C221" s="27"/>
    </row>
    <row r="222" ht="22.5" customHeight="1">
      <c r="A222" s="27"/>
      <c r="B222" s="27"/>
      <c r="C222" s="27"/>
    </row>
    <row r="223" ht="22.5" customHeight="1">
      <c r="A223" s="27"/>
      <c r="B223" s="27"/>
      <c r="C223" s="27"/>
    </row>
    <row r="224" ht="22.5" customHeight="1">
      <c r="A224" s="27"/>
      <c r="B224" s="27"/>
      <c r="C224" s="27"/>
    </row>
    <row r="225" ht="22.5" customHeight="1">
      <c r="A225" s="27"/>
      <c r="B225" s="27"/>
      <c r="C225" s="27"/>
    </row>
    <row r="226" ht="22.5" customHeight="1">
      <c r="A226" s="27"/>
      <c r="B226" s="27"/>
      <c r="C226" s="27"/>
    </row>
    <row r="227" ht="22.5" customHeight="1">
      <c r="A227" s="27"/>
      <c r="B227" s="27"/>
      <c r="C227" s="27"/>
    </row>
    <row r="228" ht="22.5" customHeight="1">
      <c r="A228" s="27"/>
      <c r="B228" s="27"/>
      <c r="C228" s="27"/>
    </row>
    <row r="229" ht="22.5" customHeight="1">
      <c r="A229" s="27"/>
      <c r="B229" s="27"/>
      <c r="C229" s="27"/>
    </row>
    <row r="230" ht="22.5" customHeight="1">
      <c r="A230" s="27"/>
      <c r="B230" s="27"/>
      <c r="C230" s="27"/>
    </row>
    <row r="231" ht="22.5" customHeight="1">
      <c r="A231" s="27"/>
      <c r="B231" s="27"/>
      <c r="C231" s="27"/>
    </row>
    <row r="232" ht="22.5" customHeight="1">
      <c r="A232" s="27"/>
      <c r="B232" s="27"/>
      <c r="C232" s="27"/>
    </row>
    <row r="233" ht="22.5" customHeight="1">
      <c r="A233" s="27"/>
      <c r="B233" s="27"/>
      <c r="C233" s="27"/>
    </row>
    <row r="234" ht="22.5" customHeight="1">
      <c r="A234" s="27"/>
      <c r="B234" s="27"/>
      <c r="C234" s="27"/>
    </row>
    <row r="235" ht="22.5" customHeight="1">
      <c r="A235" s="27"/>
      <c r="B235" s="27"/>
      <c r="C235" s="27"/>
    </row>
    <row r="236" ht="22.5" customHeight="1">
      <c r="A236" s="27"/>
      <c r="B236" s="27"/>
      <c r="C236" s="27"/>
    </row>
    <row r="237" ht="22.5" customHeight="1">
      <c r="A237" s="27"/>
      <c r="B237" s="27"/>
      <c r="C237" s="27"/>
    </row>
    <row r="238" ht="22.5" customHeight="1">
      <c r="A238" s="27"/>
      <c r="B238" s="27"/>
      <c r="C238" s="27"/>
    </row>
    <row r="239" ht="22.5" customHeight="1">
      <c r="A239" s="27"/>
      <c r="B239" s="27"/>
      <c r="C239" s="27"/>
    </row>
    <row r="240" ht="22.5" customHeight="1">
      <c r="A240" s="27"/>
      <c r="B240" s="27"/>
      <c r="C240" s="27"/>
    </row>
    <row r="241" ht="22.5" customHeight="1">
      <c r="A241" s="27"/>
      <c r="B241" s="27"/>
      <c r="C241" s="27"/>
    </row>
    <row r="242" ht="22.5" customHeight="1">
      <c r="A242" s="27"/>
      <c r="B242" s="27"/>
      <c r="C242" s="27"/>
    </row>
    <row r="243" ht="22.5" customHeight="1">
      <c r="A243" s="27"/>
      <c r="B243" s="27"/>
      <c r="C243" s="27"/>
    </row>
    <row r="244" ht="22.5" customHeight="1">
      <c r="A244" s="27"/>
      <c r="B244" s="27"/>
      <c r="C244" s="27"/>
    </row>
    <row r="245" ht="22.5" customHeight="1">
      <c r="A245" s="27"/>
      <c r="B245" s="27"/>
      <c r="C245" s="27"/>
    </row>
    <row r="246" ht="22.5" customHeight="1">
      <c r="A246" s="27"/>
      <c r="B246" s="27"/>
      <c r="C246" s="27"/>
    </row>
    <row r="247" ht="22.5" customHeight="1">
      <c r="A247" s="27"/>
      <c r="B247" s="27"/>
      <c r="C247" s="27"/>
    </row>
    <row r="248" ht="22.5" customHeight="1">
      <c r="A248" s="27"/>
      <c r="B248" s="27"/>
      <c r="C248" s="27"/>
    </row>
    <row r="249" ht="22.5" customHeight="1">
      <c r="A249" s="27"/>
      <c r="B249" s="27"/>
      <c r="C249" s="27"/>
    </row>
    <row r="250" ht="22.5" customHeight="1">
      <c r="A250" s="27"/>
      <c r="B250" s="27"/>
      <c r="C250" s="27"/>
    </row>
    <row r="251" ht="22.5" customHeight="1">
      <c r="A251" s="27"/>
      <c r="B251" s="27"/>
      <c r="C251" s="27"/>
    </row>
    <row r="252" ht="22.5" customHeight="1">
      <c r="A252" s="27"/>
      <c r="B252" s="27"/>
      <c r="C252" s="27"/>
    </row>
    <row r="253" ht="22.5" customHeight="1">
      <c r="A253" s="27"/>
      <c r="B253" s="27"/>
      <c r="C253" s="27"/>
    </row>
    <row r="254" ht="22.5" customHeight="1">
      <c r="A254" s="27"/>
      <c r="B254" s="27"/>
      <c r="C254" s="27"/>
    </row>
    <row r="255" ht="22.5" customHeight="1">
      <c r="A255" s="27"/>
      <c r="B255" s="27"/>
      <c r="C255" s="27"/>
    </row>
    <row r="256" ht="22.5" customHeight="1">
      <c r="A256" s="27"/>
      <c r="B256" s="27"/>
      <c r="C256" s="27"/>
    </row>
    <row r="257" ht="22.5" customHeight="1">
      <c r="A257" s="27"/>
      <c r="B257" s="27"/>
      <c r="C257" s="27"/>
    </row>
    <row r="258" ht="22.5" customHeight="1">
      <c r="A258" s="27"/>
      <c r="B258" s="27"/>
      <c r="C258" s="27"/>
    </row>
    <row r="259" ht="22.5" customHeight="1">
      <c r="A259" s="27"/>
      <c r="B259" s="27"/>
      <c r="C259" s="27"/>
    </row>
    <row r="260" ht="22.5" customHeight="1">
      <c r="A260" s="27"/>
      <c r="B260" s="27"/>
      <c r="C260" s="27"/>
    </row>
    <row r="261" ht="22.5" customHeight="1">
      <c r="A261" s="27"/>
      <c r="B261" s="27"/>
      <c r="C261" s="27"/>
    </row>
    <row r="262" ht="22.5" customHeight="1">
      <c r="A262" s="27"/>
      <c r="B262" s="27"/>
      <c r="C262" s="27"/>
    </row>
    <row r="263" ht="22.5" customHeight="1">
      <c r="A263" s="27"/>
      <c r="B263" s="27"/>
      <c r="C263" s="27"/>
    </row>
    <row r="264" ht="22.5" customHeight="1">
      <c r="A264" s="27"/>
      <c r="B264" s="27"/>
      <c r="C264" s="27"/>
    </row>
    <row r="265" ht="22.5" customHeight="1">
      <c r="A265" s="27"/>
      <c r="B265" s="27"/>
      <c r="C265" s="27"/>
    </row>
    <row r="266" ht="22.5" customHeight="1">
      <c r="A266" s="27"/>
      <c r="B266" s="27"/>
      <c r="C266" s="27"/>
    </row>
    <row r="267" ht="22.5" customHeight="1">
      <c r="A267" s="27"/>
      <c r="B267" s="27"/>
      <c r="C267" s="27"/>
    </row>
    <row r="268" ht="22.5" customHeight="1">
      <c r="A268" s="27"/>
      <c r="B268" s="27"/>
      <c r="C268" s="27"/>
    </row>
    <row r="269" ht="22.5" customHeight="1">
      <c r="A269" s="27"/>
      <c r="B269" s="27"/>
      <c r="C269" s="27"/>
    </row>
    <row r="270" ht="22.5" customHeight="1">
      <c r="A270" s="27"/>
      <c r="B270" s="27"/>
      <c r="C270" s="27"/>
    </row>
    <row r="271" ht="22.5" customHeight="1">
      <c r="A271" s="27"/>
      <c r="B271" s="27"/>
      <c r="C271" s="27"/>
    </row>
    <row r="272" ht="22.5" customHeight="1">
      <c r="A272" s="27"/>
      <c r="B272" s="27"/>
      <c r="C272" s="27"/>
    </row>
    <row r="273" ht="22.5" customHeight="1">
      <c r="A273" s="27"/>
      <c r="B273" s="27"/>
      <c r="C273" s="27"/>
    </row>
    <row r="274" ht="22.5" customHeight="1">
      <c r="A274" s="27"/>
      <c r="B274" s="27"/>
      <c r="C274" s="27"/>
    </row>
    <row r="275" ht="22.5" customHeight="1">
      <c r="A275" s="27"/>
      <c r="B275" s="27"/>
      <c r="C275" s="27"/>
    </row>
    <row r="276" ht="22.5" customHeight="1">
      <c r="A276" s="27"/>
      <c r="B276" s="27"/>
      <c r="C276" s="27"/>
    </row>
    <row r="277" ht="22.5" customHeight="1">
      <c r="A277" s="27"/>
      <c r="B277" s="27"/>
      <c r="C277" s="27"/>
    </row>
    <row r="278" ht="22.5" customHeight="1">
      <c r="A278" s="27"/>
      <c r="B278" s="27"/>
      <c r="C278" s="27"/>
    </row>
    <row r="279" ht="22.5" customHeight="1">
      <c r="A279" s="27"/>
      <c r="B279" s="27"/>
      <c r="C279" s="27"/>
    </row>
    <row r="280" ht="22.5" customHeight="1">
      <c r="A280" s="27"/>
      <c r="B280" s="27"/>
      <c r="C280" s="27"/>
    </row>
    <row r="281" ht="22.5" customHeight="1">
      <c r="A281" s="27"/>
      <c r="B281" s="27"/>
      <c r="C281" s="27"/>
    </row>
    <row r="282" ht="22.5" customHeight="1">
      <c r="A282" s="27"/>
      <c r="B282" s="27"/>
      <c r="C282" s="27"/>
    </row>
    <row r="283" ht="22.5" customHeight="1">
      <c r="A283" s="27"/>
      <c r="B283" s="27"/>
      <c r="C283" s="27"/>
    </row>
    <row r="284" ht="22.5" customHeight="1">
      <c r="A284" s="27"/>
      <c r="B284" s="27"/>
      <c r="C284" s="27"/>
    </row>
    <row r="285" ht="22.5" customHeight="1">
      <c r="A285" s="27"/>
      <c r="B285" s="27"/>
      <c r="C285" s="27"/>
    </row>
    <row r="286" ht="22.5" customHeight="1">
      <c r="A286" s="27"/>
      <c r="B286" s="27"/>
      <c r="C286" s="27"/>
    </row>
    <row r="287" ht="22.5" customHeight="1">
      <c r="A287" s="27"/>
      <c r="B287" s="27"/>
      <c r="C287" s="27"/>
    </row>
    <row r="288" ht="22.5" customHeight="1">
      <c r="A288" s="27"/>
      <c r="B288" s="27"/>
      <c r="C288" s="27"/>
    </row>
    <row r="289" ht="22.5" customHeight="1">
      <c r="A289" s="27"/>
      <c r="B289" s="27"/>
      <c r="C289" s="27"/>
    </row>
    <row r="290" ht="22.5" customHeight="1">
      <c r="A290" s="27"/>
      <c r="B290" s="27"/>
      <c r="C290" s="27"/>
    </row>
    <row r="291" ht="22.5" customHeight="1">
      <c r="A291" s="27"/>
      <c r="B291" s="27"/>
      <c r="C291" s="27"/>
    </row>
    <row r="292" ht="22.5" customHeight="1">
      <c r="A292" s="27"/>
      <c r="B292" s="27"/>
      <c r="C292" s="27"/>
    </row>
    <row r="293" ht="22.5" customHeight="1">
      <c r="A293" s="27"/>
      <c r="B293" s="27"/>
      <c r="C293" s="27"/>
    </row>
    <row r="294" ht="22.5" customHeight="1">
      <c r="A294" s="27"/>
      <c r="B294" s="27"/>
      <c r="C294" s="27"/>
    </row>
    <row r="295" ht="22.5" customHeight="1">
      <c r="A295" s="27"/>
      <c r="B295" s="27"/>
      <c r="C295" s="27"/>
    </row>
    <row r="296" ht="22.5" customHeight="1">
      <c r="A296" s="27"/>
      <c r="B296" s="27"/>
      <c r="C296" s="27"/>
    </row>
    <row r="297" ht="22.5" customHeight="1">
      <c r="A297" s="27"/>
      <c r="B297" s="27"/>
      <c r="C297" s="27"/>
    </row>
    <row r="298" ht="22.5" customHeight="1">
      <c r="A298" s="27"/>
      <c r="B298" s="27"/>
      <c r="C298" s="27"/>
    </row>
    <row r="299" ht="22.5" customHeight="1">
      <c r="A299" s="27"/>
      <c r="B299" s="27"/>
      <c r="C299" s="27"/>
    </row>
    <row r="300" ht="22.5" customHeight="1">
      <c r="A300" s="27"/>
      <c r="B300" s="27"/>
      <c r="C300" s="27"/>
    </row>
    <row r="301" ht="22.5" customHeight="1">
      <c r="A301" s="27"/>
      <c r="B301" s="27"/>
      <c r="C301" s="27"/>
    </row>
    <row r="302" ht="22.5" customHeight="1">
      <c r="A302" s="27"/>
      <c r="B302" s="27"/>
      <c r="C302" s="27"/>
    </row>
    <row r="303" ht="22.5" customHeight="1">
      <c r="A303" s="27"/>
      <c r="B303" s="27"/>
      <c r="C303" s="27"/>
    </row>
    <row r="304" ht="22.5" customHeight="1">
      <c r="A304" s="27"/>
      <c r="B304" s="27"/>
      <c r="C304" s="27"/>
    </row>
    <row r="305" ht="22.5" customHeight="1">
      <c r="A305" s="27"/>
      <c r="B305" s="27"/>
      <c r="C305" s="27"/>
    </row>
    <row r="306" ht="22.5" customHeight="1">
      <c r="A306" s="27"/>
      <c r="B306" s="27"/>
      <c r="C306" s="27"/>
    </row>
    <row r="307" ht="22.5" customHeight="1">
      <c r="A307" s="27"/>
      <c r="B307" s="27"/>
      <c r="C307" s="27"/>
    </row>
    <row r="308" ht="22.5" customHeight="1">
      <c r="A308" s="27"/>
      <c r="B308" s="27"/>
      <c r="C308" s="27"/>
    </row>
    <row r="309" ht="22.5" customHeight="1">
      <c r="A309" s="27"/>
      <c r="B309" s="27"/>
      <c r="C309" s="27"/>
    </row>
    <row r="310" ht="22.5" customHeight="1">
      <c r="A310" s="27"/>
      <c r="B310" s="27"/>
      <c r="C310" s="27"/>
    </row>
    <row r="311" ht="22.5" customHeight="1">
      <c r="A311" s="27"/>
      <c r="B311" s="27"/>
      <c r="C311" s="27"/>
    </row>
    <row r="312" ht="22.5" customHeight="1">
      <c r="A312" s="27"/>
      <c r="B312" s="27"/>
      <c r="C312" s="27"/>
    </row>
    <row r="313" ht="22.5" customHeight="1">
      <c r="A313" s="27"/>
      <c r="B313" s="27"/>
      <c r="C313" s="27"/>
    </row>
    <row r="314" ht="22.5" customHeight="1">
      <c r="A314" s="27"/>
      <c r="B314" s="27"/>
      <c r="C314" s="27"/>
    </row>
    <row r="315" ht="22.5" customHeight="1">
      <c r="A315" s="27"/>
      <c r="B315" s="27"/>
      <c r="C315" s="27"/>
    </row>
    <row r="316" ht="22.5" customHeight="1">
      <c r="A316" s="27"/>
      <c r="B316" s="27"/>
      <c r="C316" s="27"/>
    </row>
    <row r="317" ht="22.5" customHeight="1">
      <c r="A317" s="27"/>
      <c r="B317" s="27"/>
      <c r="C317" s="27"/>
    </row>
    <row r="318" ht="22.5" customHeight="1">
      <c r="A318" s="27"/>
      <c r="B318" s="27"/>
      <c r="C318" s="27"/>
    </row>
    <row r="319" ht="22.5" customHeight="1">
      <c r="A319" s="27"/>
      <c r="B319" s="27"/>
      <c r="C319" s="27"/>
    </row>
    <row r="320" ht="22.5" customHeight="1">
      <c r="A320" s="27"/>
      <c r="B320" s="27"/>
      <c r="C320" s="27"/>
    </row>
    <row r="321" ht="22.5" customHeight="1">
      <c r="A321" s="27"/>
      <c r="B321" s="27"/>
      <c r="C321" s="27"/>
    </row>
    <row r="322" ht="22.5" customHeight="1">
      <c r="A322" s="27"/>
      <c r="B322" s="27"/>
      <c r="C322" s="27"/>
    </row>
    <row r="323" ht="22.5" customHeight="1">
      <c r="A323" s="27"/>
      <c r="B323" s="27"/>
      <c r="C323" s="27"/>
    </row>
    <row r="324" ht="22.5" customHeight="1">
      <c r="A324" s="27"/>
      <c r="B324" s="27"/>
      <c r="C324" s="27"/>
    </row>
    <row r="325" ht="22.5" customHeight="1">
      <c r="A325" s="27"/>
      <c r="B325" s="27"/>
      <c r="C325" s="27"/>
    </row>
    <row r="326" ht="22.5" customHeight="1">
      <c r="A326" s="27"/>
      <c r="B326" s="27"/>
      <c r="C326" s="27"/>
    </row>
    <row r="327" ht="22.5" customHeight="1">
      <c r="A327" s="27"/>
      <c r="B327" s="27"/>
      <c r="C327" s="27"/>
    </row>
    <row r="328" ht="22.5" customHeight="1">
      <c r="A328" s="27"/>
      <c r="B328" s="27"/>
      <c r="C328" s="27"/>
    </row>
    <row r="329" ht="22.5" customHeight="1">
      <c r="A329" s="27"/>
      <c r="B329" s="27"/>
      <c r="C329" s="27"/>
    </row>
    <row r="330" ht="22.5" customHeight="1">
      <c r="A330" s="27"/>
      <c r="B330" s="27"/>
      <c r="C330" s="27"/>
    </row>
    <row r="331" ht="22.5" customHeight="1">
      <c r="A331" s="27"/>
      <c r="B331" s="27"/>
      <c r="C331" s="27"/>
    </row>
    <row r="332" ht="22.5" customHeight="1">
      <c r="A332" s="27"/>
      <c r="B332" s="27"/>
      <c r="C332" s="27"/>
    </row>
    <row r="333" ht="22.5" customHeight="1">
      <c r="A333" s="27"/>
      <c r="B333" s="27"/>
      <c r="C333" s="27"/>
    </row>
    <row r="334" ht="22.5" customHeight="1">
      <c r="A334" s="27"/>
      <c r="B334" s="27"/>
      <c r="C334" s="27"/>
    </row>
    <row r="335" ht="22.5" customHeight="1">
      <c r="A335" s="27"/>
      <c r="B335" s="27"/>
      <c r="C335" s="27"/>
    </row>
    <row r="336" ht="22.5" customHeight="1">
      <c r="A336" s="27"/>
      <c r="B336" s="27"/>
      <c r="C336" s="27"/>
    </row>
    <row r="337" ht="22.5" customHeight="1">
      <c r="A337" s="27"/>
      <c r="B337" s="27"/>
      <c r="C337" s="27"/>
    </row>
    <row r="338" ht="22.5" customHeight="1">
      <c r="A338" s="27"/>
      <c r="B338" s="27"/>
      <c r="C338" s="27"/>
    </row>
    <row r="339" ht="22.5" customHeight="1">
      <c r="A339" s="27"/>
      <c r="B339" s="27"/>
      <c r="C339" s="27"/>
    </row>
    <row r="340" ht="22.5" customHeight="1">
      <c r="A340" s="27"/>
      <c r="B340" s="27"/>
      <c r="C340" s="27"/>
    </row>
    <row r="341" ht="22.5" customHeight="1">
      <c r="A341" s="27"/>
      <c r="B341" s="27"/>
      <c r="C341" s="27"/>
    </row>
    <row r="342" ht="22.5" customHeight="1">
      <c r="A342" s="27"/>
      <c r="B342" s="27"/>
      <c r="C342" s="27"/>
    </row>
    <row r="343" ht="22.5" customHeight="1">
      <c r="A343" s="27"/>
      <c r="B343" s="27"/>
      <c r="C343" s="27"/>
    </row>
    <row r="344" ht="22.5" customHeight="1">
      <c r="A344" s="27"/>
      <c r="B344" s="27"/>
      <c r="C344" s="27"/>
    </row>
    <row r="345" ht="22.5" customHeight="1">
      <c r="A345" s="27"/>
      <c r="B345" s="27"/>
      <c r="C345" s="27"/>
    </row>
    <row r="346" ht="22.5" customHeight="1">
      <c r="A346" s="27"/>
      <c r="B346" s="27"/>
      <c r="C346" s="27"/>
    </row>
    <row r="347" ht="22.5" customHeight="1">
      <c r="A347" s="27"/>
      <c r="B347" s="27"/>
      <c r="C347" s="27"/>
    </row>
    <row r="348" ht="22.5" customHeight="1">
      <c r="A348" s="27"/>
      <c r="B348" s="27"/>
      <c r="C348" s="27"/>
    </row>
    <row r="349" ht="22.5" customHeight="1">
      <c r="A349" s="27"/>
      <c r="B349" s="27"/>
      <c r="C349" s="27"/>
    </row>
    <row r="350" ht="22.5" customHeight="1">
      <c r="A350" s="27"/>
      <c r="B350" s="27"/>
      <c r="C350" s="27"/>
    </row>
    <row r="351" ht="22.5" customHeight="1">
      <c r="A351" s="27"/>
      <c r="B351" s="27"/>
      <c r="C351" s="27"/>
    </row>
    <row r="352" ht="22.5" customHeight="1">
      <c r="A352" s="27"/>
      <c r="B352" s="27"/>
      <c r="C352" s="27"/>
    </row>
    <row r="353" ht="22.5" customHeight="1">
      <c r="A353" s="27"/>
      <c r="B353" s="27"/>
      <c r="C353" s="27"/>
    </row>
    <row r="354" ht="22.5" customHeight="1">
      <c r="A354" s="27"/>
      <c r="B354" s="27"/>
      <c r="C354" s="27"/>
    </row>
    <row r="355" ht="22.5" customHeight="1">
      <c r="A355" s="27"/>
      <c r="B355" s="27"/>
      <c r="C355" s="27"/>
    </row>
    <row r="356" ht="22.5" customHeight="1">
      <c r="A356" s="27"/>
      <c r="B356" s="27"/>
      <c r="C356" s="27"/>
    </row>
    <row r="357" ht="22.5" customHeight="1">
      <c r="A357" s="27"/>
      <c r="B357" s="27"/>
      <c r="C357" s="27"/>
    </row>
    <row r="358" ht="22.5" customHeight="1">
      <c r="A358" s="27"/>
      <c r="B358" s="27"/>
      <c r="C358" s="27"/>
    </row>
    <row r="359" ht="22.5" customHeight="1">
      <c r="A359" s="27"/>
      <c r="B359" s="27"/>
      <c r="C359" s="27"/>
    </row>
    <row r="360" ht="22.5" customHeight="1">
      <c r="A360" s="27"/>
      <c r="B360" s="27"/>
      <c r="C360" s="27"/>
    </row>
    <row r="361" ht="22.5" customHeight="1">
      <c r="A361" s="27"/>
      <c r="B361" s="27"/>
      <c r="C361" s="27"/>
    </row>
    <row r="362" ht="22.5" customHeight="1">
      <c r="A362" s="27"/>
      <c r="B362" s="27"/>
      <c r="C362" s="27"/>
    </row>
    <row r="363" ht="22.5" customHeight="1">
      <c r="A363" s="27"/>
      <c r="B363" s="27"/>
      <c r="C363" s="27"/>
    </row>
    <row r="364" ht="22.5" customHeight="1">
      <c r="A364" s="27"/>
      <c r="B364" s="27"/>
      <c r="C364" s="27"/>
    </row>
    <row r="365" ht="22.5" customHeight="1">
      <c r="A365" s="27"/>
      <c r="B365" s="27"/>
      <c r="C365" s="27"/>
    </row>
    <row r="366" ht="22.5" customHeight="1">
      <c r="A366" s="27"/>
      <c r="B366" s="27"/>
      <c r="C366" s="27"/>
    </row>
    <row r="367" ht="22.5" customHeight="1">
      <c r="A367" s="27"/>
      <c r="B367" s="27"/>
      <c r="C367" s="27"/>
    </row>
    <row r="368" ht="22.5" customHeight="1">
      <c r="A368" s="27"/>
      <c r="B368" s="27"/>
      <c r="C368" s="27"/>
    </row>
    <row r="369" ht="22.5" customHeight="1">
      <c r="A369" s="27"/>
      <c r="B369" s="27"/>
      <c r="C369" s="27"/>
    </row>
    <row r="370" ht="22.5" customHeight="1">
      <c r="A370" s="27"/>
      <c r="B370" s="27"/>
      <c r="C370" s="27"/>
    </row>
    <row r="371" ht="22.5" customHeight="1">
      <c r="A371" s="27"/>
      <c r="B371" s="27"/>
      <c r="C371" s="27"/>
    </row>
    <row r="372" ht="22.5" customHeight="1">
      <c r="A372" s="27"/>
      <c r="B372" s="27"/>
      <c r="C372" s="27"/>
    </row>
    <row r="373" ht="22.5" customHeight="1">
      <c r="A373" s="27"/>
      <c r="B373" s="27"/>
      <c r="C373" s="27"/>
    </row>
    <row r="374" ht="22.5" customHeight="1">
      <c r="A374" s="27"/>
      <c r="B374" s="27"/>
      <c r="C374" s="27"/>
    </row>
    <row r="375" ht="22.5" customHeight="1">
      <c r="A375" s="27"/>
      <c r="B375" s="27"/>
      <c r="C375" s="27"/>
    </row>
    <row r="376" ht="22.5" customHeight="1">
      <c r="A376" s="27"/>
      <c r="B376" s="27"/>
      <c r="C376" s="27"/>
    </row>
    <row r="377" ht="22.5" customHeight="1">
      <c r="A377" s="27"/>
      <c r="B377" s="27"/>
      <c r="C377" s="27"/>
    </row>
    <row r="378" ht="22.5" customHeight="1">
      <c r="A378" s="27"/>
      <c r="B378" s="27"/>
      <c r="C378" s="27"/>
    </row>
    <row r="379" ht="22.5" customHeight="1">
      <c r="A379" s="27"/>
      <c r="B379" s="27"/>
      <c r="C379" s="27"/>
    </row>
    <row r="380" ht="22.5" customHeight="1">
      <c r="A380" s="27"/>
      <c r="B380" s="27"/>
      <c r="C380" s="27"/>
    </row>
    <row r="381" ht="22.5" customHeight="1">
      <c r="A381" s="27"/>
      <c r="B381" s="27"/>
      <c r="C381" s="27"/>
    </row>
    <row r="382" ht="22.5" customHeight="1">
      <c r="A382" s="27"/>
      <c r="B382" s="27"/>
      <c r="C382" s="27"/>
    </row>
    <row r="383" ht="22.5" customHeight="1">
      <c r="A383" s="27"/>
      <c r="B383" s="27"/>
      <c r="C383" s="27"/>
    </row>
    <row r="384" ht="22.5" customHeight="1">
      <c r="A384" s="27"/>
      <c r="B384" s="27"/>
      <c r="C384" s="27"/>
    </row>
    <row r="385" ht="22.5" customHeight="1">
      <c r="A385" s="27"/>
      <c r="B385" s="27"/>
      <c r="C385" s="27"/>
    </row>
    <row r="386" ht="22.5" customHeight="1">
      <c r="A386" s="27"/>
      <c r="B386" s="27"/>
      <c r="C386" s="27"/>
    </row>
    <row r="387" ht="22.5" customHeight="1">
      <c r="A387" s="27"/>
      <c r="B387" s="27"/>
      <c r="C387" s="27"/>
    </row>
    <row r="388" ht="22.5" customHeight="1">
      <c r="A388" s="27"/>
      <c r="B388" s="27"/>
      <c r="C388" s="27"/>
    </row>
    <row r="389" ht="22.5" customHeight="1">
      <c r="A389" s="27"/>
      <c r="B389" s="27"/>
      <c r="C389" s="27"/>
    </row>
    <row r="390" ht="22.5" customHeight="1">
      <c r="A390" s="27"/>
      <c r="B390" s="27"/>
      <c r="C390" s="27"/>
    </row>
    <row r="391" ht="22.5" customHeight="1">
      <c r="A391" s="27"/>
      <c r="B391" s="27"/>
      <c r="C391" s="27"/>
    </row>
    <row r="392" ht="22.5" customHeight="1">
      <c r="A392" s="27"/>
      <c r="B392" s="27"/>
      <c r="C392" s="27"/>
    </row>
    <row r="393" ht="22.5" customHeight="1">
      <c r="A393" s="27"/>
      <c r="B393" s="27"/>
      <c r="C393" s="27"/>
    </row>
    <row r="394" ht="22.5" customHeight="1">
      <c r="A394" s="27"/>
      <c r="B394" s="27"/>
      <c r="C394" s="27"/>
    </row>
    <row r="395" ht="22.5" customHeight="1">
      <c r="A395" s="27"/>
      <c r="B395" s="27"/>
      <c r="C395" s="27"/>
    </row>
    <row r="396" ht="22.5" customHeight="1">
      <c r="A396" s="27"/>
      <c r="B396" s="27"/>
      <c r="C396" s="27"/>
    </row>
    <row r="397" ht="22.5" customHeight="1">
      <c r="A397" s="27"/>
      <c r="B397" s="27"/>
      <c r="C397" s="27"/>
    </row>
    <row r="398" ht="22.5" customHeight="1">
      <c r="A398" s="27"/>
      <c r="B398" s="27"/>
      <c r="C398" s="27"/>
    </row>
    <row r="399" ht="22.5" customHeight="1">
      <c r="A399" s="27"/>
      <c r="B399" s="27"/>
      <c r="C399" s="27"/>
    </row>
    <row r="400" ht="22.5" customHeight="1">
      <c r="A400" s="27"/>
      <c r="B400" s="27"/>
      <c r="C400" s="27"/>
    </row>
    <row r="401" ht="22.5" customHeight="1">
      <c r="A401" s="27"/>
      <c r="B401" s="27"/>
      <c r="C401" s="27"/>
    </row>
    <row r="402" ht="22.5" customHeight="1">
      <c r="A402" s="27"/>
      <c r="B402" s="27"/>
      <c r="C402" s="27"/>
    </row>
    <row r="403" ht="22.5" customHeight="1">
      <c r="A403" s="27"/>
      <c r="B403" s="27"/>
      <c r="C403" s="27"/>
    </row>
    <row r="404" ht="22.5" customHeight="1">
      <c r="A404" s="27"/>
      <c r="B404" s="27"/>
      <c r="C404" s="27"/>
    </row>
    <row r="405" ht="22.5" customHeight="1">
      <c r="A405" s="27"/>
      <c r="B405" s="27"/>
      <c r="C405" s="27"/>
    </row>
    <row r="406" ht="22.5" customHeight="1">
      <c r="A406" s="27"/>
      <c r="B406" s="27"/>
      <c r="C406" s="27"/>
    </row>
    <row r="407" ht="22.5" customHeight="1">
      <c r="A407" s="27"/>
      <c r="B407" s="27"/>
      <c r="C407" s="27"/>
    </row>
    <row r="408" ht="22.5" customHeight="1">
      <c r="A408" s="27"/>
      <c r="B408" s="27"/>
      <c r="C408" s="27"/>
    </row>
    <row r="409" ht="22.5" customHeight="1">
      <c r="A409" s="27"/>
      <c r="B409" s="27"/>
      <c r="C409" s="27"/>
    </row>
    <row r="410" ht="22.5" customHeight="1">
      <c r="A410" s="27"/>
      <c r="B410" s="27"/>
      <c r="C410" s="27"/>
    </row>
    <row r="411" ht="22.5" customHeight="1">
      <c r="A411" s="27"/>
      <c r="B411" s="27"/>
      <c r="C411" s="27"/>
    </row>
    <row r="412" ht="22.5" customHeight="1">
      <c r="A412" s="27"/>
      <c r="B412" s="27"/>
      <c r="C412" s="27"/>
    </row>
    <row r="413" ht="22.5" customHeight="1">
      <c r="A413" s="27"/>
      <c r="B413" s="27"/>
      <c r="C413" s="27"/>
    </row>
    <row r="414" ht="22.5" customHeight="1">
      <c r="A414" s="27"/>
      <c r="B414" s="27"/>
      <c r="C414" s="27"/>
    </row>
    <row r="415" ht="22.5" customHeight="1">
      <c r="A415" s="27"/>
      <c r="B415" s="27"/>
      <c r="C415" s="27"/>
    </row>
    <row r="416" ht="22.5" customHeight="1">
      <c r="A416" s="27"/>
      <c r="B416" s="27"/>
      <c r="C416" s="27"/>
    </row>
    <row r="417" ht="22.5" customHeight="1">
      <c r="A417" s="27"/>
      <c r="B417" s="27"/>
      <c r="C417" s="27"/>
    </row>
    <row r="418" ht="22.5" customHeight="1">
      <c r="A418" s="27"/>
      <c r="B418" s="27"/>
      <c r="C418" s="27"/>
    </row>
    <row r="419" ht="22.5" customHeight="1">
      <c r="A419" s="27"/>
      <c r="B419" s="27"/>
      <c r="C419" s="27"/>
    </row>
    <row r="420" ht="22.5" customHeight="1">
      <c r="A420" s="27"/>
      <c r="B420" s="27"/>
      <c r="C420" s="27"/>
    </row>
    <row r="421" ht="22.5" customHeight="1">
      <c r="A421" s="27"/>
      <c r="B421" s="27"/>
      <c r="C421" s="27"/>
    </row>
    <row r="422" ht="22.5" customHeight="1">
      <c r="A422" s="27"/>
      <c r="B422" s="27"/>
      <c r="C422" s="27"/>
    </row>
    <row r="423" ht="22.5" customHeight="1">
      <c r="A423" s="27"/>
      <c r="B423" s="27"/>
      <c r="C423" s="27"/>
    </row>
    <row r="424" ht="22.5" customHeight="1">
      <c r="A424" s="27"/>
      <c r="B424" s="27"/>
      <c r="C424" s="27"/>
    </row>
    <row r="425" ht="22.5" customHeight="1">
      <c r="A425" s="27"/>
      <c r="B425" s="27"/>
      <c r="C425" s="27"/>
    </row>
    <row r="426" ht="22.5" customHeight="1">
      <c r="A426" s="27"/>
      <c r="B426" s="27"/>
      <c r="C426" s="27"/>
    </row>
    <row r="427" ht="22.5" customHeight="1">
      <c r="A427" s="27"/>
      <c r="B427" s="27"/>
      <c r="C427" s="27"/>
    </row>
    <row r="428" ht="22.5" customHeight="1">
      <c r="A428" s="27"/>
      <c r="B428" s="27"/>
      <c r="C428" s="27"/>
    </row>
    <row r="429" ht="22.5" customHeight="1">
      <c r="A429" s="27"/>
      <c r="B429" s="27"/>
      <c r="C429" s="27"/>
    </row>
    <row r="430" ht="22.5" customHeight="1">
      <c r="A430" s="27"/>
      <c r="B430" s="27"/>
      <c r="C430" s="27"/>
    </row>
    <row r="431" ht="22.5" customHeight="1">
      <c r="A431" s="27"/>
      <c r="B431" s="27"/>
      <c r="C431" s="27"/>
    </row>
    <row r="432" ht="22.5" customHeight="1">
      <c r="A432" s="27"/>
      <c r="B432" s="27"/>
      <c r="C432" s="27"/>
    </row>
    <row r="433" ht="22.5" customHeight="1">
      <c r="A433" s="27"/>
      <c r="B433" s="27"/>
      <c r="C433" s="27"/>
    </row>
    <row r="434" ht="22.5" customHeight="1">
      <c r="A434" s="27"/>
      <c r="B434" s="27"/>
      <c r="C434" s="27"/>
    </row>
    <row r="435" ht="22.5" customHeight="1">
      <c r="A435" s="27"/>
      <c r="B435" s="27"/>
      <c r="C435" s="27"/>
    </row>
    <row r="436" ht="22.5" customHeight="1">
      <c r="A436" s="27"/>
      <c r="B436" s="27"/>
      <c r="C436" s="27"/>
    </row>
    <row r="437" ht="22.5" customHeight="1">
      <c r="A437" s="27"/>
      <c r="B437" s="27"/>
      <c r="C437" s="27"/>
    </row>
    <row r="438" ht="22.5" customHeight="1">
      <c r="A438" s="27"/>
      <c r="B438" s="27"/>
      <c r="C438" s="27"/>
    </row>
    <row r="439" ht="22.5" customHeight="1">
      <c r="A439" s="27"/>
      <c r="B439" s="27"/>
      <c r="C439" s="27"/>
    </row>
    <row r="440" ht="22.5" customHeight="1">
      <c r="A440" s="27"/>
      <c r="B440" s="27"/>
      <c r="C440" s="27"/>
    </row>
    <row r="441" ht="22.5" customHeight="1">
      <c r="A441" s="27"/>
      <c r="B441" s="27"/>
      <c r="C441" s="27"/>
    </row>
    <row r="442" ht="22.5" customHeight="1">
      <c r="A442" s="27"/>
      <c r="B442" s="27"/>
      <c r="C442" s="27"/>
    </row>
    <row r="443" ht="22.5" customHeight="1">
      <c r="A443" s="27"/>
      <c r="B443" s="27"/>
      <c r="C443" s="27"/>
    </row>
    <row r="444" ht="22.5" customHeight="1">
      <c r="A444" s="27"/>
      <c r="B444" s="27"/>
      <c r="C444" s="27"/>
    </row>
    <row r="445" ht="22.5" customHeight="1">
      <c r="A445" s="27"/>
      <c r="B445" s="27"/>
      <c r="C445" s="27"/>
    </row>
    <row r="446" ht="22.5" customHeight="1">
      <c r="A446" s="27"/>
      <c r="B446" s="27"/>
      <c r="C446" s="27"/>
    </row>
    <row r="447" ht="22.5" customHeight="1">
      <c r="A447" s="27"/>
      <c r="B447" s="27"/>
      <c r="C447" s="27"/>
    </row>
    <row r="448" ht="22.5" customHeight="1">
      <c r="A448" s="27"/>
      <c r="B448" s="27"/>
      <c r="C448" s="27"/>
    </row>
    <row r="449" ht="22.5" customHeight="1">
      <c r="A449" s="27"/>
      <c r="B449" s="27"/>
      <c r="C449" s="27"/>
    </row>
    <row r="450" ht="22.5" customHeight="1">
      <c r="A450" s="27"/>
      <c r="B450" s="27"/>
      <c r="C450" s="27"/>
    </row>
    <row r="451" ht="22.5" customHeight="1">
      <c r="A451" s="27"/>
      <c r="B451" s="27"/>
      <c r="C451" s="27"/>
    </row>
    <row r="452" ht="22.5" customHeight="1">
      <c r="A452" s="27"/>
      <c r="B452" s="27"/>
      <c r="C452" s="27"/>
    </row>
    <row r="453" ht="22.5" customHeight="1">
      <c r="A453" s="27"/>
      <c r="B453" s="27"/>
      <c r="C453" s="27"/>
    </row>
    <row r="454" ht="22.5" customHeight="1">
      <c r="A454" s="27"/>
      <c r="B454" s="27"/>
      <c r="C454" s="27"/>
    </row>
    <row r="455" ht="22.5" customHeight="1">
      <c r="A455" s="27"/>
      <c r="B455" s="27"/>
      <c r="C455" s="27"/>
    </row>
    <row r="456" ht="22.5" customHeight="1">
      <c r="A456" s="27"/>
      <c r="B456" s="27"/>
      <c r="C456" s="27"/>
    </row>
    <row r="457" ht="22.5" customHeight="1">
      <c r="A457" s="27"/>
      <c r="B457" s="27"/>
      <c r="C457" s="27"/>
    </row>
    <row r="458" ht="22.5" customHeight="1">
      <c r="A458" s="27"/>
      <c r="B458" s="27"/>
      <c r="C458" s="27"/>
    </row>
    <row r="459" ht="22.5" customHeight="1">
      <c r="A459" s="27"/>
      <c r="B459" s="27"/>
      <c r="C459" s="27"/>
    </row>
    <row r="460" ht="22.5" customHeight="1">
      <c r="A460" s="27"/>
      <c r="B460" s="27"/>
      <c r="C460" s="27"/>
    </row>
    <row r="461" ht="22.5" customHeight="1">
      <c r="A461" s="27"/>
      <c r="B461" s="27"/>
      <c r="C461" s="27"/>
    </row>
    <row r="462" ht="22.5" customHeight="1">
      <c r="A462" s="27"/>
      <c r="B462" s="27"/>
      <c r="C462" s="27"/>
    </row>
    <row r="463" ht="22.5" customHeight="1">
      <c r="A463" s="27"/>
      <c r="B463" s="27"/>
      <c r="C463" s="27"/>
    </row>
    <row r="464" ht="22.5" customHeight="1">
      <c r="A464" s="27"/>
      <c r="B464" s="27"/>
      <c r="C464" s="27"/>
    </row>
    <row r="465" ht="22.5" customHeight="1">
      <c r="A465" s="27"/>
      <c r="B465" s="27"/>
      <c r="C465" s="27"/>
    </row>
    <row r="466" ht="22.5" customHeight="1">
      <c r="A466" s="27"/>
      <c r="B466" s="27"/>
      <c r="C466" s="27"/>
    </row>
    <row r="467" ht="22.5" customHeight="1">
      <c r="A467" s="27"/>
      <c r="B467" s="27"/>
      <c r="C467" s="27"/>
    </row>
    <row r="468" ht="22.5" customHeight="1">
      <c r="A468" s="27"/>
      <c r="B468" s="27"/>
      <c r="C468" s="27"/>
    </row>
    <row r="469" ht="22.5" customHeight="1">
      <c r="A469" s="27"/>
      <c r="B469" s="27"/>
      <c r="C469" s="27"/>
    </row>
    <row r="470" ht="22.5" customHeight="1">
      <c r="A470" s="27"/>
      <c r="B470" s="27"/>
      <c r="C470" s="27"/>
    </row>
    <row r="471" ht="22.5" customHeight="1">
      <c r="A471" s="27"/>
      <c r="B471" s="27"/>
      <c r="C471" s="27"/>
    </row>
    <row r="472" ht="22.5" customHeight="1">
      <c r="A472" s="27"/>
      <c r="B472" s="27"/>
      <c r="C472" s="27"/>
    </row>
    <row r="473" ht="22.5" customHeight="1">
      <c r="A473" s="27"/>
      <c r="B473" s="27"/>
      <c r="C473" s="27"/>
    </row>
    <row r="474" ht="22.5" customHeight="1">
      <c r="A474" s="27"/>
      <c r="B474" s="27"/>
      <c r="C474" s="27"/>
    </row>
    <row r="475" ht="22.5" customHeight="1">
      <c r="A475" s="27"/>
      <c r="B475" s="27"/>
      <c r="C475" s="27"/>
    </row>
    <row r="476" ht="22.5" customHeight="1">
      <c r="A476" s="27"/>
      <c r="B476" s="27"/>
      <c r="C476" s="27"/>
    </row>
    <row r="477" ht="22.5" customHeight="1">
      <c r="A477" s="27"/>
      <c r="B477" s="27"/>
      <c r="C477" s="27"/>
    </row>
    <row r="478" ht="22.5" customHeight="1">
      <c r="A478" s="27"/>
      <c r="B478" s="27"/>
      <c r="C478" s="27"/>
    </row>
    <row r="479" ht="22.5" customHeight="1">
      <c r="A479" s="27"/>
      <c r="B479" s="27"/>
      <c r="C479" s="27"/>
    </row>
    <row r="480" ht="22.5" customHeight="1">
      <c r="A480" s="27"/>
      <c r="B480" s="27"/>
      <c r="C480" s="27"/>
    </row>
    <row r="481" ht="22.5" customHeight="1">
      <c r="A481" s="27"/>
      <c r="B481" s="27"/>
      <c r="C481" s="27"/>
    </row>
    <row r="482" ht="22.5" customHeight="1">
      <c r="A482" s="27"/>
      <c r="B482" s="27"/>
      <c r="C482" s="27"/>
    </row>
    <row r="483" ht="22.5" customHeight="1">
      <c r="A483" s="27"/>
      <c r="B483" s="27"/>
      <c r="C483" s="27"/>
    </row>
    <row r="484" ht="22.5" customHeight="1">
      <c r="A484" s="27"/>
      <c r="B484" s="27"/>
      <c r="C484" s="27"/>
    </row>
    <row r="485" ht="22.5" customHeight="1">
      <c r="A485" s="27"/>
      <c r="B485" s="27"/>
      <c r="C485" s="27"/>
    </row>
    <row r="486" ht="22.5" customHeight="1">
      <c r="A486" s="27"/>
      <c r="B486" s="27"/>
      <c r="C486" s="27"/>
    </row>
    <row r="487" ht="22.5" customHeight="1">
      <c r="A487" s="27"/>
      <c r="B487" s="27"/>
      <c r="C487" s="27"/>
    </row>
    <row r="488" ht="22.5" customHeight="1">
      <c r="A488" s="27"/>
      <c r="B488" s="27"/>
      <c r="C488" s="27"/>
    </row>
    <row r="489" ht="22.5" customHeight="1">
      <c r="A489" s="27"/>
      <c r="B489" s="27"/>
      <c r="C489" s="27"/>
    </row>
    <row r="490" ht="22.5" customHeight="1">
      <c r="A490" s="27"/>
      <c r="B490" s="27"/>
      <c r="C490" s="27"/>
    </row>
    <row r="491" ht="22.5" customHeight="1">
      <c r="A491" s="27"/>
      <c r="B491" s="27"/>
      <c r="C491" s="27"/>
    </row>
    <row r="492" ht="22.5" customHeight="1">
      <c r="A492" s="27"/>
      <c r="B492" s="27"/>
      <c r="C492" s="27"/>
    </row>
    <row r="493" ht="22.5" customHeight="1">
      <c r="A493" s="27"/>
      <c r="B493" s="27"/>
      <c r="C493" s="27"/>
    </row>
    <row r="494" ht="22.5" customHeight="1">
      <c r="A494" s="27"/>
      <c r="B494" s="27"/>
      <c r="C494" s="27"/>
    </row>
    <row r="495" ht="22.5" customHeight="1">
      <c r="A495" s="27"/>
      <c r="B495" s="27"/>
      <c r="C495" s="27"/>
    </row>
    <row r="496" ht="22.5" customHeight="1">
      <c r="A496" s="27"/>
      <c r="B496" s="27"/>
      <c r="C496" s="27"/>
    </row>
    <row r="497" ht="22.5" customHeight="1">
      <c r="A497" s="27"/>
      <c r="B497" s="27"/>
      <c r="C497" s="27"/>
    </row>
    <row r="498" ht="22.5" customHeight="1">
      <c r="A498" s="27"/>
      <c r="B498" s="27"/>
      <c r="C498" s="27"/>
    </row>
    <row r="499" ht="22.5" customHeight="1">
      <c r="A499" s="27"/>
      <c r="B499" s="27"/>
      <c r="C499" s="27"/>
    </row>
    <row r="500" ht="22.5" customHeight="1">
      <c r="A500" s="27"/>
      <c r="B500" s="27"/>
      <c r="C500" s="27"/>
    </row>
    <row r="501" ht="22.5" customHeight="1">
      <c r="A501" s="27"/>
      <c r="B501" s="27"/>
      <c r="C501" s="27"/>
    </row>
    <row r="502" ht="22.5" customHeight="1">
      <c r="A502" s="27"/>
      <c r="B502" s="27"/>
      <c r="C502" s="27"/>
    </row>
    <row r="503" ht="22.5" customHeight="1">
      <c r="A503" s="27"/>
      <c r="B503" s="27"/>
      <c r="C503" s="27"/>
    </row>
    <row r="504" ht="22.5" customHeight="1">
      <c r="A504" s="27"/>
      <c r="B504" s="27"/>
      <c r="C504" s="27"/>
    </row>
    <row r="505" ht="22.5" customHeight="1">
      <c r="A505" s="27"/>
      <c r="B505" s="27"/>
      <c r="C505" s="27"/>
    </row>
    <row r="506" ht="22.5" customHeight="1">
      <c r="A506" s="27"/>
      <c r="B506" s="27"/>
      <c r="C506" s="27"/>
    </row>
    <row r="507" ht="22.5" customHeight="1">
      <c r="A507" s="27"/>
      <c r="B507" s="27"/>
      <c r="C507" s="27"/>
    </row>
    <row r="508" ht="22.5" customHeight="1">
      <c r="A508" s="27"/>
      <c r="B508" s="27"/>
      <c r="C508" s="27"/>
    </row>
    <row r="509" ht="22.5" customHeight="1">
      <c r="A509" s="27"/>
      <c r="B509" s="27"/>
      <c r="C509" s="27"/>
    </row>
    <row r="510" ht="22.5" customHeight="1">
      <c r="A510" s="27"/>
      <c r="B510" s="27"/>
      <c r="C510" s="27"/>
    </row>
    <row r="511" ht="22.5" customHeight="1">
      <c r="A511" s="27"/>
      <c r="B511" s="27"/>
      <c r="C511" s="27"/>
    </row>
    <row r="512" ht="22.5" customHeight="1">
      <c r="A512" s="27"/>
      <c r="B512" s="27"/>
      <c r="C512" s="27"/>
    </row>
    <row r="513" ht="22.5" customHeight="1">
      <c r="A513" s="27"/>
      <c r="B513" s="27"/>
      <c r="C513" s="27"/>
    </row>
    <row r="514" ht="22.5" customHeight="1">
      <c r="A514" s="27"/>
      <c r="B514" s="27"/>
      <c r="C514" s="27"/>
    </row>
    <row r="515" ht="22.5" customHeight="1">
      <c r="A515" s="27"/>
      <c r="B515" s="27"/>
      <c r="C515" s="27"/>
    </row>
    <row r="516" ht="22.5" customHeight="1">
      <c r="A516" s="27"/>
      <c r="B516" s="27"/>
      <c r="C516" s="27"/>
    </row>
    <row r="517" ht="22.5" customHeight="1">
      <c r="A517" s="27"/>
      <c r="B517" s="27"/>
      <c r="C517" s="27"/>
    </row>
    <row r="518" ht="22.5" customHeight="1">
      <c r="A518" s="27"/>
      <c r="B518" s="27"/>
      <c r="C518" s="27"/>
    </row>
    <row r="519" ht="22.5" customHeight="1">
      <c r="A519" s="27"/>
      <c r="B519" s="27"/>
      <c r="C519" s="27"/>
    </row>
    <row r="520" ht="22.5" customHeight="1">
      <c r="A520" s="27"/>
      <c r="B520" s="27"/>
      <c r="C520" s="27"/>
    </row>
    <row r="521" ht="22.5" customHeight="1">
      <c r="A521" s="27"/>
      <c r="B521" s="27"/>
      <c r="C521" s="27"/>
    </row>
    <row r="522" ht="22.5" customHeight="1">
      <c r="A522" s="27"/>
      <c r="B522" s="27"/>
      <c r="C522" s="27"/>
    </row>
    <row r="523" ht="22.5" customHeight="1">
      <c r="A523" s="27"/>
      <c r="B523" s="27"/>
      <c r="C523" s="27"/>
    </row>
    <row r="524" ht="22.5" customHeight="1">
      <c r="A524" s="27"/>
      <c r="B524" s="27"/>
      <c r="C524" s="27"/>
    </row>
    <row r="525" ht="22.5" customHeight="1">
      <c r="A525" s="27"/>
      <c r="B525" s="27"/>
      <c r="C525" s="27"/>
    </row>
    <row r="526" ht="22.5" customHeight="1">
      <c r="A526" s="27"/>
      <c r="B526" s="27"/>
      <c r="C526" s="27"/>
    </row>
    <row r="527" ht="22.5" customHeight="1">
      <c r="A527" s="27"/>
      <c r="B527" s="27"/>
      <c r="C527" s="27"/>
    </row>
    <row r="528" ht="22.5" customHeight="1">
      <c r="A528" s="27"/>
      <c r="B528" s="27"/>
      <c r="C528" s="27"/>
    </row>
    <row r="529" ht="22.5" customHeight="1">
      <c r="A529" s="27"/>
      <c r="B529" s="27"/>
      <c r="C529" s="27"/>
    </row>
    <row r="530" ht="22.5" customHeight="1">
      <c r="A530" s="27"/>
      <c r="B530" s="27"/>
      <c r="C530" s="27"/>
    </row>
    <row r="531" ht="22.5" customHeight="1">
      <c r="A531" s="27"/>
      <c r="B531" s="27"/>
      <c r="C531" s="27"/>
    </row>
    <row r="532" ht="22.5" customHeight="1">
      <c r="A532" s="27"/>
      <c r="B532" s="27"/>
      <c r="C532" s="27"/>
    </row>
    <row r="533" ht="22.5" customHeight="1">
      <c r="A533" s="27"/>
      <c r="B533" s="27"/>
      <c r="C533" s="27"/>
    </row>
    <row r="534" ht="22.5" customHeight="1">
      <c r="A534" s="27"/>
      <c r="B534" s="27"/>
      <c r="C534" s="27"/>
    </row>
    <row r="535" ht="22.5" customHeight="1">
      <c r="A535" s="27"/>
      <c r="B535" s="27"/>
      <c r="C535" s="27"/>
    </row>
    <row r="536" ht="22.5" customHeight="1">
      <c r="A536" s="27"/>
      <c r="B536" s="27"/>
      <c r="C536" s="27"/>
    </row>
    <row r="537" ht="22.5" customHeight="1">
      <c r="A537" s="27"/>
      <c r="B537" s="27"/>
      <c r="C537" s="27"/>
    </row>
    <row r="538" ht="22.5" customHeight="1">
      <c r="A538" s="27"/>
      <c r="B538" s="27"/>
      <c r="C538" s="27"/>
    </row>
    <row r="539" ht="22.5" customHeight="1">
      <c r="A539" s="27"/>
      <c r="B539" s="27"/>
      <c r="C539" s="27"/>
    </row>
    <row r="540" ht="22.5" customHeight="1">
      <c r="A540" s="27"/>
      <c r="B540" s="27"/>
      <c r="C540" s="27"/>
    </row>
    <row r="541" ht="22.5" customHeight="1">
      <c r="A541" s="27"/>
      <c r="B541" s="27"/>
      <c r="C541" s="27"/>
    </row>
    <row r="542" ht="22.5" customHeight="1">
      <c r="A542" s="27"/>
      <c r="B542" s="27"/>
      <c r="C542" s="27"/>
    </row>
    <row r="543" ht="22.5" customHeight="1">
      <c r="A543" s="27"/>
      <c r="B543" s="27"/>
      <c r="C543" s="27"/>
    </row>
    <row r="544" ht="22.5" customHeight="1">
      <c r="A544" s="27"/>
      <c r="B544" s="27"/>
      <c r="C544" s="27"/>
    </row>
    <row r="545" ht="22.5" customHeight="1">
      <c r="A545" s="27"/>
      <c r="B545" s="27"/>
      <c r="C545" s="27"/>
    </row>
    <row r="546" ht="22.5" customHeight="1">
      <c r="A546" s="27"/>
      <c r="B546" s="27"/>
      <c r="C546" s="27"/>
    </row>
    <row r="547" ht="22.5" customHeight="1">
      <c r="A547" s="27"/>
      <c r="B547" s="27"/>
      <c r="C547" s="27"/>
    </row>
    <row r="548" ht="22.5" customHeight="1">
      <c r="A548" s="27"/>
      <c r="B548" s="27"/>
      <c r="C548" s="27"/>
    </row>
    <row r="549" ht="22.5" customHeight="1">
      <c r="A549" s="27"/>
      <c r="B549" s="27"/>
      <c r="C549" s="27"/>
    </row>
    <row r="550" ht="22.5" customHeight="1">
      <c r="A550" s="27"/>
      <c r="B550" s="27"/>
      <c r="C550" s="27"/>
    </row>
    <row r="551" ht="22.5" customHeight="1">
      <c r="A551" s="27"/>
      <c r="B551" s="27"/>
      <c r="C551" s="27"/>
    </row>
    <row r="552" ht="22.5" customHeight="1">
      <c r="A552" s="27"/>
      <c r="B552" s="27"/>
      <c r="C552" s="27"/>
    </row>
    <row r="553" ht="22.5" customHeight="1">
      <c r="A553" s="27"/>
      <c r="B553" s="27"/>
      <c r="C553" s="27"/>
    </row>
    <row r="554" ht="22.5" customHeight="1">
      <c r="A554" s="27"/>
      <c r="B554" s="27"/>
      <c r="C554" s="27"/>
    </row>
    <row r="555" ht="22.5" customHeight="1">
      <c r="A555" s="27"/>
      <c r="B555" s="27"/>
      <c r="C555" s="27"/>
    </row>
    <row r="556" ht="22.5" customHeight="1">
      <c r="A556" s="27"/>
      <c r="B556" s="27"/>
      <c r="C556" s="27"/>
    </row>
    <row r="557" ht="22.5" customHeight="1">
      <c r="A557" s="27"/>
      <c r="B557" s="27"/>
      <c r="C557" s="27"/>
    </row>
    <row r="558" ht="22.5" customHeight="1">
      <c r="A558" s="27"/>
      <c r="B558" s="27"/>
      <c r="C558" s="27"/>
    </row>
    <row r="559" ht="22.5" customHeight="1">
      <c r="A559" s="27"/>
      <c r="B559" s="27"/>
      <c r="C559" s="27"/>
    </row>
    <row r="560" ht="22.5" customHeight="1">
      <c r="A560" s="27"/>
      <c r="B560" s="27"/>
      <c r="C560" s="27"/>
    </row>
    <row r="561" ht="22.5" customHeight="1">
      <c r="A561" s="27"/>
      <c r="B561" s="27"/>
      <c r="C561" s="27"/>
    </row>
    <row r="562" ht="22.5" customHeight="1">
      <c r="A562" s="27"/>
      <c r="B562" s="27"/>
      <c r="C562" s="27"/>
    </row>
    <row r="563" ht="22.5" customHeight="1">
      <c r="A563" s="27"/>
      <c r="B563" s="27"/>
      <c r="C563" s="27"/>
    </row>
    <row r="564" ht="22.5" customHeight="1">
      <c r="A564" s="27"/>
      <c r="B564" s="27"/>
      <c r="C564" s="27"/>
    </row>
    <row r="565" ht="22.5" customHeight="1">
      <c r="A565" s="27"/>
      <c r="B565" s="27"/>
      <c r="C565" s="27"/>
    </row>
    <row r="566" ht="22.5" customHeight="1">
      <c r="A566" s="27"/>
      <c r="B566" s="27"/>
      <c r="C566" s="27"/>
    </row>
    <row r="567" ht="22.5" customHeight="1">
      <c r="A567" s="27"/>
      <c r="B567" s="27"/>
      <c r="C567" s="27"/>
    </row>
    <row r="568" ht="22.5" customHeight="1">
      <c r="A568" s="27"/>
      <c r="B568" s="27"/>
      <c r="C568" s="27"/>
    </row>
    <row r="569" ht="22.5" customHeight="1">
      <c r="A569" s="27"/>
      <c r="B569" s="27"/>
      <c r="C569" s="27"/>
    </row>
    <row r="570" ht="22.5" customHeight="1">
      <c r="A570" s="27"/>
      <c r="B570" s="27"/>
      <c r="C570" s="27"/>
    </row>
    <row r="571" ht="22.5" customHeight="1">
      <c r="A571" s="27"/>
      <c r="B571" s="27"/>
      <c r="C571" s="27"/>
    </row>
    <row r="572" ht="22.5" customHeight="1">
      <c r="A572" s="27"/>
      <c r="B572" s="27"/>
      <c r="C572" s="27"/>
    </row>
    <row r="573" ht="22.5" customHeight="1">
      <c r="A573" s="27"/>
      <c r="B573" s="27"/>
      <c r="C573" s="27"/>
    </row>
    <row r="574" ht="22.5" customHeight="1">
      <c r="A574" s="27"/>
      <c r="B574" s="27"/>
      <c r="C574" s="27"/>
    </row>
    <row r="575" ht="22.5" customHeight="1">
      <c r="A575" s="27"/>
      <c r="B575" s="27"/>
      <c r="C575" s="27"/>
    </row>
    <row r="576" ht="22.5" customHeight="1">
      <c r="A576" s="27"/>
      <c r="B576" s="27"/>
      <c r="C576" s="27"/>
    </row>
    <row r="577" ht="22.5" customHeight="1">
      <c r="A577" s="27"/>
      <c r="B577" s="27"/>
      <c r="C577" s="27"/>
    </row>
    <row r="578" ht="22.5" customHeight="1">
      <c r="A578" s="27"/>
      <c r="B578" s="27"/>
      <c r="C578" s="27"/>
    </row>
    <row r="579" ht="22.5" customHeight="1">
      <c r="A579" s="27"/>
      <c r="B579" s="27"/>
      <c r="C579" s="27"/>
    </row>
    <row r="580" ht="22.5" customHeight="1">
      <c r="A580" s="27"/>
      <c r="B580" s="27"/>
      <c r="C580" s="27"/>
    </row>
    <row r="581" ht="22.5" customHeight="1">
      <c r="A581" s="27"/>
      <c r="B581" s="27"/>
      <c r="C581" s="27"/>
    </row>
    <row r="582" ht="22.5" customHeight="1">
      <c r="A582" s="27"/>
      <c r="B582" s="27"/>
      <c r="C582" s="27"/>
    </row>
    <row r="583" ht="22.5" customHeight="1">
      <c r="A583" s="27"/>
      <c r="B583" s="27"/>
      <c r="C583" s="27"/>
    </row>
    <row r="584" ht="22.5" customHeight="1">
      <c r="A584" s="27"/>
      <c r="B584" s="27"/>
      <c r="C584" s="27"/>
    </row>
    <row r="585" ht="22.5" customHeight="1">
      <c r="A585" s="27"/>
      <c r="B585" s="27"/>
      <c r="C585" s="27"/>
    </row>
    <row r="586" ht="22.5" customHeight="1">
      <c r="A586" s="27"/>
      <c r="B586" s="27"/>
      <c r="C586" s="27"/>
    </row>
    <row r="587" ht="22.5" customHeight="1">
      <c r="A587" s="27"/>
      <c r="B587" s="27"/>
      <c r="C587" s="27"/>
    </row>
    <row r="588" ht="22.5" customHeight="1">
      <c r="A588" s="27"/>
      <c r="B588" s="27"/>
      <c r="C588" s="27"/>
    </row>
    <row r="589" ht="22.5" customHeight="1">
      <c r="A589" s="27"/>
      <c r="B589" s="27"/>
      <c r="C589" s="27"/>
    </row>
    <row r="590" ht="22.5" customHeight="1">
      <c r="A590" s="27"/>
      <c r="B590" s="27"/>
      <c r="C590" s="27"/>
    </row>
    <row r="591" ht="22.5" customHeight="1">
      <c r="A591" s="27"/>
      <c r="B591" s="27"/>
      <c r="C591" s="27"/>
    </row>
    <row r="592" ht="22.5" customHeight="1">
      <c r="A592" s="27"/>
      <c r="B592" s="27"/>
      <c r="C592" s="27"/>
    </row>
    <row r="593" ht="22.5" customHeight="1">
      <c r="A593" s="27"/>
      <c r="B593" s="27"/>
      <c r="C593" s="27"/>
    </row>
    <row r="594" ht="22.5" customHeight="1">
      <c r="A594" s="27"/>
      <c r="B594" s="27"/>
      <c r="C594" s="27"/>
    </row>
    <row r="595" ht="22.5" customHeight="1">
      <c r="A595" s="27"/>
      <c r="B595" s="27"/>
      <c r="C595" s="27"/>
    </row>
    <row r="596" ht="22.5" customHeight="1">
      <c r="A596" s="27"/>
      <c r="B596" s="27"/>
      <c r="C596" s="27"/>
    </row>
    <row r="597" ht="22.5" customHeight="1">
      <c r="A597" s="27"/>
      <c r="B597" s="27"/>
      <c r="C597" s="27"/>
    </row>
    <row r="598" ht="22.5" customHeight="1">
      <c r="A598" s="27"/>
      <c r="B598" s="27"/>
      <c r="C598" s="27"/>
    </row>
    <row r="599" ht="22.5" customHeight="1">
      <c r="A599" s="27"/>
      <c r="B599" s="27"/>
      <c r="C599" s="27"/>
    </row>
    <row r="600" ht="22.5" customHeight="1">
      <c r="A600" s="27"/>
      <c r="B600" s="27"/>
      <c r="C600" s="27"/>
    </row>
    <row r="601" ht="22.5" customHeight="1">
      <c r="A601" s="27"/>
      <c r="B601" s="27"/>
      <c r="C601" s="27"/>
    </row>
    <row r="602" ht="22.5" customHeight="1">
      <c r="A602" s="27"/>
      <c r="B602" s="27"/>
      <c r="C602" s="27"/>
    </row>
    <row r="603" ht="22.5" customHeight="1">
      <c r="A603" s="27"/>
      <c r="B603" s="27"/>
      <c r="C603" s="27"/>
    </row>
    <row r="604" ht="22.5" customHeight="1">
      <c r="A604" s="27"/>
      <c r="B604" s="27"/>
      <c r="C604" s="27"/>
    </row>
    <row r="605" ht="22.5" customHeight="1">
      <c r="A605" s="27"/>
      <c r="B605" s="27"/>
      <c r="C605" s="27"/>
    </row>
    <row r="606" ht="22.5" customHeight="1">
      <c r="A606" s="27"/>
      <c r="B606" s="27"/>
      <c r="C606" s="27"/>
    </row>
    <row r="607" ht="22.5" customHeight="1">
      <c r="A607" s="27"/>
      <c r="B607" s="27"/>
      <c r="C607" s="27"/>
    </row>
    <row r="608" ht="22.5" customHeight="1">
      <c r="A608" s="27"/>
      <c r="B608" s="27"/>
      <c r="C608" s="27"/>
    </row>
    <row r="609" ht="22.5" customHeight="1">
      <c r="A609" s="27"/>
      <c r="B609" s="27"/>
      <c r="C609" s="27"/>
    </row>
    <row r="610" ht="22.5" customHeight="1">
      <c r="A610" s="27"/>
      <c r="B610" s="27"/>
      <c r="C610" s="27"/>
    </row>
    <row r="611" ht="22.5" customHeight="1">
      <c r="A611" s="27"/>
      <c r="B611" s="27"/>
      <c r="C611" s="27"/>
    </row>
    <row r="612" ht="22.5" customHeight="1">
      <c r="A612" s="27"/>
      <c r="B612" s="27"/>
      <c r="C612" s="27"/>
    </row>
    <row r="613" ht="22.5" customHeight="1">
      <c r="A613" s="27"/>
      <c r="B613" s="27"/>
      <c r="C613" s="27"/>
    </row>
    <row r="614" ht="22.5" customHeight="1">
      <c r="A614" s="27"/>
      <c r="B614" s="27"/>
      <c r="C614" s="27"/>
    </row>
    <row r="615" ht="22.5" customHeight="1">
      <c r="A615" s="27"/>
      <c r="B615" s="27"/>
      <c r="C615" s="27"/>
    </row>
    <row r="616" ht="22.5" customHeight="1">
      <c r="A616" s="27"/>
      <c r="B616" s="27"/>
      <c r="C616" s="27"/>
    </row>
    <row r="617" ht="22.5" customHeight="1">
      <c r="A617" s="27"/>
      <c r="B617" s="27"/>
      <c r="C617" s="27"/>
    </row>
    <row r="618" ht="22.5" customHeight="1">
      <c r="A618" s="27"/>
      <c r="B618" s="27"/>
      <c r="C618" s="27"/>
    </row>
    <row r="619" ht="22.5" customHeight="1">
      <c r="A619" s="27"/>
      <c r="B619" s="27"/>
      <c r="C619" s="27"/>
    </row>
    <row r="620" ht="22.5" customHeight="1">
      <c r="A620" s="27"/>
      <c r="B620" s="27"/>
      <c r="C620" s="27"/>
    </row>
    <row r="621" ht="22.5" customHeight="1">
      <c r="A621" s="27"/>
      <c r="B621" s="27"/>
      <c r="C621" s="27"/>
    </row>
    <row r="622" ht="22.5" customHeight="1">
      <c r="A622" s="27"/>
      <c r="B622" s="27"/>
      <c r="C622" s="27"/>
    </row>
    <row r="623" ht="22.5" customHeight="1">
      <c r="A623" s="27"/>
      <c r="B623" s="27"/>
      <c r="C623" s="27"/>
    </row>
    <row r="624" ht="22.5" customHeight="1">
      <c r="A624" s="27"/>
      <c r="B624" s="27"/>
      <c r="C624" s="27"/>
    </row>
    <row r="625" ht="22.5" customHeight="1">
      <c r="A625" s="27"/>
      <c r="B625" s="27"/>
      <c r="C625" s="27"/>
    </row>
    <row r="626" ht="22.5" customHeight="1">
      <c r="A626" s="27"/>
      <c r="B626" s="27"/>
      <c r="C626" s="27"/>
    </row>
    <row r="627" ht="22.5" customHeight="1">
      <c r="A627" s="27"/>
      <c r="B627" s="27"/>
      <c r="C627" s="27"/>
    </row>
    <row r="628" ht="22.5" customHeight="1">
      <c r="A628" s="27"/>
      <c r="B628" s="27"/>
      <c r="C628" s="27"/>
    </row>
    <row r="629" ht="22.5" customHeight="1">
      <c r="A629" s="27"/>
      <c r="B629" s="27"/>
      <c r="C629" s="27"/>
    </row>
    <row r="630" ht="22.5" customHeight="1">
      <c r="A630" s="27"/>
      <c r="B630" s="27"/>
      <c r="C630" s="27"/>
    </row>
    <row r="631" ht="22.5" customHeight="1">
      <c r="A631" s="27"/>
      <c r="B631" s="27"/>
      <c r="C631" s="27"/>
    </row>
    <row r="632" ht="22.5" customHeight="1">
      <c r="A632" s="27"/>
      <c r="B632" s="27"/>
      <c r="C632" s="27"/>
    </row>
    <row r="633" ht="22.5" customHeight="1">
      <c r="A633" s="27"/>
      <c r="B633" s="27"/>
      <c r="C633" s="27"/>
    </row>
    <row r="634" ht="22.5" customHeight="1">
      <c r="A634" s="27"/>
      <c r="B634" s="27"/>
      <c r="C634" s="27"/>
    </row>
    <row r="635" ht="22.5" customHeight="1">
      <c r="A635" s="27"/>
      <c r="B635" s="27"/>
      <c r="C635" s="27"/>
    </row>
    <row r="636" ht="22.5" customHeight="1">
      <c r="A636" s="27"/>
      <c r="B636" s="27"/>
      <c r="C636" s="27"/>
    </row>
    <row r="637" ht="22.5" customHeight="1">
      <c r="A637" s="27"/>
      <c r="B637" s="27"/>
      <c r="C637" s="27"/>
    </row>
    <row r="638" ht="22.5" customHeight="1">
      <c r="A638" s="27"/>
      <c r="B638" s="27"/>
      <c r="C638" s="27"/>
    </row>
    <row r="639" ht="22.5" customHeight="1">
      <c r="A639" s="27"/>
      <c r="B639" s="27"/>
      <c r="C639" s="27"/>
    </row>
    <row r="640" ht="22.5" customHeight="1">
      <c r="A640" s="27"/>
      <c r="B640" s="27"/>
      <c r="C640" s="27"/>
    </row>
    <row r="641" ht="22.5" customHeight="1">
      <c r="A641" s="27"/>
      <c r="B641" s="27"/>
      <c r="C641" s="27"/>
    </row>
    <row r="642" ht="22.5" customHeight="1">
      <c r="A642" s="27"/>
      <c r="B642" s="27"/>
      <c r="C642" s="27"/>
    </row>
    <row r="643" ht="22.5" customHeight="1">
      <c r="A643" s="27"/>
      <c r="B643" s="27"/>
      <c r="C643" s="27"/>
    </row>
    <row r="644" ht="22.5" customHeight="1">
      <c r="A644" s="27"/>
      <c r="B644" s="27"/>
      <c r="C644" s="27"/>
    </row>
    <row r="645" ht="22.5" customHeight="1">
      <c r="A645" s="27"/>
      <c r="B645" s="27"/>
      <c r="C645" s="27"/>
    </row>
    <row r="646" ht="22.5" customHeight="1">
      <c r="A646" s="27"/>
      <c r="B646" s="27"/>
      <c r="C646" s="27"/>
    </row>
    <row r="647" ht="22.5" customHeight="1">
      <c r="A647" s="27"/>
      <c r="B647" s="27"/>
      <c r="C647" s="27"/>
    </row>
    <row r="648" ht="22.5" customHeight="1">
      <c r="A648" s="27"/>
      <c r="B648" s="27"/>
      <c r="C648" s="27"/>
    </row>
    <row r="649" ht="22.5" customHeight="1">
      <c r="A649" s="27"/>
      <c r="B649" s="27"/>
      <c r="C649" s="27"/>
    </row>
    <row r="650" ht="22.5" customHeight="1">
      <c r="A650" s="27"/>
      <c r="B650" s="27"/>
      <c r="C650" s="27"/>
    </row>
    <row r="651" ht="22.5" customHeight="1">
      <c r="A651" s="27"/>
      <c r="B651" s="27"/>
      <c r="C651" s="27"/>
    </row>
    <row r="652" ht="22.5" customHeight="1">
      <c r="A652" s="27"/>
      <c r="B652" s="27"/>
      <c r="C652" s="27"/>
    </row>
    <row r="653" ht="22.5" customHeight="1">
      <c r="A653" s="27"/>
      <c r="B653" s="27"/>
      <c r="C653" s="27"/>
    </row>
    <row r="654" ht="22.5" customHeight="1">
      <c r="A654" s="27"/>
      <c r="B654" s="27"/>
      <c r="C654" s="27"/>
    </row>
    <row r="655" ht="22.5" customHeight="1">
      <c r="A655" s="27"/>
      <c r="B655" s="27"/>
      <c r="C655" s="27"/>
    </row>
    <row r="656" ht="22.5" customHeight="1">
      <c r="A656" s="27"/>
      <c r="B656" s="27"/>
      <c r="C656" s="27"/>
    </row>
    <row r="657" ht="22.5" customHeight="1">
      <c r="A657" s="27"/>
      <c r="B657" s="27"/>
      <c r="C657" s="27"/>
    </row>
    <row r="658" ht="22.5" customHeight="1">
      <c r="A658" s="27"/>
      <c r="B658" s="27"/>
      <c r="C658" s="27"/>
    </row>
    <row r="659" ht="22.5" customHeight="1">
      <c r="A659" s="27"/>
      <c r="B659" s="27"/>
      <c r="C659" s="27"/>
    </row>
    <row r="660" ht="22.5" customHeight="1">
      <c r="A660" s="27"/>
      <c r="B660" s="27"/>
      <c r="C660" s="27"/>
    </row>
    <row r="661" ht="22.5" customHeight="1">
      <c r="A661" s="27"/>
      <c r="B661" s="27"/>
      <c r="C661" s="27"/>
    </row>
    <row r="662" ht="22.5" customHeight="1">
      <c r="A662" s="27"/>
      <c r="B662" s="27"/>
      <c r="C662" s="27"/>
    </row>
    <row r="663" ht="22.5" customHeight="1">
      <c r="A663" s="27"/>
      <c r="B663" s="27"/>
      <c r="C663" s="27"/>
    </row>
    <row r="664" ht="22.5" customHeight="1">
      <c r="A664" s="27"/>
      <c r="B664" s="27"/>
      <c r="C664" s="27"/>
    </row>
    <row r="665" ht="22.5" customHeight="1">
      <c r="A665" s="27"/>
      <c r="B665" s="27"/>
      <c r="C665" s="27"/>
    </row>
    <row r="666" ht="22.5" customHeight="1">
      <c r="A666" s="27"/>
      <c r="B666" s="27"/>
      <c r="C666" s="27"/>
    </row>
    <row r="667" ht="22.5" customHeight="1">
      <c r="A667" s="27"/>
      <c r="B667" s="27"/>
      <c r="C667" s="27"/>
    </row>
    <row r="668" ht="22.5" customHeight="1">
      <c r="A668" s="27"/>
      <c r="B668" s="27"/>
      <c r="C668" s="27"/>
    </row>
    <row r="669" ht="22.5" customHeight="1">
      <c r="A669" s="27"/>
      <c r="B669" s="27"/>
      <c r="C669" s="27"/>
    </row>
    <row r="670" ht="22.5" customHeight="1">
      <c r="A670" s="27"/>
      <c r="B670" s="27"/>
      <c r="C670" s="27"/>
    </row>
    <row r="671" ht="22.5" customHeight="1">
      <c r="A671" s="27"/>
      <c r="B671" s="27"/>
      <c r="C671" s="27"/>
    </row>
    <row r="672" ht="22.5" customHeight="1">
      <c r="A672" s="27"/>
      <c r="B672" s="27"/>
      <c r="C672" s="27"/>
    </row>
    <row r="673" ht="22.5" customHeight="1">
      <c r="A673" s="27"/>
      <c r="B673" s="27"/>
      <c r="C673" s="27"/>
    </row>
    <row r="674" ht="22.5" customHeight="1">
      <c r="A674" s="27"/>
      <c r="B674" s="27"/>
      <c r="C674" s="27"/>
    </row>
    <row r="675" ht="22.5" customHeight="1">
      <c r="A675" s="27"/>
      <c r="B675" s="27"/>
      <c r="C675" s="27"/>
    </row>
    <row r="676" ht="22.5" customHeight="1">
      <c r="A676" s="27"/>
      <c r="B676" s="27"/>
      <c r="C676" s="27"/>
    </row>
    <row r="677" ht="22.5" customHeight="1">
      <c r="A677" s="27"/>
      <c r="B677" s="27"/>
      <c r="C677" s="27"/>
    </row>
    <row r="678" ht="22.5" customHeight="1">
      <c r="A678" s="27"/>
      <c r="B678" s="27"/>
      <c r="C678" s="27"/>
    </row>
    <row r="679" ht="22.5" customHeight="1">
      <c r="A679" s="27"/>
      <c r="B679" s="27"/>
      <c r="C679" s="27"/>
    </row>
    <row r="680" ht="22.5" customHeight="1">
      <c r="A680" s="27"/>
      <c r="B680" s="27"/>
      <c r="C680" s="27"/>
    </row>
    <row r="681" ht="22.5" customHeight="1">
      <c r="A681" s="27"/>
      <c r="B681" s="27"/>
      <c r="C681" s="27"/>
    </row>
    <row r="682" ht="22.5" customHeight="1">
      <c r="A682" s="27"/>
      <c r="B682" s="27"/>
      <c r="C682" s="27"/>
    </row>
    <row r="683" ht="22.5" customHeight="1">
      <c r="A683" s="27"/>
      <c r="B683" s="27"/>
      <c r="C683" s="27"/>
    </row>
    <row r="684" ht="22.5" customHeight="1">
      <c r="A684" s="27"/>
      <c r="B684" s="27"/>
      <c r="C684" s="27"/>
    </row>
    <row r="685" ht="22.5" customHeight="1">
      <c r="A685" s="27"/>
      <c r="B685" s="27"/>
      <c r="C685" s="27"/>
    </row>
    <row r="686" ht="22.5" customHeight="1">
      <c r="A686" s="27"/>
      <c r="B686" s="27"/>
      <c r="C686" s="27"/>
    </row>
    <row r="687" ht="22.5" customHeight="1">
      <c r="A687" s="27"/>
      <c r="B687" s="27"/>
      <c r="C687" s="27"/>
    </row>
    <row r="688" ht="22.5" customHeight="1">
      <c r="A688" s="27"/>
      <c r="B688" s="27"/>
      <c r="C688" s="27"/>
    </row>
    <row r="689" ht="22.5" customHeight="1">
      <c r="A689" s="27"/>
      <c r="B689" s="27"/>
      <c r="C689" s="27"/>
    </row>
    <row r="690" ht="22.5" customHeight="1">
      <c r="A690" s="27"/>
      <c r="B690" s="27"/>
      <c r="C690" s="27"/>
    </row>
    <row r="691" ht="22.5" customHeight="1">
      <c r="A691" s="27"/>
      <c r="B691" s="27"/>
      <c r="C691" s="27"/>
    </row>
    <row r="692" ht="22.5" customHeight="1">
      <c r="A692" s="27"/>
      <c r="B692" s="27"/>
      <c r="C692" s="27"/>
    </row>
    <row r="693" ht="22.5" customHeight="1">
      <c r="A693" s="27"/>
      <c r="B693" s="27"/>
      <c r="C693" s="27"/>
    </row>
    <row r="694" ht="22.5" customHeight="1">
      <c r="A694" s="27"/>
      <c r="B694" s="27"/>
      <c r="C694" s="27"/>
    </row>
    <row r="695" ht="22.5" customHeight="1">
      <c r="A695" s="27"/>
      <c r="B695" s="27"/>
      <c r="C695" s="27"/>
    </row>
    <row r="696" ht="22.5" customHeight="1">
      <c r="A696" s="27"/>
      <c r="B696" s="27"/>
      <c r="C696" s="27"/>
    </row>
    <row r="697" ht="22.5" customHeight="1">
      <c r="A697" s="27"/>
      <c r="B697" s="27"/>
      <c r="C697" s="27"/>
    </row>
    <row r="698" ht="22.5" customHeight="1">
      <c r="A698" s="27"/>
      <c r="B698" s="27"/>
      <c r="C698" s="27"/>
    </row>
    <row r="699" ht="22.5" customHeight="1">
      <c r="A699" s="27"/>
      <c r="B699" s="27"/>
      <c r="C699" s="27"/>
    </row>
    <row r="700" ht="22.5" customHeight="1">
      <c r="A700" s="27"/>
      <c r="B700" s="27"/>
      <c r="C700" s="27"/>
    </row>
    <row r="701" ht="22.5" customHeight="1">
      <c r="A701" s="27"/>
      <c r="B701" s="27"/>
      <c r="C701" s="27"/>
    </row>
    <row r="702" ht="22.5" customHeight="1">
      <c r="A702" s="27"/>
      <c r="B702" s="27"/>
      <c r="C702" s="27"/>
    </row>
    <row r="703" ht="22.5" customHeight="1">
      <c r="A703" s="27"/>
      <c r="B703" s="27"/>
      <c r="C703" s="27"/>
    </row>
    <row r="704" ht="22.5" customHeight="1">
      <c r="A704" s="27"/>
      <c r="B704" s="27"/>
      <c r="C704" s="27"/>
    </row>
    <row r="705" ht="22.5" customHeight="1">
      <c r="A705" s="27"/>
      <c r="B705" s="27"/>
      <c r="C705" s="27"/>
    </row>
    <row r="706" ht="22.5" customHeight="1">
      <c r="A706" s="27"/>
      <c r="B706" s="27"/>
      <c r="C706" s="27"/>
    </row>
    <row r="707" ht="22.5" customHeight="1">
      <c r="A707" s="27"/>
      <c r="B707" s="27"/>
      <c r="C707" s="27"/>
    </row>
    <row r="708" ht="22.5" customHeight="1">
      <c r="A708" s="27"/>
      <c r="B708" s="27"/>
      <c r="C708" s="27"/>
    </row>
    <row r="709" ht="22.5" customHeight="1">
      <c r="A709" s="27"/>
      <c r="B709" s="27"/>
      <c r="C709" s="27"/>
    </row>
    <row r="710" ht="22.5" customHeight="1">
      <c r="A710" s="27"/>
      <c r="B710" s="27"/>
      <c r="C710" s="27"/>
    </row>
    <row r="711" ht="22.5" customHeight="1">
      <c r="A711" s="27"/>
      <c r="B711" s="27"/>
      <c r="C711" s="27"/>
    </row>
    <row r="712" ht="22.5" customHeight="1">
      <c r="A712" s="27"/>
      <c r="B712" s="27"/>
      <c r="C712" s="27"/>
    </row>
    <row r="713" ht="22.5" customHeight="1">
      <c r="A713" s="27"/>
      <c r="B713" s="27"/>
      <c r="C713" s="27"/>
    </row>
    <row r="714" ht="22.5" customHeight="1">
      <c r="A714" s="27"/>
      <c r="B714" s="27"/>
      <c r="C714" s="27"/>
    </row>
    <row r="715" ht="22.5" customHeight="1">
      <c r="A715" s="27"/>
      <c r="B715" s="27"/>
      <c r="C715" s="27"/>
    </row>
    <row r="716" ht="22.5" customHeight="1">
      <c r="A716" s="27"/>
      <c r="B716" s="27"/>
      <c r="C716" s="27"/>
    </row>
    <row r="717" ht="22.5" customHeight="1">
      <c r="A717" s="27"/>
      <c r="B717" s="27"/>
      <c r="C717" s="27"/>
    </row>
    <row r="718" ht="22.5" customHeight="1">
      <c r="A718" s="27"/>
      <c r="B718" s="27"/>
      <c r="C718" s="27"/>
    </row>
    <row r="719" ht="22.5" customHeight="1">
      <c r="A719" s="27"/>
      <c r="B719" s="27"/>
      <c r="C719" s="27"/>
    </row>
    <row r="720" ht="22.5" customHeight="1">
      <c r="A720" s="27"/>
      <c r="B720" s="27"/>
      <c r="C720" s="27"/>
    </row>
    <row r="721" ht="22.5" customHeight="1">
      <c r="A721" s="27"/>
      <c r="B721" s="27"/>
      <c r="C721" s="27"/>
    </row>
    <row r="722" ht="22.5" customHeight="1">
      <c r="A722" s="27"/>
      <c r="B722" s="27"/>
      <c r="C722" s="27"/>
    </row>
    <row r="723" ht="22.5" customHeight="1">
      <c r="A723" s="27"/>
      <c r="B723" s="27"/>
      <c r="C723" s="27"/>
    </row>
    <row r="724" ht="22.5" customHeight="1">
      <c r="A724" s="27"/>
      <c r="B724" s="27"/>
      <c r="C724" s="27"/>
    </row>
    <row r="725" ht="22.5" customHeight="1">
      <c r="A725" s="27"/>
      <c r="B725" s="27"/>
      <c r="C725" s="27"/>
    </row>
    <row r="726" ht="22.5" customHeight="1">
      <c r="A726" s="27"/>
      <c r="B726" s="27"/>
      <c r="C726" s="27"/>
    </row>
    <row r="727" ht="22.5" customHeight="1">
      <c r="A727" s="27"/>
      <c r="B727" s="27"/>
      <c r="C727" s="27"/>
    </row>
    <row r="728" ht="22.5" customHeight="1">
      <c r="A728" s="27"/>
      <c r="B728" s="27"/>
      <c r="C728" s="27"/>
    </row>
    <row r="729" ht="22.5" customHeight="1">
      <c r="A729" s="27"/>
      <c r="B729" s="27"/>
      <c r="C729" s="27"/>
    </row>
    <row r="730" ht="22.5" customHeight="1">
      <c r="A730" s="27"/>
      <c r="B730" s="27"/>
      <c r="C730" s="27"/>
    </row>
    <row r="731" ht="22.5" customHeight="1">
      <c r="A731" s="27"/>
      <c r="B731" s="27"/>
      <c r="C731" s="27"/>
    </row>
    <row r="732" ht="22.5" customHeight="1">
      <c r="A732" s="27"/>
      <c r="B732" s="27"/>
      <c r="C732" s="27"/>
    </row>
    <row r="733" ht="22.5" customHeight="1">
      <c r="A733" s="27"/>
      <c r="B733" s="27"/>
      <c r="C733" s="27"/>
    </row>
    <row r="734" ht="22.5" customHeight="1">
      <c r="A734" s="27"/>
      <c r="B734" s="27"/>
      <c r="C734" s="27"/>
    </row>
    <row r="735" ht="22.5" customHeight="1">
      <c r="A735" s="27"/>
      <c r="B735" s="27"/>
      <c r="C735" s="27"/>
    </row>
    <row r="736" ht="22.5" customHeight="1">
      <c r="A736" s="27"/>
      <c r="B736" s="27"/>
      <c r="C736" s="27"/>
    </row>
    <row r="737" ht="22.5" customHeight="1">
      <c r="A737" s="27"/>
      <c r="B737" s="27"/>
      <c r="C737" s="27"/>
    </row>
    <row r="738" ht="22.5" customHeight="1">
      <c r="A738" s="27"/>
      <c r="B738" s="27"/>
      <c r="C738" s="27"/>
    </row>
    <row r="739" ht="22.5" customHeight="1">
      <c r="A739" s="27"/>
      <c r="B739" s="27"/>
      <c r="C739" s="27"/>
    </row>
    <row r="740" ht="22.5" customHeight="1">
      <c r="A740" s="27"/>
      <c r="B740" s="27"/>
      <c r="C740" s="27"/>
    </row>
    <row r="741" ht="22.5" customHeight="1">
      <c r="A741" s="27"/>
      <c r="B741" s="27"/>
      <c r="C741" s="27"/>
    </row>
    <row r="742" ht="22.5" customHeight="1">
      <c r="A742" s="27"/>
      <c r="B742" s="27"/>
      <c r="C742" s="27"/>
    </row>
    <row r="743" ht="22.5" customHeight="1">
      <c r="A743" s="27"/>
      <c r="B743" s="27"/>
      <c r="C743" s="27"/>
    </row>
    <row r="744" ht="22.5" customHeight="1">
      <c r="A744" s="27"/>
      <c r="B744" s="27"/>
      <c r="C744" s="27"/>
    </row>
    <row r="745" ht="22.5" customHeight="1">
      <c r="A745" s="27"/>
      <c r="B745" s="27"/>
      <c r="C745" s="27"/>
    </row>
    <row r="746" ht="22.5" customHeight="1">
      <c r="A746" s="27"/>
      <c r="B746" s="27"/>
      <c r="C746" s="27"/>
    </row>
    <row r="747" ht="22.5" customHeight="1">
      <c r="A747" s="27"/>
      <c r="B747" s="27"/>
      <c r="C747" s="27"/>
    </row>
    <row r="748" ht="22.5" customHeight="1">
      <c r="A748" s="27"/>
      <c r="B748" s="27"/>
      <c r="C748" s="27"/>
    </row>
    <row r="749" ht="22.5" customHeight="1">
      <c r="A749" s="27"/>
      <c r="B749" s="27"/>
      <c r="C749" s="27"/>
    </row>
    <row r="750" ht="22.5" customHeight="1">
      <c r="A750" s="27"/>
      <c r="B750" s="27"/>
      <c r="C750" s="27"/>
    </row>
    <row r="751" ht="22.5" customHeight="1">
      <c r="A751" s="27"/>
      <c r="B751" s="27"/>
      <c r="C751" s="27"/>
    </row>
    <row r="752" ht="22.5" customHeight="1">
      <c r="A752" s="27"/>
      <c r="B752" s="27"/>
      <c r="C752" s="27"/>
    </row>
    <row r="753" ht="22.5" customHeight="1">
      <c r="A753" s="27"/>
      <c r="B753" s="27"/>
      <c r="C753" s="27"/>
    </row>
    <row r="754" ht="22.5" customHeight="1">
      <c r="A754" s="27"/>
      <c r="B754" s="27"/>
      <c r="C754" s="27"/>
    </row>
    <row r="755" ht="22.5" customHeight="1">
      <c r="A755" s="27"/>
      <c r="B755" s="27"/>
      <c r="C755" s="27"/>
    </row>
    <row r="756" ht="22.5" customHeight="1">
      <c r="A756" s="27"/>
      <c r="B756" s="27"/>
      <c r="C756" s="27"/>
    </row>
    <row r="757" ht="22.5" customHeight="1">
      <c r="A757" s="27"/>
      <c r="B757" s="27"/>
      <c r="C757" s="27"/>
    </row>
    <row r="758" ht="22.5" customHeight="1">
      <c r="A758" s="27"/>
      <c r="B758" s="27"/>
      <c r="C758" s="27"/>
    </row>
    <row r="759" ht="22.5" customHeight="1">
      <c r="A759" s="27"/>
      <c r="B759" s="27"/>
      <c r="C759" s="27"/>
    </row>
    <row r="760" ht="22.5" customHeight="1">
      <c r="A760" s="27"/>
      <c r="B760" s="27"/>
      <c r="C760" s="27"/>
    </row>
    <row r="761" ht="22.5" customHeight="1">
      <c r="A761" s="27"/>
      <c r="B761" s="27"/>
      <c r="C761" s="27"/>
    </row>
    <row r="762" ht="22.5" customHeight="1">
      <c r="A762" s="27"/>
      <c r="B762" s="27"/>
      <c r="C762" s="27"/>
    </row>
    <row r="763" ht="22.5" customHeight="1">
      <c r="A763" s="27"/>
      <c r="B763" s="27"/>
      <c r="C763" s="27"/>
    </row>
    <row r="764" ht="22.5" customHeight="1">
      <c r="A764" s="27"/>
      <c r="B764" s="27"/>
      <c r="C764" s="27"/>
    </row>
    <row r="765" ht="22.5" customHeight="1">
      <c r="A765" s="27"/>
      <c r="B765" s="27"/>
      <c r="C765" s="27"/>
    </row>
    <row r="766" ht="22.5" customHeight="1">
      <c r="A766" s="27"/>
      <c r="B766" s="27"/>
      <c r="C766" s="27"/>
    </row>
    <row r="767" ht="22.5" customHeight="1">
      <c r="A767" s="27"/>
      <c r="B767" s="27"/>
      <c r="C767" s="27"/>
    </row>
    <row r="768" ht="22.5" customHeight="1">
      <c r="A768" s="27"/>
      <c r="B768" s="27"/>
      <c r="C768" s="27"/>
    </row>
    <row r="769" ht="22.5" customHeight="1">
      <c r="A769" s="27"/>
      <c r="B769" s="27"/>
      <c r="C769" s="27"/>
    </row>
    <row r="770" ht="22.5" customHeight="1">
      <c r="A770" s="27"/>
      <c r="B770" s="27"/>
      <c r="C770" s="27"/>
    </row>
    <row r="771" ht="22.5" customHeight="1">
      <c r="A771" s="27"/>
      <c r="B771" s="27"/>
      <c r="C771" s="27"/>
    </row>
    <row r="772" ht="22.5" customHeight="1">
      <c r="A772" s="27"/>
      <c r="B772" s="27"/>
      <c r="C772" s="27"/>
    </row>
    <row r="773" ht="22.5" customHeight="1">
      <c r="A773" s="27"/>
      <c r="B773" s="27"/>
      <c r="C773" s="27"/>
    </row>
    <row r="774" ht="22.5" customHeight="1">
      <c r="A774" s="27"/>
      <c r="B774" s="27"/>
      <c r="C774" s="27"/>
    </row>
    <row r="775" ht="22.5" customHeight="1">
      <c r="A775" s="27"/>
      <c r="B775" s="27"/>
      <c r="C775" s="27"/>
    </row>
    <row r="776" ht="22.5" customHeight="1">
      <c r="A776" s="27"/>
      <c r="B776" s="27"/>
      <c r="C776" s="27"/>
    </row>
    <row r="777" ht="22.5" customHeight="1">
      <c r="A777" s="27"/>
      <c r="B777" s="27"/>
      <c r="C777" s="27"/>
    </row>
    <row r="778" ht="22.5" customHeight="1">
      <c r="A778" s="27"/>
      <c r="B778" s="27"/>
      <c r="C778" s="27"/>
    </row>
    <row r="779" ht="22.5" customHeight="1">
      <c r="A779" s="27"/>
      <c r="B779" s="27"/>
      <c r="C779" s="27"/>
    </row>
    <row r="780" ht="22.5" customHeight="1">
      <c r="A780" s="27"/>
      <c r="B780" s="27"/>
      <c r="C780" s="27"/>
    </row>
    <row r="781" ht="22.5" customHeight="1">
      <c r="A781" s="27"/>
      <c r="B781" s="27"/>
      <c r="C781" s="27"/>
    </row>
    <row r="782" ht="22.5" customHeight="1">
      <c r="A782" s="27"/>
      <c r="B782" s="27"/>
      <c r="C782" s="27"/>
    </row>
    <row r="783" ht="22.5" customHeight="1">
      <c r="A783" s="27"/>
      <c r="B783" s="27"/>
      <c r="C783" s="27"/>
    </row>
    <row r="784" ht="22.5" customHeight="1">
      <c r="A784" s="27"/>
      <c r="B784" s="27"/>
      <c r="C784" s="27"/>
    </row>
    <row r="785" ht="22.5" customHeight="1">
      <c r="A785" s="27"/>
      <c r="B785" s="27"/>
      <c r="C785" s="27"/>
    </row>
    <row r="786" ht="22.5" customHeight="1">
      <c r="A786" s="27"/>
      <c r="B786" s="27"/>
      <c r="C786" s="27"/>
    </row>
    <row r="787" ht="22.5" customHeight="1">
      <c r="A787" s="27"/>
      <c r="B787" s="27"/>
      <c r="C787" s="27"/>
    </row>
    <row r="788" ht="22.5" customHeight="1">
      <c r="A788" s="27"/>
      <c r="B788" s="27"/>
      <c r="C788" s="27"/>
    </row>
    <row r="789" ht="22.5" customHeight="1">
      <c r="A789" s="27"/>
      <c r="B789" s="27"/>
      <c r="C789" s="27"/>
    </row>
    <row r="790" ht="22.5" customHeight="1">
      <c r="A790" s="27"/>
      <c r="B790" s="27"/>
      <c r="C790" s="27"/>
    </row>
    <row r="791" ht="22.5" customHeight="1">
      <c r="A791" s="27"/>
      <c r="B791" s="27"/>
      <c r="C791" s="27"/>
    </row>
    <row r="792" ht="22.5" customHeight="1">
      <c r="A792" s="27"/>
      <c r="B792" s="27"/>
      <c r="C792" s="27"/>
    </row>
    <row r="793" ht="22.5" customHeight="1">
      <c r="A793" s="27"/>
      <c r="B793" s="27"/>
      <c r="C793" s="27"/>
    </row>
    <row r="794" ht="22.5" customHeight="1">
      <c r="A794" s="27"/>
      <c r="B794" s="27"/>
      <c r="C794" s="27"/>
    </row>
    <row r="795" ht="22.5" customHeight="1">
      <c r="A795" s="27"/>
      <c r="B795" s="27"/>
      <c r="C795" s="27"/>
    </row>
    <row r="796" ht="22.5" customHeight="1">
      <c r="A796" s="27"/>
      <c r="B796" s="27"/>
      <c r="C796" s="27"/>
    </row>
    <row r="797" ht="22.5" customHeight="1">
      <c r="A797" s="27"/>
      <c r="B797" s="27"/>
      <c r="C797" s="27"/>
    </row>
    <row r="798" ht="22.5" customHeight="1">
      <c r="A798" s="27"/>
      <c r="B798" s="27"/>
      <c r="C798" s="27"/>
    </row>
    <row r="799" ht="22.5" customHeight="1">
      <c r="A799" s="27"/>
      <c r="B799" s="27"/>
      <c r="C799" s="27"/>
    </row>
    <row r="800" ht="22.5" customHeight="1">
      <c r="A800" s="27"/>
      <c r="B800" s="27"/>
      <c r="C800" s="27"/>
    </row>
    <row r="801" ht="22.5" customHeight="1">
      <c r="A801" s="27"/>
      <c r="B801" s="27"/>
      <c r="C801" s="27"/>
    </row>
    <row r="802" ht="22.5" customHeight="1">
      <c r="A802" s="27"/>
      <c r="B802" s="27"/>
      <c r="C802" s="27"/>
    </row>
    <row r="803" ht="22.5" customHeight="1">
      <c r="A803" s="27"/>
      <c r="B803" s="27"/>
      <c r="C803" s="27"/>
    </row>
    <row r="804" ht="22.5" customHeight="1">
      <c r="A804" s="27"/>
      <c r="B804" s="27"/>
      <c r="C804" s="27"/>
    </row>
    <row r="805" ht="22.5" customHeight="1">
      <c r="A805" s="27"/>
      <c r="B805" s="27"/>
      <c r="C805" s="27"/>
    </row>
    <row r="806" ht="22.5" customHeight="1">
      <c r="A806" s="27"/>
      <c r="B806" s="27"/>
      <c r="C806" s="27"/>
    </row>
    <row r="807" ht="22.5" customHeight="1">
      <c r="A807" s="27"/>
      <c r="B807" s="27"/>
      <c r="C807" s="27"/>
    </row>
    <row r="808" ht="22.5" customHeight="1">
      <c r="A808" s="27"/>
      <c r="B808" s="27"/>
      <c r="C808" s="27"/>
    </row>
    <row r="809" ht="22.5" customHeight="1">
      <c r="A809" s="27"/>
      <c r="B809" s="27"/>
      <c r="C809" s="27"/>
    </row>
    <row r="810" ht="22.5" customHeight="1">
      <c r="A810" s="27"/>
      <c r="B810" s="27"/>
      <c r="C810" s="27"/>
    </row>
    <row r="811" ht="22.5" customHeight="1">
      <c r="A811" s="27"/>
      <c r="B811" s="27"/>
      <c r="C811" s="27"/>
    </row>
    <row r="812" ht="22.5" customHeight="1">
      <c r="A812" s="27"/>
      <c r="B812" s="27"/>
      <c r="C812" s="27"/>
    </row>
    <row r="813" ht="22.5" customHeight="1">
      <c r="A813" s="27"/>
      <c r="B813" s="27"/>
      <c r="C813" s="27"/>
    </row>
    <row r="814" ht="22.5" customHeight="1">
      <c r="A814" s="27"/>
      <c r="B814" s="27"/>
      <c r="C814" s="27"/>
    </row>
    <row r="815" ht="22.5" customHeight="1">
      <c r="A815" s="27"/>
      <c r="B815" s="27"/>
      <c r="C815" s="27"/>
    </row>
    <row r="816" ht="22.5" customHeight="1">
      <c r="A816" s="27"/>
      <c r="B816" s="27"/>
      <c r="C816" s="27"/>
    </row>
    <row r="817" ht="22.5" customHeight="1">
      <c r="A817" s="27"/>
      <c r="B817" s="27"/>
      <c r="C817" s="27"/>
    </row>
    <row r="818" ht="22.5" customHeight="1">
      <c r="A818" s="27"/>
      <c r="B818" s="27"/>
      <c r="C818" s="27"/>
    </row>
    <row r="819" ht="22.5" customHeight="1">
      <c r="A819" s="27"/>
      <c r="B819" s="27"/>
      <c r="C819" s="27"/>
    </row>
    <row r="820" ht="22.5" customHeight="1">
      <c r="A820" s="27"/>
      <c r="B820" s="27"/>
      <c r="C820" s="27"/>
    </row>
    <row r="821" ht="22.5" customHeight="1">
      <c r="A821" s="27"/>
      <c r="B821" s="27"/>
      <c r="C821" s="27"/>
    </row>
    <row r="822" ht="22.5" customHeight="1">
      <c r="A822" s="27"/>
      <c r="B822" s="27"/>
      <c r="C822" s="27"/>
    </row>
    <row r="823" ht="22.5" customHeight="1">
      <c r="A823" s="27"/>
      <c r="B823" s="27"/>
      <c r="C823" s="27"/>
    </row>
    <row r="824" ht="22.5" customHeight="1">
      <c r="A824" s="27"/>
      <c r="B824" s="27"/>
      <c r="C824" s="27"/>
    </row>
    <row r="825" ht="22.5" customHeight="1">
      <c r="A825" s="27"/>
      <c r="B825" s="27"/>
      <c r="C825" s="27"/>
    </row>
    <row r="826" ht="22.5" customHeight="1">
      <c r="A826" s="27"/>
      <c r="B826" s="27"/>
      <c r="C826" s="27"/>
    </row>
    <row r="827" ht="22.5" customHeight="1">
      <c r="A827" s="27"/>
      <c r="B827" s="27"/>
      <c r="C827" s="27"/>
    </row>
    <row r="828" ht="22.5" customHeight="1">
      <c r="A828" s="27"/>
      <c r="B828" s="27"/>
      <c r="C828" s="27"/>
    </row>
    <row r="829" ht="22.5" customHeight="1">
      <c r="A829" s="27"/>
      <c r="B829" s="27"/>
      <c r="C829" s="27"/>
    </row>
    <row r="830" ht="22.5" customHeight="1">
      <c r="A830" s="27"/>
      <c r="B830" s="27"/>
      <c r="C830" s="27"/>
    </row>
    <row r="831" ht="22.5" customHeight="1">
      <c r="A831" s="27"/>
      <c r="B831" s="27"/>
      <c r="C831" s="27"/>
    </row>
    <row r="832" ht="22.5" customHeight="1">
      <c r="A832" s="27"/>
      <c r="B832" s="27"/>
      <c r="C832" s="27"/>
    </row>
    <row r="833" ht="22.5" customHeight="1">
      <c r="A833" s="27"/>
      <c r="B833" s="27"/>
      <c r="C833" s="27"/>
    </row>
    <row r="834" ht="22.5" customHeight="1">
      <c r="A834" s="27"/>
      <c r="B834" s="27"/>
      <c r="C834" s="27"/>
    </row>
    <row r="835" ht="22.5" customHeight="1">
      <c r="A835" s="27"/>
      <c r="B835" s="27"/>
      <c r="C835" s="27"/>
    </row>
    <row r="836" ht="22.5" customHeight="1">
      <c r="A836" s="27"/>
      <c r="B836" s="27"/>
      <c r="C836" s="27"/>
    </row>
    <row r="837" ht="22.5" customHeight="1">
      <c r="A837" s="27"/>
      <c r="B837" s="27"/>
      <c r="C837" s="27"/>
    </row>
    <row r="838" ht="22.5" customHeight="1">
      <c r="A838" s="27"/>
      <c r="B838" s="27"/>
      <c r="C838" s="27"/>
    </row>
    <row r="839" ht="22.5" customHeight="1">
      <c r="A839" s="27"/>
      <c r="B839" s="27"/>
      <c r="C839" s="27"/>
    </row>
    <row r="840" ht="22.5" customHeight="1">
      <c r="A840" s="27"/>
      <c r="B840" s="27"/>
      <c r="C840" s="27"/>
    </row>
    <row r="841" ht="22.5" customHeight="1">
      <c r="A841" s="27"/>
      <c r="B841" s="27"/>
      <c r="C841" s="27"/>
    </row>
    <row r="842" ht="22.5" customHeight="1">
      <c r="A842" s="27"/>
      <c r="B842" s="27"/>
      <c r="C842" s="27"/>
    </row>
    <row r="843" ht="22.5" customHeight="1">
      <c r="A843" s="27"/>
      <c r="B843" s="27"/>
      <c r="C843" s="27"/>
    </row>
    <row r="844" ht="22.5" customHeight="1">
      <c r="A844" s="27"/>
      <c r="B844" s="27"/>
      <c r="C844" s="27"/>
    </row>
    <row r="845" ht="22.5" customHeight="1">
      <c r="A845" s="27"/>
      <c r="B845" s="27"/>
      <c r="C845" s="27"/>
    </row>
    <row r="846" ht="22.5" customHeight="1">
      <c r="A846" s="27"/>
      <c r="B846" s="27"/>
      <c r="C846" s="27"/>
    </row>
    <row r="847" ht="22.5" customHeight="1">
      <c r="A847" s="27"/>
      <c r="B847" s="27"/>
      <c r="C847" s="27"/>
    </row>
    <row r="848" ht="22.5" customHeight="1">
      <c r="A848" s="27"/>
      <c r="B848" s="27"/>
      <c r="C848" s="27"/>
    </row>
    <row r="849" ht="22.5" customHeight="1">
      <c r="A849" s="27"/>
      <c r="B849" s="27"/>
      <c r="C849" s="27"/>
    </row>
    <row r="850" ht="22.5" customHeight="1">
      <c r="A850" s="27"/>
      <c r="B850" s="27"/>
      <c r="C850" s="27"/>
    </row>
    <row r="851" ht="22.5" customHeight="1">
      <c r="A851" s="27"/>
      <c r="B851" s="27"/>
      <c r="C851" s="27"/>
    </row>
    <row r="852" ht="22.5" customHeight="1">
      <c r="A852" s="27"/>
      <c r="B852" s="27"/>
      <c r="C852" s="27"/>
    </row>
    <row r="853" ht="22.5" customHeight="1">
      <c r="A853" s="27"/>
      <c r="B853" s="27"/>
      <c r="C853" s="27"/>
    </row>
    <row r="854" ht="22.5" customHeight="1">
      <c r="A854" s="27"/>
      <c r="B854" s="27"/>
      <c r="C854" s="27"/>
    </row>
    <row r="855" ht="22.5" customHeight="1">
      <c r="A855" s="27"/>
      <c r="B855" s="27"/>
      <c r="C855" s="27"/>
    </row>
    <row r="856" ht="22.5" customHeight="1">
      <c r="A856" s="27"/>
      <c r="B856" s="27"/>
      <c r="C856" s="27"/>
    </row>
    <row r="857" ht="22.5" customHeight="1">
      <c r="A857" s="27"/>
      <c r="B857" s="27"/>
      <c r="C857" s="27"/>
    </row>
    <row r="858" ht="22.5" customHeight="1">
      <c r="A858" s="27"/>
      <c r="B858" s="27"/>
      <c r="C858" s="27"/>
    </row>
    <row r="859" ht="22.5" customHeight="1">
      <c r="A859" s="27"/>
      <c r="B859" s="27"/>
      <c r="C859" s="27"/>
    </row>
    <row r="860" ht="22.5" customHeight="1">
      <c r="A860" s="27"/>
      <c r="B860" s="27"/>
      <c r="C860" s="27"/>
    </row>
    <row r="861" ht="22.5" customHeight="1">
      <c r="A861" s="27"/>
      <c r="B861" s="27"/>
      <c r="C861" s="27"/>
    </row>
    <row r="862" ht="22.5" customHeight="1">
      <c r="A862" s="27"/>
      <c r="B862" s="27"/>
      <c r="C862" s="27"/>
    </row>
    <row r="863" ht="22.5" customHeight="1">
      <c r="A863" s="27"/>
      <c r="B863" s="27"/>
      <c r="C863" s="27"/>
    </row>
    <row r="864" ht="22.5" customHeight="1">
      <c r="A864" s="27"/>
      <c r="B864" s="27"/>
      <c r="C864" s="27"/>
    </row>
    <row r="865" ht="22.5" customHeight="1">
      <c r="A865" s="27"/>
      <c r="B865" s="27"/>
      <c r="C865" s="27"/>
    </row>
    <row r="866" ht="22.5" customHeight="1">
      <c r="A866" s="27"/>
      <c r="B866" s="27"/>
      <c r="C866" s="27"/>
    </row>
    <row r="867" ht="22.5" customHeight="1">
      <c r="A867" s="27"/>
      <c r="B867" s="27"/>
      <c r="C867" s="27"/>
    </row>
    <row r="868" ht="22.5" customHeight="1">
      <c r="A868" s="27"/>
      <c r="B868" s="27"/>
      <c r="C868" s="27"/>
    </row>
    <row r="869" ht="22.5" customHeight="1">
      <c r="A869" s="27"/>
      <c r="B869" s="27"/>
      <c r="C869" s="27"/>
    </row>
    <row r="870" ht="22.5" customHeight="1">
      <c r="A870" s="27"/>
      <c r="B870" s="27"/>
      <c r="C870" s="27"/>
    </row>
    <row r="871" ht="22.5" customHeight="1">
      <c r="A871" s="27"/>
      <c r="B871" s="27"/>
      <c r="C871" s="27"/>
    </row>
    <row r="872" ht="22.5" customHeight="1">
      <c r="A872" s="27"/>
      <c r="B872" s="27"/>
      <c r="C872" s="27"/>
    </row>
    <row r="873" ht="22.5" customHeight="1">
      <c r="A873" s="27"/>
      <c r="B873" s="27"/>
      <c r="C873" s="27"/>
    </row>
    <row r="874" ht="22.5" customHeight="1">
      <c r="A874" s="27"/>
      <c r="B874" s="27"/>
      <c r="C874" s="27"/>
    </row>
    <row r="875" ht="22.5" customHeight="1">
      <c r="A875" s="27"/>
      <c r="B875" s="27"/>
      <c r="C875" s="27"/>
    </row>
    <row r="876" ht="22.5" customHeight="1">
      <c r="A876" s="27"/>
      <c r="B876" s="27"/>
      <c r="C876" s="27"/>
    </row>
    <row r="877" ht="22.5" customHeight="1">
      <c r="A877" s="27"/>
      <c r="B877" s="27"/>
      <c r="C877" s="27"/>
    </row>
    <row r="878" ht="22.5" customHeight="1">
      <c r="A878" s="27"/>
      <c r="B878" s="27"/>
      <c r="C878" s="27"/>
    </row>
    <row r="879" ht="22.5" customHeight="1">
      <c r="A879" s="27"/>
      <c r="B879" s="27"/>
      <c r="C879" s="27"/>
    </row>
    <row r="880" ht="22.5" customHeight="1">
      <c r="A880" s="27"/>
      <c r="B880" s="27"/>
      <c r="C880" s="27"/>
    </row>
    <row r="881" ht="22.5" customHeight="1">
      <c r="A881" s="27"/>
      <c r="B881" s="27"/>
      <c r="C881" s="27"/>
    </row>
    <row r="882" ht="22.5" customHeight="1">
      <c r="A882" s="27"/>
      <c r="B882" s="27"/>
      <c r="C882" s="27"/>
    </row>
    <row r="883" ht="22.5" customHeight="1">
      <c r="A883" s="27"/>
      <c r="B883" s="27"/>
      <c r="C883" s="27"/>
    </row>
    <row r="884" ht="22.5" customHeight="1">
      <c r="A884" s="27"/>
      <c r="B884" s="27"/>
      <c r="C884" s="27"/>
    </row>
    <row r="885" ht="22.5" customHeight="1">
      <c r="A885" s="27"/>
      <c r="B885" s="27"/>
      <c r="C885" s="27"/>
    </row>
    <row r="886" ht="22.5" customHeight="1">
      <c r="A886" s="27"/>
      <c r="B886" s="27"/>
      <c r="C886" s="27"/>
    </row>
    <row r="887" ht="22.5" customHeight="1">
      <c r="A887" s="27"/>
      <c r="B887" s="27"/>
      <c r="C887" s="27"/>
    </row>
    <row r="888" ht="22.5" customHeight="1">
      <c r="A888" s="27"/>
      <c r="B888" s="27"/>
      <c r="C888" s="27"/>
    </row>
    <row r="889" ht="22.5" customHeight="1">
      <c r="A889" s="27"/>
      <c r="B889" s="27"/>
      <c r="C889" s="27"/>
    </row>
    <row r="890" ht="22.5" customHeight="1">
      <c r="A890" s="27"/>
      <c r="B890" s="27"/>
      <c r="C890" s="27"/>
    </row>
    <row r="891" ht="22.5" customHeight="1">
      <c r="A891" s="27"/>
      <c r="B891" s="27"/>
      <c r="C891" s="27"/>
    </row>
    <row r="892" ht="22.5" customHeight="1">
      <c r="A892" s="27"/>
      <c r="B892" s="27"/>
      <c r="C892" s="27"/>
    </row>
    <row r="893" ht="22.5" customHeight="1">
      <c r="A893" s="27"/>
      <c r="B893" s="27"/>
      <c r="C893" s="27"/>
    </row>
    <row r="894" ht="22.5" customHeight="1">
      <c r="A894" s="27"/>
      <c r="B894" s="27"/>
      <c r="C894" s="27"/>
    </row>
    <row r="895" ht="22.5" customHeight="1">
      <c r="A895" s="27"/>
      <c r="B895" s="27"/>
      <c r="C895" s="27"/>
    </row>
    <row r="896" ht="22.5" customHeight="1">
      <c r="A896" s="27"/>
      <c r="B896" s="27"/>
      <c r="C896" s="27"/>
    </row>
    <row r="897" ht="22.5" customHeight="1">
      <c r="A897" s="27"/>
      <c r="B897" s="27"/>
      <c r="C897" s="27"/>
    </row>
    <row r="898" ht="22.5" customHeight="1">
      <c r="A898" s="27"/>
      <c r="B898" s="27"/>
      <c r="C898" s="27"/>
    </row>
    <row r="899" ht="22.5" customHeight="1">
      <c r="A899" s="27"/>
      <c r="B899" s="27"/>
      <c r="C899" s="27"/>
    </row>
    <row r="900" ht="22.5" customHeight="1">
      <c r="A900" s="27"/>
      <c r="B900" s="27"/>
      <c r="C900" s="27"/>
    </row>
    <row r="901" ht="22.5" customHeight="1">
      <c r="A901" s="27"/>
      <c r="B901" s="27"/>
      <c r="C901" s="27"/>
    </row>
    <row r="902" ht="22.5" customHeight="1">
      <c r="A902" s="27"/>
      <c r="B902" s="27"/>
      <c r="C902" s="27"/>
    </row>
    <row r="903" ht="22.5" customHeight="1">
      <c r="A903" s="27"/>
      <c r="B903" s="27"/>
      <c r="C903" s="27"/>
    </row>
    <row r="904" ht="22.5" customHeight="1">
      <c r="A904" s="27"/>
      <c r="B904" s="27"/>
      <c r="C904" s="27"/>
    </row>
    <row r="905" ht="22.5" customHeight="1">
      <c r="A905" s="27"/>
      <c r="B905" s="27"/>
      <c r="C905" s="27"/>
    </row>
    <row r="906" ht="22.5" customHeight="1">
      <c r="A906" s="27"/>
      <c r="B906" s="27"/>
      <c r="C906" s="27"/>
    </row>
    <row r="907" ht="22.5" customHeight="1">
      <c r="A907" s="27"/>
      <c r="B907" s="27"/>
      <c r="C907" s="27"/>
    </row>
    <row r="908" ht="22.5" customHeight="1">
      <c r="A908" s="27"/>
      <c r="B908" s="27"/>
      <c r="C908" s="27"/>
    </row>
    <row r="909" ht="22.5" customHeight="1">
      <c r="A909" s="27"/>
      <c r="B909" s="27"/>
      <c r="C909" s="27"/>
    </row>
    <row r="910" ht="22.5" customHeight="1">
      <c r="A910" s="27"/>
      <c r="B910" s="27"/>
      <c r="C910" s="27"/>
    </row>
    <row r="911" ht="22.5" customHeight="1">
      <c r="A911" s="27"/>
      <c r="B911" s="27"/>
      <c r="C911" s="27"/>
    </row>
    <row r="912" ht="22.5" customHeight="1">
      <c r="A912" s="27"/>
      <c r="B912" s="27"/>
      <c r="C912" s="27"/>
    </row>
    <row r="913" ht="22.5" customHeight="1">
      <c r="A913" s="27"/>
      <c r="B913" s="27"/>
      <c r="C913" s="27"/>
    </row>
    <row r="914" ht="22.5" customHeight="1">
      <c r="A914" s="27"/>
      <c r="B914" s="27"/>
      <c r="C914" s="27"/>
    </row>
    <row r="915" ht="22.5" customHeight="1">
      <c r="A915" s="27"/>
      <c r="B915" s="27"/>
      <c r="C915" s="27"/>
    </row>
    <row r="916" ht="22.5" customHeight="1">
      <c r="A916" s="27"/>
      <c r="B916" s="27"/>
      <c r="C916" s="27"/>
    </row>
    <row r="917" ht="22.5" customHeight="1">
      <c r="A917" s="27"/>
      <c r="B917" s="27"/>
      <c r="C917" s="27"/>
    </row>
    <row r="918" ht="22.5" customHeight="1">
      <c r="A918" s="27"/>
      <c r="B918" s="27"/>
      <c r="C918" s="27"/>
    </row>
    <row r="919" ht="22.5" customHeight="1">
      <c r="A919" s="27"/>
      <c r="B919" s="27"/>
      <c r="C919" s="27"/>
    </row>
    <row r="920" ht="22.5" customHeight="1">
      <c r="A920" s="27"/>
      <c r="B920" s="27"/>
      <c r="C920" s="27"/>
    </row>
    <row r="921" ht="22.5" customHeight="1">
      <c r="A921" s="27"/>
      <c r="B921" s="27"/>
      <c r="C921" s="27"/>
    </row>
    <row r="922" ht="22.5" customHeight="1">
      <c r="A922" s="27"/>
      <c r="B922" s="27"/>
      <c r="C922" s="27"/>
    </row>
    <row r="923" ht="22.5" customHeight="1">
      <c r="A923" s="27"/>
      <c r="B923" s="27"/>
      <c r="C923" s="27"/>
    </row>
    <row r="924" ht="22.5" customHeight="1">
      <c r="A924" s="27"/>
      <c r="B924" s="27"/>
      <c r="C924" s="27"/>
    </row>
    <row r="925" ht="22.5" customHeight="1">
      <c r="A925" s="27"/>
      <c r="B925" s="27"/>
      <c r="C925" s="27"/>
    </row>
    <row r="926" ht="22.5" customHeight="1">
      <c r="A926" s="27"/>
      <c r="B926" s="27"/>
      <c r="C926" s="27"/>
    </row>
    <row r="927" ht="22.5" customHeight="1">
      <c r="A927" s="27"/>
      <c r="B927" s="27"/>
      <c r="C927" s="27"/>
    </row>
    <row r="928" ht="22.5" customHeight="1">
      <c r="A928" s="27"/>
      <c r="B928" s="27"/>
      <c r="C928" s="27"/>
    </row>
    <row r="929" ht="22.5" customHeight="1">
      <c r="A929" s="27"/>
      <c r="B929" s="27"/>
      <c r="C929" s="27"/>
    </row>
    <row r="930" ht="22.5" customHeight="1">
      <c r="A930" s="27"/>
      <c r="B930" s="27"/>
      <c r="C930" s="27"/>
    </row>
    <row r="931" ht="22.5" customHeight="1">
      <c r="A931" s="27"/>
      <c r="B931" s="27"/>
      <c r="C931" s="27"/>
    </row>
    <row r="932" ht="22.5" customHeight="1">
      <c r="A932" s="27"/>
      <c r="B932" s="27"/>
      <c r="C932" s="27"/>
    </row>
    <row r="933" ht="22.5" customHeight="1">
      <c r="A933" s="27"/>
      <c r="B933" s="27"/>
      <c r="C933" s="27"/>
    </row>
    <row r="934" ht="22.5" customHeight="1">
      <c r="A934" s="27"/>
      <c r="B934" s="27"/>
      <c r="C934" s="27"/>
    </row>
    <row r="935" ht="22.5" customHeight="1">
      <c r="A935" s="27"/>
      <c r="B935" s="27"/>
      <c r="C935" s="27"/>
    </row>
    <row r="936" ht="22.5" customHeight="1">
      <c r="A936" s="27"/>
      <c r="B936" s="27"/>
      <c r="C936" s="27"/>
    </row>
    <row r="937" ht="22.5" customHeight="1">
      <c r="A937" s="27"/>
      <c r="B937" s="27"/>
      <c r="C937" s="27"/>
    </row>
    <row r="938" ht="22.5" customHeight="1">
      <c r="A938" s="27"/>
      <c r="B938" s="27"/>
      <c r="C938" s="27"/>
    </row>
    <row r="939" ht="22.5" customHeight="1">
      <c r="A939" s="27"/>
      <c r="B939" s="27"/>
      <c r="C939" s="27"/>
    </row>
    <row r="940" ht="22.5" customHeight="1">
      <c r="A940" s="27"/>
      <c r="B940" s="27"/>
      <c r="C940" s="27"/>
    </row>
    <row r="941" ht="22.5" customHeight="1">
      <c r="A941" s="27"/>
      <c r="B941" s="27"/>
      <c r="C941" s="27"/>
    </row>
    <row r="942" ht="22.5" customHeight="1">
      <c r="A942" s="27"/>
      <c r="B942" s="27"/>
      <c r="C942" s="27"/>
    </row>
    <row r="943" ht="22.5" customHeight="1">
      <c r="A943" s="27"/>
      <c r="B943" s="27"/>
      <c r="C943" s="27"/>
    </row>
    <row r="944" ht="22.5" customHeight="1">
      <c r="A944" s="27"/>
      <c r="B944" s="27"/>
      <c r="C944" s="27"/>
    </row>
    <row r="945" ht="22.5" customHeight="1">
      <c r="A945" s="27"/>
      <c r="B945" s="27"/>
      <c r="C945" s="27"/>
    </row>
    <row r="946" ht="22.5" customHeight="1">
      <c r="A946" s="27"/>
      <c r="B946" s="27"/>
      <c r="C946" s="27"/>
    </row>
    <row r="947" ht="22.5" customHeight="1">
      <c r="A947" s="27"/>
      <c r="B947" s="27"/>
      <c r="C947" s="27"/>
    </row>
    <row r="948" ht="22.5" customHeight="1">
      <c r="A948" s="27"/>
      <c r="B948" s="27"/>
      <c r="C948" s="27"/>
    </row>
    <row r="949" ht="22.5" customHeight="1">
      <c r="A949" s="27"/>
      <c r="B949" s="27"/>
      <c r="C949" s="27"/>
    </row>
    <row r="950" ht="22.5" customHeight="1">
      <c r="A950" s="27"/>
      <c r="B950" s="27"/>
      <c r="C950" s="27"/>
    </row>
    <row r="951" ht="22.5" customHeight="1">
      <c r="A951" s="27"/>
      <c r="B951" s="27"/>
      <c r="C951" s="27"/>
    </row>
    <row r="952" ht="22.5" customHeight="1">
      <c r="A952" s="27"/>
      <c r="B952" s="27"/>
      <c r="C952" s="27"/>
    </row>
    <row r="953" ht="22.5" customHeight="1">
      <c r="A953" s="27"/>
      <c r="B953" s="27"/>
      <c r="C953" s="27"/>
    </row>
    <row r="954" ht="22.5" customHeight="1">
      <c r="A954" s="27"/>
      <c r="B954" s="27"/>
      <c r="C954" s="27"/>
    </row>
    <row r="955" ht="22.5" customHeight="1">
      <c r="A955" s="27"/>
      <c r="B955" s="27"/>
      <c r="C955" s="27"/>
    </row>
    <row r="956" ht="22.5" customHeight="1">
      <c r="A956" s="27"/>
      <c r="B956" s="27"/>
      <c r="C956" s="27"/>
    </row>
    <row r="957" ht="22.5" customHeight="1">
      <c r="A957" s="27"/>
      <c r="B957" s="27"/>
      <c r="C957" s="27"/>
    </row>
    <row r="958" ht="22.5" customHeight="1">
      <c r="A958" s="27"/>
      <c r="B958" s="27"/>
      <c r="C958" s="27"/>
    </row>
    <row r="959" ht="22.5" customHeight="1">
      <c r="A959" s="27"/>
      <c r="B959" s="27"/>
      <c r="C959" s="27"/>
    </row>
    <row r="960" ht="22.5" customHeight="1">
      <c r="A960" s="27"/>
      <c r="B960" s="27"/>
      <c r="C960" s="27"/>
    </row>
    <row r="961" ht="22.5" customHeight="1">
      <c r="A961" s="27"/>
      <c r="B961" s="27"/>
      <c r="C961" s="27"/>
    </row>
    <row r="962" ht="22.5" customHeight="1">
      <c r="A962" s="27"/>
      <c r="B962" s="27"/>
      <c r="C962" s="27"/>
    </row>
    <row r="963" ht="22.5" customHeight="1">
      <c r="A963" s="27"/>
      <c r="B963" s="27"/>
      <c r="C963" s="27"/>
    </row>
    <row r="964" ht="22.5" customHeight="1">
      <c r="A964" s="27"/>
      <c r="B964" s="27"/>
      <c r="C964" s="27"/>
    </row>
    <row r="965" ht="22.5" customHeight="1">
      <c r="A965" s="27"/>
      <c r="B965" s="27"/>
      <c r="C965" s="27"/>
    </row>
    <row r="966" ht="22.5" customHeight="1">
      <c r="A966" s="27"/>
      <c r="B966" s="27"/>
      <c r="C966" s="27"/>
    </row>
    <row r="967" ht="22.5" customHeight="1">
      <c r="A967" s="27"/>
      <c r="B967" s="27"/>
      <c r="C967" s="27"/>
    </row>
    <row r="968" ht="22.5" customHeight="1">
      <c r="A968" s="27"/>
      <c r="B968" s="27"/>
      <c r="C968" s="27"/>
    </row>
    <row r="969" ht="22.5" customHeight="1">
      <c r="A969" s="27"/>
      <c r="B969" s="27"/>
      <c r="C969" s="27"/>
    </row>
    <row r="970" ht="22.5" customHeight="1">
      <c r="A970" s="27"/>
      <c r="B970" s="27"/>
      <c r="C970" s="27"/>
    </row>
    <row r="971" ht="22.5" customHeight="1">
      <c r="A971" s="27"/>
      <c r="B971" s="27"/>
      <c r="C971" s="27"/>
    </row>
    <row r="972" ht="22.5" customHeight="1">
      <c r="A972" s="27"/>
      <c r="B972" s="27"/>
      <c r="C972" s="27"/>
    </row>
    <row r="973" ht="22.5" customHeight="1">
      <c r="A973" s="27"/>
      <c r="B973" s="27"/>
      <c r="C973" s="27"/>
    </row>
    <row r="974" ht="22.5" customHeight="1">
      <c r="A974" s="27"/>
      <c r="B974" s="27"/>
      <c r="C974" s="27"/>
    </row>
    <row r="975" ht="22.5" customHeight="1">
      <c r="A975" s="27"/>
      <c r="B975" s="27"/>
      <c r="C975" s="27"/>
    </row>
    <row r="976" ht="22.5" customHeight="1">
      <c r="A976" s="27"/>
      <c r="B976" s="27"/>
      <c r="C976" s="27"/>
    </row>
    <row r="977" ht="22.5" customHeight="1">
      <c r="A977" s="27"/>
      <c r="B977" s="27"/>
      <c r="C977" s="27"/>
    </row>
    <row r="978" ht="22.5" customHeight="1">
      <c r="A978" s="27"/>
      <c r="B978" s="27"/>
      <c r="C978" s="27"/>
    </row>
    <row r="979" ht="22.5" customHeight="1">
      <c r="A979" s="27"/>
      <c r="B979" s="27"/>
      <c r="C979" s="27"/>
    </row>
    <row r="980" ht="22.5" customHeight="1">
      <c r="A980" s="27"/>
      <c r="B980" s="27"/>
      <c r="C980" s="27"/>
    </row>
    <row r="981" ht="22.5" customHeight="1">
      <c r="A981" s="27"/>
      <c r="B981" s="27"/>
      <c r="C981" s="27"/>
    </row>
    <row r="982" ht="22.5" customHeight="1">
      <c r="A982" s="27"/>
      <c r="B982" s="27"/>
      <c r="C982" s="27"/>
    </row>
    <row r="983" ht="22.5" customHeight="1">
      <c r="A983" s="27"/>
      <c r="B983" s="27"/>
      <c r="C983" s="27"/>
    </row>
    <row r="984" ht="22.5" customHeight="1">
      <c r="A984" s="27"/>
      <c r="B984" s="27"/>
      <c r="C984" s="27"/>
    </row>
    <row r="985" ht="22.5" customHeight="1">
      <c r="A985" s="27"/>
      <c r="B985" s="27"/>
      <c r="C985" s="27"/>
    </row>
    <row r="986" ht="22.5" customHeight="1">
      <c r="A986" s="27"/>
      <c r="B986" s="27"/>
      <c r="C986" s="27"/>
    </row>
    <row r="987" ht="22.5" customHeight="1">
      <c r="A987" s="27"/>
      <c r="B987" s="27"/>
      <c r="C987" s="27"/>
    </row>
    <row r="988" ht="22.5" customHeight="1">
      <c r="A988" s="27"/>
      <c r="B988" s="27"/>
      <c r="C988" s="27"/>
    </row>
    <row r="989" ht="22.5" customHeight="1">
      <c r="A989" s="27"/>
      <c r="B989" s="27"/>
      <c r="C989" s="27"/>
    </row>
    <row r="990" ht="22.5" customHeight="1">
      <c r="A990" s="27"/>
      <c r="B990" s="27"/>
      <c r="C990" s="27"/>
    </row>
    <row r="991" ht="22.5" customHeight="1">
      <c r="A991" s="27"/>
      <c r="B991" s="27"/>
      <c r="C991" s="27"/>
    </row>
    <row r="992" ht="22.5" customHeight="1">
      <c r="A992" s="27"/>
      <c r="B992" s="27"/>
      <c r="C992" s="27"/>
    </row>
    <row r="993" ht="22.5" customHeight="1">
      <c r="A993" s="27"/>
      <c r="B993" s="27"/>
      <c r="C993" s="27"/>
    </row>
    <row r="994" ht="22.5" customHeight="1">
      <c r="A994" s="27"/>
      <c r="B994" s="27"/>
      <c r="C994" s="27"/>
    </row>
    <row r="995" ht="22.5" customHeight="1">
      <c r="A995" s="27"/>
      <c r="B995" s="27"/>
      <c r="C995" s="27"/>
    </row>
    <row r="996" ht="22.5" customHeight="1">
      <c r="A996" s="27"/>
      <c r="B996" s="27"/>
      <c r="C996" s="27"/>
    </row>
    <row r="997" ht="22.5" customHeight="1">
      <c r="A997" s="27"/>
      <c r="B997" s="27"/>
      <c r="C997" s="27"/>
    </row>
    <row r="998" ht="22.5" customHeight="1">
      <c r="A998" s="27"/>
      <c r="B998" s="27"/>
      <c r="C998" s="27"/>
    </row>
    <row r="999" ht="22.5" customHeight="1">
      <c r="A999" s="27"/>
      <c r="B999" s="27"/>
      <c r="C999" s="2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17.75"/>
    <col customWidth="1" min="4" max="4" width="20.38"/>
    <col customWidth="1" min="5" max="5" width="19.25"/>
    <col customWidth="1" min="6" max="6" width="15.38"/>
    <col customWidth="1" min="7" max="7" width="24.13"/>
    <col customWidth="1" min="8" max="8" width="17.88"/>
    <col customWidth="1" min="9" max="9" width="16.25"/>
  </cols>
  <sheetData>
    <row r="1" ht="22.5" customHeight="1">
      <c r="A1" s="2" t="s">
        <v>0</v>
      </c>
      <c r="B1" s="2" t="s">
        <v>5</v>
      </c>
      <c r="C1" s="2" t="s">
        <v>4</v>
      </c>
      <c r="D1" s="6" t="s">
        <v>3</v>
      </c>
      <c r="E1" s="2" t="s">
        <v>6</v>
      </c>
      <c r="F1" s="2" t="s">
        <v>12</v>
      </c>
      <c r="G1" s="2" t="s">
        <v>14</v>
      </c>
      <c r="H1" s="2" t="s">
        <v>17</v>
      </c>
      <c r="I1" s="2" t="s">
        <v>20</v>
      </c>
      <c r="J1" s="11" t="s">
        <v>18</v>
      </c>
    </row>
    <row r="2" ht="22.5" customHeight="1">
      <c r="A2" s="7" t="s">
        <v>24</v>
      </c>
      <c r="B2" s="14" t="s">
        <v>21</v>
      </c>
      <c r="C2" s="14" t="s">
        <v>9</v>
      </c>
      <c r="D2" s="14">
        <v>80.0</v>
      </c>
      <c r="E2" s="16">
        <v>125.0</v>
      </c>
      <c r="F2" s="19">
        <v>13750.0</v>
      </c>
      <c r="G2" s="19">
        <v>29.0</v>
      </c>
      <c r="H2" s="19">
        <f t="shared" ref="H2:H438" si="1">(E2*F2)/1000</f>
        <v>1718.75</v>
      </c>
      <c r="I2" s="19">
        <f t="shared" ref="I2:I438" si="2">H2*G2</f>
        <v>49843.75</v>
      </c>
      <c r="J2" s="23"/>
    </row>
    <row r="3" ht="22.5" customHeight="1">
      <c r="A3" s="7" t="s">
        <v>24</v>
      </c>
      <c r="B3" s="14" t="s">
        <v>21</v>
      </c>
      <c r="C3" s="14" t="s">
        <v>9</v>
      </c>
      <c r="D3" s="14">
        <v>80.0</v>
      </c>
      <c r="E3" s="16">
        <v>140.0</v>
      </c>
      <c r="F3" s="19">
        <v>300.0</v>
      </c>
      <c r="G3" s="19">
        <v>29.0</v>
      </c>
      <c r="H3" s="19">
        <f t="shared" si="1"/>
        <v>42</v>
      </c>
      <c r="I3" s="19">
        <f t="shared" si="2"/>
        <v>1218</v>
      </c>
      <c r="J3" s="23"/>
    </row>
    <row r="4" ht="22.5" customHeight="1">
      <c r="A4" s="7" t="s">
        <v>24</v>
      </c>
      <c r="B4" s="14" t="s">
        <v>21</v>
      </c>
      <c r="C4" s="14" t="s">
        <v>9</v>
      </c>
      <c r="D4" s="14">
        <v>80.0</v>
      </c>
      <c r="E4" s="16">
        <v>150.0</v>
      </c>
      <c r="F4" s="19">
        <v>6000.0</v>
      </c>
      <c r="G4" s="19">
        <v>29.0</v>
      </c>
      <c r="H4" s="19">
        <f t="shared" si="1"/>
        <v>900</v>
      </c>
      <c r="I4" s="19">
        <f t="shared" si="2"/>
        <v>26100</v>
      </c>
      <c r="J4" s="23"/>
    </row>
    <row r="5" ht="22.5" customHeight="1">
      <c r="A5" s="7" t="s">
        <v>24</v>
      </c>
      <c r="B5" s="14" t="s">
        <v>21</v>
      </c>
      <c r="C5" s="14" t="s">
        <v>9</v>
      </c>
      <c r="D5" s="14">
        <v>80.0</v>
      </c>
      <c r="E5" s="16">
        <v>160.0</v>
      </c>
      <c r="F5" s="19">
        <v>6450.0</v>
      </c>
      <c r="G5" s="19">
        <v>29.0</v>
      </c>
      <c r="H5" s="19">
        <f t="shared" si="1"/>
        <v>1032</v>
      </c>
      <c r="I5" s="19">
        <f t="shared" si="2"/>
        <v>29928</v>
      </c>
      <c r="J5" s="23"/>
    </row>
    <row r="6" ht="22.5" customHeight="1">
      <c r="A6" s="7" t="s">
        <v>24</v>
      </c>
      <c r="B6" s="14" t="s">
        <v>21</v>
      </c>
      <c r="C6" s="14" t="s">
        <v>9</v>
      </c>
      <c r="D6" s="14">
        <v>80.0</v>
      </c>
      <c r="E6" s="25">
        <v>170.0</v>
      </c>
      <c r="F6" s="19">
        <v>3850.0</v>
      </c>
      <c r="G6" s="19">
        <v>29.0</v>
      </c>
      <c r="H6" s="19">
        <f t="shared" si="1"/>
        <v>654.5</v>
      </c>
      <c r="I6" s="19">
        <f t="shared" si="2"/>
        <v>18980.5</v>
      </c>
      <c r="J6" s="23"/>
    </row>
    <row r="7" ht="22.5" customHeight="1">
      <c r="A7" s="7" t="s">
        <v>24</v>
      </c>
      <c r="B7" s="14" t="s">
        <v>21</v>
      </c>
      <c r="C7" s="14" t="s">
        <v>9</v>
      </c>
      <c r="D7" s="14">
        <v>60.0</v>
      </c>
      <c r="E7" s="25">
        <v>170.0</v>
      </c>
      <c r="F7" s="19">
        <v>2200.0</v>
      </c>
      <c r="G7" s="19">
        <v>29.0</v>
      </c>
      <c r="H7" s="19">
        <f t="shared" si="1"/>
        <v>374</v>
      </c>
      <c r="I7" s="19">
        <f t="shared" si="2"/>
        <v>10846</v>
      </c>
      <c r="J7" s="23"/>
    </row>
    <row r="8" ht="22.5" customHeight="1">
      <c r="A8" s="7" t="s">
        <v>24</v>
      </c>
      <c r="B8" s="14" t="s">
        <v>21</v>
      </c>
      <c r="C8" s="14" t="s">
        <v>9</v>
      </c>
      <c r="D8" s="14">
        <v>80.0</v>
      </c>
      <c r="E8" s="25">
        <v>180.0</v>
      </c>
      <c r="F8" s="19">
        <v>9700.0</v>
      </c>
      <c r="G8" s="19">
        <v>29.0</v>
      </c>
      <c r="H8" s="19">
        <f t="shared" si="1"/>
        <v>1746</v>
      </c>
      <c r="I8" s="19">
        <f t="shared" si="2"/>
        <v>50634</v>
      </c>
      <c r="J8" s="23"/>
    </row>
    <row r="9" ht="22.5" customHeight="1">
      <c r="A9" s="7" t="s">
        <v>24</v>
      </c>
      <c r="B9" s="14" t="s">
        <v>21</v>
      </c>
      <c r="C9" s="14" t="s">
        <v>9</v>
      </c>
      <c r="D9" s="14">
        <v>80.0</v>
      </c>
      <c r="E9" s="25">
        <v>190.0</v>
      </c>
      <c r="F9" s="19">
        <v>3400.0</v>
      </c>
      <c r="G9" s="19">
        <v>29.0</v>
      </c>
      <c r="H9" s="19">
        <f t="shared" si="1"/>
        <v>646</v>
      </c>
      <c r="I9" s="19">
        <f t="shared" si="2"/>
        <v>18734</v>
      </c>
      <c r="J9" s="23"/>
    </row>
    <row r="10" ht="22.5" customHeight="1">
      <c r="A10" s="7" t="s">
        <v>24</v>
      </c>
      <c r="B10" s="14" t="s">
        <v>21</v>
      </c>
      <c r="C10" s="14" t="s">
        <v>9</v>
      </c>
      <c r="D10" s="14">
        <v>80.0</v>
      </c>
      <c r="E10" s="16">
        <v>210.0</v>
      </c>
      <c r="F10" s="19">
        <v>7300.0</v>
      </c>
      <c r="G10" s="19">
        <v>29.0</v>
      </c>
      <c r="H10" s="19">
        <f t="shared" si="1"/>
        <v>1533</v>
      </c>
      <c r="I10" s="19">
        <f t="shared" si="2"/>
        <v>44457</v>
      </c>
      <c r="J10" s="23"/>
    </row>
    <row r="11" ht="22.5" customHeight="1">
      <c r="A11" s="7" t="s">
        <v>24</v>
      </c>
      <c r="B11" s="14" t="s">
        <v>21</v>
      </c>
      <c r="C11" s="14" t="s">
        <v>9</v>
      </c>
      <c r="D11" s="14">
        <v>80.0</v>
      </c>
      <c r="E11" s="16">
        <v>250.0</v>
      </c>
      <c r="F11" s="19">
        <v>10650.0</v>
      </c>
      <c r="G11" s="19">
        <v>29.0</v>
      </c>
      <c r="H11" s="19">
        <f t="shared" si="1"/>
        <v>2662.5</v>
      </c>
      <c r="I11" s="19">
        <f t="shared" si="2"/>
        <v>77212.5</v>
      </c>
      <c r="J11" s="23"/>
    </row>
    <row r="12" ht="22.5" customHeight="1">
      <c r="A12" s="7" t="s">
        <v>24</v>
      </c>
      <c r="B12" s="14" t="s">
        <v>21</v>
      </c>
      <c r="C12" s="14" t="s">
        <v>9</v>
      </c>
      <c r="D12" s="14">
        <v>80.0</v>
      </c>
      <c r="E12" s="16">
        <v>280.0</v>
      </c>
      <c r="F12" s="19">
        <v>11400.0</v>
      </c>
      <c r="G12" s="19">
        <v>29.0</v>
      </c>
      <c r="H12" s="19">
        <f t="shared" si="1"/>
        <v>3192</v>
      </c>
      <c r="I12" s="19">
        <f t="shared" si="2"/>
        <v>92568</v>
      </c>
      <c r="J12" s="23"/>
    </row>
    <row r="13" ht="22.5" customHeight="1">
      <c r="A13" s="7" t="s">
        <v>24</v>
      </c>
      <c r="B13" s="14" t="s">
        <v>21</v>
      </c>
      <c r="C13" s="14" t="s">
        <v>9</v>
      </c>
      <c r="D13" s="14">
        <v>80.0</v>
      </c>
      <c r="E13" s="16">
        <v>290.0</v>
      </c>
      <c r="F13" s="19">
        <v>24800.0</v>
      </c>
      <c r="G13" s="19">
        <v>29.0</v>
      </c>
      <c r="H13" s="19">
        <f t="shared" si="1"/>
        <v>7192</v>
      </c>
      <c r="I13" s="19">
        <f t="shared" si="2"/>
        <v>208568</v>
      </c>
      <c r="J13" s="23"/>
    </row>
    <row r="14" ht="22.5" customHeight="1">
      <c r="A14" s="7" t="s">
        <v>24</v>
      </c>
      <c r="B14" s="14" t="s">
        <v>21</v>
      </c>
      <c r="C14" s="14" t="s">
        <v>40</v>
      </c>
      <c r="D14" s="14">
        <v>80.0</v>
      </c>
      <c r="E14" s="25">
        <v>290.0</v>
      </c>
      <c r="F14" s="19">
        <v>1000.0</v>
      </c>
      <c r="G14" s="19">
        <v>46.0</v>
      </c>
      <c r="H14" s="19">
        <f t="shared" si="1"/>
        <v>290</v>
      </c>
      <c r="I14" s="19">
        <f t="shared" si="2"/>
        <v>13340</v>
      </c>
      <c r="J14" s="23"/>
    </row>
    <row r="15" ht="22.5" customHeight="1">
      <c r="A15" s="7" t="s">
        <v>24</v>
      </c>
      <c r="B15" s="14" t="s">
        <v>21</v>
      </c>
      <c r="C15" s="14" t="s">
        <v>40</v>
      </c>
      <c r="D15" s="14">
        <v>80.0</v>
      </c>
      <c r="E15" s="25">
        <v>300.0</v>
      </c>
      <c r="F15" s="19">
        <v>2000.0</v>
      </c>
      <c r="G15" s="19">
        <v>46.0</v>
      </c>
      <c r="H15" s="19">
        <f t="shared" si="1"/>
        <v>600</v>
      </c>
      <c r="I15" s="19">
        <f t="shared" si="2"/>
        <v>27600</v>
      </c>
      <c r="J15" s="23"/>
    </row>
    <row r="16" ht="22.5" customHeight="1">
      <c r="A16" s="7" t="s">
        <v>24</v>
      </c>
      <c r="B16" s="14" t="s">
        <v>21</v>
      </c>
      <c r="C16" s="14" t="s">
        <v>9</v>
      </c>
      <c r="D16" s="14">
        <v>80.0</v>
      </c>
      <c r="E16" s="25">
        <v>300.0</v>
      </c>
      <c r="F16" s="19">
        <v>4400.0</v>
      </c>
      <c r="G16" s="19">
        <v>29.0</v>
      </c>
      <c r="H16" s="19">
        <f t="shared" si="1"/>
        <v>1320</v>
      </c>
      <c r="I16" s="19">
        <f t="shared" si="2"/>
        <v>38280</v>
      </c>
      <c r="J16" s="23"/>
    </row>
    <row r="17" ht="22.5" customHeight="1">
      <c r="A17" s="7" t="s">
        <v>24</v>
      </c>
      <c r="B17" s="14" t="s">
        <v>21</v>
      </c>
      <c r="C17" s="14" t="s">
        <v>9</v>
      </c>
      <c r="D17" s="14">
        <v>80.0</v>
      </c>
      <c r="E17" s="16">
        <v>320.0</v>
      </c>
      <c r="F17" s="19">
        <v>7000.0</v>
      </c>
      <c r="G17" s="19">
        <v>29.0</v>
      </c>
      <c r="H17" s="19">
        <f t="shared" si="1"/>
        <v>2240</v>
      </c>
      <c r="I17" s="19">
        <f t="shared" si="2"/>
        <v>64960</v>
      </c>
      <c r="J17" s="23"/>
    </row>
    <row r="18" ht="22.5" customHeight="1">
      <c r="A18" s="7" t="s">
        <v>24</v>
      </c>
      <c r="B18" s="14" t="s">
        <v>21</v>
      </c>
      <c r="C18" s="14" t="s">
        <v>9</v>
      </c>
      <c r="D18" s="14">
        <v>80.0</v>
      </c>
      <c r="E18" s="16">
        <v>330.0</v>
      </c>
      <c r="F18" s="19">
        <v>13250.0</v>
      </c>
      <c r="G18" s="19">
        <v>29.0</v>
      </c>
      <c r="H18" s="19">
        <f t="shared" si="1"/>
        <v>4372.5</v>
      </c>
      <c r="I18" s="19">
        <f t="shared" si="2"/>
        <v>126802.5</v>
      </c>
      <c r="J18" s="23"/>
    </row>
    <row r="19" ht="22.5" customHeight="1">
      <c r="A19" s="7" t="s">
        <v>24</v>
      </c>
      <c r="B19" s="14" t="s">
        <v>21</v>
      </c>
      <c r="C19" s="14" t="s">
        <v>40</v>
      </c>
      <c r="D19" s="14">
        <v>80.0</v>
      </c>
      <c r="E19" s="16">
        <v>330.0</v>
      </c>
      <c r="F19" s="19">
        <v>2000.0</v>
      </c>
      <c r="G19" s="19">
        <v>46.0</v>
      </c>
      <c r="H19" s="19">
        <f t="shared" si="1"/>
        <v>660</v>
      </c>
      <c r="I19" s="19">
        <f t="shared" si="2"/>
        <v>30360</v>
      </c>
      <c r="J19" s="23"/>
    </row>
    <row r="20" ht="22.5" customHeight="1">
      <c r="A20" s="7" t="s">
        <v>24</v>
      </c>
      <c r="B20" s="14" t="s">
        <v>21</v>
      </c>
      <c r="C20" s="14" t="s">
        <v>41</v>
      </c>
      <c r="D20" s="14">
        <v>150.0</v>
      </c>
      <c r="E20" s="16">
        <v>90.0</v>
      </c>
      <c r="F20" s="19">
        <v>500.0</v>
      </c>
      <c r="G20" s="19">
        <v>53.5</v>
      </c>
      <c r="H20" s="19">
        <f t="shared" si="1"/>
        <v>45</v>
      </c>
      <c r="I20" s="19">
        <f t="shared" si="2"/>
        <v>2407.5</v>
      </c>
      <c r="J20" s="23"/>
    </row>
    <row r="21" ht="22.5" customHeight="1">
      <c r="A21" s="7" t="s">
        <v>24</v>
      </c>
      <c r="B21" s="14" t="s">
        <v>21</v>
      </c>
      <c r="C21" s="14" t="s">
        <v>42</v>
      </c>
      <c r="D21" s="14">
        <v>50.0</v>
      </c>
      <c r="E21" s="16">
        <v>200.0</v>
      </c>
      <c r="F21" s="19">
        <v>3600.0</v>
      </c>
      <c r="G21" s="19">
        <v>44.0</v>
      </c>
      <c r="H21" s="19">
        <f t="shared" si="1"/>
        <v>720</v>
      </c>
      <c r="I21" s="19">
        <f t="shared" si="2"/>
        <v>31680</v>
      </c>
      <c r="J21" s="23"/>
    </row>
    <row r="22" ht="22.5" customHeight="1">
      <c r="A22" s="7" t="s">
        <v>24</v>
      </c>
      <c r="B22" s="14" t="s">
        <v>21</v>
      </c>
      <c r="C22" s="14" t="s">
        <v>43</v>
      </c>
      <c r="D22" s="14">
        <v>50.0</v>
      </c>
      <c r="E22" s="16">
        <v>200.0</v>
      </c>
      <c r="F22" s="19">
        <v>800.0</v>
      </c>
      <c r="G22" s="19">
        <v>44.0</v>
      </c>
      <c r="H22" s="19">
        <f t="shared" si="1"/>
        <v>160</v>
      </c>
      <c r="I22" s="19">
        <f t="shared" si="2"/>
        <v>7040</v>
      </c>
      <c r="J22" s="23"/>
    </row>
    <row r="23" ht="22.5" customHeight="1">
      <c r="A23" s="7" t="s">
        <v>24</v>
      </c>
      <c r="B23" s="14" t="s">
        <v>21</v>
      </c>
      <c r="C23" s="14" t="s">
        <v>26</v>
      </c>
      <c r="D23" s="14">
        <v>80.0</v>
      </c>
      <c r="E23" s="16">
        <v>280.0</v>
      </c>
      <c r="F23" s="19">
        <v>200.0</v>
      </c>
      <c r="G23" s="19">
        <v>48.0</v>
      </c>
      <c r="H23" s="19">
        <f t="shared" si="1"/>
        <v>56</v>
      </c>
      <c r="I23" s="19">
        <f t="shared" si="2"/>
        <v>2688</v>
      </c>
      <c r="J23" s="23"/>
    </row>
    <row r="24" ht="22.5" customHeight="1">
      <c r="A24" s="7" t="s">
        <v>24</v>
      </c>
      <c r="B24" s="14" t="s">
        <v>21</v>
      </c>
      <c r="C24" s="14" t="s">
        <v>44</v>
      </c>
      <c r="D24" s="14">
        <v>150.0</v>
      </c>
      <c r="E24" s="16">
        <v>180.0</v>
      </c>
      <c r="F24" s="19">
        <v>1500.0</v>
      </c>
      <c r="G24" s="19">
        <v>53.5</v>
      </c>
      <c r="H24" s="19">
        <f t="shared" si="1"/>
        <v>270</v>
      </c>
      <c r="I24" s="19">
        <f t="shared" si="2"/>
        <v>14445</v>
      </c>
      <c r="J24" s="23"/>
    </row>
    <row r="25" ht="22.5" customHeight="1">
      <c r="A25" s="7" t="s">
        <v>24</v>
      </c>
      <c r="B25" s="14" t="s">
        <v>21</v>
      </c>
      <c r="C25" s="14" t="s">
        <v>44</v>
      </c>
      <c r="D25" s="14">
        <v>150.0</v>
      </c>
      <c r="E25" s="16">
        <v>100.0</v>
      </c>
      <c r="F25" s="19">
        <v>1500.0</v>
      </c>
      <c r="G25" s="19">
        <v>53.5</v>
      </c>
      <c r="H25" s="19">
        <f t="shared" si="1"/>
        <v>150</v>
      </c>
      <c r="I25" s="19">
        <f t="shared" si="2"/>
        <v>8025</v>
      </c>
      <c r="J25" s="23"/>
    </row>
    <row r="26" ht="22.5" customHeight="1">
      <c r="A26" s="7" t="s">
        <v>24</v>
      </c>
      <c r="B26" s="14" t="s">
        <v>21</v>
      </c>
      <c r="C26" s="14" t="s">
        <v>45</v>
      </c>
      <c r="D26" s="14">
        <v>50.0</v>
      </c>
      <c r="E26" s="16">
        <v>250.0</v>
      </c>
      <c r="F26" s="19">
        <v>1000.0</v>
      </c>
      <c r="G26" s="19">
        <v>62.0</v>
      </c>
      <c r="H26" s="19">
        <f t="shared" si="1"/>
        <v>250</v>
      </c>
      <c r="I26" s="19">
        <f t="shared" si="2"/>
        <v>15500</v>
      </c>
      <c r="J26" s="23"/>
    </row>
    <row r="27" ht="22.5" customHeight="1">
      <c r="A27" s="7" t="s">
        <v>24</v>
      </c>
      <c r="B27" s="14" t="s">
        <v>21</v>
      </c>
      <c r="C27" s="14" t="s">
        <v>46</v>
      </c>
      <c r="D27" s="14">
        <v>50.0</v>
      </c>
      <c r="E27" s="16">
        <v>175.0</v>
      </c>
      <c r="F27" s="19">
        <v>600.0</v>
      </c>
      <c r="G27" s="19">
        <v>0.0</v>
      </c>
      <c r="H27" s="19">
        <f t="shared" si="1"/>
        <v>105</v>
      </c>
      <c r="I27" s="19">
        <f t="shared" si="2"/>
        <v>0</v>
      </c>
      <c r="J27" s="23"/>
    </row>
    <row r="28" ht="22.5" customHeight="1">
      <c r="A28" s="7" t="s">
        <v>24</v>
      </c>
      <c r="B28" s="14" t="s">
        <v>30</v>
      </c>
      <c r="C28" s="14" t="s">
        <v>9</v>
      </c>
      <c r="D28" s="14">
        <v>80.0</v>
      </c>
      <c r="E28" s="16">
        <v>195.0</v>
      </c>
      <c r="F28" s="19">
        <v>180.0</v>
      </c>
      <c r="G28" s="19">
        <v>26.25</v>
      </c>
      <c r="H28" s="19">
        <f t="shared" si="1"/>
        <v>35.1</v>
      </c>
      <c r="I28" s="19">
        <f t="shared" si="2"/>
        <v>921.375</v>
      </c>
      <c r="J28" s="23"/>
    </row>
    <row r="29" ht="22.5" customHeight="1">
      <c r="A29" s="7" t="s">
        <v>24</v>
      </c>
      <c r="B29" s="14" t="s">
        <v>30</v>
      </c>
      <c r="C29" s="14" t="s">
        <v>47</v>
      </c>
      <c r="D29" s="14">
        <v>50.0</v>
      </c>
      <c r="E29" s="25">
        <v>200.0</v>
      </c>
      <c r="F29" s="19">
        <v>1500.0</v>
      </c>
      <c r="G29" s="19">
        <v>34.5</v>
      </c>
      <c r="H29" s="19">
        <f t="shared" si="1"/>
        <v>300</v>
      </c>
      <c r="I29" s="19">
        <f t="shared" si="2"/>
        <v>10350</v>
      </c>
      <c r="J29" s="23"/>
    </row>
    <row r="30" ht="22.5" customHeight="1">
      <c r="A30" s="7" t="s">
        <v>24</v>
      </c>
      <c r="B30" s="14" t="s">
        <v>30</v>
      </c>
      <c r="C30" s="14" t="s">
        <v>9</v>
      </c>
      <c r="D30" s="14">
        <v>80.0</v>
      </c>
      <c r="E30" s="25">
        <v>220.0</v>
      </c>
      <c r="F30" s="19">
        <v>2000.0</v>
      </c>
      <c r="G30" s="19">
        <v>26.25</v>
      </c>
      <c r="H30" s="19">
        <f t="shared" si="1"/>
        <v>440</v>
      </c>
      <c r="I30" s="19">
        <f t="shared" si="2"/>
        <v>11550</v>
      </c>
      <c r="J30" s="23"/>
    </row>
    <row r="31" ht="22.5" customHeight="1">
      <c r="A31" s="7" t="s">
        <v>24</v>
      </c>
      <c r="B31" s="14" t="s">
        <v>30</v>
      </c>
      <c r="C31" s="14" t="s">
        <v>9</v>
      </c>
      <c r="D31" s="14">
        <v>80.0</v>
      </c>
      <c r="E31" s="16">
        <v>230.0</v>
      </c>
      <c r="F31" s="19">
        <v>2000.0</v>
      </c>
      <c r="G31" s="19">
        <v>26.25</v>
      </c>
      <c r="H31" s="19">
        <f t="shared" si="1"/>
        <v>460</v>
      </c>
      <c r="I31" s="19">
        <f t="shared" si="2"/>
        <v>12075</v>
      </c>
      <c r="J31" s="23"/>
    </row>
    <row r="32" ht="22.5" customHeight="1">
      <c r="A32" s="7" t="s">
        <v>24</v>
      </c>
      <c r="B32" s="14" t="s">
        <v>30</v>
      </c>
      <c r="C32" s="14" t="s">
        <v>9</v>
      </c>
      <c r="D32" s="14">
        <v>80.0</v>
      </c>
      <c r="E32" s="16">
        <v>260.0</v>
      </c>
      <c r="F32" s="19">
        <v>350.0</v>
      </c>
      <c r="G32" s="19">
        <v>26.25</v>
      </c>
      <c r="H32" s="19">
        <f t="shared" si="1"/>
        <v>91</v>
      </c>
      <c r="I32" s="19">
        <f t="shared" si="2"/>
        <v>2388.75</v>
      </c>
      <c r="J32" s="23"/>
    </row>
    <row r="33" ht="22.5" customHeight="1">
      <c r="A33" s="7" t="s">
        <v>24</v>
      </c>
      <c r="B33" s="14" t="s">
        <v>27</v>
      </c>
      <c r="C33" s="14" t="s">
        <v>48</v>
      </c>
      <c r="D33" s="14">
        <v>120.0</v>
      </c>
      <c r="E33" s="16">
        <v>115.0</v>
      </c>
      <c r="F33" s="19">
        <v>1250.0</v>
      </c>
      <c r="G33" s="19">
        <v>8.5</v>
      </c>
      <c r="H33" s="19">
        <f t="shared" si="1"/>
        <v>143.75</v>
      </c>
      <c r="I33" s="19">
        <f t="shared" si="2"/>
        <v>1221.875</v>
      </c>
      <c r="J33" s="23"/>
    </row>
    <row r="34" ht="22.5" customHeight="1">
      <c r="A34" s="7" t="s">
        <v>24</v>
      </c>
      <c r="B34" s="14" t="s">
        <v>27</v>
      </c>
      <c r="C34" s="14" t="s">
        <v>9</v>
      </c>
      <c r="D34" s="14">
        <v>80.0</v>
      </c>
      <c r="E34" s="16">
        <v>126.0</v>
      </c>
      <c r="F34" s="19">
        <v>8750.0</v>
      </c>
      <c r="G34" s="19">
        <v>26.5</v>
      </c>
      <c r="H34" s="19">
        <f t="shared" si="1"/>
        <v>1102.5</v>
      </c>
      <c r="I34" s="19">
        <f t="shared" si="2"/>
        <v>29216.25</v>
      </c>
      <c r="J34" s="23"/>
    </row>
    <row r="35" ht="22.5" customHeight="1">
      <c r="A35" s="7" t="s">
        <v>24</v>
      </c>
      <c r="B35" s="14" t="s">
        <v>27</v>
      </c>
      <c r="C35" s="14" t="s">
        <v>26</v>
      </c>
      <c r="D35" s="14">
        <v>80.0</v>
      </c>
      <c r="E35" s="16">
        <v>125.0</v>
      </c>
      <c r="F35" s="19">
        <v>5100.0</v>
      </c>
      <c r="G35" s="19">
        <v>43.85</v>
      </c>
      <c r="H35" s="19">
        <f t="shared" si="1"/>
        <v>637.5</v>
      </c>
      <c r="I35" s="19">
        <f t="shared" si="2"/>
        <v>27954.375</v>
      </c>
      <c r="J35" s="23"/>
    </row>
    <row r="36" ht="22.5" customHeight="1">
      <c r="A36" s="7" t="s">
        <v>24</v>
      </c>
      <c r="B36" s="14" t="s">
        <v>27</v>
      </c>
      <c r="C36" s="14" t="s">
        <v>26</v>
      </c>
      <c r="D36" s="14">
        <v>80.0</v>
      </c>
      <c r="E36" s="16">
        <v>160.0</v>
      </c>
      <c r="F36" s="19">
        <v>700.0</v>
      </c>
      <c r="G36" s="19">
        <v>43.85</v>
      </c>
      <c r="H36" s="19">
        <f t="shared" si="1"/>
        <v>112</v>
      </c>
      <c r="I36" s="19">
        <f t="shared" si="2"/>
        <v>4911.2</v>
      </c>
      <c r="J36" s="23"/>
    </row>
    <row r="37" ht="22.5" customHeight="1">
      <c r="A37" s="7" t="s">
        <v>24</v>
      </c>
      <c r="B37" s="14" t="s">
        <v>27</v>
      </c>
      <c r="C37" s="14" t="s">
        <v>26</v>
      </c>
      <c r="D37" s="14">
        <v>80.0</v>
      </c>
      <c r="E37" s="16">
        <v>170.0</v>
      </c>
      <c r="F37" s="19">
        <v>600.0</v>
      </c>
      <c r="G37" s="19">
        <v>43.85</v>
      </c>
      <c r="H37" s="19">
        <f t="shared" si="1"/>
        <v>102</v>
      </c>
      <c r="I37" s="19">
        <f t="shared" si="2"/>
        <v>4472.7</v>
      </c>
      <c r="J37" s="23"/>
    </row>
    <row r="38" ht="22.5" customHeight="1">
      <c r="A38" s="7" t="s">
        <v>24</v>
      </c>
      <c r="B38" s="14" t="s">
        <v>27</v>
      </c>
      <c r="C38" s="14" t="s">
        <v>26</v>
      </c>
      <c r="D38" s="14">
        <v>80.0</v>
      </c>
      <c r="E38" s="16">
        <v>190.0</v>
      </c>
      <c r="F38" s="19">
        <v>1300.0</v>
      </c>
      <c r="G38" s="19">
        <v>43.85</v>
      </c>
      <c r="H38" s="19">
        <f t="shared" si="1"/>
        <v>247</v>
      </c>
      <c r="I38" s="19">
        <f t="shared" si="2"/>
        <v>10830.95</v>
      </c>
      <c r="J38" s="23"/>
    </row>
    <row r="39" ht="22.5" customHeight="1">
      <c r="A39" s="7" t="s">
        <v>24</v>
      </c>
      <c r="B39" s="14" t="s">
        <v>27</v>
      </c>
      <c r="C39" s="14" t="s">
        <v>26</v>
      </c>
      <c r="D39" s="14">
        <v>80.0</v>
      </c>
      <c r="E39" s="16">
        <v>280.0</v>
      </c>
      <c r="F39" s="19">
        <v>520.0</v>
      </c>
      <c r="G39" s="19">
        <v>43.85</v>
      </c>
      <c r="H39" s="19">
        <f t="shared" si="1"/>
        <v>145.6</v>
      </c>
      <c r="I39" s="19">
        <f t="shared" si="2"/>
        <v>6384.56</v>
      </c>
      <c r="J39" s="23"/>
    </row>
    <row r="40" ht="22.5" customHeight="1">
      <c r="A40" s="7" t="s">
        <v>24</v>
      </c>
      <c r="B40" s="14" t="s">
        <v>27</v>
      </c>
      <c r="C40" s="14" t="s">
        <v>26</v>
      </c>
      <c r="D40" s="14">
        <v>80.0</v>
      </c>
      <c r="E40" s="16">
        <v>140.0</v>
      </c>
      <c r="F40" s="19">
        <v>1350.0</v>
      </c>
      <c r="G40" s="19">
        <v>43.85</v>
      </c>
      <c r="H40" s="19">
        <f t="shared" si="1"/>
        <v>189</v>
      </c>
      <c r="I40" s="19">
        <f t="shared" si="2"/>
        <v>8287.65</v>
      </c>
      <c r="J40" s="23"/>
    </row>
    <row r="41" ht="22.5" customHeight="1">
      <c r="A41" s="7" t="s">
        <v>24</v>
      </c>
      <c r="B41" s="14" t="s">
        <v>27</v>
      </c>
      <c r="C41" s="14" t="s">
        <v>9</v>
      </c>
      <c r="D41" s="14">
        <v>80.0</v>
      </c>
      <c r="E41" s="16">
        <v>140.0</v>
      </c>
      <c r="F41" s="19">
        <v>300.0</v>
      </c>
      <c r="G41" s="19">
        <v>26.5</v>
      </c>
      <c r="H41" s="19">
        <f t="shared" si="1"/>
        <v>42</v>
      </c>
      <c r="I41" s="19">
        <f t="shared" si="2"/>
        <v>1113</v>
      </c>
      <c r="J41" s="23"/>
    </row>
    <row r="42" ht="22.5" customHeight="1">
      <c r="A42" s="7" t="s">
        <v>24</v>
      </c>
      <c r="B42" s="14" t="s">
        <v>27</v>
      </c>
      <c r="C42" s="14" t="s">
        <v>9</v>
      </c>
      <c r="D42" s="14">
        <v>80.0</v>
      </c>
      <c r="E42" s="16">
        <v>160.0</v>
      </c>
      <c r="F42" s="19">
        <v>3850.0</v>
      </c>
      <c r="G42" s="19">
        <v>26.5</v>
      </c>
      <c r="H42" s="19">
        <f t="shared" si="1"/>
        <v>616</v>
      </c>
      <c r="I42" s="19">
        <f t="shared" si="2"/>
        <v>16324</v>
      </c>
      <c r="J42" s="23"/>
    </row>
    <row r="43" ht="22.5" customHeight="1">
      <c r="A43" s="7" t="s">
        <v>24</v>
      </c>
      <c r="B43" s="14" t="s">
        <v>27</v>
      </c>
      <c r="C43" s="14" t="s">
        <v>9</v>
      </c>
      <c r="D43" s="14">
        <v>80.0</v>
      </c>
      <c r="E43" s="16">
        <v>185.0</v>
      </c>
      <c r="F43" s="19">
        <v>4510.0</v>
      </c>
      <c r="G43" s="19">
        <v>26.5</v>
      </c>
      <c r="H43" s="19">
        <f t="shared" si="1"/>
        <v>834.35</v>
      </c>
      <c r="I43" s="19">
        <f t="shared" si="2"/>
        <v>22110.275</v>
      </c>
      <c r="J43" s="23"/>
    </row>
    <row r="44" ht="22.5" customHeight="1">
      <c r="A44" s="7" t="s">
        <v>24</v>
      </c>
      <c r="B44" s="14" t="s">
        <v>27</v>
      </c>
      <c r="C44" s="14" t="s">
        <v>9</v>
      </c>
      <c r="D44" s="14">
        <v>80.0</v>
      </c>
      <c r="E44" s="16">
        <v>190.0</v>
      </c>
      <c r="F44" s="19">
        <v>250.0</v>
      </c>
      <c r="G44" s="19">
        <v>26.5</v>
      </c>
      <c r="H44" s="19">
        <f t="shared" si="1"/>
        <v>47.5</v>
      </c>
      <c r="I44" s="19">
        <f t="shared" si="2"/>
        <v>1258.75</v>
      </c>
      <c r="J44" s="23"/>
    </row>
    <row r="45" ht="22.5" customHeight="1">
      <c r="A45" s="7" t="s">
        <v>24</v>
      </c>
      <c r="B45" s="14" t="s">
        <v>27</v>
      </c>
      <c r="C45" s="14" t="s">
        <v>9</v>
      </c>
      <c r="D45" s="14">
        <v>80.0</v>
      </c>
      <c r="E45" s="16">
        <v>195.0</v>
      </c>
      <c r="F45" s="19">
        <v>8790.0</v>
      </c>
      <c r="G45" s="19">
        <v>26.5</v>
      </c>
      <c r="H45" s="19">
        <f t="shared" si="1"/>
        <v>1714.05</v>
      </c>
      <c r="I45" s="19">
        <f t="shared" si="2"/>
        <v>45422.325</v>
      </c>
      <c r="J45" s="23"/>
    </row>
    <row r="46" ht="22.5" customHeight="1">
      <c r="A46" s="7" t="s">
        <v>24</v>
      </c>
      <c r="B46" s="14" t="s">
        <v>27</v>
      </c>
      <c r="C46" s="14" t="s">
        <v>9</v>
      </c>
      <c r="D46" s="14">
        <v>80.0</v>
      </c>
      <c r="E46" s="16">
        <v>200.0</v>
      </c>
      <c r="F46" s="19">
        <v>600.0</v>
      </c>
      <c r="G46" s="19">
        <v>26.5</v>
      </c>
      <c r="H46" s="19">
        <f t="shared" si="1"/>
        <v>120</v>
      </c>
      <c r="I46" s="19">
        <f t="shared" si="2"/>
        <v>3180</v>
      </c>
      <c r="J46" s="23"/>
    </row>
    <row r="47" ht="22.5" customHeight="1">
      <c r="A47" s="7" t="s">
        <v>24</v>
      </c>
      <c r="B47" s="14" t="s">
        <v>27</v>
      </c>
      <c r="C47" s="14" t="s">
        <v>9</v>
      </c>
      <c r="D47" s="14">
        <v>80.0</v>
      </c>
      <c r="E47" s="16">
        <v>210.0</v>
      </c>
      <c r="F47" s="19">
        <v>2300.0</v>
      </c>
      <c r="G47" s="19">
        <v>26.5</v>
      </c>
      <c r="H47" s="19">
        <f t="shared" si="1"/>
        <v>483</v>
      </c>
      <c r="I47" s="19">
        <f t="shared" si="2"/>
        <v>12799.5</v>
      </c>
      <c r="J47" s="23"/>
    </row>
    <row r="48" ht="22.5" customHeight="1">
      <c r="A48" s="7" t="s">
        <v>24</v>
      </c>
      <c r="B48" s="14" t="s">
        <v>27</v>
      </c>
      <c r="C48" s="14" t="s">
        <v>9</v>
      </c>
      <c r="D48" s="14">
        <v>80.0</v>
      </c>
      <c r="E48" s="16">
        <v>230.0</v>
      </c>
      <c r="F48" s="19">
        <v>4890.0</v>
      </c>
      <c r="G48" s="19">
        <v>26.5</v>
      </c>
      <c r="H48" s="19">
        <f t="shared" si="1"/>
        <v>1124.7</v>
      </c>
      <c r="I48" s="19">
        <f t="shared" si="2"/>
        <v>29804.55</v>
      </c>
      <c r="J48" s="23"/>
    </row>
    <row r="49" ht="22.5" customHeight="1">
      <c r="A49" s="7" t="s">
        <v>24</v>
      </c>
      <c r="B49" s="14" t="s">
        <v>27</v>
      </c>
      <c r="C49" s="14" t="s">
        <v>9</v>
      </c>
      <c r="D49" s="14">
        <v>80.0</v>
      </c>
      <c r="E49" s="16">
        <v>240.0</v>
      </c>
      <c r="F49" s="19">
        <v>1300.0</v>
      </c>
      <c r="G49" s="19">
        <v>26.5</v>
      </c>
      <c r="H49" s="19">
        <f t="shared" si="1"/>
        <v>312</v>
      </c>
      <c r="I49" s="19">
        <f t="shared" si="2"/>
        <v>8268</v>
      </c>
      <c r="J49" s="23"/>
    </row>
    <row r="50" ht="22.5" customHeight="1">
      <c r="A50" s="7" t="s">
        <v>24</v>
      </c>
      <c r="B50" s="14" t="s">
        <v>27</v>
      </c>
      <c r="C50" s="14" t="s">
        <v>9</v>
      </c>
      <c r="D50" s="14">
        <v>80.0</v>
      </c>
      <c r="E50" s="16">
        <v>245.0</v>
      </c>
      <c r="F50" s="19">
        <v>2070.0</v>
      </c>
      <c r="G50" s="19">
        <v>26.5</v>
      </c>
      <c r="H50" s="19">
        <f t="shared" si="1"/>
        <v>507.15</v>
      </c>
      <c r="I50" s="19">
        <f t="shared" si="2"/>
        <v>13439.475</v>
      </c>
      <c r="J50" s="23"/>
    </row>
    <row r="51" ht="22.5" customHeight="1">
      <c r="A51" s="7" t="s">
        <v>24</v>
      </c>
      <c r="B51" s="14" t="s">
        <v>27</v>
      </c>
      <c r="C51" s="14" t="s">
        <v>9</v>
      </c>
      <c r="D51" s="14">
        <v>80.0</v>
      </c>
      <c r="E51" s="16">
        <v>260.0</v>
      </c>
      <c r="F51" s="19">
        <v>6560.0</v>
      </c>
      <c r="G51" s="19">
        <v>26.5</v>
      </c>
      <c r="H51" s="19">
        <f t="shared" si="1"/>
        <v>1705.6</v>
      </c>
      <c r="I51" s="19">
        <f t="shared" si="2"/>
        <v>45198.4</v>
      </c>
      <c r="J51" s="23"/>
    </row>
    <row r="52" ht="22.5" customHeight="1">
      <c r="A52" s="7" t="s">
        <v>24</v>
      </c>
      <c r="B52" s="14" t="s">
        <v>27</v>
      </c>
      <c r="C52" s="14" t="s">
        <v>9</v>
      </c>
      <c r="D52" s="14">
        <v>80.0</v>
      </c>
      <c r="E52" s="16">
        <v>320.0</v>
      </c>
      <c r="F52" s="19">
        <v>700.0</v>
      </c>
      <c r="G52" s="19">
        <v>26.5</v>
      </c>
      <c r="H52" s="19">
        <f t="shared" si="1"/>
        <v>224</v>
      </c>
      <c r="I52" s="19">
        <f t="shared" si="2"/>
        <v>5936</v>
      </c>
      <c r="J52" s="23"/>
    </row>
    <row r="53" ht="22.5" customHeight="1">
      <c r="A53" s="7" t="s">
        <v>24</v>
      </c>
      <c r="B53" s="14" t="s">
        <v>27</v>
      </c>
      <c r="C53" s="14" t="s">
        <v>9</v>
      </c>
      <c r="D53" s="14">
        <v>80.0</v>
      </c>
      <c r="E53" s="41">
        <v>340.0</v>
      </c>
      <c r="F53" s="19">
        <v>2000.0</v>
      </c>
      <c r="G53" s="19">
        <v>26.5</v>
      </c>
      <c r="H53" s="19">
        <f t="shared" si="1"/>
        <v>680</v>
      </c>
      <c r="I53" s="19">
        <f t="shared" si="2"/>
        <v>18020</v>
      </c>
      <c r="J53" s="23"/>
    </row>
    <row r="54" ht="22.5" customHeight="1">
      <c r="A54" s="7" t="s">
        <v>24</v>
      </c>
      <c r="B54" s="14" t="s">
        <v>27</v>
      </c>
      <c r="C54" s="14" t="s">
        <v>48</v>
      </c>
      <c r="D54" s="14">
        <v>80.0</v>
      </c>
      <c r="E54" s="41">
        <v>340.0</v>
      </c>
      <c r="F54" s="19">
        <v>200.0</v>
      </c>
      <c r="G54" s="19">
        <v>8.5</v>
      </c>
      <c r="H54" s="19">
        <f t="shared" si="1"/>
        <v>68</v>
      </c>
      <c r="I54" s="19">
        <f t="shared" si="2"/>
        <v>578</v>
      </c>
      <c r="J54" s="23"/>
    </row>
    <row r="55" ht="22.5" customHeight="1">
      <c r="A55" s="7" t="s">
        <v>24</v>
      </c>
      <c r="B55" s="14" t="s">
        <v>27</v>
      </c>
      <c r="C55" s="14" t="s">
        <v>43</v>
      </c>
      <c r="D55" s="14">
        <v>50.0</v>
      </c>
      <c r="E55" s="16">
        <v>180.0</v>
      </c>
      <c r="F55" s="19">
        <v>1000.0</v>
      </c>
      <c r="G55" s="19">
        <v>34.0</v>
      </c>
      <c r="H55" s="19">
        <f t="shared" si="1"/>
        <v>180</v>
      </c>
      <c r="I55" s="19">
        <f t="shared" si="2"/>
        <v>6120</v>
      </c>
      <c r="J55" s="23"/>
    </row>
    <row r="56" ht="22.5" customHeight="1">
      <c r="A56" s="7" t="s">
        <v>24</v>
      </c>
      <c r="B56" s="14" t="s">
        <v>27</v>
      </c>
      <c r="C56" s="14" t="s">
        <v>43</v>
      </c>
      <c r="D56" s="14">
        <v>50.0</v>
      </c>
      <c r="E56" s="16">
        <v>320.0</v>
      </c>
      <c r="F56" s="19">
        <v>250.0</v>
      </c>
      <c r="G56" s="19">
        <v>34.0</v>
      </c>
      <c r="H56" s="19">
        <f t="shared" si="1"/>
        <v>80</v>
      </c>
      <c r="I56" s="19">
        <f t="shared" si="2"/>
        <v>2720</v>
      </c>
      <c r="J56" s="23"/>
    </row>
    <row r="57" ht="22.5" customHeight="1">
      <c r="A57" s="7" t="s">
        <v>24</v>
      </c>
      <c r="B57" s="14" t="s">
        <v>27</v>
      </c>
      <c r="C57" s="14" t="s">
        <v>43</v>
      </c>
      <c r="D57" s="14">
        <v>50.0</v>
      </c>
      <c r="E57" s="16">
        <v>200.0</v>
      </c>
      <c r="F57" s="19">
        <v>1360.0</v>
      </c>
      <c r="G57" s="19">
        <v>34.0</v>
      </c>
      <c r="H57" s="19">
        <f t="shared" si="1"/>
        <v>272</v>
      </c>
      <c r="I57" s="19">
        <f t="shared" si="2"/>
        <v>9248</v>
      </c>
      <c r="J57" s="23"/>
    </row>
    <row r="58" ht="22.5" customHeight="1">
      <c r="A58" s="7" t="s">
        <v>24</v>
      </c>
      <c r="B58" s="14" t="s">
        <v>23</v>
      </c>
      <c r="C58" s="14" t="s">
        <v>43</v>
      </c>
      <c r="D58" s="14">
        <v>50.0</v>
      </c>
      <c r="E58" s="16">
        <v>90.0</v>
      </c>
      <c r="F58" s="19">
        <v>700.0</v>
      </c>
      <c r="G58" s="19">
        <v>36.0</v>
      </c>
      <c r="H58" s="19">
        <f t="shared" si="1"/>
        <v>63</v>
      </c>
      <c r="I58" s="19">
        <f t="shared" si="2"/>
        <v>2268</v>
      </c>
      <c r="J58" s="23"/>
    </row>
    <row r="59" ht="22.5" customHeight="1">
      <c r="A59" s="7" t="s">
        <v>24</v>
      </c>
      <c r="B59" s="14" t="s">
        <v>23</v>
      </c>
      <c r="C59" s="14" t="s">
        <v>42</v>
      </c>
      <c r="D59" s="14">
        <v>50.0</v>
      </c>
      <c r="E59" s="16">
        <v>91.0</v>
      </c>
      <c r="F59" s="19">
        <v>12080.0</v>
      </c>
      <c r="G59" s="19">
        <v>34.5</v>
      </c>
      <c r="H59" s="19">
        <f t="shared" si="1"/>
        <v>1099.28</v>
      </c>
      <c r="I59" s="19">
        <f t="shared" si="2"/>
        <v>37925.16</v>
      </c>
      <c r="J59" s="23"/>
    </row>
    <row r="60" ht="22.5" customHeight="1">
      <c r="A60" s="7" t="s">
        <v>24</v>
      </c>
      <c r="B60" s="14" t="s">
        <v>23</v>
      </c>
      <c r="C60" s="14" t="s">
        <v>42</v>
      </c>
      <c r="D60" s="14">
        <v>50.0</v>
      </c>
      <c r="E60" s="16">
        <v>195.0</v>
      </c>
      <c r="F60" s="19">
        <v>500.0</v>
      </c>
      <c r="G60" s="19">
        <v>34.5</v>
      </c>
      <c r="H60" s="19">
        <f t="shared" si="1"/>
        <v>97.5</v>
      </c>
      <c r="I60" s="19">
        <f t="shared" si="2"/>
        <v>3363.75</v>
      </c>
      <c r="J60" s="23"/>
    </row>
    <row r="61" ht="22.5" customHeight="1">
      <c r="A61" s="7" t="s">
        <v>24</v>
      </c>
      <c r="B61" s="14" t="s">
        <v>23</v>
      </c>
      <c r="C61" s="14" t="s">
        <v>42</v>
      </c>
      <c r="D61" s="14">
        <v>50.0</v>
      </c>
      <c r="E61" s="16">
        <v>295.0</v>
      </c>
      <c r="F61" s="19">
        <v>740.0</v>
      </c>
      <c r="G61" s="19">
        <v>34.5</v>
      </c>
      <c r="H61" s="19">
        <f t="shared" si="1"/>
        <v>218.3</v>
      </c>
      <c r="I61" s="19">
        <f t="shared" si="2"/>
        <v>7531.35</v>
      </c>
      <c r="J61" s="23"/>
    </row>
    <row r="62" ht="22.5" customHeight="1">
      <c r="A62" s="7" t="s">
        <v>24</v>
      </c>
      <c r="B62" s="14" t="s">
        <v>31</v>
      </c>
      <c r="C62" s="14" t="s">
        <v>52</v>
      </c>
      <c r="D62" s="14">
        <v>50.0</v>
      </c>
      <c r="E62" s="16">
        <v>125.0</v>
      </c>
      <c r="F62" s="19">
        <v>7450.0</v>
      </c>
      <c r="G62" s="19">
        <v>34.0</v>
      </c>
      <c r="H62" s="19">
        <f t="shared" si="1"/>
        <v>931.25</v>
      </c>
      <c r="I62" s="19">
        <f t="shared" si="2"/>
        <v>31662.5</v>
      </c>
      <c r="J62" s="23"/>
    </row>
    <row r="63" ht="22.5" customHeight="1">
      <c r="A63" s="7" t="s">
        <v>24</v>
      </c>
      <c r="B63" s="14" t="s">
        <v>31</v>
      </c>
      <c r="C63" s="14" t="s">
        <v>43</v>
      </c>
      <c r="D63" s="14">
        <v>50.0</v>
      </c>
      <c r="E63" s="16">
        <v>135.0</v>
      </c>
      <c r="F63" s="19">
        <v>2070.0</v>
      </c>
      <c r="G63" s="19">
        <v>34.0</v>
      </c>
      <c r="H63" s="19">
        <f t="shared" si="1"/>
        <v>279.45</v>
      </c>
      <c r="I63" s="19">
        <f t="shared" si="2"/>
        <v>9501.3</v>
      </c>
      <c r="J63" s="23"/>
    </row>
    <row r="64" ht="22.5" customHeight="1">
      <c r="A64" s="7" t="s">
        <v>24</v>
      </c>
      <c r="B64" s="14" t="s">
        <v>31</v>
      </c>
      <c r="C64" s="14" t="s">
        <v>52</v>
      </c>
      <c r="D64" s="14">
        <v>50.0</v>
      </c>
      <c r="E64" s="16">
        <v>150.0</v>
      </c>
      <c r="F64" s="19">
        <v>200.0</v>
      </c>
      <c r="G64" s="19">
        <v>34.0</v>
      </c>
      <c r="H64" s="19">
        <f t="shared" si="1"/>
        <v>30</v>
      </c>
      <c r="I64" s="19">
        <f t="shared" si="2"/>
        <v>1020</v>
      </c>
      <c r="J64" s="23"/>
    </row>
    <row r="65" ht="22.5" customHeight="1">
      <c r="A65" s="7" t="s">
        <v>24</v>
      </c>
      <c r="B65" s="14" t="s">
        <v>31</v>
      </c>
      <c r="C65" s="14" t="s">
        <v>42</v>
      </c>
      <c r="D65" s="14">
        <v>50.0</v>
      </c>
      <c r="E65" s="16">
        <v>160.0</v>
      </c>
      <c r="F65" s="19">
        <v>1900.0</v>
      </c>
      <c r="G65" s="19">
        <v>40.0</v>
      </c>
      <c r="H65" s="19">
        <f t="shared" si="1"/>
        <v>304</v>
      </c>
      <c r="I65" s="19">
        <f t="shared" si="2"/>
        <v>12160</v>
      </c>
      <c r="J65" s="23"/>
    </row>
    <row r="66" ht="22.5" customHeight="1">
      <c r="A66" s="7" t="s">
        <v>24</v>
      </c>
      <c r="B66" s="14" t="s">
        <v>55</v>
      </c>
      <c r="C66" s="14" t="s">
        <v>54</v>
      </c>
      <c r="D66" s="14">
        <v>40.0</v>
      </c>
      <c r="E66" s="16">
        <v>240.0</v>
      </c>
      <c r="F66" s="19">
        <v>30000.0</v>
      </c>
      <c r="G66" s="19">
        <v>13.0</v>
      </c>
      <c r="H66" s="19">
        <f t="shared" si="1"/>
        <v>7200</v>
      </c>
      <c r="I66" s="19">
        <f t="shared" si="2"/>
        <v>93600</v>
      </c>
      <c r="J66" s="23"/>
    </row>
    <row r="67" ht="22.5" customHeight="1">
      <c r="A67" s="7" t="s">
        <v>24</v>
      </c>
      <c r="B67" s="14" t="s">
        <v>55</v>
      </c>
      <c r="C67" s="14" t="s">
        <v>54</v>
      </c>
      <c r="D67" s="14">
        <v>40.0</v>
      </c>
      <c r="E67" s="16">
        <v>190.0</v>
      </c>
      <c r="F67" s="19">
        <v>500.0</v>
      </c>
      <c r="G67" s="19">
        <v>13.0</v>
      </c>
      <c r="H67" s="19">
        <f t="shared" si="1"/>
        <v>95</v>
      </c>
      <c r="I67" s="19">
        <f t="shared" si="2"/>
        <v>1235</v>
      </c>
      <c r="J67" s="23"/>
    </row>
    <row r="68" ht="22.5" customHeight="1">
      <c r="A68" s="7" t="s">
        <v>24</v>
      </c>
      <c r="B68" s="14" t="s">
        <v>55</v>
      </c>
      <c r="C68" s="14" t="s">
        <v>54</v>
      </c>
      <c r="D68" s="14">
        <v>40.0</v>
      </c>
      <c r="E68" s="16">
        <v>195.0</v>
      </c>
      <c r="F68" s="19">
        <v>600.0</v>
      </c>
      <c r="G68" s="19">
        <v>13.0</v>
      </c>
      <c r="H68" s="19">
        <f t="shared" si="1"/>
        <v>117</v>
      </c>
      <c r="I68" s="19">
        <f t="shared" si="2"/>
        <v>1521</v>
      </c>
      <c r="J68" s="23"/>
    </row>
    <row r="69" ht="22.5" customHeight="1">
      <c r="A69" s="7" t="s">
        <v>24</v>
      </c>
      <c r="B69" s="14" t="s">
        <v>32</v>
      </c>
      <c r="C69" s="14" t="s">
        <v>42</v>
      </c>
      <c r="D69" s="14">
        <v>50.0</v>
      </c>
      <c r="E69" s="41">
        <v>220.0</v>
      </c>
      <c r="F69" s="19">
        <v>1800.0</v>
      </c>
      <c r="G69" s="19">
        <v>40.0</v>
      </c>
      <c r="H69" s="19">
        <f t="shared" si="1"/>
        <v>396</v>
      </c>
      <c r="I69" s="19">
        <f t="shared" si="2"/>
        <v>15840</v>
      </c>
      <c r="J69" s="23"/>
    </row>
    <row r="70" ht="22.5" customHeight="1">
      <c r="A70" s="7" t="s">
        <v>24</v>
      </c>
      <c r="B70" s="14" t="s">
        <v>32</v>
      </c>
      <c r="C70" s="14" t="s">
        <v>56</v>
      </c>
      <c r="D70" s="14">
        <v>80.0</v>
      </c>
      <c r="E70" s="41">
        <v>210.0</v>
      </c>
      <c r="F70" s="19">
        <v>1000.0</v>
      </c>
      <c r="G70" s="19">
        <v>30.0</v>
      </c>
      <c r="H70" s="19">
        <f t="shared" si="1"/>
        <v>210</v>
      </c>
      <c r="I70" s="19">
        <f t="shared" si="2"/>
        <v>6300</v>
      </c>
      <c r="J70" s="23"/>
    </row>
    <row r="71" ht="22.5" customHeight="1">
      <c r="A71" s="7" t="s">
        <v>24</v>
      </c>
      <c r="B71" s="14" t="s">
        <v>33</v>
      </c>
      <c r="C71" s="14" t="s">
        <v>57</v>
      </c>
      <c r="D71" s="14">
        <v>70.0</v>
      </c>
      <c r="E71" s="16">
        <v>160.0</v>
      </c>
      <c r="F71" s="19">
        <v>9930.0</v>
      </c>
      <c r="G71" s="19">
        <v>27.5</v>
      </c>
      <c r="H71" s="19">
        <f t="shared" si="1"/>
        <v>1588.8</v>
      </c>
      <c r="I71" s="19">
        <f t="shared" si="2"/>
        <v>43692</v>
      </c>
      <c r="J71" s="23"/>
    </row>
    <row r="72" ht="22.5" customHeight="1">
      <c r="A72" s="7" t="s">
        <v>24</v>
      </c>
      <c r="B72" s="14" t="s">
        <v>33</v>
      </c>
      <c r="C72" s="14" t="s">
        <v>59</v>
      </c>
      <c r="D72" s="14">
        <v>50.0</v>
      </c>
      <c r="E72" s="16">
        <v>265.0</v>
      </c>
      <c r="F72" s="19">
        <v>1500.0</v>
      </c>
      <c r="G72" s="19">
        <v>48.0</v>
      </c>
      <c r="H72" s="19">
        <f t="shared" si="1"/>
        <v>397.5</v>
      </c>
      <c r="I72" s="19">
        <f t="shared" si="2"/>
        <v>19080</v>
      </c>
      <c r="J72" s="23"/>
    </row>
    <row r="73" ht="22.5" customHeight="1">
      <c r="A73" s="7" t="s">
        <v>24</v>
      </c>
      <c r="B73" s="14" t="s">
        <v>33</v>
      </c>
      <c r="C73" s="14" t="s">
        <v>59</v>
      </c>
      <c r="D73" s="14">
        <v>50.0</v>
      </c>
      <c r="E73" s="16">
        <v>266.0</v>
      </c>
      <c r="F73" s="19">
        <v>4000.0</v>
      </c>
      <c r="G73" s="19">
        <v>48.0</v>
      </c>
      <c r="H73" s="19">
        <f t="shared" si="1"/>
        <v>1064</v>
      </c>
      <c r="I73" s="19">
        <f t="shared" si="2"/>
        <v>51072</v>
      </c>
      <c r="J73" s="23"/>
    </row>
    <row r="74" ht="22.5" customHeight="1">
      <c r="A74" s="7" t="s">
        <v>24</v>
      </c>
      <c r="B74" s="14" t="s">
        <v>33</v>
      </c>
      <c r="C74" s="14" t="s">
        <v>43</v>
      </c>
      <c r="D74" s="14">
        <v>50.0</v>
      </c>
      <c r="E74" s="41">
        <v>150.0</v>
      </c>
      <c r="F74" s="19">
        <v>800.0</v>
      </c>
      <c r="G74" s="19">
        <v>35.0</v>
      </c>
      <c r="H74" s="19">
        <f t="shared" si="1"/>
        <v>120</v>
      </c>
      <c r="I74" s="19">
        <f t="shared" si="2"/>
        <v>4200</v>
      </c>
      <c r="J74" s="23"/>
    </row>
    <row r="75" ht="22.5" customHeight="1">
      <c r="A75" s="7" t="s">
        <v>24</v>
      </c>
      <c r="B75" s="14" t="s">
        <v>33</v>
      </c>
      <c r="C75" s="14" t="s">
        <v>43</v>
      </c>
      <c r="D75" s="14">
        <v>50.0</v>
      </c>
      <c r="E75" s="41">
        <v>265.0</v>
      </c>
      <c r="F75" s="19">
        <v>1000.0</v>
      </c>
      <c r="G75" s="19">
        <v>35.0</v>
      </c>
      <c r="H75" s="19">
        <f t="shared" si="1"/>
        <v>265</v>
      </c>
      <c r="I75" s="19">
        <f t="shared" si="2"/>
        <v>9275</v>
      </c>
      <c r="J75" s="23"/>
    </row>
    <row r="76" ht="22.5" customHeight="1">
      <c r="A76" s="7" t="s">
        <v>24</v>
      </c>
      <c r="B76" s="14" t="s">
        <v>35</v>
      </c>
      <c r="C76" s="14" t="s">
        <v>34</v>
      </c>
      <c r="D76" s="14">
        <v>120.0</v>
      </c>
      <c r="E76" s="16">
        <v>250.0</v>
      </c>
      <c r="F76" s="19">
        <v>6000.0</v>
      </c>
      <c r="G76" s="19"/>
      <c r="H76" s="19">
        <f t="shared" si="1"/>
        <v>1500</v>
      </c>
      <c r="I76" s="19">
        <f t="shared" si="2"/>
        <v>0</v>
      </c>
      <c r="J76" s="23"/>
    </row>
    <row r="77" ht="22.5" customHeight="1">
      <c r="A77" s="7" t="s">
        <v>24</v>
      </c>
      <c r="B77" s="14" t="s">
        <v>37</v>
      </c>
      <c r="C77" s="14" t="s">
        <v>36</v>
      </c>
      <c r="D77" s="14">
        <v>70.0</v>
      </c>
      <c r="E77" s="16">
        <v>210.0</v>
      </c>
      <c r="F77" s="19">
        <v>2700.0</v>
      </c>
      <c r="G77" s="19">
        <v>48.0</v>
      </c>
      <c r="H77" s="19">
        <f t="shared" si="1"/>
        <v>567</v>
      </c>
      <c r="I77" s="19">
        <f t="shared" si="2"/>
        <v>27216</v>
      </c>
      <c r="J77" s="23"/>
    </row>
    <row r="78" ht="22.5" customHeight="1">
      <c r="A78" s="7" t="s">
        <v>24</v>
      </c>
      <c r="B78" s="14" t="s">
        <v>37</v>
      </c>
      <c r="C78" s="14" t="s">
        <v>36</v>
      </c>
      <c r="D78" s="14">
        <v>70.0</v>
      </c>
      <c r="E78" s="16">
        <v>200.0</v>
      </c>
      <c r="F78" s="19">
        <v>1950.0</v>
      </c>
      <c r="G78" s="19">
        <v>48.0</v>
      </c>
      <c r="H78" s="19">
        <f t="shared" si="1"/>
        <v>390</v>
      </c>
      <c r="I78" s="19">
        <f t="shared" si="2"/>
        <v>18720</v>
      </c>
      <c r="J78" s="23"/>
    </row>
    <row r="79" ht="22.5" customHeight="1">
      <c r="A79" s="7" t="s">
        <v>24</v>
      </c>
      <c r="B79" s="14" t="s">
        <v>37</v>
      </c>
      <c r="C79" s="14" t="s">
        <v>36</v>
      </c>
      <c r="D79" s="14">
        <v>70.0</v>
      </c>
      <c r="E79" s="16">
        <v>380.0</v>
      </c>
      <c r="F79" s="19">
        <v>2000.0</v>
      </c>
      <c r="G79" s="19">
        <v>48.0</v>
      </c>
      <c r="H79" s="19">
        <f t="shared" si="1"/>
        <v>760</v>
      </c>
      <c r="I79" s="19">
        <f t="shared" si="2"/>
        <v>36480</v>
      </c>
      <c r="J79" s="23"/>
    </row>
    <row r="80" ht="22.5" customHeight="1">
      <c r="A80" s="7" t="s">
        <v>24</v>
      </c>
      <c r="B80" s="14" t="s">
        <v>25</v>
      </c>
      <c r="C80" s="14" t="s">
        <v>61</v>
      </c>
      <c r="D80" s="14">
        <v>50.0</v>
      </c>
      <c r="E80" s="16">
        <v>205.0</v>
      </c>
      <c r="F80" s="19">
        <v>900.0</v>
      </c>
      <c r="G80" s="19">
        <v>165.0</v>
      </c>
      <c r="H80" s="19">
        <f t="shared" si="1"/>
        <v>184.5</v>
      </c>
      <c r="I80" s="19">
        <f t="shared" si="2"/>
        <v>30442.5</v>
      </c>
      <c r="J80" s="23"/>
    </row>
    <row r="81" ht="22.5" customHeight="1">
      <c r="A81" s="7" t="s">
        <v>24</v>
      </c>
      <c r="B81" s="14" t="s">
        <v>39</v>
      </c>
      <c r="C81" s="14" t="s">
        <v>46</v>
      </c>
      <c r="D81" s="14">
        <v>125.0</v>
      </c>
      <c r="E81" s="16">
        <v>180.0</v>
      </c>
      <c r="F81" s="19">
        <v>500.0</v>
      </c>
      <c r="G81" s="19">
        <v>47.0</v>
      </c>
      <c r="H81" s="19">
        <f t="shared" si="1"/>
        <v>90</v>
      </c>
      <c r="I81" s="19">
        <f t="shared" si="2"/>
        <v>4230</v>
      </c>
      <c r="J81" s="23"/>
    </row>
    <row r="82" ht="22.5" customHeight="1">
      <c r="A82" s="7" t="s">
        <v>24</v>
      </c>
      <c r="B82" s="14" t="s">
        <v>39</v>
      </c>
      <c r="C82" s="14" t="s">
        <v>46</v>
      </c>
      <c r="D82" s="14">
        <v>125.0</v>
      </c>
      <c r="E82" s="16">
        <v>220.0</v>
      </c>
      <c r="F82" s="19">
        <v>1200.0</v>
      </c>
      <c r="G82" s="19">
        <v>47.0</v>
      </c>
      <c r="H82" s="19">
        <f t="shared" si="1"/>
        <v>264</v>
      </c>
      <c r="I82" s="19">
        <f t="shared" si="2"/>
        <v>12408</v>
      </c>
      <c r="J82" s="23"/>
    </row>
    <row r="83" ht="22.5" customHeight="1">
      <c r="A83" s="7" t="s">
        <v>24</v>
      </c>
      <c r="B83" s="14" t="s">
        <v>63</v>
      </c>
      <c r="C83" s="14" t="s">
        <v>62</v>
      </c>
      <c r="D83" s="14">
        <v>80.0</v>
      </c>
      <c r="E83" s="16">
        <v>334.0</v>
      </c>
      <c r="F83" s="19">
        <v>1856.0</v>
      </c>
      <c r="G83" s="19">
        <v>25.5</v>
      </c>
      <c r="H83" s="19">
        <f t="shared" si="1"/>
        <v>619.904</v>
      </c>
      <c r="I83" s="19">
        <f t="shared" si="2"/>
        <v>15807.552</v>
      </c>
      <c r="J83" s="23"/>
    </row>
    <row r="84" ht="22.5" customHeight="1">
      <c r="A84" s="7" t="s">
        <v>24</v>
      </c>
      <c r="B84" s="14" t="s">
        <v>25</v>
      </c>
      <c r="C84" s="14" t="s">
        <v>61</v>
      </c>
      <c r="D84" s="14">
        <v>50.0</v>
      </c>
      <c r="E84" s="16">
        <v>125.0</v>
      </c>
      <c r="F84" s="19">
        <v>3920.0</v>
      </c>
      <c r="G84" s="19">
        <v>165.0</v>
      </c>
      <c r="H84" s="19">
        <f t="shared" si="1"/>
        <v>490</v>
      </c>
      <c r="I84" s="19">
        <f t="shared" si="2"/>
        <v>80850</v>
      </c>
      <c r="J84" s="23"/>
    </row>
    <row r="85" ht="22.5" customHeight="1">
      <c r="A85" s="7" t="s">
        <v>24</v>
      </c>
      <c r="B85" s="14" t="s">
        <v>25</v>
      </c>
      <c r="C85" s="14" t="s">
        <v>61</v>
      </c>
      <c r="D85" s="14">
        <v>50.0</v>
      </c>
      <c r="E85" s="16">
        <v>165.0</v>
      </c>
      <c r="F85" s="19">
        <v>500.0</v>
      </c>
      <c r="G85" s="19">
        <v>165.0</v>
      </c>
      <c r="H85" s="19">
        <f t="shared" si="1"/>
        <v>82.5</v>
      </c>
      <c r="I85" s="19">
        <f t="shared" si="2"/>
        <v>13612.5</v>
      </c>
      <c r="J85" s="23"/>
    </row>
    <row r="86" ht="22.5" customHeight="1">
      <c r="A86" s="42" t="s">
        <v>207</v>
      </c>
      <c r="B86" s="43" t="s">
        <v>69</v>
      </c>
      <c r="C86" s="43" t="s">
        <v>67</v>
      </c>
      <c r="D86" s="43">
        <v>23.0</v>
      </c>
      <c r="E86" s="44">
        <v>13.0</v>
      </c>
      <c r="F86" s="45">
        <v>1530.0</v>
      </c>
      <c r="G86" s="45">
        <v>226.0</v>
      </c>
      <c r="H86" s="45">
        <f t="shared" si="1"/>
        <v>19.89</v>
      </c>
      <c r="I86" s="45">
        <f t="shared" si="2"/>
        <v>4495.14</v>
      </c>
      <c r="J86" s="23"/>
    </row>
    <row r="87" ht="22.5" customHeight="1">
      <c r="A87" s="42" t="s">
        <v>207</v>
      </c>
      <c r="B87" s="43" t="s">
        <v>69</v>
      </c>
      <c r="C87" s="43" t="s">
        <v>67</v>
      </c>
      <c r="D87" s="43">
        <v>23.0</v>
      </c>
      <c r="E87" s="44">
        <v>20.0</v>
      </c>
      <c r="F87" s="45">
        <v>920.0</v>
      </c>
      <c r="G87" s="45">
        <v>280.0</v>
      </c>
      <c r="H87" s="45">
        <f t="shared" si="1"/>
        <v>18.4</v>
      </c>
      <c r="I87" s="45">
        <f t="shared" si="2"/>
        <v>5152</v>
      </c>
      <c r="J87" s="23"/>
    </row>
    <row r="88" ht="22.5" customHeight="1">
      <c r="A88" s="42" t="s">
        <v>211</v>
      </c>
      <c r="B88" s="43" t="s">
        <v>71</v>
      </c>
      <c r="C88" s="43" t="s">
        <v>70</v>
      </c>
      <c r="D88" s="43">
        <v>250.0</v>
      </c>
      <c r="E88" s="44">
        <v>0.0</v>
      </c>
      <c r="F88" s="45">
        <v>0.0</v>
      </c>
      <c r="G88" s="45">
        <v>41.33</v>
      </c>
      <c r="H88" s="45">
        <f t="shared" si="1"/>
        <v>0</v>
      </c>
      <c r="I88" s="45">
        <f t="shared" si="2"/>
        <v>0</v>
      </c>
      <c r="J88" s="23"/>
    </row>
    <row r="89" ht="22.5" customHeight="1">
      <c r="A89" s="42" t="s">
        <v>213</v>
      </c>
      <c r="B89" s="43" t="s">
        <v>23</v>
      </c>
      <c r="C89" s="43" t="s">
        <v>43</v>
      </c>
      <c r="D89" s="43">
        <v>50.0</v>
      </c>
      <c r="E89" s="44">
        <v>167.0</v>
      </c>
      <c r="F89" s="45">
        <v>2000.0</v>
      </c>
      <c r="G89" s="45">
        <v>35.0</v>
      </c>
      <c r="H89" s="45">
        <f t="shared" si="1"/>
        <v>334</v>
      </c>
      <c r="I89" s="45">
        <f t="shared" si="2"/>
        <v>11690</v>
      </c>
      <c r="J89" s="23"/>
    </row>
    <row r="90" ht="22.5" customHeight="1">
      <c r="A90" s="42" t="s">
        <v>215</v>
      </c>
      <c r="B90" s="43" t="s">
        <v>27</v>
      </c>
      <c r="C90" s="43" t="s">
        <v>9</v>
      </c>
      <c r="D90" s="43">
        <v>80.0</v>
      </c>
      <c r="E90" s="44">
        <v>140.0</v>
      </c>
      <c r="F90" s="45">
        <v>10430.0</v>
      </c>
      <c r="G90" s="45">
        <v>26.5</v>
      </c>
      <c r="H90" s="45">
        <f t="shared" si="1"/>
        <v>1460.2</v>
      </c>
      <c r="I90" s="45">
        <f t="shared" si="2"/>
        <v>38695.3</v>
      </c>
      <c r="J90" s="23"/>
    </row>
    <row r="91" ht="22.5" customHeight="1">
      <c r="A91" s="42" t="s">
        <v>215</v>
      </c>
      <c r="B91" s="43" t="s">
        <v>27</v>
      </c>
      <c r="C91" s="43" t="s">
        <v>9</v>
      </c>
      <c r="D91" s="43">
        <v>80.0</v>
      </c>
      <c r="E91" s="44">
        <v>160.0</v>
      </c>
      <c r="F91" s="45">
        <v>10430.0</v>
      </c>
      <c r="G91" s="45">
        <v>26.5</v>
      </c>
      <c r="H91" s="45">
        <f t="shared" si="1"/>
        <v>1668.8</v>
      </c>
      <c r="I91" s="45">
        <f t="shared" si="2"/>
        <v>44223.2</v>
      </c>
      <c r="J91" s="23"/>
    </row>
    <row r="92" ht="22.5" customHeight="1">
      <c r="A92" s="42" t="s">
        <v>215</v>
      </c>
      <c r="B92" s="43" t="s">
        <v>27</v>
      </c>
      <c r="C92" s="43" t="s">
        <v>9</v>
      </c>
      <c r="D92" s="43">
        <v>80.0</v>
      </c>
      <c r="E92" s="44">
        <v>230.0</v>
      </c>
      <c r="F92" s="45">
        <v>3430.0</v>
      </c>
      <c r="G92" s="45">
        <v>26.5</v>
      </c>
      <c r="H92" s="45">
        <f t="shared" si="1"/>
        <v>788.9</v>
      </c>
      <c r="I92" s="45">
        <f t="shared" si="2"/>
        <v>20905.85</v>
      </c>
      <c r="J92" s="23"/>
    </row>
    <row r="93" ht="22.5" customHeight="1">
      <c r="A93" s="42" t="s">
        <v>213</v>
      </c>
      <c r="B93" s="43" t="s">
        <v>21</v>
      </c>
      <c r="C93" s="43" t="s">
        <v>43</v>
      </c>
      <c r="D93" s="43">
        <v>50.0</v>
      </c>
      <c r="E93" s="44">
        <v>160.0</v>
      </c>
      <c r="F93" s="45">
        <v>4000.0</v>
      </c>
      <c r="G93" s="45">
        <v>37.0</v>
      </c>
      <c r="H93" s="45">
        <f t="shared" si="1"/>
        <v>640</v>
      </c>
      <c r="I93" s="45">
        <f t="shared" si="2"/>
        <v>23680</v>
      </c>
      <c r="J93" s="23"/>
    </row>
    <row r="94" ht="22.5" customHeight="1">
      <c r="A94" s="47">
        <v>45725.0</v>
      </c>
      <c r="B94" s="43" t="s">
        <v>21</v>
      </c>
      <c r="C94" s="43" t="s">
        <v>9</v>
      </c>
      <c r="D94" s="43">
        <v>80.0</v>
      </c>
      <c r="E94" s="44">
        <v>230.0</v>
      </c>
      <c r="F94" s="45">
        <v>24000.0</v>
      </c>
      <c r="G94" s="45">
        <v>28.5</v>
      </c>
      <c r="H94" s="45">
        <f t="shared" si="1"/>
        <v>5520</v>
      </c>
      <c r="I94" s="45">
        <f t="shared" si="2"/>
        <v>157320</v>
      </c>
      <c r="J94" s="23"/>
    </row>
    <row r="95" ht="22.5" customHeight="1">
      <c r="A95" s="47">
        <v>45756.0</v>
      </c>
      <c r="B95" s="43" t="s">
        <v>21</v>
      </c>
      <c r="C95" s="43" t="s">
        <v>43</v>
      </c>
      <c r="D95" s="43">
        <v>50.0</v>
      </c>
      <c r="E95" s="44">
        <v>100.0</v>
      </c>
      <c r="F95" s="45">
        <v>3980.0</v>
      </c>
      <c r="G95" s="45">
        <v>37.0</v>
      </c>
      <c r="H95" s="45">
        <f t="shared" si="1"/>
        <v>398</v>
      </c>
      <c r="I95" s="45">
        <f t="shared" si="2"/>
        <v>14726</v>
      </c>
      <c r="J95" s="23"/>
    </row>
    <row r="96" ht="22.5" customHeight="1">
      <c r="A96" s="47">
        <v>45786.0</v>
      </c>
      <c r="B96" s="43" t="s">
        <v>27</v>
      </c>
      <c r="C96" s="43" t="s">
        <v>9</v>
      </c>
      <c r="D96" s="43">
        <v>80.0</v>
      </c>
      <c r="E96" s="44">
        <v>140.0</v>
      </c>
      <c r="F96" s="45">
        <v>9380.0</v>
      </c>
      <c r="G96" s="45">
        <v>26.5</v>
      </c>
      <c r="H96" s="45">
        <f t="shared" si="1"/>
        <v>1313.2</v>
      </c>
      <c r="I96" s="45">
        <f t="shared" si="2"/>
        <v>34799.8</v>
      </c>
      <c r="J96" s="23"/>
    </row>
    <row r="97" ht="22.5" customHeight="1">
      <c r="A97" s="47">
        <v>45786.0</v>
      </c>
      <c r="B97" s="43" t="s">
        <v>27</v>
      </c>
      <c r="C97" s="43" t="s">
        <v>9</v>
      </c>
      <c r="D97" s="43">
        <v>80.0</v>
      </c>
      <c r="E97" s="44">
        <v>160.0</v>
      </c>
      <c r="F97" s="45">
        <v>18380.0</v>
      </c>
      <c r="G97" s="45">
        <v>26.5</v>
      </c>
      <c r="H97" s="45">
        <f t="shared" si="1"/>
        <v>2940.8</v>
      </c>
      <c r="I97" s="45">
        <f t="shared" si="2"/>
        <v>77931.2</v>
      </c>
      <c r="J97" s="23"/>
    </row>
    <row r="98" ht="22.5" customHeight="1">
      <c r="A98" s="47">
        <v>45786.0</v>
      </c>
      <c r="B98" s="43" t="s">
        <v>27</v>
      </c>
      <c r="C98" s="43" t="s">
        <v>9</v>
      </c>
      <c r="D98" s="43">
        <v>80.0</v>
      </c>
      <c r="E98" s="44">
        <v>185.0</v>
      </c>
      <c r="F98" s="45">
        <v>6390.0</v>
      </c>
      <c r="G98" s="45">
        <v>26.5</v>
      </c>
      <c r="H98" s="45">
        <f t="shared" si="1"/>
        <v>1182.15</v>
      </c>
      <c r="I98" s="45">
        <f t="shared" si="2"/>
        <v>31326.975</v>
      </c>
      <c r="J98" s="23"/>
    </row>
    <row r="99" ht="22.5" customHeight="1">
      <c r="A99" s="47">
        <v>45786.0</v>
      </c>
      <c r="B99" s="43" t="s">
        <v>27</v>
      </c>
      <c r="C99" s="43" t="s">
        <v>9</v>
      </c>
      <c r="D99" s="43">
        <v>80.0</v>
      </c>
      <c r="E99" s="44">
        <v>230.0</v>
      </c>
      <c r="F99" s="45">
        <v>6000.0</v>
      </c>
      <c r="G99" s="45">
        <v>26.5</v>
      </c>
      <c r="H99" s="45">
        <f t="shared" si="1"/>
        <v>1380</v>
      </c>
      <c r="I99" s="45">
        <f t="shared" si="2"/>
        <v>36570</v>
      </c>
      <c r="J99" s="23"/>
    </row>
    <row r="100" ht="22.5" customHeight="1">
      <c r="A100" s="47">
        <v>45786.0</v>
      </c>
      <c r="B100" s="43" t="s">
        <v>27</v>
      </c>
      <c r="C100" s="43" t="s">
        <v>26</v>
      </c>
      <c r="D100" s="43">
        <v>80.0</v>
      </c>
      <c r="E100" s="44">
        <v>140.0</v>
      </c>
      <c r="F100" s="45">
        <v>3030.0</v>
      </c>
      <c r="G100" s="45">
        <v>43.85</v>
      </c>
      <c r="H100" s="45">
        <f t="shared" si="1"/>
        <v>424.2</v>
      </c>
      <c r="I100" s="45">
        <f t="shared" si="2"/>
        <v>18601.17</v>
      </c>
      <c r="J100" s="23"/>
    </row>
    <row r="101" ht="22.5" customHeight="1">
      <c r="A101" s="47">
        <v>45786.0</v>
      </c>
      <c r="B101" s="43" t="s">
        <v>27</v>
      </c>
      <c r="C101" s="43" t="s">
        <v>26</v>
      </c>
      <c r="D101" s="43">
        <v>80.0</v>
      </c>
      <c r="E101" s="44">
        <v>280.0</v>
      </c>
      <c r="F101" s="45">
        <v>3030.0</v>
      </c>
      <c r="G101" s="45">
        <v>43.85</v>
      </c>
      <c r="H101" s="45">
        <f t="shared" si="1"/>
        <v>848.4</v>
      </c>
      <c r="I101" s="45">
        <f t="shared" si="2"/>
        <v>37202.34</v>
      </c>
      <c r="J101" s="23"/>
    </row>
    <row r="102" ht="22.5" customHeight="1">
      <c r="A102" s="47">
        <v>45786.0</v>
      </c>
      <c r="B102" s="43" t="s">
        <v>73</v>
      </c>
      <c r="C102" s="43" t="s">
        <v>72</v>
      </c>
      <c r="D102" s="43">
        <v>12.0</v>
      </c>
      <c r="E102" s="44">
        <v>72.0</v>
      </c>
      <c r="F102" s="45">
        <v>6000.0</v>
      </c>
      <c r="G102" s="45">
        <v>230.0</v>
      </c>
      <c r="H102" s="45">
        <f t="shared" si="1"/>
        <v>432</v>
      </c>
      <c r="I102" s="45">
        <f t="shared" si="2"/>
        <v>99360</v>
      </c>
      <c r="J102" s="23"/>
    </row>
    <row r="103" ht="22.5" customHeight="1">
      <c r="A103" s="48" t="s">
        <v>232</v>
      </c>
      <c r="B103" s="43" t="s">
        <v>21</v>
      </c>
      <c r="C103" s="43" t="s">
        <v>9</v>
      </c>
      <c r="D103" s="43">
        <v>80.0</v>
      </c>
      <c r="E103" s="44">
        <v>125.0</v>
      </c>
      <c r="F103" s="45">
        <v>10000.0</v>
      </c>
      <c r="G103" s="45">
        <v>28.5</v>
      </c>
      <c r="H103" s="45">
        <f t="shared" si="1"/>
        <v>1250</v>
      </c>
      <c r="I103" s="45">
        <f t="shared" si="2"/>
        <v>35625</v>
      </c>
      <c r="J103" s="23"/>
    </row>
    <row r="104" ht="22.5" customHeight="1">
      <c r="A104" s="48" t="s">
        <v>234</v>
      </c>
      <c r="B104" s="43" t="s">
        <v>27</v>
      </c>
      <c r="C104" s="43" t="s">
        <v>43</v>
      </c>
      <c r="D104" s="43">
        <v>50.0</v>
      </c>
      <c r="E104" s="44">
        <v>125.0</v>
      </c>
      <c r="F104" s="45">
        <v>1070.0</v>
      </c>
      <c r="G104" s="45">
        <v>34.0</v>
      </c>
      <c r="H104" s="45">
        <f t="shared" si="1"/>
        <v>133.75</v>
      </c>
      <c r="I104" s="45">
        <f t="shared" si="2"/>
        <v>4547.5</v>
      </c>
      <c r="J104" s="23"/>
    </row>
    <row r="105" ht="22.5" customHeight="1">
      <c r="A105" s="48" t="s">
        <v>234</v>
      </c>
      <c r="B105" s="43" t="s">
        <v>27</v>
      </c>
      <c r="C105" s="43" t="s">
        <v>43</v>
      </c>
      <c r="D105" s="43">
        <v>50.0</v>
      </c>
      <c r="E105" s="44">
        <v>190.0</v>
      </c>
      <c r="F105" s="45">
        <v>2140.0</v>
      </c>
      <c r="G105" s="45">
        <v>36.0</v>
      </c>
      <c r="H105" s="45">
        <f t="shared" si="1"/>
        <v>406.6</v>
      </c>
      <c r="I105" s="45">
        <f t="shared" si="2"/>
        <v>14637.6</v>
      </c>
      <c r="J105" s="23"/>
    </row>
    <row r="106" ht="22.5" customHeight="1">
      <c r="A106" s="48" t="s">
        <v>234</v>
      </c>
      <c r="B106" s="43" t="s">
        <v>27</v>
      </c>
      <c r="C106" s="43" t="s">
        <v>43</v>
      </c>
      <c r="D106" s="43">
        <v>50.0</v>
      </c>
      <c r="E106" s="44">
        <v>125.0</v>
      </c>
      <c r="F106" s="45">
        <v>8040.0</v>
      </c>
      <c r="G106" s="45">
        <v>34.7</v>
      </c>
      <c r="H106" s="45">
        <f t="shared" si="1"/>
        <v>1005</v>
      </c>
      <c r="I106" s="45">
        <f t="shared" si="2"/>
        <v>34873.5</v>
      </c>
      <c r="J106" s="23"/>
    </row>
    <row r="107" ht="22.5" customHeight="1">
      <c r="A107" s="48" t="s">
        <v>240</v>
      </c>
      <c r="B107" s="43" t="s">
        <v>27</v>
      </c>
      <c r="C107" s="43" t="s">
        <v>9</v>
      </c>
      <c r="D107" s="43">
        <v>80.0</v>
      </c>
      <c r="E107" s="44">
        <v>140.0</v>
      </c>
      <c r="F107" s="45">
        <v>10020.0</v>
      </c>
      <c r="G107" s="45">
        <v>26.5</v>
      </c>
      <c r="H107" s="45">
        <f t="shared" si="1"/>
        <v>1402.8</v>
      </c>
      <c r="I107" s="45">
        <f t="shared" si="2"/>
        <v>37174.2</v>
      </c>
      <c r="J107" s="23"/>
    </row>
    <row r="108" ht="22.5" customHeight="1">
      <c r="A108" s="48" t="s">
        <v>240</v>
      </c>
      <c r="B108" s="43" t="s">
        <v>27</v>
      </c>
      <c r="C108" s="43" t="s">
        <v>9</v>
      </c>
      <c r="D108" s="43">
        <v>80.0</v>
      </c>
      <c r="E108" s="44">
        <v>160.0</v>
      </c>
      <c r="F108" s="45">
        <v>10300.0</v>
      </c>
      <c r="G108" s="45">
        <v>26.5</v>
      </c>
      <c r="H108" s="45">
        <f t="shared" si="1"/>
        <v>1648</v>
      </c>
      <c r="I108" s="45">
        <f t="shared" si="2"/>
        <v>43672</v>
      </c>
      <c r="J108" s="23"/>
    </row>
    <row r="109" ht="22.5" customHeight="1">
      <c r="A109" s="48" t="s">
        <v>240</v>
      </c>
      <c r="B109" s="43" t="s">
        <v>27</v>
      </c>
      <c r="C109" s="43" t="s">
        <v>26</v>
      </c>
      <c r="D109" s="43">
        <v>80.0</v>
      </c>
      <c r="E109" s="44">
        <v>167.0</v>
      </c>
      <c r="F109" s="45">
        <v>9000.0</v>
      </c>
      <c r="G109" s="45">
        <v>43.85</v>
      </c>
      <c r="H109" s="45">
        <f t="shared" si="1"/>
        <v>1503</v>
      </c>
      <c r="I109" s="45">
        <f t="shared" si="2"/>
        <v>65906.55</v>
      </c>
      <c r="J109" s="23"/>
    </row>
    <row r="110" ht="22.5" customHeight="1">
      <c r="A110" s="48" t="s">
        <v>246</v>
      </c>
      <c r="B110" s="43" t="s">
        <v>21</v>
      </c>
      <c r="C110" s="43" t="s">
        <v>9</v>
      </c>
      <c r="D110" s="43">
        <v>80.0</v>
      </c>
      <c r="E110" s="44">
        <v>210.0</v>
      </c>
      <c r="F110" s="45">
        <v>8000.0</v>
      </c>
      <c r="G110" s="45">
        <v>28.5</v>
      </c>
      <c r="H110" s="45">
        <f t="shared" si="1"/>
        <v>1680</v>
      </c>
      <c r="I110" s="45">
        <f t="shared" si="2"/>
        <v>47880</v>
      </c>
      <c r="J110" s="49"/>
    </row>
    <row r="111" ht="22.5" customHeight="1">
      <c r="A111" s="42" t="s">
        <v>246</v>
      </c>
      <c r="B111" s="43" t="s">
        <v>71</v>
      </c>
      <c r="C111" s="43" t="s">
        <v>70</v>
      </c>
      <c r="D111" s="43">
        <v>250.0</v>
      </c>
      <c r="E111" s="44">
        <v>0.0</v>
      </c>
      <c r="F111" s="45">
        <v>0.0</v>
      </c>
      <c r="G111" s="45">
        <v>41.33</v>
      </c>
      <c r="H111" s="45">
        <f t="shared" si="1"/>
        <v>0</v>
      </c>
      <c r="I111" s="45">
        <f t="shared" si="2"/>
        <v>0</v>
      </c>
      <c r="J111" s="23"/>
    </row>
    <row r="112" ht="22.5" customHeight="1">
      <c r="A112" s="47">
        <v>45818.0</v>
      </c>
      <c r="B112" s="43" t="s">
        <v>27</v>
      </c>
      <c r="C112" s="43" t="s">
        <v>9</v>
      </c>
      <c r="D112" s="43">
        <v>80.0</v>
      </c>
      <c r="E112" s="44">
        <v>160.0</v>
      </c>
      <c r="F112" s="45">
        <v>9860.0</v>
      </c>
      <c r="G112" s="45">
        <v>28.5</v>
      </c>
      <c r="H112" s="45">
        <f t="shared" si="1"/>
        <v>1577.6</v>
      </c>
      <c r="I112" s="45">
        <f t="shared" si="2"/>
        <v>44961.6</v>
      </c>
      <c r="J112" s="49"/>
    </row>
    <row r="113" ht="22.5" customHeight="1">
      <c r="A113" s="47">
        <v>45818.0</v>
      </c>
      <c r="B113" s="43" t="s">
        <v>27</v>
      </c>
      <c r="C113" s="43" t="s">
        <v>9</v>
      </c>
      <c r="D113" s="43">
        <v>80.0</v>
      </c>
      <c r="E113" s="44">
        <v>140.0</v>
      </c>
      <c r="F113" s="45">
        <v>10200.0</v>
      </c>
      <c r="G113" s="45">
        <v>28.5</v>
      </c>
      <c r="H113" s="45">
        <f t="shared" si="1"/>
        <v>1428</v>
      </c>
      <c r="I113" s="45">
        <f t="shared" si="2"/>
        <v>40698</v>
      </c>
      <c r="J113" s="49"/>
    </row>
    <row r="114" ht="22.5" customHeight="1">
      <c r="A114" s="47">
        <v>45818.0</v>
      </c>
      <c r="B114" s="43" t="s">
        <v>27</v>
      </c>
      <c r="C114" s="43" t="s">
        <v>9</v>
      </c>
      <c r="D114" s="43">
        <v>80.0</v>
      </c>
      <c r="E114" s="44">
        <v>229.0</v>
      </c>
      <c r="F114" s="45">
        <v>6000.0</v>
      </c>
      <c r="G114" s="45">
        <v>28.5</v>
      </c>
      <c r="H114" s="45">
        <f t="shared" si="1"/>
        <v>1374</v>
      </c>
      <c r="I114" s="45">
        <f t="shared" si="2"/>
        <v>39159</v>
      </c>
      <c r="J114" s="49"/>
    </row>
    <row r="115" ht="22.5" customHeight="1">
      <c r="A115" s="47">
        <v>45818.0</v>
      </c>
      <c r="B115" s="43" t="s">
        <v>27</v>
      </c>
      <c r="C115" s="43" t="s">
        <v>9</v>
      </c>
      <c r="D115" s="43">
        <v>80.0</v>
      </c>
      <c r="E115" s="44">
        <v>185.0</v>
      </c>
      <c r="F115" s="45">
        <v>5930.0</v>
      </c>
      <c r="G115" s="45">
        <v>28.5</v>
      </c>
      <c r="H115" s="45">
        <f t="shared" si="1"/>
        <v>1097.05</v>
      </c>
      <c r="I115" s="45">
        <f t="shared" si="2"/>
        <v>31265.925</v>
      </c>
      <c r="J115" s="49"/>
    </row>
    <row r="116" ht="22.5" customHeight="1">
      <c r="A116" s="47">
        <v>45971.0</v>
      </c>
      <c r="B116" s="43" t="s">
        <v>21</v>
      </c>
      <c r="C116" s="43" t="s">
        <v>9</v>
      </c>
      <c r="D116" s="43">
        <v>80.0</v>
      </c>
      <c r="E116" s="44">
        <v>290.0</v>
      </c>
      <c r="F116" s="45">
        <v>10020.0</v>
      </c>
      <c r="G116" s="45">
        <v>28.5</v>
      </c>
      <c r="H116" s="45">
        <f t="shared" si="1"/>
        <v>2905.8</v>
      </c>
      <c r="I116" s="45">
        <f t="shared" si="2"/>
        <v>82815.3</v>
      </c>
      <c r="J116" s="49"/>
    </row>
    <row r="117" ht="22.5" customHeight="1">
      <c r="A117" s="47">
        <v>45971.0</v>
      </c>
      <c r="B117" s="43" t="s">
        <v>21</v>
      </c>
      <c r="C117" s="43" t="s">
        <v>9</v>
      </c>
      <c r="D117" s="43">
        <v>80.0</v>
      </c>
      <c r="E117" s="44">
        <v>330.0</v>
      </c>
      <c r="F117" s="45">
        <v>6005.0</v>
      </c>
      <c r="G117" s="45">
        <v>28.5</v>
      </c>
      <c r="H117" s="45">
        <f t="shared" si="1"/>
        <v>1981.65</v>
      </c>
      <c r="I117" s="45">
        <f t="shared" si="2"/>
        <v>56477.025</v>
      </c>
      <c r="J117" s="49"/>
    </row>
    <row r="118" ht="22.5" customHeight="1">
      <c r="A118" s="47">
        <v>45971.0</v>
      </c>
      <c r="B118" s="43" t="s">
        <v>21</v>
      </c>
      <c r="C118" s="43" t="s">
        <v>9</v>
      </c>
      <c r="D118" s="43">
        <v>80.0</v>
      </c>
      <c r="E118" s="44">
        <v>320.0</v>
      </c>
      <c r="F118" s="45">
        <v>5970.0</v>
      </c>
      <c r="G118" s="45">
        <v>28.5</v>
      </c>
      <c r="H118" s="45">
        <f t="shared" si="1"/>
        <v>1910.4</v>
      </c>
      <c r="I118" s="45">
        <f t="shared" si="2"/>
        <v>54446.4</v>
      </c>
      <c r="J118" s="49"/>
    </row>
    <row r="119" ht="22.5" customHeight="1">
      <c r="A119" s="47">
        <v>45971.0</v>
      </c>
      <c r="B119" s="43" t="s">
        <v>21</v>
      </c>
      <c r="C119" s="43" t="s">
        <v>9</v>
      </c>
      <c r="D119" s="43">
        <v>80.0</v>
      </c>
      <c r="E119" s="44">
        <v>300.0</v>
      </c>
      <c r="F119" s="45">
        <v>4000.0</v>
      </c>
      <c r="G119" s="45">
        <v>28.5</v>
      </c>
      <c r="H119" s="45">
        <f t="shared" si="1"/>
        <v>1200</v>
      </c>
      <c r="I119" s="45">
        <f t="shared" si="2"/>
        <v>34200</v>
      </c>
      <c r="J119" s="49"/>
    </row>
    <row r="120" ht="22.5" customHeight="1">
      <c r="A120" s="47">
        <v>45971.0</v>
      </c>
      <c r="B120" s="43" t="s">
        <v>21</v>
      </c>
      <c r="C120" s="43" t="s">
        <v>9</v>
      </c>
      <c r="D120" s="43">
        <v>80.0</v>
      </c>
      <c r="E120" s="44">
        <v>160.0</v>
      </c>
      <c r="F120" s="45">
        <v>6000.0</v>
      </c>
      <c r="G120" s="45">
        <v>28.5</v>
      </c>
      <c r="H120" s="45">
        <f t="shared" si="1"/>
        <v>960</v>
      </c>
      <c r="I120" s="45">
        <f t="shared" si="2"/>
        <v>27360</v>
      </c>
      <c r="J120" s="49"/>
    </row>
    <row r="121" ht="22.5" customHeight="1">
      <c r="A121" s="47">
        <v>45971.0</v>
      </c>
      <c r="B121" s="43" t="s">
        <v>21</v>
      </c>
      <c r="C121" s="43" t="s">
        <v>9</v>
      </c>
      <c r="D121" s="43">
        <v>80.0</v>
      </c>
      <c r="E121" s="44">
        <v>180.0</v>
      </c>
      <c r="F121" s="45">
        <v>6000.0</v>
      </c>
      <c r="G121" s="45">
        <v>28.5</v>
      </c>
      <c r="H121" s="45">
        <f t="shared" si="1"/>
        <v>1080</v>
      </c>
      <c r="I121" s="45">
        <f t="shared" si="2"/>
        <v>30780</v>
      </c>
      <c r="J121" s="49"/>
    </row>
    <row r="122" ht="22.5" customHeight="1">
      <c r="A122" s="47">
        <v>45971.0</v>
      </c>
      <c r="B122" s="43" t="s">
        <v>21</v>
      </c>
      <c r="C122" s="43" t="s">
        <v>9</v>
      </c>
      <c r="D122" s="43">
        <v>80.0</v>
      </c>
      <c r="E122" s="44">
        <v>250.0</v>
      </c>
      <c r="F122" s="45">
        <v>4000.0</v>
      </c>
      <c r="G122" s="45">
        <v>28.5</v>
      </c>
      <c r="H122" s="45">
        <f t="shared" si="1"/>
        <v>1000</v>
      </c>
      <c r="I122" s="45">
        <f t="shared" si="2"/>
        <v>28500</v>
      </c>
      <c r="J122" s="49"/>
    </row>
    <row r="123" ht="22.5" customHeight="1">
      <c r="A123" s="48" t="s">
        <v>264</v>
      </c>
      <c r="B123" s="43" t="s">
        <v>21</v>
      </c>
      <c r="C123" s="43" t="s">
        <v>42</v>
      </c>
      <c r="D123" s="43">
        <v>50.0</v>
      </c>
      <c r="E123" s="44">
        <v>200.0</v>
      </c>
      <c r="F123" s="45">
        <v>3980.0</v>
      </c>
      <c r="G123" s="45">
        <v>37.0</v>
      </c>
      <c r="H123" s="45">
        <f t="shared" si="1"/>
        <v>796</v>
      </c>
      <c r="I123" s="45">
        <f t="shared" si="2"/>
        <v>29452</v>
      </c>
      <c r="J123" s="49"/>
    </row>
    <row r="124" ht="22.5" customHeight="1">
      <c r="A124" s="48" t="s">
        <v>264</v>
      </c>
      <c r="B124" s="43" t="s">
        <v>21</v>
      </c>
      <c r="C124" s="43" t="s">
        <v>43</v>
      </c>
      <c r="D124" s="43">
        <v>50.0</v>
      </c>
      <c r="E124" s="44">
        <v>160.0</v>
      </c>
      <c r="F124" s="45">
        <v>4000.0</v>
      </c>
      <c r="G124" s="45">
        <v>37.0</v>
      </c>
      <c r="H124" s="45">
        <f t="shared" si="1"/>
        <v>640</v>
      </c>
      <c r="I124" s="45">
        <f t="shared" si="2"/>
        <v>23680</v>
      </c>
      <c r="J124" s="49"/>
    </row>
    <row r="125" ht="22.5" customHeight="1">
      <c r="A125" s="48" t="s">
        <v>264</v>
      </c>
      <c r="B125" s="43" t="s">
        <v>21</v>
      </c>
      <c r="C125" s="43" t="s">
        <v>9</v>
      </c>
      <c r="D125" s="43">
        <v>80.0</v>
      </c>
      <c r="E125" s="44">
        <v>395.0</v>
      </c>
      <c r="F125" s="45">
        <v>4075.0</v>
      </c>
      <c r="G125" s="45">
        <v>28.5</v>
      </c>
      <c r="H125" s="45">
        <f t="shared" si="1"/>
        <v>1609.625</v>
      </c>
      <c r="I125" s="45">
        <f t="shared" si="2"/>
        <v>45874.3125</v>
      </c>
      <c r="J125" s="49"/>
    </row>
    <row r="126" ht="22.5" customHeight="1">
      <c r="A126" s="48" t="s">
        <v>264</v>
      </c>
      <c r="B126" s="43" t="s">
        <v>21</v>
      </c>
      <c r="C126" s="43" t="s">
        <v>9</v>
      </c>
      <c r="D126" s="43">
        <v>80.0</v>
      </c>
      <c r="E126" s="44">
        <v>125.0</v>
      </c>
      <c r="F126" s="45">
        <v>5900.0</v>
      </c>
      <c r="G126" s="45">
        <v>28.5</v>
      </c>
      <c r="H126" s="45">
        <f t="shared" si="1"/>
        <v>737.5</v>
      </c>
      <c r="I126" s="45">
        <f t="shared" si="2"/>
        <v>21018.75</v>
      </c>
      <c r="J126" s="49"/>
    </row>
    <row r="127" ht="22.5" customHeight="1">
      <c r="A127" s="48" t="s">
        <v>264</v>
      </c>
      <c r="B127" s="43" t="s">
        <v>21</v>
      </c>
      <c r="C127" s="43" t="s">
        <v>9</v>
      </c>
      <c r="D127" s="43">
        <v>80.0</v>
      </c>
      <c r="E127" s="44">
        <v>250.0</v>
      </c>
      <c r="F127" s="45">
        <v>5895.0</v>
      </c>
      <c r="G127" s="45">
        <v>28.5</v>
      </c>
      <c r="H127" s="45">
        <f t="shared" si="1"/>
        <v>1473.75</v>
      </c>
      <c r="I127" s="45">
        <f t="shared" si="2"/>
        <v>42001.875</v>
      </c>
      <c r="J127" s="49"/>
    </row>
    <row r="128" ht="22.5" customHeight="1">
      <c r="A128" s="48" t="s">
        <v>272</v>
      </c>
      <c r="B128" s="43" t="s">
        <v>27</v>
      </c>
      <c r="C128" s="43" t="s">
        <v>9</v>
      </c>
      <c r="D128" s="43">
        <v>80.0</v>
      </c>
      <c r="E128" s="44">
        <v>260.0</v>
      </c>
      <c r="F128" s="45">
        <v>3990.0</v>
      </c>
      <c r="G128" s="45">
        <v>28.5</v>
      </c>
      <c r="H128" s="45">
        <f t="shared" si="1"/>
        <v>1037.4</v>
      </c>
      <c r="I128" s="45">
        <f t="shared" si="2"/>
        <v>29565.9</v>
      </c>
      <c r="J128" s="49"/>
    </row>
    <row r="129" ht="22.5" customHeight="1">
      <c r="A129" s="48" t="s">
        <v>275</v>
      </c>
      <c r="B129" s="43" t="s">
        <v>23</v>
      </c>
      <c r="C129" s="43" t="s">
        <v>43</v>
      </c>
      <c r="D129" s="43">
        <v>50.0</v>
      </c>
      <c r="E129" s="44">
        <v>215.0</v>
      </c>
      <c r="F129" s="45">
        <v>1090.0</v>
      </c>
      <c r="G129" s="45">
        <v>35.0</v>
      </c>
      <c r="H129" s="45">
        <f t="shared" si="1"/>
        <v>234.35</v>
      </c>
      <c r="I129" s="45">
        <f t="shared" si="2"/>
        <v>8202.25</v>
      </c>
      <c r="J129" s="49"/>
    </row>
    <row r="130" ht="22.5" customHeight="1">
      <c r="A130" s="48" t="s">
        <v>275</v>
      </c>
      <c r="B130" s="43" t="s">
        <v>23</v>
      </c>
      <c r="C130" s="43" t="s">
        <v>43</v>
      </c>
      <c r="D130" s="43">
        <v>50.0</v>
      </c>
      <c r="E130" s="44">
        <v>255.0</v>
      </c>
      <c r="F130" s="45">
        <v>1000.0</v>
      </c>
      <c r="G130" s="45">
        <v>35.0</v>
      </c>
      <c r="H130" s="45">
        <f t="shared" si="1"/>
        <v>255</v>
      </c>
      <c r="I130" s="45">
        <f t="shared" si="2"/>
        <v>8925</v>
      </c>
      <c r="J130" s="49"/>
    </row>
    <row r="131" ht="22.5" customHeight="1">
      <c r="A131" s="48" t="s">
        <v>278</v>
      </c>
      <c r="B131" s="43" t="s">
        <v>21</v>
      </c>
      <c r="C131" s="43" t="s">
        <v>9</v>
      </c>
      <c r="D131" s="43">
        <v>80.0</v>
      </c>
      <c r="E131" s="44">
        <v>395.0</v>
      </c>
      <c r="F131" s="45">
        <v>5960.0</v>
      </c>
      <c r="G131" s="45">
        <v>28.5</v>
      </c>
      <c r="H131" s="45">
        <f t="shared" si="1"/>
        <v>2354.2</v>
      </c>
      <c r="I131" s="45">
        <f t="shared" si="2"/>
        <v>67094.7</v>
      </c>
      <c r="J131" s="49"/>
    </row>
    <row r="132" ht="22.5" customHeight="1">
      <c r="A132" s="48" t="s">
        <v>278</v>
      </c>
      <c r="B132" s="43" t="s">
        <v>21</v>
      </c>
      <c r="C132" s="43" t="s">
        <v>9</v>
      </c>
      <c r="D132" s="43">
        <v>80.0</v>
      </c>
      <c r="E132" s="44">
        <v>290.0</v>
      </c>
      <c r="F132" s="45">
        <v>9960.0</v>
      </c>
      <c r="G132" s="45">
        <v>28.5</v>
      </c>
      <c r="H132" s="45">
        <f t="shared" si="1"/>
        <v>2888.4</v>
      </c>
      <c r="I132" s="45">
        <f t="shared" si="2"/>
        <v>82319.4</v>
      </c>
      <c r="J132" s="49"/>
    </row>
    <row r="133" ht="22.5" customHeight="1">
      <c r="A133" s="48" t="s">
        <v>278</v>
      </c>
      <c r="B133" s="43" t="s">
        <v>21</v>
      </c>
      <c r="C133" s="43" t="s">
        <v>9</v>
      </c>
      <c r="D133" s="43">
        <v>80.0</v>
      </c>
      <c r="E133" s="44">
        <v>210.0</v>
      </c>
      <c r="F133" s="45">
        <v>5960.0</v>
      </c>
      <c r="G133" s="45">
        <v>28.5</v>
      </c>
      <c r="H133" s="45">
        <f t="shared" si="1"/>
        <v>1251.6</v>
      </c>
      <c r="I133" s="45">
        <f t="shared" si="2"/>
        <v>35670.6</v>
      </c>
      <c r="J133" s="49"/>
    </row>
    <row r="134" ht="22.5" customHeight="1">
      <c r="A134" s="48" t="s">
        <v>278</v>
      </c>
      <c r="B134" s="43" t="s">
        <v>21</v>
      </c>
      <c r="C134" s="43" t="s">
        <v>9</v>
      </c>
      <c r="D134" s="43">
        <v>80.0</v>
      </c>
      <c r="E134" s="44">
        <v>250.0</v>
      </c>
      <c r="F134" s="45">
        <v>6000.0</v>
      </c>
      <c r="G134" s="45">
        <v>28.5</v>
      </c>
      <c r="H134" s="45">
        <f t="shared" si="1"/>
        <v>1500</v>
      </c>
      <c r="I134" s="45">
        <f t="shared" si="2"/>
        <v>42750</v>
      </c>
      <c r="J134" s="49"/>
    </row>
    <row r="135" ht="22.5" customHeight="1">
      <c r="A135" s="48" t="s">
        <v>278</v>
      </c>
      <c r="B135" s="43" t="s">
        <v>21</v>
      </c>
      <c r="C135" s="43" t="s">
        <v>9</v>
      </c>
      <c r="D135" s="43">
        <v>80.0</v>
      </c>
      <c r="E135" s="44">
        <v>180.0</v>
      </c>
      <c r="F135" s="45">
        <v>6000.0</v>
      </c>
      <c r="G135" s="45">
        <v>28.5</v>
      </c>
      <c r="H135" s="45">
        <f t="shared" si="1"/>
        <v>1080</v>
      </c>
      <c r="I135" s="45">
        <f t="shared" si="2"/>
        <v>30780</v>
      </c>
      <c r="J135" s="49"/>
    </row>
    <row r="136" ht="22.5" customHeight="1">
      <c r="A136" s="48" t="s">
        <v>278</v>
      </c>
      <c r="B136" s="43" t="s">
        <v>21</v>
      </c>
      <c r="C136" s="43" t="s">
        <v>9</v>
      </c>
      <c r="D136" s="43">
        <v>80.0</v>
      </c>
      <c r="E136" s="44">
        <v>125.0</v>
      </c>
      <c r="F136" s="45">
        <v>5955.0</v>
      </c>
      <c r="G136" s="45">
        <v>28.5</v>
      </c>
      <c r="H136" s="45">
        <f t="shared" si="1"/>
        <v>744.375</v>
      </c>
      <c r="I136" s="45">
        <f t="shared" si="2"/>
        <v>21214.6875</v>
      </c>
      <c r="J136" s="49"/>
    </row>
    <row r="137" ht="22.5" customHeight="1">
      <c r="A137" s="48" t="s">
        <v>278</v>
      </c>
      <c r="B137" s="43" t="s">
        <v>23</v>
      </c>
      <c r="C137" s="43" t="s">
        <v>26</v>
      </c>
      <c r="D137" s="43">
        <v>80.0</v>
      </c>
      <c r="E137" s="44">
        <v>145.0</v>
      </c>
      <c r="F137" s="45">
        <v>2000.0</v>
      </c>
      <c r="G137" s="45">
        <v>39.0</v>
      </c>
      <c r="H137" s="45">
        <f t="shared" si="1"/>
        <v>290</v>
      </c>
      <c r="I137" s="45">
        <f t="shared" si="2"/>
        <v>11310</v>
      </c>
      <c r="J137" s="49"/>
    </row>
    <row r="138" ht="22.5" customHeight="1">
      <c r="A138" s="48" t="s">
        <v>278</v>
      </c>
      <c r="B138" s="43" t="s">
        <v>23</v>
      </c>
      <c r="C138" s="43" t="s">
        <v>26</v>
      </c>
      <c r="D138" s="43">
        <v>80.0</v>
      </c>
      <c r="E138" s="44">
        <v>230.0</v>
      </c>
      <c r="F138" s="45">
        <v>1000.0</v>
      </c>
      <c r="G138" s="45">
        <v>39.0</v>
      </c>
      <c r="H138" s="45">
        <f t="shared" si="1"/>
        <v>230</v>
      </c>
      <c r="I138" s="45">
        <f t="shared" si="2"/>
        <v>8970</v>
      </c>
      <c r="J138" s="49"/>
    </row>
    <row r="139" ht="22.5" customHeight="1">
      <c r="A139" s="48" t="s">
        <v>278</v>
      </c>
      <c r="B139" s="43" t="s">
        <v>23</v>
      </c>
      <c r="C139" s="43" t="s">
        <v>26</v>
      </c>
      <c r="D139" s="43">
        <v>80.0</v>
      </c>
      <c r="E139" s="44">
        <v>135.0</v>
      </c>
      <c r="F139" s="45">
        <v>2020.0</v>
      </c>
      <c r="G139" s="45">
        <v>39.0</v>
      </c>
      <c r="H139" s="45">
        <f t="shared" si="1"/>
        <v>272.7</v>
      </c>
      <c r="I139" s="45">
        <f t="shared" si="2"/>
        <v>10635.3</v>
      </c>
      <c r="J139" s="49"/>
    </row>
    <row r="140" ht="22.5" customHeight="1">
      <c r="A140" s="48" t="s">
        <v>287</v>
      </c>
      <c r="B140" s="43" t="s">
        <v>21</v>
      </c>
      <c r="C140" s="43" t="s">
        <v>9</v>
      </c>
      <c r="D140" s="43">
        <v>80.0</v>
      </c>
      <c r="E140" s="44">
        <v>170.0</v>
      </c>
      <c r="F140" s="45">
        <v>10000.0</v>
      </c>
      <c r="G140" s="45">
        <v>28.5</v>
      </c>
      <c r="H140" s="45">
        <f t="shared" si="1"/>
        <v>1700</v>
      </c>
      <c r="I140" s="45">
        <f t="shared" si="2"/>
        <v>48450</v>
      </c>
      <c r="J140" s="49"/>
    </row>
    <row r="141" ht="22.5" customHeight="1">
      <c r="A141" s="47">
        <v>45668.0</v>
      </c>
      <c r="B141" s="43" t="s">
        <v>23</v>
      </c>
      <c r="C141" s="43" t="s">
        <v>52</v>
      </c>
      <c r="D141" s="43">
        <v>50.0</v>
      </c>
      <c r="E141" s="44">
        <v>148.0</v>
      </c>
      <c r="F141" s="45">
        <v>1820.0</v>
      </c>
      <c r="G141" s="45">
        <v>36.0</v>
      </c>
      <c r="H141" s="45">
        <f t="shared" si="1"/>
        <v>269.36</v>
      </c>
      <c r="I141" s="45">
        <f t="shared" si="2"/>
        <v>9696.96</v>
      </c>
      <c r="J141" s="49"/>
    </row>
    <row r="142" ht="22.5" customHeight="1">
      <c r="A142" s="48" t="s">
        <v>288</v>
      </c>
      <c r="B142" s="43" t="s">
        <v>27</v>
      </c>
      <c r="C142" s="43" t="s">
        <v>9</v>
      </c>
      <c r="D142" s="43">
        <v>80.0</v>
      </c>
      <c r="E142" s="44">
        <v>140.0</v>
      </c>
      <c r="F142" s="45">
        <v>9990.0</v>
      </c>
      <c r="G142" s="45">
        <v>26.5</v>
      </c>
      <c r="H142" s="45">
        <f t="shared" si="1"/>
        <v>1398.6</v>
      </c>
      <c r="I142" s="45">
        <f t="shared" si="2"/>
        <v>37062.9</v>
      </c>
      <c r="J142" s="49"/>
    </row>
    <row r="143" ht="22.5" customHeight="1">
      <c r="A143" s="48" t="s">
        <v>288</v>
      </c>
      <c r="B143" s="43" t="s">
        <v>27</v>
      </c>
      <c r="C143" s="43" t="s">
        <v>9</v>
      </c>
      <c r="D143" s="43">
        <v>80.0</v>
      </c>
      <c r="E143" s="44">
        <v>160.0</v>
      </c>
      <c r="F143" s="45">
        <v>9000.0</v>
      </c>
      <c r="G143" s="45">
        <v>26.5</v>
      </c>
      <c r="H143" s="45">
        <f t="shared" si="1"/>
        <v>1440</v>
      </c>
      <c r="I143" s="45">
        <f t="shared" si="2"/>
        <v>38160</v>
      </c>
      <c r="J143" s="49"/>
    </row>
    <row r="144" ht="22.5" customHeight="1">
      <c r="A144" s="48" t="s">
        <v>288</v>
      </c>
      <c r="B144" s="43" t="s">
        <v>27</v>
      </c>
      <c r="C144" s="43" t="s">
        <v>9</v>
      </c>
      <c r="D144" s="43">
        <v>80.0</v>
      </c>
      <c r="E144" s="44">
        <v>195.0</v>
      </c>
      <c r="F144" s="45">
        <v>6540.0</v>
      </c>
      <c r="G144" s="45">
        <v>26.5</v>
      </c>
      <c r="H144" s="45">
        <f t="shared" si="1"/>
        <v>1275.3</v>
      </c>
      <c r="I144" s="45">
        <f t="shared" si="2"/>
        <v>33795.45</v>
      </c>
      <c r="J144" s="49"/>
    </row>
    <row r="145" ht="22.5" customHeight="1">
      <c r="A145" s="48" t="s">
        <v>288</v>
      </c>
      <c r="B145" s="43" t="s">
        <v>27</v>
      </c>
      <c r="C145" s="43" t="s">
        <v>9</v>
      </c>
      <c r="D145" s="43">
        <v>80.0</v>
      </c>
      <c r="E145" s="44">
        <v>210.0</v>
      </c>
      <c r="F145" s="45">
        <v>4500.0</v>
      </c>
      <c r="G145" s="45">
        <v>26.5</v>
      </c>
      <c r="H145" s="45">
        <f t="shared" si="1"/>
        <v>945</v>
      </c>
      <c r="I145" s="45">
        <f t="shared" si="2"/>
        <v>25042.5</v>
      </c>
      <c r="J145" s="49"/>
    </row>
    <row r="146" ht="22.5" customHeight="1">
      <c r="A146" s="48" t="s">
        <v>288</v>
      </c>
      <c r="B146" s="43" t="s">
        <v>27</v>
      </c>
      <c r="C146" s="43" t="s">
        <v>43</v>
      </c>
      <c r="D146" s="43">
        <v>50.0</v>
      </c>
      <c r="E146" s="44">
        <v>125.0</v>
      </c>
      <c r="F146" s="45">
        <v>8000.0</v>
      </c>
      <c r="G146" s="45">
        <v>34.7</v>
      </c>
      <c r="H146" s="45">
        <f t="shared" si="1"/>
        <v>1000</v>
      </c>
      <c r="I146" s="45">
        <f t="shared" si="2"/>
        <v>34700</v>
      </c>
      <c r="J146" s="49"/>
    </row>
    <row r="147" ht="22.5" customHeight="1">
      <c r="A147" s="48" t="s">
        <v>293</v>
      </c>
      <c r="B147" s="43" t="s">
        <v>27</v>
      </c>
      <c r="C147" s="43" t="s">
        <v>9</v>
      </c>
      <c r="D147" s="43">
        <v>80.0</v>
      </c>
      <c r="E147" s="44">
        <v>140.0</v>
      </c>
      <c r="F147" s="45">
        <v>10170.0</v>
      </c>
      <c r="G147" s="45">
        <v>26.5</v>
      </c>
      <c r="H147" s="45">
        <f t="shared" si="1"/>
        <v>1423.8</v>
      </c>
      <c r="I147" s="45">
        <f t="shared" si="2"/>
        <v>37730.7</v>
      </c>
      <c r="J147" s="49"/>
    </row>
    <row r="148" ht="22.5" customHeight="1">
      <c r="A148" s="48" t="s">
        <v>293</v>
      </c>
      <c r="B148" s="43" t="s">
        <v>27</v>
      </c>
      <c r="C148" s="43" t="s">
        <v>9</v>
      </c>
      <c r="D148" s="43">
        <v>80.0</v>
      </c>
      <c r="E148" s="44">
        <v>160.0</v>
      </c>
      <c r="F148" s="45">
        <v>10200.0</v>
      </c>
      <c r="G148" s="45">
        <v>26.5</v>
      </c>
      <c r="H148" s="45">
        <f t="shared" si="1"/>
        <v>1632</v>
      </c>
      <c r="I148" s="45">
        <f t="shared" si="2"/>
        <v>43248</v>
      </c>
      <c r="J148" s="49"/>
    </row>
    <row r="149" ht="22.5" customHeight="1">
      <c r="A149" s="48" t="s">
        <v>293</v>
      </c>
      <c r="B149" s="43" t="s">
        <v>27</v>
      </c>
      <c r="C149" s="43" t="s">
        <v>9</v>
      </c>
      <c r="D149" s="43">
        <v>80.0</v>
      </c>
      <c r="E149" s="44">
        <v>195.0</v>
      </c>
      <c r="F149" s="45">
        <v>3920.0</v>
      </c>
      <c r="G149" s="45">
        <v>26.5</v>
      </c>
      <c r="H149" s="45">
        <f t="shared" si="1"/>
        <v>764.4</v>
      </c>
      <c r="I149" s="45">
        <f t="shared" si="2"/>
        <v>20256.6</v>
      </c>
      <c r="J149" s="49"/>
    </row>
    <row r="150" ht="22.5" customHeight="1">
      <c r="A150" s="48" t="s">
        <v>297</v>
      </c>
      <c r="B150" s="43" t="s">
        <v>21</v>
      </c>
      <c r="C150" s="43" t="s">
        <v>9</v>
      </c>
      <c r="D150" s="43">
        <v>80.0</v>
      </c>
      <c r="E150" s="44">
        <v>125.0</v>
      </c>
      <c r="F150" s="45">
        <v>5990.0</v>
      </c>
      <c r="G150" s="45">
        <v>28.5</v>
      </c>
      <c r="H150" s="45">
        <f t="shared" si="1"/>
        <v>748.75</v>
      </c>
      <c r="I150" s="45">
        <f t="shared" si="2"/>
        <v>21339.375</v>
      </c>
      <c r="J150" s="49"/>
    </row>
    <row r="151" ht="22.5" customHeight="1">
      <c r="A151" s="48" t="s">
        <v>297</v>
      </c>
      <c r="B151" s="43" t="s">
        <v>21</v>
      </c>
      <c r="C151" s="43" t="s">
        <v>9</v>
      </c>
      <c r="D151" s="43">
        <v>80.0</v>
      </c>
      <c r="E151" s="44">
        <v>170.0</v>
      </c>
      <c r="F151" s="45">
        <v>2000.0</v>
      </c>
      <c r="G151" s="45">
        <v>28.5</v>
      </c>
      <c r="H151" s="45">
        <f t="shared" si="1"/>
        <v>340</v>
      </c>
      <c r="I151" s="45">
        <f t="shared" si="2"/>
        <v>9690</v>
      </c>
      <c r="J151" s="49"/>
    </row>
    <row r="152" ht="22.5" customHeight="1">
      <c r="A152" s="48" t="s">
        <v>297</v>
      </c>
      <c r="B152" s="43" t="s">
        <v>21</v>
      </c>
      <c r="C152" s="43" t="s">
        <v>9</v>
      </c>
      <c r="D152" s="43">
        <v>80.0</v>
      </c>
      <c r="E152" s="44">
        <v>290.0</v>
      </c>
      <c r="F152" s="45">
        <v>26070.0</v>
      </c>
      <c r="G152" s="45">
        <v>28.5</v>
      </c>
      <c r="H152" s="45">
        <f t="shared" si="1"/>
        <v>7560.3</v>
      </c>
      <c r="I152" s="45">
        <f t="shared" si="2"/>
        <v>215468.55</v>
      </c>
      <c r="J152" s="49"/>
    </row>
    <row r="153" ht="22.5" customHeight="1">
      <c r="A153" s="48" t="s">
        <v>297</v>
      </c>
      <c r="B153" s="43" t="s">
        <v>23</v>
      </c>
      <c r="C153" s="43" t="s">
        <v>26</v>
      </c>
      <c r="D153" s="43">
        <v>80.0</v>
      </c>
      <c r="E153" s="44">
        <v>160.0</v>
      </c>
      <c r="F153" s="45">
        <v>1970.0</v>
      </c>
      <c r="G153" s="45">
        <v>39.0</v>
      </c>
      <c r="H153" s="45">
        <f t="shared" si="1"/>
        <v>315.2</v>
      </c>
      <c r="I153" s="45">
        <f t="shared" si="2"/>
        <v>12292.8</v>
      </c>
      <c r="J153" s="49"/>
    </row>
    <row r="154" ht="22.5" customHeight="1">
      <c r="A154" s="48" t="s">
        <v>297</v>
      </c>
      <c r="B154" s="43" t="s">
        <v>23</v>
      </c>
      <c r="C154" s="43" t="s">
        <v>43</v>
      </c>
      <c r="D154" s="43">
        <v>50.0</v>
      </c>
      <c r="E154" s="44">
        <v>110.0</v>
      </c>
      <c r="F154" s="45">
        <v>88160.0</v>
      </c>
      <c r="G154" s="45">
        <v>35.0</v>
      </c>
      <c r="H154" s="45">
        <f t="shared" si="1"/>
        <v>9697.6</v>
      </c>
      <c r="I154" s="45">
        <f t="shared" si="2"/>
        <v>339416</v>
      </c>
      <c r="J154" s="49"/>
    </row>
    <row r="155" ht="22.5" customHeight="1">
      <c r="A155" s="42" t="s">
        <v>302</v>
      </c>
      <c r="B155" s="43" t="s">
        <v>71</v>
      </c>
      <c r="C155" s="43" t="s">
        <v>70</v>
      </c>
      <c r="D155" s="43">
        <v>250.0</v>
      </c>
      <c r="E155" s="44">
        <v>0.0</v>
      </c>
      <c r="F155" s="45">
        <v>0.0</v>
      </c>
      <c r="G155" s="45">
        <v>41.33</v>
      </c>
      <c r="H155" s="45">
        <f t="shared" si="1"/>
        <v>0</v>
      </c>
      <c r="I155" s="45">
        <f t="shared" si="2"/>
        <v>0</v>
      </c>
      <c r="J155" s="23"/>
    </row>
    <row r="156" ht="22.5" customHeight="1">
      <c r="A156" s="48" t="s">
        <v>304</v>
      </c>
      <c r="B156" s="43" t="s">
        <v>21</v>
      </c>
      <c r="C156" s="43" t="s">
        <v>9</v>
      </c>
      <c r="D156" s="43">
        <v>80.0</v>
      </c>
      <c r="E156" s="44">
        <v>150.0</v>
      </c>
      <c r="F156" s="45">
        <v>8000.0</v>
      </c>
      <c r="G156" s="45">
        <v>28.5</v>
      </c>
      <c r="H156" s="45">
        <f t="shared" si="1"/>
        <v>1200</v>
      </c>
      <c r="I156" s="45">
        <f t="shared" si="2"/>
        <v>34200</v>
      </c>
      <c r="J156" s="49"/>
    </row>
    <row r="157" ht="22.5" customHeight="1">
      <c r="A157" s="48" t="s">
        <v>304</v>
      </c>
      <c r="B157" s="43" t="s">
        <v>21</v>
      </c>
      <c r="C157" s="43" t="s">
        <v>9</v>
      </c>
      <c r="D157" s="43">
        <v>80.0</v>
      </c>
      <c r="E157" s="44">
        <v>280.0</v>
      </c>
      <c r="F157" s="45">
        <v>7910.0</v>
      </c>
      <c r="G157" s="45">
        <v>28.5</v>
      </c>
      <c r="H157" s="45">
        <f t="shared" si="1"/>
        <v>2214.8</v>
      </c>
      <c r="I157" s="45">
        <f t="shared" si="2"/>
        <v>63121.8</v>
      </c>
      <c r="J157" s="49"/>
    </row>
    <row r="158" ht="22.5" customHeight="1">
      <c r="A158" s="48" t="s">
        <v>304</v>
      </c>
      <c r="B158" s="43" t="s">
        <v>21</v>
      </c>
      <c r="C158" s="43" t="s">
        <v>9</v>
      </c>
      <c r="D158" s="43">
        <v>80.0</v>
      </c>
      <c r="E158" s="44">
        <v>225.0</v>
      </c>
      <c r="F158" s="45">
        <v>34000.0</v>
      </c>
      <c r="G158" s="45">
        <v>28.5</v>
      </c>
      <c r="H158" s="45">
        <f t="shared" si="1"/>
        <v>7650</v>
      </c>
      <c r="I158" s="45">
        <f t="shared" si="2"/>
        <v>218025</v>
      </c>
      <c r="J158" s="49"/>
    </row>
    <row r="159" ht="22.5" customHeight="1">
      <c r="A159" s="47">
        <v>45759.0</v>
      </c>
      <c r="B159" s="43" t="s">
        <v>27</v>
      </c>
      <c r="C159" s="43" t="s">
        <v>26</v>
      </c>
      <c r="D159" s="43">
        <v>80.0</v>
      </c>
      <c r="E159" s="44">
        <v>210.0</v>
      </c>
      <c r="F159" s="45">
        <v>6660.0</v>
      </c>
      <c r="G159" s="45">
        <v>43.85</v>
      </c>
      <c r="H159" s="45">
        <f t="shared" si="1"/>
        <v>1398.6</v>
      </c>
      <c r="I159" s="45">
        <f t="shared" si="2"/>
        <v>61328.61</v>
      </c>
      <c r="J159" s="49"/>
    </row>
    <row r="160" ht="22.5" customHeight="1">
      <c r="A160" s="47">
        <v>45942.0</v>
      </c>
      <c r="B160" s="43" t="s">
        <v>27</v>
      </c>
      <c r="C160" s="43" t="s">
        <v>26</v>
      </c>
      <c r="D160" s="43">
        <v>80.0</v>
      </c>
      <c r="E160" s="44">
        <v>126.0</v>
      </c>
      <c r="F160" s="45">
        <v>5040.0</v>
      </c>
      <c r="G160" s="45">
        <v>43.85</v>
      </c>
      <c r="H160" s="45">
        <f t="shared" si="1"/>
        <v>635.04</v>
      </c>
      <c r="I160" s="45">
        <f t="shared" si="2"/>
        <v>27846.504</v>
      </c>
      <c r="J160" s="49"/>
    </row>
    <row r="161" ht="22.5" customHeight="1">
      <c r="A161" s="47">
        <v>45942.0</v>
      </c>
      <c r="B161" s="43" t="s">
        <v>27</v>
      </c>
      <c r="C161" s="43" t="s">
        <v>9</v>
      </c>
      <c r="D161" s="43">
        <v>80.0</v>
      </c>
      <c r="E161" s="44">
        <v>140.0</v>
      </c>
      <c r="F161" s="45">
        <v>6000.0</v>
      </c>
      <c r="G161" s="45">
        <v>26.5</v>
      </c>
      <c r="H161" s="45">
        <f t="shared" si="1"/>
        <v>840</v>
      </c>
      <c r="I161" s="45">
        <f t="shared" si="2"/>
        <v>22260</v>
      </c>
      <c r="J161" s="49"/>
    </row>
    <row r="162" ht="22.5" customHeight="1">
      <c r="A162" s="47">
        <v>45973.0</v>
      </c>
      <c r="B162" s="43" t="s">
        <v>21</v>
      </c>
      <c r="C162" s="43" t="s">
        <v>9</v>
      </c>
      <c r="D162" s="43">
        <v>80.0</v>
      </c>
      <c r="E162" s="44">
        <v>125.0</v>
      </c>
      <c r="F162" s="45">
        <v>5900.0</v>
      </c>
      <c r="G162" s="45">
        <v>28.5</v>
      </c>
      <c r="H162" s="45">
        <f t="shared" si="1"/>
        <v>737.5</v>
      </c>
      <c r="I162" s="45">
        <f t="shared" si="2"/>
        <v>21018.75</v>
      </c>
      <c r="J162" s="49"/>
    </row>
    <row r="163" ht="22.5" customHeight="1">
      <c r="A163" s="47">
        <v>45973.0</v>
      </c>
      <c r="B163" s="43" t="s">
        <v>21</v>
      </c>
      <c r="C163" s="43" t="s">
        <v>9</v>
      </c>
      <c r="D163" s="43">
        <v>80.0</v>
      </c>
      <c r="E163" s="44">
        <v>160.0</v>
      </c>
      <c r="F163" s="45">
        <v>3950.0</v>
      </c>
      <c r="G163" s="45">
        <v>28.5</v>
      </c>
      <c r="H163" s="45">
        <f t="shared" si="1"/>
        <v>632</v>
      </c>
      <c r="I163" s="45">
        <f t="shared" si="2"/>
        <v>18012</v>
      </c>
      <c r="J163" s="49"/>
    </row>
    <row r="164" ht="22.5" customHeight="1">
      <c r="A164" s="47">
        <v>45973.0</v>
      </c>
      <c r="B164" s="43" t="s">
        <v>21</v>
      </c>
      <c r="C164" s="43" t="s">
        <v>9</v>
      </c>
      <c r="D164" s="43">
        <v>80.0</v>
      </c>
      <c r="E164" s="44">
        <v>180.0</v>
      </c>
      <c r="F164" s="45">
        <v>3950.0</v>
      </c>
      <c r="G164" s="45">
        <v>28.5</v>
      </c>
      <c r="H164" s="45">
        <f t="shared" si="1"/>
        <v>711</v>
      </c>
      <c r="I164" s="45">
        <f t="shared" si="2"/>
        <v>20263.5</v>
      </c>
      <c r="J164" s="49"/>
    </row>
    <row r="165" ht="22.5" customHeight="1">
      <c r="A165" s="47">
        <v>45973.0</v>
      </c>
      <c r="B165" s="43" t="s">
        <v>21</v>
      </c>
      <c r="C165" s="43" t="s">
        <v>9</v>
      </c>
      <c r="D165" s="43">
        <v>80.0</v>
      </c>
      <c r="E165" s="44">
        <v>250.0</v>
      </c>
      <c r="F165" s="45">
        <v>6050.0</v>
      </c>
      <c r="G165" s="45">
        <v>28.5</v>
      </c>
      <c r="H165" s="45">
        <f t="shared" si="1"/>
        <v>1512.5</v>
      </c>
      <c r="I165" s="45">
        <f t="shared" si="2"/>
        <v>43106.25</v>
      </c>
      <c r="J165" s="49"/>
    </row>
    <row r="166" ht="22.5" customHeight="1">
      <c r="A166" s="47">
        <v>45973.0</v>
      </c>
      <c r="B166" s="43" t="s">
        <v>21</v>
      </c>
      <c r="C166" s="43" t="s">
        <v>9</v>
      </c>
      <c r="D166" s="43">
        <v>80.0</v>
      </c>
      <c r="E166" s="44">
        <v>280.0</v>
      </c>
      <c r="F166" s="45">
        <v>5950.0</v>
      </c>
      <c r="G166" s="45">
        <v>28.5</v>
      </c>
      <c r="H166" s="45">
        <f t="shared" si="1"/>
        <v>1666</v>
      </c>
      <c r="I166" s="45">
        <f t="shared" si="2"/>
        <v>47481</v>
      </c>
      <c r="J166" s="49"/>
    </row>
    <row r="167" ht="22.5" customHeight="1">
      <c r="A167" s="47">
        <v>45973.0</v>
      </c>
      <c r="B167" s="43" t="s">
        <v>21</v>
      </c>
      <c r="C167" s="43" t="s">
        <v>9</v>
      </c>
      <c r="D167" s="43">
        <v>80.0</v>
      </c>
      <c r="E167" s="44">
        <v>290.0</v>
      </c>
      <c r="F167" s="45">
        <v>5950.0</v>
      </c>
      <c r="G167" s="45">
        <v>28.5</v>
      </c>
      <c r="H167" s="45">
        <f t="shared" si="1"/>
        <v>1725.5</v>
      </c>
      <c r="I167" s="45">
        <f t="shared" si="2"/>
        <v>49176.75</v>
      </c>
      <c r="J167" s="49"/>
    </row>
    <row r="168" ht="22.5" customHeight="1">
      <c r="A168" s="47">
        <v>45973.0</v>
      </c>
      <c r="B168" s="43" t="s">
        <v>21</v>
      </c>
      <c r="C168" s="43" t="s">
        <v>9</v>
      </c>
      <c r="D168" s="43">
        <v>80.0</v>
      </c>
      <c r="E168" s="44">
        <v>330.0</v>
      </c>
      <c r="F168" s="45">
        <v>4050.0</v>
      </c>
      <c r="G168" s="45">
        <v>28.5</v>
      </c>
      <c r="H168" s="45">
        <f t="shared" si="1"/>
        <v>1336.5</v>
      </c>
      <c r="I168" s="45">
        <f t="shared" si="2"/>
        <v>38090.25</v>
      </c>
      <c r="J168" s="49"/>
    </row>
    <row r="169" ht="22.5" customHeight="1">
      <c r="A169" s="48" t="s">
        <v>317</v>
      </c>
      <c r="B169" s="43" t="s">
        <v>27</v>
      </c>
      <c r="C169" s="43" t="s">
        <v>9</v>
      </c>
      <c r="D169" s="43">
        <v>80.0</v>
      </c>
      <c r="E169" s="44">
        <v>140.0</v>
      </c>
      <c r="F169" s="45">
        <v>8850.0</v>
      </c>
      <c r="G169" s="45">
        <v>26.5</v>
      </c>
      <c r="H169" s="45">
        <f t="shared" si="1"/>
        <v>1239</v>
      </c>
      <c r="I169" s="45">
        <f t="shared" si="2"/>
        <v>32833.5</v>
      </c>
      <c r="J169" s="49"/>
    </row>
    <row r="170" ht="22.5" customHeight="1">
      <c r="A170" s="48" t="s">
        <v>317</v>
      </c>
      <c r="B170" s="43" t="s">
        <v>27</v>
      </c>
      <c r="C170" s="43" t="s">
        <v>9</v>
      </c>
      <c r="D170" s="43">
        <v>80.0</v>
      </c>
      <c r="E170" s="44">
        <v>160.0</v>
      </c>
      <c r="F170" s="45">
        <v>5960.0</v>
      </c>
      <c r="G170" s="45">
        <v>26.5</v>
      </c>
      <c r="H170" s="45">
        <f t="shared" si="1"/>
        <v>953.6</v>
      </c>
      <c r="I170" s="45">
        <f t="shared" si="2"/>
        <v>25270.4</v>
      </c>
      <c r="J170" s="49"/>
    </row>
    <row r="171" ht="22.5" customHeight="1">
      <c r="A171" s="48" t="s">
        <v>317</v>
      </c>
      <c r="B171" s="43" t="s">
        <v>27</v>
      </c>
      <c r="C171" s="43" t="s">
        <v>9</v>
      </c>
      <c r="D171" s="43">
        <v>80.0</v>
      </c>
      <c r="E171" s="44">
        <v>260.0</v>
      </c>
      <c r="F171" s="45">
        <v>4000.0</v>
      </c>
      <c r="G171" s="45">
        <v>26.5</v>
      </c>
      <c r="H171" s="45">
        <f t="shared" si="1"/>
        <v>1040</v>
      </c>
      <c r="I171" s="45">
        <f t="shared" si="2"/>
        <v>27560</v>
      </c>
      <c r="J171" s="49"/>
    </row>
    <row r="172" ht="22.5" customHeight="1">
      <c r="A172" s="48" t="s">
        <v>323</v>
      </c>
      <c r="B172" s="43" t="s">
        <v>23</v>
      </c>
      <c r="C172" s="43" t="s">
        <v>26</v>
      </c>
      <c r="D172" s="43">
        <v>80.0</v>
      </c>
      <c r="E172" s="44">
        <v>185.0</v>
      </c>
      <c r="F172" s="45">
        <v>5540.0</v>
      </c>
      <c r="G172" s="45">
        <v>28.0</v>
      </c>
      <c r="H172" s="45">
        <f t="shared" si="1"/>
        <v>1024.9</v>
      </c>
      <c r="I172" s="45">
        <f t="shared" si="2"/>
        <v>28697.2</v>
      </c>
      <c r="J172" s="49"/>
    </row>
    <row r="173" ht="22.5" customHeight="1">
      <c r="A173" s="48" t="s">
        <v>326</v>
      </c>
      <c r="B173" s="43" t="s">
        <v>27</v>
      </c>
      <c r="C173" s="43" t="s">
        <v>9</v>
      </c>
      <c r="D173" s="43">
        <v>80.0</v>
      </c>
      <c r="E173" s="44">
        <v>140.0</v>
      </c>
      <c r="F173" s="45">
        <v>5910.0</v>
      </c>
      <c r="G173" s="45">
        <v>26.5</v>
      </c>
      <c r="H173" s="45">
        <f t="shared" si="1"/>
        <v>827.4</v>
      </c>
      <c r="I173" s="45">
        <f t="shared" si="2"/>
        <v>21926.1</v>
      </c>
      <c r="J173" s="49"/>
    </row>
    <row r="174" ht="22.5" customHeight="1">
      <c r="A174" s="48" t="s">
        <v>326</v>
      </c>
      <c r="B174" s="43" t="s">
        <v>27</v>
      </c>
      <c r="C174" s="43" t="s">
        <v>9</v>
      </c>
      <c r="D174" s="43">
        <v>80.0</v>
      </c>
      <c r="E174" s="44">
        <v>160.0</v>
      </c>
      <c r="F174" s="45">
        <v>5980.0</v>
      </c>
      <c r="G174" s="45">
        <v>26.5</v>
      </c>
      <c r="H174" s="45">
        <f t="shared" si="1"/>
        <v>956.8</v>
      </c>
      <c r="I174" s="45">
        <f t="shared" si="2"/>
        <v>25355.2</v>
      </c>
      <c r="J174" s="49"/>
    </row>
    <row r="175" ht="22.5" customHeight="1">
      <c r="A175" s="48" t="s">
        <v>326</v>
      </c>
      <c r="B175" s="43" t="s">
        <v>27</v>
      </c>
      <c r="C175" s="43" t="s">
        <v>9</v>
      </c>
      <c r="D175" s="43">
        <v>80.0</v>
      </c>
      <c r="E175" s="44">
        <v>195.0</v>
      </c>
      <c r="F175" s="45">
        <v>4360.0</v>
      </c>
      <c r="G175" s="45">
        <v>26.5</v>
      </c>
      <c r="H175" s="45">
        <f t="shared" si="1"/>
        <v>850.2</v>
      </c>
      <c r="I175" s="45">
        <f t="shared" si="2"/>
        <v>22530.3</v>
      </c>
      <c r="J175" s="49"/>
    </row>
    <row r="176" ht="22.5" customHeight="1">
      <c r="A176" s="48" t="s">
        <v>326</v>
      </c>
      <c r="B176" s="43" t="s">
        <v>27</v>
      </c>
      <c r="C176" s="43" t="s">
        <v>9</v>
      </c>
      <c r="D176" s="43">
        <v>80.0</v>
      </c>
      <c r="E176" s="44">
        <v>230.0</v>
      </c>
      <c r="F176" s="45">
        <v>4360.0</v>
      </c>
      <c r="G176" s="45">
        <v>26.5</v>
      </c>
      <c r="H176" s="45">
        <f t="shared" si="1"/>
        <v>1002.8</v>
      </c>
      <c r="I176" s="45">
        <f t="shared" si="2"/>
        <v>26574.2</v>
      </c>
      <c r="J176" s="49"/>
    </row>
    <row r="177" ht="22.5" customHeight="1">
      <c r="A177" s="48" t="s">
        <v>326</v>
      </c>
      <c r="B177" s="43" t="s">
        <v>27</v>
      </c>
      <c r="C177" s="43" t="s">
        <v>26</v>
      </c>
      <c r="D177" s="43">
        <v>80.0</v>
      </c>
      <c r="E177" s="44">
        <v>185.0</v>
      </c>
      <c r="F177" s="45">
        <v>3000.0</v>
      </c>
      <c r="G177" s="45">
        <v>43.85</v>
      </c>
      <c r="H177" s="45">
        <f t="shared" si="1"/>
        <v>555</v>
      </c>
      <c r="I177" s="45">
        <f t="shared" si="2"/>
        <v>24336.75</v>
      </c>
      <c r="J177" s="49"/>
    </row>
    <row r="178" ht="22.5" customHeight="1">
      <c r="A178" s="48" t="s">
        <v>326</v>
      </c>
      <c r="B178" s="43" t="s">
        <v>27</v>
      </c>
      <c r="C178" s="43" t="s">
        <v>26</v>
      </c>
      <c r="D178" s="43">
        <v>80.0</v>
      </c>
      <c r="E178" s="44">
        <v>130.0</v>
      </c>
      <c r="F178" s="45">
        <v>1500.0</v>
      </c>
      <c r="G178" s="45">
        <v>43.85</v>
      </c>
      <c r="H178" s="45">
        <f t="shared" si="1"/>
        <v>195</v>
      </c>
      <c r="I178" s="45">
        <f t="shared" si="2"/>
        <v>8550.75</v>
      </c>
      <c r="J178" s="49"/>
    </row>
    <row r="179" ht="22.5" customHeight="1">
      <c r="A179" s="48" t="s">
        <v>334</v>
      </c>
      <c r="B179" s="43" t="s">
        <v>21</v>
      </c>
      <c r="C179" s="43" t="s">
        <v>9</v>
      </c>
      <c r="D179" s="43">
        <v>80.0</v>
      </c>
      <c r="E179" s="44">
        <v>125.0</v>
      </c>
      <c r="F179" s="45">
        <v>5970.0</v>
      </c>
      <c r="G179" s="45">
        <v>28.5</v>
      </c>
      <c r="H179" s="45">
        <f t="shared" si="1"/>
        <v>746.25</v>
      </c>
      <c r="I179" s="45">
        <f t="shared" si="2"/>
        <v>21268.125</v>
      </c>
      <c r="J179" s="49"/>
    </row>
    <row r="180" ht="22.5" customHeight="1">
      <c r="A180" s="48" t="s">
        <v>334</v>
      </c>
      <c r="B180" s="43" t="s">
        <v>21</v>
      </c>
      <c r="C180" s="43" t="s">
        <v>9</v>
      </c>
      <c r="D180" s="43">
        <v>80.0</v>
      </c>
      <c r="E180" s="44">
        <v>150.0</v>
      </c>
      <c r="F180" s="45">
        <v>4000.0</v>
      </c>
      <c r="G180" s="45">
        <v>28.5</v>
      </c>
      <c r="H180" s="45">
        <f t="shared" si="1"/>
        <v>600</v>
      </c>
      <c r="I180" s="45">
        <f t="shared" si="2"/>
        <v>17100</v>
      </c>
      <c r="J180" s="49"/>
    </row>
    <row r="181" ht="22.5" customHeight="1">
      <c r="A181" s="48" t="s">
        <v>334</v>
      </c>
      <c r="B181" s="43" t="s">
        <v>21</v>
      </c>
      <c r="C181" s="43" t="s">
        <v>9</v>
      </c>
      <c r="D181" s="43">
        <v>80.0</v>
      </c>
      <c r="E181" s="44">
        <v>180.0</v>
      </c>
      <c r="F181" s="45">
        <v>4000.0</v>
      </c>
      <c r="G181" s="45">
        <v>28.5</v>
      </c>
      <c r="H181" s="45">
        <f t="shared" si="1"/>
        <v>720</v>
      </c>
      <c r="I181" s="45">
        <f t="shared" si="2"/>
        <v>20520</v>
      </c>
      <c r="J181" s="49"/>
    </row>
    <row r="182" ht="22.5" customHeight="1">
      <c r="A182" s="48" t="s">
        <v>334</v>
      </c>
      <c r="B182" s="43" t="s">
        <v>21</v>
      </c>
      <c r="C182" s="43" t="s">
        <v>9</v>
      </c>
      <c r="D182" s="43">
        <v>80.0</v>
      </c>
      <c r="E182" s="44">
        <v>250.0</v>
      </c>
      <c r="F182" s="45">
        <v>14350.0</v>
      </c>
      <c r="G182" s="45">
        <v>28.5</v>
      </c>
      <c r="H182" s="45">
        <f t="shared" si="1"/>
        <v>3587.5</v>
      </c>
      <c r="I182" s="45">
        <f t="shared" si="2"/>
        <v>102243.75</v>
      </c>
      <c r="J182" s="49"/>
    </row>
    <row r="183" ht="22.5" customHeight="1">
      <c r="A183" s="48" t="s">
        <v>339</v>
      </c>
      <c r="B183" s="43" t="s">
        <v>21</v>
      </c>
      <c r="C183" s="43" t="s">
        <v>9</v>
      </c>
      <c r="D183" s="43">
        <v>80.0</v>
      </c>
      <c r="E183" s="44">
        <v>125.0</v>
      </c>
      <c r="F183" s="45">
        <v>10080.0</v>
      </c>
      <c r="G183" s="45">
        <v>28.5</v>
      </c>
      <c r="H183" s="45">
        <f t="shared" si="1"/>
        <v>1260</v>
      </c>
      <c r="I183" s="45">
        <f t="shared" si="2"/>
        <v>35910</v>
      </c>
      <c r="J183" s="49"/>
    </row>
    <row r="184" ht="22.5" customHeight="1">
      <c r="A184" s="48" t="s">
        <v>339</v>
      </c>
      <c r="B184" s="43" t="s">
        <v>21</v>
      </c>
      <c r="C184" s="43" t="s">
        <v>9</v>
      </c>
      <c r="D184" s="43">
        <v>80.0</v>
      </c>
      <c r="E184" s="44">
        <v>150.0</v>
      </c>
      <c r="F184" s="45">
        <v>8000.0</v>
      </c>
      <c r="G184" s="45">
        <v>28.5</v>
      </c>
      <c r="H184" s="45">
        <f t="shared" si="1"/>
        <v>1200</v>
      </c>
      <c r="I184" s="45">
        <f t="shared" si="2"/>
        <v>34200</v>
      </c>
      <c r="J184" s="49"/>
    </row>
    <row r="185" ht="22.5" customHeight="1">
      <c r="A185" s="48" t="s">
        <v>339</v>
      </c>
      <c r="B185" s="43" t="s">
        <v>21</v>
      </c>
      <c r="C185" s="43" t="s">
        <v>9</v>
      </c>
      <c r="D185" s="43">
        <v>80.0</v>
      </c>
      <c r="E185" s="44">
        <v>170.0</v>
      </c>
      <c r="F185" s="45">
        <v>3990.0</v>
      </c>
      <c r="G185" s="45">
        <v>28.5</v>
      </c>
      <c r="H185" s="45">
        <f t="shared" si="1"/>
        <v>678.3</v>
      </c>
      <c r="I185" s="45">
        <f t="shared" si="2"/>
        <v>19331.55</v>
      </c>
      <c r="J185" s="49"/>
    </row>
    <row r="186" ht="22.5" customHeight="1">
      <c r="A186" s="48" t="s">
        <v>339</v>
      </c>
      <c r="B186" s="43" t="s">
        <v>21</v>
      </c>
      <c r="C186" s="43" t="s">
        <v>9</v>
      </c>
      <c r="D186" s="43">
        <v>80.0</v>
      </c>
      <c r="E186" s="44">
        <v>210.0</v>
      </c>
      <c r="F186" s="45">
        <v>8000.0</v>
      </c>
      <c r="G186" s="45">
        <v>28.5</v>
      </c>
      <c r="H186" s="45">
        <f t="shared" si="1"/>
        <v>1680</v>
      </c>
      <c r="I186" s="45">
        <f t="shared" si="2"/>
        <v>47880</v>
      </c>
      <c r="J186" s="49"/>
    </row>
    <row r="187" ht="22.5" customHeight="1">
      <c r="A187" s="48" t="s">
        <v>339</v>
      </c>
      <c r="B187" s="43" t="s">
        <v>21</v>
      </c>
      <c r="C187" s="43" t="s">
        <v>9</v>
      </c>
      <c r="D187" s="43">
        <v>80.0</v>
      </c>
      <c r="E187" s="44">
        <v>250.0</v>
      </c>
      <c r="F187" s="45">
        <v>18000.0</v>
      </c>
      <c r="G187" s="45">
        <v>28.5</v>
      </c>
      <c r="H187" s="45">
        <f t="shared" si="1"/>
        <v>4500</v>
      </c>
      <c r="I187" s="45">
        <f t="shared" si="2"/>
        <v>128250</v>
      </c>
      <c r="J187" s="49"/>
    </row>
    <row r="188" ht="22.5" customHeight="1">
      <c r="A188" s="48" t="s">
        <v>339</v>
      </c>
      <c r="B188" s="43" t="s">
        <v>21</v>
      </c>
      <c r="C188" s="43" t="s">
        <v>9</v>
      </c>
      <c r="D188" s="43">
        <v>80.0</v>
      </c>
      <c r="E188" s="44">
        <v>280.0</v>
      </c>
      <c r="F188" s="45">
        <v>7990.0</v>
      </c>
      <c r="G188" s="45">
        <v>28.5</v>
      </c>
      <c r="H188" s="45">
        <f t="shared" si="1"/>
        <v>2237.2</v>
      </c>
      <c r="I188" s="45">
        <f t="shared" si="2"/>
        <v>63760.2</v>
      </c>
      <c r="J188" s="49"/>
    </row>
    <row r="189" ht="22.5" customHeight="1">
      <c r="A189" s="48" t="s">
        <v>339</v>
      </c>
      <c r="B189" s="43" t="s">
        <v>21</v>
      </c>
      <c r="C189" s="43" t="s">
        <v>9</v>
      </c>
      <c r="D189" s="43">
        <v>80.0</v>
      </c>
      <c r="E189" s="44">
        <v>290.0</v>
      </c>
      <c r="F189" s="45">
        <v>37970.0</v>
      </c>
      <c r="G189" s="45">
        <v>28.5</v>
      </c>
      <c r="H189" s="45">
        <f t="shared" si="1"/>
        <v>11011.3</v>
      </c>
      <c r="I189" s="45">
        <f t="shared" si="2"/>
        <v>313822.05</v>
      </c>
      <c r="J189" s="49"/>
    </row>
    <row r="190" ht="22.5" customHeight="1">
      <c r="A190" s="48" t="s">
        <v>339</v>
      </c>
      <c r="B190" s="43" t="s">
        <v>21</v>
      </c>
      <c r="C190" s="43" t="s">
        <v>9</v>
      </c>
      <c r="D190" s="43">
        <v>80.0</v>
      </c>
      <c r="E190" s="44">
        <v>320.0</v>
      </c>
      <c r="F190" s="45">
        <v>2080.0</v>
      </c>
      <c r="G190" s="45">
        <v>28.5</v>
      </c>
      <c r="H190" s="45">
        <f t="shared" si="1"/>
        <v>665.6</v>
      </c>
      <c r="I190" s="45">
        <f t="shared" si="2"/>
        <v>18969.6</v>
      </c>
      <c r="J190" s="49"/>
    </row>
    <row r="191" ht="22.5" customHeight="1">
      <c r="A191" s="48" t="s">
        <v>339</v>
      </c>
      <c r="B191" s="43" t="s">
        <v>21</v>
      </c>
      <c r="C191" s="43" t="s">
        <v>9</v>
      </c>
      <c r="D191" s="43">
        <v>80.0</v>
      </c>
      <c r="E191" s="44">
        <v>330.0</v>
      </c>
      <c r="F191" s="45">
        <v>4160.0</v>
      </c>
      <c r="G191" s="45">
        <v>28.5</v>
      </c>
      <c r="H191" s="45">
        <f t="shared" si="1"/>
        <v>1372.8</v>
      </c>
      <c r="I191" s="45">
        <f t="shared" si="2"/>
        <v>39124.8</v>
      </c>
      <c r="J191" s="49"/>
    </row>
    <row r="192" ht="22.5" customHeight="1">
      <c r="A192" s="48" t="s">
        <v>339</v>
      </c>
      <c r="B192" s="43" t="s">
        <v>21</v>
      </c>
      <c r="C192" s="43" t="s">
        <v>9</v>
      </c>
      <c r="D192" s="43">
        <v>80.0</v>
      </c>
      <c r="E192" s="44">
        <v>395.0</v>
      </c>
      <c r="F192" s="45">
        <v>12080.0</v>
      </c>
      <c r="G192" s="45">
        <v>28.5</v>
      </c>
      <c r="H192" s="45">
        <f t="shared" si="1"/>
        <v>4771.6</v>
      </c>
      <c r="I192" s="45">
        <f t="shared" si="2"/>
        <v>135990.6</v>
      </c>
      <c r="J192" s="49"/>
    </row>
    <row r="193" ht="22.5" customHeight="1">
      <c r="A193" s="47">
        <v>46054.0</v>
      </c>
      <c r="B193" s="43" t="s">
        <v>21</v>
      </c>
      <c r="C193" s="43" t="s">
        <v>9</v>
      </c>
      <c r="D193" s="43">
        <v>80.0</v>
      </c>
      <c r="E193" s="44">
        <v>210.0</v>
      </c>
      <c r="F193" s="45">
        <v>2000.0</v>
      </c>
      <c r="G193" s="45">
        <v>28.5</v>
      </c>
      <c r="H193" s="45">
        <f t="shared" si="1"/>
        <v>420</v>
      </c>
      <c r="I193" s="45">
        <f t="shared" si="2"/>
        <v>11970</v>
      </c>
      <c r="J193" s="49"/>
    </row>
    <row r="194" ht="22.5" customHeight="1">
      <c r="A194" s="47">
        <v>46082.0</v>
      </c>
      <c r="B194" s="43" t="s">
        <v>27</v>
      </c>
      <c r="C194" s="43" t="s">
        <v>9</v>
      </c>
      <c r="D194" s="43">
        <v>80.0</v>
      </c>
      <c r="E194" s="44">
        <v>140.0</v>
      </c>
      <c r="F194" s="45">
        <v>6140.0</v>
      </c>
      <c r="G194" s="45">
        <v>26.5</v>
      </c>
      <c r="H194" s="45">
        <f t="shared" si="1"/>
        <v>859.6</v>
      </c>
      <c r="I194" s="45">
        <f t="shared" si="2"/>
        <v>22779.4</v>
      </c>
      <c r="J194" s="49"/>
    </row>
    <row r="195" ht="22.5" customHeight="1">
      <c r="A195" s="47">
        <v>46082.0</v>
      </c>
      <c r="B195" s="43" t="s">
        <v>27</v>
      </c>
      <c r="C195" s="43" t="s">
        <v>9</v>
      </c>
      <c r="D195" s="43">
        <v>80.0</v>
      </c>
      <c r="E195" s="44">
        <v>160.0</v>
      </c>
      <c r="F195" s="45">
        <v>6140.0</v>
      </c>
      <c r="G195" s="45">
        <v>26.5</v>
      </c>
      <c r="H195" s="45">
        <f t="shared" si="1"/>
        <v>982.4</v>
      </c>
      <c r="I195" s="45">
        <f t="shared" si="2"/>
        <v>26033.6</v>
      </c>
      <c r="J195" s="49"/>
    </row>
    <row r="196" ht="22.5" customHeight="1">
      <c r="A196" s="47">
        <v>46082.0</v>
      </c>
      <c r="B196" s="43" t="s">
        <v>27</v>
      </c>
      <c r="C196" s="43" t="s">
        <v>9</v>
      </c>
      <c r="D196" s="43">
        <v>80.0</v>
      </c>
      <c r="E196" s="44">
        <v>200.0</v>
      </c>
      <c r="F196" s="45">
        <v>4470.0</v>
      </c>
      <c r="G196" s="45">
        <v>26.5</v>
      </c>
      <c r="H196" s="45">
        <f t="shared" si="1"/>
        <v>894</v>
      </c>
      <c r="I196" s="45">
        <f t="shared" si="2"/>
        <v>23691</v>
      </c>
      <c r="J196" s="49"/>
    </row>
    <row r="197" ht="22.5" customHeight="1">
      <c r="A197" s="47">
        <v>46082.0</v>
      </c>
      <c r="B197" s="43" t="s">
        <v>27</v>
      </c>
      <c r="C197" s="43" t="s">
        <v>9</v>
      </c>
      <c r="D197" s="43">
        <v>80.0</v>
      </c>
      <c r="E197" s="44">
        <v>185.0</v>
      </c>
      <c r="F197" s="45">
        <v>3940.0</v>
      </c>
      <c r="G197" s="45">
        <v>26.5</v>
      </c>
      <c r="H197" s="45">
        <f t="shared" si="1"/>
        <v>728.9</v>
      </c>
      <c r="I197" s="45">
        <f t="shared" si="2"/>
        <v>19315.85</v>
      </c>
      <c r="J197" s="49"/>
    </row>
    <row r="198" ht="22.5" customHeight="1">
      <c r="A198" s="47">
        <v>46174.0</v>
      </c>
      <c r="B198" s="43" t="s">
        <v>23</v>
      </c>
      <c r="C198" s="43" t="s">
        <v>43</v>
      </c>
      <c r="D198" s="43">
        <v>50.0</v>
      </c>
      <c r="E198" s="44">
        <v>180.0</v>
      </c>
      <c r="F198" s="45">
        <v>1870.0</v>
      </c>
      <c r="G198" s="45">
        <v>35.0</v>
      </c>
      <c r="H198" s="45">
        <f t="shared" si="1"/>
        <v>336.6</v>
      </c>
      <c r="I198" s="45">
        <f t="shared" si="2"/>
        <v>11781</v>
      </c>
      <c r="J198" s="49"/>
    </row>
    <row r="199" ht="22.5" customHeight="1">
      <c r="A199" s="47">
        <v>46174.0</v>
      </c>
      <c r="B199" s="43" t="s">
        <v>23</v>
      </c>
      <c r="C199" s="43" t="s">
        <v>43</v>
      </c>
      <c r="D199" s="43">
        <v>50.0</v>
      </c>
      <c r="E199" s="44">
        <v>140.0</v>
      </c>
      <c r="F199" s="45">
        <v>1600.0</v>
      </c>
      <c r="G199" s="45">
        <v>35.0</v>
      </c>
      <c r="H199" s="45">
        <f t="shared" si="1"/>
        <v>224</v>
      </c>
      <c r="I199" s="45">
        <f t="shared" si="2"/>
        <v>7840</v>
      </c>
      <c r="J199" s="49"/>
    </row>
    <row r="200" ht="22.5" customHeight="1">
      <c r="A200" s="47">
        <v>46174.0</v>
      </c>
      <c r="B200" s="43" t="s">
        <v>23</v>
      </c>
      <c r="C200" s="43" t="s">
        <v>43</v>
      </c>
      <c r="D200" s="43">
        <v>50.0</v>
      </c>
      <c r="E200" s="44">
        <v>125.0</v>
      </c>
      <c r="F200" s="45">
        <v>2960.0</v>
      </c>
      <c r="G200" s="45">
        <v>35.0</v>
      </c>
      <c r="H200" s="45">
        <f t="shared" si="1"/>
        <v>370</v>
      </c>
      <c r="I200" s="45">
        <f t="shared" si="2"/>
        <v>12950</v>
      </c>
      <c r="J200" s="49"/>
    </row>
    <row r="201" ht="22.5" customHeight="1">
      <c r="A201" s="47">
        <v>46327.0</v>
      </c>
      <c r="B201" s="43" t="s">
        <v>21</v>
      </c>
      <c r="C201" s="43" t="s">
        <v>9</v>
      </c>
      <c r="D201" s="43">
        <v>80.0</v>
      </c>
      <c r="E201" s="44">
        <v>210.0</v>
      </c>
      <c r="F201" s="45">
        <v>5925.0</v>
      </c>
      <c r="G201" s="45">
        <v>28.5</v>
      </c>
      <c r="H201" s="45">
        <f t="shared" si="1"/>
        <v>1244.25</v>
      </c>
      <c r="I201" s="45">
        <f t="shared" si="2"/>
        <v>35461.125</v>
      </c>
      <c r="J201" s="49"/>
    </row>
    <row r="202" ht="22.5" customHeight="1">
      <c r="A202" s="47">
        <v>46327.0</v>
      </c>
      <c r="B202" s="43" t="s">
        <v>21</v>
      </c>
      <c r="C202" s="43" t="s">
        <v>9</v>
      </c>
      <c r="D202" s="43">
        <v>80.0</v>
      </c>
      <c r="E202" s="44">
        <v>250.0</v>
      </c>
      <c r="F202" s="45">
        <v>27965.0</v>
      </c>
      <c r="G202" s="45">
        <v>28.5</v>
      </c>
      <c r="H202" s="45">
        <f t="shared" si="1"/>
        <v>6991.25</v>
      </c>
      <c r="I202" s="45">
        <f t="shared" si="2"/>
        <v>199250.625</v>
      </c>
      <c r="J202" s="49"/>
    </row>
    <row r="203" ht="22.5" customHeight="1">
      <c r="A203" s="47">
        <v>46327.0</v>
      </c>
      <c r="B203" s="43" t="s">
        <v>21</v>
      </c>
      <c r="C203" s="43" t="s">
        <v>9</v>
      </c>
      <c r="D203" s="43">
        <v>80.0</v>
      </c>
      <c r="E203" s="44">
        <v>280.0</v>
      </c>
      <c r="F203" s="45">
        <v>5925.0</v>
      </c>
      <c r="G203" s="45">
        <v>28.5</v>
      </c>
      <c r="H203" s="45">
        <f t="shared" si="1"/>
        <v>1659</v>
      </c>
      <c r="I203" s="45">
        <f t="shared" si="2"/>
        <v>47281.5</v>
      </c>
      <c r="J203" s="49"/>
    </row>
    <row r="204" ht="22.5" customHeight="1">
      <c r="A204" s="47">
        <v>46327.0</v>
      </c>
      <c r="B204" s="43" t="s">
        <v>21</v>
      </c>
      <c r="C204" s="43" t="s">
        <v>9</v>
      </c>
      <c r="D204" s="43">
        <v>80.0</v>
      </c>
      <c r="E204" s="44">
        <v>290.0</v>
      </c>
      <c r="F204" s="45">
        <v>5975.0</v>
      </c>
      <c r="G204" s="45">
        <v>28.5</v>
      </c>
      <c r="H204" s="45">
        <f t="shared" si="1"/>
        <v>1732.75</v>
      </c>
      <c r="I204" s="45">
        <f t="shared" si="2"/>
        <v>49383.375</v>
      </c>
      <c r="J204" s="49"/>
    </row>
    <row r="205" ht="22.5" customHeight="1">
      <c r="A205" s="48" t="s">
        <v>375</v>
      </c>
      <c r="B205" s="43" t="s">
        <v>27</v>
      </c>
      <c r="C205" s="43" t="s">
        <v>9</v>
      </c>
      <c r="D205" s="43">
        <v>80.0</v>
      </c>
      <c r="E205" s="44">
        <v>160.0</v>
      </c>
      <c r="F205" s="45">
        <v>4520.0</v>
      </c>
      <c r="G205" s="45">
        <v>26.5</v>
      </c>
      <c r="H205" s="45">
        <f t="shared" si="1"/>
        <v>723.2</v>
      </c>
      <c r="I205" s="45">
        <f t="shared" si="2"/>
        <v>19164.8</v>
      </c>
      <c r="J205" s="49"/>
    </row>
    <row r="206" ht="22.5" customHeight="1">
      <c r="A206" s="48" t="s">
        <v>375</v>
      </c>
      <c r="B206" s="43" t="s">
        <v>27</v>
      </c>
      <c r="C206" s="43" t="s">
        <v>9</v>
      </c>
      <c r="D206" s="43">
        <v>80.0</v>
      </c>
      <c r="E206" s="44">
        <v>230.0</v>
      </c>
      <c r="F206" s="45">
        <v>4520.0</v>
      </c>
      <c r="G206" s="45">
        <v>26.5</v>
      </c>
      <c r="H206" s="45">
        <f t="shared" si="1"/>
        <v>1039.6</v>
      </c>
      <c r="I206" s="45">
        <f t="shared" si="2"/>
        <v>27549.4</v>
      </c>
      <c r="J206" s="49"/>
    </row>
    <row r="207" ht="22.5" customHeight="1">
      <c r="A207" s="48" t="s">
        <v>375</v>
      </c>
      <c r="B207" s="43" t="s">
        <v>27</v>
      </c>
      <c r="C207" s="43" t="s">
        <v>48</v>
      </c>
      <c r="D207" s="43">
        <v>120.0</v>
      </c>
      <c r="E207" s="44">
        <v>340.0</v>
      </c>
      <c r="F207" s="45">
        <v>2000.0</v>
      </c>
      <c r="G207" s="45">
        <v>14.5</v>
      </c>
      <c r="H207" s="45">
        <f t="shared" si="1"/>
        <v>680</v>
      </c>
      <c r="I207" s="45">
        <f t="shared" si="2"/>
        <v>9860</v>
      </c>
      <c r="J207" s="49"/>
    </row>
    <row r="208" ht="22.5" customHeight="1">
      <c r="A208" s="48" t="s">
        <v>375</v>
      </c>
      <c r="B208" s="43" t="s">
        <v>27</v>
      </c>
      <c r="C208" s="43" t="s">
        <v>9</v>
      </c>
      <c r="D208" s="43">
        <v>80.0</v>
      </c>
      <c r="E208" s="44">
        <v>125.0</v>
      </c>
      <c r="F208" s="45">
        <v>6048.0</v>
      </c>
      <c r="G208" s="45">
        <v>26.5</v>
      </c>
      <c r="H208" s="45">
        <f t="shared" si="1"/>
        <v>756</v>
      </c>
      <c r="I208" s="45">
        <f t="shared" si="2"/>
        <v>20034</v>
      </c>
      <c r="J208" s="49"/>
    </row>
    <row r="209" ht="22.5" customHeight="1">
      <c r="A209" s="48" t="s">
        <v>375</v>
      </c>
      <c r="B209" s="43" t="s">
        <v>27</v>
      </c>
      <c r="C209" s="43" t="s">
        <v>48</v>
      </c>
      <c r="D209" s="43">
        <v>120.0</v>
      </c>
      <c r="E209" s="44">
        <v>130.0</v>
      </c>
      <c r="F209" s="45">
        <v>2000.0</v>
      </c>
      <c r="G209" s="45">
        <v>14.5</v>
      </c>
      <c r="H209" s="45">
        <f t="shared" si="1"/>
        <v>260</v>
      </c>
      <c r="I209" s="45">
        <f t="shared" si="2"/>
        <v>3770</v>
      </c>
      <c r="J209" s="49"/>
    </row>
    <row r="210" ht="22.5" customHeight="1">
      <c r="A210" s="48" t="s">
        <v>383</v>
      </c>
      <c r="B210" s="43" t="s">
        <v>23</v>
      </c>
      <c r="C210" s="43" t="s">
        <v>9</v>
      </c>
      <c r="D210" s="43">
        <v>80.0</v>
      </c>
      <c r="E210" s="44">
        <v>210.0</v>
      </c>
      <c r="F210" s="45">
        <v>6200.0</v>
      </c>
      <c r="G210" s="45">
        <v>27.0</v>
      </c>
      <c r="H210" s="45">
        <f t="shared" si="1"/>
        <v>1302</v>
      </c>
      <c r="I210" s="45">
        <f t="shared" si="2"/>
        <v>35154</v>
      </c>
      <c r="J210" s="49"/>
    </row>
    <row r="211" ht="22.5" customHeight="1">
      <c r="A211" s="48" t="s">
        <v>383</v>
      </c>
      <c r="B211" s="43" t="s">
        <v>23</v>
      </c>
      <c r="C211" s="43" t="s">
        <v>47</v>
      </c>
      <c r="D211" s="43">
        <v>50.0</v>
      </c>
      <c r="E211" s="44">
        <v>160.0</v>
      </c>
      <c r="F211" s="45">
        <v>5460.0</v>
      </c>
      <c r="G211" s="45">
        <v>42.0</v>
      </c>
      <c r="H211" s="45">
        <f t="shared" si="1"/>
        <v>873.6</v>
      </c>
      <c r="I211" s="45">
        <f t="shared" si="2"/>
        <v>36691.2</v>
      </c>
      <c r="J211" s="49"/>
    </row>
    <row r="212" ht="22.5" customHeight="1">
      <c r="A212" s="48" t="s">
        <v>387</v>
      </c>
      <c r="B212" s="43" t="s">
        <v>27</v>
      </c>
      <c r="C212" s="43" t="s">
        <v>9</v>
      </c>
      <c r="D212" s="43">
        <v>80.0</v>
      </c>
      <c r="E212" s="44">
        <v>140.0</v>
      </c>
      <c r="F212" s="45">
        <v>4020.0</v>
      </c>
      <c r="G212" s="45">
        <v>26.5</v>
      </c>
      <c r="H212" s="45">
        <f t="shared" si="1"/>
        <v>562.8</v>
      </c>
      <c r="I212" s="45">
        <f t="shared" si="2"/>
        <v>14914.2</v>
      </c>
      <c r="J212" s="49"/>
    </row>
    <row r="213" ht="22.5" customHeight="1">
      <c r="A213" s="48" t="s">
        <v>387</v>
      </c>
      <c r="B213" s="43" t="s">
        <v>27</v>
      </c>
      <c r="C213" s="43" t="s">
        <v>9</v>
      </c>
      <c r="D213" s="43">
        <v>80.0</v>
      </c>
      <c r="E213" s="44">
        <v>160.0</v>
      </c>
      <c r="F213" s="45">
        <v>7120.0</v>
      </c>
      <c r="G213" s="45">
        <v>26.5</v>
      </c>
      <c r="H213" s="45">
        <f t="shared" si="1"/>
        <v>1139.2</v>
      </c>
      <c r="I213" s="45">
        <f t="shared" si="2"/>
        <v>30188.8</v>
      </c>
      <c r="J213" s="49"/>
    </row>
    <row r="214" ht="22.5" customHeight="1">
      <c r="A214" s="48" t="s">
        <v>387</v>
      </c>
      <c r="B214" s="43" t="s">
        <v>27</v>
      </c>
      <c r="C214" s="43" t="s">
        <v>9</v>
      </c>
      <c r="D214" s="43">
        <v>80.0</v>
      </c>
      <c r="E214" s="44">
        <v>230.0</v>
      </c>
      <c r="F214" s="45">
        <v>3010.0</v>
      </c>
      <c r="G214" s="45">
        <v>26.5</v>
      </c>
      <c r="H214" s="45">
        <f t="shared" si="1"/>
        <v>692.3</v>
      </c>
      <c r="I214" s="45">
        <f t="shared" si="2"/>
        <v>18345.95</v>
      </c>
      <c r="J214" s="49"/>
    </row>
    <row r="215" ht="22.5" customHeight="1">
      <c r="A215" s="48" t="s">
        <v>387</v>
      </c>
      <c r="B215" s="43" t="s">
        <v>27</v>
      </c>
      <c r="C215" s="43" t="s">
        <v>43</v>
      </c>
      <c r="D215" s="43">
        <v>50.0</v>
      </c>
      <c r="E215" s="44">
        <v>125.0</v>
      </c>
      <c r="F215" s="45">
        <v>6680.0</v>
      </c>
      <c r="G215" s="45">
        <v>34.7</v>
      </c>
      <c r="H215" s="45">
        <f t="shared" si="1"/>
        <v>835</v>
      </c>
      <c r="I215" s="45">
        <f t="shared" si="2"/>
        <v>28974.5</v>
      </c>
      <c r="J215" s="49"/>
    </row>
    <row r="216" ht="22.5" customHeight="1">
      <c r="A216" s="48" t="s">
        <v>395</v>
      </c>
      <c r="B216" s="43" t="s">
        <v>21</v>
      </c>
      <c r="C216" s="43" t="s">
        <v>77</v>
      </c>
      <c r="D216" s="43">
        <v>230.0</v>
      </c>
      <c r="E216" s="44">
        <v>200.0</v>
      </c>
      <c r="F216" s="45">
        <v>9800.0</v>
      </c>
      <c r="G216" s="45">
        <v>53.5</v>
      </c>
      <c r="H216" s="45">
        <f t="shared" si="1"/>
        <v>1960</v>
      </c>
      <c r="I216" s="45">
        <f t="shared" si="2"/>
        <v>104860</v>
      </c>
      <c r="J216" s="49"/>
    </row>
    <row r="217" ht="22.5" customHeight="1">
      <c r="A217" s="48" t="s">
        <v>398</v>
      </c>
      <c r="B217" s="43" t="s">
        <v>21</v>
      </c>
      <c r="C217" s="43" t="s">
        <v>9</v>
      </c>
      <c r="D217" s="43">
        <v>80.0</v>
      </c>
      <c r="E217" s="44">
        <v>230.0</v>
      </c>
      <c r="F217" s="45">
        <v>40020.0</v>
      </c>
      <c r="G217" s="45">
        <v>28.5</v>
      </c>
      <c r="H217" s="45">
        <f t="shared" si="1"/>
        <v>9204.6</v>
      </c>
      <c r="I217" s="45">
        <f t="shared" si="2"/>
        <v>262331.1</v>
      </c>
      <c r="J217" s="49"/>
    </row>
    <row r="218" ht="22.5" customHeight="1">
      <c r="A218" s="48" t="s">
        <v>400</v>
      </c>
      <c r="B218" s="43" t="s">
        <v>21</v>
      </c>
      <c r="C218" s="43" t="s">
        <v>9</v>
      </c>
      <c r="D218" s="43">
        <v>80.0</v>
      </c>
      <c r="E218" s="44">
        <v>290.0</v>
      </c>
      <c r="F218" s="45">
        <v>8030.0</v>
      </c>
      <c r="G218" s="45">
        <v>28.5</v>
      </c>
      <c r="H218" s="45">
        <f t="shared" si="1"/>
        <v>2328.7</v>
      </c>
      <c r="I218" s="45">
        <f t="shared" si="2"/>
        <v>66367.95</v>
      </c>
      <c r="J218" s="49"/>
    </row>
    <row r="219" ht="22.5" customHeight="1">
      <c r="A219" s="48" t="s">
        <v>400</v>
      </c>
      <c r="B219" s="43" t="s">
        <v>21</v>
      </c>
      <c r="C219" s="43" t="s">
        <v>9</v>
      </c>
      <c r="D219" s="43">
        <v>80.0</v>
      </c>
      <c r="E219" s="44">
        <v>330.0</v>
      </c>
      <c r="F219" s="45">
        <v>3980.0</v>
      </c>
      <c r="G219" s="45">
        <v>28.5</v>
      </c>
      <c r="H219" s="45">
        <f t="shared" si="1"/>
        <v>1313.4</v>
      </c>
      <c r="I219" s="45">
        <f t="shared" si="2"/>
        <v>37431.9</v>
      </c>
      <c r="J219" s="49"/>
    </row>
    <row r="220" ht="22.5" customHeight="1">
      <c r="A220" s="48" t="s">
        <v>400</v>
      </c>
      <c r="B220" s="43" t="s">
        <v>21</v>
      </c>
      <c r="C220" s="43" t="s">
        <v>9</v>
      </c>
      <c r="D220" s="43">
        <v>80.0</v>
      </c>
      <c r="E220" s="44">
        <v>125.0</v>
      </c>
      <c r="F220" s="45">
        <v>3980.0</v>
      </c>
      <c r="G220" s="45">
        <v>28.5</v>
      </c>
      <c r="H220" s="45">
        <f t="shared" si="1"/>
        <v>497.5</v>
      </c>
      <c r="I220" s="45">
        <f t="shared" si="2"/>
        <v>14178.75</v>
      </c>
      <c r="J220" s="49"/>
    </row>
    <row r="221" ht="22.5" customHeight="1">
      <c r="A221" s="48" t="s">
        <v>400</v>
      </c>
      <c r="B221" s="43" t="s">
        <v>27</v>
      </c>
      <c r="C221" s="43" t="s">
        <v>9</v>
      </c>
      <c r="D221" s="43">
        <v>80.0</v>
      </c>
      <c r="E221" s="44">
        <v>140.0</v>
      </c>
      <c r="F221" s="45">
        <v>10200.0</v>
      </c>
      <c r="G221" s="45">
        <v>26.5</v>
      </c>
      <c r="H221" s="45">
        <f t="shared" si="1"/>
        <v>1428</v>
      </c>
      <c r="I221" s="45">
        <f t="shared" si="2"/>
        <v>37842</v>
      </c>
      <c r="J221" s="49"/>
    </row>
    <row r="222" ht="22.5" customHeight="1">
      <c r="A222" s="48" t="s">
        <v>400</v>
      </c>
      <c r="B222" s="43" t="s">
        <v>27</v>
      </c>
      <c r="C222" s="43" t="s">
        <v>9</v>
      </c>
      <c r="D222" s="43">
        <v>80.0</v>
      </c>
      <c r="E222" s="44">
        <v>160.0</v>
      </c>
      <c r="F222" s="45">
        <v>10460.0</v>
      </c>
      <c r="G222" s="45">
        <v>26.5</v>
      </c>
      <c r="H222" s="45">
        <f t="shared" si="1"/>
        <v>1673.6</v>
      </c>
      <c r="I222" s="45">
        <f t="shared" si="2"/>
        <v>44350.4</v>
      </c>
      <c r="J222" s="49"/>
    </row>
    <row r="223" ht="22.5" customHeight="1">
      <c r="A223" s="48" t="s">
        <v>400</v>
      </c>
      <c r="B223" s="43" t="s">
        <v>27</v>
      </c>
      <c r="C223" s="43" t="s">
        <v>9</v>
      </c>
      <c r="D223" s="43">
        <v>80.0</v>
      </c>
      <c r="E223" s="44">
        <v>230.0</v>
      </c>
      <c r="F223" s="45">
        <v>5990.0</v>
      </c>
      <c r="G223" s="45">
        <v>26.5</v>
      </c>
      <c r="H223" s="45">
        <f t="shared" si="1"/>
        <v>1377.7</v>
      </c>
      <c r="I223" s="45">
        <f t="shared" si="2"/>
        <v>36509.05</v>
      </c>
      <c r="J223" s="49"/>
    </row>
    <row r="224" ht="22.5" customHeight="1">
      <c r="A224" s="48" t="s">
        <v>400</v>
      </c>
      <c r="B224" s="43" t="s">
        <v>27</v>
      </c>
      <c r="C224" s="43" t="s">
        <v>9</v>
      </c>
      <c r="D224" s="43">
        <v>80.0</v>
      </c>
      <c r="E224" s="44">
        <v>260.0</v>
      </c>
      <c r="F224" s="45">
        <v>5970.0</v>
      </c>
      <c r="G224" s="45">
        <v>26.5</v>
      </c>
      <c r="H224" s="45">
        <f t="shared" si="1"/>
        <v>1552.2</v>
      </c>
      <c r="I224" s="45">
        <f t="shared" si="2"/>
        <v>41133.3</v>
      </c>
      <c r="J224" s="49"/>
    </row>
    <row r="225" ht="22.5" customHeight="1">
      <c r="A225" s="48" t="s">
        <v>400</v>
      </c>
      <c r="B225" s="43" t="s">
        <v>27</v>
      </c>
      <c r="C225" s="43" t="s">
        <v>9</v>
      </c>
      <c r="D225" s="43">
        <v>80.0</v>
      </c>
      <c r="E225" s="44">
        <v>220.0</v>
      </c>
      <c r="F225" s="45">
        <v>4450.0</v>
      </c>
      <c r="G225" s="45">
        <v>26.5</v>
      </c>
      <c r="H225" s="45">
        <f t="shared" si="1"/>
        <v>979</v>
      </c>
      <c r="I225" s="45">
        <f t="shared" si="2"/>
        <v>25943.5</v>
      </c>
      <c r="J225" s="49"/>
    </row>
    <row r="226" ht="22.5" customHeight="1">
      <c r="A226" s="48" t="s">
        <v>411</v>
      </c>
      <c r="B226" s="43" t="s">
        <v>21</v>
      </c>
      <c r="C226" s="43" t="s">
        <v>9</v>
      </c>
      <c r="D226" s="43">
        <v>80.0</v>
      </c>
      <c r="E226" s="44">
        <v>125.0</v>
      </c>
      <c r="F226" s="45">
        <v>9950.0</v>
      </c>
      <c r="G226" s="45">
        <v>28.5</v>
      </c>
      <c r="H226" s="45">
        <f t="shared" si="1"/>
        <v>1243.75</v>
      </c>
      <c r="I226" s="45">
        <f t="shared" si="2"/>
        <v>35446.875</v>
      </c>
      <c r="J226" s="49"/>
    </row>
    <row r="227" ht="22.5" customHeight="1">
      <c r="A227" s="48" t="s">
        <v>411</v>
      </c>
      <c r="B227" s="43" t="s">
        <v>21</v>
      </c>
      <c r="C227" s="43" t="s">
        <v>9</v>
      </c>
      <c r="D227" s="43">
        <v>80.0</v>
      </c>
      <c r="E227" s="44">
        <v>150.0</v>
      </c>
      <c r="F227" s="45">
        <v>5970.0</v>
      </c>
      <c r="G227" s="45">
        <v>28.5</v>
      </c>
      <c r="H227" s="45">
        <f t="shared" si="1"/>
        <v>895.5</v>
      </c>
      <c r="I227" s="45">
        <f t="shared" si="2"/>
        <v>25521.75</v>
      </c>
      <c r="J227" s="49"/>
    </row>
    <row r="228" ht="22.5" customHeight="1">
      <c r="A228" s="48" t="s">
        <v>411</v>
      </c>
      <c r="B228" s="43" t="s">
        <v>21</v>
      </c>
      <c r="C228" s="43" t="s">
        <v>9</v>
      </c>
      <c r="D228" s="43">
        <v>80.0</v>
      </c>
      <c r="E228" s="44">
        <v>180.0</v>
      </c>
      <c r="F228" s="45">
        <v>7970.0</v>
      </c>
      <c r="G228" s="45">
        <v>28.5</v>
      </c>
      <c r="H228" s="45">
        <f t="shared" si="1"/>
        <v>1434.6</v>
      </c>
      <c r="I228" s="45">
        <f t="shared" si="2"/>
        <v>40886.1</v>
      </c>
      <c r="J228" s="49"/>
    </row>
    <row r="229" ht="22.5" customHeight="1">
      <c r="A229" s="48" t="s">
        <v>411</v>
      </c>
      <c r="B229" s="43" t="s">
        <v>21</v>
      </c>
      <c r="C229" s="43" t="s">
        <v>9</v>
      </c>
      <c r="D229" s="43">
        <v>80.0</v>
      </c>
      <c r="E229" s="44">
        <v>250.0</v>
      </c>
      <c r="F229" s="45">
        <v>9980.0</v>
      </c>
      <c r="G229" s="45">
        <v>28.5</v>
      </c>
      <c r="H229" s="45">
        <f t="shared" si="1"/>
        <v>2495</v>
      </c>
      <c r="I229" s="45">
        <f t="shared" si="2"/>
        <v>71107.5</v>
      </c>
      <c r="J229" s="49"/>
    </row>
    <row r="230" ht="22.5" customHeight="1">
      <c r="A230" s="48" t="s">
        <v>411</v>
      </c>
      <c r="B230" s="43" t="s">
        <v>21</v>
      </c>
      <c r="C230" s="43" t="s">
        <v>9</v>
      </c>
      <c r="D230" s="43">
        <v>80.0</v>
      </c>
      <c r="E230" s="44">
        <v>280.0</v>
      </c>
      <c r="F230" s="45">
        <v>6000.0</v>
      </c>
      <c r="G230" s="45">
        <v>28.5</v>
      </c>
      <c r="H230" s="45">
        <f t="shared" si="1"/>
        <v>1680</v>
      </c>
      <c r="I230" s="45">
        <f t="shared" si="2"/>
        <v>47880</v>
      </c>
      <c r="J230" s="49"/>
    </row>
    <row r="231" ht="22.5" customHeight="1">
      <c r="A231" s="48" t="s">
        <v>411</v>
      </c>
      <c r="B231" s="43" t="s">
        <v>21</v>
      </c>
      <c r="C231" s="43" t="s">
        <v>9</v>
      </c>
      <c r="D231" s="43">
        <v>80.0</v>
      </c>
      <c r="E231" s="44">
        <v>290.0</v>
      </c>
      <c r="F231" s="45">
        <v>30070.0</v>
      </c>
      <c r="G231" s="45">
        <v>28.5</v>
      </c>
      <c r="H231" s="45">
        <f t="shared" si="1"/>
        <v>8720.3</v>
      </c>
      <c r="I231" s="45">
        <f t="shared" si="2"/>
        <v>248528.55</v>
      </c>
      <c r="J231" s="49"/>
    </row>
    <row r="232" ht="22.5" customHeight="1">
      <c r="A232" s="48" t="s">
        <v>411</v>
      </c>
      <c r="B232" s="43" t="s">
        <v>21</v>
      </c>
      <c r="C232" s="43" t="s">
        <v>9</v>
      </c>
      <c r="D232" s="43">
        <v>80.0</v>
      </c>
      <c r="E232" s="44">
        <v>330.0</v>
      </c>
      <c r="F232" s="45">
        <v>6000.0</v>
      </c>
      <c r="G232" s="45">
        <v>28.5</v>
      </c>
      <c r="H232" s="45">
        <f t="shared" si="1"/>
        <v>1980</v>
      </c>
      <c r="I232" s="45">
        <f t="shared" si="2"/>
        <v>56430</v>
      </c>
      <c r="J232" s="49"/>
    </row>
    <row r="233" ht="22.5" customHeight="1">
      <c r="A233" s="48" t="s">
        <v>411</v>
      </c>
      <c r="B233" s="43" t="s">
        <v>21</v>
      </c>
      <c r="C233" s="43" t="s">
        <v>9</v>
      </c>
      <c r="D233" s="43">
        <v>80.0</v>
      </c>
      <c r="E233" s="44">
        <v>395.0</v>
      </c>
      <c r="F233" s="45">
        <v>1950.0</v>
      </c>
      <c r="G233" s="45">
        <v>28.5</v>
      </c>
      <c r="H233" s="45">
        <f t="shared" si="1"/>
        <v>770.25</v>
      </c>
      <c r="I233" s="45">
        <f t="shared" si="2"/>
        <v>21952.125</v>
      </c>
      <c r="J233" s="49"/>
    </row>
    <row r="234" ht="22.5" customHeight="1">
      <c r="A234" s="47">
        <v>46083.0</v>
      </c>
      <c r="B234" s="43" t="s">
        <v>21</v>
      </c>
      <c r="C234" s="43" t="s">
        <v>9</v>
      </c>
      <c r="D234" s="43">
        <v>80.0</v>
      </c>
      <c r="E234" s="44">
        <v>230.0</v>
      </c>
      <c r="F234" s="45">
        <v>26005.0</v>
      </c>
      <c r="G234" s="45">
        <v>28.5</v>
      </c>
      <c r="H234" s="45">
        <f t="shared" si="1"/>
        <v>5981.15</v>
      </c>
      <c r="I234" s="45">
        <f t="shared" si="2"/>
        <v>170462.775</v>
      </c>
      <c r="J234" s="49"/>
    </row>
    <row r="235" ht="22.5" customHeight="1">
      <c r="A235" s="47">
        <v>46267.0</v>
      </c>
      <c r="B235" s="43" t="s">
        <v>23</v>
      </c>
      <c r="C235" s="43" t="s">
        <v>26</v>
      </c>
      <c r="D235" s="43">
        <v>80.0</v>
      </c>
      <c r="E235" s="44">
        <v>143.0</v>
      </c>
      <c r="F235" s="45">
        <v>1280.0</v>
      </c>
      <c r="G235" s="45">
        <v>25.0</v>
      </c>
      <c r="H235" s="45">
        <f t="shared" si="1"/>
        <v>183.04</v>
      </c>
      <c r="I235" s="45">
        <f t="shared" si="2"/>
        <v>4576</v>
      </c>
      <c r="J235" s="49"/>
    </row>
    <row r="236" ht="22.5" customHeight="1">
      <c r="A236" s="47">
        <v>46267.0</v>
      </c>
      <c r="B236" s="43" t="s">
        <v>23</v>
      </c>
      <c r="C236" s="43" t="s">
        <v>26</v>
      </c>
      <c r="D236" s="43">
        <v>80.0</v>
      </c>
      <c r="E236" s="44">
        <v>143.0</v>
      </c>
      <c r="F236" s="45">
        <v>1040.0</v>
      </c>
      <c r="G236" s="45">
        <v>25.0</v>
      </c>
      <c r="H236" s="45">
        <f t="shared" si="1"/>
        <v>148.72</v>
      </c>
      <c r="I236" s="45">
        <f t="shared" si="2"/>
        <v>3718</v>
      </c>
      <c r="J236" s="49"/>
    </row>
    <row r="237" ht="22.5" customHeight="1">
      <c r="A237" s="47">
        <v>46267.0</v>
      </c>
      <c r="B237" s="43" t="s">
        <v>23</v>
      </c>
      <c r="C237" s="43" t="s">
        <v>26</v>
      </c>
      <c r="D237" s="43">
        <v>80.0</v>
      </c>
      <c r="E237" s="44">
        <v>142.0</v>
      </c>
      <c r="F237" s="45">
        <v>1050.0</v>
      </c>
      <c r="G237" s="45">
        <v>25.0</v>
      </c>
      <c r="H237" s="45">
        <f t="shared" si="1"/>
        <v>149.1</v>
      </c>
      <c r="I237" s="45">
        <f t="shared" si="2"/>
        <v>3727.5</v>
      </c>
      <c r="J237" s="49"/>
    </row>
    <row r="238" ht="22.5" customHeight="1">
      <c r="A238" s="47">
        <v>46267.0</v>
      </c>
      <c r="B238" s="43" t="s">
        <v>27</v>
      </c>
      <c r="C238" s="43" t="s">
        <v>9</v>
      </c>
      <c r="D238" s="43">
        <v>80.0</v>
      </c>
      <c r="E238" s="44">
        <v>140.0</v>
      </c>
      <c r="F238" s="45">
        <v>5400.0</v>
      </c>
      <c r="G238" s="45">
        <v>26.5</v>
      </c>
      <c r="H238" s="45">
        <f t="shared" si="1"/>
        <v>756</v>
      </c>
      <c r="I238" s="45">
        <f t="shared" si="2"/>
        <v>20034</v>
      </c>
      <c r="J238" s="49"/>
    </row>
    <row r="239" ht="22.5" customHeight="1">
      <c r="A239" s="47">
        <v>46267.0</v>
      </c>
      <c r="B239" s="43" t="s">
        <v>27</v>
      </c>
      <c r="C239" s="43" t="s">
        <v>9</v>
      </c>
      <c r="D239" s="43">
        <v>80.0</v>
      </c>
      <c r="E239" s="44">
        <v>160.0</v>
      </c>
      <c r="F239" s="45">
        <v>8000.0</v>
      </c>
      <c r="G239" s="45">
        <v>26.5</v>
      </c>
      <c r="H239" s="45">
        <f t="shared" si="1"/>
        <v>1280</v>
      </c>
      <c r="I239" s="45">
        <f t="shared" si="2"/>
        <v>33920</v>
      </c>
      <c r="J239" s="49"/>
    </row>
    <row r="240" ht="22.5" customHeight="1">
      <c r="A240" s="47">
        <v>46267.0</v>
      </c>
      <c r="B240" s="43" t="s">
        <v>27</v>
      </c>
      <c r="C240" s="43" t="s">
        <v>9</v>
      </c>
      <c r="D240" s="43">
        <v>80.0</v>
      </c>
      <c r="E240" s="44">
        <v>220.0</v>
      </c>
      <c r="F240" s="45">
        <v>4000.0</v>
      </c>
      <c r="G240" s="45">
        <v>26.5</v>
      </c>
      <c r="H240" s="45">
        <f t="shared" si="1"/>
        <v>880</v>
      </c>
      <c r="I240" s="45">
        <f t="shared" si="2"/>
        <v>23320</v>
      </c>
      <c r="J240" s="49"/>
    </row>
    <row r="241" ht="22.5" customHeight="1">
      <c r="A241" s="47">
        <v>46267.0</v>
      </c>
      <c r="B241" s="43" t="s">
        <v>27</v>
      </c>
      <c r="C241" s="43" t="s">
        <v>9</v>
      </c>
      <c r="D241" s="43">
        <v>80.0</v>
      </c>
      <c r="E241" s="44">
        <v>185.0</v>
      </c>
      <c r="F241" s="45">
        <v>4000.0</v>
      </c>
      <c r="G241" s="45">
        <v>26.5</v>
      </c>
      <c r="H241" s="45">
        <f t="shared" si="1"/>
        <v>740</v>
      </c>
      <c r="I241" s="45">
        <f t="shared" si="2"/>
        <v>19610</v>
      </c>
      <c r="J241" s="49"/>
    </row>
    <row r="242" ht="22.5" customHeight="1">
      <c r="A242" s="48" t="s">
        <v>428</v>
      </c>
      <c r="B242" s="43" t="s">
        <v>21</v>
      </c>
      <c r="C242" s="43" t="s">
        <v>9</v>
      </c>
      <c r="D242" s="43">
        <v>80.0</v>
      </c>
      <c r="E242" s="44">
        <v>125.0</v>
      </c>
      <c r="F242" s="45">
        <v>6000.0</v>
      </c>
      <c r="G242" s="45">
        <v>28.5</v>
      </c>
      <c r="H242" s="45">
        <f t="shared" si="1"/>
        <v>750</v>
      </c>
      <c r="I242" s="45">
        <f t="shared" si="2"/>
        <v>21375</v>
      </c>
      <c r="J242" s="49"/>
    </row>
    <row r="243" ht="22.5" customHeight="1">
      <c r="A243" s="48" t="s">
        <v>428</v>
      </c>
      <c r="B243" s="43" t="s">
        <v>21</v>
      </c>
      <c r="C243" s="43" t="s">
        <v>9</v>
      </c>
      <c r="D243" s="43">
        <v>80.0</v>
      </c>
      <c r="E243" s="44">
        <v>210.0</v>
      </c>
      <c r="F243" s="45">
        <v>6080.0</v>
      </c>
      <c r="G243" s="45">
        <v>28.5</v>
      </c>
      <c r="H243" s="45">
        <f t="shared" si="1"/>
        <v>1276.8</v>
      </c>
      <c r="I243" s="45">
        <f t="shared" si="2"/>
        <v>36388.8</v>
      </c>
      <c r="J243" s="49"/>
    </row>
    <row r="244" ht="22.5" customHeight="1">
      <c r="A244" s="48" t="s">
        <v>428</v>
      </c>
      <c r="B244" s="43" t="s">
        <v>21</v>
      </c>
      <c r="C244" s="43" t="s">
        <v>9</v>
      </c>
      <c r="D244" s="43">
        <v>80.0</v>
      </c>
      <c r="E244" s="44">
        <v>290.0</v>
      </c>
      <c r="F244" s="45">
        <v>14000.0</v>
      </c>
      <c r="G244" s="45">
        <v>28.5</v>
      </c>
      <c r="H244" s="45">
        <f t="shared" si="1"/>
        <v>4060</v>
      </c>
      <c r="I244" s="45">
        <f t="shared" si="2"/>
        <v>115710</v>
      </c>
      <c r="J244" s="49"/>
    </row>
    <row r="245" ht="22.5" customHeight="1">
      <c r="A245" s="48" t="s">
        <v>428</v>
      </c>
      <c r="B245" s="43" t="s">
        <v>21</v>
      </c>
      <c r="C245" s="43" t="s">
        <v>9</v>
      </c>
      <c r="D245" s="43">
        <v>80.0</v>
      </c>
      <c r="E245" s="44">
        <v>320.0</v>
      </c>
      <c r="F245" s="45">
        <v>2000.0</v>
      </c>
      <c r="G245" s="45">
        <v>28.5</v>
      </c>
      <c r="H245" s="45">
        <f t="shared" si="1"/>
        <v>640</v>
      </c>
      <c r="I245" s="45">
        <f t="shared" si="2"/>
        <v>18240</v>
      </c>
      <c r="J245" s="49"/>
    </row>
    <row r="246" ht="22.5" customHeight="1">
      <c r="A246" s="48" t="s">
        <v>428</v>
      </c>
      <c r="B246" s="43" t="s">
        <v>21</v>
      </c>
      <c r="C246" s="43" t="s">
        <v>9</v>
      </c>
      <c r="D246" s="43">
        <v>80.0</v>
      </c>
      <c r="E246" s="44">
        <v>150.0</v>
      </c>
      <c r="F246" s="45">
        <v>4000.0</v>
      </c>
      <c r="G246" s="45">
        <v>28.5</v>
      </c>
      <c r="H246" s="45">
        <f t="shared" si="1"/>
        <v>600</v>
      </c>
      <c r="I246" s="45">
        <f t="shared" si="2"/>
        <v>17100</v>
      </c>
      <c r="J246" s="49"/>
    </row>
    <row r="247" ht="22.5" customHeight="1">
      <c r="A247" s="48" t="s">
        <v>428</v>
      </c>
      <c r="B247" s="43" t="s">
        <v>21</v>
      </c>
      <c r="C247" s="43" t="s">
        <v>9</v>
      </c>
      <c r="D247" s="43">
        <v>80.0</v>
      </c>
      <c r="E247" s="44">
        <v>170.0</v>
      </c>
      <c r="F247" s="45">
        <v>4000.0</v>
      </c>
      <c r="G247" s="45">
        <v>28.5</v>
      </c>
      <c r="H247" s="45">
        <f t="shared" si="1"/>
        <v>680</v>
      </c>
      <c r="I247" s="45">
        <f t="shared" si="2"/>
        <v>19380</v>
      </c>
      <c r="J247" s="49"/>
    </row>
    <row r="248" ht="22.5" customHeight="1">
      <c r="A248" s="48" t="s">
        <v>435</v>
      </c>
      <c r="B248" s="43" t="s">
        <v>27</v>
      </c>
      <c r="C248" s="43" t="s">
        <v>9</v>
      </c>
      <c r="D248" s="43">
        <v>80.0</v>
      </c>
      <c r="E248" s="44">
        <v>160.0</v>
      </c>
      <c r="F248" s="45">
        <v>15800.0</v>
      </c>
      <c r="G248" s="45">
        <v>26.5</v>
      </c>
      <c r="H248" s="45">
        <f t="shared" si="1"/>
        <v>2528</v>
      </c>
      <c r="I248" s="45">
        <f t="shared" si="2"/>
        <v>66992</v>
      </c>
      <c r="J248" s="49"/>
    </row>
    <row r="249" ht="22.5" customHeight="1">
      <c r="A249" s="48" t="s">
        <v>435</v>
      </c>
      <c r="B249" s="43" t="s">
        <v>27</v>
      </c>
      <c r="C249" s="43" t="s">
        <v>9</v>
      </c>
      <c r="D249" s="43">
        <v>80.0</v>
      </c>
      <c r="E249" s="44">
        <v>260.0</v>
      </c>
      <c r="F249" s="45">
        <v>5000.0</v>
      </c>
      <c r="G249" s="45">
        <v>26.5</v>
      </c>
      <c r="H249" s="45">
        <f t="shared" si="1"/>
        <v>1300</v>
      </c>
      <c r="I249" s="45">
        <f t="shared" si="2"/>
        <v>34450</v>
      </c>
      <c r="J249" s="49"/>
    </row>
    <row r="250" ht="22.5" customHeight="1">
      <c r="A250" s="48" t="s">
        <v>435</v>
      </c>
      <c r="B250" s="43" t="s">
        <v>27</v>
      </c>
      <c r="C250" s="43" t="s">
        <v>9</v>
      </c>
      <c r="D250" s="43">
        <v>80.0</v>
      </c>
      <c r="E250" s="44">
        <v>185.0</v>
      </c>
      <c r="F250" s="45">
        <v>4790.0</v>
      </c>
      <c r="G250" s="45">
        <v>26.5</v>
      </c>
      <c r="H250" s="45">
        <f t="shared" si="1"/>
        <v>886.15</v>
      </c>
      <c r="I250" s="45">
        <f t="shared" si="2"/>
        <v>23482.975</v>
      </c>
      <c r="J250" s="49"/>
    </row>
    <row r="251" ht="22.5" customHeight="1">
      <c r="A251" s="48" t="s">
        <v>435</v>
      </c>
      <c r="B251" s="43" t="s">
        <v>27</v>
      </c>
      <c r="C251" s="43" t="s">
        <v>9</v>
      </c>
      <c r="D251" s="43">
        <v>80.0</v>
      </c>
      <c r="E251" s="44">
        <v>195.0</v>
      </c>
      <c r="F251" s="45">
        <v>5000.0</v>
      </c>
      <c r="G251" s="45">
        <v>26.5</v>
      </c>
      <c r="H251" s="45">
        <f t="shared" si="1"/>
        <v>975</v>
      </c>
      <c r="I251" s="45">
        <f t="shared" si="2"/>
        <v>25837.5</v>
      </c>
      <c r="J251" s="49"/>
    </row>
    <row r="252" ht="22.5" customHeight="1">
      <c r="A252" s="48" t="s">
        <v>439</v>
      </c>
      <c r="B252" s="43" t="s">
        <v>27</v>
      </c>
      <c r="C252" s="43" t="s">
        <v>9</v>
      </c>
      <c r="D252" s="43">
        <v>80.0</v>
      </c>
      <c r="E252" s="44">
        <v>210.0</v>
      </c>
      <c r="F252" s="45">
        <v>5980.0</v>
      </c>
      <c r="G252" s="45">
        <v>26.5</v>
      </c>
      <c r="H252" s="45">
        <f t="shared" si="1"/>
        <v>1255.8</v>
      </c>
      <c r="I252" s="45">
        <f t="shared" si="2"/>
        <v>33278.7</v>
      </c>
      <c r="J252" s="49"/>
    </row>
    <row r="253" ht="22.5" customHeight="1">
      <c r="A253" s="48" t="s">
        <v>439</v>
      </c>
      <c r="B253" s="43" t="s">
        <v>27</v>
      </c>
      <c r="C253" s="43" t="s">
        <v>43</v>
      </c>
      <c r="D253" s="43">
        <v>50.0</v>
      </c>
      <c r="E253" s="44">
        <v>125.0</v>
      </c>
      <c r="F253" s="45">
        <v>8120.0</v>
      </c>
      <c r="G253" s="45">
        <v>34.7</v>
      </c>
      <c r="H253" s="45">
        <f t="shared" si="1"/>
        <v>1015</v>
      </c>
      <c r="I253" s="45">
        <f t="shared" si="2"/>
        <v>35220.5</v>
      </c>
      <c r="J253" s="49"/>
    </row>
    <row r="254" ht="22.5" customHeight="1">
      <c r="A254" s="48" t="s">
        <v>442</v>
      </c>
      <c r="B254" s="43" t="s">
        <v>27</v>
      </c>
      <c r="C254" s="43" t="s">
        <v>26</v>
      </c>
      <c r="D254" s="43">
        <v>80.0</v>
      </c>
      <c r="E254" s="44">
        <v>210.0</v>
      </c>
      <c r="F254" s="45">
        <v>5100.0</v>
      </c>
      <c r="G254" s="45">
        <v>34.0</v>
      </c>
      <c r="H254" s="45">
        <f t="shared" si="1"/>
        <v>1071</v>
      </c>
      <c r="I254" s="45">
        <f t="shared" si="2"/>
        <v>36414</v>
      </c>
      <c r="J254" s="49"/>
    </row>
    <row r="255" ht="22.5" customHeight="1">
      <c r="A255" s="48" t="s">
        <v>442</v>
      </c>
      <c r="B255" s="43" t="s">
        <v>27</v>
      </c>
      <c r="C255" s="43" t="s">
        <v>26</v>
      </c>
      <c r="D255" s="43">
        <v>80.0</v>
      </c>
      <c r="E255" s="44">
        <v>140.0</v>
      </c>
      <c r="F255" s="45">
        <v>1000.0</v>
      </c>
      <c r="G255" s="45">
        <v>34.0</v>
      </c>
      <c r="H255" s="45">
        <f t="shared" si="1"/>
        <v>140</v>
      </c>
      <c r="I255" s="45">
        <f t="shared" si="2"/>
        <v>4760</v>
      </c>
      <c r="J255" s="49"/>
    </row>
    <row r="256" ht="22.5" customHeight="1">
      <c r="A256" s="48" t="s">
        <v>445</v>
      </c>
      <c r="B256" s="43" t="s">
        <v>21</v>
      </c>
      <c r="C256" s="43" t="s">
        <v>9</v>
      </c>
      <c r="D256" s="43">
        <v>80.0</v>
      </c>
      <c r="E256" s="44">
        <v>125.0</v>
      </c>
      <c r="F256" s="45">
        <v>10000.0</v>
      </c>
      <c r="G256" s="45">
        <v>28.5</v>
      </c>
      <c r="H256" s="45">
        <f t="shared" si="1"/>
        <v>1250</v>
      </c>
      <c r="I256" s="45">
        <f t="shared" si="2"/>
        <v>35625</v>
      </c>
      <c r="J256" s="49"/>
    </row>
    <row r="257" ht="22.5" customHeight="1">
      <c r="A257" s="48" t="s">
        <v>445</v>
      </c>
      <c r="B257" s="43" t="s">
        <v>21</v>
      </c>
      <c r="C257" s="43" t="s">
        <v>9</v>
      </c>
      <c r="D257" s="43">
        <v>80.0</v>
      </c>
      <c r="E257" s="44">
        <v>180.0</v>
      </c>
      <c r="F257" s="45">
        <v>21945.0</v>
      </c>
      <c r="G257" s="45">
        <v>28.5</v>
      </c>
      <c r="H257" s="45">
        <f t="shared" si="1"/>
        <v>3950.1</v>
      </c>
      <c r="I257" s="45">
        <f t="shared" si="2"/>
        <v>112577.85</v>
      </c>
      <c r="J257" s="49"/>
    </row>
    <row r="258" ht="22.5" customHeight="1">
      <c r="A258" s="48" t="s">
        <v>445</v>
      </c>
      <c r="B258" s="43" t="s">
        <v>21</v>
      </c>
      <c r="C258" s="43" t="s">
        <v>9</v>
      </c>
      <c r="D258" s="43">
        <v>80.0</v>
      </c>
      <c r="E258" s="44">
        <v>210.0</v>
      </c>
      <c r="F258" s="45">
        <v>8150.0</v>
      </c>
      <c r="G258" s="45">
        <v>28.5</v>
      </c>
      <c r="H258" s="45">
        <f t="shared" si="1"/>
        <v>1711.5</v>
      </c>
      <c r="I258" s="45">
        <f t="shared" si="2"/>
        <v>48777.75</v>
      </c>
      <c r="J258" s="49"/>
    </row>
    <row r="259" ht="22.5" customHeight="1">
      <c r="A259" s="48" t="s">
        <v>445</v>
      </c>
      <c r="B259" s="43" t="s">
        <v>21</v>
      </c>
      <c r="C259" s="43" t="s">
        <v>9</v>
      </c>
      <c r="D259" s="43">
        <v>80.0</v>
      </c>
      <c r="E259" s="44">
        <v>300.0</v>
      </c>
      <c r="F259" s="45">
        <v>14005.0</v>
      </c>
      <c r="G259" s="45">
        <v>28.5</v>
      </c>
      <c r="H259" s="45">
        <f t="shared" si="1"/>
        <v>4201.5</v>
      </c>
      <c r="I259" s="45">
        <f t="shared" si="2"/>
        <v>119742.75</v>
      </c>
      <c r="J259" s="49"/>
    </row>
    <row r="260" ht="22.5" customHeight="1">
      <c r="A260" s="48" t="s">
        <v>445</v>
      </c>
      <c r="B260" s="43" t="s">
        <v>33</v>
      </c>
      <c r="C260" s="43" t="s">
        <v>45</v>
      </c>
      <c r="D260" s="43">
        <v>50.0</v>
      </c>
      <c r="E260" s="44">
        <v>335.0</v>
      </c>
      <c r="F260" s="45">
        <v>3051.0</v>
      </c>
      <c r="G260" s="45">
        <v>48.0</v>
      </c>
      <c r="H260" s="45">
        <f t="shared" si="1"/>
        <v>1022.085</v>
      </c>
      <c r="I260" s="45">
        <f t="shared" si="2"/>
        <v>49060.08</v>
      </c>
      <c r="J260" s="49"/>
    </row>
    <row r="261" ht="22.5" customHeight="1">
      <c r="A261" s="48" t="s">
        <v>450</v>
      </c>
      <c r="B261" s="43" t="s">
        <v>23</v>
      </c>
      <c r="C261" s="43" t="s">
        <v>42</v>
      </c>
      <c r="D261" s="43">
        <v>50.0</v>
      </c>
      <c r="E261" s="44">
        <v>330.0</v>
      </c>
      <c r="F261" s="45">
        <v>3000.0</v>
      </c>
      <c r="G261" s="45">
        <v>34.5</v>
      </c>
      <c r="H261" s="45">
        <f t="shared" si="1"/>
        <v>990</v>
      </c>
      <c r="I261" s="45">
        <f t="shared" si="2"/>
        <v>34155</v>
      </c>
      <c r="J261" s="49"/>
    </row>
    <row r="262" ht="22.5" customHeight="1">
      <c r="A262" s="47">
        <v>46145.0</v>
      </c>
      <c r="B262" s="43" t="s">
        <v>78</v>
      </c>
      <c r="C262" s="43" t="s">
        <v>26</v>
      </c>
      <c r="D262" s="43">
        <v>80.0</v>
      </c>
      <c r="E262" s="44">
        <v>150.0</v>
      </c>
      <c r="F262" s="45">
        <v>3020.0</v>
      </c>
      <c r="G262" s="45">
        <v>34.0</v>
      </c>
      <c r="H262" s="45">
        <f t="shared" si="1"/>
        <v>453</v>
      </c>
      <c r="I262" s="45">
        <f t="shared" si="2"/>
        <v>15402</v>
      </c>
      <c r="J262" s="49"/>
    </row>
    <row r="263" ht="22.5" customHeight="1">
      <c r="A263" s="47">
        <v>46145.0</v>
      </c>
      <c r="B263" s="43" t="s">
        <v>78</v>
      </c>
      <c r="C263" s="43" t="s">
        <v>26</v>
      </c>
      <c r="D263" s="43">
        <v>80.0</v>
      </c>
      <c r="E263" s="44">
        <v>165.0</v>
      </c>
      <c r="F263" s="45">
        <v>5910.0</v>
      </c>
      <c r="G263" s="45">
        <v>34.0</v>
      </c>
      <c r="H263" s="45">
        <f t="shared" si="1"/>
        <v>975.15</v>
      </c>
      <c r="I263" s="45">
        <f t="shared" si="2"/>
        <v>33155.1</v>
      </c>
      <c r="J263" s="49"/>
    </row>
    <row r="264" ht="22.5" customHeight="1">
      <c r="A264" s="47">
        <v>46145.0</v>
      </c>
      <c r="B264" s="43" t="s">
        <v>78</v>
      </c>
      <c r="C264" s="43" t="s">
        <v>26</v>
      </c>
      <c r="D264" s="43">
        <v>80.0</v>
      </c>
      <c r="E264" s="44">
        <v>240.0</v>
      </c>
      <c r="F264" s="45">
        <v>1930.0</v>
      </c>
      <c r="G264" s="45">
        <v>34.0</v>
      </c>
      <c r="H264" s="45">
        <f t="shared" si="1"/>
        <v>463.2</v>
      </c>
      <c r="I264" s="45">
        <f t="shared" si="2"/>
        <v>15748.8</v>
      </c>
      <c r="J264" s="49"/>
    </row>
    <row r="265" ht="22.5" customHeight="1">
      <c r="A265" s="47">
        <v>46145.0</v>
      </c>
      <c r="B265" s="43" t="s">
        <v>78</v>
      </c>
      <c r="C265" s="43" t="s">
        <v>26</v>
      </c>
      <c r="D265" s="43">
        <v>80.0</v>
      </c>
      <c r="E265" s="44">
        <v>260.0</v>
      </c>
      <c r="F265" s="45">
        <v>1510.0</v>
      </c>
      <c r="G265" s="45">
        <v>34.0</v>
      </c>
      <c r="H265" s="45">
        <f t="shared" si="1"/>
        <v>392.6</v>
      </c>
      <c r="I265" s="45">
        <f t="shared" si="2"/>
        <v>13348.4</v>
      </c>
      <c r="J265" s="49"/>
    </row>
    <row r="266" ht="22.5" customHeight="1">
      <c r="A266" s="47">
        <v>46145.0</v>
      </c>
      <c r="B266" s="43" t="s">
        <v>78</v>
      </c>
      <c r="C266" s="43" t="s">
        <v>26</v>
      </c>
      <c r="D266" s="43">
        <v>80.0</v>
      </c>
      <c r="E266" s="44">
        <v>280.0</v>
      </c>
      <c r="F266" s="45">
        <v>1510.0</v>
      </c>
      <c r="G266" s="45">
        <v>34.0</v>
      </c>
      <c r="H266" s="45">
        <f t="shared" si="1"/>
        <v>422.8</v>
      </c>
      <c r="I266" s="45">
        <f t="shared" si="2"/>
        <v>14375.2</v>
      </c>
      <c r="J266" s="49"/>
    </row>
    <row r="267" ht="22.5" customHeight="1">
      <c r="A267" s="47">
        <v>46145.0</v>
      </c>
      <c r="B267" s="43" t="s">
        <v>78</v>
      </c>
      <c r="C267" s="43" t="s">
        <v>26</v>
      </c>
      <c r="D267" s="43">
        <v>80.0</v>
      </c>
      <c r="E267" s="44">
        <v>300.0</v>
      </c>
      <c r="F267" s="45">
        <v>2000.0</v>
      </c>
      <c r="G267" s="45">
        <v>34.0</v>
      </c>
      <c r="H267" s="45">
        <f t="shared" si="1"/>
        <v>600</v>
      </c>
      <c r="I267" s="45">
        <f t="shared" si="2"/>
        <v>20400</v>
      </c>
      <c r="J267" s="49"/>
    </row>
    <row r="268" ht="22.5" customHeight="1">
      <c r="A268" s="47">
        <v>46145.0</v>
      </c>
      <c r="B268" s="43" t="s">
        <v>21</v>
      </c>
      <c r="C268" s="43" t="s">
        <v>9</v>
      </c>
      <c r="D268" s="43">
        <v>80.0</v>
      </c>
      <c r="E268" s="44">
        <v>290.0</v>
      </c>
      <c r="F268" s="45">
        <v>8150.0</v>
      </c>
      <c r="G268" s="45">
        <v>28.5</v>
      </c>
      <c r="H268" s="45">
        <f t="shared" si="1"/>
        <v>2363.5</v>
      </c>
      <c r="I268" s="45">
        <f t="shared" si="2"/>
        <v>67359.75</v>
      </c>
      <c r="J268" s="49"/>
    </row>
    <row r="269" ht="22.5" customHeight="1">
      <c r="A269" s="47">
        <v>46145.0</v>
      </c>
      <c r="B269" s="43" t="s">
        <v>21</v>
      </c>
      <c r="C269" s="43" t="s">
        <v>9</v>
      </c>
      <c r="D269" s="43">
        <v>80.0</v>
      </c>
      <c r="E269" s="44">
        <v>230.0</v>
      </c>
      <c r="F269" s="45">
        <v>12110.0</v>
      </c>
      <c r="G269" s="45">
        <v>28.5</v>
      </c>
      <c r="H269" s="45">
        <f t="shared" si="1"/>
        <v>2785.3</v>
      </c>
      <c r="I269" s="45">
        <f t="shared" si="2"/>
        <v>79381.05</v>
      </c>
      <c r="J269" s="49"/>
    </row>
    <row r="270" ht="22.5" customHeight="1">
      <c r="A270" s="47">
        <v>46206.0</v>
      </c>
      <c r="B270" s="43" t="s">
        <v>21</v>
      </c>
      <c r="C270" s="43" t="s">
        <v>9</v>
      </c>
      <c r="D270" s="43">
        <v>80.0</v>
      </c>
      <c r="E270" s="44">
        <v>230.0</v>
      </c>
      <c r="F270" s="45">
        <v>47900.0</v>
      </c>
      <c r="G270" s="45">
        <v>28.5</v>
      </c>
      <c r="H270" s="45">
        <f t="shared" si="1"/>
        <v>11017</v>
      </c>
      <c r="I270" s="45">
        <f t="shared" si="2"/>
        <v>313984.5</v>
      </c>
      <c r="J270" s="49"/>
    </row>
    <row r="271" ht="22.5" customHeight="1">
      <c r="A271" s="47">
        <v>46206.0</v>
      </c>
      <c r="B271" s="43" t="s">
        <v>23</v>
      </c>
      <c r="C271" s="43" t="s">
        <v>43</v>
      </c>
      <c r="D271" s="43">
        <v>50.0</v>
      </c>
      <c r="E271" s="44">
        <v>200.0</v>
      </c>
      <c r="F271" s="45">
        <v>1980.0</v>
      </c>
      <c r="G271" s="45">
        <v>35.0</v>
      </c>
      <c r="H271" s="45">
        <f t="shared" si="1"/>
        <v>396</v>
      </c>
      <c r="I271" s="45">
        <f t="shared" si="2"/>
        <v>13860</v>
      </c>
      <c r="J271" s="49"/>
    </row>
    <row r="272" ht="22.5" customHeight="1">
      <c r="A272" s="47">
        <v>46268.0</v>
      </c>
      <c r="B272" s="43" t="s">
        <v>27</v>
      </c>
      <c r="C272" s="43" t="s">
        <v>9</v>
      </c>
      <c r="D272" s="43">
        <v>80.0</v>
      </c>
      <c r="E272" s="44">
        <v>160.0</v>
      </c>
      <c r="F272" s="45">
        <v>6400.0</v>
      </c>
      <c r="G272" s="45">
        <v>26.5</v>
      </c>
      <c r="H272" s="45">
        <f t="shared" si="1"/>
        <v>1024</v>
      </c>
      <c r="I272" s="45">
        <f t="shared" si="2"/>
        <v>27136</v>
      </c>
      <c r="J272" s="49"/>
    </row>
    <row r="273" ht="22.5" customHeight="1">
      <c r="A273" s="47">
        <v>46268.0</v>
      </c>
      <c r="B273" s="43" t="s">
        <v>27</v>
      </c>
      <c r="C273" s="43" t="s">
        <v>9</v>
      </c>
      <c r="D273" s="43">
        <v>80.0</v>
      </c>
      <c r="E273" s="44">
        <v>140.0</v>
      </c>
      <c r="F273" s="45">
        <v>9410.0</v>
      </c>
      <c r="G273" s="45">
        <v>26.5</v>
      </c>
      <c r="H273" s="45">
        <f t="shared" si="1"/>
        <v>1317.4</v>
      </c>
      <c r="I273" s="45">
        <f t="shared" si="2"/>
        <v>34911.1</v>
      </c>
      <c r="J273" s="49"/>
    </row>
    <row r="274" ht="22.5" customHeight="1">
      <c r="A274" s="47">
        <v>46268.0</v>
      </c>
      <c r="B274" s="43" t="s">
        <v>27</v>
      </c>
      <c r="C274" s="43" t="s">
        <v>48</v>
      </c>
      <c r="D274" s="43">
        <v>120.0</v>
      </c>
      <c r="E274" s="44">
        <v>230.0</v>
      </c>
      <c r="F274" s="45">
        <v>1533.0</v>
      </c>
      <c r="G274" s="45">
        <v>14.5</v>
      </c>
      <c r="H274" s="45">
        <f t="shared" si="1"/>
        <v>352.59</v>
      </c>
      <c r="I274" s="45">
        <f t="shared" si="2"/>
        <v>5112.555</v>
      </c>
      <c r="J274" s="49"/>
    </row>
    <row r="275" ht="22.5" customHeight="1">
      <c r="A275" s="47">
        <v>46298.0</v>
      </c>
      <c r="B275" s="43" t="s">
        <v>78</v>
      </c>
      <c r="C275" s="43" t="s">
        <v>42</v>
      </c>
      <c r="D275" s="43">
        <v>50.0</v>
      </c>
      <c r="E275" s="44">
        <v>205.0</v>
      </c>
      <c r="F275" s="45">
        <v>1500.0</v>
      </c>
      <c r="G275" s="45">
        <v>31.0</v>
      </c>
      <c r="H275" s="45">
        <f t="shared" si="1"/>
        <v>307.5</v>
      </c>
      <c r="I275" s="45">
        <f t="shared" si="2"/>
        <v>9532.5</v>
      </c>
      <c r="J275" s="49"/>
    </row>
    <row r="276" ht="22.5" customHeight="1">
      <c r="A276" s="47">
        <v>46329.0</v>
      </c>
      <c r="B276" s="43" t="s">
        <v>76</v>
      </c>
      <c r="C276" s="43" t="s">
        <v>75</v>
      </c>
      <c r="D276" s="43">
        <v>105.0</v>
      </c>
      <c r="E276" s="44">
        <v>205.0</v>
      </c>
      <c r="F276" s="45">
        <v>12000.0</v>
      </c>
      <c r="G276" s="45">
        <v>31.0</v>
      </c>
      <c r="H276" s="45">
        <f t="shared" si="1"/>
        <v>2460</v>
      </c>
      <c r="I276" s="45">
        <f t="shared" si="2"/>
        <v>76260</v>
      </c>
      <c r="J276" s="49"/>
    </row>
    <row r="277" ht="22.5" customHeight="1">
      <c r="A277" s="47">
        <v>46329.0</v>
      </c>
      <c r="B277" s="43" t="s">
        <v>76</v>
      </c>
      <c r="C277" s="43" t="s">
        <v>75</v>
      </c>
      <c r="D277" s="43">
        <v>105.0</v>
      </c>
      <c r="E277" s="44">
        <v>140.0</v>
      </c>
      <c r="F277" s="45">
        <v>3000.0</v>
      </c>
      <c r="G277" s="45">
        <v>31.0</v>
      </c>
      <c r="H277" s="45">
        <f t="shared" si="1"/>
        <v>420</v>
      </c>
      <c r="I277" s="45">
        <f t="shared" si="2"/>
        <v>13020</v>
      </c>
      <c r="J277" s="49"/>
    </row>
    <row r="278" ht="22.5" customHeight="1">
      <c r="A278" s="47">
        <v>46359.0</v>
      </c>
      <c r="B278" s="43" t="s">
        <v>23</v>
      </c>
      <c r="C278" s="43" t="s">
        <v>43</v>
      </c>
      <c r="D278" s="43">
        <v>50.0</v>
      </c>
      <c r="E278" s="44">
        <v>185.0</v>
      </c>
      <c r="F278" s="45">
        <v>1800.0</v>
      </c>
      <c r="G278" s="45">
        <v>35.0</v>
      </c>
      <c r="H278" s="45">
        <f t="shared" si="1"/>
        <v>333</v>
      </c>
      <c r="I278" s="45">
        <f t="shared" si="2"/>
        <v>11655</v>
      </c>
      <c r="J278" s="49"/>
    </row>
    <row r="279" ht="22.5" customHeight="1">
      <c r="A279" s="48" t="s">
        <v>466</v>
      </c>
      <c r="B279" s="43" t="s">
        <v>21</v>
      </c>
      <c r="C279" s="43" t="s">
        <v>42</v>
      </c>
      <c r="D279" s="43">
        <v>50.0</v>
      </c>
      <c r="E279" s="44">
        <v>200.0</v>
      </c>
      <c r="F279" s="45">
        <v>10070.0</v>
      </c>
      <c r="G279" s="45">
        <v>37.0</v>
      </c>
      <c r="H279" s="45">
        <f t="shared" si="1"/>
        <v>2014</v>
      </c>
      <c r="I279" s="45">
        <f t="shared" si="2"/>
        <v>74518</v>
      </c>
      <c r="J279" s="49"/>
    </row>
    <row r="280" ht="22.5" customHeight="1">
      <c r="A280" s="48" t="s">
        <v>466</v>
      </c>
      <c r="B280" s="43" t="s">
        <v>21</v>
      </c>
      <c r="C280" s="43" t="s">
        <v>9</v>
      </c>
      <c r="D280" s="43">
        <v>80.0</v>
      </c>
      <c r="E280" s="44">
        <v>125.0</v>
      </c>
      <c r="F280" s="45">
        <v>15190.0</v>
      </c>
      <c r="G280" s="45">
        <v>28.5</v>
      </c>
      <c r="H280" s="45">
        <f t="shared" si="1"/>
        <v>1898.75</v>
      </c>
      <c r="I280" s="45">
        <f t="shared" si="2"/>
        <v>54114.375</v>
      </c>
      <c r="J280" s="49"/>
    </row>
    <row r="281" ht="22.5" customHeight="1">
      <c r="A281" s="48" t="s">
        <v>466</v>
      </c>
      <c r="B281" s="43" t="s">
        <v>21</v>
      </c>
      <c r="C281" s="43" t="s">
        <v>9</v>
      </c>
      <c r="D281" s="43">
        <v>80.0</v>
      </c>
      <c r="E281" s="44">
        <v>150.0</v>
      </c>
      <c r="F281" s="45">
        <v>4900.0</v>
      </c>
      <c r="G281" s="45">
        <v>28.5</v>
      </c>
      <c r="H281" s="45">
        <f t="shared" si="1"/>
        <v>735</v>
      </c>
      <c r="I281" s="45">
        <f t="shared" si="2"/>
        <v>20947.5</v>
      </c>
      <c r="J281" s="49"/>
    </row>
    <row r="282" ht="22.5" customHeight="1">
      <c r="A282" s="48" t="s">
        <v>466</v>
      </c>
      <c r="B282" s="43" t="s">
        <v>21</v>
      </c>
      <c r="C282" s="43" t="s">
        <v>9</v>
      </c>
      <c r="D282" s="43">
        <v>80.0</v>
      </c>
      <c r="E282" s="44">
        <v>160.0</v>
      </c>
      <c r="F282" s="45">
        <v>3000.0</v>
      </c>
      <c r="G282" s="45">
        <v>28.5</v>
      </c>
      <c r="H282" s="45">
        <f t="shared" si="1"/>
        <v>480</v>
      </c>
      <c r="I282" s="45">
        <f t="shared" si="2"/>
        <v>13680</v>
      </c>
      <c r="J282" s="49"/>
    </row>
    <row r="283" ht="22.5" customHeight="1">
      <c r="A283" s="48" t="s">
        <v>466</v>
      </c>
      <c r="B283" s="43" t="s">
        <v>21</v>
      </c>
      <c r="C283" s="43" t="s">
        <v>9</v>
      </c>
      <c r="D283" s="43">
        <v>80.0</v>
      </c>
      <c r="E283" s="44">
        <v>180.0</v>
      </c>
      <c r="F283" s="45">
        <v>2000.0</v>
      </c>
      <c r="G283" s="45">
        <v>28.5</v>
      </c>
      <c r="H283" s="45">
        <f t="shared" si="1"/>
        <v>360</v>
      </c>
      <c r="I283" s="45">
        <f t="shared" si="2"/>
        <v>10260</v>
      </c>
      <c r="J283" s="49"/>
    </row>
    <row r="284" ht="22.5" customHeight="1">
      <c r="A284" s="48" t="s">
        <v>466</v>
      </c>
      <c r="B284" s="43" t="s">
        <v>21</v>
      </c>
      <c r="C284" s="43" t="s">
        <v>9</v>
      </c>
      <c r="D284" s="43">
        <v>80.0</v>
      </c>
      <c r="E284" s="44">
        <v>210.0</v>
      </c>
      <c r="F284" s="45">
        <v>5980.0</v>
      </c>
      <c r="G284" s="45">
        <v>28.5</v>
      </c>
      <c r="H284" s="45">
        <f t="shared" si="1"/>
        <v>1255.8</v>
      </c>
      <c r="I284" s="45">
        <f t="shared" si="2"/>
        <v>35790.3</v>
      </c>
      <c r="J284" s="49"/>
    </row>
    <row r="285" ht="22.5" customHeight="1">
      <c r="A285" s="48" t="s">
        <v>466</v>
      </c>
      <c r="B285" s="43" t="s">
        <v>21</v>
      </c>
      <c r="C285" s="43" t="s">
        <v>9</v>
      </c>
      <c r="D285" s="43">
        <v>80.0</v>
      </c>
      <c r="E285" s="44">
        <v>250.0</v>
      </c>
      <c r="F285" s="45">
        <v>19040.0</v>
      </c>
      <c r="G285" s="45">
        <v>28.5</v>
      </c>
      <c r="H285" s="45">
        <f t="shared" si="1"/>
        <v>4760</v>
      </c>
      <c r="I285" s="45">
        <f t="shared" si="2"/>
        <v>135660</v>
      </c>
      <c r="J285" s="49"/>
    </row>
    <row r="286" ht="22.5" customHeight="1">
      <c r="A286" s="48" t="s">
        <v>466</v>
      </c>
      <c r="B286" s="43" t="s">
        <v>21</v>
      </c>
      <c r="C286" s="43" t="s">
        <v>9</v>
      </c>
      <c r="D286" s="43">
        <v>80.0</v>
      </c>
      <c r="E286" s="44">
        <v>290.0</v>
      </c>
      <c r="F286" s="45">
        <v>38040.0</v>
      </c>
      <c r="G286" s="45">
        <v>28.5</v>
      </c>
      <c r="H286" s="45">
        <f t="shared" si="1"/>
        <v>11031.6</v>
      </c>
      <c r="I286" s="45">
        <f t="shared" si="2"/>
        <v>314400.6</v>
      </c>
      <c r="J286" s="49"/>
    </row>
    <row r="287" ht="22.5" customHeight="1">
      <c r="A287" s="48" t="s">
        <v>466</v>
      </c>
      <c r="B287" s="43" t="s">
        <v>21</v>
      </c>
      <c r="C287" s="43" t="s">
        <v>9</v>
      </c>
      <c r="D287" s="43">
        <v>80.0</v>
      </c>
      <c r="E287" s="44">
        <v>300.0</v>
      </c>
      <c r="F287" s="45">
        <v>9150.0</v>
      </c>
      <c r="G287" s="45">
        <v>28.5</v>
      </c>
      <c r="H287" s="45">
        <f t="shared" si="1"/>
        <v>2745</v>
      </c>
      <c r="I287" s="45">
        <f t="shared" si="2"/>
        <v>78232.5</v>
      </c>
      <c r="J287" s="49"/>
    </row>
    <row r="288" ht="22.5" customHeight="1">
      <c r="A288" s="48" t="s">
        <v>466</v>
      </c>
      <c r="B288" s="43" t="s">
        <v>21</v>
      </c>
      <c r="C288" s="43" t="s">
        <v>9</v>
      </c>
      <c r="D288" s="43">
        <v>80.0</v>
      </c>
      <c r="E288" s="44">
        <v>320.0</v>
      </c>
      <c r="F288" s="45">
        <v>3990.0</v>
      </c>
      <c r="G288" s="45">
        <v>28.5</v>
      </c>
      <c r="H288" s="45">
        <f t="shared" si="1"/>
        <v>1276.8</v>
      </c>
      <c r="I288" s="45">
        <f t="shared" si="2"/>
        <v>36388.8</v>
      </c>
      <c r="J288" s="49"/>
    </row>
    <row r="289" ht="22.5" customHeight="1">
      <c r="A289" s="48" t="s">
        <v>466</v>
      </c>
      <c r="B289" s="43" t="s">
        <v>21</v>
      </c>
      <c r="C289" s="43" t="s">
        <v>9</v>
      </c>
      <c r="D289" s="43">
        <v>80.0</v>
      </c>
      <c r="E289" s="44">
        <v>330.0</v>
      </c>
      <c r="F289" s="45">
        <v>9150.0</v>
      </c>
      <c r="G289" s="45">
        <v>28.5</v>
      </c>
      <c r="H289" s="45">
        <f t="shared" si="1"/>
        <v>3019.5</v>
      </c>
      <c r="I289" s="45">
        <f t="shared" si="2"/>
        <v>86055.75</v>
      </c>
      <c r="J289" s="49"/>
    </row>
    <row r="290" ht="22.5" customHeight="1">
      <c r="A290" s="48" t="s">
        <v>466</v>
      </c>
      <c r="B290" s="43" t="s">
        <v>21</v>
      </c>
      <c r="C290" s="43" t="s">
        <v>9</v>
      </c>
      <c r="D290" s="43">
        <v>80.0</v>
      </c>
      <c r="E290" s="44">
        <v>395.0</v>
      </c>
      <c r="F290" s="45">
        <v>5920.0</v>
      </c>
      <c r="G290" s="45">
        <v>28.5</v>
      </c>
      <c r="H290" s="45">
        <f t="shared" si="1"/>
        <v>2338.4</v>
      </c>
      <c r="I290" s="45">
        <f t="shared" si="2"/>
        <v>66644.4</v>
      </c>
      <c r="J290" s="49"/>
    </row>
    <row r="291" ht="22.5" customHeight="1">
      <c r="A291" s="48" t="s">
        <v>477</v>
      </c>
      <c r="B291" s="43" t="s">
        <v>27</v>
      </c>
      <c r="C291" s="43" t="s">
        <v>9</v>
      </c>
      <c r="D291" s="43">
        <v>80.0</v>
      </c>
      <c r="E291" s="44">
        <v>160.0</v>
      </c>
      <c r="F291" s="45">
        <v>11960.0</v>
      </c>
      <c r="G291" s="45">
        <v>27.0</v>
      </c>
      <c r="H291" s="45">
        <f t="shared" si="1"/>
        <v>1913.6</v>
      </c>
      <c r="I291" s="45">
        <f t="shared" si="2"/>
        <v>51667.2</v>
      </c>
      <c r="J291" s="49"/>
    </row>
    <row r="292" ht="22.5" customHeight="1">
      <c r="A292" s="48" t="s">
        <v>477</v>
      </c>
      <c r="B292" s="43" t="s">
        <v>27</v>
      </c>
      <c r="C292" s="43" t="s">
        <v>9</v>
      </c>
      <c r="D292" s="43">
        <v>80.0</v>
      </c>
      <c r="E292" s="44">
        <v>140.0</v>
      </c>
      <c r="F292" s="45">
        <v>5980.0</v>
      </c>
      <c r="G292" s="45">
        <v>27.0</v>
      </c>
      <c r="H292" s="45">
        <f t="shared" si="1"/>
        <v>837.2</v>
      </c>
      <c r="I292" s="45">
        <f t="shared" si="2"/>
        <v>22604.4</v>
      </c>
      <c r="J292" s="49"/>
    </row>
    <row r="293" ht="22.5" customHeight="1">
      <c r="A293" s="48" t="s">
        <v>479</v>
      </c>
      <c r="B293" s="43" t="s">
        <v>21</v>
      </c>
      <c r="C293" s="43" t="s">
        <v>9</v>
      </c>
      <c r="D293" s="43">
        <v>80.0</v>
      </c>
      <c r="E293" s="44">
        <v>320.0</v>
      </c>
      <c r="F293" s="45">
        <v>990.0</v>
      </c>
      <c r="G293" s="45">
        <v>28.5</v>
      </c>
      <c r="H293" s="45">
        <f t="shared" si="1"/>
        <v>316.8</v>
      </c>
      <c r="I293" s="45">
        <f t="shared" si="2"/>
        <v>9028.8</v>
      </c>
      <c r="J293" s="49"/>
    </row>
    <row r="294" ht="22.5" customHeight="1">
      <c r="A294" s="48" t="s">
        <v>481</v>
      </c>
      <c r="B294" s="43" t="s">
        <v>27</v>
      </c>
      <c r="C294" s="43" t="s">
        <v>9</v>
      </c>
      <c r="D294" s="43">
        <v>80.0</v>
      </c>
      <c r="E294" s="44">
        <v>160.0</v>
      </c>
      <c r="F294" s="45">
        <v>17980.0</v>
      </c>
      <c r="G294" s="45">
        <v>27.0</v>
      </c>
      <c r="H294" s="45">
        <f t="shared" si="1"/>
        <v>2876.8</v>
      </c>
      <c r="I294" s="45">
        <f t="shared" si="2"/>
        <v>77673.6</v>
      </c>
      <c r="J294" s="49"/>
    </row>
    <row r="295" ht="22.5" customHeight="1">
      <c r="A295" s="48" t="s">
        <v>481</v>
      </c>
      <c r="B295" s="43" t="s">
        <v>27</v>
      </c>
      <c r="C295" s="43" t="s">
        <v>9</v>
      </c>
      <c r="D295" s="43">
        <v>80.0</v>
      </c>
      <c r="E295" s="44">
        <v>185.0</v>
      </c>
      <c r="F295" s="45">
        <v>6000.0</v>
      </c>
      <c r="G295" s="45">
        <v>27.0</v>
      </c>
      <c r="H295" s="45">
        <f t="shared" si="1"/>
        <v>1110</v>
      </c>
      <c r="I295" s="45">
        <f t="shared" si="2"/>
        <v>29970</v>
      </c>
      <c r="J295" s="49"/>
    </row>
    <row r="296" ht="22.5" customHeight="1">
      <c r="A296" s="48" t="s">
        <v>481</v>
      </c>
      <c r="B296" s="43" t="s">
        <v>27</v>
      </c>
      <c r="C296" s="43" t="s">
        <v>9</v>
      </c>
      <c r="D296" s="43">
        <v>80.0</v>
      </c>
      <c r="E296" s="44">
        <v>200.0</v>
      </c>
      <c r="F296" s="45">
        <v>3289.0</v>
      </c>
      <c r="G296" s="45">
        <v>27.0</v>
      </c>
      <c r="H296" s="45">
        <f t="shared" si="1"/>
        <v>657.8</v>
      </c>
      <c r="I296" s="45">
        <f t="shared" si="2"/>
        <v>17760.6</v>
      </c>
      <c r="J296" s="49"/>
    </row>
    <row r="297" ht="22.5" customHeight="1">
      <c r="A297" s="48" t="s">
        <v>481</v>
      </c>
      <c r="B297" s="43" t="s">
        <v>27</v>
      </c>
      <c r="C297" s="43" t="s">
        <v>43</v>
      </c>
      <c r="D297" s="43">
        <v>50.0</v>
      </c>
      <c r="E297" s="44">
        <v>110.0</v>
      </c>
      <c r="F297" s="45">
        <v>7920.0</v>
      </c>
      <c r="G297" s="45">
        <v>35.2</v>
      </c>
      <c r="H297" s="45">
        <f t="shared" si="1"/>
        <v>871.2</v>
      </c>
      <c r="I297" s="45">
        <f t="shared" si="2"/>
        <v>30666.24</v>
      </c>
      <c r="J297" s="49"/>
    </row>
    <row r="298" ht="22.5" customHeight="1">
      <c r="A298" s="48" t="s">
        <v>481</v>
      </c>
      <c r="B298" s="43" t="s">
        <v>27</v>
      </c>
      <c r="C298" s="43" t="s">
        <v>43</v>
      </c>
      <c r="D298" s="43">
        <v>50.0</v>
      </c>
      <c r="E298" s="44">
        <v>125.0</v>
      </c>
      <c r="F298" s="45">
        <v>6450.0</v>
      </c>
      <c r="G298" s="45">
        <v>35.2</v>
      </c>
      <c r="H298" s="45">
        <f t="shared" si="1"/>
        <v>806.25</v>
      </c>
      <c r="I298" s="45">
        <f t="shared" si="2"/>
        <v>28380</v>
      </c>
      <c r="J298" s="49"/>
    </row>
    <row r="299" ht="22.5" customHeight="1">
      <c r="A299" s="48" t="s">
        <v>485</v>
      </c>
      <c r="B299" s="43" t="s">
        <v>33</v>
      </c>
      <c r="C299" s="43" t="s">
        <v>57</v>
      </c>
      <c r="D299" s="43">
        <v>70.0</v>
      </c>
      <c r="E299" s="44">
        <v>160.0</v>
      </c>
      <c r="F299" s="45">
        <v>8000.0</v>
      </c>
      <c r="G299" s="45">
        <v>27.5</v>
      </c>
      <c r="H299" s="45">
        <f t="shared" si="1"/>
        <v>1280</v>
      </c>
      <c r="I299" s="45">
        <f t="shared" si="2"/>
        <v>35200</v>
      </c>
      <c r="J299" s="49"/>
    </row>
    <row r="300" ht="22.5" customHeight="1">
      <c r="A300" s="48" t="s">
        <v>488</v>
      </c>
      <c r="B300" s="43" t="s">
        <v>27</v>
      </c>
      <c r="C300" s="43" t="s">
        <v>9</v>
      </c>
      <c r="D300" s="43">
        <v>80.0</v>
      </c>
      <c r="E300" s="44">
        <v>140.0</v>
      </c>
      <c r="F300" s="45">
        <v>22080.0</v>
      </c>
      <c r="G300" s="45">
        <v>27.0</v>
      </c>
      <c r="H300" s="45">
        <f t="shared" si="1"/>
        <v>3091.2</v>
      </c>
      <c r="I300" s="45">
        <f t="shared" si="2"/>
        <v>83462.4</v>
      </c>
      <c r="J300" s="49"/>
    </row>
    <row r="301" ht="22.5" customHeight="1">
      <c r="A301" s="48" t="s">
        <v>488</v>
      </c>
      <c r="B301" s="43" t="s">
        <v>27</v>
      </c>
      <c r="C301" s="43" t="s">
        <v>9</v>
      </c>
      <c r="D301" s="43">
        <v>80.0</v>
      </c>
      <c r="E301" s="44">
        <v>200.0</v>
      </c>
      <c r="F301" s="45">
        <v>6000.0</v>
      </c>
      <c r="G301" s="45">
        <v>27.0</v>
      </c>
      <c r="H301" s="45">
        <f t="shared" si="1"/>
        <v>1200</v>
      </c>
      <c r="I301" s="45">
        <f t="shared" si="2"/>
        <v>32400</v>
      </c>
      <c r="J301" s="49"/>
    </row>
    <row r="302" ht="22.5" customHeight="1">
      <c r="A302" s="48" t="s">
        <v>488</v>
      </c>
      <c r="B302" s="43" t="s">
        <v>27</v>
      </c>
      <c r="C302" s="43" t="s">
        <v>9</v>
      </c>
      <c r="D302" s="43">
        <v>80.0</v>
      </c>
      <c r="E302" s="44">
        <v>220.0</v>
      </c>
      <c r="F302" s="45">
        <v>6420.0</v>
      </c>
      <c r="G302" s="45">
        <v>27.0</v>
      </c>
      <c r="H302" s="45">
        <f t="shared" si="1"/>
        <v>1412.4</v>
      </c>
      <c r="I302" s="45">
        <f t="shared" si="2"/>
        <v>38134.8</v>
      </c>
      <c r="J302" s="49"/>
    </row>
    <row r="303" ht="22.5" customHeight="1">
      <c r="A303" s="48" t="s">
        <v>488</v>
      </c>
      <c r="B303" s="43" t="s">
        <v>27</v>
      </c>
      <c r="C303" s="43" t="s">
        <v>9</v>
      </c>
      <c r="D303" s="43">
        <v>80.0</v>
      </c>
      <c r="E303" s="44">
        <v>230.0</v>
      </c>
      <c r="F303" s="45">
        <v>4420.0</v>
      </c>
      <c r="G303" s="45">
        <v>27.0</v>
      </c>
      <c r="H303" s="45">
        <f t="shared" si="1"/>
        <v>1016.6</v>
      </c>
      <c r="I303" s="45">
        <f t="shared" si="2"/>
        <v>27448.2</v>
      </c>
      <c r="J303" s="49"/>
    </row>
    <row r="304" ht="22.5" customHeight="1">
      <c r="A304" s="48" t="s">
        <v>488</v>
      </c>
      <c r="B304" s="43" t="s">
        <v>27</v>
      </c>
      <c r="C304" s="43" t="s">
        <v>43</v>
      </c>
      <c r="D304" s="43">
        <v>50.0</v>
      </c>
      <c r="E304" s="44">
        <v>135.0</v>
      </c>
      <c r="F304" s="45">
        <v>1760.0</v>
      </c>
      <c r="G304" s="45">
        <v>36.0</v>
      </c>
      <c r="H304" s="45">
        <f t="shared" si="1"/>
        <v>237.6</v>
      </c>
      <c r="I304" s="45">
        <f t="shared" si="2"/>
        <v>8553.6</v>
      </c>
      <c r="J304" s="49"/>
    </row>
    <row r="305" ht="22.5" customHeight="1">
      <c r="A305" s="48" t="s">
        <v>488</v>
      </c>
      <c r="B305" s="43" t="s">
        <v>80</v>
      </c>
      <c r="C305" s="43" t="s">
        <v>79</v>
      </c>
      <c r="D305" s="43"/>
      <c r="E305" s="44">
        <v>300.0</v>
      </c>
      <c r="F305" s="45">
        <v>2400.0</v>
      </c>
      <c r="G305" s="45">
        <v>220.0</v>
      </c>
      <c r="H305" s="45">
        <f t="shared" si="1"/>
        <v>720</v>
      </c>
      <c r="I305" s="45">
        <f t="shared" si="2"/>
        <v>158400</v>
      </c>
      <c r="J305" s="49"/>
    </row>
    <row r="306" ht="22.5" customHeight="1">
      <c r="A306" s="47">
        <v>46116.0</v>
      </c>
      <c r="B306" s="43" t="s">
        <v>21</v>
      </c>
      <c r="C306" s="43" t="s">
        <v>9</v>
      </c>
      <c r="D306" s="43">
        <v>80.0</v>
      </c>
      <c r="E306" s="44">
        <v>125.0</v>
      </c>
      <c r="F306" s="45">
        <v>15010.0</v>
      </c>
      <c r="G306" s="45">
        <v>28.5</v>
      </c>
      <c r="H306" s="45">
        <f t="shared" si="1"/>
        <v>1876.25</v>
      </c>
      <c r="I306" s="45">
        <f t="shared" si="2"/>
        <v>53473.125</v>
      </c>
      <c r="J306" s="49"/>
    </row>
    <row r="307" ht="22.5" customHeight="1">
      <c r="A307" s="47">
        <v>46116.0</v>
      </c>
      <c r="B307" s="43" t="s">
        <v>21</v>
      </c>
      <c r="C307" s="43" t="s">
        <v>9</v>
      </c>
      <c r="D307" s="43">
        <v>80.0</v>
      </c>
      <c r="E307" s="44">
        <v>150.0</v>
      </c>
      <c r="F307" s="45">
        <v>5090.0</v>
      </c>
      <c r="G307" s="45">
        <v>28.5</v>
      </c>
      <c r="H307" s="45">
        <f t="shared" si="1"/>
        <v>763.5</v>
      </c>
      <c r="I307" s="45">
        <f t="shared" si="2"/>
        <v>21759.75</v>
      </c>
      <c r="J307" s="49"/>
    </row>
    <row r="308" ht="22.5" customHeight="1">
      <c r="A308" s="47">
        <v>46116.0</v>
      </c>
      <c r="B308" s="43" t="s">
        <v>21</v>
      </c>
      <c r="C308" s="43" t="s">
        <v>9</v>
      </c>
      <c r="D308" s="43">
        <v>80.0</v>
      </c>
      <c r="E308" s="44">
        <v>160.0</v>
      </c>
      <c r="F308" s="45">
        <v>3070.0</v>
      </c>
      <c r="G308" s="45">
        <v>28.5</v>
      </c>
      <c r="H308" s="45">
        <f t="shared" si="1"/>
        <v>491.2</v>
      </c>
      <c r="I308" s="45">
        <f t="shared" si="2"/>
        <v>13999.2</v>
      </c>
      <c r="J308" s="49"/>
    </row>
    <row r="309" ht="22.5" customHeight="1">
      <c r="A309" s="47">
        <v>46116.0</v>
      </c>
      <c r="B309" s="43" t="s">
        <v>21</v>
      </c>
      <c r="C309" s="43" t="s">
        <v>9</v>
      </c>
      <c r="D309" s="43">
        <v>80.0</v>
      </c>
      <c r="E309" s="44">
        <v>180.0</v>
      </c>
      <c r="F309" s="45">
        <v>14015.0</v>
      </c>
      <c r="G309" s="45">
        <v>28.5</v>
      </c>
      <c r="H309" s="45">
        <f t="shared" si="1"/>
        <v>2522.7</v>
      </c>
      <c r="I309" s="45">
        <f t="shared" si="2"/>
        <v>71896.95</v>
      </c>
      <c r="J309" s="49"/>
    </row>
    <row r="310" ht="22.5" customHeight="1">
      <c r="A310" s="47">
        <v>46116.0</v>
      </c>
      <c r="B310" s="43" t="s">
        <v>21</v>
      </c>
      <c r="C310" s="43" t="s">
        <v>9</v>
      </c>
      <c r="D310" s="43">
        <v>80.0</v>
      </c>
      <c r="E310" s="44">
        <v>210.0</v>
      </c>
      <c r="F310" s="45">
        <v>6000.0</v>
      </c>
      <c r="G310" s="45">
        <v>28.5</v>
      </c>
      <c r="H310" s="45">
        <f t="shared" si="1"/>
        <v>1260</v>
      </c>
      <c r="I310" s="45">
        <f t="shared" si="2"/>
        <v>35910</v>
      </c>
      <c r="J310" s="49"/>
    </row>
    <row r="311" ht="22.5" customHeight="1">
      <c r="A311" s="47">
        <v>46116.0</v>
      </c>
      <c r="B311" s="43" t="s">
        <v>21</v>
      </c>
      <c r="C311" s="43" t="s">
        <v>9</v>
      </c>
      <c r="D311" s="43">
        <v>80.0</v>
      </c>
      <c r="E311" s="44">
        <v>250.0</v>
      </c>
      <c r="F311" s="45">
        <v>19125.0</v>
      </c>
      <c r="G311" s="45">
        <v>250.0</v>
      </c>
      <c r="H311" s="45">
        <f t="shared" si="1"/>
        <v>4781.25</v>
      </c>
      <c r="I311" s="45">
        <f t="shared" si="2"/>
        <v>1195312.5</v>
      </c>
      <c r="J311" s="49"/>
    </row>
    <row r="312" ht="22.5" customHeight="1">
      <c r="A312" s="47">
        <v>46116.0</v>
      </c>
      <c r="B312" s="43" t="s">
        <v>21</v>
      </c>
      <c r="C312" s="43" t="s">
        <v>9</v>
      </c>
      <c r="D312" s="43">
        <v>80.0</v>
      </c>
      <c r="E312" s="44">
        <v>290.0</v>
      </c>
      <c r="F312" s="45">
        <v>38070.0</v>
      </c>
      <c r="G312" s="45">
        <v>28.5</v>
      </c>
      <c r="H312" s="45">
        <f t="shared" si="1"/>
        <v>11040.3</v>
      </c>
      <c r="I312" s="45">
        <f t="shared" si="2"/>
        <v>314648.55</v>
      </c>
      <c r="J312" s="49"/>
    </row>
    <row r="313" ht="22.5" customHeight="1">
      <c r="A313" s="47">
        <v>46116.0</v>
      </c>
      <c r="B313" s="43" t="s">
        <v>21</v>
      </c>
      <c r="C313" s="43" t="s">
        <v>9</v>
      </c>
      <c r="D313" s="43">
        <v>80.0</v>
      </c>
      <c r="E313" s="44">
        <v>300.0</v>
      </c>
      <c r="F313" s="45">
        <v>9090.0</v>
      </c>
      <c r="G313" s="45">
        <v>28.5</v>
      </c>
      <c r="H313" s="45">
        <f t="shared" si="1"/>
        <v>2727</v>
      </c>
      <c r="I313" s="45">
        <f t="shared" si="2"/>
        <v>77719.5</v>
      </c>
      <c r="J313" s="49"/>
    </row>
    <row r="314" ht="22.5" customHeight="1">
      <c r="A314" s="47">
        <v>46116.0</v>
      </c>
      <c r="B314" s="43" t="s">
        <v>21</v>
      </c>
      <c r="C314" s="43" t="s">
        <v>9</v>
      </c>
      <c r="D314" s="43">
        <v>80.0</v>
      </c>
      <c r="E314" s="44">
        <v>320.0</v>
      </c>
      <c r="F314" s="45">
        <v>10060.0</v>
      </c>
      <c r="G314" s="45">
        <v>28.5</v>
      </c>
      <c r="H314" s="45">
        <f t="shared" si="1"/>
        <v>3219.2</v>
      </c>
      <c r="I314" s="45">
        <f t="shared" si="2"/>
        <v>91747.2</v>
      </c>
      <c r="J314" s="49"/>
    </row>
    <row r="315" ht="22.5" customHeight="1">
      <c r="A315" s="47">
        <v>46116.0</v>
      </c>
      <c r="B315" s="43" t="s">
        <v>21</v>
      </c>
      <c r="C315" s="43" t="s">
        <v>9</v>
      </c>
      <c r="D315" s="43">
        <v>80.0</v>
      </c>
      <c r="E315" s="44">
        <v>330.0</v>
      </c>
      <c r="F315" s="45">
        <v>9090.0</v>
      </c>
      <c r="G315" s="45">
        <v>28.5</v>
      </c>
      <c r="H315" s="45">
        <f t="shared" si="1"/>
        <v>2999.7</v>
      </c>
      <c r="I315" s="45">
        <f t="shared" si="2"/>
        <v>85491.45</v>
      </c>
      <c r="J315" s="49"/>
    </row>
    <row r="316" ht="22.5" customHeight="1">
      <c r="A316" s="47">
        <v>46116.0</v>
      </c>
      <c r="B316" s="43" t="s">
        <v>21</v>
      </c>
      <c r="C316" s="43" t="s">
        <v>9</v>
      </c>
      <c r="D316" s="43">
        <v>80.0</v>
      </c>
      <c r="E316" s="44">
        <v>395.0</v>
      </c>
      <c r="F316" s="45">
        <v>6060.0</v>
      </c>
      <c r="G316" s="45">
        <v>28.5</v>
      </c>
      <c r="H316" s="45">
        <f t="shared" si="1"/>
        <v>2393.7</v>
      </c>
      <c r="I316" s="45">
        <f t="shared" si="2"/>
        <v>68220.45</v>
      </c>
      <c r="J316" s="49"/>
    </row>
    <row r="317" ht="22.5" customHeight="1">
      <c r="A317" s="47">
        <v>46238.0</v>
      </c>
      <c r="B317" s="43" t="s">
        <v>27</v>
      </c>
      <c r="C317" s="43" t="s">
        <v>52</v>
      </c>
      <c r="D317" s="43">
        <v>50.0</v>
      </c>
      <c r="E317" s="44">
        <v>135.0</v>
      </c>
      <c r="F317" s="45">
        <v>1700.0</v>
      </c>
      <c r="G317" s="45">
        <v>39.18</v>
      </c>
      <c r="H317" s="45">
        <f t="shared" si="1"/>
        <v>229.5</v>
      </c>
      <c r="I317" s="45">
        <f t="shared" si="2"/>
        <v>8991.81</v>
      </c>
      <c r="J317" s="49"/>
    </row>
    <row r="318" ht="22.5" customHeight="1">
      <c r="A318" s="47">
        <v>46238.0</v>
      </c>
      <c r="B318" s="43" t="s">
        <v>27</v>
      </c>
      <c r="C318" s="43" t="s">
        <v>26</v>
      </c>
      <c r="D318" s="43">
        <v>50.0</v>
      </c>
      <c r="E318" s="44">
        <v>150.0</v>
      </c>
      <c r="F318" s="45">
        <v>4710.0</v>
      </c>
      <c r="G318" s="45">
        <v>48.0</v>
      </c>
      <c r="H318" s="45">
        <f t="shared" si="1"/>
        <v>706.5</v>
      </c>
      <c r="I318" s="45">
        <f t="shared" si="2"/>
        <v>33912</v>
      </c>
      <c r="J318" s="49"/>
    </row>
    <row r="319" ht="22.5" customHeight="1">
      <c r="A319" s="47">
        <v>46238.0</v>
      </c>
      <c r="B319" s="43" t="s">
        <v>27</v>
      </c>
      <c r="C319" s="43" t="s">
        <v>9</v>
      </c>
      <c r="D319" s="43">
        <v>80.0</v>
      </c>
      <c r="E319" s="44">
        <v>140.0</v>
      </c>
      <c r="F319" s="45">
        <v>12600.0</v>
      </c>
      <c r="G319" s="45">
        <v>27.0</v>
      </c>
      <c r="H319" s="45">
        <f t="shared" si="1"/>
        <v>1764</v>
      </c>
      <c r="I319" s="45">
        <f t="shared" si="2"/>
        <v>47628</v>
      </c>
      <c r="J319" s="49"/>
    </row>
    <row r="320" ht="22.5" customHeight="1">
      <c r="A320" s="47">
        <v>46330.0</v>
      </c>
      <c r="B320" s="43" t="s">
        <v>78</v>
      </c>
      <c r="C320" s="43" t="s">
        <v>42</v>
      </c>
      <c r="D320" s="43">
        <v>50.0</v>
      </c>
      <c r="E320" s="44">
        <v>125.0</v>
      </c>
      <c r="F320" s="45">
        <v>12300.0</v>
      </c>
      <c r="G320" s="45">
        <v>40.0</v>
      </c>
      <c r="H320" s="45">
        <f t="shared" si="1"/>
        <v>1537.5</v>
      </c>
      <c r="I320" s="45">
        <f t="shared" si="2"/>
        <v>61500</v>
      </c>
      <c r="J320" s="49"/>
    </row>
    <row r="321" ht="22.5" customHeight="1">
      <c r="A321" s="47">
        <v>46330.0</v>
      </c>
      <c r="B321" s="43" t="s">
        <v>21</v>
      </c>
      <c r="C321" s="43" t="s">
        <v>77</v>
      </c>
      <c r="D321" s="43">
        <v>230.0</v>
      </c>
      <c r="E321" s="44">
        <v>200.0</v>
      </c>
      <c r="F321" s="45">
        <v>8000.0</v>
      </c>
      <c r="G321" s="45">
        <v>59.39</v>
      </c>
      <c r="H321" s="45">
        <f t="shared" si="1"/>
        <v>1600</v>
      </c>
      <c r="I321" s="45">
        <f t="shared" si="2"/>
        <v>95024</v>
      </c>
      <c r="J321" s="49"/>
    </row>
    <row r="322" ht="22.5" customHeight="1">
      <c r="A322" s="48" t="s">
        <v>513</v>
      </c>
      <c r="B322" s="43" t="s">
        <v>27</v>
      </c>
      <c r="C322" s="43" t="s">
        <v>26</v>
      </c>
      <c r="D322" s="43">
        <v>50.0</v>
      </c>
      <c r="E322" s="44">
        <v>250.0</v>
      </c>
      <c r="F322" s="45">
        <v>1500.0</v>
      </c>
      <c r="G322" s="45">
        <v>49.0</v>
      </c>
      <c r="H322" s="45">
        <f t="shared" si="1"/>
        <v>375</v>
      </c>
      <c r="I322" s="45">
        <f t="shared" si="2"/>
        <v>18375</v>
      </c>
      <c r="J322" s="49"/>
    </row>
    <row r="323" ht="22.5" customHeight="1">
      <c r="A323" s="48" t="s">
        <v>513</v>
      </c>
      <c r="B323" s="43" t="s">
        <v>27</v>
      </c>
      <c r="C323" s="43" t="s">
        <v>26</v>
      </c>
      <c r="D323" s="43">
        <v>50.0</v>
      </c>
      <c r="E323" s="44">
        <v>190.0</v>
      </c>
      <c r="F323" s="45">
        <v>1535.0</v>
      </c>
      <c r="G323" s="45">
        <v>49.0</v>
      </c>
      <c r="H323" s="45">
        <f t="shared" si="1"/>
        <v>291.65</v>
      </c>
      <c r="I323" s="45">
        <f t="shared" si="2"/>
        <v>14290.85</v>
      </c>
      <c r="J323" s="49"/>
    </row>
    <row r="324" ht="22.5" customHeight="1">
      <c r="A324" s="48" t="s">
        <v>516</v>
      </c>
      <c r="B324" s="43" t="s">
        <v>21</v>
      </c>
      <c r="C324" s="43" t="s">
        <v>77</v>
      </c>
      <c r="D324" s="43">
        <v>230.0</v>
      </c>
      <c r="E324" s="44">
        <v>200.0</v>
      </c>
      <c r="F324" s="45">
        <v>1600.0</v>
      </c>
      <c r="G324" s="45">
        <v>59.39</v>
      </c>
      <c r="H324" s="45">
        <f t="shared" si="1"/>
        <v>320</v>
      </c>
      <c r="I324" s="45">
        <f t="shared" si="2"/>
        <v>19004.8</v>
      </c>
      <c r="J324" s="49"/>
    </row>
    <row r="325" ht="22.5" customHeight="1">
      <c r="A325" s="48" t="s">
        <v>516</v>
      </c>
      <c r="B325" s="43" t="s">
        <v>27</v>
      </c>
      <c r="C325" s="43" t="s">
        <v>43</v>
      </c>
      <c r="D325" s="43">
        <v>50.0</v>
      </c>
      <c r="E325" s="44">
        <v>125.0</v>
      </c>
      <c r="F325" s="45">
        <v>10323.0</v>
      </c>
      <c r="G325" s="45">
        <v>38.0</v>
      </c>
      <c r="H325" s="45">
        <f t="shared" si="1"/>
        <v>1290.375</v>
      </c>
      <c r="I325" s="45">
        <f t="shared" si="2"/>
        <v>49034.25</v>
      </c>
      <c r="J325" s="49"/>
    </row>
    <row r="326" ht="22.5" customHeight="1">
      <c r="A326" s="48" t="s">
        <v>516</v>
      </c>
      <c r="B326" s="43" t="s">
        <v>27</v>
      </c>
      <c r="C326" s="43" t="s">
        <v>26</v>
      </c>
      <c r="D326" s="43">
        <v>50.0</v>
      </c>
      <c r="E326" s="44">
        <v>168.0</v>
      </c>
      <c r="F326" s="45">
        <v>6048.0</v>
      </c>
      <c r="G326" s="45">
        <v>47.0</v>
      </c>
      <c r="H326" s="45">
        <f t="shared" si="1"/>
        <v>1016.064</v>
      </c>
      <c r="I326" s="45">
        <f t="shared" si="2"/>
        <v>47755.008</v>
      </c>
      <c r="J326" s="49"/>
    </row>
    <row r="327" ht="22.5" customHeight="1">
      <c r="A327" s="48" t="s">
        <v>516</v>
      </c>
      <c r="B327" s="43" t="s">
        <v>27</v>
      </c>
      <c r="C327" s="43" t="s">
        <v>26</v>
      </c>
      <c r="D327" s="43">
        <v>50.0</v>
      </c>
      <c r="E327" s="44">
        <v>140.0</v>
      </c>
      <c r="F327" s="45">
        <v>2858.0</v>
      </c>
      <c r="G327" s="45">
        <v>47.0</v>
      </c>
      <c r="H327" s="45">
        <f t="shared" si="1"/>
        <v>400.12</v>
      </c>
      <c r="I327" s="45">
        <f t="shared" si="2"/>
        <v>18805.64</v>
      </c>
      <c r="J327" s="49"/>
    </row>
    <row r="328" ht="22.5" customHeight="1">
      <c r="A328" s="48" t="s">
        <v>516</v>
      </c>
      <c r="B328" s="43" t="s">
        <v>27</v>
      </c>
      <c r="C328" s="43" t="s">
        <v>9</v>
      </c>
      <c r="D328" s="43">
        <v>80.0</v>
      </c>
      <c r="E328" s="44">
        <v>185.0</v>
      </c>
      <c r="F328" s="45">
        <v>4500.0</v>
      </c>
      <c r="G328" s="45">
        <v>28.5</v>
      </c>
      <c r="H328" s="45">
        <f t="shared" si="1"/>
        <v>832.5</v>
      </c>
      <c r="I328" s="45">
        <f t="shared" si="2"/>
        <v>23726.25</v>
      </c>
      <c r="J328" s="49"/>
    </row>
    <row r="329" ht="22.5" customHeight="1">
      <c r="A329" s="48" t="s">
        <v>524</v>
      </c>
      <c r="B329" s="43" t="s">
        <v>27</v>
      </c>
      <c r="C329" s="43" t="s">
        <v>43</v>
      </c>
      <c r="D329" s="43">
        <v>50.0</v>
      </c>
      <c r="E329" s="44">
        <v>140.0</v>
      </c>
      <c r="F329" s="45">
        <v>2010.0</v>
      </c>
      <c r="G329" s="45">
        <v>38.0</v>
      </c>
      <c r="H329" s="45">
        <f t="shared" si="1"/>
        <v>281.4</v>
      </c>
      <c r="I329" s="45">
        <f t="shared" si="2"/>
        <v>10693.2</v>
      </c>
      <c r="J329" s="49"/>
    </row>
    <row r="330" ht="22.5" customHeight="1">
      <c r="A330" s="48" t="s">
        <v>524</v>
      </c>
      <c r="B330" s="43" t="s">
        <v>27</v>
      </c>
      <c r="C330" s="43" t="s">
        <v>43</v>
      </c>
      <c r="D330" s="43">
        <v>50.0</v>
      </c>
      <c r="E330" s="44">
        <v>120.0</v>
      </c>
      <c r="F330" s="45">
        <v>6030.0</v>
      </c>
      <c r="G330" s="45">
        <v>38.0</v>
      </c>
      <c r="H330" s="45">
        <f t="shared" si="1"/>
        <v>723.6</v>
      </c>
      <c r="I330" s="45">
        <f t="shared" si="2"/>
        <v>27496.8</v>
      </c>
      <c r="J330" s="49"/>
    </row>
    <row r="331" ht="22.5" customHeight="1">
      <c r="A331" s="48" t="s">
        <v>524</v>
      </c>
      <c r="B331" s="43" t="s">
        <v>27</v>
      </c>
      <c r="C331" s="43" t="s">
        <v>43</v>
      </c>
      <c r="D331" s="43">
        <v>50.0</v>
      </c>
      <c r="E331" s="44">
        <v>165.0</v>
      </c>
      <c r="F331" s="45">
        <v>11637.0</v>
      </c>
      <c r="G331" s="45">
        <v>28.5</v>
      </c>
      <c r="H331" s="45">
        <f t="shared" si="1"/>
        <v>1920.105</v>
      </c>
      <c r="I331" s="45">
        <f t="shared" si="2"/>
        <v>54722.9925</v>
      </c>
      <c r="J331" s="49"/>
    </row>
    <row r="332" ht="22.5" customHeight="1">
      <c r="A332" s="48" t="s">
        <v>529</v>
      </c>
      <c r="B332" s="43" t="s">
        <v>23</v>
      </c>
      <c r="C332" s="43" t="s">
        <v>43</v>
      </c>
      <c r="D332" s="43">
        <v>50.0</v>
      </c>
      <c r="E332" s="44">
        <v>230.0</v>
      </c>
      <c r="F332" s="45">
        <v>2200.0</v>
      </c>
      <c r="G332" s="45">
        <v>35.0</v>
      </c>
      <c r="H332" s="45">
        <f t="shared" si="1"/>
        <v>506</v>
      </c>
      <c r="I332" s="45">
        <f t="shared" si="2"/>
        <v>17710</v>
      </c>
      <c r="J332" s="49"/>
    </row>
    <row r="333" ht="22.5" customHeight="1">
      <c r="A333" s="48" t="s">
        <v>530</v>
      </c>
      <c r="B333" s="43" t="s">
        <v>21</v>
      </c>
      <c r="C333" s="43" t="s">
        <v>9</v>
      </c>
      <c r="D333" s="43">
        <v>80.0</v>
      </c>
      <c r="E333" s="44">
        <v>125.0</v>
      </c>
      <c r="F333" s="45">
        <v>19940.0</v>
      </c>
      <c r="G333" s="45">
        <v>31.64</v>
      </c>
      <c r="H333" s="45">
        <f t="shared" si="1"/>
        <v>2492.5</v>
      </c>
      <c r="I333" s="45">
        <f t="shared" si="2"/>
        <v>78862.7</v>
      </c>
      <c r="J333" s="49"/>
    </row>
    <row r="334" ht="22.5" customHeight="1">
      <c r="A334" s="48" t="s">
        <v>530</v>
      </c>
      <c r="B334" s="43" t="s">
        <v>21</v>
      </c>
      <c r="C334" s="43" t="s">
        <v>9</v>
      </c>
      <c r="D334" s="43">
        <v>80.0</v>
      </c>
      <c r="E334" s="44">
        <v>150.0</v>
      </c>
      <c r="F334" s="45">
        <v>10020.0</v>
      </c>
      <c r="G334" s="45">
        <v>31.64</v>
      </c>
      <c r="H334" s="45">
        <f t="shared" si="1"/>
        <v>1503</v>
      </c>
      <c r="I334" s="45">
        <f t="shared" si="2"/>
        <v>47554.92</v>
      </c>
      <c r="J334" s="49"/>
    </row>
    <row r="335" ht="22.5" customHeight="1">
      <c r="A335" s="48" t="s">
        <v>530</v>
      </c>
      <c r="B335" s="43" t="s">
        <v>21</v>
      </c>
      <c r="C335" s="43" t="s">
        <v>9</v>
      </c>
      <c r="D335" s="43">
        <v>80.0</v>
      </c>
      <c r="E335" s="44">
        <v>170.0</v>
      </c>
      <c r="F335" s="45">
        <v>7910.0</v>
      </c>
      <c r="G335" s="45">
        <v>31.64</v>
      </c>
      <c r="H335" s="45">
        <f t="shared" si="1"/>
        <v>1344.7</v>
      </c>
      <c r="I335" s="45">
        <f t="shared" si="2"/>
        <v>42546.308</v>
      </c>
      <c r="J335" s="49"/>
    </row>
    <row r="336" ht="22.5" customHeight="1">
      <c r="A336" s="48" t="s">
        <v>530</v>
      </c>
      <c r="B336" s="43" t="s">
        <v>21</v>
      </c>
      <c r="C336" s="43" t="s">
        <v>9</v>
      </c>
      <c r="D336" s="43">
        <v>80.0</v>
      </c>
      <c r="E336" s="44">
        <v>180.0</v>
      </c>
      <c r="F336" s="45">
        <v>13980.0</v>
      </c>
      <c r="G336" s="45">
        <v>31.64</v>
      </c>
      <c r="H336" s="45">
        <f t="shared" si="1"/>
        <v>2516.4</v>
      </c>
      <c r="I336" s="45">
        <f t="shared" si="2"/>
        <v>79618.896</v>
      </c>
      <c r="J336" s="49"/>
    </row>
    <row r="337" ht="22.5" customHeight="1">
      <c r="A337" s="48" t="s">
        <v>530</v>
      </c>
      <c r="B337" s="43" t="s">
        <v>21</v>
      </c>
      <c r="C337" s="43" t="s">
        <v>9</v>
      </c>
      <c r="D337" s="43">
        <v>80.0</v>
      </c>
      <c r="E337" s="44">
        <v>210.0</v>
      </c>
      <c r="F337" s="45">
        <v>15870.0</v>
      </c>
      <c r="G337" s="45">
        <v>31.64</v>
      </c>
      <c r="H337" s="45">
        <f t="shared" si="1"/>
        <v>3332.7</v>
      </c>
      <c r="I337" s="45">
        <f t="shared" si="2"/>
        <v>105446.628</v>
      </c>
      <c r="J337" s="49"/>
    </row>
    <row r="338" ht="22.5" customHeight="1">
      <c r="A338" s="48" t="s">
        <v>530</v>
      </c>
      <c r="B338" s="43" t="s">
        <v>21</v>
      </c>
      <c r="C338" s="43" t="s">
        <v>9</v>
      </c>
      <c r="D338" s="43">
        <v>80.0</v>
      </c>
      <c r="E338" s="44">
        <v>250.0</v>
      </c>
      <c r="F338" s="45">
        <v>20002.0</v>
      </c>
      <c r="G338" s="45">
        <v>31.64</v>
      </c>
      <c r="H338" s="45">
        <f t="shared" si="1"/>
        <v>5000.5</v>
      </c>
      <c r="I338" s="45">
        <f t="shared" si="2"/>
        <v>158215.82</v>
      </c>
      <c r="J338" s="49"/>
    </row>
    <row r="339" ht="22.5" customHeight="1">
      <c r="A339" s="48" t="s">
        <v>530</v>
      </c>
      <c r="B339" s="43" t="s">
        <v>21</v>
      </c>
      <c r="C339" s="43" t="s">
        <v>9</v>
      </c>
      <c r="D339" s="43">
        <v>80.0</v>
      </c>
      <c r="E339" s="44">
        <v>280.0</v>
      </c>
      <c r="F339" s="45">
        <v>7850.0</v>
      </c>
      <c r="G339" s="45">
        <v>31.64</v>
      </c>
      <c r="H339" s="45">
        <f t="shared" si="1"/>
        <v>2198</v>
      </c>
      <c r="I339" s="45">
        <f t="shared" si="2"/>
        <v>69544.72</v>
      </c>
      <c r="J339" s="49"/>
    </row>
    <row r="340" ht="22.5" customHeight="1">
      <c r="A340" s="48" t="s">
        <v>530</v>
      </c>
      <c r="B340" s="43" t="s">
        <v>21</v>
      </c>
      <c r="C340" s="43" t="s">
        <v>9</v>
      </c>
      <c r="D340" s="43">
        <v>80.0</v>
      </c>
      <c r="E340" s="44">
        <v>290.0</v>
      </c>
      <c r="F340" s="45">
        <v>19980.0</v>
      </c>
      <c r="G340" s="45">
        <v>31.64</v>
      </c>
      <c r="H340" s="45">
        <f t="shared" si="1"/>
        <v>5794.2</v>
      </c>
      <c r="I340" s="45">
        <f t="shared" si="2"/>
        <v>183328.488</v>
      </c>
      <c r="J340" s="49"/>
    </row>
    <row r="341" ht="22.5" customHeight="1">
      <c r="A341" s="48" t="s">
        <v>530</v>
      </c>
      <c r="B341" s="43" t="s">
        <v>21</v>
      </c>
      <c r="C341" s="43" t="s">
        <v>9</v>
      </c>
      <c r="D341" s="43">
        <v>80.0</v>
      </c>
      <c r="E341" s="44">
        <v>300.0</v>
      </c>
      <c r="F341" s="45">
        <v>6020.0</v>
      </c>
      <c r="G341" s="45">
        <v>31.64</v>
      </c>
      <c r="H341" s="45">
        <f t="shared" si="1"/>
        <v>1806</v>
      </c>
      <c r="I341" s="45">
        <f t="shared" si="2"/>
        <v>57141.84</v>
      </c>
      <c r="J341" s="49"/>
    </row>
    <row r="342" ht="22.5" customHeight="1">
      <c r="A342" s="48" t="s">
        <v>530</v>
      </c>
      <c r="B342" s="43" t="s">
        <v>21</v>
      </c>
      <c r="C342" s="43" t="s">
        <v>9</v>
      </c>
      <c r="D342" s="43">
        <v>80.0</v>
      </c>
      <c r="E342" s="44">
        <v>310.0</v>
      </c>
      <c r="F342" s="45">
        <v>5950.0</v>
      </c>
      <c r="G342" s="45">
        <v>31.64</v>
      </c>
      <c r="H342" s="45">
        <f t="shared" si="1"/>
        <v>1844.5</v>
      </c>
      <c r="I342" s="45">
        <f t="shared" si="2"/>
        <v>58359.98</v>
      </c>
      <c r="J342" s="49"/>
    </row>
    <row r="343" ht="22.5" customHeight="1">
      <c r="A343" s="48" t="s">
        <v>530</v>
      </c>
      <c r="B343" s="43" t="s">
        <v>21</v>
      </c>
      <c r="C343" s="43" t="s">
        <v>9</v>
      </c>
      <c r="D343" s="43">
        <v>80.0</v>
      </c>
      <c r="E343" s="44">
        <v>320.0</v>
      </c>
      <c r="F343" s="45">
        <v>9675.0</v>
      </c>
      <c r="G343" s="45">
        <v>31.64</v>
      </c>
      <c r="H343" s="45">
        <f t="shared" si="1"/>
        <v>3096</v>
      </c>
      <c r="I343" s="45">
        <f t="shared" si="2"/>
        <v>97957.44</v>
      </c>
      <c r="J343" s="49"/>
    </row>
    <row r="344" ht="22.5" customHeight="1">
      <c r="A344" s="48" t="s">
        <v>530</v>
      </c>
      <c r="B344" s="43" t="s">
        <v>21</v>
      </c>
      <c r="C344" s="43" t="s">
        <v>9</v>
      </c>
      <c r="D344" s="43">
        <v>80.0</v>
      </c>
      <c r="E344" s="44">
        <v>330.0</v>
      </c>
      <c r="F344" s="45">
        <v>13980.0</v>
      </c>
      <c r="G344" s="45">
        <v>31.64</v>
      </c>
      <c r="H344" s="45">
        <f t="shared" si="1"/>
        <v>4613.4</v>
      </c>
      <c r="I344" s="45">
        <f t="shared" si="2"/>
        <v>145967.976</v>
      </c>
      <c r="J344" s="49"/>
    </row>
    <row r="345" ht="22.5" customHeight="1">
      <c r="A345" s="48" t="s">
        <v>530</v>
      </c>
      <c r="B345" s="43" t="s">
        <v>21</v>
      </c>
      <c r="C345" s="43" t="s">
        <v>9</v>
      </c>
      <c r="D345" s="43">
        <v>80.0</v>
      </c>
      <c r="E345" s="44">
        <v>395.0</v>
      </c>
      <c r="F345" s="45">
        <v>9990.0</v>
      </c>
      <c r="G345" s="45">
        <v>31.64</v>
      </c>
      <c r="H345" s="45">
        <f t="shared" si="1"/>
        <v>3946.05</v>
      </c>
      <c r="I345" s="45">
        <f t="shared" si="2"/>
        <v>124853.022</v>
      </c>
      <c r="J345" s="49"/>
    </row>
    <row r="346" ht="22.5" customHeight="1">
      <c r="A346" s="48" t="s">
        <v>543</v>
      </c>
      <c r="B346" s="43" t="s">
        <v>21</v>
      </c>
      <c r="C346" s="43" t="s">
        <v>43</v>
      </c>
      <c r="D346" s="43">
        <v>80.0</v>
      </c>
      <c r="E346" s="44">
        <v>100.0</v>
      </c>
      <c r="F346" s="45">
        <v>62035.0</v>
      </c>
      <c r="G346" s="45">
        <v>42.92</v>
      </c>
      <c r="H346" s="45">
        <f t="shared" si="1"/>
        <v>6203.5</v>
      </c>
      <c r="I346" s="45">
        <f t="shared" si="2"/>
        <v>266254.22</v>
      </c>
      <c r="J346" s="49"/>
    </row>
    <row r="347" ht="22.5" customHeight="1">
      <c r="A347" s="47">
        <v>46117.0</v>
      </c>
      <c r="B347" s="43" t="s">
        <v>27</v>
      </c>
      <c r="C347" s="43" t="s">
        <v>9</v>
      </c>
      <c r="D347" s="43">
        <v>80.0</v>
      </c>
      <c r="E347" s="44">
        <v>220.0</v>
      </c>
      <c r="F347" s="45">
        <v>7970.0</v>
      </c>
      <c r="G347" s="45">
        <v>28.5</v>
      </c>
      <c r="H347" s="45">
        <f t="shared" si="1"/>
        <v>1753.4</v>
      </c>
      <c r="I347" s="45">
        <f t="shared" si="2"/>
        <v>49971.9</v>
      </c>
      <c r="J347" s="49"/>
    </row>
    <row r="348" ht="22.5" customHeight="1">
      <c r="A348" s="47">
        <v>46117.0</v>
      </c>
      <c r="B348" s="43" t="s">
        <v>27</v>
      </c>
      <c r="C348" s="43" t="s">
        <v>9</v>
      </c>
      <c r="D348" s="43">
        <v>80.0</v>
      </c>
      <c r="E348" s="44">
        <v>230.0</v>
      </c>
      <c r="F348" s="45">
        <v>5980.0</v>
      </c>
      <c r="G348" s="45">
        <v>28.5</v>
      </c>
      <c r="H348" s="45">
        <f t="shared" si="1"/>
        <v>1375.4</v>
      </c>
      <c r="I348" s="45">
        <f t="shared" si="2"/>
        <v>39198.9</v>
      </c>
      <c r="J348" s="49"/>
    </row>
    <row r="349" ht="22.5" customHeight="1">
      <c r="A349" s="47">
        <v>46117.0</v>
      </c>
      <c r="B349" s="43" t="s">
        <v>27</v>
      </c>
      <c r="C349" s="43" t="s">
        <v>9</v>
      </c>
      <c r="D349" s="43">
        <v>80.0</v>
      </c>
      <c r="E349" s="44">
        <v>160.0</v>
      </c>
      <c r="F349" s="45">
        <v>7970.0</v>
      </c>
      <c r="G349" s="45">
        <v>28.5</v>
      </c>
      <c r="H349" s="45">
        <f t="shared" si="1"/>
        <v>1275.2</v>
      </c>
      <c r="I349" s="45">
        <f t="shared" si="2"/>
        <v>36343.2</v>
      </c>
      <c r="J349" s="49"/>
    </row>
    <row r="350" ht="22.5" customHeight="1">
      <c r="A350" s="47">
        <v>46117.0</v>
      </c>
      <c r="B350" s="43" t="s">
        <v>27</v>
      </c>
      <c r="C350" s="43" t="s">
        <v>9</v>
      </c>
      <c r="D350" s="43">
        <v>80.0</v>
      </c>
      <c r="E350" s="44">
        <v>140.0</v>
      </c>
      <c r="F350" s="45">
        <v>5980.0</v>
      </c>
      <c r="G350" s="45">
        <v>28.5</v>
      </c>
      <c r="H350" s="45">
        <f t="shared" si="1"/>
        <v>837.2</v>
      </c>
      <c r="I350" s="45">
        <f t="shared" si="2"/>
        <v>23860.2</v>
      </c>
      <c r="J350" s="49"/>
    </row>
    <row r="351" ht="22.5" customHeight="1">
      <c r="A351" s="47">
        <v>46117.0</v>
      </c>
      <c r="B351" s="43" t="s">
        <v>27</v>
      </c>
      <c r="C351" s="43" t="s">
        <v>26</v>
      </c>
      <c r="D351" s="43">
        <v>80.0</v>
      </c>
      <c r="E351" s="44">
        <v>167.0</v>
      </c>
      <c r="F351" s="45">
        <v>3437.0</v>
      </c>
      <c r="G351" s="45">
        <v>47.0</v>
      </c>
      <c r="H351" s="45">
        <f t="shared" si="1"/>
        <v>573.979</v>
      </c>
      <c r="I351" s="45">
        <f t="shared" si="2"/>
        <v>26977.013</v>
      </c>
      <c r="J351" s="49"/>
    </row>
    <row r="352" ht="22.5" customHeight="1">
      <c r="A352" s="47">
        <v>46117.0</v>
      </c>
      <c r="B352" s="43" t="s">
        <v>27</v>
      </c>
      <c r="C352" s="43" t="s">
        <v>43</v>
      </c>
      <c r="D352" s="43">
        <v>50.0</v>
      </c>
      <c r="E352" s="44">
        <v>125.0</v>
      </c>
      <c r="F352" s="45">
        <v>21520.0</v>
      </c>
      <c r="G352" s="45">
        <v>38.0</v>
      </c>
      <c r="H352" s="45">
        <f t="shared" si="1"/>
        <v>2690</v>
      </c>
      <c r="I352" s="45">
        <f t="shared" si="2"/>
        <v>102220</v>
      </c>
      <c r="J352" s="49"/>
    </row>
    <row r="353" ht="22.5" customHeight="1">
      <c r="A353" s="47">
        <v>46117.0</v>
      </c>
      <c r="B353" s="43" t="s">
        <v>21</v>
      </c>
      <c r="C353" s="43" t="s">
        <v>43</v>
      </c>
      <c r="D353" s="43">
        <v>50.0</v>
      </c>
      <c r="E353" s="44">
        <v>100.0</v>
      </c>
      <c r="F353" s="45">
        <v>15690.0</v>
      </c>
      <c r="G353" s="45">
        <v>42.92</v>
      </c>
      <c r="H353" s="45">
        <f t="shared" si="1"/>
        <v>1569</v>
      </c>
      <c r="I353" s="45">
        <f t="shared" si="2"/>
        <v>67341.48</v>
      </c>
      <c r="J353" s="49"/>
    </row>
    <row r="354" ht="22.5" customHeight="1">
      <c r="A354" s="47">
        <v>46331.0</v>
      </c>
      <c r="B354" s="43" t="s">
        <v>33</v>
      </c>
      <c r="C354" s="43" t="s">
        <v>9</v>
      </c>
      <c r="D354" s="43">
        <v>80.0</v>
      </c>
      <c r="E354" s="44">
        <v>290.0</v>
      </c>
      <c r="F354" s="45">
        <v>20000.0</v>
      </c>
      <c r="G354" s="45">
        <v>32.9</v>
      </c>
      <c r="H354" s="45">
        <f t="shared" si="1"/>
        <v>5800</v>
      </c>
      <c r="I354" s="45">
        <f t="shared" si="2"/>
        <v>190820</v>
      </c>
      <c r="J354" s="49"/>
    </row>
    <row r="355" ht="22.5" customHeight="1">
      <c r="A355" s="47">
        <v>46361.0</v>
      </c>
      <c r="B355" s="43" t="s">
        <v>21</v>
      </c>
      <c r="C355" s="43" t="s">
        <v>9</v>
      </c>
      <c r="D355" s="43">
        <v>80.0</v>
      </c>
      <c r="E355" s="44">
        <v>125.0</v>
      </c>
      <c r="F355" s="45">
        <v>20030.0</v>
      </c>
      <c r="G355" s="45">
        <v>31.64</v>
      </c>
      <c r="H355" s="45">
        <f t="shared" si="1"/>
        <v>2503.75</v>
      </c>
      <c r="I355" s="45">
        <f t="shared" si="2"/>
        <v>79218.65</v>
      </c>
      <c r="J355" s="49"/>
    </row>
    <row r="356" ht="22.5" customHeight="1">
      <c r="A356" s="47">
        <v>46361.0</v>
      </c>
      <c r="B356" s="43" t="s">
        <v>21</v>
      </c>
      <c r="C356" s="43" t="s">
        <v>9</v>
      </c>
      <c r="D356" s="43">
        <v>80.0</v>
      </c>
      <c r="E356" s="44">
        <v>150.0</v>
      </c>
      <c r="F356" s="45">
        <v>8000.0</v>
      </c>
      <c r="G356" s="45">
        <v>31.64</v>
      </c>
      <c r="H356" s="45">
        <f t="shared" si="1"/>
        <v>1200</v>
      </c>
      <c r="I356" s="45">
        <f t="shared" si="2"/>
        <v>37968</v>
      </c>
      <c r="J356" s="49"/>
    </row>
    <row r="357" ht="22.5" customHeight="1">
      <c r="A357" s="47">
        <v>46361.0</v>
      </c>
      <c r="B357" s="43" t="s">
        <v>21</v>
      </c>
      <c r="C357" s="43" t="s">
        <v>9</v>
      </c>
      <c r="D357" s="43">
        <v>80.0</v>
      </c>
      <c r="E357" s="44">
        <v>180.0</v>
      </c>
      <c r="F357" s="45">
        <v>11940.0</v>
      </c>
      <c r="G357" s="45">
        <v>31.64</v>
      </c>
      <c r="H357" s="45">
        <f t="shared" si="1"/>
        <v>2149.2</v>
      </c>
      <c r="I357" s="45">
        <f t="shared" si="2"/>
        <v>68000.688</v>
      </c>
      <c r="J357" s="49"/>
    </row>
    <row r="358" ht="22.5" customHeight="1">
      <c r="A358" s="47">
        <v>46361.0</v>
      </c>
      <c r="B358" s="43" t="s">
        <v>21</v>
      </c>
      <c r="C358" s="43" t="s">
        <v>9</v>
      </c>
      <c r="D358" s="43">
        <v>80.0</v>
      </c>
      <c r="E358" s="44">
        <v>210.0</v>
      </c>
      <c r="F358" s="45">
        <v>8010.0</v>
      </c>
      <c r="G358" s="45">
        <v>31.64</v>
      </c>
      <c r="H358" s="45">
        <f t="shared" si="1"/>
        <v>1682.1</v>
      </c>
      <c r="I358" s="45">
        <f t="shared" si="2"/>
        <v>53221.644</v>
      </c>
      <c r="J358" s="49"/>
    </row>
    <row r="359" ht="22.5" customHeight="1">
      <c r="A359" s="47">
        <v>46361.0</v>
      </c>
      <c r="B359" s="43" t="s">
        <v>21</v>
      </c>
      <c r="C359" s="43" t="s">
        <v>9</v>
      </c>
      <c r="D359" s="43">
        <v>80.0</v>
      </c>
      <c r="E359" s="44">
        <v>290.0</v>
      </c>
      <c r="F359" s="45">
        <v>19765.0</v>
      </c>
      <c r="G359" s="45">
        <v>31.64</v>
      </c>
      <c r="H359" s="45">
        <f t="shared" si="1"/>
        <v>5731.85</v>
      </c>
      <c r="I359" s="45">
        <f t="shared" si="2"/>
        <v>181355.734</v>
      </c>
      <c r="J359" s="49"/>
    </row>
    <row r="360" ht="22.5" customHeight="1">
      <c r="A360" s="47">
        <v>46361.0</v>
      </c>
      <c r="B360" s="43" t="s">
        <v>21</v>
      </c>
      <c r="C360" s="43" t="s">
        <v>9</v>
      </c>
      <c r="D360" s="43">
        <v>80.0</v>
      </c>
      <c r="E360" s="44">
        <v>300.0</v>
      </c>
      <c r="F360" s="45">
        <v>6000.0</v>
      </c>
      <c r="G360" s="45">
        <v>31.64</v>
      </c>
      <c r="H360" s="45">
        <f t="shared" si="1"/>
        <v>1800</v>
      </c>
      <c r="I360" s="45">
        <f t="shared" si="2"/>
        <v>56952</v>
      </c>
      <c r="J360" s="49"/>
    </row>
    <row r="361" ht="22.5" customHeight="1">
      <c r="A361" s="47">
        <v>46361.0</v>
      </c>
      <c r="B361" s="43" t="s">
        <v>21</v>
      </c>
      <c r="C361" s="43" t="s">
        <v>9</v>
      </c>
      <c r="D361" s="43">
        <v>80.0</v>
      </c>
      <c r="E361" s="44">
        <v>320.0</v>
      </c>
      <c r="F361" s="45">
        <v>4000.0</v>
      </c>
      <c r="G361" s="45">
        <v>31.64</v>
      </c>
      <c r="H361" s="45">
        <f t="shared" si="1"/>
        <v>1280</v>
      </c>
      <c r="I361" s="45">
        <f t="shared" si="2"/>
        <v>40499.2</v>
      </c>
      <c r="J361" s="49"/>
    </row>
    <row r="362" ht="22.5" customHeight="1">
      <c r="A362" s="47">
        <v>46361.0</v>
      </c>
      <c r="B362" s="43" t="s">
        <v>21</v>
      </c>
      <c r="C362" s="43" t="s">
        <v>9</v>
      </c>
      <c r="D362" s="43">
        <v>80.0</v>
      </c>
      <c r="E362" s="44">
        <v>330.0</v>
      </c>
      <c r="F362" s="45">
        <v>10015.0</v>
      </c>
      <c r="G362" s="45">
        <v>31.64</v>
      </c>
      <c r="H362" s="45">
        <f t="shared" si="1"/>
        <v>3304.95</v>
      </c>
      <c r="I362" s="45">
        <f t="shared" si="2"/>
        <v>104568.618</v>
      </c>
      <c r="J362" s="49"/>
    </row>
    <row r="363" ht="22.5" customHeight="1">
      <c r="A363" s="48" t="s">
        <v>560</v>
      </c>
      <c r="B363" s="43" t="s">
        <v>23</v>
      </c>
      <c r="C363" s="43" t="s">
        <v>26</v>
      </c>
      <c r="D363" s="43">
        <v>80.0</v>
      </c>
      <c r="E363" s="44">
        <v>245.0</v>
      </c>
      <c r="F363" s="45">
        <v>4240.0</v>
      </c>
      <c r="G363" s="45">
        <v>42.0</v>
      </c>
      <c r="H363" s="45">
        <f t="shared" si="1"/>
        <v>1038.8</v>
      </c>
      <c r="I363" s="45">
        <f t="shared" si="2"/>
        <v>43629.6</v>
      </c>
      <c r="J363" s="49"/>
    </row>
    <row r="364" ht="22.5" customHeight="1">
      <c r="A364" s="48" t="s">
        <v>563</v>
      </c>
      <c r="B364" s="43" t="s">
        <v>21</v>
      </c>
      <c r="C364" s="43" t="s">
        <v>40</v>
      </c>
      <c r="D364" s="43">
        <v>80.0</v>
      </c>
      <c r="E364" s="44">
        <v>290.0</v>
      </c>
      <c r="F364" s="45">
        <v>3920.0</v>
      </c>
      <c r="G364" s="45">
        <v>46.98</v>
      </c>
      <c r="H364" s="45">
        <f t="shared" si="1"/>
        <v>1136.8</v>
      </c>
      <c r="I364" s="45">
        <f t="shared" si="2"/>
        <v>53406.864</v>
      </c>
      <c r="J364" s="49"/>
    </row>
    <row r="365" ht="22.5" customHeight="1">
      <c r="A365" s="48" t="s">
        <v>565</v>
      </c>
      <c r="B365" s="43" t="s">
        <v>21</v>
      </c>
      <c r="C365" s="43" t="s">
        <v>9</v>
      </c>
      <c r="D365" s="43">
        <v>80.0</v>
      </c>
      <c r="E365" s="44">
        <v>160.0</v>
      </c>
      <c r="F365" s="45">
        <v>4000.0</v>
      </c>
      <c r="G365" s="45">
        <v>31.64</v>
      </c>
      <c r="H365" s="45">
        <f t="shared" si="1"/>
        <v>640</v>
      </c>
      <c r="I365" s="45">
        <f t="shared" si="2"/>
        <v>20249.6</v>
      </c>
      <c r="J365" s="49"/>
    </row>
    <row r="366" ht="22.5" customHeight="1">
      <c r="A366" s="48" t="s">
        <v>565</v>
      </c>
      <c r="B366" s="43" t="s">
        <v>21</v>
      </c>
      <c r="C366" s="43" t="s">
        <v>9</v>
      </c>
      <c r="D366" s="43">
        <v>80.0</v>
      </c>
      <c r="E366" s="44">
        <v>180.0</v>
      </c>
      <c r="F366" s="45">
        <v>8020.0</v>
      </c>
      <c r="G366" s="45">
        <v>31.64</v>
      </c>
      <c r="H366" s="45">
        <f t="shared" si="1"/>
        <v>1443.6</v>
      </c>
      <c r="I366" s="45">
        <f t="shared" si="2"/>
        <v>45675.504</v>
      </c>
      <c r="J366" s="49"/>
    </row>
    <row r="367" ht="22.5" customHeight="1">
      <c r="A367" s="48" t="s">
        <v>565</v>
      </c>
      <c r="B367" s="43" t="s">
        <v>21</v>
      </c>
      <c r="C367" s="43" t="s">
        <v>9</v>
      </c>
      <c r="D367" s="43">
        <v>80.0</v>
      </c>
      <c r="E367" s="44">
        <v>210.0</v>
      </c>
      <c r="F367" s="45">
        <v>2000.0</v>
      </c>
      <c r="G367" s="45">
        <v>31.64</v>
      </c>
      <c r="H367" s="45">
        <f t="shared" si="1"/>
        <v>420</v>
      </c>
      <c r="I367" s="45">
        <f t="shared" si="2"/>
        <v>13288.8</v>
      </c>
      <c r="J367" s="49"/>
    </row>
    <row r="368" ht="22.5" customHeight="1">
      <c r="A368" s="48" t="s">
        <v>565</v>
      </c>
      <c r="B368" s="43" t="s">
        <v>78</v>
      </c>
      <c r="C368" s="43" t="s">
        <v>43</v>
      </c>
      <c r="D368" s="43">
        <v>50.0</v>
      </c>
      <c r="E368" s="44">
        <v>110.0</v>
      </c>
      <c r="F368" s="45">
        <v>2000.0</v>
      </c>
      <c r="G368" s="45">
        <v>45.0</v>
      </c>
      <c r="H368" s="45">
        <f t="shared" si="1"/>
        <v>220</v>
      </c>
      <c r="I368" s="45">
        <f t="shared" si="2"/>
        <v>9900</v>
      </c>
      <c r="J368" s="49"/>
    </row>
    <row r="369" ht="22.5" customHeight="1">
      <c r="A369" s="48" t="s">
        <v>572</v>
      </c>
      <c r="B369" s="43" t="s">
        <v>23</v>
      </c>
      <c r="C369" s="43" t="s">
        <v>42</v>
      </c>
      <c r="D369" s="43">
        <v>50.0</v>
      </c>
      <c r="E369" s="44">
        <v>90.0</v>
      </c>
      <c r="F369" s="45">
        <v>15500.0</v>
      </c>
      <c r="G369" s="45">
        <v>34.5</v>
      </c>
      <c r="H369" s="45">
        <f t="shared" si="1"/>
        <v>1395</v>
      </c>
      <c r="I369" s="45">
        <f t="shared" si="2"/>
        <v>48127.5</v>
      </c>
      <c r="J369" s="49"/>
    </row>
    <row r="370" ht="22.5" customHeight="1">
      <c r="A370" s="48" t="s">
        <v>574</v>
      </c>
      <c r="B370" s="43" t="s">
        <v>21</v>
      </c>
      <c r="C370" s="43" t="s">
        <v>77</v>
      </c>
      <c r="D370" s="43">
        <v>230.0</v>
      </c>
      <c r="E370" s="44">
        <v>200.0</v>
      </c>
      <c r="F370" s="45">
        <v>14950.0</v>
      </c>
      <c r="G370" s="45">
        <v>59.39</v>
      </c>
      <c r="H370" s="45">
        <f t="shared" si="1"/>
        <v>2990</v>
      </c>
      <c r="I370" s="45">
        <f t="shared" si="2"/>
        <v>177576.1</v>
      </c>
      <c r="J370" s="49"/>
    </row>
    <row r="371" ht="22.5" customHeight="1">
      <c r="A371" s="48" t="s">
        <v>574</v>
      </c>
      <c r="B371" s="43" t="s">
        <v>23</v>
      </c>
      <c r="C371" s="43" t="s">
        <v>42</v>
      </c>
      <c r="D371" s="43">
        <v>50.0</v>
      </c>
      <c r="E371" s="44">
        <v>90.0</v>
      </c>
      <c r="F371" s="45">
        <v>65140.0</v>
      </c>
      <c r="G371" s="45">
        <v>34.5</v>
      </c>
      <c r="H371" s="45">
        <f t="shared" si="1"/>
        <v>5862.6</v>
      </c>
      <c r="I371" s="45">
        <f t="shared" si="2"/>
        <v>202259.7</v>
      </c>
      <c r="J371" s="49"/>
    </row>
    <row r="372" ht="22.5" customHeight="1">
      <c r="A372" s="48" t="s">
        <v>576</v>
      </c>
      <c r="B372" s="43" t="s">
        <v>27</v>
      </c>
      <c r="C372" s="43" t="s">
        <v>9</v>
      </c>
      <c r="D372" s="43">
        <v>80.0</v>
      </c>
      <c r="E372" s="44">
        <v>140.0</v>
      </c>
      <c r="F372" s="45">
        <v>14400.0</v>
      </c>
      <c r="G372" s="45">
        <v>28.5</v>
      </c>
      <c r="H372" s="45">
        <f t="shared" si="1"/>
        <v>2016</v>
      </c>
      <c r="I372" s="45">
        <f t="shared" si="2"/>
        <v>57456</v>
      </c>
      <c r="J372" s="49"/>
    </row>
    <row r="373" ht="22.5" customHeight="1">
      <c r="A373" s="48" t="s">
        <v>576</v>
      </c>
      <c r="B373" s="43" t="s">
        <v>27</v>
      </c>
      <c r="C373" s="43" t="s">
        <v>9</v>
      </c>
      <c r="D373" s="43">
        <v>80.0</v>
      </c>
      <c r="E373" s="44">
        <v>160.0</v>
      </c>
      <c r="F373" s="45">
        <v>23640.0</v>
      </c>
      <c r="G373" s="45">
        <v>28.5</v>
      </c>
      <c r="H373" s="45">
        <f t="shared" si="1"/>
        <v>3782.4</v>
      </c>
      <c r="I373" s="45">
        <f t="shared" si="2"/>
        <v>107798.4</v>
      </c>
      <c r="J373" s="49"/>
    </row>
    <row r="374" ht="22.5" customHeight="1">
      <c r="A374" s="48" t="s">
        <v>576</v>
      </c>
      <c r="B374" s="43" t="s">
        <v>27</v>
      </c>
      <c r="C374" s="43" t="s">
        <v>9</v>
      </c>
      <c r="D374" s="43">
        <v>80.0</v>
      </c>
      <c r="E374" s="44">
        <v>185.0</v>
      </c>
      <c r="F374" s="45">
        <v>10850.0</v>
      </c>
      <c r="G374" s="45">
        <v>28.5</v>
      </c>
      <c r="H374" s="45">
        <f t="shared" si="1"/>
        <v>2007.25</v>
      </c>
      <c r="I374" s="45">
        <f t="shared" si="2"/>
        <v>57206.625</v>
      </c>
      <c r="J374" s="49"/>
    </row>
    <row r="375" ht="22.5" customHeight="1">
      <c r="A375" s="48" t="s">
        <v>576</v>
      </c>
      <c r="B375" s="43" t="s">
        <v>27</v>
      </c>
      <c r="C375" s="43" t="s">
        <v>9</v>
      </c>
      <c r="D375" s="43">
        <v>80.0</v>
      </c>
      <c r="E375" s="44">
        <v>200.0</v>
      </c>
      <c r="F375" s="45">
        <v>4520.0</v>
      </c>
      <c r="G375" s="45">
        <v>28.5</v>
      </c>
      <c r="H375" s="45">
        <f t="shared" si="1"/>
        <v>904</v>
      </c>
      <c r="I375" s="45">
        <f t="shared" si="2"/>
        <v>25764</v>
      </c>
      <c r="J375" s="49"/>
    </row>
    <row r="376" ht="22.5" customHeight="1">
      <c r="A376" s="48" t="s">
        <v>576</v>
      </c>
      <c r="B376" s="43" t="s">
        <v>27</v>
      </c>
      <c r="C376" s="43" t="s">
        <v>9</v>
      </c>
      <c r="D376" s="43">
        <v>80.0</v>
      </c>
      <c r="E376" s="44">
        <v>220.0</v>
      </c>
      <c r="F376" s="45">
        <v>5920.0</v>
      </c>
      <c r="G376" s="45">
        <v>28.5</v>
      </c>
      <c r="H376" s="45">
        <f t="shared" si="1"/>
        <v>1302.4</v>
      </c>
      <c r="I376" s="45">
        <f t="shared" si="2"/>
        <v>37118.4</v>
      </c>
      <c r="J376" s="49"/>
    </row>
    <row r="377" ht="22.5" customHeight="1">
      <c r="A377" s="48" t="s">
        <v>576</v>
      </c>
      <c r="B377" s="43" t="s">
        <v>27</v>
      </c>
      <c r="C377" s="43" t="s">
        <v>9</v>
      </c>
      <c r="D377" s="43">
        <v>80.0</v>
      </c>
      <c r="E377" s="44">
        <v>230.0</v>
      </c>
      <c r="F377" s="45">
        <v>2000.0</v>
      </c>
      <c r="G377" s="45">
        <v>28.5</v>
      </c>
      <c r="H377" s="45">
        <f t="shared" si="1"/>
        <v>460</v>
      </c>
      <c r="I377" s="45">
        <f t="shared" si="2"/>
        <v>13110</v>
      </c>
      <c r="J377" s="49"/>
    </row>
    <row r="378" ht="22.5" customHeight="1">
      <c r="A378" s="48" t="s">
        <v>576</v>
      </c>
      <c r="B378" s="43" t="s">
        <v>27</v>
      </c>
      <c r="C378" s="43" t="s">
        <v>9</v>
      </c>
      <c r="D378" s="43">
        <v>80.0</v>
      </c>
      <c r="E378" s="44">
        <v>260.0</v>
      </c>
      <c r="F378" s="45">
        <v>1940.0</v>
      </c>
      <c r="G378" s="45">
        <v>28.5</v>
      </c>
      <c r="H378" s="45">
        <f t="shared" si="1"/>
        <v>504.4</v>
      </c>
      <c r="I378" s="45">
        <f t="shared" si="2"/>
        <v>14375.4</v>
      </c>
      <c r="J378" s="49"/>
    </row>
    <row r="379" ht="22.5" customHeight="1">
      <c r="A379" s="47">
        <v>46059.0</v>
      </c>
      <c r="B379" s="43" t="s">
        <v>21</v>
      </c>
      <c r="C379" s="43" t="s">
        <v>9</v>
      </c>
      <c r="D379" s="43">
        <v>80.0</v>
      </c>
      <c r="E379" s="44">
        <v>150.0</v>
      </c>
      <c r="F379" s="45">
        <v>8050.0</v>
      </c>
      <c r="G379" s="45">
        <v>31.64</v>
      </c>
      <c r="H379" s="45">
        <f t="shared" si="1"/>
        <v>1207.5</v>
      </c>
      <c r="I379" s="45">
        <f t="shared" si="2"/>
        <v>38205.3</v>
      </c>
      <c r="J379" s="49"/>
    </row>
    <row r="380" ht="22.5" customHeight="1">
      <c r="A380" s="47">
        <v>46059.0</v>
      </c>
      <c r="B380" s="43" t="s">
        <v>21</v>
      </c>
      <c r="C380" s="43" t="s">
        <v>9</v>
      </c>
      <c r="D380" s="43">
        <v>80.0</v>
      </c>
      <c r="E380" s="44">
        <v>170.0</v>
      </c>
      <c r="F380" s="45">
        <v>8050.0</v>
      </c>
      <c r="G380" s="45">
        <v>31.64</v>
      </c>
      <c r="H380" s="45">
        <f t="shared" si="1"/>
        <v>1368.5</v>
      </c>
      <c r="I380" s="45">
        <f t="shared" si="2"/>
        <v>43299.34</v>
      </c>
      <c r="J380" s="49"/>
    </row>
    <row r="381" ht="22.5" customHeight="1">
      <c r="A381" s="47">
        <v>46059.0</v>
      </c>
      <c r="B381" s="43" t="s">
        <v>21</v>
      </c>
      <c r="C381" s="43" t="s">
        <v>9</v>
      </c>
      <c r="D381" s="43">
        <v>80.0</v>
      </c>
      <c r="E381" s="44">
        <v>180.0</v>
      </c>
      <c r="F381" s="45">
        <v>10050.0</v>
      </c>
      <c r="G381" s="45">
        <v>31.64</v>
      </c>
      <c r="H381" s="45">
        <f t="shared" si="1"/>
        <v>1809</v>
      </c>
      <c r="I381" s="45">
        <f t="shared" si="2"/>
        <v>57236.76</v>
      </c>
      <c r="J381" s="49"/>
    </row>
    <row r="382" ht="22.5" customHeight="1">
      <c r="A382" s="47">
        <v>46059.0</v>
      </c>
      <c r="B382" s="43" t="s">
        <v>21</v>
      </c>
      <c r="C382" s="43" t="s">
        <v>9</v>
      </c>
      <c r="D382" s="43">
        <v>80.0</v>
      </c>
      <c r="E382" s="44">
        <v>210.0</v>
      </c>
      <c r="F382" s="45">
        <v>24000.0</v>
      </c>
      <c r="G382" s="45">
        <v>31.64</v>
      </c>
      <c r="H382" s="45">
        <f t="shared" si="1"/>
        <v>5040</v>
      </c>
      <c r="I382" s="45">
        <f t="shared" si="2"/>
        <v>159465.6</v>
      </c>
      <c r="J382" s="49"/>
    </row>
    <row r="383" ht="22.5" customHeight="1">
      <c r="A383" s="47">
        <v>46059.0</v>
      </c>
      <c r="B383" s="43" t="s">
        <v>21</v>
      </c>
      <c r="C383" s="43" t="s">
        <v>9</v>
      </c>
      <c r="D383" s="43">
        <v>80.0</v>
      </c>
      <c r="E383" s="44">
        <v>250.0</v>
      </c>
      <c r="F383" s="45">
        <v>4000.0</v>
      </c>
      <c r="G383" s="45">
        <v>31.64</v>
      </c>
      <c r="H383" s="45">
        <f t="shared" si="1"/>
        <v>1000</v>
      </c>
      <c r="I383" s="45">
        <f t="shared" si="2"/>
        <v>31640</v>
      </c>
      <c r="J383" s="49"/>
    </row>
    <row r="384" ht="22.5" customHeight="1">
      <c r="A384" s="47">
        <v>46059.0</v>
      </c>
      <c r="B384" s="43" t="s">
        <v>21</v>
      </c>
      <c r="C384" s="43" t="s">
        <v>9</v>
      </c>
      <c r="D384" s="43">
        <v>80.0</v>
      </c>
      <c r="E384" s="44">
        <v>290.0</v>
      </c>
      <c r="F384" s="45">
        <v>20230.0</v>
      </c>
      <c r="G384" s="45">
        <v>31.64</v>
      </c>
      <c r="H384" s="45">
        <f t="shared" si="1"/>
        <v>5866.7</v>
      </c>
      <c r="I384" s="45">
        <f t="shared" si="2"/>
        <v>185622.388</v>
      </c>
      <c r="J384" s="49"/>
    </row>
    <row r="385" ht="22.5" customHeight="1">
      <c r="A385" s="47">
        <v>46059.0</v>
      </c>
      <c r="B385" s="43" t="s">
        <v>21</v>
      </c>
      <c r="C385" s="43" t="s">
        <v>9</v>
      </c>
      <c r="D385" s="43">
        <v>80.0</v>
      </c>
      <c r="E385" s="44">
        <v>310.0</v>
      </c>
      <c r="F385" s="45">
        <v>1940.0</v>
      </c>
      <c r="G385" s="45">
        <v>31.64</v>
      </c>
      <c r="H385" s="45">
        <f t="shared" si="1"/>
        <v>601.4</v>
      </c>
      <c r="I385" s="45">
        <f t="shared" si="2"/>
        <v>19028.296</v>
      </c>
      <c r="J385" s="49"/>
    </row>
    <row r="386" ht="22.5" customHeight="1">
      <c r="A386" s="47">
        <v>46059.0</v>
      </c>
      <c r="B386" s="43" t="s">
        <v>21</v>
      </c>
      <c r="C386" s="43" t="s">
        <v>9</v>
      </c>
      <c r="D386" s="43">
        <v>80.0</v>
      </c>
      <c r="E386" s="44">
        <v>330.0</v>
      </c>
      <c r="F386" s="45">
        <v>8080.0</v>
      </c>
      <c r="G386" s="45">
        <v>31.64</v>
      </c>
      <c r="H386" s="45">
        <f t="shared" si="1"/>
        <v>2666.4</v>
      </c>
      <c r="I386" s="45">
        <f t="shared" si="2"/>
        <v>84364.896</v>
      </c>
      <c r="J386" s="49"/>
    </row>
    <row r="387" ht="22.5" customHeight="1">
      <c r="A387" s="47">
        <v>46209.0</v>
      </c>
      <c r="B387" s="43" t="s">
        <v>21</v>
      </c>
      <c r="C387" s="43" t="s">
        <v>9</v>
      </c>
      <c r="D387" s="43">
        <v>80.0</v>
      </c>
      <c r="E387" s="44">
        <v>170.0</v>
      </c>
      <c r="F387" s="45">
        <v>14860.0</v>
      </c>
      <c r="G387" s="45">
        <v>31.64</v>
      </c>
      <c r="H387" s="45">
        <f t="shared" si="1"/>
        <v>2526.2</v>
      </c>
      <c r="I387" s="45">
        <f t="shared" si="2"/>
        <v>79928.968</v>
      </c>
      <c r="J387" s="49"/>
    </row>
    <row r="388" ht="22.5" customHeight="1">
      <c r="A388" s="48" t="s">
        <v>596</v>
      </c>
      <c r="B388" s="43" t="s">
        <v>21</v>
      </c>
      <c r="C388" s="43" t="s">
        <v>9</v>
      </c>
      <c r="D388" s="43">
        <v>80.0</v>
      </c>
      <c r="E388" s="44">
        <v>180.0</v>
      </c>
      <c r="F388" s="45">
        <v>15970.0</v>
      </c>
      <c r="G388" s="45">
        <v>31.64</v>
      </c>
      <c r="H388" s="45">
        <f t="shared" si="1"/>
        <v>2874.6</v>
      </c>
      <c r="I388" s="45">
        <f t="shared" si="2"/>
        <v>90952.344</v>
      </c>
      <c r="J388" s="49"/>
    </row>
    <row r="389" ht="22.5" customHeight="1">
      <c r="A389" s="48" t="s">
        <v>596</v>
      </c>
      <c r="B389" s="43" t="s">
        <v>21</v>
      </c>
      <c r="C389" s="43" t="s">
        <v>9</v>
      </c>
      <c r="D389" s="43">
        <v>80.0</v>
      </c>
      <c r="E389" s="44">
        <v>160.0</v>
      </c>
      <c r="F389" s="45">
        <v>5990.0</v>
      </c>
      <c r="G389" s="45">
        <v>31.64</v>
      </c>
      <c r="H389" s="45">
        <f t="shared" si="1"/>
        <v>958.4</v>
      </c>
      <c r="I389" s="45">
        <f t="shared" si="2"/>
        <v>30323.776</v>
      </c>
      <c r="J389" s="49"/>
    </row>
    <row r="390" ht="22.5" customHeight="1">
      <c r="A390" s="48" t="s">
        <v>596</v>
      </c>
      <c r="B390" s="43" t="s">
        <v>21</v>
      </c>
      <c r="C390" s="43" t="s">
        <v>9</v>
      </c>
      <c r="D390" s="43">
        <v>80.0</v>
      </c>
      <c r="E390" s="44">
        <v>170.0</v>
      </c>
      <c r="F390" s="45">
        <v>5990.0</v>
      </c>
      <c r="G390" s="45">
        <v>31.64</v>
      </c>
      <c r="H390" s="45">
        <f t="shared" si="1"/>
        <v>1018.3</v>
      </c>
      <c r="I390" s="45">
        <f t="shared" si="2"/>
        <v>32219.012</v>
      </c>
      <c r="J390" s="49"/>
    </row>
    <row r="391" ht="22.5" customHeight="1">
      <c r="A391" s="48" t="s">
        <v>596</v>
      </c>
      <c r="B391" s="43" t="s">
        <v>21</v>
      </c>
      <c r="C391" s="43" t="s">
        <v>9</v>
      </c>
      <c r="D391" s="43">
        <v>80.0</v>
      </c>
      <c r="E391" s="44">
        <v>290.0</v>
      </c>
      <c r="F391" s="45">
        <v>7980.0</v>
      </c>
      <c r="G391" s="45">
        <v>31.64</v>
      </c>
      <c r="H391" s="45">
        <f t="shared" si="1"/>
        <v>2314.2</v>
      </c>
      <c r="I391" s="45">
        <f t="shared" si="2"/>
        <v>73221.288</v>
      </c>
      <c r="J391" s="49"/>
    </row>
    <row r="392" ht="22.5" customHeight="1">
      <c r="A392" s="48" t="s">
        <v>596</v>
      </c>
      <c r="B392" s="43" t="s">
        <v>21</v>
      </c>
      <c r="C392" s="43" t="s">
        <v>9</v>
      </c>
      <c r="D392" s="43">
        <v>80.0</v>
      </c>
      <c r="E392" s="44">
        <v>300.0</v>
      </c>
      <c r="F392" s="45">
        <v>2000.0</v>
      </c>
      <c r="G392" s="45">
        <v>31.64</v>
      </c>
      <c r="H392" s="45">
        <f t="shared" si="1"/>
        <v>600</v>
      </c>
      <c r="I392" s="45">
        <f t="shared" si="2"/>
        <v>18984</v>
      </c>
      <c r="J392" s="49"/>
    </row>
    <row r="393" ht="22.5" customHeight="1">
      <c r="A393" s="48" t="s">
        <v>596</v>
      </c>
      <c r="B393" s="43" t="s">
        <v>21</v>
      </c>
      <c r="C393" s="43" t="s">
        <v>9</v>
      </c>
      <c r="D393" s="43">
        <v>80.0</v>
      </c>
      <c r="E393" s="44">
        <v>250.0</v>
      </c>
      <c r="F393" s="45">
        <v>9990.0</v>
      </c>
      <c r="G393" s="45">
        <v>31.64</v>
      </c>
      <c r="H393" s="45">
        <f t="shared" si="1"/>
        <v>2497.5</v>
      </c>
      <c r="I393" s="45">
        <f t="shared" si="2"/>
        <v>79020.9</v>
      </c>
      <c r="J393" s="49"/>
    </row>
    <row r="394" ht="22.5" customHeight="1">
      <c r="A394" s="48" t="s">
        <v>596</v>
      </c>
      <c r="B394" s="43" t="s">
        <v>27</v>
      </c>
      <c r="C394" s="43" t="s">
        <v>9</v>
      </c>
      <c r="D394" s="43">
        <v>80.0</v>
      </c>
      <c r="E394" s="44">
        <v>160.0</v>
      </c>
      <c r="F394" s="45">
        <v>18020.0</v>
      </c>
      <c r="G394" s="45">
        <v>27.5</v>
      </c>
      <c r="H394" s="45">
        <f t="shared" si="1"/>
        <v>2883.2</v>
      </c>
      <c r="I394" s="45">
        <f t="shared" si="2"/>
        <v>79288</v>
      </c>
      <c r="J394" s="49"/>
    </row>
    <row r="395" ht="22.5" customHeight="1">
      <c r="A395" s="48" t="s">
        <v>605</v>
      </c>
      <c r="B395" s="43" t="s">
        <v>27</v>
      </c>
      <c r="C395" s="43" t="s">
        <v>9</v>
      </c>
      <c r="D395" s="43">
        <v>80.0</v>
      </c>
      <c r="E395" s="44">
        <v>140.0</v>
      </c>
      <c r="F395" s="45">
        <v>4500.0</v>
      </c>
      <c r="G395" s="45">
        <v>27.5</v>
      </c>
      <c r="H395" s="45">
        <f t="shared" si="1"/>
        <v>630</v>
      </c>
      <c r="I395" s="45">
        <f t="shared" si="2"/>
        <v>17325</v>
      </c>
      <c r="J395" s="49"/>
    </row>
    <row r="396" ht="22.5" customHeight="1">
      <c r="A396" s="48" t="s">
        <v>605</v>
      </c>
      <c r="B396" s="43" t="s">
        <v>27</v>
      </c>
      <c r="C396" s="43" t="s">
        <v>9</v>
      </c>
      <c r="D396" s="43">
        <v>80.0</v>
      </c>
      <c r="E396" s="44">
        <v>160.0</v>
      </c>
      <c r="F396" s="45">
        <v>19300.0</v>
      </c>
      <c r="G396" s="45">
        <v>27.5</v>
      </c>
      <c r="H396" s="45">
        <f t="shared" si="1"/>
        <v>3088</v>
      </c>
      <c r="I396" s="45">
        <f t="shared" si="2"/>
        <v>84920</v>
      </c>
      <c r="J396" s="49"/>
    </row>
    <row r="397" ht="22.5" customHeight="1">
      <c r="A397" s="48" t="s">
        <v>605</v>
      </c>
      <c r="B397" s="43" t="s">
        <v>27</v>
      </c>
      <c r="C397" s="43" t="s">
        <v>9</v>
      </c>
      <c r="D397" s="43">
        <v>80.0</v>
      </c>
      <c r="E397" s="44">
        <v>220.0</v>
      </c>
      <c r="F397" s="45">
        <v>5980.0</v>
      </c>
      <c r="G397" s="45">
        <v>27.5</v>
      </c>
      <c r="H397" s="45">
        <f t="shared" si="1"/>
        <v>1315.6</v>
      </c>
      <c r="I397" s="45">
        <f t="shared" si="2"/>
        <v>36179</v>
      </c>
      <c r="J397" s="49"/>
    </row>
    <row r="398" ht="22.5" customHeight="1">
      <c r="A398" s="48" t="s">
        <v>605</v>
      </c>
      <c r="B398" s="43" t="s">
        <v>27</v>
      </c>
      <c r="C398" s="43" t="s">
        <v>9</v>
      </c>
      <c r="D398" s="43">
        <v>80.0</v>
      </c>
      <c r="E398" s="44">
        <v>230.0</v>
      </c>
      <c r="F398" s="45">
        <v>4210.0</v>
      </c>
      <c r="G398" s="45">
        <v>27.5</v>
      </c>
      <c r="H398" s="45">
        <f t="shared" si="1"/>
        <v>968.3</v>
      </c>
      <c r="I398" s="45">
        <f t="shared" si="2"/>
        <v>26628.25</v>
      </c>
      <c r="J398" s="49"/>
    </row>
    <row r="399" ht="22.5" customHeight="1">
      <c r="A399" s="48" t="s">
        <v>605</v>
      </c>
      <c r="B399" s="43" t="s">
        <v>27</v>
      </c>
      <c r="C399" s="43" t="s">
        <v>9</v>
      </c>
      <c r="D399" s="43">
        <v>80.0</v>
      </c>
      <c r="E399" s="44">
        <v>260.0</v>
      </c>
      <c r="F399" s="45">
        <v>2990.0</v>
      </c>
      <c r="G399" s="45">
        <v>27.5</v>
      </c>
      <c r="H399" s="45">
        <f t="shared" si="1"/>
        <v>777.4</v>
      </c>
      <c r="I399" s="45">
        <f t="shared" si="2"/>
        <v>21378.5</v>
      </c>
      <c r="J399" s="49"/>
    </row>
    <row r="400" ht="22.5" customHeight="1">
      <c r="A400" s="48" t="s">
        <v>605</v>
      </c>
      <c r="B400" s="43" t="s">
        <v>27</v>
      </c>
      <c r="C400" s="43" t="s">
        <v>43</v>
      </c>
      <c r="D400" s="43">
        <v>50.0</v>
      </c>
      <c r="E400" s="44">
        <v>200.0</v>
      </c>
      <c r="F400" s="45">
        <v>2030.0</v>
      </c>
      <c r="G400" s="45">
        <v>36.0</v>
      </c>
      <c r="H400" s="45">
        <f t="shared" si="1"/>
        <v>406</v>
      </c>
      <c r="I400" s="45">
        <f t="shared" si="2"/>
        <v>14616</v>
      </c>
      <c r="J400" s="49"/>
    </row>
    <row r="401" ht="22.5" customHeight="1">
      <c r="A401" s="48" t="s">
        <v>605</v>
      </c>
      <c r="B401" s="43" t="s">
        <v>27</v>
      </c>
      <c r="C401" s="43" t="s">
        <v>42</v>
      </c>
      <c r="D401" s="43">
        <v>50.0</v>
      </c>
      <c r="E401" s="44">
        <v>180.0</v>
      </c>
      <c r="F401" s="45">
        <v>2000.0</v>
      </c>
      <c r="G401" s="45">
        <v>36.0</v>
      </c>
      <c r="H401" s="45">
        <f t="shared" si="1"/>
        <v>360</v>
      </c>
      <c r="I401" s="45">
        <f t="shared" si="2"/>
        <v>12960</v>
      </c>
      <c r="J401" s="49"/>
    </row>
    <row r="402" ht="22.5" customHeight="1">
      <c r="A402" s="48" t="s">
        <v>611</v>
      </c>
      <c r="B402" s="43" t="s">
        <v>27</v>
      </c>
      <c r="C402" s="43" t="s">
        <v>43</v>
      </c>
      <c r="D402" s="43">
        <v>50.0</v>
      </c>
      <c r="E402" s="44">
        <v>190.0</v>
      </c>
      <c r="F402" s="45">
        <v>3941.0</v>
      </c>
      <c r="G402" s="45">
        <v>36.0</v>
      </c>
      <c r="H402" s="45">
        <f t="shared" si="1"/>
        <v>748.79</v>
      </c>
      <c r="I402" s="45">
        <f t="shared" si="2"/>
        <v>26956.44</v>
      </c>
      <c r="J402" s="49"/>
    </row>
    <row r="403" ht="22.5" customHeight="1">
      <c r="A403" s="48" t="s">
        <v>611</v>
      </c>
      <c r="B403" s="43" t="s">
        <v>27</v>
      </c>
      <c r="C403" s="43" t="s">
        <v>42</v>
      </c>
      <c r="D403" s="43">
        <v>50.0</v>
      </c>
      <c r="E403" s="44">
        <v>180.0</v>
      </c>
      <c r="F403" s="45">
        <v>4000.0</v>
      </c>
      <c r="G403" s="45">
        <v>36.0</v>
      </c>
      <c r="H403" s="45">
        <f t="shared" si="1"/>
        <v>720</v>
      </c>
      <c r="I403" s="45">
        <f t="shared" si="2"/>
        <v>25920</v>
      </c>
      <c r="J403" s="49"/>
    </row>
    <row r="404" ht="22.5" customHeight="1">
      <c r="A404" s="48" t="s">
        <v>611</v>
      </c>
      <c r="B404" s="43" t="s">
        <v>27</v>
      </c>
      <c r="C404" s="43" t="s">
        <v>43</v>
      </c>
      <c r="D404" s="43">
        <v>50.0</v>
      </c>
      <c r="E404" s="44">
        <v>125.0</v>
      </c>
      <c r="F404" s="45">
        <v>11090.0</v>
      </c>
      <c r="G404" s="45">
        <v>36.0</v>
      </c>
      <c r="H404" s="45">
        <f t="shared" si="1"/>
        <v>1386.25</v>
      </c>
      <c r="I404" s="45">
        <f t="shared" si="2"/>
        <v>49905</v>
      </c>
      <c r="J404" s="49"/>
    </row>
    <row r="405" ht="22.5" customHeight="1">
      <c r="A405" s="48" t="s">
        <v>611</v>
      </c>
      <c r="B405" s="43" t="s">
        <v>27</v>
      </c>
      <c r="C405" s="43" t="s">
        <v>42</v>
      </c>
      <c r="D405" s="43">
        <v>50.0</v>
      </c>
      <c r="E405" s="44">
        <v>143.0</v>
      </c>
      <c r="F405" s="45">
        <v>2000.0</v>
      </c>
      <c r="G405" s="45">
        <v>36.0</v>
      </c>
      <c r="H405" s="45">
        <f t="shared" si="1"/>
        <v>286</v>
      </c>
      <c r="I405" s="45">
        <f t="shared" si="2"/>
        <v>10296</v>
      </c>
      <c r="J405" s="49"/>
    </row>
    <row r="406" ht="22.5" customHeight="1">
      <c r="A406" s="48" t="s">
        <v>611</v>
      </c>
      <c r="B406" s="43" t="s">
        <v>27</v>
      </c>
      <c r="C406" s="43" t="s">
        <v>43</v>
      </c>
      <c r="D406" s="43">
        <v>50.0</v>
      </c>
      <c r="E406" s="44">
        <v>195.0</v>
      </c>
      <c r="F406" s="45">
        <v>6000.0</v>
      </c>
      <c r="G406" s="45">
        <v>36.0</v>
      </c>
      <c r="H406" s="45">
        <f t="shared" si="1"/>
        <v>1170</v>
      </c>
      <c r="I406" s="45">
        <f t="shared" si="2"/>
        <v>42120</v>
      </c>
      <c r="J406" s="49"/>
    </row>
    <row r="407" ht="22.5" customHeight="1">
      <c r="A407" s="48" t="s">
        <v>611</v>
      </c>
      <c r="B407" s="43" t="s">
        <v>27</v>
      </c>
      <c r="C407" s="43" t="s">
        <v>42</v>
      </c>
      <c r="D407" s="43">
        <v>50.0</v>
      </c>
      <c r="E407" s="44">
        <v>180.0</v>
      </c>
      <c r="F407" s="45">
        <v>7830.0</v>
      </c>
      <c r="G407" s="45">
        <v>36.0</v>
      </c>
      <c r="H407" s="45">
        <f t="shared" si="1"/>
        <v>1409.4</v>
      </c>
      <c r="I407" s="45">
        <f t="shared" si="2"/>
        <v>50738.4</v>
      </c>
      <c r="J407" s="49"/>
    </row>
    <row r="408" ht="22.5" customHeight="1">
      <c r="A408" s="48" t="s">
        <v>611</v>
      </c>
      <c r="B408" s="43" t="s">
        <v>27</v>
      </c>
      <c r="C408" s="43" t="s">
        <v>42</v>
      </c>
      <c r="D408" s="43">
        <v>50.0</v>
      </c>
      <c r="E408" s="44">
        <v>143.0</v>
      </c>
      <c r="F408" s="45">
        <v>4915.0</v>
      </c>
      <c r="G408" s="45">
        <v>36.0</v>
      </c>
      <c r="H408" s="45">
        <f t="shared" si="1"/>
        <v>702.845</v>
      </c>
      <c r="I408" s="45">
        <f t="shared" si="2"/>
        <v>25302.42</v>
      </c>
      <c r="J408" s="49"/>
    </row>
    <row r="409" ht="22.5" customHeight="1">
      <c r="A409" s="48" t="s">
        <v>618</v>
      </c>
      <c r="B409" s="43" t="s">
        <v>21</v>
      </c>
      <c r="C409" s="43" t="s">
        <v>9</v>
      </c>
      <c r="D409" s="43">
        <v>80.0</v>
      </c>
      <c r="E409" s="44">
        <v>150.0</v>
      </c>
      <c r="F409" s="45">
        <v>8010.0</v>
      </c>
      <c r="G409" s="45">
        <v>31.64</v>
      </c>
      <c r="H409" s="45">
        <f t="shared" si="1"/>
        <v>1201.5</v>
      </c>
      <c r="I409" s="45">
        <f t="shared" si="2"/>
        <v>38015.46</v>
      </c>
      <c r="J409" s="49"/>
    </row>
    <row r="410" ht="22.5" customHeight="1">
      <c r="A410" s="48" t="s">
        <v>618</v>
      </c>
      <c r="B410" s="43" t="s">
        <v>21</v>
      </c>
      <c r="C410" s="43" t="s">
        <v>9</v>
      </c>
      <c r="D410" s="43">
        <v>80.0</v>
      </c>
      <c r="E410" s="44">
        <v>210.0</v>
      </c>
      <c r="F410" s="45">
        <v>7980.0</v>
      </c>
      <c r="G410" s="45">
        <v>31.64</v>
      </c>
      <c r="H410" s="45">
        <f t="shared" si="1"/>
        <v>1675.8</v>
      </c>
      <c r="I410" s="45">
        <f t="shared" si="2"/>
        <v>53022.312</v>
      </c>
      <c r="J410" s="49"/>
    </row>
    <row r="411" ht="22.5" customHeight="1">
      <c r="A411" s="48" t="s">
        <v>618</v>
      </c>
      <c r="B411" s="43" t="s">
        <v>21</v>
      </c>
      <c r="C411" s="43" t="s">
        <v>9</v>
      </c>
      <c r="D411" s="43">
        <v>80.0</v>
      </c>
      <c r="E411" s="44">
        <v>290.0</v>
      </c>
      <c r="F411" s="45">
        <v>17980.0</v>
      </c>
      <c r="G411" s="45">
        <v>31.64</v>
      </c>
      <c r="H411" s="45">
        <f t="shared" si="1"/>
        <v>5214.2</v>
      </c>
      <c r="I411" s="45">
        <f t="shared" si="2"/>
        <v>164977.288</v>
      </c>
      <c r="J411" s="49"/>
    </row>
    <row r="412" ht="22.5" customHeight="1">
      <c r="A412" s="48" t="s">
        <v>622</v>
      </c>
      <c r="B412" s="43" t="s">
        <v>21</v>
      </c>
      <c r="C412" s="43" t="s">
        <v>9</v>
      </c>
      <c r="D412" s="43">
        <v>80.0</v>
      </c>
      <c r="E412" s="44">
        <v>170.0</v>
      </c>
      <c r="F412" s="45">
        <v>15170.0</v>
      </c>
      <c r="G412" s="45">
        <v>31.64</v>
      </c>
      <c r="H412" s="45">
        <f t="shared" si="1"/>
        <v>2578.9</v>
      </c>
      <c r="I412" s="45">
        <f t="shared" si="2"/>
        <v>81596.396</v>
      </c>
      <c r="J412" s="49"/>
    </row>
    <row r="413" ht="22.5" customHeight="1">
      <c r="A413" s="48" t="s">
        <v>622</v>
      </c>
      <c r="B413" s="43" t="s">
        <v>21</v>
      </c>
      <c r="C413" s="43" t="s">
        <v>9</v>
      </c>
      <c r="D413" s="43">
        <v>80.0</v>
      </c>
      <c r="E413" s="44">
        <v>180.0</v>
      </c>
      <c r="F413" s="45">
        <v>5135.0</v>
      </c>
      <c r="G413" s="45">
        <v>31.64</v>
      </c>
      <c r="H413" s="45">
        <f t="shared" si="1"/>
        <v>924.3</v>
      </c>
      <c r="I413" s="45">
        <f t="shared" si="2"/>
        <v>29244.852</v>
      </c>
      <c r="J413" s="49"/>
    </row>
    <row r="414" ht="22.5" customHeight="1">
      <c r="A414" s="48" t="s">
        <v>622</v>
      </c>
      <c r="B414" s="43" t="s">
        <v>21</v>
      </c>
      <c r="C414" s="43" t="s">
        <v>9</v>
      </c>
      <c r="D414" s="43">
        <v>80.0</v>
      </c>
      <c r="E414" s="44">
        <v>190.0</v>
      </c>
      <c r="F414" s="45">
        <v>29850.0</v>
      </c>
      <c r="G414" s="45">
        <v>42.92</v>
      </c>
      <c r="H414" s="45">
        <f t="shared" si="1"/>
        <v>5671.5</v>
      </c>
      <c r="I414" s="45">
        <f t="shared" si="2"/>
        <v>243420.78</v>
      </c>
      <c r="J414" s="49"/>
    </row>
    <row r="415" ht="22.5" customHeight="1">
      <c r="A415" s="47">
        <v>46029.0</v>
      </c>
      <c r="B415" s="43" t="s">
        <v>23</v>
      </c>
      <c r="C415" s="43" t="s">
        <v>42</v>
      </c>
      <c r="D415" s="43">
        <v>50.0</v>
      </c>
      <c r="E415" s="44">
        <v>180.0</v>
      </c>
      <c r="F415" s="45">
        <v>19480.0</v>
      </c>
      <c r="G415" s="45">
        <v>34.5</v>
      </c>
      <c r="H415" s="45">
        <f t="shared" si="1"/>
        <v>3506.4</v>
      </c>
      <c r="I415" s="45">
        <f t="shared" si="2"/>
        <v>120970.8</v>
      </c>
      <c r="J415" s="49"/>
    </row>
    <row r="416" ht="22.5" customHeight="1">
      <c r="A416" s="47">
        <v>46333.0</v>
      </c>
      <c r="B416" s="43" t="s">
        <v>21</v>
      </c>
      <c r="C416" s="43" t="s">
        <v>43</v>
      </c>
      <c r="D416" s="43">
        <v>50.0</v>
      </c>
      <c r="E416" s="44">
        <v>190.0</v>
      </c>
      <c r="F416" s="45">
        <v>40120.0</v>
      </c>
      <c r="G416" s="45">
        <v>42.92</v>
      </c>
      <c r="H416" s="45">
        <f t="shared" si="1"/>
        <v>7622.8</v>
      </c>
      <c r="I416" s="45">
        <f t="shared" si="2"/>
        <v>327170.576</v>
      </c>
      <c r="J416" s="49"/>
    </row>
    <row r="417" ht="22.5" customHeight="1">
      <c r="A417" s="48" t="s">
        <v>627</v>
      </c>
      <c r="B417" s="43" t="s">
        <v>78</v>
      </c>
      <c r="C417" s="43" t="s">
        <v>42</v>
      </c>
      <c r="D417" s="43">
        <v>50.0</v>
      </c>
      <c r="E417" s="44">
        <v>210.0</v>
      </c>
      <c r="F417" s="45">
        <v>4000.0</v>
      </c>
      <c r="G417" s="45">
        <v>34.0</v>
      </c>
      <c r="H417" s="45">
        <f t="shared" si="1"/>
        <v>840</v>
      </c>
      <c r="I417" s="45">
        <f t="shared" si="2"/>
        <v>28560</v>
      </c>
      <c r="J417" s="49"/>
    </row>
    <row r="418" ht="22.5" customHeight="1">
      <c r="A418" s="48" t="s">
        <v>629</v>
      </c>
      <c r="B418" s="43" t="s">
        <v>23</v>
      </c>
      <c r="C418" s="43" t="s">
        <v>42</v>
      </c>
      <c r="D418" s="43">
        <v>50.0</v>
      </c>
      <c r="E418" s="44">
        <v>280.0</v>
      </c>
      <c r="F418" s="45">
        <v>1600.0</v>
      </c>
      <c r="G418" s="45">
        <v>34.0</v>
      </c>
      <c r="H418" s="45">
        <f t="shared" si="1"/>
        <v>448</v>
      </c>
      <c r="I418" s="45">
        <f t="shared" si="2"/>
        <v>15232</v>
      </c>
      <c r="J418" s="49"/>
    </row>
    <row r="419" ht="22.5" customHeight="1">
      <c r="A419" s="48" t="s">
        <v>629</v>
      </c>
      <c r="B419" s="43" t="s">
        <v>27</v>
      </c>
      <c r="C419" s="43"/>
      <c r="D419" s="43"/>
      <c r="E419" s="44">
        <v>126.0</v>
      </c>
      <c r="F419" s="45">
        <v>4000.0</v>
      </c>
      <c r="G419" s="45">
        <v>27.75</v>
      </c>
      <c r="H419" s="45">
        <f t="shared" si="1"/>
        <v>504</v>
      </c>
      <c r="I419" s="45">
        <f t="shared" si="2"/>
        <v>13986</v>
      </c>
      <c r="J419" s="49"/>
    </row>
    <row r="420" ht="22.5" customHeight="1">
      <c r="A420" s="48" t="s">
        <v>629</v>
      </c>
      <c r="B420" s="43" t="s">
        <v>27</v>
      </c>
      <c r="C420" s="43"/>
      <c r="D420" s="43"/>
      <c r="E420" s="44">
        <v>140.0</v>
      </c>
      <c r="F420" s="45">
        <v>4440.0</v>
      </c>
      <c r="G420" s="45">
        <v>47.0</v>
      </c>
      <c r="H420" s="45">
        <f t="shared" si="1"/>
        <v>621.6</v>
      </c>
      <c r="I420" s="45">
        <f t="shared" si="2"/>
        <v>29215.2</v>
      </c>
      <c r="J420" s="49"/>
    </row>
    <row r="421" ht="22.5" customHeight="1">
      <c r="A421" s="48" t="s">
        <v>632</v>
      </c>
      <c r="B421" s="43" t="s">
        <v>78</v>
      </c>
      <c r="C421" s="43" t="s">
        <v>42</v>
      </c>
      <c r="D421" s="43">
        <v>50.0</v>
      </c>
      <c r="E421" s="44">
        <v>215.0</v>
      </c>
      <c r="F421" s="45">
        <v>1780.0</v>
      </c>
      <c r="G421" s="45">
        <v>34.0</v>
      </c>
      <c r="H421" s="45">
        <f t="shared" si="1"/>
        <v>382.7</v>
      </c>
      <c r="I421" s="45">
        <f t="shared" si="2"/>
        <v>13011.8</v>
      </c>
      <c r="J421" s="49"/>
    </row>
    <row r="422" ht="22.5" customHeight="1">
      <c r="A422" s="48" t="s">
        <v>632</v>
      </c>
      <c r="B422" s="43" t="s">
        <v>78</v>
      </c>
      <c r="C422" s="43" t="s">
        <v>42</v>
      </c>
      <c r="D422" s="43">
        <v>50.0</v>
      </c>
      <c r="E422" s="44">
        <v>200.0</v>
      </c>
      <c r="F422" s="45">
        <v>1930.0</v>
      </c>
      <c r="G422" s="45">
        <v>34.0</v>
      </c>
      <c r="H422" s="45">
        <f t="shared" si="1"/>
        <v>386</v>
      </c>
      <c r="I422" s="45">
        <f t="shared" si="2"/>
        <v>13124</v>
      </c>
      <c r="J422" s="49"/>
    </row>
    <row r="423" ht="22.5" customHeight="1">
      <c r="A423" s="48" t="s">
        <v>632</v>
      </c>
      <c r="B423" s="43" t="s">
        <v>78</v>
      </c>
      <c r="C423" s="43" t="s">
        <v>42</v>
      </c>
      <c r="D423" s="43">
        <v>50.0</v>
      </c>
      <c r="E423" s="44">
        <v>195.0</v>
      </c>
      <c r="F423" s="45">
        <v>1250.0</v>
      </c>
      <c r="G423" s="45">
        <v>34.0</v>
      </c>
      <c r="H423" s="45">
        <f t="shared" si="1"/>
        <v>243.75</v>
      </c>
      <c r="I423" s="45">
        <f t="shared" si="2"/>
        <v>8287.5</v>
      </c>
      <c r="J423" s="49"/>
    </row>
    <row r="424" ht="22.5" customHeight="1">
      <c r="A424" s="48" t="s">
        <v>632</v>
      </c>
      <c r="B424" s="43" t="s">
        <v>23</v>
      </c>
      <c r="C424" s="43" t="s">
        <v>42</v>
      </c>
      <c r="D424" s="43">
        <v>50.0</v>
      </c>
      <c r="E424" s="44">
        <v>280.0</v>
      </c>
      <c r="F424" s="45">
        <v>1600.0</v>
      </c>
      <c r="G424" s="45">
        <v>34.0</v>
      </c>
      <c r="H424" s="45">
        <f t="shared" si="1"/>
        <v>448</v>
      </c>
      <c r="I424" s="45">
        <f t="shared" si="2"/>
        <v>15232</v>
      </c>
      <c r="J424" s="49"/>
    </row>
    <row r="425" ht="22.5" customHeight="1">
      <c r="A425" s="48" t="s">
        <v>636</v>
      </c>
      <c r="B425" s="43" t="s">
        <v>21</v>
      </c>
      <c r="C425" s="43" t="s">
        <v>42</v>
      </c>
      <c r="D425" s="43">
        <v>50.0</v>
      </c>
      <c r="E425" s="44">
        <v>180.0</v>
      </c>
      <c r="F425" s="45">
        <v>5000.0</v>
      </c>
      <c r="G425" s="45">
        <v>42.92</v>
      </c>
      <c r="H425" s="45">
        <f t="shared" si="1"/>
        <v>900</v>
      </c>
      <c r="I425" s="45">
        <f t="shared" si="2"/>
        <v>38628</v>
      </c>
      <c r="J425" s="49"/>
    </row>
    <row r="426" ht="22.5" customHeight="1">
      <c r="A426" s="48" t="s">
        <v>636</v>
      </c>
      <c r="B426" s="43" t="s">
        <v>21</v>
      </c>
      <c r="C426" s="43" t="s">
        <v>42</v>
      </c>
      <c r="D426" s="43">
        <v>50.0</v>
      </c>
      <c r="E426" s="44">
        <v>100.0</v>
      </c>
      <c r="F426" s="45">
        <v>960.0</v>
      </c>
      <c r="G426" s="45">
        <v>42.92</v>
      </c>
      <c r="H426" s="45">
        <f t="shared" si="1"/>
        <v>96</v>
      </c>
      <c r="I426" s="45">
        <f t="shared" si="2"/>
        <v>4120.32</v>
      </c>
      <c r="J426" s="49"/>
    </row>
    <row r="427" ht="22.5" customHeight="1">
      <c r="A427" s="48" t="s">
        <v>640</v>
      </c>
      <c r="B427" s="43" t="s">
        <v>23</v>
      </c>
      <c r="C427" s="43" t="s">
        <v>42</v>
      </c>
      <c r="D427" s="43">
        <v>50.0</v>
      </c>
      <c r="E427" s="44">
        <v>180.0</v>
      </c>
      <c r="F427" s="45">
        <v>2160.0</v>
      </c>
      <c r="G427" s="45">
        <v>34.0</v>
      </c>
      <c r="H427" s="45">
        <f t="shared" si="1"/>
        <v>388.8</v>
      </c>
      <c r="I427" s="45">
        <f t="shared" si="2"/>
        <v>13219.2</v>
      </c>
      <c r="J427" s="49"/>
    </row>
    <row r="428" ht="22.5" customHeight="1">
      <c r="A428" s="48" t="s">
        <v>642</v>
      </c>
      <c r="B428" s="43" t="s">
        <v>21</v>
      </c>
      <c r="C428" s="43" t="s">
        <v>9</v>
      </c>
      <c r="D428" s="43">
        <v>80.0</v>
      </c>
      <c r="E428" s="44">
        <v>250.0</v>
      </c>
      <c r="F428" s="45">
        <v>15950.0</v>
      </c>
      <c r="G428" s="45">
        <v>25.0</v>
      </c>
      <c r="H428" s="45">
        <f t="shared" si="1"/>
        <v>3987.5</v>
      </c>
      <c r="I428" s="45">
        <f t="shared" si="2"/>
        <v>99687.5</v>
      </c>
      <c r="J428" s="49"/>
    </row>
    <row r="429" ht="22.5" customHeight="1">
      <c r="A429" s="48" t="s">
        <v>642</v>
      </c>
      <c r="B429" s="43" t="s">
        <v>27</v>
      </c>
      <c r="C429" s="43" t="s">
        <v>9</v>
      </c>
      <c r="D429" s="43">
        <v>80.0</v>
      </c>
      <c r="E429" s="44">
        <v>140.0</v>
      </c>
      <c r="F429" s="45">
        <v>10080.0</v>
      </c>
      <c r="G429" s="45">
        <v>27.0</v>
      </c>
      <c r="H429" s="45">
        <f t="shared" si="1"/>
        <v>1411.2</v>
      </c>
      <c r="I429" s="45">
        <f t="shared" si="2"/>
        <v>38102.4</v>
      </c>
      <c r="J429" s="49"/>
    </row>
    <row r="430" ht="22.5" customHeight="1">
      <c r="A430" s="48" t="s">
        <v>642</v>
      </c>
      <c r="B430" s="43" t="s">
        <v>27</v>
      </c>
      <c r="C430" s="43" t="s">
        <v>9</v>
      </c>
      <c r="D430" s="43">
        <v>80.0</v>
      </c>
      <c r="E430" s="44">
        <v>160.0</v>
      </c>
      <c r="F430" s="45">
        <v>10140.0</v>
      </c>
      <c r="G430" s="45">
        <v>27.0</v>
      </c>
      <c r="H430" s="45">
        <f t="shared" si="1"/>
        <v>1622.4</v>
      </c>
      <c r="I430" s="45">
        <f t="shared" si="2"/>
        <v>43804.8</v>
      </c>
      <c r="J430" s="49"/>
    </row>
    <row r="431" ht="22.5" customHeight="1">
      <c r="A431" s="48" t="s">
        <v>642</v>
      </c>
      <c r="B431" s="43" t="s">
        <v>27</v>
      </c>
      <c r="C431" s="43" t="s">
        <v>9</v>
      </c>
      <c r="D431" s="43">
        <v>80.0</v>
      </c>
      <c r="E431" s="44">
        <v>185.0</v>
      </c>
      <c r="F431" s="45">
        <v>8880.0</v>
      </c>
      <c r="G431" s="45">
        <v>27.0</v>
      </c>
      <c r="H431" s="45">
        <f t="shared" si="1"/>
        <v>1642.8</v>
      </c>
      <c r="I431" s="45">
        <f t="shared" si="2"/>
        <v>44355.6</v>
      </c>
      <c r="J431" s="49"/>
    </row>
    <row r="432" ht="22.5" customHeight="1">
      <c r="A432" s="48" t="s">
        <v>642</v>
      </c>
      <c r="B432" s="43" t="s">
        <v>27</v>
      </c>
      <c r="C432" s="43" t="s">
        <v>9</v>
      </c>
      <c r="D432" s="43">
        <v>80.0</v>
      </c>
      <c r="E432" s="44">
        <v>220.0</v>
      </c>
      <c r="F432" s="45">
        <v>6040.0</v>
      </c>
      <c r="G432" s="45">
        <v>27.0</v>
      </c>
      <c r="H432" s="45">
        <f t="shared" si="1"/>
        <v>1328.8</v>
      </c>
      <c r="I432" s="45">
        <f t="shared" si="2"/>
        <v>35877.6</v>
      </c>
      <c r="J432" s="49"/>
    </row>
    <row r="433" ht="22.5" customHeight="1">
      <c r="A433" s="48" t="s">
        <v>642</v>
      </c>
      <c r="B433" s="43" t="s">
        <v>27</v>
      </c>
      <c r="C433" s="43" t="s">
        <v>9</v>
      </c>
      <c r="D433" s="43">
        <v>80.0</v>
      </c>
      <c r="E433" s="44">
        <v>260.0</v>
      </c>
      <c r="F433" s="45">
        <v>4400.0</v>
      </c>
      <c r="G433" s="45">
        <v>27.0</v>
      </c>
      <c r="H433" s="45">
        <f t="shared" si="1"/>
        <v>1144</v>
      </c>
      <c r="I433" s="45">
        <f t="shared" si="2"/>
        <v>30888</v>
      </c>
      <c r="J433" s="49"/>
    </row>
    <row r="434" ht="22.5" customHeight="1">
      <c r="A434" s="48" t="s">
        <v>642</v>
      </c>
      <c r="B434" s="43" t="s">
        <v>27</v>
      </c>
      <c r="C434" s="43" t="s">
        <v>26</v>
      </c>
      <c r="D434" s="43">
        <v>50.0</v>
      </c>
      <c r="E434" s="44">
        <v>170.0</v>
      </c>
      <c r="F434" s="45">
        <v>1280.0</v>
      </c>
      <c r="G434" s="45">
        <v>47.0</v>
      </c>
      <c r="H434" s="45">
        <f t="shared" si="1"/>
        <v>217.6</v>
      </c>
      <c r="I434" s="45">
        <f t="shared" si="2"/>
        <v>10227.2</v>
      </c>
      <c r="J434" s="49"/>
    </row>
    <row r="435" ht="22.5" customHeight="1">
      <c r="A435" s="48" t="s">
        <v>642</v>
      </c>
      <c r="B435" s="43" t="s">
        <v>27</v>
      </c>
      <c r="C435" s="43" t="s">
        <v>26</v>
      </c>
      <c r="D435" s="43">
        <v>50.0</v>
      </c>
      <c r="E435" s="44">
        <v>167.0</v>
      </c>
      <c r="F435" s="45">
        <v>4600.0</v>
      </c>
      <c r="G435" s="45">
        <v>47.0</v>
      </c>
      <c r="H435" s="45">
        <f t="shared" si="1"/>
        <v>768.2</v>
      </c>
      <c r="I435" s="45">
        <f t="shared" si="2"/>
        <v>36105.4</v>
      </c>
      <c r="J435" s="49"/>
    </row>
    <row r="436" ht="22.5" customHeight="1">
      <c r="A436" s="48" t="s">
        <v>642</v>
      </c>
      <c r="B436" s="43" t="s">
        <v>76</v>
      </c>
      <c r="C436" s="43" t="s">
        <v>75</v>
      </c>
      <c r="D436" s="43">
        <v>105.0</v>
      </c>
      <c r="E436" s="44">
        <v>205.0</v>
      </c>
      <c r="F436" s="45">
        <v>12000.0</v>
      </c>
      <c r="G436" s="45">
        <v>37.0</v>
      </c>
      <c r="H436" s="45">
        <f t="shared" si="1"/>
        <v>2460</v>
      </c>
      <c r="I436" s="45">
        <f t="shared" si="2"/>
        <v>91020</v>
      </c>
      <c r="J436" s="49"/>
    </row>
    <row r="437" ht="22.5" customHeight="1">
      <c r="A437" s="48" t="s">
        <v>642</v>
      </c>
      <c r="B437" s="43" t="s">
        <v>76</v>
      </c>
      <c r="C437" s="43" t="s">
        <v>75</v>
      </c>
      <c r="D437" s="43">
        <v>105.0</v>
      </c>
      <c r="E437" s="44">
        <v>140.0</v>
      </c>
      <c r="F437" s="45">
        <v>3000.0</v>
      </c>
      <c r="G437" s="45">
        <v>37.0</v>
      </c>
      <c r="H437" s="45">
        <f t="shared" si="1"/>
        <v>420</v>
      </c>
      <c r="I437" s="45">
        <f t="shared" si="2"/>
        <v>15540</v>
      </c>
      <c r="J437" s="49"/>
    </row>
    <row r="438" ht="22.5" customHeight="1">
      <c r="A438" s="48" t="s">
        <v>652</v>
      </c>
      <c r="B438" s="43" t="s">
        <v>23</v>
      </c>
      <c r="C438" s="43" t="s">
        <v>42</v>
      </c>
      <c r="D438" s="43">
        <v>80.0</v>
      </c>
      <c r="E438" s="44">
        <v>180.0</v>
      </c>
      <c r="F438" s="45">
        <v>29600.0</v>
      </c>
      <c r="G438" s="45">
        <v>34.5</v>
      </c>
      <c r="H438" s="45">
        <f t="shared" si="1"/>
        <v>5328</v>
      </c>
      <c r="I438" s="45">
        <f t="shared" si="2"/>
        <v>183816</v>
      </c>
      <c r="J438" s="49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</row>
    <row r="1001">
      <c r="A1001" s="60"/>
      <c r="B1001" s="60"/>
      <c r="C1001" s="60"/>
      <c r="D1001" s="60"/>
      <c r="E1001" s="60"/>
      <c r="F1001" s="60"/>
      <c r="G1001" s="60"/>
      <c r="H1001" s="60"/>
      <c r="I1001" s="60"/>
    </row>
    <row r="1002">
      <c r="A1002" s="60"/>
      <c r="B1002" s="60"/>
      <c r="C1002" s="60"/>
      <c r="D1002" s="60"/>
      <c r="E1002" s="60"/>
      <c r="F1002" s="60"/>
      <c r="G1002" s="60"/>
      <c r="H1002" s="60"/>
      <c r="I1002" s="60"/>
    </row>
    <row r="1003">
      <c r="A1003" s="60"/>
      <c r="B1003" s="60"/>
      <c r="C1003" s="60"/>
      <c r="D1003" s="60"/>
      <c r="E1003" s="60"/>
      <c r="F1003" s="60"/>
      <c r="G1003" s="60"/>
      <c r="H1003" s="60"/>
      <c r="I1003" s="60"/>
    </row>
    <row r="1004">
      <c r="A1004" s="60"/>
      <c r="B1004" s="60"/>
      <c r="C1004" s="60"/>
      <c r="D1004" s="60"/>
      <c r="E1004" s="60"/>
      <c r="F1004" s="60"/>
      <c r="G1004" s="60"/>
      <c r="H1004" s="60"/>
      <c r="I1004" s="60"/>
    </row>
    <row r="1005">
      <c r="A1005" s="60"/>
      <c r="B1005" s="60"/>
      <c r="C1005" s="60"/>
      <c r="D1005" s="60"/>
      <c r="E1005" s="60"/>
      <c r="F1005" s="60"/>
      <c r="G1005" s="60"/>
      <c r="H1005" s="60"/>
      <c r="I1005" s="60"/>
    </row>
    <row r="1006">
      <c r="A1006" s="60"/>
      <c r="B1006" s="60"/>
      <c r="C1006" s="60"/>
      <c r="D1006" s="60"/>
      <c r="E1006" s="60"/>
      <c r="F1006" s="60"/>
      <c r="G1006" s="60"/>
      <c r="H1006" s="60"/>
      <c r="I1006" s="60"/>
    </row>
  </sheetData>
  <conditionalFormatting sqref="H1:H1006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B2:B438">
      <formula1>#REF!</formula1>
    </dataValidation>
    <dataValidation type="list" allowBlank="1" showErrorMessage="1" sqref="B439:B1006">
      <formula1>Masters!$C$2:$C1006</formula1>
    </dataValidation>
    <dataValidation type="list" allowBlank="1" showErrorMessage="1" sqref="C2:D438">
      <formula1>#REF!</formula1>
    </dataValidation>
    <dataValidation type="list" allowBlank="1" showErrorMessage="1" sqref="C439:C1006">
      <formula1>Masters!$A$2:$A1006</formula1>
    </dataValidation>
    <dataValidation type="list" allowBlank="1" showErrorMessage="1" sqref="D439:D1006">
      <formula1>Masters!$B$2:$B1006</formula1>
    </dataValidation>
    <dataValidation type="custom" allowBlank="1" showDropDown="1" sqref="E2:I43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3" max="3" width="15.88"/>
    <col customWidth="1" min="4" max="4" width="19.88"/>
    <col customWidth="1" min="5" max="5" width="19.25"/>
    <col customWidth="1" min="6" max="6" width="16.13"/>
    <col customWidth="1" min="7" max="7" width="19.38"/>
    <col customWidth="1" min="8" max="8" width="16.25"/>
    <col customWidth="1" min="9" max="9" width="18.38"/>
    <col customWidth="1" min="10" max="10" width="30.0"/>
  </cols>
  <sheetData>
    <row r="1" ht="22.5" customHeight="1">
      <c r="A1" s="1" t="s">
        <v>0</v>
      </c>
      <c r="B1" s="1" t="s">
        <v>2</v>
      </c>
      <c r="C1" s="1" t="s">
        <v>4</v>
      </c>
      <c r="D1" s="3" t="s">
        <v>3</v>
      </c>
      <c r="E1" s="1" t="s">
        <v>6</v>
      </c>
      <c r="F1" s="1" t="s">
        <v>5</v>
      </c>
      <c r="G1" s="5" t="s">
        <v>8</v>
      </c>
      <c r="H1" s="1" t="s">
        <v>15</v>
      </c>
      <c r="I1" s="1" t="s">
        <v>19</v>
      </c>
      <c r="J1" s="1" t="s">
        <v>16</v>
      </c>
      <c r="K1" s="9" t="s">
        <v>18</v>
      </c>
    </row>
    <row r="2" ht="22.5" customHeight="1">
      <c r="A2" s="10">
        <v>45891.0</v>
      </c>
      <c r="B2" s="12" t="s">
        <v>22</v>
      </c>
      <c r="C2" s="13" t="s">
        <v>26</v>
      </c>
      <c r="D2" s="13">
        <v>80.0</v>
      </c>
      <c r="E2" s="15">
        <v>280.0</v>
      </c>
      <c r="F2" s="13" t="s">
        <v>27</v>
      </c>
      <c r="G2" s="17" t="s">
        <v>29</v>
      </c>
      <c r="H2" s="18">
        <v>400.0</v>
      </c>
      <c r="I2" s="21">
        <f t="shared" ref="I2:I2005" si="1">H2*E2/1000</f>
        <v>112</v>
      </c>
      <c r="J2" s="21"/>
      <c r="K2" s="22"/>
    </row>
    <row r="3" ht="22.5" customHeight="1">
      <c r="A3" s="10">
        <v>45891.0</v>
      </c>
      <c r="B3" s="12" t="s">
        <v>22</v>
      </c>
      <c r="C3" s="13" t="s">
        <v>26</v>
      </c>
      <c r="D3" s="13">
        <v>80.0</v>
      </c>
      <c r="E3" s="15">
        <v>260.0</v>
      </c>
      <c r="F3" s="13" t="s">
        <v>27</v>
      </c>
      <c r="G3" s="17" t="s">
        <v>29</v>
      </c>
      <c r="H3" s="18">
        <v>1000.0</v>
      </c>
      <c r="I3" s="21">
        <f t="shared" si="1"/>
        <v>260</v>
      </c>
      <c r="J3" s="21"/>
      <c r="K3" s="22"/>
    </row>
    <row r="4" ht="22.5" customHeight="1">
      <c r="A4" s="10">
        <v>45891.0</v>
      </c>
      <c r="B4" s="12" t="s">
        <v>22</v>
      </c>
      <c r="C4" s="13" t="s">
        <v>26</v>
      </c>
      <c r="D4" s="13">
        <v>80.0</v>
      </c>
      <c r="E4" s="15">
        <v>160.0</v>
      </c>
      <c r="F4" s="13" t="s">
        <v>27</v>
      </c>
      <c r="G4" s="17" t="s">
        <v>29</v>
      </c>
      <c r="H4" s="18">
        <v>540.0</v>
      </c>
      <c r="I4" s="21">
        <f t="shared" si="1"/>
        <v>86.4</v>
      </c>
      <c r="J4" s="21"/>
      <c r="K4" s="22"/>
    </row>
    <row r="5" ht="22.5" customHeight="1">
      <c r="A5" s="10">
        <v>45891.0</v>
      </c>
      <c r="B5" s="12" t="s">
        <v>22</v>
      </c>
      <c r="C5" s="13" t="s">
        <v>26</v>
      </c>
      <c r="D5" s="13">
        <v>80.0</v>
      </c>
      <c r="E5" s="15">
        <v>140.0</v>
      </c>
      <c r="F5" s="13" t="s">
        <v>27</v>
      </c>
      <c r="G5" s="17" t="s">
        <v>29</v>
      </c>
      <c r="H5" s="18">
        <v>1350.0</v>
      </c>
      <c r="I5" s="21">
        <f t="shared" si="1"/>
        <v>189</v>
      </c>
      <c r="J5" s="21"/>
      <c r="K5" s="22"/>
    </row>
    <row r="6" ht="22.5" customHeight="1">
      <c r="A6" s="10">
        <v>45891.0</v>
      </c>
      <c r="B6" s="12" t="s">
        <v>50</v>
      </c>
      <c r="C6" s="13" t="s">
        <v>9</v>
      </c>
      <c r="D6" s="13">
        <v>80.0</v>
      </c>
      <c r="E6" s="15">
        <v>125.0</v>
      </c>
      <c r="F6" s="13" t="s">
        <v>21</v>
      </c>
      <c r="G6" s="24" t="s">
        <v>51</v>
      </c>
      <c r="H6" s="18">
        <v>1724.0</v>
      </c>
      <c r="I6" s="21">
        <f t="shared" si="1"/>
        <v>215.5</v>
      </c>
      <c r="J6" s="21"/>
      <c r="K6" s="22"/>
    </row>
    <row r="7" ht="22.5" customHeight="1">
      <c r="A7" s="10">
        <v>45891.0</v>
      </c>
      <c r="B7" s="12" t="s">
        <v>53</v>
      </c>
      <c r="C7" s="13" t="s">
        <v>9</v>
      </c>
      <c r="D7" s="13">
        <v>80.0</v>
      </c>
      <c r="E7" s="15">
        <v>330.0</v>
      </c>
      <c r="F7" s="13" t="s">
        <v>21</v>
      </c>
      <c r="G7" s="24" t="s">
        <v>51</v>
      </c>
      <c r="H7" s="26">
        <v>1700.0</v>
      </c>
      <c r="I7" s="21">
        <f t="shared" si="1"/>
        <v>561</v>
      </c>
      <c r="J7" s="21"/>
      <c r="K7" s="22"/>
    </row>
    <row r="8" ht="22.5" customHeight="1">
      <c r="A8" s="10">
        <v>45891.0</v>
      </c>
      <c r="B8" s="12" t="s">
        <v>58</v>
      </c>
      <c r="C8" s="13" t="s">
        <v>9</v>
      </c>
      <c r="D8" s="13">
        <v>80.0</v>
      </c>
      <c r="E8" s="15">
        <v>330.0</v>
      </c>
      <c r="F8" s="13" t="s">
        <v>21</v>
      </c>
      <c r="G8" s="24" t="s">
        <v>51</v>
      </c>
      <c r="H8" s="26">
        <v>3150.0</v>
      </c>
      <c r="I8" s="21">
        <f t="shared" si="1"/>
        <v>1039.5</v>
      </c>
      <c r="J8" s="21"/>
      <c r="K8" s="22"/>
    </row>
    <row r="9" ht="22.5" customHeight="1">
      <c r="A9" s="10">
        <v>45891.0</v>
      </c>
      <c r="B9" s="12" t="s">
        <v>64</v>
      </c>
      <c r="C9" s="13" t="s">
        <v>9</v>
      </c>
      <c r="D9" s="13">
        <v>80.0</v>
      </c>
      <c r="E9" s="15">
        <v>125.0</v>
      </c>
      <c r="F9" s="13" t="s">
        <v>21</v>
      </c>
      <c r="G9" s="24" t="s">
        <v>51</v>
      </c>
      <c r="H9" s="18">
        <v>1370.0</v>
      </c>
      <c r="I9" s="21">
        <f t="shared" si="1"/>
        <v>171.25</v>
      </c>
      <c r="J9" s="21"/>
      <c r="K9" s="22"/>
    </row>
    <row r="10" ht="22.5" customHeight="1">
      <c r="A10" s="10">
        <v>45891.0</v>
      </c>
      <c r="B10" s="12" t="s">
        <v>68</v>
      </c>
      <c r="C10" s="13" t="s">
        <v>9</v>
      </c>
      <c r="D10" s="13">
        <v>80.0</v>
      </c>
      <c r="E10" s="15">
        <v>290.0</v>
      </c>
      <c r="F10" s="13" t="s">
        <v>21</v>
      </c>
      <c r="G10" s="24" t="s">
        <v>51</v>
      </c>
      <c r="H10" s="18">
        <v>1000.0</v>
      </c>
      <c r="I10" s="21">
        <f t="shared" si="1"/>
        <v>290</v>
      </c>
      <c r="J10" s="21"/>
      <c r="K10" s="22"/>
    </row>
    <row r="11" ht="22.5" customHeight="1">
      <c r="A11" s="10">
        <v>45891.0</v>
      </c>
      <c r="B11" s="12" t="s">
        <v>83</v>
      </c>
      <c r="C11" s="13" t="s">
        <v>9</v>
      </c>
      <c r="D11" s="13">
        <v>80.0</v>
      </c>
      <c r="E11" s="15">
        <v>125.0</v>
      </c>
      <c r="F11" s="13" t="s">
        <v>21</v>
      </c>
      <c r="G11" s="24" t="s">
        <v>51</v>
      </c>
      <c r="H11" s="29">
        <v>2684.0</v>
      </c>
      <c r="I11" s="21">
        <f t="shared" si="1"/>
        <v>335.5</v>
      </c>
      <c r="J11" s="21"/>
      <c r="K11" s="22"/>
    </row>
    <row r="12" ht="22.5" customHeight="1">
      <c r="A12" s="30">
        <v>45892.0</v>
      </c>
      <c r="B12" s="12" t="s">
        <v>84</v>
      </c>
      <c r="C12" s="13" t="s">
        <v>61</v>
      </c>
      <c r="D12" s="13">
        <v>50.0</v>
      </c>
      <c r="E12" s="15">
        <v>165.0</v>
      </c>
      <c r="F12" s="13" t="s">
        <v>25</v>
      </c>
      <c r="G12" s="15" t="s">
        <v>85</v>
      </c>
      <c r="H12" s="15">
        <v>350.0</v>
      </c>
      <c r="I12" s="21">
        <f t="shared" si="1"/>
        <v>57.75</v>
      </c>
      <c r="J12" s="21"/>
      <c r="K12" s="22"/>
    </row>
    <row r="13" ht="22.5" customHeight="1">
      <c r="A13" s="31">
        <v>45892.0</v>
      </c>
      <c r="B13" s="12" t="s">
        <v>84</v>
      </c>
      <c r="C13" s="13" t="s">
        <v>61</v>
      </c>
      <c r="D13" s="13">
        <v>50.0</v>
      </c>
      <c r="E13" s="15">
        <v>125.0</v>
      </c>
      <c r="F13" s="13" t="s">
        <v>25</v>
      </c>
      <c r="G13" s="15" t="s">
        <v>85</v>
      </c>
      <c r="H13" s="15">
        <v>1000.0</v>
      </c>
      <c r="I13" s="21">
        <f t="shared" si="1"/>
        <v>125</v>
      </c>
      <c r="J13" s="21"/>
      <c r="K13" s="22"/>
    </row>
    <row r="14" ht="22.5" customHeight="1">
      <c r="A14" s="28">
        <v>45892.0</v>
      </c>
      <c r="B14" s="12" t="s">
        <v>86</v>
      </c>
      <c r="C14" s="13" t="s">
        <v>9</v>
      </c>
      <c r="D14" s="13">
        <v>80.0</v>
      </c>
      <c r="E14" s="15">
        <v>160.0</v>
      </c>
      <c r="F14" s="13" t="s">
        <v>27</v>
      </c>
      <c r="G14" s="15" t="s">
        <v>87</v>
      </c>
      <c r="H14" s="18">
        <v>900.0</v>
      </c>
      <c r="I14" s="21">
        <f t="shared" si="1"/>
        <v>144</v>
      </c>
      <c r="J14" s="21"/>
      <c r="K14" s="22"/>
    </row>
    <row r="15" ht="22.5" customHeight="1">
      <c r="A15" s="28">
        <v>45892.0</v>
      </c>
      <c r="B15" s="12" t="s">
        <v>88</v>
      </c>
      <c r="C15" s="13" t="s">
        <v>9</v>
      </c>
      <c r="D15" s="13">
        <v>80.0</v>
      </c>
      <c r="E15" s="15">
        <v>125.0</v>
      </c>
      <c r="F15" s="13" t="s">
        <v>21</v>
      </c>
      <c r="G15" s="17" t="s">
        <v>89</v>
      </c>
      <c r="H15" s="18">
        <v>1015.0</v>
      </c>
      <c r="I15" s="21">
        <f t="shared" si="1"/>
        <v>126.875</v>
      </c>
      <c r="J15" s="21"/>
      <c r="K15" s="22"/>
    </row>
    <row r="16" ht="22.5" customHeight="1">
      <c r="A16" s="28">
        <v>45892.0</v>
      </c>
      <c r="B16" s="12" t="s">
        <v>90</v>
      </c>
      <c r="C16" s="13" t="s">
        <v>9</v>
      </c>
      <c r="D16" s="13">
        <v>80.0</v>
      </c>
      <c r="E16" s="15">
        <v>125.0</v>
      </c>
      <c r="F16" s="13" t="s">
        <v>21</v>
      </c>
      <c r="G16" s="17" t="s">
        <v>89</v>
      </c>
      <c r="H16" s="18">
        <v>2040.0</v>
      </c>
      <c r="I16" s="21">
        <f t="shared" si="1"/>
        <v>255</v>
      </c>
      <c r="J16" s="21"/>
      <c r="K16" s="22"/>
    </row>
    <row r="17" ht="22.5" customHeight="1">
      <c r="A17" s="28">
        <v>45892.0</v>
      </c>
      <c r="B17" s="12" t="s">
        <v>91</v>
      </c>
      <c r="C17" s="13" t="s">
        <v>9</v>
      </c>
      <c r="D17" s="13">
        <v>80.0</v>
      </c>
      <c r="E17" s="15">
        <v>125.0</v>
      </c>
      <c r="F17" s="13" t="s">
        <v>21</v>
      </c>
      <c r="G17" s="17" t="s">
        <v>89</v>
      </c>
      <c r="H17" s="18">
        <v>1440.0</v>
      </c>
      <c r="I17" s="21">
        <f t="shared" si="1"/>
        <v>180</v>
      </c>
      <c r="J17" s="21"/>
      <c r="K17" s="22"/>
    </row>
    <row r="18" ht="22.5" customHeight="1">
      <c r="A18" s="28">
        <v>45892.0</v>
      </c>
      <c r="B18" s="12" t="s">
        <v>92</v>
      </c>
      <c r="C18" s="13" t="s">
        <v>9</v>
      </c>
      <c r="D18" s="13">
        <v>80.0</v>
      </c>
      <c r="E18" s="15">
        <v>125.0</v>
      </c>
      <c r="F18" s="13" t="s">
        <v>21</v>
      </c>
      <c r="G18" s="17" t="s">
        <v>89</v>
      </c>
      <c r="H18" s="18">
        <v>1180.0</v>
      </c>
      <c r="I18" s="21">
        <f t="shared" si="1"/>
        <v>147.5</v>
      </c>
      <c r="J18" s="21"/>
      <c r="K18" s="22"/>
    </row>
    <row r="19" ht="22.5" customHeight="1">
      <c r="A19" s="28">
        <v>45892.0</v>
      </c>
      <c r="B19" s="12" t="s">
        <v>93</v>
      </c>
      <c r="C19" s="13" t="s">
        <v>9</v>
      </c>
      <c r="D19" s="13">
        <v>80.0</v>
      </c>
      <c r="E19" s="15">
        <v>150.0</v>
      </c>
      <c r="F19" s="13" t="s">
        <v>21</v>
      </c>
      <c r="G19" s="17" t="s">
        <v>89</v>
      </c>
      <c r="H19" s="18">
        <v>4000.0</v>
      </c>
      <c r="I19" s="21">
        <f t="shared" si="1"/>
        <v>600</v>
      </c>
      <c r="J19" s="21"/>
      <c r="K19" s="22"/>
    </row>
    <row r="20" ht="22.5" customHeight="1">
      <c r="A20" s="28">
        <v>45892.0</v>
      </c>
      <c r="B20" s="12" t="s">
        <v>94</v>
      </c>
      <c r="C20" s="13" t="s">
        <v>9</v>
      </c>
      <c r="D20" s="13">
        <v>80.0</v>
      </c>
      <c r="E20" s="15">
        <v>160.0</v>
      </c>
      <c r="F20" s="13" t="s">
        <v>27</v>
      </c>
      <c r="G20" s="15" t="s">
        <v>87</v>
      </c>
      <c r="H20" s="18">
        <v>1900.0</v>
      </c>
      <c r="I20" s="21">
        <f t="shared" si="1"/>
        <v>304</v>
      </c>
      <c r="J20" s="21"/>
      <c r="K20" s="22"/>
    </row>
    <row r="21" ht="22.5" customHeight="1">
      <c r="A21" s="28">
        <v>45892.0</v>
      </c>
      <c r="B21" s="12" t="s">
        <v>95</v>
      </c>
      <c r="C21" s="13" t="s">
        <v>9</v>
      </c>
      <c r="D21" s="13">
        <v>80.0</v>
      </c>
      <c r="E21" s="15">
        <v>185.0</v>
      </c>
      <c r="F21" s="13" t="s">
        <v>27</v>
      </c>
      <c r="G21" s="15" t="s">
        <v>87</v>
      </c>
      <c r="H21" s="15">
        <v>1310.0</v>
      </c>
      <c r="I21" s="21">
        <f t="shared" si="1"/>
        <v>242.35</v>
      </c>
      <c r="J21" s="21"/>
      <c r="K21" s="22"/>
    </row>
    <row r="22" ht="22.5" customHeight="1">
      <c r="A22" s="28">
        <v>45892.0</v>
      </c>
      <c r="B22" s="12" t="s">
        <v>95</v>
      </c>
      <c r="C22" s="13" t="s">
        <v>9</v>
      </c>
      <c r="D22" s="13">
        <v>80.0</v>
      </c>
      <c r="E22" s="15">
        <v>160.0</v>
      </c>
      <c r="F22" s="13" t="s">
        <v>27</v>
      </c>
      <c r="G22" s="15" t="s">
        <v>87</v>
      </c>
      <c r="H22" s="15">
        <v>1140.0</v>
      </c>
      <c r="I22" s="21">
        <f t="shared" si="1"/>
        <v>182.4</v>
      </c>
      <c r="J22" s="21"/>
      <c r="K22" s="22"/>
    </row>
    <row r="23" ht="22.5" customHeight="1">
      <c r="A23" s="28">
        <v>45894.0</v>
      </c>
      <c r="B23" s="12" t="s">
        <v>96</v>
      </c>
      <c r="C23" s="13" t="s">
        <v>9</v>
      </c>
      <c r="D23" s="13">
        <v>80.0</v>
      </c>
      <c r="E23" s="15">
        <v>125.0</v>
      </c>
      <c r="F23" s="13" t="s">
        <v>21</v>
      </c>
      <c r="G23" s="24" t="s">
        <v>97</v>
      </c>
      <c r="H23" s="15">
        <v>600.0</v>
      </c>
      <c r="I23" s="21">
        <f t="shared" si="1"/>
        <v>75</v>
      </c>
      <c r="J23" s="21"/>
      <c r="K23" s="22"/>
    </row>
    <row r="24" ht="22.5" customHeight="1">
      <c r="A24" s="28">
        <v>45894.0</v>
      </c>
      <c r="B24" s="12" t="s">
        <v>98</v>
      </c>
      <c r="C24" s="13" t="s">
        <v>9</v>
      </c>
      <c r="D24" s="13">
        <v>80.0</v>
      </c>
      <c r="E24" s="15">
        <v>130.0</v>
      </c>
      <c r="F24" s="13" t="s">
        <v>27</v>
      </c>
      <c r="G24" s="24" t="s">
        <v>99</v>
      </c>
      <c r="H24" s="15">
        <v>1600.0</v>
      </c>
      <c r="I24" s="21">
        <f t="shared" si="1"/>
        <v>208</v>
      </c>
      <c r="J24" s="21"/>
      <c r="K24" s="22"/>
    </row>
    <row r="25" ht="22.5" customHeight="1">
      <c r="A25" s="28">
        <v>45894.0</v>
      </c>
      <c r="B25" s="12" t="s">
        <v>100</v>
      </c>
      <c r="C25" s="13" t="s">
        <v>9</v>
      </c>
      <c r="D25" s="13">
        <v>80.0</v>
      </c>
      <c r="E25" s="15">
        <v>229.0</v>
      </c>
      <c r="F25" s="13" t="s">
        <v>27</v>
      </c>
      <c r="G25" s="24" t="s">
        <v>99</v>
      </c>
      <c r="H25" s="15">
        <v>1530.0</v>
      </c>
      <c r="I25" s="21">
        <f t="shared" si="1"/>
        <v>350.37</v>
      </c>
      <c r="J25" s="21"/>
      <c r="K25" s="22"/>
    </row>
    <row r="26" ht="22.5" customHeight="1">
      <c r="A26" s="28">
        <v>45894.0</v>
      </c>
      <c r="B26" s="12" t="s">
        <v>101</v>
      </c>
      <c r="C26" s="13" t="s">
        <v>9</v>
      </c>
      <c r="D26" s="13">
        <v>80.0</v>
      </c>
      <c r="E26" s="15">
        <v>229.0</v>
      </c>
      <c r="F26" s="13" t="s">
        <v>27</v>
      </c>
      <c r="G26" s="24" t="s">
        <v>99</v>
      </c>
      <c r="H26" s="15">
        <v>950.0</v>
      </c>
      <c r="I26" s="21">
        <f t="shared" si="1"/>
        <v>217.55</v>
      </c>
      <c r="J26" s="21"/>
      <c r="K26" s="22"/>
    </row>
    <row r="27" ht="22.5" customHeight="1">
      <c r="A27" s="28">
        <v>45898.0</v>
      </c>
      <c r="B27" s="12" t="s">
        <v>102</v>
      </c>
      <c r="C27" s="13" t="s">
        <v>9</v>
      </c>
      <c r="D27" s="13">
        <v>80.0</v>
      </c>
      <c r="E27" s="15">
        <v>260.0</v>
      </c>
      <c r="F27" s="13" t="s">
        <v>27</v>
      </c>
      <c r="G27" s="24" t="s">
        <v>99</v>
      </c>
      <c r="H27" s="15">
        <v>3150.0</v>
      </c>
      <c r="I27" s="21">
        <f t="shared" si="1"/>
        <v>819</v>
      </c>
      <c r="J27" s="21"/>
      <c r="K27" s="22"/>
    </row>
    <row r="28" ht="22.5" customHeight="1">
      <c r="A28" s="28">
        <v>45898.0</v>
      </c>
      <c r="B28" s="12" t="s">
        <v>103</v>
      </c>
      <c r="C28" s="13" t="s">
        <v>9</v>
      </c>
      <c r="D28" s="13">
        <v>80.0</v>
      </c>
      <c r="E28" s="15">
        <v>170.0</v>
      </c>
      <c r="F28" s="13" t="s">
        <v>21</v>
      </c>
      <c r="G28" s="17" t="s">
        <v>89</v>
      </c>
      <c r="H28" s="15">
        <v>1650.0</v>
      </c>
      <c r="I28" s="21">
        <f t="shared" si="1"/>
        <v>280.5</v>
      </c>
      <c r="J28" s="21"/>
      <c r="K28" s="22"/>
    </row>
    <row r="29" ht="22.5" customHeight="1">
      <c r="A29" s="28">
        <v>45898.0</v>
      </c>
      <c r="B29" s="12" t="s">
        <v>104</v>
      </c>
      <c r="C29" s="13" t="s">
        <v>9</v>
      </c>
      <c r="D29" s="13">
        <v>80.0</v>
      </c>
      <c r="E29" s="15">
        <v>125.0</v>
      </c>
      <c r="F29" s="13" t="s">
        <v>21</v>
      </c>
      <c r="G29" s="17" t="s">
        <v>89</v>
      </c>
      <c r="H29" s="15">
        <v>2600.0</v>
      </c>
      <c r="I29" s="21">
        <f t="shared" si="1"/>
        <v>325</v>
      </c>
      <c r="J29" s="21"/>
      <c r="K29" s="22"/>
    </row>
    <row r="30" ht="22.5" customHeight="1">
      <c r="A30" s="28">
        <v>45899.0</v>
      </c>
      <c r="B30" s="12" t="s">
        <v>105</v>
      </c>
      <c r="C30" s="13" t="s">
        <v>9</v>
      </c>
      <c r="D30" s="13">
        <v>80.0</v>
      </c>
      <c r="E30" s="15">
        <v>185.0</v>
      </c>
      <c r="F30" s="13" t="s">
        <v>27</v>
      </c>
      <c r="G30" s="24" t="s">
        <v>106</v>
      </c>
      <c r="H30" s="15">
        <v>2400.0</v>
      </c>
      <c r="I30" s="21">
        <f t="shared" si="1"/>
        <v>444</v>
      </c>
      <c r="J30" s="21"/>
      <c r="K30" s="22"/>
    </row>
    <row r="31" ht="22.5" customHeight="1">
      <c r="A31" s="28">
        <v>45899.0</v>
      </c>
      <c r="B31" s="12" t="s">
        <v>107</v>
      </c>
      <c r="C31" s="13" t="s">
        <v>9</v>
      </c>
      <c r="D31" s="13">
        <v>80.0</v>
      </c>
      <c r="E31" s="15">
        <v>185.0</v>
      </c>
      <c r="F31" s="13" t="s">
        <v>27</v>
      </c>
      <c r="G31" s="24" t="s">
        <v>106</v>
      </c>
      <c r="H31" s="15">
        <v>1400.0</v>
      </c>
      <c r="I31" s="21">
        <f t="shared" si="1"/>
        <v>259</v>
      </c>
      <c r="J31" s="21"/>
      <c r="K31" s="22"/>
    </row>
    <row r="32" ht="22.5" customHeight="1">
      <c r="A32" s="28">
        <v>45901.0</v>
      </c>
      <c r="B32" s="12" t="s">
        <v>108</v>
      </c>
      <c r="C32" s="13" t="s">
        <v>43</v>
      </c>
      <c r="D32" s="13">
        <v>50.0</v>
      </c>
      <c r="E32" s="15">
        <v>165.0</v>
      </c>
      <c r="F32" s="13" t="s">
        <v>31</v>
      </c>
      <c r="G32" s="24" t="s">
        <v>109</v>
      </c>
      <c r="H32" s="15">
        <v>12595.0</v>
      </c>
      <c r="I32" s="21">
        <f t="shared" si="1"/>
        <v>2078.175</v>
      </c>
      <c r="J32" s="21"/>
      <c r="K32" s="22"/>
    </row>
    <row r="33" ht="22.5" customHeight="1">
      <c r="A33" s="28">
        <v>45902.0</v>
      </c>
      <c r="B33" s="32" t="s">
        <v>110</v>
      </c>
      <c r="C33" s="13" t="s">
        <v>9</v>
      </c>
      <c r="D33" s="13">
        <v>80.0</v>
      </c>
      <c r="E33" s="15">
        <v>140.0</v>
      </c>
      <c r="F33" s="13" t="s">
        <v>27</v>
      </c>
      <c r="G33" s="24" t="s">
        <v>99</v>
      </c>
      <c r="H33" s="15">
        <v>5740.0</v>
      </c>
      <c r="I33" s="21">
        <f t="shared" si="1"/>
        <v>803.6</v>
      </c>
      <c r="J33" s="21"/>
      <c r="K33" s="22"/>
    </row>
    <row r="34" ht="22.5" customHeight="1">
      <c r="A34" s="28">
        <v>45902.0</v>
      </c>
      <c r="B34" s="32" t="s">
        <v>111</v>
      </c>
      <c r="C34" s="13" t="s">
        <v>9</v>
      </c>
      <c r="D34" s="13">
        <v>80.0</v>
      </c>
      <c r="E34" s="15">
        <v>160.0</v>
      </c>
      <c r="F34" s="13" t="s">
        <v>27</v>
      </c>
      <c r="G34" s="24" t="s">
        <v>99</v>
      </c>
      <c r="H34" s="15">
        <v>7840.0</v>
      </c>
      <c r="I34" s="21">
        <f t="shared" si="1"/>
        <v>1254.4</v>
      </c>
      <c r="J34" s="21"/>
      <c r="K34" s="22"/>
    </row>
    <row r="35" ht="22.5" customHeight="1">
      <c r="A35" s="28">
        <v>45902.0</v>
      </c>
      <c r="B35" s="33" t="s">
        <v>112</v>
      </c>
      <c r="C35" s="13" t="s">
        <v>9</v>
      </c>
      <c r="D35" s="13">
        <v>80.0</v>
      </c>
      <c r="E35" s="15">
        <v>185.0</v>
      </c>
      <c r="F35" s="13" t="s">
        <v>27</v>
      </c>
      <c r="G35" s="24" t="s">
        <v>99</v>
      </c>
      <c r="H35" s="15">
        <v>2400.0</v>
      </c>
      <c r="I35" s="21">
        <f t="shared" si="1"/>
        <v>444</v>
      </c>
      <c r="J35" s="21"/>
      <c r="K35" s="22"/>
    </row>
    <row r="36" ht="22.5" customHeight="1">
      <c r="A36" s="28">
        <v>45902.0</v>
      </c>
      <c r="B36" s="33" t="s">
        <v>112</v>
      </c>
      <c r="C36" s="13" t="s">
        <v>9</v>
      </c>
      <c r="D36" s="13">
        <v>80.0</v>
      </c>
      <c r="E36" s="15">
        <v>160.0</v>
      </c>
      <c r="F36" s="13" t="s">
        <v>27</v>
      </c>
      <c r="G36" s="24" t="s">
        <v>99</v>
      </c>
      <c r="H36" s="15">
        <v>3870.0</v>
      </c>
      <c r="I36" s="21">
        <f t="shared" si="1"/>
        <v>619.2</v>
      </c>
      <c r="J36" s="21"/>
      <c r="K36" s="22"/>
    </row>
    <row r="37" ht="22.5" customHeight="1">
      <c r="A37" s="28">
        <v>45902.0</v>
      </c>
      <c r="B37" s="33" t="s">
        <v>113</v>
      </c>
      <c r="C37" s="13" t="s">
        <v>9</v>
      </c>
      <c r="D37" s="13">
        <v>80.0</v>
      </c>
      <c r="E37" s="15">
        <v>140.0</v>
      </c>
      <c r="F37" s="13" t="s">
        <v>27</v>
      </c>
      <c r="G37" s="24" t="s">
        <v>99</v>
      </c>
      <c r="H37" s="15">
        <v>3800.0</v>
      </c>
      <c r="I37" s="21">
        <f t="shared" si="1"/>
        <v>532</v>
      </c>
      <c r="J37" s="21"/>
      <c r="K37" s="22"/>
    </row>
    <row r="38" ht="22.5" customHeight="1">
      <c r="A38" s="28">
        <v>45903.0</v>
      </c>
      <c r="B38" s="34" t="s">
        <v>114</v>
      </c>
      <c r="C38" s="13" t="s">
        <v>9</v>
      </c>
      <c r="D38" s="13">
        <v>80.0</v>
      </c>
      <c r="E38" s="15">
        <v>185.0</v>
      </c>
      <c r="F38" s="13" t="s">
        <v>27</v>
      </c>
      <c r="G38" s="24" t="s">
        <v>99</v>
      </c>
      <c r="H38" s="15">
        <v>1100.0</v>
      </c>
      <c r="I38" s="21">
        <f t="shared" si="1"/>
        <v>203.5</v>
      </c>
      <c r="J38" s="21"/>
      <c r="K38" s="22"/>
    </row>
    <row r="39" ht="22.5" customHeight="1">
      <c r="A39" s="28">
        <v>45903.0</v>
      </c>
      <c r="B39" s="34" t="s">
        <v>114</v>
      </c>
      <c r="C39" s="13" t="s">
        <v>9</v>
      </c>
      <c r="D39" s="13">
        <v>80.0</v>
      </c>
      <c r="E39" s="15">
        <v>195.0</v>
      </c>
      <c r="F39" s="13" t="s">
        <v>27</v>
      </c>
      <c r="G39" s="24" t="s">
        <v>99</v>
      </c>
      <c r="H39" s="15">
        <v>3160.0</v>
      </c>
      <c r="I39" s="21">
        <f t="shared" si="1"/>
        <v>616.2</v>
      </c>
      <c r="J39" s="21"/>
      <c r="K39" s="22"/>
    </row>
    <row r="40" ht="22.5" customHeight="1">
      <c r="A40" s="28">
        <v>45903.0</v>
      </c>
      <c r="B40" s="33" t="s">
        <v>115</v>
      </c>
      <c r="C40" s="13" t="s">
        <v>9</v>
      </c>
      <c r="D40" s="13">
        <v>80.0</v>
      </c>
      <c r="E40" s="15">
        <v>230.0</v>
      </c>
      <c r="F40" s="13" t="s">
        <v>27</v>
      </c>
      <c r="G40" s="24" t="s">
        <v>99</v>
      </c>
      <c r="H40" s="15">
        <v>1530.0</v>
      </c>
      <c r="I40" s="21">
        <f t="shared" si="1"/>
        <v>351.9</v>
      </c>
      <c r="J40" s="21"/>
      <c r="K40" s="22"/>
    </row>
    <row r="41" ht="22.5" customHeight="1">
      <c r="A41" s="28">
        <v>45903.0</v>
      </c>
      <c r="B41" s="33" t="s">
        <v>116</v>
      </c>
      <c r="C41" s="13" t="s">
        <v>9</v>
      </c>
      <c r="D41" s="13">
        <v>80.0</v>
      </c>
      <c r="E41" s="15">
        <v>195.0</v>
      </c>
      <c r="F41" s="13" t="s">
        <v>27</v>
      </c>
      <c r="G41" s="24" t="s">
        <v>99</v>
      </c>
      <c r="H41" s="15">
        <v>1650.0</v>
      </c>
      <c r="I41" s="21">
        <f t="shared" si="1"/>
        <v>321.75</v>
      </c>
      <c r="J41" s="21"/>
      <c r="K41" s="22"/>
    </row>
    <row r="42" ht="22.5" customHeight="1">
      <c r="A42" s="28">
        <v>45903.0</v>
      </c>
      <c r="B42" s="32" t="s">
        <v>117</v>
      </c>
      <c r="C42" s="13" t="s">
        <v>9</v>
      </c>
      <c r="D42" s="13">
        <v>80.0</v>
      </c>
      <c r="E42" s="15">
        <v>160.0</v>
      </c>
      <c r="F42" s="13" t="s">
        <v>33</v>
      </c>
      <c r="G42" s="24" t="s">
        <v>118</v>
      </c>
      <c r="H42" s="15">
        <v>2000.0</v>
      </c>
      <c r="I42" s="21">
        <f t="shared" si="1"/>
        <v>320</v>
      </c>
      <c r="J42" s="21"/>
      <c r="K42" s="22"/>
    </row>
    <row r="43" ht="22.5" customHeight="1">
      <c r="A43" s="28">
        <v>45904.0</v>
      </c>
      <c r="B43" s="35" t="s">
        <v>119</v>
      </c>
      <c r="C43" s="13" t="s">
        <v>42</v>
      </c>
      <c r="D43" s="13">
        <v>50.0</v>
      </c>
      <c r="E43" s="15">
        <v>215.0</v>
      </c>
      <c r="F43" s="13" t="s">
        <v>31</v>
      </c>
      <c r="G43" s="24" t="s">
        <v>120</v>
      </c>
      <c r="H43" s="39">
        <v>3000.0</v>
      </c>
      <c r="I43" s="21">
        <f t="shared" si="1"/>
        <v>645</v>
      </c>
      <c r="J43" s="21"/>
      <c r="K43" s="22"/>
    </row>
    <row r="44" ht="22.5" customHeight="1">
      <c r="A44" s="28">
        <v>45904.0</v>
      </c>
      <c r="B44" s="35" t="s">
        <v>121</v>
      </c>
      <c r="C44" s="13" t="s">
        <v>42</v>
      </c>
      <c r="D44" s="13">
        <v>50.0</v>
      </c>
      <c r="E44" s="15">
        <v>225.0</v>
      </c>
      <c r="F44" s="13" t="s">
        <v>31</v>
      </c>
      <c r="G44" s="24" t="s">
        <v>120</v>
      </c>
      <c r="H44" s="40">
        <v>3000.0</v>
      </c>
      <c r="I44" s="21">
        <f t="shared" si="1"/>
        <v>675</v>
      </c>
      <c r="J44" s="21"/>
      <c r="K44" s="22"/>
    </row>
    <row r="45" ht="22.5" customHeight="1">
      <c r="A45" s="28">
        <v>45904.0</v>
      </c>
      <c r="B45" s="12" t="s">
        <v>122</v>
      </c>
      <c r="C45" s="13" t="s">
        <v>9</v>
      </c>
      <c r="D45" s="13">
        <v>80.0</v>
      </c>
      <c r="E45" s="15">
        <v>180.0</v>
      </c>
      <c r="F45" s="13" t="s">
        <v>21</v>
      </c>
      <c r="G45" s="24" t="s">
        <v>89</v>
      </c>
      <c r="H45" s="18">
        <v>1700.0</v>
      </c>
      <c r="I45" s="21">
        <f t="shared" si="1"/>
        <v>306</v>
      </c>
      <c r="J45" s="21"/>
      <c r="K45" s="22"/>
    </row>
    <row r="46" ht="22.5" customHeight="1">
      <c r="A46" s="28">
        <v>45904.0</v>
      </c>
      <c r="B46" s="12" t="s">
        <v>123</v>
      </c>
      <c r="C46" s="13" t="s">
        <v>9</v>
      </c>
      <c r="D46" s="13">
        <v>80.0</v>
      </c>
      <c r="E46" s="15">
        <v>180.0</v>
      </c>
      <c r="F46" s="13" t="s">
        <v>21</v>
      </c>
      <c r="G46" s="24" t="s">
        <v>89</v>
      </c>
      <c r="H46" s="39">
        <v>2000.0</v>
      </c>
      <c r="I46" s="21">
        <f t="shared" si="1"/>
        <v>360</v>
      </c>
      <c r="J46" s="21"/>
      <c r="K46" s="22"/>
    </row>
    <row r="47" ht="22.5" customHeight="1">
      <c r="A47" s="28">
        <v>45905.0</v>
      </c>
      <c r="B47" s="12" t="s">
        <v>124</v>
      </c>
      <c r="C47" s="13" t="s">
        <v>9</v>
      </c>
      <c r="D47" s="13">
        <v>80.0</v>
      </c>
      <c r="E47" s="15">
        <v>190.0</v>
      </c>
      <c r="F47" s="13" t="s">
        <v>21</v>
      </c>
      <c r="G47" s="24" t="s">
        <v>125</v>
      </c>
      <c r="H47" s="39">
        <v>2000.0</v>
      </c>
      <c r="I47" s="21">
        <f t="shared" si="1"/>
        <v>380</v>
      </c>
      <c r="J47" s="21"/>
      <c r="K47" s="22"/>
    </row>
    <row r="48" ht="22.5" customHeight="1">
      <c r="A48" s="28">
        <v>45905.0</v>
      </c>
      <c r="B48" s="33" t="s">
        <v>126</v>
      </c>
      <c r="C48" s="13" t="s">
        <v>9</v>
      </c>
      <c r="D48" s="13">
        <v>80.0</v>
      </c>
      <c r="E48" s="15">
        <v>290.0</v>
      </c>
      <c r="F48" s="13" t="s">
        <v>21</v>
      </c>
      <c r="G48" s="24" t="s">
        <v>89</v>
      </c>
      <c r="H48" s="39">
        <v>2040.0</v>
      </c>
      <c r="I48" s="21">
        <f t="shared" si="1"/>
        <v>591.6</v>
      </c>
      <c r="J48" s="21"/>
      <c r="K48" s="22"/>
    </row>
    <row r="49" ht="22.5" customHeight="1">
      <c r="A49" s="28">
        <v>45905.0</v>
      </c>
      <c r="B49" s="33" t="s">
        <v>127</v>
      </c>
      <c r="C49" s="13" t="s">
        <v>9</v>
      </c>
      <c r="D49" s="13">
        <v>80.0</v>
      </c>
      <c r="E49" s="15">
        <v>210.0</v>
      </c>
      <c r="F49" s="13" t="s">
        <v>21</v>
      </c>
      <c r="G49" s="24" t="s">
        <v>89</v>
      </c>
      <c r="H49" s="39">
        <v>1300.0</v>
      </c>
      <c r="I49" s="21">
        <f t="shared" si="1"/>
        <v>273</v>
      </c>
      <c r="J49" s="21"/>
      <c r="K49" s="22"/>
    </row>
    <row r="50" ht="22.5" customHeight="1">
      <c r="A50" s="28">
        <v>45905.0</v>
      </c>
      <c r="B50" s="33" t="s">
        <v>128</v>
      </c>
      <c r="C50" s="13" t="s">
        <v>9</v>
      </c>
      <c r="D50" s="13">
        <v>80.0</v>
      </c>
      <c r="E50" s="15">
        <v>170.0</v>
      </c>
      <c r="F50" s="13" t="s">
        <v>21</v>
      </c>
      <c r="G50" s="24" t="s">
        <v>89</v>
      </c>
      <c r="H50" s="39">
        <v>1100.0</v>
      </c>
      <c r="I50" s="21">
        <f t="shared" si="1"/>
        <v>187</v>
      </c>
      <c r="J50" s="21"/>
      <c r="K50" s="22"/>
    </row>
    <row r="51" ht="22.5" customHeight="1">
      <c r="A51" s="28">
        <v>45908.0</v>
      </c>
      <c r="B51" s="33" t="s">
        <v>129</v>
      </c>
      <c r="C51" s="13" t="s">
        <v>9</v>
      </c>
      <c r="D51" s="13">
        <v>80.0</v>
      </c>
      <c r="E51" s="15">
        <v>320.0</v>
      </c>
      <c r="F51" s="13" t="s">
        <v>21</v>
      </c>
      <c r="G51" s="24" t="s">
        <v>89</v>
      </c>
      <c r="H51" s="39">
        <v>2000.0</v>
      </c>
      <c r="I51" s="21">
        <f t="shared" si="1"/>
        <v>640</v>
      </c>
      <c r="J51" s="21"/>
      <c r="K51" s="22"/>
    </row>
    <row r="52" ht="22.5" customHeight="1">
      <c r="A52" s="28">
        <v>45908.0</v>
      </c>
      <c r="B52" s="33" t="s">
        <v>130</v>
      </c>
      <c r="C52" s="13" t="s">
        <v>9</v>
      </c>
      <c r="D52" s="13">
        <v>80.0</v>
      </c>
      <c r="E52" s="15">
        <v>125.0</v>
      </c>
      <c r="F52" s="13" t="s">
        <v>21</v>
      </c>
      <c r="G52" s="24" t="s">
        <v>89</v>
      </c>
      <c r="H52" s="15">
        <v>2000.0</v>
      </c>
      <c r="I52" s="21">
        <f t="shared" si="1"/>
        <v>250</v>
      </c>
      <c r="J52" s="21"/>
      <c r="K52" s="22"/>
    </row>
    <row r="53" ht="22.5" customHeight="1">
      <c r="A53" s="28">
        <v>45908.0</v>
      </c>
      <c r="B53" s="15" t="s">
        <v>131</v>
      </c>
      <c r="C53" s="13" t="s">
        <v>9</v>
      </c>
      <c r="D53" s="13">
        <v>80.0</v>
      </c>
      <c r="E53" s="15">
        <v>125.0</v>
      </c>
      <c r="F53" s="13" t="s">
        <v>21</v>
      </c>
      <c r="G53" s="24" t="s">
        <v>89</v>
      </c>
      <c r="H53" s="15">
        <v>1310.0</v>
      </c>
      <c r="I53" s="21">
        <f t="shared" si="1"/>
        <v>163.75</v>
      </c>
      <c r="J53" s="21"/>
      <c r="K53" s="22"/>
    </row>
    <row r="54" ht="22.5" customHeight="1">
      <c r="A54" s="28">
        <v>45908.0</v>
      </c>
      <c r="B54" s="15" t="s">
        <v>132</v>
      </c>
      <c r="C54" s="13" t="s">
        <v>9</v>
      </c>
      <c r="D54" s="13">
        <v>80.0</v>
      </c>
      <c r="E54" s="15">
        <v>125.0</v>
      </c>
      <c r="F54" s="13" t="s">
        <v>21</v>
      </c>
      <c r="G54" s="24" t="s">
        <v>89</v>
      </c>
      <c r="H54" s="15">
        <v>1590.0</v>
      </c>
      <c r="I54" s="21">
        <f t="shared" si="1"/>
        <v>198.75</v>
      </c>
      <c r="J54" s="21"/>
      <c r="K54" s="22"/>
    </row>
    <row r="55" ht="22.5" customHeight="1">
      <c r="A55" s="28">
        <v>45909.0</v>
      </c>
      <c r="B55" s="15" t="s">
        <v>133</v>
      </c>
      <c r="C55" s="13" t="s">
        <v>54</v>
      </c>
      <c r="D55" s="13">
        <v>50.0</v>
      </c>
      <c r="E55" s="15">
        <v>240.0</v>
      </c>
      <c r="F55" s="13" t="s">
        <v>55</v>
      </c>
      <c r="G55" s="15" t="s">
        <v>134</v>
      </c>
      <c r="H55" s="15">
        <v>5000.0</v>
      </c>
      <c r="I55" s="21">
        <f t="shared" si="1"/>
        <v>1200</v>
      </c>
      <c r="J55" s="21"/>
      <c r="K55" s="22"/>
    </row>
    <row r="56" ht="22.5" customHeight="1">
      <c r="A56" s="28">
        <v>45909.0</v>
      </c>
      <c r="B56" s="15" t="s">
        <v>135</v>
      </c>
      <c r="C56" s="13" t="s">
        <v>26</v>
      </c>
      <c r="D56" s="13">
        <v>80.0</v>
      </c>
      <c r="E56" s="15">
        <v>140.0</v>
      </c>
      <c r="F56" s="13" t="s">
        <v>27</v>
      </c>
      <c r="G56" s="15" t="s">
        <v>134</v>
      </c>
      <c r="H56" s="15">
        <v>1530.0</v>
      </c>
      <c r="I56" s="21">
        <f t="shared" si="1"/>
        <v>214.2</v>
      </c>
      <c r="J56" s="21"/>
      <c r="K56" s="22"/>
    </row>
    <row r="57" ht="22.5" customHeight="1">
      <c r="A57" s="28">
        <v>45909.0</v>
      </c>
      <c r="B57" s="15" t="s">
        <v>136</v>
      </c>
      <c r="C57" s="13" t="s">
        <v>9</v>
      </c>
      <c r="D57" s="13">
        <v>80.0</v>
      </c>
      <c r="E57" s="15">
        <v>140.0</v>
      </c>
      <c r="F57" s="13" t="s">
        <v>27</v>
      </c>
      <c r="G57" s="15" t="s">
        <v>99</v>
      </c>
      <c r="H57" s="15">
        <v>3000.0</v>
      </c>
      <c r="I57" s="21">
        <f t="shared" si="1"/>
        <v>420</v>
      </c>
      <c r="J57" s="21"/>
      <c r="K57" s="22"/>
    </row>
    <row r="58" ht="22.5" customHeight="1">
      <c r="A58" s="28">
        <v>45909.0</v>
      </c>
      <c r="B58" s="15" t="s">
        <v>138</v>
      </c>
      <c r="C58" s="13" t="s">
        <v>9</v>
      </c>
      <c r="D58" s="13">
        <v>80.0</v>
      </c>
      <c r="E58" s="15">
        <v>126.0</v>
      </c>
      <c r="F58" s="13" t="s">
        <v>27</v>
      </c>
      <c r="G58" s="15" t="s">
        <v>139</v>
      </c>
      <c r="H58" s="15">
        <v>1260.0</v>
      </c>
      <c r="I58" s="21">
        <f t="shared" si="1"/>
        <v>158.76</v>
      </c>
      <c r="J58" s="21"/>
      <c r="K58" s="22"/>
    </row>
    <row r="59" ht="22.5" customHeight="1">
      <c r="A59" s="28">
        <v>45909.0</v>
      </c>
      <c r="B59" s="15" t="s">
        <v>140</v>
      </c>
      <c r="C59" s="13" t="s">
        <v>9</v>
      </c>
      <c r="D59" s="13">
        <v>80.0</v>
      </c>
      <c r="E59" s="15">
        <v>160.0</v>
      </c>
      <c r="F59" s="13" t="s">
        <v>27</v>
      </c>
      <c r="G59" s="15" t="s">
        <v>99</v>
      </c>
      <c r="H59" s="15">
        <v>1720.0</v>
      </c>
      <c r="I59" s="21">
        <f t="shared" si="1"/>
        <v>275.2</v>
      </c>
      <c r="J59" s="21"/>
      <c r="K59" s="22"/>
    </row>
    <row r="60" ht="22.5" customHeight="1">
      <c r="A60" s="28">
        <v>45909.0</v>
      </c>
      <c r="B60" s="15" t="s">
        <v>141</v>
      </c>
      <c r="C60" s="13" t="s">
        <v>9</v>
      </c>
      <c r="D60" s="13">
        <v>80.0</v>
      </c>
      <c r="E60" s="15">
        <v>140.0</v>
      </c>
      <c r="F60" s="13" t="s">
        <v>27</v>
      </c>
      <c r="G60" s="15" t="s">
        <v>99</v>
      </c>
      <c r="H60" s="15">
        <v>1500.0</v>
      </c>
      <c r="I60" s="21">
        <f t="shared" si="1"/>
        <v>210</v>
      </c>
      <c r="J60" s="21"/>
      <c r="K60" s="22"/>
    </row>
    <row r="61" ht="22.5" customHeight="1">
      <c r="A61" s="28">
        <v>45909.0</v>
      </c>
      <c r="B61" s="15" t="s">
        <v>142</v>
      </c>
      <c r="C61" s="13" t="s">
        <v>9</v>
      </c>
      <c r="D61" s="13">
        <v>80.0</v>
      </c>
      <c r="E61" s="15">
        <v>140.0</v>
      </c>
      <c r="F61" s="13" t="s">
        <v>27</v>
      </c>
      <c r="G61" s="15" t="s">
        <v>99</v>
      </c>
      <c r="H61" s="15">
        <v>3880.0</v>
      </c>
      <c r="I61" s="21">
        <f t="shared" si="1"/>
        <v>543.2</v>
      </c>
      <c r="J61" s="21"/>
      <c r="K61" s="22"/>
    </row>
    <row r="62" ht="22.5" customHeight="1">
      <c r="A62" s="28">
        <v>45910.0</v>
      </c>
      <c r="B62" s="15" t="s">
        <v>143</v>
      </c>
      <c r="C62" s="13" t="s">
        <v>43</v>
      </c>
      <c r="D62" s="13">
        <v>50.0</v>
      </c>
      <c r="E62" s="15">
        <v>167.0</v>
      </c>
      <c r="F62" s="13" t="s">
        <v>23</v>
      </c>
      <c r="G62" s="15" t="s">
        <v>99</v>
      </c>
      <c r="H62" s="15">
        <v>2000.0</v>
      </c>
      <c r="I62" s="21">
        <f t="shared" si="1"/>
        <v>334</v>
      </c>
      <c r="J62" s="21"/>
      <c r="K62" s="22"/>
    </row>
    <row r="63" ht="22.5" customHeight="1">
      <c r="A63" s="28">
        <v>45910.0</v>
      </c>
      <c r="B63" s="15" t="s">
        <v>144</v>
      </c>
      <c r="C63" s="13" t="s">
        <v>9</v>
      </c>
      <c r="D63" s="13">
        <v>80.0</v>
      </c>
      <c r="E63" s="15">
        <v>320.0</v>
      </c>
      <c r="F63" s="13" t="s">
        <v>21</v>
      </c>
      <c r="G63" s="15" t="s">
        <v>89</v>
      </c>
      <c r="H63" s="15">
        <v>530.0</v>
      </c>
      <c r="I63" s="21">
        <f t="shared" si="1"/>
        <v>169.6</v>
      </c>
      <c r="J63" s="21"/>
      <c r="K63" s="22"/>
    </row>
    <row r="64" ht="22.5" customHeight="1">
      <c r="A64" s="28">
        <v>45910.0</v>
      </c>
      <c r="B64" s="15" t="s">
        <v>145</v>
      </c>
      <c r="C64" s="13" t="s">
        <v>9</v>
      </c>
      <c r="D64" s="13">
        <v>80.0</v>
      </c>
      <c r="E64" s="15">
        <v>125.0</v>
      </c>
      <c r="F64" s="13" t="s">
        <v>21</v>
      </c>
      <c r="G64" s="15" t="s">
        <v>89</v>
      </c>
      <c r="H64" s="15">
        <v>2600.0</v>
      </c>
      <c r="I64" s="21">
        <f t="shared" si="1"/>
        <v>325</v>
      </c>
      <c r="J64" s="21"/>
      <c r="K64" s="22"/>
    </row>
    <row r="65" ht="22.5" customHeight="1">
      <c r="A65" s="28">
        <v>45910.0</v>
      </c>
      <c r="B65" s="15" t="s">
        <v>146</v>
      </c>
      <c r="C65" s="13" t="s">
        <v>9</v>
      </c>
      <c r="D65" s="13">
        <v>80.0</v>
      </c>
      <c r="E65" s="15">
        <v>190.0</v>
      </c>
      <c r="F65" s="13" t="s">
        <v>21</v>
      </c>
      <c r="G65" s="15" t="s">
        <v>125</v>
      </c>
      <c r="H65" s="15">
        <v>1100.0</v>
      </c>
      <c r="I65" s="21">
        <f t="shared" si="1"/>
        <v>209</v>
      </c>
      <c r="J65" s="21"/>
      <c r="K65" s="22"/>
    </row>
    <row r="66" ht="22.5" customHeight="1">
      <c r="A66" s="28">
        <v>45911.0</v>
      </c>
      <c r="B66" s="15" t="s">
        <v>147</v>
      </c>
      <c r="C66" s="13" t="s">
        <v>9</v>
      </c>
      <c r="D66" s="13">
        <v>80.0</v>
      </c>
      <c r="E66" s="15">
        <v>160.0</v>
      </c>
      <c r="F66" s="13" t="s">
        <v>27</v>
      </c>
      <c r="G66" s="15" t="s">
        <v>99</v>
      </c>
      <c r="H66" s="15">
        <v>3500.0</v>
      </c>
      <c r="I66" s="21">
        <f t="shared" si="1"/>
        <v>560</v>
      </c>
      <c r="J66" s="21"/>
      <c r="K66" s="22"/>
    </row>
    <row r="67" ht="22.5" customHeight="1">
      <c r="A67" s="28">
        <v>45911.0</v>
      </c>
      <c r="B67" s="15" t="s">
        <v>148</v>
      </c>
      <c r="C67" s="13" t="s">
        <v>9</v>
      </c>
      <c r="D67" s="13">
        <v>80.0</v>
      </c>
      <c r="E67" s="15">
        <v>160.0</v>
      </c>
      <c r="F67" s="13" t="s">
        <v>27</v>
      </c>
      <c r="G67" s="15" t="s">
        <v>99</v>
      </c>
      <c r="H67" s="15">
        <v>6650.0</v>
      </c>
      <c r="I67" s="21">
        <f t="shared" si="1"/>
        <v>1064</v>
      </c>
      <c r="J67" s="21"/>
      <c r="K67" s="22"/>
    </row>
    <row r="68" ht="22.5" customHeight="1">
      <c r="A68" s="28">
        <v>45911.0</v>
      </c>
      <c r="B68" s="15" t="s">
        <v>149</v>
      </c>
      <c r="C68" s="13" t="s">
        <v>9</v>
      </c>
      <c r="D68" s="13">
        <v>80.0</v>
      </c>
      <c r="E68" s="15">
        <v>160.0</v>
      </c>
      <c r="F68" s="13" t="s">
        <v>27</v>
      </c>
      <c r="G68" s="15" t="s">
        <v>99</v>
      </c>
      <c r="H68" s="15">
        <v>1750.0</v>
      </c>
      <c r="I68" s="21">
        <f t="shared" si="1"/>
        <v>280</v>
      </c>
      <c r="J68" s="21"/>
      <c r="K68" s="22"/>
    </row>
    <row r="69" ht="22.5" customHeight="1">
      <c r="A69" s="28">
        <v>45911.0</v>
      </c>
      <c r="B69" s="15" t="s">
        <v>150</v>
      </c>
      <c r="C69" s="13" t="s">
        <v>9</v>
      </c>
      <c r="D69" s="13">
        <v>80.0</v>
      </c>
      <c r="E69" s="15">
        <v>140.0</v>
      </c>
      <c r="F69" s="13" t="s">
        <v>27</v>
      </c>
      <c r="G69" s="15" t="s">
        <v>99</v>
      </c>
      <c r="H69" s="15">
        <v>1300.0</v>
      </c>
      <c r="I69" s="21">
        <f t="shared" si="1"/>
        <v>182</v>
      </c>
      <c r="J69" s="21"/>
      <c r="K69" s="22"/>
    </row>
    <row r="70" ht="22.5" customHeight="1">
      <c r="A70" s="28">
        <v>45912.0</v>
      </c>
      <c r="B70" s="15" t="s">
        <v>151</v>
      </c>
      <c r="C70" s="13" t="s">
        <v>9</v>
      </c>
      <c r="D70" s="13">
        <v>80.0</v>
      </c>
      <c r="E70" s="15">
        <v>230.0</v>
      </c>
      <c r="F70" s="13" t="s">
        <v>27</v>
      </c>
      <c r="G70" s="15" t="s">
        <v>99</v>
      </c>
      <c r="H70" s="15">
        <v>1300.0</v>
      </c>
      <c r="I70" s="21">
        <f t="shared" si="1"/>
        <v>299</v>
      </c>
      <c r="J70" s="21"/>
      <c r="K70" s="22"/>
    </row>
    <row r="71" ht="22.5" customHeight="1">
      <c r="A71" s="28">
        <v>45912.0</v>
      </c>
      <c r="B71" s="15" t="s">
        <v>152</v>
      </c>
      <c r="C71" s="13" t="s">
        <v>9</v>
      </c>
      <c r="D71" s="13">
        <v>80.0</v>
      </c>
      <c r="E71" s="15">
        <v>230.0</v>
      </c>
      <c r="F71" s="13" t="s">
        <v>27</v>
      </c>
      <c r="G71" s="15" t="s">
        <v>99</v>
      </c>
      <c r="H71" s="15">
        <v>1780.0</v>
      </c>
      <c r="I71" s="21">
        <f t="shared" si="1"/>
        <v>409.4</v>
      </c>
      <c r="J71" s="21"/>
      <c r="K71" s="22"/>
    </row>
    <row r="72" ht="22.5" customHeight="1">
      <c r="A72" s="28">
        <v>45912.0</v>
      </c>
      <c r="B72" s="15" t="s">
        <v>153</v>
      </c>
      <c r="C72" s="13" t="s">
        <v>9</v>
      </c>
      <c r="D72" s="13">
        <v>80.0</v>
      </c>
      <c r="E72" s="15">
        <v>230.0</v>
      </c>
      <c r="F72" s="13" t="s">
        <v>27</v>
      </c>
      <c r="G72" s="15" t="s">
        <v>99</v>
      </c>
      <c r="H72" s="15">
        <v>5200.0</v>
      </c>
      <c r="I72" s="21">
        <f t="shared" si="1"/>
        <v>1196</v>
      </c>
      <c r="J72" s="21"/>
      <c r="K72" s="22"/>
    </row>
    <row r="73" ht="22.5" customHeight="1">
      <c r="A73" s="28">
        <v>45912.0</v>
      </c>
      <c r="B73" s="15" t="s">
        <v>154</v>
      </c>
      <c r="C73" s="13" t="s">
        <v>9</v>
      </c>
      <c r="D73" s="13">
        <v>80.0</v>
      </c>
      <c r="E73" s="15">
        <v>210.0</v>
      </c>
      <c r="F73" s="13" t="s">
        <v>27</v>
      </c>
      <c r="G73" s="15" t="s">
        <v>99</v>
      </c>
      <c r="H73" s="15">
        <v>800.0</v>
      </c>
      <c r="I73" s="21">
        <f t="shared" si="1"/>
        <v>168</v>
      </c>
      <c r="J73" s="21"/>
      <c r="K73" s="22"/>
    </row>
    <row r="74" ht="22.5" customHeight="1">
      <c r="A74" s="28">
        <v>45912.0</v>
      </c>
      <c r="B74" s="15" t="s">
        <v>154</v>
      </c>
      <c r="C74" s="13" t="s">
        <v>9</v>
      </c>
      <c r="D74" s="13">
        <v>80.0</v>
      </c>
      <c r="E74" s="15">
        <v>195.0</v>
      </c>
      <c r="F74" s="13" t="s">
        <v>27</v>
      </c>
      <c r="G74" s="15" t="s">
        <v>99</v>
      </c>
      <c r="H74" s="15">
        <v>400.0</v>
      </c>
      <c r="I74" s="21">
        <f t="shared" si="1"/>
        <v>78</v>
      </c>
      <c r="J74" s="21"/>
      <c r="K74" s="22"/>
    </row>
    <row r="75" ht="22.5" customHeight="1">
      <c r="A75" s="28">
        <v>45912.0</v>
      </c>
      <c r="B75" s="15" t="s">
        <v>154</v>
      </c>
      <c r="C75" s="13" t="s">
        <v>9</v>
      </c>
      <c r="D75" s="13">
        <v>80.0</v>
      </c>
      <c r="E75" s="15">
        <v>200.0</v>
      </c>
      <c r="F75" s="13" t="s">
        <v>27</v>
      </c>
      <c r="G75" s="15" t="s">
        <v>99</v>
      </c>
      <c r="H75" s="15">
        <v>600.0</v>
      </c>
      <c r="I75" s="21">
        <f t="shared" si="1"/>
        <v>120</v>
      </c>
      <c r="J75" s="21"/>
      <c r="K75" s="22"/>
    </row>
    <row r="76" ht="22.5" customHeight="1">
      <c r="A76" s="28">
        <v>45912.0</v>
      </c>
      <c r="B76" s="15" t="s">
        <v>155</v>
      </c>
      <c r="C76" s="13" t="s">
        <v>9</v>
      </c>
      <c r="D76" s="13">
        <v>80.0</v>
      </c>
      <c r="E76" s="15">
        <v>126.0</v>
      </c>
      <c r="F76" s="13" t="s">
        <v>27</v>
      </c>
      <c r="G76" s="15" t="s">
        <v>99</v>
      </c>
      <c r="H76" s="15">
        <v>1700.0</v>
      </c>
      <c r="I76" s="21">
        <f t="shared" si="1"/>
        <v>214.2</v>
      </c>
      <c r="J76" s="21"/>
      <c r="K76" s="22"/>
    </row>
    <row r="77" ht="22.5" customHeight="1">
      <c r="A77" s="28">
        <v>45912.0</v>
      </c>
      <c r="B77" s="15" t="s">
        <v>156</v>
      </c>
      <c r="C77" s="13" t="s">
        <v>9</v>
      </c>
      <c r="D77" s="13">
        <v>80.0</v>
      </c>
      <c r="E77" s="15">
        <v>140.0</v>
      </c>
      <c r="F77" s="13" t="s">
        <v>27</v>
      </c>
      <c r="G77" s="15" t="s">
        <v>99</v>
      </c>
      <c r="H77" s="15">
        <v>1300.0</v>
      </c>
      <c r="I77" s="21">
        <f t="shared" si="1"/>
        <v>182</v>
      </c>
      <c r="J77" s="21"/>
      <c r="K77" s="22"/>
    </row>
    <row r="78" ht="22.5" customHeight="1">
      <c r="A78" s="28">
        <v>45912.0</v>
      </c>
      <c r="B78" s="15" t="s">
        <v>157</v>
      </c>
      <c r="C78" s="13" t="s">
        <v>9</v>
      </c>
      <c r="D78" s="13">
        <v>80.0</v>
      </c>
      <c r="E78" s="15">
        <v>140.0</v>
      </c>
      <c r="F78" s="13" t="s">
        <v>27</v>
      </c>
      <c r="G78" s="15" t="s">
        <v>99</v>
      </c>
      <c r="H78" s="15">
        <v>1900.0</v>
      </c>
      <c r="I78" s="21">
        <f t="shared" si="1"/>
        <v>266</v>
      </c>
      <c r="J78" s="21"/>
      <c r="K78" s="22"/>
    </row>
    <row r="79" ht="22.5" customHeight="1">
      <c r="A79" s="28">
        <v>45912.0</v>
      </c>
      <c r="B79" s="15" t="s">
        <v>158</v>
      </c>
      <c r="C79" s="13" t="s">
        <v>9</v>
      </c>
      <c r="D79" s="13">
        <v>80.0</v>
      </c>
      <c r="E79" s="15">
        <v>230.0</v>
      </c>
      <c r="F79" s="13" t="s">
        <v>27</v>
      </c>
      <c r="G79" s="15" t="s">
        <v>99</v>
      </c>
      <c r="H79" s="15">
        <v>700.0</v>
      </c>
      <c r="I79" s="21">
        <f t="shared" si="1"/>
        <v>161</v>
      </c>
      <c r="J79" s="21"/>
      <c r="K79" s="22"/>
    </row>
    <row r="80" ht="22.5" customHeight="1">
      <c r="A80" s="28">
        <v>45912.0</v>
      </c>
      <c r="B80" s="15" t="s">
        <v>159</v>
      </c>
      <c r="C80" s="13" t="s">
        <v>9</v>
      </c>
      <c r="D80" s="13">
        <v>80.0</v>
      </c>
      <c r="E80" s="15">
        <v>230.0</v>
      </c>
      <c r="F80" s="13" t="s">
        <v>27</v>
      </c>
      <c r="G80" s="15" t="s">
        <v>99</v>
      </c>
      <c r="H80" s="15">
        <v>900.0</v>
      </c>
      <c r="I80" s="21">
        <f t="shared" si="1"/>
        <v>207</v>
      </c>
      <c r="J80" s="21"/>
      <c r="K80" s="22"/>
    </row>
    <row r="81" ht="22.5" customHeight="1">
      <c r="A81" s="28">
        <v>45912.0</v>
      </c>
      <c r="B81" s="15" t="s">
        <v>160</v>
      </c>
      <c r="C81" s="13" t="s">
        <v>9</v>
      </c>
      <c r="D81" s="13">
        <v>80.0</v>
      </c>
      <c r="E81" s="15">
        <v>230.0</v>
      </c>
      <c r="F81" s="13" t="s">
        <v>27</v>
      </c>
      <c r="G81" s="15" t="s">
        <v>99</v>
      </c>
      <c r="H81" s="15">
        <v>1400.0</v>
      </c>
      <c r="I81" s="21">
        <f t="shared" si="1"/>
        <v>322</v>
      </c>
      <c r="J81" s="21"/>
      <c r="K81" s="22"/>
    </row>
    <row r="82" ht="22.5" customHeight="1">
      <c r="A82" s="28">
        <v>45913.0</v>
      </c>
      <c r="B82" s="15" t="s">
        <v>161</v>
      </c>
      <c r="C82" s="13" t="s">
        <v>9</v>
      </c>
      <c r="D82" s="13">
        <v>80.0</v>
      </c>
      <c r="E82" s="15">
        <v>260.0</v>
      </c>
      <c r="F82" s="13" t="s">
        <v>27</v>
      </c>
      <c r="G82" s="15" t="s">
        <v>99</v>
      </c>
      <c r="H82" s="15">
        <v>2400.0</v>
      </c>
      <c r="I82" s="21">
        <f t="shared" si="1"/>
        <v>624</v>
      </c>
      <c r="J82" s="21"/>
      <c r="K82" s="22"/>
    </row>
    <row r="83" ht="22.5" customHeight="1">
      <c r="A83" s="28">
        <v>45913.0</v>
      </c>
      <c r="B83" s="15" t="s">
        <v>162</v>
      </c>
      <c r="C83" s="13" t="s">
        <v>9</v>
      </c>
      <c r="D83" s="13">
        <v>80.0</v>
      </c>
      <c r="E83" s="15">
        <v>126.0</v>
      </c>
      <c r="F83" s="13" t="s">
        <v>27</v>
      </c>
      <c r="G83" s="15" t="s">
        <v>99</v>
      </c>
      <c r="H83" s="15">
        <v>1250.0</v>
      </c>
      <c r="I83" s="21">
        <f t="shared" si="1"/>
        <v>157.5</v>
      </c>
      <c r="J83" s="21"/>
      <c r="K83" s="22"/>
    </row>
    <row r="84" ht="22.5" customHeight="1">
      <c r="A84" s="28">
        <v>45913.0</v>
      </c>
      <c r="B84" s="15" t="s">
        <v>163</v>
      </c>
      <c r="C84" s="13" t="s">
        <v>9</v>
      </c>
      <c r="D84" s="13">
        <v>80.0</v>
      </c>
      <c r="E84" s="15">
        <v>140.0</v>
      </c>
      <c r="F84" s="13" t="s">
        <v>27</v>
      </c>
      <c r="G84" s="15" t="s">
        <v>99</v>
      </c>
      <c r="H84" s="15">
        <v>650.0</v>
      </c>
      <c r="I84" s="21">
        <f t="shared" si="1"/>
        <v>91</v>
      </c>
      <c r="J84" s="21"/>
      <c r="K84" s="22"/>
    </row>
    <row r="85" ht="22.5" customHeight="1">
      <c r="A85" s="28">
        <v>45913.0</v>
      </c>
      <c r="B85" s="15" t="s">
        <v>164</v>
      </c>
      <c r="C85" s="13" t="s">
        <v>9</v>
      </c>
      <c r="D85" s="13">
        <v>80.0</v>
      </c>
      <c r="E85" s="15">
        <v>160.0</v>
      </c>
      <c r="F85" s="13" t="s">
        <v>27</v>
      </c>
      <c r="G85" s="15" t="s">
        <v>99</v>
      </c>
      <c r="H85" s="15">
        <v>2100.0</v>
      </c>
      <c r="I85" s="21">
        <f t="shared" si="1"/>
        <v>336</v>
      </c>
      <c r="J85" s="21"/>
      <c r="K85" s="22"/>
    </row>
    <row r="86" ht="22.5" customHeight="1">
      <c r="A86" s="28">
        <v>45915.0</v>
      </c>
      <c r="B86" s="15" t="s">
        <v>165</v>
      </c>
      <c r="C86" s="13" t="s">
        <v>9</v>
      </c>
      <c r="D86" s="13">
        <v>80.0</v>
      </c>
      <c r="E86" s="15">
        <v>330.0</v>
      </c>
      <c r="F86" s="13" t="s">
        <v>21</v>
      </c>
      <c r="G86" s="46" t="s">
        <v>166</v>
      </c>
      <c r="H86" s="46">
        <v>3980.0</v>
      </c>
      <c r="I86" s="21">
        <f t="shared" si="1"/>
        <v>1313.4</v>
      </c>
      <c r="J86" s="21"/>
      <c r="K86" s="22"/>
    </row>
    <row r="87" ht="22.5" customHeight="1">
      <c r="A87" s="28">
        <v>45915.0</v>
      </c>
      <c r="B87" s="15" t="s">
        <v>167</v>
      </c>
      <c r="C87" s="13" t="s">
        <v>9</v>
      </c>
      <c r="D87" s="13">
        <v>80.0</v>
      </c>
      <c r="E87" s="15">
        <v>160.0</v>
      </c>
      <c r="F87" s="13" t="s">
        <v>21</v>
      </c>
      <c r="G87" s="15" t="s">
        <v>89</v>
      </c>
      <c r="H87" s="15">
        <v>2700.0</v>
      </c>
      <c r="I87" s="21">
        <f t="shared" si="1"/>
        <v>432</v>
      </c>
      <c r="J87" s="21"/>
      <c r="K87" s="22"/>
    </row>
    <row r="88" ht="22.5" customHeight="1">
      <c r="A88" s="28">
        <v>45915.0</v>
      </c>
      <c r="B88" s="15" t="s">
        <v>168</v>
      </c>
      <c r="C88" s="13" t="s">
        <v>9</v>
      </c>
      <c r="D88" s="13">
        <v>80.0</v>
      </c>
      <c r="E88" s="15">
        <v>160.0</v>
      </c>
      <c r="F88" s="13" t="s">
        <v>27</v>
      </c>
      <c r="G88" s="15" t="s">
        <v>99</v>
      </c>
      <c r="H88" s="15">
        <v>1600.0</v>
      </c>
      <c r="I88" s="21">
        <f t="shared" si="1"/>
        <v>256</v>
      </c>
      <c r="J88" s="21"/>
      <c r="K88" s="22"/>
    </row>
    <row r="89" ht="22.5" customHeight="1">
      <c r="A89" s="28">
        <v>45915.0</v>
      </c>
      <c r="B89" s="15" t="s">
        <v>169</v>
      </c>
      <c r="C89" s="13" t="s">
        <v>9</v>
      </c>
      <c r="D89" s="13">
        <v>80.0</v>
      </c>
      <c r="E89" s="15">
        <v>160.0</v>
      </c>
      <c r="F89" s="13" t="s">
        <v>33</v>
      </c>
      <c r="G89" s="15" t="s">
        <v>170</v>
      </c>
      <c r="H89" s="15">
        <v>1100.0</v>
      </c>
      <c r="I89" s="21">
        <f t="shared" si="1"/>
        <v>176</v>
      </c>
      <c r="J89" s="21"/>
      <c r="K89" s="22"/>
    </row>
    <row r="90" ht="22.5" customHeight="1">
      <c r="A90" s="28">
        <v>45915.0</v>
      </c>
      <c r="B90" s="15" t="s">
        <v>171</v>
      </c>
      <c r="C90" s="13" t="s">
        <v>9</v>
      </c>
      <c r="D90" s="13">
        <v>80.0</v>
      </c>
      <c r="E90" s="15">
        <v>160.0</v>
      </c>
      <c r="F90" s="13" t="s">
        <v>33</v>
      </c>
      <c r="G90" s="15" t="s">
        <v>170</v>
      </c>
      <c r="H90" s="15">
        <v>1400.0</v>
      </c>
      <c r="I90" s="21">
        <f t="shared" si="1"/>
        <v>224</v>
      </c>
      <c r="J90" s="21"/>
      <c r="K90" s="22"/>
    </row>
    <row r="91" ht="22.5" customHeight="1">
      <c r="A91" s="28">
        <v>45915.0</v>
      </c>
      <c r="B91" s="15" t="s">
        <v>172</v>
      </c>
      <c r="C91" s="13" t="s">
        <v>9</v>
      </c>
      <c r="D91" s="13">
        <v>80.0</v>
      </c>
      <c r="E91" s="15">
        <v>160.0</v>
      </c>
      <c r="F91" s="13" t="s">
        <v>33</v>
      </c>
      <c r="G91" s="15" t="s">
        <v>170</v>
      </c>
      <c r="H91" s="15">
        <v>250.0</v>
      </c>
      <c r="I91" s="21">
        <f t="shared" si="1"/>
        <v>40</v>
      </c>
      <c r="J91" s="21"/>
      <c r="K91" s="22"/>
    </row>
    <row r="92" ht="22.5" customHeight="1">
      <c r="A92" s="28">
        <v>45916.0</v>
      </c>
      <c r="B92" s="15" t="s">
        <v>173</v>
      </c>
      <c r="C92" s="13" t="s">
        <v>43</v>
      </c>
      <c r="D92" s="13">
        <v>80.0</v>
      </c>
      <c r="E92" s="15">
        <v>100.0</v>
      </c>
      <c r="F92" s="13" t="s">
        <v>21</v>
      </c>
      <c r="G92" s="15" t="s">
        <v>89</v>
      </c>
      <c r="H92" s="15">
        <v>2000.0</v>
      </c>
      <c r="I92" s="21">
        <f t="shared" si="1"/>
        <v>200</v>
      </c>
      <c r="J92" s="21"/>
      <c r="K92" s="22"/>
    </row>
    <row r="93" ht="22.5" customHeight="1">
      <c r="A93" s="28">
        <v>45916.0</v>
      </c>
      <c r="B93" s="15" t="s">
        <v>174</v>
      </c>
      <c r="C93" s="13" t="s">
        <v>43</v>
      </c>
      <c r="D93" s="13">
        <v>60.0</v>
      </c>
      <c r="E93" s="15">
        <v>160.0</v>
      </c>
      <c r="F93" s="13" t="s">
        <v>21</v>
      </c>
      <c r="G93" s="15" t="s">
        <v>89</v>
      </c>
      <c r="H93" s="15">
        <v>1960.0</v>
      </c>
      <c r="I93" s="21">
        <f t="shared" si="1"/>
        <v>313.6</v>
      </c>
      <c r="J93" s="21"/>
      <c r="K93" s="22"/>
    </row>
    <row r="94" ht="22.5" customHeight="1">
      <c r="A94" s="28">
        <v>45916.0</v>
      </c>
      <c r="B94" s="15" t="s">
        <v>175</v>
      </c>
      <c r="C94" s="13" t="s">
        <v>9</v>
      </c>
      <c r="D94" s="13">
        <v>80.0</v>
      </c>
      <c r="E94" s="15">
        <v>160.0</v>
      </c>
      <c r="F94" s="13" t="s">
        <v>27</v>
      </c>
      <c r="G94" s="15" t="s">
        <v>176</v>
      </c>
      <c r="H94" s="15">
        <v>900.0</v>
      </c>
      <c r="I94" s="21">
        <f t="shared" si="1"/>
        <v>144</v>
      </c>
      <c r="J94" s="21"/>
      <c r="K94" s="22"/>
    </row>
    <row r="95" ht="22.5" customHeight="1">
      <c r="A95" s="28">
        <v>45916.0</v>
      </c>
      <c r="B95" s="15" t="s">
        <v>177</v>
      </c>
      <c r="C95" s="13" t="s">
        <v>9</v>
      </c>
      <c r="D95" s="13">
        <v>80.0</v>
      </c>
      <c r="E95" s="15">
        <v>185.0</v>
      </c>
      <c r="F95" s="13" t="s">
        <v>27</v>
      </c>
      <c r="G95" s="15" t="s">
        <v>99</v>
      </c>
      <c r="H95" s="15">
        <v>4790.0</v>
      </c>
      <c r="I95" s="21">
        <f t="shared" si="1"/>
        <v>886.15</v>
      </c>
      <c r="J95" s="21"/>
      <c r="K95" s="22"/>
    </row>
    <row r="96" ht="22.5" customHeight="1">
      <c r="A96" s="28">
        <v>45917.0</v>
      </c>
      <c r="B96" s="15" t="s">
        <v>178</v>
      </c>
      <c r="C96" s="13" t="s">
        <v>9</v>
      </c>
      <c r="D96" s="13">
        <v>80.0</v>
      </c>
      <c r="E96" s="15">
        <v>290.0</v>
      </c>
      <c r="F96" s="13" t="s">
        <v>21</v>
      </c>
      <c r="G96" s="15" t="s">
        <v>89</v>
      </c>
      <c r="H96" s="15">
        <v>1000.0</v>
      </c>
      <c r="I96" s="21">
        <f t="shared" si="1"/>
        <v>290</v>
      </c>
      <c r="J96" s="21"/>
      <c r="K96" s="22"/>
    </row>
    <row r="97" ht="22.5" customHeight="1">
      <c r="A97" s="28">
        <v>45917.0</v>
      </c>
      <c r="B97" s="15" t="s">
        <v>179</v>
      </c>
      <c r="C97" s="13" t="s">
        <v>9</v>
      </c>
      <c r="D97" s="13">
        <v>80.0</v>
      </c>
      <c r="E97" s="15">
        <v>125.0</v>
      </c>
      <c r="F97" s="13" t="s">
        <v>21</v>
      </c>
      <c r="G97" s="15" t="s">
        <v>89</v>
      </c>
      <c r="H97" s="15">
        <v>2100.0</v>
      </c>
      <c r="I97" s="21">
        <f t="shared" si="1"/>
        <v>262.5</v>
      </c>
      <c r="J97" s="21"/>
      <c r="K97" s="22"/>
    </row>
    <row r="98" ht="22.5" customHeight="1">
      <c r="A98" s="28">
        <v>45917.0</v>
      </c>
      <c r="B98" s="15" t="s">
        <v>180</v>
      </c>
      <c r="C98" s="13" t="s">
        <v>9</v>
      </c>
      <c r="D98" s="13">
        <v>80.0</v>
      </c>
      <c r="E98" s="15">
        <v>320.0</v>
      </c>
      <c r="F98" s="13" t="s">
        <v>21</v>
      </c>
      <c r="G98" s="15" t="s">
        <v>89</v>
      </c>
      <c r="H98" s="15">
        <v>4000.0</v>
      </c>
      <c r="I98" s="21">
        <f t="shared" si="1"/>
        <v>1280</v>
      </c>
      <c r="J98" s="21"/>
      <c r="K98" s="22"/>
    </row>
    <row r="99" ht="22.5" customHeight="1">
      <c r="A99" s="28">
        <v>45917.0</v>
      </c>
      <c r="B99" s="15" t="s">
        <v>181</v>
      </c>
      <c r="C99" s="13" t="s">
        <v>26</v>
      </c>
      <c r="D99" s="13">
        <v>80.0</v>
      </c>
      <c r="E99" s="15">
        <v>140.0</v>
      </c>
      <c r="F99" s="13" t="s">
        <v>27</v>
      </c>
      <c r="G99" s="15" t="s">
        <v>99</v>
      </c>
      <c r="H99" s="15">
        <v>1500.0</v>
      </c>
      <c r="I99" s="21">
        <f t="shared" si="1"/>
        <v>210</v>
      </c>
      <c r="J99" s="21"/>
      <c r="K99" s="22"/>
    </row>
    <row r="100" ht="22.5" customHeight="1">
      <c r="A100" s="28">
        <v>45917.0</v>
      </c>
      <c r="B100" s="15" t="s">
        <v>182</v>
      </c>
      <c r="C100" s="13" t="s">
        <v>9</v>
      </c>
      <c r="D100" s="13">
        <v>80.0</v>
      </c>
      <c r="E100" s="15">
        <v>280.0</v>
      </c>
      <c r="F100" s="13" t="s">
        <v>21</v>
      </c>
      <c r="G100" s="15" t="s">
        <v>89</v>
      </c>
      <c r="H100" s="15">
        <v>1500.0</v>
      </c>
      <c r="I100" s="21">
        <f t="shared" si="1"/>
        <v>420</v>
      </c>
      <c r="J100" s="21"/>
      <c r="K100" s="22"/>
    </row>
    <row r="101" ht="22.5" customHeight="1">
      <c r="A101" s="28">
        <v>45917.0</v>
      </c>
      <c r="B101" s="15" t="s">
        <v>183</v>
      </c>
      <c r="C101" s="13" t="s">
        <v>9</v>
      </c>
      <c r="D101" s="13">
        <v>80.0</v>
      </c>
      <c r="E101" s="15">
        <v>180.0</v>
      </c>
      <c r="F101" s="13" t="s">
        <v>21</v>
      </c>
      <c r="G101" s="15" t="s">
        <v>89</v>
      </c>
      <c r="H101" s="15">
        <v>600.0</v>
      </c>
      <c r="I101" s="21">
        <f t="shared" si="1"/>
        <v>108</v>
      </c>
      <c r="J101" s="21"/>
      <c r="K101" s="22"/>
    </row>
    <row r="102" ht="22.5" customHeight="1">
      <c r="A102" s="28">
        <v>45917.0</v>
      </c>
      <c r="B102" s="15" t="s">
        <v>184</v>
      </c>
      <c r="C102" s="13" t="s">
        <v>9</v>
      </c>
      <c r="D102" s="13">
        <v>80.0</v>
      </c>
      <c r="E102" s="15">
        <v>290.0</v>
      </c>
      <c r="F102" s="13" t="s">
        <v>21</v>
      </c>
      <c r="G102" s="15" t="s">
        <v>89</v>
      </c>
      <c r="H102" s="15">
        <v>2200.0</v>
      </c>
      <c r="I102" s="21">
        <f t="shared" si="1"/>
        <v>638</v>
      </c>
      <c r="J102" s="21"/>
      <c r="K102" s="22"/>
    </row>
    <row r="103" ht="22.5" customHeight="1">
      <c r="A103" s="28">
        <v>45917.0</v>
      </c>
      <c r="B103" s="15" t="s">
        <v>185</v>
      </c>
      <c r="C103" s="13" t="s">
        <v>9</v>
      </c>
      <c r="D103" s="13">
        <v>80.0</v>
      </c>
      <c r="E103" s="15">
        <v>290.0</v>
      </c>
      <c r="F103" s="13" t="s">
        <v>21</v>
      </c>
      <c r="G103" s="15" t="s">
        <v>89</v>
      </c>
      <c r="H103" s="15">
        <v>2000.0</v>
      </c>
      <c r="I103" s="21">
        <f t="shared" si="1"/>
        <v>580</v>
      </c>
      <c r="J103" s="21"/>
      <c r="K103" s="22"/>
    </row>
    <row r="104" ht="22.5" customHeight="1">
      <c r="A104" s="28">
        <v>45917.0</v>
      </c>
      <c r="B104" s="15" t="s">
        <v>186</v>
      </c>
      <c r="C104" s="13" t="s">
        <v>9</v>
      </c>
      <c r="D104" s="13">
        <v>80.0</v>
      </c>
      <c r="E104" s="15">
        <v>210.0</v>
      </c>
      <c r="F104" s="13" t="s">
        <v>21</v>
      </c>
      <c r="G104" s="15" t="s">
        <v>89</v>
      </c>
      <c r="H104" s="15">
        <v>6000.0</v>
      </c>
      <c r="I104" s="21">
        <f t="shared" si="1"/>
        <v>1260</v>
      </c>
      <c r="J104" s="21"/>
      <c r="K104" s="22"/>
    </row>
    <row r="105" ht="22.5" customHeight="1">
      <c r="A105" s="28">
        <v>45918.0</v>
      </c>
      <c r="B105" s="15" t="s">
        <v>187</v>
      </c>
      <c r="C105" s="13" t="s">
        <v>9</v>
      </c>
      <c r="D105" s="13">
        <v>80.0</v>
      </c>
      <c r="E105" s="15">
        <v>160.0</v>
      </c>
      <c r="F105" s="13" t="s">
        <v>21</v>
      </c>
      <c r="G105" s="15" t="s">
        <v>89</v>
      </c>
      <c r="H105" s="15">
        <v>2000.0</v>
      </c>
      <c r="I105" s="21">
        <f t="shared" si="1"/>
        <v>320</v>
      </c>
      <c r="J105" s="21"/>
      <c r="K105" s="22"/>
    </row>
    <row r="106" ht="22.5" customHeight="1">
      <c r="A106" s="28">
        <v>45918.0</v>
      </c>
      <c r="B106" s="15" t="s">
        <v>188</v>
      </c>
      <c r="C106" s="13" t="s">
        <v>43</v>
      </c>
      <c r="D106" s="13">
        <v>50.0</v>
      </c>
      <c r="E106" s="15">
        <v>160.0</v>
      </c>
      <c r="F106" s="13" t="s">
        <v>21</v>
      </c>
      <c r="G106" s="15" t="s">
        <v>89</v>
      </c>
      <c r="H106" s="15">
        <v>600.0</v>
      </c>
      <c r="I106" s="21">
        <f t="shared" si="1"/>
        <v>96</v>
      </c>
      <c r="J106" s="21"/>
      <c r="K106" s="22"/>
    </row>
    <row r="107" ht="22.5" customHeight="1">
      <c r="A107" s="28">
        <v>45919.0</v>
      </c>
      <c r="B107" s="15" t="s">
        <v>189</v>
      </c>
      <c r="C107" s="13" t="s">
        <v>9</v>
      </c>
      <c r="D107" s="13">
        <v>80.0</v>
      </c>
      <c r="E107" s="15">
        <v>330.0</v>
      </c>
      <c r="F107" s="13" t="s">
        <v>21</v>
      </c>
      <c r="G107" s="15" t="s">
        <v>89</v>
      </c>
      <c r="H107" s="15">
        <v>1100.0</v>
      </c>
      <c r="I107" s="21">
        <f t="shared" si="1"/>
        <v>363</v>
      </c>
      <c r="J107" s="21"/>
      <c r="K107" s="22"/>
    </row>
    <row r="108" ht="22.5" customHeight="1">
      <c r="A108" s="28">
        <v>45919.0</v>
      </c>
      <c r="B108" s="15" t="s">
        <v>190</v>
      </c>
      <c r="C108" s="13" t="s">
        <v>9</v>
      </c>
      <c r="D108" s="13">
        <v>80.0</v>
      </c>
      <c r="E108" s="15">
        <v>180.0</v>
      </c>
      <c r="F108" s="13" t="s">
        <v>21</v>
      </c>
      <c r="G108" s="15" t="s">
        <v>89</v>
      </c>
      <c r="H108" s="15">
        <v>2000.0</v>
      </c>
      <c r="I108" s="21">
        <f t="shared" si="1"/>
        <v>360</v>
      </c>
      <c r="J108" s="21"/>
      <c r="K108" s="22"/>
    </row>
    <row r="109" ht="22.5" customHeight="1">
      <c r="A109" s="28">
        <v>45919.0</v>
      </c>
      <c r="B109" s="15" t="s">
        <v>191</v>
      </c>
      <c r="C109" s="13" t="s">
        <v>9</v>
      </c>
      <c r="D109" s="13">
        <v>80.0</v>
      </c>
      <c r="E109" s="15">
        <v>125.0</v>
      </c>
      <c r="F109" s="13" t="s">
        <v>21</v>
      </c>
      <c r="G109" s="15" t="s">
        <v>89</v>
      </c>
      <c r="H109" s="15">
        <v>650.0</v>
      </c>
      <c r="I109" s="21">
        <f t="shared" si="1"/>
        <v>81.25</v>
      </c>
      <c r="J109" s="21"/>
      <c r="K109" s="22"/>
    </row>
    <row r="110" ht="22.5" customHeight="1">
      <c r="A110" s="28">
        <v>45919.0</v>
      </c>
      <c r="B110" s="15" t="s">
        <v>192</v>
      </c>
      <c r="C110" s="13" t="s">
        <v>9</v>
      </c>
      <c r="D110" s="13">
        <v>80.0</v>
      </c>
      <c r="E110" s="15">
        <v>230.0</v>
      </c>
      <c r="F110" s="13" t="s">
        <v>21</v>
      </c>
      <c r="G110" s="15" t="s">
        <v>193</v>
      </c>
      <c r="H110" s="15">
        <v>8000.0</v>
      </c>
      <c r="I110" s="21">
        <f t="shared" si="1"/>
        <v>1840</v>
      </c>
      <c r="J110" s="21"/>
      <c r="K110" s="22"/>
    </row>
    <row r="111" ht="22.5" customHeight="1">
      <c r="A111" s="28">
        <v>45919.0</v>
      </c>
      <c r="B111" s="15" t="s">
        <v>194</v>
      </c>
      <c r="C111" s="13" t="s">
        <v>9</v>
      </c>
      <c r="D111" s="13">
        <v>80.0</v>
      </c>
      <c r="E111" s="15">
        <v>250.0</v>
      </c>
      <c r="F111" s="13" t="s">
        <v>21</v>
      </c>
      <c r="G111" s="15" t="s">
        <v>89</v>
      </c>
      <c r="H111" s="15">
        <v>2000.0</v>
      </c>
      <c r="I111" s="21">
        <f t="shared" si="1"/>
        <v>500</v>
      </c>
      <c r="J111" s="21"/>
      <c r="K111" s="22"/>
    </row>
    <row r="112" ht="22.5" customHeight="1">
      <c r="A112" s="28">
        <v>45919.0</v>
      </c>
      <c r="B112" s="15" t="s">
        <v>195</v>
      </c>
      <c r="C112" s="13" t="s">
        <v>9</v>
      </c>
      <c r="D112" s="13">
        <v>80.0</v>
      </c>
      <c r="E112" s="15">
        <v>170.0</v>
      </c>
      <c r="F112" s="13" t="s">
        <v>21</v>
      </c>
      <c r="G112" s="15" t="s">
        <v>89</v>
      </c>
      <c r="H112" s="15">
        <v>2050.0</v>
      </c>
      <c r="I112" s="21">
        <f t="shared" si="1"/>
        <v>348.5</v>
      </c>
      <c r="J112" s="21"/>
      <c r="K112" s="22"/>
    </row>
    <row r="113" ht="22.5" customHeight="1">
      <c r="A113" s="28">
        <v>45919.0</v>
      </c>
      <c r="B113" s="15" t="s">
        <v>196</v>
      </c>
      <c r="C113" s="13" t="s">
        <v>9</v>
      </c>
      <c r="D113" s="13">
        <v>80.0</v>
      </c>
      <c r="E113" s="15">
        <v>160.0</v>
      </c>
      <c r="F113" s="13" t="s">
        <v>21</v>
      </c>
      <c r="G113" s="15" t="s">
        <v>89</v>
      </c>
      <c r="H113" s="15">
        <v>1900.0</v>
      </c>
      <c r="I113" s="21">
        <f t="shared" si="1"/>
        <v>304</v>
      </c>
      <c r="J113" s="21"/>
      <c r="K113" s="22"/>
    </row>
    <row r="114" ht="22.5" customHeight="1">
      <c r="A114" s="28">
        <v>45919.0</v>
      </c>
      <c r="B114" s="15" t="s">
        <v>197</v>
      </c>
      <c r="C114" s="13" t="s">
        <v>9</v>
      </c>
      <c r="D114" s="13">
        <v>80.0</v>
      </c>
      <c r="E114" s="15">
        <v>290.0</v>
      </c>
      <c r="F114" s="13" t="s">
        <v>21</v>
      </c>
      <c r="G114" s="15" t="s">
        <v>89</v>
      </c>
      <c r="H114" s="15">
        <v>2000.0</v>
      </c>
      <c r="I114" s="21">
        <f t="shared" si="1"/>
        <v>580</v>
      </c>
      <c r="J114" s="21"/>
      <c r="K114" s="22"/>
    </row>
    <row r="115" ht="22.5" customHeight="1">
      <c r="A115" s="28">
        <v>45919.0</v>
      </c>
      <c r="B115" s="15" t="s">
        <v>198</v>
      </c>
      <c r="C115" s="13" t="s">
        <v>43</v>
      </c>
      <c r="D115" s="13">
        <v>50.0</v>
      </c>
      <c r="E115" s="15">
        <v>190.0</v>
      </c>
      <c r="F115" s="13" t="s">
        <v>27</v>
      </c>
      <c r="G115" s="15" t="s">
        <v>199</v>
      </c>
      <c r="H115" s="15">
        <v>1050.0</v>
      </c>
      <c r="I115" s="21">
        <f t="shared" si="1"/>
        <v>199.5</v>
      </c>
      <c r="J115" s="21"/>
      <c r="K115" s="22"/>
    </row>
    <row r="116" ht="22.5" customHeight="1">
      <c r="A116" s="28">
        <v>45920.0</v>
      </c>
      <c r="B116" s="15" t="s">
        <v>200</v>
      </c>
      <c r="C116" s="13" t="s">
        <v>9</v>
      </c>
      <c r="D116" s="13">
        <v>80.0</v>
      </c>
      <c r="E116" s="15">
        <v>230.0</v>
      </c>
      <c r="F116" s="13" t="s">
        <v>21</v>
      </c>
      <c r="G116" s="15" t="s">
        <v>193</v>
      </c>
      <c r="H116" s="15">
        <v>5050.0</v>
      </c>
      <c r="I116" s="21">
        <f t="shared" si="1"/>
        <v>1161.5</v>
      </c>
      <c r="J116" s="21"/>
      <c r="K116" s="22"/>
    </row>
    <row r="117" ht="22.5" customHeight="1">
      <c r="A117" s="28">
        <v>45921.0</v>
      </c>
      <c r="B117" s="15" t="s">
        <v>201</v>
      </c>
      <c r="C117" s="13" t="s">
        <v>9</v>
      </c>
      <c r="D117" s="13">
        <v>80.0</v>
      </c>
      <c r="E117" s="15">
        <v>250.0</v>
      </c>
      <c r="F117" s="13" t="s">
        <v>21</v>
      </c>
      <c r="G117" s="15" t="s">
        <v>193</v>
      </c>
      <c r="H117" s="15">
        <v>950.0</v>
      </c>
      <c r="I117" s="21">
        <f t="shared" si="1"/>
        <v>237.5</v>
      </c>
      <c r="J117" s="21"/>
      <c r="K117" s="22"/>
    </row>
    <row r="118" ht="22.5" customHeight="1">
      <c r="A118" s="28">
        <v>45921.0</v>
      </c>
      <c r="B118" s="15" t="s">
        <v>201</v>
      </c>
      <c r="C118" s="13" t="s">
        <v>9</v>
      </c>
      <c r="D118" s="13">
        <v>80.0</v>
      </c>
      <c r="E118" s="15">
        <v>230.0</v>
      </c>
      <c r="F118" s="13" t="s">
        <v>21</v>
      </c>
      <c r="G118" s="15" t="s">
        <v>193</v>
      </c>
      <c r="H118" s="15">
        <v>11800.0</v>
      </c>
      <c r="I118" s="21">
        <f t="shared" si="1"/>
        <v>2714</v>
      </c>
      <c r="J118" s="21"/>
      <c r="K118" s="22"/>
    </row>
    <row r="119" ht="22.5" customHeight="1">
      <c r="A119" s="28">
        <v>45920.0</v>
      </c>
      <c r="B119" s="15" t="s">
        <v>202</v>
      </c>
      <c r="C119" s="13" t="s">
        <v>9</v>
      </c>
      <c r="D119" s="13">
        <v>80.0</v>
      </c>
      <c r="E119" s="15">
        <v>170.0</v>
      </c>
      <c r="F119" s="13" t="s">
        <v>21</v>
      </c>
      <c r="G119" s="15" t="s">
        <v>89</v>
      </c>
      <c r="H119" s="15">
        <v>2800.0</v>
      </c>
      <c r="I119" s="21">
        <f t="shared" si="1"/>
        <v>476</v>
      </c>
      <c r="J119" s="21"/>
      <c r="K119" s="22"/>
    </row>
    <row r="120" ht="22.5" customHeight="1">
      <c r="A120" s="28">
        <v>45922.0</v>
      </c>
      <c r="B120" s="15" t="s">
        <v>203</v>
      </c>
      <c r="C120" s="13" t="s">
        <v>9</v>
      </c>
      <c r="D120" s="13">
        <v>80.0</v>
      </c>
      <c r="E120" s="15">
        <v>160.0</v>
      </c>
      <c r="F120" s="13" t="s">
        <v>21</v>
      </c>
      <c r="G120" s="15" t="s">
        <v>125</v>
      </c>
      <c r="H120" s="15">
        <v>600.0</v>
      </c>
      <c r="I120" s="21">
        <f t="shared" si="1"/>
        <v>96</v>
      </c>
      <c r="J120" s="21"/>
      <c r="K120" s="22"/>
    </row>
    <row r="121" ht="22.5" customHeight="1">
      <c r="A121" s="28">
        <v>45922.0</v>
      </c>
      <c r="B121" s="15" t="s">
        <v>204</v>
      </c>
      <c r="C121" s="13" t="s">
        <v>9</v>
      </c>
      <c r="D121" s="13">
        <v>80.0</v>
      </c>
      <c r="E121" s="15">
        <v>125.0</v>
      </c>
      <c r="F121" s="13" t="s">
        <v>21</v>
      </c>
      <c r="G121" s="15" t="s">
        <v>89</v>
      </c>
      <c r="H121" s="15">
        <v>1300.0</v>
      </c>
      <c r="I121" s="21">
        <f t="shared" si="1"/>
        <v>162.5</v>
      </c>
      <c r="J121" s="21"/>
      <c r="K121" s="22"/>
    </row>
    <row r="122" ht="22.5" customHeight="1">
      <c r="A122" s="28">
        <v>45922.0</v>
      </c>
      <c r="B122" s="15" t="s">
        <v>205</v>
      </c>
      <c r="C122" s="13" t="s">
        <v>9</v>
      </c>
      <c r="D122" s="13">
        <v>80.0</v>
      </c>
      <c r="E122" s="15">
        <v>125.0</v>
      </c>
      <c r="F122" s="13" t="s">
        <v>21</v>
      </c>
      <c r="G122" s="15" t="s">
        <v>89</v>
      </c>
      <c r="H122" s="15">
        <v>686.0</v>
      </c>
      <c r="I122" s="21">
        <f t="shared" si="1"/>
        <v>85.75</v>
      </c>
      <c r="J122" s="21"/>
      <c r="K122" s="22"/>
    </row>
    <row r="123" ht="22.5" customHeight="1">
      <c r="A123" s="28">
        <v>45922.0</v>
      </c>
      <c r="B123" s="15" t="s">
        <v>206</v>
      </c>
      <c r="C123" s="13" t="s">
        <v>9</v>
      </c>
      <c r="D123" s="13">
        <v>80.0</v>
      </c>
      <c r="E123" s="15">
        <v>250.0</v>
      </c>
      <c r="F123" s="13" t="s">
        <v>21</v>
      </c>
      <c r="G123" s="15" t="s">
        <v>89</v>
      </c>
      <c r="H123" s="15">
        <v>300.0</v>
      </c>
      <c r="I123" s="21">
        <f t="shared" si="1"/>
        <v>75</v>
      </c>
      <c r="J123" s="21"/>
      <c r="K123" s="22"/>
    </row>
    <row r="124" ht="22.5" customHeight="1">
      <c r="A124" s="28">
        <v>45922.0</v>
      </c>
      <c r="B124" s="15" t="s">
        <v>206</v>
      </c>
      <c r="C124" s="13" t="s">
        <v>9</v>
      </c>
      <c r="D124" s="13">
        <v>80.0</v>
      </c>
      <c r="E124" s="15">
        <v>210.0</v>
      </c>
      <c r="F124" s="13" t="s">
        <v>21</v>
      </c>
      <c r="G124" s="15" t="s">
        <v>89</v>
      </c>
      <c r="H124" s="15">
        <v>1500.0</v>
      </c>
      <c r="I124" s="21">
        <f t="shared" si="1"/>
        <v>315</v>
      </c>
      <c r="J124" s="21"/>
      <c r="K124" s="22"/>
    </row>
    <row r="125" ht="22.5" customHeight="1">
      <c r="A125" s="28">
        <v>45922.0</v>
      </c>
      <c r="B125" s="15" t="s">
        <v>206</v>
      </c>
      <c r="C125" s="13" t="s">
        <v>9</v>
      </c>
      <c r="D125" s="13">
        <v>80.0</v>
      </c>
      <c r="E125" s="15">
        <v>230.0</v>
      </c>
      <c r="F125" s="13" t="s">
        <v>21</v>
      </c>
      <c r="G125" s="15" t="s">
        <v>89</v>
      </c>
      <c r="H125" s="15">
        <v>250.0</v>
      </c>
      <c r="I125" s="21">
        <f t="shared" si="1"/>
        <v>57.5</v>
      </c>
      <c r="J125" s="21"/>
      <c r="K125" s="22"/>
    </row>
    <row r="126" ht="22.5" customHeight="1">
      <c r="A126" s="28">
        <v>45922.0</v>
      </c>
      <c r="B126" s="15" t="s">
        <v>208</v>
      </c>
      <c r="C126" s="13" t="s">
        <v>9</v>
      </c>
      <c r="D126" s="13">
        <v>80.0</v>
      </c>
      <c r="E126" s="15">
        <v>180.0</v>
      </c>
      <c r="F126" s="13" t="s">
        <v>21</v>
      </c>
      <c r="G126" s="15" t="s">
        <v>89</v>
      </c>
      <c r="H126" s="15">
        <v>2000.0</v>
      </c>
      <c r="I126" s="21">
        <f t="shared" si="1"/>
        <v>360</v>
      </c>
      <c r="J126" s="21"/>
      <c r="K126" s="22"/>
    </row>
    <row r="127" ht="22.5" customHeight="1">
      <c r="A127" s="28">
        <v>45922.0</v>
      </c>
      <c r="B127" s="15" t="s">
        <v>209</v>
      </c>
      <c r="C127" s="13" t="s">
        <v>9</v>
      </c>
      <c r="D127" s="13">
        <v>80.0</v>
      </c>
      <c r="E127" s="15">
        <v>210.0</v>
      </c>
      <c r="F127" s="13" t="s">
        <v>21</v>
      </c>
      <c r="G127" s="15" t="s">
        <v>89</v>
      </c>
      <c r="H127" s="15">
        <v>2400.0</v>
      </c>
      <c r="I127" s="21">
        <f t="shared" si="1"/>
        <v>504</v>
      </c>
      <c r="J127" s="21"/>
      <c r="K127" s="22"/>
    </row>
    <row r="128" ht="22.5" customHeight="1">
      <c r="A128" s="28">
        <v>45922.0</v>
      </c>
      <c r="B128" s="15" t="s">
        <v>209</v>
      </c>
      <c r="C128" s="13" t="s">
        <v>9</v>
      </c>
      <c r="D128" s="13">
        <v>80.0</v>
      </c>
      <c r="E128" s="15">
        <v>330.0</v>
      </c>
      <c r="F128" s="13" t="s">
        <v>21</v>
      </c>
      <c r="G128" s="15" t="s">
        <v>89</v>
      </c>
      <c r="H128" s="15">
        <v>2000.0</v>
      </c>
      <c r="I128" s="21">
        <f t="shared" si="1"/>
        <v>660</v>
      </c>
      <c r="J128" s="21"/>
      <c r="K128" s="22"/>
    </row>
    <row r="129" ht="22.5" customHeight="1">
      <c r="A129" s="28">
        <v>45922.0</v>
      </c>
      <c r="B129" s="15" t="s">
        <v>210</v>
      </c>
      <c r="C129" s="13" t="s">
        <v>9</v>
      </c>
      <c r="D129" s="13">
        <v>80.0</v>
      </c>
      <c r="E129" s="15">
        <v>250.0</v>
      </c>
      <c r="F129" s="13" t="s">
        <v>21</v>
      </c>
      <c r="G129" s="15" t="s">
        <v>89</v>
      </c>
      <c r="H129" s="15">
        <v>2950.0</v>
      </c>
      <c r="I129" s="21">
        <f t="shared" si="1"/>
        <v>737.5</v>
      </c>
      <c r="J129" s="21"/>
      <c r="K129" s="22"/>
    </row>
    <row r="130" ht="22.5" customHeight="1">
      <c r="A130" s="28">
        <v>45923.0</v>
      </c>
      <c r="B130" s="15" t="s">
        <v>212</v>
      </c>
      <c r="C130" s="13" t="s">
        <v>9</v>
      </c>
      <c r="D130" s="13">
        <v>80.0</v>
      </c>
      <c r="E130" s="15">
        <v>290.0</v>
      </c>
      <c r="F130" s="13" t="s">
        <v>21</v>
      </c>
      <c r="G130" s="15" t="s">
        <v>89</v>
      </c>
      <c r="H130" s="15">
        <v>1050.0</v>
      </c>
      <c r="I130" s="21">
        <f t="shared" si="1"/>
        <v>304.5</v>
      </c>
      <c r="J130" s="21"/>
      <c r="K130" s="22"/>
    </row>
    <row r="131" ht="22.5" customHeight="1">
      <c r="A131" s="28">
        <v>45923.0</v>
      </c>
      <c r="B131" s="15" t="s">
        <v>214</v>
      </c>
      <c r="C131" s="13" t="s">
        <v>9</v>
      </c>
      <c r="D131" s="13">
        <v>80.0</v>
      </c>
      <c r="E131" s="15">
        <v>125.0</v>
      </c>
      <c r="F131" s="13" t="s">
        <v>21</v>
      </c>
      <c r="G131" s="15" t="s">
        <v>89</v>
      </c>
      <c r="H131" s="15">
        <v>1000.0</v>
      </c>
      <c r="I131" s="21">
        <f t="shared" si="1"/>
        <v>125</v>
      </c>
      <c r="J131" s="21"/>
      <c r="K131" s="22"/>
    </row>
    <row r="132" ht="22.5" customHeight="1">
      <c r="A132" s="28">
        <v>45923.0</v>
      </c>
      <c r="B132" s="15" t="s">
        <v>216</v>
      </c>
      <c r="C132" s="13" t="s">
        <v>26</v>
      </c>
      <c r="D132" s="13">
        <v>80.0</v>
      </c>
      <c r="E132" s="15">
        <v>167.0</v>
      </c>
      <c r="F132" s="13" t="s">
        <v>27</v>
      </c>
      <c r="G132" s="15" t="s">
        <v>217</v>
      </c>
      <c r="H132" s="15">
        <v>7500.0</v>
      </c>
      <c r="I132" s="21">
        <f t="shared" si="1"/>
        <v>1252.5</v>
      </c>
      <c r="J132" s="21"/>
      <c r="K132" s="22"/>
    </row>
    <row r="133" ht="22.5" customHeight="1">
      <c r="A133" s="28">
        <v>45923.0</v>
      </c>
      <c r="B133" s="15" t="s">
        <v>218</v>
      </c>
      <c r="C133" s="13" t="s">
        <v>26</v>
      </c>
      <c r="D133" s="13">
        <v>80.0</v>
      </c>
      <c r="E133" s="15">
        <v>280.0</v>
      </c>
      <c r="F133" s="13" t="s">
        <v>27</v>
      </c>
      <c r="G133" s="15" t="s">
        <v>217</v>
      </c>
      <c r="H133" s="15">
        <v>3000.0</v>
      </c>
      <c r="I133" s="21">
        <f t="shared" si="1"/>
        <v>840</v>
      </c>
      <c r="J133" s="15" t="s">
        <v>290</v>
      </c>
      <c r="K133" s="50"/>
    </row>
    <row r="134" ht="22.5" customHeight="1">
      <c r="A134" s="28">
        <v>45923.0</v>
      </c>
      <c r="B134" s="15" t="s">
        <v>219</v>
      </c>
      <c r="C134" s="13" t="s">
        <v>43</v>
      </c>
      <c r="D134" s="13">
        <v>50.0</v>
      </c>
      <c r="E134" s="15">
        <v>125.0</v>
      </c>
      <c r="F134" s="13" t="s">
        <v>27</v>
      </c>
      <c r="G134" s="15" t="s">
        <v>176</v>
      </c>
      <c r="H134" s="15">
        <v>2010.0</v>
      </c>
      <c r="I134" s="21">
        <f t="shared" si="1"/>
        <v>251.25</v>
      </c>
      <c r="J134" s="21"/>
      <c r="K134" s="22"/>
    </row>
    <row r="135" ht="22.5" customHeight="1">
      <c r="A135" s="28">
        <v>45923.0</v>
      </c>
      <c r="B135" s="15" t="s">
        <v>220</v>
      </c>
      <c r="C135" s="13" t="s">
        <v>9</v>
      </c>
      <c r="D135" s="13">
        <v>80.0</v>
      </c>
      <c r="E135" s="15">
        <v>125.0</v>
      </c>
      <c r="F135" s="13" t="s">
        <v>21</v>
      </c>
      <c r="G135" s="15" t="s">
        <v>89</v>
      </c>
      <c r="H135" s="15">
        <v>2300.0</v>
      </c>
      <c r="I135" s="21">
        <f t="shared" si="1"/>
        <v>287.5</v>
      </c>
      <c r="J135" s="21"/>
      <c r="K135" s="22"/>
    </row>
    <row r="136" ht="22.5" customHeight="1">
      <c r="A136" s="28">
        <v>45923.0</v>
      </c>
      <c r="B136" s="15" t="s">
        <v>221</v>
      </c>
      <c r="C136" s="13" t="s">
        <v>9</v>
      </c>
      <c r="D136" s="13">
        <v>80.0</v>
      </c>
      <c r="E136" s="15">
        <v>250.0</v>
      </c>
      <c r="F136" s="13" t="s">
        <v>21</v>
      </c>
      <c r="G136" s="15" t="s">
        <v>89</v>
      </c>
      <c r="H136" s="15">
        <v>2000.0</v>
      </c>
      <c r="I136" s="21">
        <f t="shared" si="1"/>
        <v>500</v>
      </c>
      <c r="J136" s="21"/>
      <c r="K136" s="22"/>
    </row>
    <row r="137" ht="22.5" customHeight="1">
      <c r="A137" s="28">
        <v>45924.0</v>
      </c>
      <c r="B137" s="15" t="s">
        <v>222</v>
      </c>
      <c r="C137" s="13" t="s">
        <v>9</v>
      </c>
      <c r="D137" s="13">
        <v>80.0</v>
      </c>
      <c r="E137" s="15">
        <v>230.0</v>
      </c>
      <c r="F137" s="13" t="s">
        <v>27</v>
      </c>
      <c r="G137" s="15" t="s">
        <v>139</v>
      </c>
      <c r="H137" s="15">
        <v>950.0</v>
      </c>
      <c r="I137" s="21">
        <f t="shared" si="1"/>
        <v>218.5</v>
      </c>
      <c r="J137" s="21"/>
      <c r="K137" s="22"/>
    </row>
    <row r="138" ht="22.5" customHeight="1">
      <c r="A138" s="28">
        <v>45924.0</v>
      </c>
      <c r="B138" s="15" t="s">
        <v>222</v>
      </c>
      <c r="C138" s="13" t="s">
        <v>9</v>
      </c>
      <c r="D138" s="13">
        <v>80.0</v>
      </c>
      <c r="E138" s="15">
        <v>240.0</v>
      </c>
      <c r="F138" s="13" t="s">
        <v>27</v>
      </c>
      <c r="G138" s="15" t="s">
        <v>139</v>
      </c>
      <c r="H138" s="15">
        <v>400.0</v>
      </c>
      <c r="I138" s="21">
        <f t="shared" si="1"/>
        <v>96</v>
      </c>
      <c r="J138" s="21"/>
      <c r="K138" s="22"/>
    </row>
    <row r="139" ht="22.5" customHeight="1">
      <c r="A139" s="28">
        <v>45924.0</v>
      </c>
      <c r="B139" s="15" t="s">
        <v>223</v>
      </c>
      <c r="C139" s="13" t="s">
        <v>9</v>
      </c>
      <c r="D139" s="13">
        <v>80.0</v>
      </c>
      <c r="E139" s="15">
        <v>160.0</v>
      </c>
      <c r="F139" s="13" t="s">
        <v>27</v>
      </c>
      <c r="G139" s="15" t="s">
        <v>139</v>
      </c>
      <c r="H139" s="15">
        <v>1700.0</v>
      </c>
      <c r="I139" s="21">
        <f t="shared" si="1"/>
        <v>272</v>
      </c>
      <c r="J139" s="21"/>
      <c r="K139" s="22"/>
    </row>
    <row r="140" ht="22.5" customHeight="1">
      <c r="A140" s="28">
        <v>45924.0</v>
      </c>
      <c r="B140" s="15" t="s">
        <v>224</v>
      </c>
      <c r="C140" s="13" t="s">
        <v>26</v>
      </c>
      <c r="D140" s="13">
        <v>80.0</v>
      </c>
      <c r="E140" s="15">
        <v>280.0</v>
      </c>
      <c r="F140" s="13" t="s">
        <v>27</v>
      </c>
      <c r="G140" s="15" t="s">
        <v>217</v>
      </c>
      <c r="H140" s="15">
        <v>920.0</v>
      </c>
      <c r="I140" s="21">
        <f t="shared" si="1"/>
        <v>257.6</v>
      </c>
      <c r="J140" s="21"/>
      <c r="K140" s="22"/>
    </row>
    <row r="141" ht="22.5" customHeight="1">
      <c r="A141" s="28">
        <v>45924.0</v>
      </c>
      <c r="B141" s="15" t="s">
        <v>225</v>
      </c>
      <c r="C141" s="13" t="s">
        <v>9</v>
      </c>
      <c r="D141" s="13">
        <v>80.0</v>
      </c>
      <c r="E141" s="15">
        <v>160.0</v>
      </c>
      <c r="F141" s="13" t="s">
        <v>27</v>
      </c>
      <c r="G141" s="15" t="s">
        <v>99</v>
      </c>
      <c r="H141" s="15">
        <v>6200.0</v>
      </c>
      <c r="I141" s="21">
        <f t="shared" si="1"/>
        <v>992</v>
      </c>
      <c r="J141" s="21"/>
      <c r="K141" s="22"/>
    </row>
    <row r="142" ht="22.5" customHeight="1">
      <c r="A142" s="28">
        <v>45924.0</v>
      </c>
      <c r="B142" s="15" t="s">
        <v>226</v>
      </c>
      <c r="C142" s="13" t="s">
        <v>9</v>
      </c>
      <c r="D142" s="13">
        <v>80.0</v>
      </c>
      <c r="E142" s="15">
        <v>160.0</v>
      </c>
      <c r="F142" s="13" t="s">
        <v>27</v>
      </c>
      <c r="G142" s="15" t="s">
        <v>99</v>
      </c>
      <c r="H142" s="15">
        <v>3500.0</v>
      </c>
      <c r="I142" s="21">
        <f t="shared" si="1"/>
        <v>560</v>
      </c>
      <c r="J142" s="21"/>
      <c r="K142" s="22"/>
    </row>
    <row r="143" ht="22.5" customHeight="1">
      <c r="A143" s="28">
        <v>45924.0</v>
      </c>
      <c r="B143" s="15" t="s">
        <v>227</v>
      </c>
      <c r="C143" s="13" t="s">
        <v>9</v>
      </c>
      <c r="D143" s="13">
        <v>80.0</v>
      </c>
      <c r="E143" s="15">
        <v>140.0</v>
      </c>
      <c r="F143" s="13" t="s">
        <v>27</v>
      </c>
      <c r="G143" s="15" t="s">
        <v>99</v>
      </c>
      <c r="H143" s="15">
        <v>3100.0</v>
      </c>
      <c r="I143" s="21">
        <f t="shared" si="1"/>
        <v>434</v>
      </c>
      <c r="J143" s="21"/>
      <c r="K143" s="22"/>
    </row>
    <row r="144" ht="22.5" customHeight="1">
      <c r="A144" s="28">
        <v>45925.0</v>
      </c>
      <c r="B144" s="15" t="s">
        <v>228</v>
      </c>
      <c r="C144" s="13" t="s">
        <v>9</v>
      </c>
      <c r="D144" s="13">
        <v>80.0</v>
      </c>
      <c r="E144" s="15">
        <v>195.0</v>
      </c>
      <c r="F144" s="13" t="s">
        <v>27</v>
      </c>
      <c r="G144" s="15" t="s">
        <v>106</v>
      </c>
      <c r="H144" s="15">
        <v>2070.0</v>
      </c>
      <c r="I144" s="21">
        <f t="shared" si="1"/>
        <v>403.65</v>
      </c>
      <c r="J144" s="21"/>
      <c r="K144" s="22"/>
    </row>
    <row r="145" ht="22.5" customHeight="1">
      <c r="A145" s="28">
        <v>45925.0</v>
      </c>
      <c r="B145" s="15" t="s">
        <v>229</v>
      </c>
      <c r="C145" s="13" t="s">
        <v>9</v>
      </c>
      <c r="D145" s="13">
        <v>80.0</v>
      </c>
      <c r="E145" s="15">
        <v>185.0</v>
      </c>
      <c r="F145" s="13" t="s">
        <v>27</v>
      </c>
      <c r="G145" s="15" t="s">
        <v>106</v>
      </c>
      <c r="H145" s="15">
        <v>1250.0</v>
      </c>
      <c r="I145" s="21">
        <f t="shared" si="1"/>
        <v>231.25</v>
      </c>
      <c r="J145" s="21"/>
      <c r="K145" s="22"/>
    </row>
    <row r="146" ht="22.5" customHeight="1">
      <c r="A146" s="28">
        <v>45925.0</v>
      </c>
      <c r="B146" s="15" t="s">
        <v>230</v>
      </c>
      <c r="C146" s="13" t="s">
        <v>9</v>
      </c>
      <c r="D146" s="13">
        <v>80.0</v>
      </c>
      <c r="E146" s="15">
        <v>195.0</v>
      </c>
      <c r="F146" s="13" t="s">
        <v>27</v>
      </c>
      <c r="G146" s="15" t="s">
        <v>106</v>
      </c>
      <c r="H146" s="15">
        <v>1270.0</v>
      </c>
      <c r="I146" s="21">
        <f t="shared" si="1"/>
        <v>247.65</v>
      </c>
      <c r="J146" s="21"/>
      <c r="K146" s="22"/>
    </row>
    <row r="147" ht="22.5" customHeight="1">
      <c r="A147" s="28">
        <v>45925.0</v>
      </c>
      <c r="B147" s="15" t="s">
        <v>231</v>
      </c>
      <c r="C147" s="13" t="s">
        <v>9</v>
      </c>
      <c r="D147" s="13">
        <v>80.0</v>
      </c>
      <c r="E147" s="15">
        <v>2230.0</v>
      </c>
      <c r="F147" s="13" t="s">
        <v>27</v>
      </c>
      <c r="G147" s="15" t="s">
        <v>106</v>
      </c>
      <c r="H147" s="15">
        <v>2230.0</v>
      </c>
      <c r="I147" s="21">
        <f t="shared" si="1"/>
        <v>4972.9</v>
      </c>
      <c r="J147" s="21"/>
      <c r="K147" s="22"/>
    </row>
    <row r="148" ht="22.5" customHeight="1">
      <c r="A148" s="28">
        <v>45925.0</v>
      </c>
      <c r="B148" s="15" t="s">
        <v>233</v>
      </c>
      <c r="C148" s="13" t="s">
        <v>9</v>
      </c>
      <c r="D148" s="13">
        <v>80.0</v>
      </c>
      <c r="E148" s="15">
        <v>140.0</v>
      </c>
      <c r="F148" s="13" t="s">
        <v>27</v>
      </c>
      <c r="G148" s="15" t="s">
        <v>99</v>
      </c>
      <c r="H148" s="15">
        <v>3430.0</v>
      </c>
      <c r="I148" s="21">
        <f t="shared" si="1"/>
        <v>480.2</v>
      </c>
      <c r="J148" s="21"/>
      <c r="K148" s="22"/>
    </row>
    <row r="149" ht="22.5" customHeight="1">
      <c r="A149" s="28">
        <v>45925.0</v>
      </c>
      <c r="B149" s="15" t="s">
        <v>235</v>
      </c>
      <c r="C149" s="13" t="s">
        <v>9</v>
      </c>
      <c r="D149" s="13">
        <v>80.0</v>
      </c>
      <c r="E149" s="15">
        <v>140.0</v>
      </c>
      <c r="F149" s="13" t="s">
        <v>27</v>
      </c>
      <c r="G149" s="15" t="s">
        <v>99</v>
      </c>
      <c r="H149" s="15">
        <v>2160.0</v>
      </c>
      <c r="I149" s="21">
        <f t="shared" si="1"/>
        <v>302.4</v>
      </c>
      <c r="J149" s="21"/>
      <c r="K149" s="22"/>
    </row>
    <row r="150" ht="22.5" customHeight="1">
      <c r="A150" s="28">
        <v>45925.0</v>
      </c>
      <c r="B150" s="15" t="s">
        <v>236</v>
      </c>
      <c r="C150" s="13" t="s">
        <v>9</v>
      </c>
      <c r="D150" s="13">
        <v>80.0</v>
      </c>
      <c r="E150" s="15">
        <v>140.0</v>
      </c>
      <c r="F150" s="13" t="s">
        <v>27</v>
      </c>
      <c r="G150" s="15" t="s">
        <v>99</v>
      </c>
      <c r="H150" s="15">
        <v>950.0</v>
      </c>
      <c r="I150" s="21">
        <f t="shared" si="1"/>
        <v>133</v>
      </c>
      <c r="J150" s="21"/>
      <c r="K150" s="22"/>
    </row>
    <row r="151" ht="22.5" customHeight="1">
      <c r="A151" s="28">
        <v>45926.0</v>
      </c>
      <c r="B151" s="15" t="s">
        <v>237</v>
      </c>
      <c r="C151" s="13" t="s">
        <v>42</v>
      </c>
      <c r="D151" s="13">
        <v>80.0</v>
      </c>
      <c r="E151" s="15">
        <v>255.0</v>
      </c>
      <c r="F151" s="13" t="s">
        <v>31</v>
      </c>
      <c r="G151" s="15" t="s">
        <v>120</v>
      </c>
      <c r="H151" s="15">
        <v>1710.0</v>
      </c>
      <c r="I151" s="21">
        <f t="shared" si="1"/>
        <v>436.05</v>
      </c>
      <c r="J151" s="21"/>
      <c r="K151" s="22"/>
    </row>
    <row r="152" ht="22.5" customHeight="1">
      <c r="A152" s="28">
        <v>45926.0</v>
      </c>
      <c r="B152" s="15" t="s">
        <v>238</v>
      </c>
      <c r="C152" s="38"/>
      <c r="D152" s="38"/>
      <c r="E152" s="15">
        <v>250.0</v>
      </c>
      <c r="F152" s="38"/>
      <c r="G152" s="15" t="s">
        <v>170</v>
      </c>
      <c r="H152" s="15">
        <v>173.0</v>
      </c>
      <c r="I152" s="21">
        <f t="shared" si="1"/>
        <v>43.25</v>
      </c>
      <c r="J152" s="15" t="s">
        <v>321</v>
      </c>
      <c r="K152" s="22"/>
    </row>
    <row r="153" ht="22.5" customHeight="1">
      <c r="A153" s="28">
        <v>45927.0</v>
      </c>
      <c r="B153" s="15" t="s">
        <v>239</v>
      </c>
      <c r="C153" s="13" t="s">
        <v>9</v>
      </c>
      <c r="D153" s="13">
        <v>80.0</v>
      </c>
      <c r="E153" s="15">
        <v>125.0</v>
      </c>
      <c r="F153" s="13" t="s">
        <v>21</v>
      </c>
      <c r="G153" s="15" t="s">
        <v>89</v>
      </c>
      <c r="H153" s="15">
        <v>1000.0</v>
      </c>
      <c r="I153" s="21">
        <f t="shared" si="1"/>
        <v>125</v>
      </c>
      <c r="J153" s="21"/>
      <c r="K153" s="22"/>
    </row>
    <row r="154" ht="22.5" customHeight="1">
      <c r="A154" s="28">
        <v>45927.0</v>
      </c>
      <c r="B154" s="15" t="s">
        <v>241</v>
      </c>
      <c r="C154" s="13" t="s">
        <v>43</v>
      </c>
      <c r="D154" s="13">
        <v>50.0</v>
      </c>
      <c r="E154" s="15">
        <v>190.0</v>
      </c>
      <c r="F154" s="13" t="s">
        <v>21</v>
      </c>
      <c r="G154" s="15" t="s">
        <v>99</v>
      </c>
      <c r="H154" s="15">
        <v>700.0</v>
      </c>
      <c r="I154" s="21">
        <f t="shared" si="1"/>
        <v>133</v>
      </c>
      <c r="J154" s="21"/>
      <c r="K154" s="22"/>
    </row>
    <row r="155" ht="22.5" customHeight="1">
      <c r="A155" s="28">
        <v>45927.0</v>
      </c>
      <c r="B155" s="15" t="s">
        <v>242</v>
      </c>
      <c r="C155" s="13" t="s">
        <v>43</v>
      </c>
      <c r="D155" s="13">
        <v>50.0</v>
      </c>
      <c r="E155" s="15">
        <v>300.0</v>
      </c>
      <c r="F155" s="13" t="s">
        <v>27</v>
      </c>
      <c r="G155" s="15" t="s">
        <v>99</v>
      </c>
      <c r="H155" s="15">
        <v>650.0</v>
      </c>
      <c r="I155" s="21">
        <f t="shared" si="1"/>
        <v>195</v>
      </c>
      <c r="J155" s="21"/>
      <c r="K155" s="22"/>
    </row>
    <row r="156" ht="22.5" customHeight="1">
      <c r="A156" s="28">
        <v>45929.0</v>
      </c>
      <c r="B156" s="15" t="s">
        <v>244</v>
      </c>
      <c r="C156" s="13" t="s">
        <v>9</v>
      </c>
      <c r="D156" s="13">
        <v>80.0</v>
      </c>
      <c r="E156" s="15">
        <v>126.0</v>
      </c>
      <c r="F156" s="13" t="s">
        <v>27</v>
      </c>
      <c r="G156" s="15" t="s">
        <v>139</v>
      </c>
      <c r="H156" s="15">
        <v>500.0</v>
      </c>
      <c r="I156" s="21">
        <f t="shared" si="1"/>
        <v>63</v>
      </c>
      <c r="J156" s="21"/>
      <c r="K156" s="22"/>
    </row>
    <row r="157" ht="22.5" customHeight="1">
      <c r="A157" s="28">
        <v>45929.0</v>
      </c>
      <c r="B157" s="15" t="s">
        <v>245</v>
      </c>
      <c r="C157" s="13" t="s">
        <v>9</v>
      </c>
      <c r="D157" s="13">
        <v>80.0</v>
      </c>
      <c r="E157" s="15">
        <v>290.0</v>
      </c>
      <c r="F157" s="13" t="s">
        <v>21</v>
      </c>
      <c r="G157" s="15" t="s">
        <v>89</v>
      </c>
      <c r="H157" s="15">
        <v>2000.0</v>
      </c>
      <c r="I157" s="21">
        <f t="shared" si="1"/>
        <v>580</v>
      </c>
      <c r="J157" s="21"/>
      <c r="K157" s="22"/>
    </row>
    <row r="158" ht="22.5" customHeight="1">
      <c r="A158" s="28">
        <v>45929.0</v>
      </c>
      <c r="B158" s="15" t="s">
        <v>247</v>
      </c>
      <c r="C158" s="13" t="s">
        <v>9</v>
      </c>
      <c r="D158" s="13">
        <v>80.0</v>
      </c>
      <c r="E158" s="15">
        <v>210.0</v>
      </c>
      <c r="F158" s="13" t="s">
        <v>21</v>
      </c>
      <c r="G158" s="15" t="s">
        <v>89</v>
      </c>
      <c r="H158" s="15">
        <v>2000.0</v>
      </c>
      <c r="I158" s="21">
        <f t="shared" si="1"/>
        <v>420</v>
      </c>
      <c r="J158" s="21"/>
      <c r="K158" s="22"/>
    </row>
    <row r="159" ht="22.5" customHeight="1">
      <c r="A159" s="28">
        <v>45929.0</v>
      </c>
      <c r="B159" s="15" t="s">
        <v>248</v>
      </c>
      <c r="C159" s="13" t="s">
        <v>9</v>
      </c>
      <c r="D159" s="13">
        <v>80.0</v>
      </c>
      <c r="E159" s="15">
        <v>290.0</v>
      </c>
      <c r="F159" s="13" t="s">
        <v>21</v>
      </c>
      <c r="G159" s="15" t="s">
        <v>89</v>
      </c>
      <c r="H159" s="15">
        <v>2600.0</v>
      </c>
      <c r="I159" s="21">
        <f t="shared" si="1"/>
        <v>754</v>
      </c>
      <c r="J159" s="21"/>
      <c r="K159" s="22"/>
    </row>
    <row r="160" ht="22.5" customHeight="1">
      <c r="A160" s="28">
        <v>45929.0</v>
      </c>
      <c r="B160" s="15" t="s">
        <v>249</v>
      </c>
      <c r="C160" s="13" t="s">
        <v>9</v>
      </c>
      <c r="D160" s="13">
        <v>80.0</v>
      </c>
      <c r="E160" s="15">
        <v>320.0</v>
      </c>
      <c r="F160" s="13" t="s">
        <v>21</v>
      </c>
      <c r="G160" s="15" t="s">
        <v>89</v>
      </c>
      <c r="H160" s="15">
        <v>1050.0</v>
      </c>
      <c r="I160" s="21">
        <f t="shared" si="1"/>
        <v>336</v>
      </c>
      <c r="J160" s="21"/>
      <c r="K160" s="22"/>
    </row>
    <row r="161" ht="22.5" customHeight="1">
      <c r="A161" s="28">
        <v>45929.0</v>
      </c>
      <c r="B161" s="15" t="s">
        <v>250</v>
      </c>
      <c r="C161" s="13" t="s">
        <v>9</v>
      </c>
      <c r="D161" s="13">
        <v>80.0</v>
      </c>
      <c r="E161" s="15">
        <v>290.0</v>
      </c>
      <c r="F161" s="13" t="s">
        <v>21</v>
      </c>
      <c r="G161" s="15" t="s">
        <v>89</v>
      </c>
      <c r="H161" s="15">
        <v>1450.0</v>
      </c>
      <c r="I161" s="21">
        <f t="shared" si="1"/>
        <v>420.5</v>
      </c>
      <c r="J161" s="21"/>
      <c r="K161" s="22"/>
    </row>
    <row r="162" ht="22.5" customHeight="1">
      <c r="A162" s="28">
        <v>45930.0</v>
      </c>
      <c r="B162" s="15" t="s">
        <v>251</v>
      </c>
      <c r="C162" s="13" t="s">
        <v>9</v>
      </c>
      <c r="D162" s="13">
        <v>80.0</v>
      </c>
      <c r="E162" s="15">
        <v>185.0</v>
      </c>
      <c r="F162" s="13" t="s">
        <v>27</v>
      </c>
      <c r="G162" s="15" t="s">
        <v>252</v>
      </c>
      <c r="H162" s="15">
        <v>1100.0</v>
      </c>
      <c r="I162" s="21">
        <f t="shared" si="1"/>
        <v>203.5</v>
      </c>
      <c r="J162" s="21"/>
      <c r="K162" s="22"/>
    </row>
    <row r="163" ht="22.5" customHeight="1">
      <c r="A163" s="28">
        <v>45930.0</v>
      </c>
      <c r="B163" s="15" t="s">
        <v>253</v>
      </c>
      <c r="C163" s="13" t="s">
        <v>9</v>
      </c>
      <c r="D163" s="13">
        <v>80.0</v>
      </c>
      <c r="E163" s="15">
        <v>126.0</v>
      </c>
      <c r="F163" s="13" t="s">
        <v>27</v>
      </c>
      <c r="G163" s="15" t="s">
        <v>252</v>
      </c>
      <c r="H163" s="15">
        <v>1300.0</v>
      </c>
      <c r="I163" s="21">
        <f t="shared" si="1"/>
        <v>163.8</v>
      </c>
      <c r="J163" s="21"/>
      <c r="K163" s="22"/>
    </row>
    <row r="164" ht="22.5" customHeight="1">
      <c r="A164" s="28">
        <v>45930.0</v>
      </c>
      <c r="B164" s="15" t="s">
        <v>254</v>
      </c>
      <c r="C164" s="13" t="s">
        <v>9</v>
      </c>
      <c r="D164" s="13">
        <v>80.0</v>
      </c>
      <c r="E164" s="15">
        <v>210.0</v>
      </c>
      <c r="F164" s="13" t="s">
        <v>27</v>
      </c>
      <c r="G164" s="15" t="s">
        <v>252</v>
      </c>
      <c r="H164" s="15">
        <v>1500.0</v>
      </c>
      <c r="I164" s="21">
        <f t="shared" si="1"/>
        <v>315</v>
      </c>
      <c r="J164" s="21"/>
      <c r="K164" s="22"/>
    </row>
    <row r="165" ht="22.5" customHeight="1">
      <c r="A165" s="28">
        <v>45930.0</v>
      </c>
      <c r="B165" s="15" t="s">
        <v>255</v>
      </c>
      <c r="C165" s="13" t="s">
        <v>9</v>
      </c>
      <c r="D165" s="13">
        <v>80.0</v>
      </c>
      <c r="E165" s="15">
        <v>210.0</v>
      </c>
      <c r="F165" s="13" t="s">
        <v>21</v>
      </c>
      <c r="G165" s="15" t="s">
        <v>89</v>
      </c>
      <c r="H165" s="15">
        <v>1650.0</v>
      </c>
      <c r="I165" s="21">
        <f t="shared" si="1"/>
        <v>346.5</v>
      </c>
      <c r="J165" s="21"/>
      <c r="K165" s="22"/>
    </row>
    <row r="166" ht="22.5" customHeight="1">
      <c r="A166" s="28">
        <v>45930.0</v>
      </c>
      <c r="B166" s="15" t="s">
        <v>256</v>
      </c>
      <c r="C166" s="13" t="s">
        <v>43</v>
      </c>
      <c r="D166" s="13">
        <v>80.0</v>
      </c>
      <c r="E166" s="15">
        <v>160.0</v>
      </c>
      <c r="F166" s="13" t="s">
        <v>21</v>
      </c>
      <c r="G166" s="15" t="s">
        <v>89</v>
      </c>
      <c r="H166" s="15">
        <v>1130.0</v>
      </c>
      <c r="I166" s="21">
        <f t="shared" si="1"/>
        <v>180.8</v>
      </c>
      <c r="J166" s="21"/>
      <c r="K166" s="22"/>
    </row>
    <row r="167" ht="22.5" customHeight="1">
      <c r="A167" s="28">
        <v>45930.0</v>
      </c>
      <c r="B167" s="15" t="s">
        <v>257</v>
      </c>
      <c r="C167" s="13" t="s">
        <v>9</v>
      </c>
      <c r="D167" s="13">
        <v>80.0</v>
      </c>
      <c r="E167" s="15">
        <v>125.0</v>
      </c>
      <c r="F167" s="13" t="s">
        <v>21</v>
      </c>
      <c r="G167" s="15" t="s">
        <v>89</v>
      </c>
      <c r="H167" s="15">
        <v>2700.0</v>
      </c>
      <c r="I167" s="21">
        <f t="shared" si="1"/>
        <v>337.5</v>
      </c>
      <c r="J167" s="21"/>
      <c r="K167" s="22"/>
    </row>
    <row r="168" ht="22.5" customHeight="1">
      <c r="A168" s="28">
        <v>45933.0</v>
      </c>
      <c r="B168" s="15" t="s">
        <v>258</v>
      </c>
      <c r="C168" s="13" t="s">
        <v>9</v>
      </c>
      <c r="D168" s="13">
        <v>80.0</v>
      </c>
      <c r="E168" s="15">
        <v>290.0</v>
      </c>
      <c r="F168" s="13" t="s">
        <v>21</v>
      </c>
      <c r="G168" s="15" t="s">
        <v>89</v>
      </c>
      <c r="H168" s="15">
        <v>2000.0</v>
      </c>
      <c r="I168" s="21">
        <f t="shared" si="1"/>
        <v>580</v>
      </c>
      <c r="J168" s="21"/>
      <c r="K168" s="22"/>
    </row>
    <row r="169" ht="22.5" customHeight="1">
      <c r="A169" s="28">
        <v>45933.0</v>
      </c>
      <c r="B169" s="15" t="s">
        <v>259</v>
      </c>
      <c r="C169" s="13" t="s">
        <v>9</v>
      </c>
      <c r="D169" s="13">
        <v>80.0</v>
      </c>
      <c r="E169" s="15">
        <v>180.0</v>
      </c>
      <c r="F169" s="13" t="s">
        <v>21</v>
      </c>
      <c r="G169" s="15" t="s">
        <v>89</v>
      </c>
      <c r="H169" s="15">
        <v>2000.0</v>
      </c>
      <c r="I169" s="21">
        <f t="shared" si="1"/>
        <v>360</v>
      </c>
      <c r="J169" s="21"/>
      <c r="K169" s="22"/>
    </row>
    <row r="170" ht="22.5" customHeight="1">
      <c r="A170" s="28">
        <v>45933.0</v>
      </c>
      <c r="B170" s="15" t="s">
        <v>260</v>
      </c>
      <c r="C170" s="13" t="s">
        <v>9</v>
      </c>
      <c r="D170" s="13">
        <v>80.0</v>
      </c>
      <c r="E170" s="15">
        <v>330.0</v>
      </c>
      <c r="F170" s="13" t="s">
        <v>21</v>
      </c>
      <c r="G170" s="15" t="s">
        <v>89</v>
      </c>
      <c r="H170" s="15">
        <v>1400.0</v>
      </c>
      <c r="I170" s="21">
        <f t="shared" si="1"/>
        <v>462</v>
      </c>
      <c r="J170" s="21"/>
      <c r="K170" s="22"/>
    </row>
    <row r="171" ht="22.5" customHeight="1">
      <c r="A171" s="28">
        <v>45933.0</v>
      </c>
      <c r="B171" s="15" t="s">
        <v>261</v>
      </c>
      <c r="C171" s="13" t="s">
        <v>9</v>
      </c>
      <c r="D171" s="13">
        <v>80.0</v>
      </c>
      <c r="E171" s="15">
        <v>330.0</v>
      </c>
      <c r="F171" s="13" t="s">
        <v>21</v>
      </c>
      <c r="G171" s="15" t="s">
        <v>89</v>
      </c>
      <c r="H171" s="15">
        <v>2000.0</v>
      </c>
      <c r="I171" s="21">
        <f t="shared" si="1"/>
        <v>660</v>
      </c>
      <c r="J171" s="21"/>
      <c r="K171" s="22"/>
    </row>
    <row r="172" ht="22.5" customHeight="1">
      <c r="A172" s="28">
        <v>45933.0</v>
      </c>
      <c r="B172" s="15" t="s">
        <v>262</v>
      </c>
      <c r="C172" s="13" t="s">
        <v>9</v>
      </c>
      <c r="D172" s="13">
        <v>80.0</v>
      </c>
      <c r="E172" s="15">
        <v>280.0</v>
      </c>
      <c r="F172" s="13" t="s">
        <v>21</v>
      </c>
      <c r="G172" s="15" t="s">
        <v>89</v>
      </c>
      <c r="H172" s="15">
        <v>1400.0</v>
      </c>
      <c r="I172" s="21">
        <f t="shared" si="1"/>
        <v>392</v>
      </c>
      <c r="J172" s="21"/>
      <c r="K172" s="22"/>
    </row>
    <row r="173" ht="22.5" customHeight="1">
      <c r="A173" s="28">
        <v>45933.0</v>
      </c>
      <c r="B173" s="15" t="s">
        <v>263</v>
      </c>
      <c r="C173" s="13" t="s">
        <v>9</v>
      </c>
      <c r="D173" s="13">
        <v>80.0</v>
      </c>
      <c r="E173" s="15">
        <v>330.0</v>
      </c>
      <c r="F173" s="13" t="s">
        <v>21</v>
      </c>
      <c r="G173" s="15" t="s">
        <v>89</v>
      </c>
      <c r="H173" s="15">
        <v>950.0</v>
      </c>
      <c r="I173" s="21">
        <f t="shared" si="1"/>
        <v>313.5</v>
      </c>
      <c r="J173" s="21"/>
      <c r="K173" s="22"/>
    </row>
    <row r="174" ht="22.5" customHeight="1">
      <c r="A174" s="28">
        <v>45933.0</v>
      </c>
      <c r="B174" s="15" t="s">
        <v>265</v>
      </c>
      <c r="C174" s="13" t="s">
        <v>9</v>
      </c>
      <c r="D174" s="13">
        <v>80.0</v>
      </c>
      <c r="E174" s="15">
        <v>250.0</v>
      </c>
      <c r="F174" s="13" t="s">
        <v>21</v>
      </c>
      <c r="G174" s="15" t="s">
        <v>89</v>
      </c>
      <c r="H174" s="15">
        <v>2000.0</v>
      </c>
      <c r="I174" s="21">
        <f t="shared" si="1"/>
        <v>500</v>
      </c>
      <c r="J174" s="21"/>
      <c r="K174" s="22"/>
    </row>
    <row r="175" ht="22.5" customHeight="1">
      <c r="A175" s="28">
        <v>45934.0</v>
      </c>
      <c r="B175" s="15" t="s">
        <v>266</v>
      </c>
      <c r="C175" s="13" t="s">
        <v>9</v>
      </c>
      <c r="D175" s="13">
        <v>80.0</v>
      </c>
      <c r="E175" s="15">
        <v>210.0</v>
      </c>
      <c r="F175" s="13" t="s">
        <v>21</v>
      </c>
      <c r="G175" s="15" t="s">
        <v>89</v>
      </c>
      <c r="H175" s="15">
        <v>2300.0</v>
      </c>
      <c r="I175" s="21">
        <f t="shared" si="1"/>
        <v>483</v>
      </c>
      <c r="J175" s="21"/>
      <c r="K175" s="22"/>
    </row>
    <row r="176" ht="22.5" customHeight="1">
      <c r="A176" s="28">
        <v>45934.0</v>
      </c>
      <c r="B176" s="15" t="s">
        <v>267</v>
      </c>
      <c r="C176" s="13" t="s">
        <v>9</v>
      </c>
      <c r="D176" s="13">
        <v>80.0</v>
      </c>
      <c r="E176" s="15">
        <v>180.0</v>
      </c>
      <c r="F176" s="13" t="s">
        <v>21</v>
      </c>
      <c r="G176" s="15" t="s">
        <v>89</v>
      </c>
      <c r="H176" s="15">
        <v>1500.0</v>
      </c>
      <c r="I176" s="21">
        <f t="shared" si="1"/>
        <v>270</v>
      </c>
      <c r="J176" s="21"/>
      <c r="K176" s="22"/>
    </row>
    <row r="177" ht="22.5" customHeight="1">
      <c r="A177" s="28">
        <v>45934.0</v>
      </c>
      <c r="B177" s="15" t="s">
        <v>268</v>
      </c>
      <c r="C177" s="13" t="s">
        <v>43</v>
      </c>
      <c r="D177" s="13">
        <v>50.0</v>
      </c>
      <c r="E177" s="15">
        <v>125.0</v>
      </c>
      <c r="F177" s="13" t="s">
        <v>27</v>
      </c>
      <c r="G177" s="15" t="s">
        <v>176</v>
      </c>
      <c r="H177" s="15">
        <v>1300.0</v>
      </c>
      <c r="I177" s="21">
        <f t="shared" si="1"/>
        <v>162.5</v>
      </c>
      <c r="J177" s="21"/>
      <c r="K177" s="22"/>
    </row>
    <row r="178" ht="22.5" customHeight="1">
      <c r="A178" s="28">
        <v>45934.0</v>
      </c>
      <c r="B178" s="15" t="s">
        <v>269</v>
      </c>
      <c r="C178" s="13" t="s">
        <v>9</v>
      </c>
      <c r="D178" s="13">
        <v>80.0</v>
      </c>
      <c r="E178" s="15">
        <v>125.0</v>
      </c>
      <c r="F178" s="13" t="s">
        <v>21</v>
      </c>
      <c r="G178" s="15" t="s">
        <v>89</v>
      </c>
      <c r="H178" s="15">
        <v>1650.0</v>
      </c>
      <c r="I178" s="21">
        <f t="shared" si="1"/>
        <v>206.25</v>
      </c>
      <c r="J178" s="21"/>
      <c r="K178" s="22"/>
    </row>
    <row r="179" ht="22.5" customHeight="1">
      <c r="A179" s="28">
        <v>45936.0</v>
      </c>
      <c r="B179" s="15" t="s">
        <v>270</v>
      </c>
      <c r="C179" s="13" t="s">
        <v>9</v>
      </c>
      <c r="D179" s="13">
        <v>80.0</v>
      </c>
      <c r="E179" s="15">
        <v>229.0</v>
      </c>
      <c r="F179" s="13" t="s">
        <v>27</v>
      </c>
      <c r="G179" s="15" t="s">
        <v>99</v>
      </c>
      <c r="H179" s="15">
        <v>1500.0</v>
      </c>
      <c r="I179" s="21">
        <f t="shared" si="1"/>
        <v>343.5</v>
      </c>
      <c r="J179" s="21"/>
      <c r="K179" s="22"/>
    </row>
    <row r="180" ht="22.5" customHeight="1">
      <c r="A180" s="28">
        <v>45936.0</v>
      </c>
      <c r="B180" s="15" t="s">
        <v>271</v>
      </c>
      <c r="C180" s="13" t="s">
        <v>9</v>
      </c>
      <c r="D180" s="13">
        <v>80.0</v>
      </c>
      <c r="E180" s="15">
        <v>160.0</v>
      </c>
      <c r="F180" s="13" t="s">
        <v>27</v>
      </c>
      <c r="G180" s="15" t="s">
        <v>99</v>
      </c>
      <c r="H180" s="15">
        <v>1700.0</v>
      </c>
      <c r="I180" s="21">
        <f t="shared" si="1"/>
        <v>272</v>
      </c>
      <c r="J180" s="21"/>
      <c r="K180" s="22"/>
    </row>
    <row r="181" ht="22.5" customHeight="1">
      <c r="A181" s="28">
        <v>45936.0</v>
      </c>
      <c r="B181" s="15" t="s">
        <v>273</v>
      </c>
      <c r="C181" s="13" t="s">
        <v>34</v>
      </c>
      <c r="D181" s="13">
        <v>120.0</v>
      </c>
      <c r="E181" s="15">
        <v>250.0</v>
      </c>
      <c r="F181" s="13" t="s">
        <v>35</v>
      </c>
      <c r="G181" s="15" t="s">
        <v>274</v>
      </c>
      <c r="H181" s="15">
        <v>1800.0</v>
      </c>
      <c r="I181" s="21">
        <f t="shared" si="1"/>
        <v>450</v>
      </c>
      <c r="J181" s="21"/>
      <c r="K181" s="22"/>
    </row>
    <row r="182" ht="22.5" customHeight="1">
      <c r="A182" s="28">
        <v>45936.0</v>
      </c>
      <c r="B182" s="15" t="s">
        <v>276</v>
      </c>
      <c r="C182" s="13" t="s">
        <v>34</v>
      </c>
      <c r="D182" s="13">
        <v>120.0</v>
      </c>
      <c r="E182" s="15">
        <v>180.0</v>
      </c>
      <c r="F182" s="13" t="s">
        <v>35</v>
      </c>
      <c r="G182" s="15" t="s">
        <v>274</v>
      </c>
      <c r="H182" s="15">
        <v>1580.0</v>
      </c>
      <c r="I182" s="21">
        <f t="shared" si="1"/>
        <v>284.4</v>
      </c>
      <c r="J182" s="21"/>
      <c r="K182" s="22"/>
    </row>
    <row r="183" ht="22.5" customHeight="1">
      <c r="A183" s="28">
        <v>45936.0</v>
      </c>
      <c r="B183" s="15" t="s">
        <v>277</v>
      </c>
      <c r="C183" s="13" t="s">
        <v>43</v>
      </c>
      <c r="D183" s="13">
        <v>50.0</v>
      </c>
      <c r="E183" s="15">
        <v>125.0</v>
      </c>
      <c r="F183" s="13" t="s">
        <v>27</v>
      </c>
      <c r="G183" s="15" t="s">
        <v>176</v>
      </c>
      <c r="H183" s="15">
        <v>2000.0</v>
      </c>
      <c r="I183" s="21">
        <f t="shared" si="1"/>
        <v>250</v>
      </c>
      <c r="J183" s="21"/>
      <c r="K183" s="22"/>
    </row>
    <row r="184" ht="22.5" customHeight="1">
      <c r="A184" s="28">
        <v>45936.0</v>
      </c>
      <c r="B184" s="15" t="s">
        <v>279</v>
      </c>
      <c r="C184" s="13" t="s">
        <v>43</v>
      </c>
      <c r="D184" s="13">
        <v>50.0</v>
      </c>
      <c r="E184" s="15">
        <v>125.0</v>
      </c>
      <c r="F184" s="13" t="s">
        <v>27</v>
      </c>
      <c r="G184" s="15" t="s">
        <v>176</v>
      </c>
      <c r="H184" s="15">
        <v>2850.0</v>
      </c>
      <c r="I184" s="21">
        <f t="shared" si="1"/>
        <v>356.25</v>
      </c>
      <c r="J184" s="21"/>
      <c r="K184" s="22"/>
    </row>
    <row r="185" ht="22.5" customHeight="1">
      <c r="A185" s="28">
        <v>45936.0</v>
      </c>
      <c r="B185" s="15" t="s">
        <v>280</v>
      </c>
      <c r="C185" s="13" t="s">
        <v>9</v>
      </c>
      <c r="D185" s="13">
        <v>80.0</v>
      </c>
      <c r="E185" s="15">
        <v>126.0</v>
      </c>
      <c r="F185" s="13" t="s">
        <v>27</v>
      </c>
      <c r="G185" s="15" t="s">
        <v>139</v>
      </c>
      <c r="H185" s="15">
        <v>500.0</v>
      </c>
      <c r="I185" s="21">
        <f t="shared" si="1"/>
        <v>63</v>
      </c>
      <c r="J185" s="21"/>
      <c r="K185" s="22"/>
    </row>
    <row r="186" ht="22.5" customHeight="1">
      <c r="A186" s="28">
        <v>45936.0</v>
      </c>
      <c r="B186" s="15" t="s">
        <v>281</v>
      </c>
      <c r="C186" s="13" t="s">
        <v>9</v>
      </c>
      <c r="D186" s="13">
        <v>80.0</v>
      </c>
      <c r="E186" s="15">
        <v>180.0</v>
      </c>
      <c r="F186" s="13" t="s">
        <v>21</v>
      </c>
      <c r="G186" s="15" t="s">
        <v>89</v>
      </c>
      <c r="H186" s="15">
        <v>1280.0</v>
      </c>
      <c r="I186" s="21">
        <f t="shared" si="1"/>
        <v>230.4</v>
      </c>
      <c r="J186" s="21"/>
      <c r="K186" s="22"/>
    </row>
    <row r="187" ht="22.5" customHeight="1">
      <c r="A187" s="28">
        <v>45937.0</v>
      </c>
      <c r="B187" s="15" t="s">
        <v>282</v>
      </c>
      <c r="C187" s="13" t="s">
        <v>9</v>
      </c>
      <c r="D187" s="13">
        <v>80.0</v>
      </c>
      <c r="E187" s="15">
        <v>290.0</v>
      </c>
      <c r="F187" s="13" t="s">
        <v>21</v>
      </c>
      <c r="G187" s="15" t="s">
        <v>89</v>
      </c>
      <c r="H187" s="15">
        <v>12800.0</v>
      </c>
      <c r="I187" s="21">
        <f t="shared" si="1"/>
        <v>3712</v>
      </c>
      <c r="J187" s="21"/>
      <c r="K187" s="22"/>
    </row>
    <row r="188" ht="22.5" customHeight="1">
      <c r="A188" s="28">
        <v>45937.0</v>
      </c>
      <c r="B188" s="15" t="s">
        <v>282</v>
      </c>
      <c r="C188" s="13" t="s">
        <v>9</v>
      </c>
      <c r="D188" s="13">
        <v>80.0</v>
      </c>
      <c r="E188" s="15">
        <v>300.0</v>
      </c>
      <c r="F188" s="13" t="s">
        <v>21</v>
      </c>
      <c r="G188" s="15" t="s">
        <v>89</v>
      </c>
      <c r="H188" s="15">
        <v>3900.0</v>
      </c>
      <c r="I188" s="21">
        <f t="shared" si="1"/>
        <v>1170</v>
      </c>
      <c r="J188" s="21"/>
      <c r="K188" s="22"/>
    </row>
    <row r="189" ht="22.5" customHeight="1">
      <c r="A189" s="28">
        <v>45938.0</v>
      </c>
      <c r="B189" s="15" t="s">
        <v>283</v>
      </c>
      <c r="C189" s="13" t="s">
        <v>9</v>
      </c>
      <c r="D189" s="13">
        <v>80.0</v>
      </c>
      <c r="E189" s="15">
        <v>180.0</v>
      </c>
      <c r="F189" s="13" t="s">
        <v>21</v>
      </c>
      <c r="G189" s="15" t="s">
        <v>89</v>
      </c>
      <c r="H189" s="15">
        <v>1116.0</v>
      </c>
      <c r="I189" s="21">
        <f t="shared" si="1"/>
        <v>200.88</v>
      </c>
      <c r="J189" s="21"/>
      <c r="K189" s="22"/>
    </row>
    <row r="190" ht="22.5" customHeight="1">
      <c r="A190" s="28">
        <v>45938.0</v>
      </c>
      <c r="B190" s="15" t="s">
        <v>284</v>
      </c>
      <c r="C190" s="13" t="s">
        <v>9</v>
      </c>
      <c r="D190" s="13">
        <v>80.0</v>
      </c>
      <c r="E190" s="15">
        <v>180.0</v>
      </c>
      <c r="F190" s="13" t="s">
        <v>21</v>
      </c>
      <c r="G190" s="15" t="s">
        <v>89</v>
      </c>
      <c r="H190" s="15">
        <v>1400.0</v>
      </c>
      <c r="I190" s="21">
        <f t="shared" si="1"/>
        <v>252</v>
      </c>
      <c r="J190" s="21"/>
      <c r="K190" s="22"/>
    </row>
    <row r="191" ht="22.5" customHeight="1">
      <c r="A191" s="28">
        <v>45938.0</v>
      </c>
      <c r="B191" s="15" t="s">
        <v>285</v>
      </c>
      <c r="C191" s="13" t="s">
        <v>9</v>
      </c>
      <c r="D191" s="13">
        <v>80.0</v>
      </c>
      <c r="E191" s="15">
        <v>330.0</v>
      </c>
      <c r="F191" s="13" t="s">
        <v>21</v>
      </c>
      <c r="G191" s="15" t="s">
        <v>89</v>
      </c>
      <c r="H191" s="15">
        <v>3000.0</v>
      </c>
      <c r="I191" s="21">
        <f t="shared" si="1"/>
        <v>990</v>
      </c>
      <c r="J191" s="21"/>
      <c r="K191" s="22"/>
    </row>
    <row r="192" ht="22.5" customHeight="1">
      <c r="A192" s="28">
        <v>45938.0</v>
      </c>
      <c r="B192" s="15" t="s">
        <v>286</v>
      </c>
      <c r="C192" s="13" t="s">
        <v>9</v>
      </c>
      <c r="D192" s="13">
        <v>80.0</v>
      </c>
      <c r="E192" s="15">
        <v>180.0</v>
      </c>
      <c r="F192" s="13" t="s">
        <v>21</v>
      </c>
      <c r="G192" s="15" t="s">
        <v>89</v>
      </c>
      <c r="H192" s="15">
        <v>810.0</v>
      </c>
      <c r="I192" s="21">
        <f t="shared" si="1"/>
        <v>145.8</v>
      </c>
      <c r="J192" s="21"/>
      <c r="K192" s="22"/>
    </row>
    <row r="193" ht="22.5" customHeight="1">
      <c r="A193" s="28">
        <v>45939.0</v>
      </c>
      <c r="B193" s="15" t="s">
        <v>283</v>
      </c>
      <c r="C193" s="13" t="s">
        <v>9</v>
      </c>
      <c r="D193" s="13">
        <v>80.0</v>
      </c>
      <c r="E193" s="15">
        <v>180.0</v>
      </c>
      <c r="F193" s="13" t="s">
        <v>21</v>
      </c>
      <c r="G193" s="15" t="s">
        <v>89</v>
      </c>
      <c r="H193" s="15">
        <v>1116.0</v>
      </c>
      <c r="I193" s="21">
        <f t="shared" si="1"/>
        <v>200.88</v>
      </c>
      <c r="J193" s="21"/>
      <c r="K193" s="22"/>
    </row>
    <row r="194" ht="22.5" customHeight="1">
      <c r="A194" s="28">
        <v>45939.0</v>
      </c>
      <c r="B194" s="15" t="s">
        <v>284</v>
      </c>
      <c r="C194" s="13" t="s">
        <v>9</v>
      </c>
      <c r="D194" s="13">
        <v>80.0</v>
      </c>
      <c r="E194" s="15">
        <v>180.0</v>
      </c>
      <c r="F194" s="13" t="s">
        <v>21</v>
      </c>
      <c r="G194" s="15" t="s">
        <v>89</v>
      </c>
      <c r="H194" s="15">
        <v>1400.0</v>
      </c>
      <c r="I194" s="21">
        <f t="shared" si="1"/>
        <v>252</v>
      </c>
      <c r="J194" s="21"/>
      <c r="K194" s="22"/>
    </row>
    <row r="195" ht="22.5" customHeight="1">
      <c r="A195" s="28">
        <v>45939.0</v>
      </c>
      <c r="B195" s="15" t="s">
        <v>285</v>
      </c>
      <c r="C195" s="13" t="s">
        <v>9</v>
      </c>
      <c r="D195" s="13">
        <v>80.0</v>
      </c>
      <c r="E195" s="15">
        <v>330.0</v>
      </c>
      <c r="F195" s="13" t="s">
        <v>21</v>
      </c>
      <c r="G195" s="15" t="s">
        <v>89</v>
      </c>
      <c r="H195" s="15">
        <v>3000.0</v>
      </c>
      <c r="I195" s="21">
        <f t="shared" si="1"/>
        <v>990</v>
      </c>
      <c r="J195" s="21"/>
      <c r="K195" s="22"/>
    </row>
    <row r="196" ht="22.5" customHeight="1">
      <c r="A196" s="28">
        <v>45939.0</v>
      </c>
      <c r="B196" s="15" t="s">
        <v>286</v>
      </c>
      <c r="C196" s="13" t="s">
        <v>9</v>
      </c>
      <c r="D196" s="13">
        <v>80.0</v>
      </c>
      <c r="E196" s="15">
        <v>180.0</v>
      </c>
      <c r="F196" s="13" t="s">
        <v>21</v>
      </c>
      <c r="G196" s="15" t="s">
        <v>89</v>
      </c>
      <c r="H196" s="15">
        <v>810.0</v>
      </c>
      <c r="I196" s="21">
        <f t="shared" si="1"/>
        <v>145.8</v>
      </c>
      <c r="J196" s="21"/>
      <c r="K196" s="22"/>
    </row>
    <row r="197" ht="22.5" customHeight="1">
      <c r="A197" s="28">
        <v>45939.0</v>
      </c>
      <c r="B197" s="15" t="s">
        <v>289</v>
      </c>
      <c r="C197" s="13" t="s">
        <v>9</v>
      </c>
      <c r="D197" s="13">
        <v>80.0</v>
      </c>
      <c r="E197" s="15">
        <v>190.0</v>
      </c>
      <c r="F197" s="13" t="s">
        <v>21</v>
      </c>
      <c r="G197" s="15" t="s">
        <v>89</v>
      </c>
      <c r="H197" s="15">
        <v>1000.0</v>
      </c>
      <c r="I197" s="21">
        <f t="shared" si="1"/>
        <v>190</v>
      </c>
      <c r="J197" s="21"/>
      <c r="K197" s="22"/>
    </row>
    <row r="198" ht="22.5" customHeight="1">
      <c r="A198" s="28">
        <v>45939.0</v>
      </c>
      <c r="B198" s="15" t="s">
        <v>291</v>
      </c>
      <c r="C198" s="13" t="s">
        <v>9</v>
      </c>
      <c r="D198" s="13">
        <v>80.0</v>
      </c>
      <c r="E198" s="15">
        <v>190.0</v>
      </c>
      <c r="F198" s="13" t="s">
        <v>21</v>
      </c>
      <c r="G198" s="15" t="s">
        <v>89</v>
      </c>
      <c r="H198" s="15">
        <v>1450.0</v>
      </c>
      <c r="I198" s="21">
        <f t="shared" si="1"/>
        <v>275.5</v>
      </c>
      <c r="J198" s="21"/>
      <c r="K198" s="22"/>
    </row>
    <row r="199" ht="22.5" customHeight="1">
      <c r="A199" s="28">
        <v>45939.0</v>
      </c>
      <c r="B199" s="15" t="s">
        <v>292</v>
      </c>
      <c r="C199" s="13" t="s">
        <v>43</v>
      </c>
      <c r="D199" s="13">
        <v>50.0</v>
      </c>
      <c r="E199" s="15">
        <v>100.0</v>
      </c>
      <c r="F199" s="13" t="s">
        <v>21</v>
      </c>
      <c r="G199" s="15" t="s">
        <v>89</v>
      </c>
      <c r="H199" s="15">
        <v>1750.0</v>
      </c>
      <c r="I199" s="21">
        <f t="shared" si="1"/>
        <v>175</v>
      </c>
      <c r="J199" s="21"/>
      <c r="K199" s="22"/>
    </row>
    <row r="200" ht="22.5" customHeight="1">
      <c r="A200" s="28">
        <v>45941.0</v>
      </c>
      <c r="B200" s="15" t="s">
        <v>294</v>
      </c>
      <c r="C200" s="13" t="s">
        <v>36</v>
      </c>
      <c r="D200" s="13">
        <v>70.0</v>
      </c>
      <c r="E200" s="15">
        <v>190.0</v>
      </c>
      <c r="F200" s="13" t="s">
        <v>37</v>
      </c>
      <c r="G200" s="15" t="s">
        <v>295</v>
      </c>
      <c r="H200" s="15">
        <v>3000.0</v>
      </c>
      <c r="I200" s="21">
        <f t="shared" si="1"/>
        <v>570</v>
      </c>
      <c r="J200" s="21"/>
      <c r="K200" s="22"/>
    </row>
    <row r="201" ht="22.5" customHeight="1">
      <c r="A201" s="28">
        <v>45941.0</v>
      </c>
      <c r="B201" s="15" t="s">
        <v>296</v>
      </c>
      <c r="C201" s="13" t="s">
        <v>9</v>
      </c>
      <c r="D201" s="13">
        <v>80.0</v>
      </c>
      <c r="E201" s="21"/>
      <c r="F201" s="38"/>
      <c r="G201" s="21"/>
      <c r="H201" s="21"/>
      <c r="I201" s="21">
        <f t="shared" si="1"/>
        <v>0</v>
      </c>
      <c r="J201" s="15" t="s">
        <v>415</v>
      </c>
      <c r="K201" s="22"/>
    </row>
    <row r="202" ht="22.5" customHeight="1">
      <c r="A202" s="28">
        <v>45943.0</v>
      </c>
      <c r="B202" s="15" t="s">
        <v>298</v>
      </c>
      <c r="C202" s="13" t="s">
        <v>9</v>
      </c>
      <c r="D202" s="13">
        <v>80.0</v>
      </c>
      <c r="E202" s="15">
        <v>290.0</v>
      </c>
      <c r="F202" s="13" t="s">
        <v>21</v>
      </c>
      <c r="G202" s="15" t="s">
        <v>89</v>
      </c>
      <c r="H202" s="15">
        <v>2000.0</v>
      </c>
      <c r="I202" s="21">
        <f t="shared" si="1"/>
        <v>580</v>
      </c>
      <c r="J202" s="21"/>
      <c r="K202" s="22"/>
    </row>
    <row r="203" ht="22.5" customHeight="1">
      <c r="A203" s="28">
        <v>45943.0</v>
      </c>
      <c r="B203" s="15" t="s">
        <v>299</v>
      </c>
      <c r="C203" s="13" t="s">
        <v>9</v>
      </c>
      <c r="D203" s="13">
        <v>80.0</v>
      </c>
      <c r="E203" s="15">
        <v>280.0</v>
      </c>
      <c r="F203" s="13" t="s">
        <v>21</v>
      </c>
      <c r="G203" s="15" t="s">
        <v>89</v>
      </c>
      <c r="H203" s="15">
        <v>2040.0</v>
      </c>
      <c r="I203" s="21">
        <f t="shared" si="1"/>
        <v>571.2</v>
      </c>
      <c r="J203" s="21"/>
      <c r="K203" s="22"/>
    </row>
    <row r="204" ht="22.5" customHeight="1">
      <c r="A204" s="28">
        <v>45943.0</v>
      </c>
      <c r="B204" s="15" t="s">
        <v>300</v>
      </c>
      <c r="C204" s="13" t="s">
        <v>9</v>
      </c>
      <c r="D204" s="13">
        <v>80.0</v>
      </c>
      <c r="E204" s="15">
        <v>290.0</v>
      </c>
      <c r="F204" s="13" t="s">
        <v>21</v>
      </c>
      <c r="G204" s="15" t="s">
        <v>89</v>
      </c>
      <c r="H204" s="15">
        <v>800.0</v>
      </c>
      <c r="I204" s="21">
        <f t="shared" si="1"/>
        <v>232</v>
      </c>
      <c r="J204" s="21"/>
      <c r="K204" s="22"/>
    </row>
    <row r="205" ht="22.5" customHeight="1">
      <c r="A205" s="28">
        <v>45943.0</v>
      </c>
      <c r="B205" s="15" t="s">
        <v>301</v>
      </c>
      <c r="C205" s="13" t="s">
        <v>9</v>
      </c>
      <c r="D205" s="13">
        <v>80.0</v>
      </c>
      <c r="E205" s="15">
        <v>290.0</v>
      </c>
      <c r="F205" s="38"/>
      <c r="G205" s="15" t="s">
        <v>89</v>
      </c>
      <c r="H205" s="15">
        <v>2120.0</v>
      </c>
      <c r="I205" s="21">
        <f t="shared" si="1"/>
        <v>614.8</v>
      </c>
      <c r="J205" s="21"/>
      <c r="K205" s="22"/>
    </row>
    <row r="206" ht="22.5" customHeight="1">
      <c r="A206" s="28">
        <v>45943.0</v>
      </c>
      <c r="B206" s="15" t="s">
        <v>303</v>
      </c>
      <c r="C206" s="13" t="s">
        <v>9</v>
      </c>
      <c r="D206" s="13">
        <v>80.0</v>
      </c>
      <c r="E206" s="15">
        <v>280.0</v>
      </c>
      <c r="F206" s="13" t="s">
        <v>21</v>
      </c>
      <c r="G206" s="15" t="s">
        <v>89</v>
      </c>
      <c r="H206" s="15">
        <v>2000.0</v>
      </c>
      <c r="I206" s="21">
        <f t="shared" si="1"/>
        <v>560</v>
      </c>
      <c r="J206" s="21"/>
      <c r="K206" s="22"/>
    </row>
    <row r="207" ht="22.5" customHeight="1">
      <c r="A207" s="28">
        <v>45943.0</v>
      </c>
      <c r="B207" s="15" t="s">
        <v>305</v>
      </c>
      <c r="C207" s="13" t="s">
        <v>9</v>
      </c>
      <c r="D207" s="13">
        <v>80.0</v>
      </c>
      <c r="E207" s="15">
        <v>125.0</v>
      </c>
      <c r="F207" s="13" t="s">
        <v>21</v>
      </c>
      <c r="G207" s="15" t="s">
        <v>89</v>
      </c>
      <c r="H207" s="15">
        <v>2000.0</v>
      </c>
      <c r="I207" s="21">
        <f t="shared" si="1"/>
        <v>250</v>
      </c>
      <c r="J207" s="21"/>
      <c r="K207" s="22"/>
    </row>
    <row r="208" ht="22.5" customHeight="1">
      <c r="A208" s="28">
        <v>45943.0</v>
      </c>
      <c r="B208" s="15" t="s">
        <v>306</v>
      </c>
      <c r="C208" s="13" t="s">
        <v>9</v>
      </c>
      <c r="D208" s="13">
        <v>80.0</v>
      </c>
      <c r="E208" s="15">
        <v>180.0</v>
      </c>
      <c r="F208" s="13" t="s">
        <v>21</v>
      </c>
      <c r="G208" s="15" t="s">
        <v>89</v>
      </c>
      <c r="H208" s="15">
        <v>480.0</v>
      </c>
      <c r="I208" s="21">
        <f t="shared" si="1"/>
        <v>86.4</v>
      </c>
      <c r="J208" s="21"/>
      <c r="K208" s="22"/>
    </row>
    <row r="209" ht="22.5" customHeight="1">
      <c r="A209" s="28">
        <v>45943.0</v>
      </c>
      <c r="B209" s="15" t="s">
        <v>307</v>
      </c>
      <c r="C209" s="13" t="s">
        <v>9</v>
      </c>
      <c r="D209" s="13">
        <v>80.0</v>
      </c>
      <c r="E209" s="15">
        <v>290.0</v>
      </c>
      <c r="F209" s="13" t="s">
        <v>21</v>
      </c>
      <c r="G209" s="15" t="s">
        <v>89</v>
      </c>
      <c r="H209" s="15">
        <v>1880.0</v>
      </c>
      <c r="I209" s="21">
        <f t="shared" si="1"/>
        <v>545.2</v>
      </c>
      <c r="J209" s="21"/>
      <c r="K209" s="22"/>
    </row>
    <row r="210" ht="22.5" customHeight="1">
      <c r="A210" s="28">
        <v>45944.0</v>
      </c>
      <c r="B210" s="15" t="s">
        <v>308</v>
      </c>
      <c r="C210" s="13" t="s">
        <v>9</v>
      </c>
      <c r="D210" s="13">
        <v>80.0</v>
      </c>
      <c r="E210" s="15">
        <v>330.0</v>
      </c>
      <c r="F210" s="13" t="s">
        <v>21</v>
      </c>
      <c r="G210" s="15" t="s">
        <v>89</v>
      </c>
      <c r="H210" s="15">
        <v>1600.0</v>
      </c>
      <c r="I210" s="21">
        <f t="shared" si="1"/>
        <v>528</v>
      </c>
      <c r="J210" s="21"/>
      <c r="K210" s="22"/>
    </row>
    <row r="211" ht="22.5" customHeight="1">
      <c r="A211" s="28">
        <v>45944.0</v>
      </c>
      <c r="B211" s="15" t="s">
        <v>309</v>
      </c>
      <c r="C211" s="13" t="s">
        <v>9</v>
      </c>
      <c r="D211" s="13">
        <v>80.0</v>
      </c>
      <c r="E211" s="15">
        <v>125.0</v>
      </c>
      <c r="F211" s="13" t="s">
        <v>21</v>
      </c>
      <c r="G211" s="15" t="s">
        <v>89</v>
      </c>
      <c r="H211" s="15">
        <v>1800.0</v>
      </c>
      <c r="I211" s="21">
        <f t="shared" si="1"/>
        <v>225</v>
      </c>
      <c r="J211" s="21"/>
      <c r="K211" s="22"/>
    </row>
    <row r="212" ht="22.5" customHeight="1">
      <c r="A212" s="28">
        <v>45944.0</v>
      </c>
      <c r="B212" s="15" t="s">
        <v>310</v>
      </c>
      <c r="C212" s="13" t="s">
        <v>9</v>
      </c>
      <c r="D212" s="13">
        <v>80.0</v>
      </c>
      <c r="E212" s="15">
        <v>250.0</v>
      </c>
      <c r="F212" s="13" t="s">
        <v>21</v>
      </c>
      <c r="G212" s="15" t="s">
        <v>89</v>
      </c>
      <c r="H212" s="15">
        <v>1400.0</v>
      </c>
      <c r="I212" s="21">
        <f t="shared" si="1"/>
        <v>350</v>
      </c>
      <c r="J212" s="21"/>
      <c r="K212" s="22"/>
    </row>
    <row r="213" ht="22.5" customHeight="1">
      <c r="A213" s="28">
        <v>45944.0</v>
      </c>
      <c r="B213" s="15" t="s">
        <v>311</v>
      </c>
      <c r="C213" s="13" t="s">
        <v>9</v>
      </c>
      <c r="D213" s="13">
        <v>80.0</v>
      </c>
      <c r="E213" s="15">
        <v>330.0</v>
      </c>
      <c r="F213" s="13" t="s">
        <v>21</v>
      </c>
      <c r="G213" s="15" t="s">
        <v>89</v>
      </c>
      <c r="H213" s="15">
        <v>1990.0</v>
      </c>
      <c r="I213" s="21">
        <f t="shared" si="1"/>
        <v>656.7</v>
      </c>
      <c r="J213" s="21"/>
      <c r="K213" s="22"/>
    </row>
    <row r="214" ht="22.5" customHeight="1">
      <c r="A214" s="28">
        <v>45944.0</v>
      </c>
      <c r="B214" s="15" t="s">
        <v>312</v>
      </c>
      <c r="C214" s="13" t="s">
        <v>9</v>
      </c>
      <c r="D214" s="13">
        <v>80.0</v>
      </c>
      <c r="E214" s="15">
        <v>125.0</v>
      </c>
      <c r="F214" s="13" t="s">
        <v>21</v>
      </c>
      <c r="G214" s="15" t="s">
        <v>89</v>
      </c>
      <c r="H214" s="15">
        <v>3600.0</v>
      </c>
      <c r="I214" s="21">
        <f t="shared" si="1"/>
        <v>450</v>
      </c>
      <c r="J214" s="21"/>
      <c r="K214" s="22"/>
    </row>
    <row r="215" ht="22.5" customHeight="1">
      <c r="A215" s="28">
        <v>45944.0</v>
      </c>
      <c r="B215" s="15" t="s">
        <v>313</v>
      </c>
      <c r="C215" s="13" t="s">
        <v>9</v>
      </c>
      <c r="D215" s="13">
        <v>80.0</v>
      </c>
      <c r="E215" s="15">
        <v>125.0</v>
      </c>
      <c r="F215" s="13" t="s">
        <v>21</v>
      </c>
      <c r="G215" s="15" t="s">
        <v>89</v>
      </c>
      <c r="H215" s="15">
        <v>1300.0</v>
      </c>
      <c r="I215" s="21">
        <f t="shared" si="1"/>
        <v>162.5</v>
      </c>
      <c r="J215" s="21"/>
      <c r="K215" s="22"/>
    </row>
    <row r="216" ht="22.5" customHeight="1">
      <c r="A216" s="28">
        <v>45944.0</v>
      </c>
      <c r="B216" s="15" t="s">
        <v>314</v>
      </c>
      <c r="C216" s="13" t="s">
        <v>9</v>
      </c>
      <c r="D216" s="13">
        <v>80.0</v>
      </c>
      <c r="E216" s="15">
        <v>125.0</v>
      </c>
      <c r="F216" s="13" t="s">
        <v>21</v>
      </c>
      <c r="G216" s="15" t="s">
        <v>89</v>
      </c>
      <c r="H216" s="15">
        <v>3770.0</v>
      </c>
      <c r="I216" s="21">
        <f t="shared" si="1"/>
        <v>471.25</v>
      </c>
      <c r="J216" s="21"/>
      <c r="K216" s="22"/>
    </row>
    <row r="217" ht="22.5" customHeight="1">
      <c r="A217" s="28">
        <v>45944.0</v>
      </c>
      <c r="B217" s="15" t="s">
        <v>315</v>
      </c>
      <c r="C217" s="13" t="s">
        <v>43</v>
      </c>
      <c r="D217" s="13">
        <v>50.0</v>
      </c>
      <c r="E217" s="15">
        <v>125.0</v>
      </c>
      <c r="F217" s="13" t="s">
        <v>27</v>
      </c>
      <c r="G217" s="15" t="s">
        <v>176</v>
      </c>
      <c r="H217" s="15">
        <v>2010.0</v>
      </c>
      <c r="I217" s="21">
        <f t="shared" si="1"/>
        <v>251.25</v>
      </c>
      <c r="J217" s="21"/>
      <c r="K217" s="22"/>
    </row>
    <row r="218" ht="22.5" customHeight="1">
      <c r="A218" s="28">
        <v>45945.0</v>
      </c>
      <c r="B218" s="15" t="s">
        <v>316</v>
      </c>
      <c r="C218" s="13" t="s">
        <v>9</v>
      </c>
      <c r="D218" s="13">
        <v>80.0</v>
      </c>
      <c r="E218" s="15">
        <v>210.0</v>
      </c>
      <c r="F218" s="13" t="s">
        <v>21</v>
      </c>
      <c r="G218" s="15" t="s">
        <v>89</v>
      </c>
      <c r="H218" s="15">
        <v>2370.0</v>
      </c>
      <c r="I218" s="21">
        <f t="shared" si="1"/>
        <v>497.7</v>
      </c>
      <c r="J218" s="21"/>
      <c r="K218" s="22"/>
    </row>
    <row r="219" ht="22.5" customHeight="1">
      <c r="A219" s="28">
        <v>45945.0</v>
      </c>
      <c r="B219" s="15" t="s">
        <v>318</v>
      </c>
      <c r="C219" s="13" t="s">
        <v>9</v>
      </c>
      <c r="D219" s="13">
        <v>80.0</v>
      </c>
      <c r="E219" s="15">
        <v>210.0</v>
      </c>
      <c r="F219" s="13" t="s">
        <v>21</v>
      </c>
      <c r="G219" s="15" t="s">
        <v>89</v>
      </c>
      <c r="H219" s="15">
        <v>2000.0</v>
      </c>
      <c r="I219" s="21">
        <f t="shared" si="1"/>
        <v>420</v>
      </c>
      <c r="J219" s="21"/>
      <c r="K219" s="22"/>
    </row>
    <row r="220" ht="22.5" customHeight="1">
      <c r="A220" s="28">
        <v>45945.0</v>
      </c>
      <c r="B220" s="15" t="s">
        <v>319</v>
      </c>
      <c r="C220" s="13" t="s">
        <v>9</v>
      </c>
      <c r="D220" s="13">
        <v>80.0</v>
      </c>
      <c r="E220" s="15">
        <v>320.0</v>
      </c>
      <c r="F220" s="13" t="s">
        <v>21</v>
      </c>
      <c r="G220" s="15" t="s">
        <v>89</v>
      </c>
      <c r="H220" s="15">
        <v>2000.0</v>
      </c>
      <c r="I220" s="21">
        <f t="shared" si="1"/>
        <v>640</v>
      </c>
      <c r="J220" s="21"/>
      <c r="K220" s="22"/>
    </row>
    <row r="221" ht="22.5" customHeight="1">
      <c r="A221" s="28">
        <v>45945.0</v>
      </c>
      <c r="B221" s="15" t="s">
        <v>320</v>
      </c>
      <c r="C221" s="13" t="s">
        <v>9</v>
      </c>
      <c r="D221" s="13">
        <v>80.0</v>
      </c>
      <c r="E221" s="15">
        <v>125.0</v>
      </c>
      <c r="F221" s="13" t="s">
        <v>21</v>
      </c>
      <c r="G221" s="15" t="s">
        <v>89</v>
      </c>
      <c r="H221" s="15">
        <v>2800.0</v>
      </c>
      <c r="I221" s="21">
        <f t="shared" si="1"/>
        <v>350</v>
      </c>
      <c r="J221" s="21"/>
      <c r="K221" s="22"/>
    </row>
    <row r="222" ht="22.5" customHeight="1">
      <c r="A222" s="28">
        <v>45945.0</v>
      </c>
      <c r="B222" s="15" t="s">
        <v>322</v>
      </c>
      <c r="C222" s="13" t="s">
        <v>36</v>
      </c>
      <c r="D222" s="13">
        <v>70.0</v>
      </c>
      <c r="E222" s="15">
        <v>130.0</v>
      </c>
      <c r="F222" s="13" t="s">
        <v>37</v>
      </c>
      <c r="G222" s="15" t="s">
        <v>324</v>
      </c>
      <c r="H222" s="15">
        <v>3000.0</v>
      </c>
      <c r="I222" s="21">
        <f t="shared" si="1"/>
        <v>390</v>
      </c>
      <c r="J222" s="21"/>
      <c r="K222" s="22"/>
    </row>
    <row r="223" ht="22.5" customHeight="1">
      <c r="A223" s="28">
        <v>45945.0</v>
      </c>
      <c r="B223" s="15" t="s">
        <v>325</v>
      </c>
      <c r="C223" s="13" t="s">
        <v>36</v>
      </c>
      <c r="D223" s="13">
        <v>70.0</v>
      </c>
      <c r="E223" s="15">
        <v>255.0</v>
      </c>
      <c r="F223" s="13" t="s">
        <v>37</v>
      </c>
      <c r="G223" s="15" t="s">
        <v>324</v>
      </c>
      <c r="H223" s="15">
        <v>2830.0</v>
      </c>
      <c r="I223" s="21">
        <f t="shared" si="1"/>
        <v>721.65</v>
      </c>
      <c r="J223" s="21"/>
      <c r="K223" s="22"/>
    </row>
    <row r="224" ht="22.5" customHeight="1">
      <c r="A224" s="28">
        <v>45945.0</v>
      </c>
      <c r="B224" s="15" t="s">
        <v>327</v>
      </c>
      <c r="C224" s="13" t="s">
        <v>36</v>
      </c>
      <c r="D224" s="13">
        <v>70.0</v>
      </c>
      <c r="E224" s="15">
        <v>255.0</v>
      </c>
      <c r="F224" s="13" t="s">
        <v>37</v>
      </c>
      <c r="G224" s="15" t="s">
        <v>324</v>
      </c>
      <c r="H224" s="15">
        <v>3000.0</v>
      </c>
      <c r="I224" s="21">
        <f t="shared" si="1"/>
        <v>765</v>
      </c>
      <c r="J224" s="21"/>
      <c r="K224" s="22"/>
    </row>
    <row r="225" ht="22.5" customHeight="1">
      <c r="A225" s="28">
        <v>45945.0</v>
      </c>
      <c r="B225" s="15" t="s">
        <v>328</v>
      </c>
      <c r="C225" s="13" t="s">
        <v>36</v>
      </c>
      <c r="D225" s="13">
        <v>70.0</v>
      </c>
      <c r="E225" s="15">
        <v>255.0</v>
      </c>
      <c r="F225" s="13" t="s">
        <v>37</v>
      </c>
      <c r="G225" s="15" t="s">
        <v>324</v>
      </c>
      <c r="H225" s="15">
        <v>2636.0</v>
      </c>
      <c r="I225" s="21">
        <f t="shared" si="1"/>
        <v>672.18</v>
      </c>
      <c r="J225" s="21"/>
      <c r="K225" s="22"/>
    </row>
    <row r="226" ht="22.5" customHeight="1">
      <c r="A226" s="28">
        <v>45946.0</v>
      </c>
      <c r="B226" s="15" t="s">
        <v>329</v>
      </c>
      <c r="C226" s="13" t="s">
        <v>9</v>
      </c>
      <c r="D226" s="13">
        <v>80.0</v>
      </c>
      <c r="E226" s="15">
        <v>395.0</v>
      </c>
      <c r="F226" s="13" t="s">
        <v>21</v>
      </c>
      <c r="G226" s="46" t="s">
        <v>89</v>
      </c>
      <c r="H226" s="15">
        <v>2000.0</v>
      </c>
      <c r="I226" s="21">
        <f t="shared" si="1"/>
        <v>790</v>
      </c>
      <c r="J226" s="21"/>
      <c r="K226" s="22"/>
    </row>
    <row r="227" ht="22.5" customHeight="1">
      <c r="A227" s="28">
        <v>45946.0</v>
      </c>
      <c r="B227" s="15" t="s">
        <v>330</v>
      </c>
      <c r="C227" s="13" t="s">
        <v>54</v>
      </c>
      <c r="D227" s="13">
        <v>40.0</v>
      </c>
      <c r="E227" s="15">
        <v>240.0</v>
      </c>
      <c r="F227" s="13" t="s">
        <v>55</v>
      </c>
      <c r="G227" s="46" t="s">
        <v>331</v>
      </c>
      <c r="H227" s="15">
        <v>2800.0</v>
      </c>
      <c r="I227" s="21">
        <f t="shared" si="1"/>
        <v>672</v>
      </c>
      <c r="J227" s="21"/>
      <c r="K227" s="22"/>
    </row>
    <row r="228" ht="22.5" customHeight="1">
      <c r="A228" s="28">
        <v>45946.0</v>
      </c>
      <c r="B228" s="15" t="s">
        <v>332</v>
      </c>
      <c r="C228" s="13" t="s">
        <v>54</v>
      </c>
      <c r="D228" s="13">
        <v>40.0</v>
      </c>
      <c r="E228" s="15">
        <v>240.0</v>
      </c>
      <c r="F228" s="13" t="s">
        <v>55</v>
      </c>
      <c r="G228" s="46" t="s">
        <v>331</v>
      </c>
      <c r="H228" s="15">
        <v>4686.0</v>
      </c>
      <c r="I228" s="21">
        <f t="shared" si="1"/>
        <v>1124.64</v>
      </c>
      <c r="J228" s="21"/>
      <c r="K228" s="22"/>
    </row>
    <row r="229" ht="22.5" customHeight="1">
      <c r="A229" s="28">
        <v>45946.0</v>
      </c>
      <c r="B229" s="15" t="s">
        <v>333</v>
      </c>
      <c r="C229" s="13" t="s">
        <v>54</v>
      </c>
      <c r="D229" s="13">
        <v>40.0</v>
      </c>
      <c r="E229" s="15">
        <v>240.0</v>
      </c>
      <c r="F229" s="13" t="s">
        <v>55</v>
      </c>
      <c r="G229" s="46" t="s">
        <v>331</v>
      </c>
      <c r="H229" s="15">
        <v>3161.0</v>
      </c>
      <c r="I229" s="21">
        <f t="shared" si="1"/>
        <v>758.64</v>
      </c>
      <c r="J229" s="21"/>
      <c r="K229" s="22"/>
    </row>
    <row r="230" ht="22.5" customHeight="1">
      <c r="A230" s="28">
        <v>45946.0</v>
      </c>
      <c r="B230" s="15" t="s">
        <v>335</v>
      </c>
      <c r="C230" s="13" t="s">
        <v>54</v>
      </c>
      <c r="D230" s="13">
        <v>40.0</v>
      </c>
      <c r="E230" s="15">
        <v>240.0</v>
      </c>
      <c r="F230" s="13" t="s">
        <v>55</v>
      </c>
      <c r="G230" s="46" t="s">
        <v>331</v>
      </c>
      <c r="H230" s="15">
        <v>6300.0</v>
      </c>
      <c r="I230" s="21">
        <f t="shared" si="1"/>
        <v>1512</v>
      </c>
      <c r="J230" s="21"/>
      <c r="K230" s="22"/>
    </row>
    <row r="231" ht="22.5" customHeight="1">
      <c r="A231" s="28">
        <v>45946.0</v>
      </c>
      <c r="B231" s="15" t="s">
        <v>336</v>
      </c>
      <c r="C231" s="13" t="s">
        <v>54</v>
      </c>
      <c r="D231" s="13">
        <v>40.0</v>
      </c>
      <c r="E231" s="15">
        <v>240.0</v>
      </c>
      <c r="F231" s="13" t="s">
        <v>55</v>
      </c>
      <c r="G231" s="46" t="s">
        <v>331</v>
      </c>
      <c r="H231" s="15">
        <v>2318.0</v>
      </c>
      <c r="I231" s="21">
        <f t="shared" si="1"/>
        <v>556.32</v>
      </c>
      <c r="J231" s="21"/>
      <c r="K231" s="22"/>
    </row>
    <row r="232" ht="22.5" customHeight="1">
      <c r="A232" s="28">
        <v>45947.0</v>
      </c>
      <c r="B232" s="15" t="s">
        <v>337</v>
      </c>
      <c r="C232" s="13" t="s">
        <v>9</v>
      </c>
      <c r="D232" s="13">
        <v>80.0</v>
      </c>
      <c r="E232" s="15">
        <v>250.0</v>
      </c>
      <c r="F232" s="13" t="s">
        <v>21</v>
      </c>
      <c r="G232" s="46" t="s">
        <v>89</v>
      </c>
      <c r="H232" s="15">
        <v>5000.0</v>
      </c>
      <c r="I232" s="21">
        <f t="shared" si="1"/>
        <v>1250</v>
      </c>
      <c r="J232" s="21"/>
      <c r="K232" s="22"/>
    </row>
    <row r="233" ht="22.5" customHeight="1">
      <c r="A233" s="28">
        <v>45947.0</v>
      </c>
      <c r="B233" s="15" t="s">
        <v>338</v>
      </c>
      <c r="C233" s="13" t="s">
        <v>9</v>
      </c>
      <c r="D233" s="13">
        <v>80.0</v>
      </c>
      <c r="E233" s="15">
        <v>160.0</v>
      </c>
      <c r="F233" s="13" t="s">
        <v>27</v>
      </c>
      <c r="G233" s="46" t="s">
        <v>99</v>
      </c>
      <c r="H233" s="15">
        <v>3200.0</v>
      </c>
      <c r="I233" s="21">
        <f t="shared" si="1"/>
        <v>512</v>
      </c>
      <c r="J233" s="21"/>
      <c r="K233" s="22"/>
    </row>
    <row r="234" ht="22.5" customHeight="1">
      <c r="A234" s="28">
        <v>45947.0</v>
      </c>
      <c r="B234" s="15" t="s">
        <v>340</v>
      </c>
      <c r="C234" s="13" t="s">
        <v>9</v>
      </c>
      <c r="D234" s="13">
        <v>80.0</v>
      </c>
      <c r="E234" s="15">
        <v>125.0</v>
      </c>
      <c r="F234" s="13" t="s">
        <v>21</v>
      </c>
      <c r="G234" s="46" t="s">
        <v>89</v>
      </c>
      <c r="H234" s="15">
        <v>1700.0</v>
      </c>
      <c r="I234" s="21">
        <f t="shared" si="1"/>
        <v>212.5</v>
      </c>
      <c r="J234" s="21"/>
      <c r="K234" s="22"/>
    </row>
    <row r="235" ht="22.5" customHeight="1">
      <c r="A235" s="28">
        <v>45948.0</v>
      </c>
      <c r="B235" s="15" t="s">
        <v>341</v>
      </c>
      <c r="C235" s="13" t="s">
        <v>43</v>
      </c>
      <c r="D235" s="13">
        <v>50.0</v>
      </c>
      <c r="E235" s="15">
        <v>220.0</v>
      </c>
      <c r="F235" s="13" t="s">
        <v>23</v>
      </c>
      <c r="G235" s="46" t="s">
        <v>99</v>
      </c>
      <c r="H235" s="46">
        <v>1090.0</v>
      </c>
      <c r="I235" s="21">
        <f t="shared" si="1"/>
        <v>239.8</v>
      </c>
      <c r="J235" s="21"/>
      <c r="K235" s="22"/>
    </row>
    <row r="236" ht="22.5" customHeight="1">
      <c r="A236" s="28">
        <v>45948.0</v>
      </c>
      <c r="B236" s="15" t="s">
        <v>342</v>
      </c>
      <c r="C236" s="13" t="s">
        <v>34</v>
      </c>
      <c r="D236" s="13">
        <v>120.0</v>
      </c>
      <c r="E236" s="15">
        <v>250.0</v>
      </c>
      <c r="F236" s="13" t="s">
        <v>35</v>
      </c>
      <c r="G236" s="46" t="s">
        <v>99</v>
      </c>
      <c r="H236" s="46">
        <v>4300.0</v>
      </c>
      <c r="I236" s="21">
        <f t="shared" si="1"/>
        <v>1075</v>
      </c>
      <c r="J236" s="21"/>
      <c r="K236" s="22"/>
    </row>
    <row r="237" ht="22.5" customHeight="1">
      <c r="A237" s="28">
        <v>45948.0</v>
      </c>
      <c r="B237" s="15" t="s">
        <v>343</v>
      </c>
      <c r="C237" s="13" t="s">
        <v>9</v>
      </c>
      <c r="D237" s="13">
        <v>80.0</v>
      </c>
      <c r="E237" s="15">
        <v>140.0</v>
      </c>
      <c r="F237" s="13" t="s">
        <v>27</v>
      </c>
      <c r="G237" s="46" t="s">
        <v>99</v>
      </c>
      <c r="H237" s="46">
        <v>1690.0</v>
      </c>
      <c r="I237" s="21">
        <f t="shared" si="1"/>
        <v>236.6</v>
      </c>
      <c r="J237" s="21"/>
      <c r="K237" s="22"/>
    </row>
    <row r="238" ht="22.5" customHeight="1">
      <c r="A238" s="28">
        <v>45948.0</v>
      </c>
      <c r="B238" s="15" t="s">
        <v>344</v>
      </c>
      <c r="C238" s="13" t="s">
        <v>9</v>
      </c>
      <c r="D238" s="13">
        <v>80.0</v>
      </c>
      <c r="E238" s="15">
        <v>230.0</v>
      </c>
      <c r="F238" s="13" t="s">
        <v>27</v>
      </c>
      <c r="G238" s="46" t="s">
        <v>99</v>
      </c>
      <c r="H238" s="46">
        <v>500.0</v>
      </c>
      <c r="I238" s="21">
        <f t="shared" si="1"/>
        <v>115</v>
      </c>
      <c r="J238" s="21"/>
      <c r="K238" s="22"/>
    </row>
    <row r="239" ht="22.5" customHeight="1">
      <c r="A239" s="28">
        <v>45954.0</v>
      </c>
      <c r="B239" s="15" t="s">
        <v>345</v>
      </c>
      <c r="C239" s="13" t="s">
        <v>9</v>
      </c>
      <c r="D239" s="13">
        <v>80.0</v>
      </c>
      <c r="E239" s="15">
        <v>260.0</v>
      </c>
      <c r="F239" s="13" t="s">
        <v>27</v>
      </c>
      <c r="G239" s="46" t="s">
        <v>99</v>
      </c>
      <c r="H239" s="46">
        <v>2490.0</v>
      </c>
      <c r="I239" s="21">
        <f t="shared" si="1"/>
        <v>647.4</v>
      </c>
      <c r="J239" s="21"/>
      <c r="K239" s="22"/>
    </row>
    <row r="240" ht="22.5" customHeight="1">
      <c r="A240" s="28">
        <v>45954.0</v>
      </c>
      <c r="B240" s="15" t="s">
        <v>346</v>
      </c>
      <c r="C240" s="13" t="s">
        <v>9</v>
      </c>
      <c r="D240" s="13">
        <v>80.0</v>
      </c>
      <c r="E240" s="15">
        <v>160.0</v>
      </c>
      <c r="F240" s="13" t="s">
        <v>27</v>
      </c>
      <c r="G240" s="46" t="s">
        <v>99</v>
      </c>
      <c r="H240" s="46">
        <v>2150.0</v>
      </c>
      <c r="I240" s="21">
        <f t="shared" si="1"/>
        <v>344</v>
      </c>
      <c r="J240" s="21"/>
      <c r="K240" s="22"/>
    </row>
    <row r="241" ht="22.5" customHeight="1">
      <c r="A241" s="28">
        <v>45954.0</v>
      </c>
      <c r="B241" s="15" t="s">
        <v>347</v>
      </c>
      <c r="C241" s="13" t="s">
        <v>9</v>
      </c>
      <c r="D241" s="13">
        <v>80.0</v>
      </c>
      <c r="E241" s="15">
        <v>160.0</v>
      </c>
      <c r="F241" s="13" t="s">
        <v>27</v>
      </c>
      <c r="G241" s="46" t="s">
        <v>176</v>
      </c>
      <c r="H241" s="46">
        <v>1600.0</v>
      </c>
      <c r="I241" s="21">
        <f t="shared" si="1"/>
        <v>256</v>
      </c>
      <c r="J241" s="21"/>
      <c r="K241" s="22"/>
    </row>
    <row r="242" ht="22.5" customHeight="1">
      <c r="A242" s="28">
        <v>45954.0</v>
      </c>
      <c r="B242" s="15" t="s">
        <v>348</v>
      </c>
      <c r="C242" s="13" t="s">
        <v>9</v>
      </c>
      <c r="D242" s="13">
        <v>80.0</v>
      </c>
      <c r="E242" s="15">
        <v>210.0</v>
      </c>
      <c r="F242" s="13" t="s">
        <v>21</v>
      </c>
      <c r="G242" s="46" t="s">
        <v>89</v>
      </c>
      <c r="H242" s="46">
        <v>600.0</v>
      </c>
      <c r="I242" s="21">
        <f t="shared" si="1"/>
        <v>126</v>
      </c>
      <c r="J242" s="21"/>
      <c r="K242" s="22"/>
    </row>
    <row r="243" ht="22.5" customHeight="1">
      <c r="A243" s="28">
        <v>45955.0</v>
      </c>
      <c r="B243" s="15" t="s">
        <v>349</v>
      </c>
      <c r="C243" s="13" t="s">
        <v>9</v>
      </c>
      <c r="D243" s="13">
        <v>80.0</v>
      </c>
      <c r="E243" s="15">
        <v>180.0</v>
      </c>
      <c r="F243" s="13" t="s">
        <v>21</v>
      </c>
      <c r="G243" s="46" t="s">
        <v>89</v>
      </c>
      <c r="H243" s="46">
        <v>2100.0</v>
      </c>
      <c r="I243" s="21">
        <f t="shared" si="1"/>
        <v>378</v>
      </c>
      <c r="J243" s="21"/>
      <c r="K243" s="22"/>
    </row>
    <row r="244" ht="22.5" customHeight="1">
      <c r="A244" s="28">
        <v>45955.0</v>
      </c>
      <c r="B244" s="15" t="s">
        <v>350</v>
      </c>
      <c r="C244" s="13" t="s">
        <v>9</v>
      </c>
      <c r="D244" s="13">
        <v>80.0</v>
      </c>
      <c r="E244" s="15">
        <v>250.0</v>
      </c>
      <c r="F244" s="13" t="s">
        <v>21</v>
      </c>
      <c r="G244" s="46" t="s">
        <v>89</v>
      </c>
      <c r="H244" s="46">
        <v>2200.0</v>
      </c>
      <c r="I244" s="21">
        <f t="shared" si="1"/>
        <v>550</v>
      </c>
      <c r="J244" s="21"/>
      <c r="K244" s="22"/>
    </row>
    <row r="245" ht="22.5" customHeight="1">
      <c r="A245" s="28">
        <v>45955.0</v>
      </c>
      <c r="B245" s="15" t="s">
        <v>351</v>
      </c>
      <c r="C245" s="13" t="s">
        <v>9</v>
      </c>
      <c r="D245" s="13">
        <v>80.0</v>
      </c>
      <c r="E245" s="15">
        <v>210.0</v>
      </c>
      <c r="F245" s="13" t="s">
        <v>21</v>
      </c>
      <c r="G245" s="46" t="s">
        <v>89</v>
      </c>
      <c r="H245" s="46">
        <v>1600.0</v>
      </c>
      <c r="I245" s="21">
        <f t="shared" si="1"/>
        <v>336</v>
      </c>
      <c r="J245" s="21"/>
      <c r="K245" s="22"/>
    </row>
    <row r="246" ht="22.5" customHeight="1">
      <c r="A246" s="28">
        <v>45955.0</v>
      </c>
      <c r="B246" s="15" t="s">
        <v>352</v>
      </c>
      <c r="C246" s="13" t="s">
        <v>9</v>
      </c>
      <c r="D246" s="13">
        <v>80.0</v>
      </c>
      <c r="E246" s="15">
        <v>280.0</v>
      </c>
      <c r="F246" s="13" t="s">
        <v>21</v>
      </c>
      <c r="G246" s="46" t="s">
        <v>89</v>
      </c>
      <c r="H246" s="46">
        <v>2300.0</v>
      </c>
      <c r="I246" s="21">
        <f t="shared" si="1"/>
        <v>644</v>
      </c>
      <c r="J246" s="21"/>
      <c r="K246" s="22"/>
    </row>
    <row r="247" ht="22.5" customHeight="1">
      <c r="A247" s="28">
        <v>45955.0</v>
      </c>
      <c r="B247" s="15" t="s">
        <v>353</v>
      </c>
      <c r="C247" s="13" t="s">
        <v>9</v>
      </c>
      <c r="D247" s="13">
        <v>80.0</v>
      </c>
      <c r="E247" s="15">
        <v>210.0</v>
      </c>
      <c r="F247" s="13" t="s">
        <v>21</v>
      </c>
      <c r="G247" s="46" t="s">
        <v>89</v>
      </c>
      <c r="H247" s="46">
        <v>930.0</v>
      </c>
      <c r="I247" s="21">
        <f t="shared" si="1"/>
        <v>195.3</v>
      </c>
      <c r="J247" s="21"/>
      <c r="K247" s="22"/>
    </row>
    <row r="248" ht="22.5" customHeight="1">
      <c r="A248" s="28">
        <v>45955.0</v>
      </c>
      <c r="B248" s="15" t="s">
        <v>354</v>
      </c>
      <c r="C248" s="13" t="s">
        <v>9</v>
      </c>
      <c r="D248" s="13">
        <v>80.0</v>
      </c>
      <c r="E248" s="15">
        <v>290.0</v>
      </c>
      <c r="F248" s="13" t="s">
        <v>21</v>
      </c>
      <c r="G248" s="46" t="s">
        <v>89</v>
      </c>
      <c r="H248" s="46">
        <v>4100.0</v>
      </c>
      <c r="I248" s="21">
        <f t="shared" si="1"/>
        <v>1189</v>
      </c>
      <c r="J248" s="21"/>
      <c r="K248" s="22"/>
    </row>
    <row r="249" ht="22.5" customHeight="1">
      <c r="A249" s="28">
        <v>45957.0</v>
      </c>
      <c r="B249" s="15" t="s">
        <v>355</v>
      </c>
      <c r="C249" s="13" t="s">
        <v>9</v>
      </c>
      <c r="D249" s="13">
        <v>80.0</v>
      </c>
      <c r="E249" s="15">
        <v>290.0</v>
      </c>
      <c r="F249" s="13" t="s">
        <v>21</v>
      </c>
      <c r="G249" s="46" t="s">
        <v>89</v>
      </c>
      <c r="H249" s="46">
        <v>2000.0</v>
      </c>
      <c r="I249" s="21">
        <f t="shared" si="1"/>
        <v>580</v>
      </c>
      <c r="J249" s="21"/>
      <c r="K249" s="22"/>
    </row>
    <row r="250" ht="22.5" customHeight="1">
      <c r="A250" s="28">
        <v>45957.0</v>
      </c>
      <c r="B250" s="15" t="s">
        <v>356</v>
      </c>
      <c r="C250" s="13" t="s">
        <v>26</v>
      </c>
      <c r="D250" s="13">
        <v>80.0</v>
      </c>
      <c r="E250" s="15">
        <v>167.0</v>
      </c>
      <c r="F250" s="13" t="s">
        <v>27</v>
      </c>
      <c r="G250" s="46" t="s">
        <v>99</v>
      </c>
      <c r="H250" s="46">
        <v>900.0</v>
      </c>
      <c r="I250" s="21">
        <f t="shared" si="1"/>
        <v>150.3</v>
      </c>
      <c r="J250" s="15" t="s">
        <v>357</v>
      </c>
      <c r="K250" s="22"/>
    </row>
    <row r="251" ht="22.5" customHeight="1">
      <c r="A251" s="28">
        <v>45957.0</v>
      </c>
      <c r="B251" s="15" t="s">
        <v>360</v>
      </c>
      <c r="C251" s="13" t="s">
        <v>9</v>
      </c>
      <c r="D251" s="13">
        <v>80.0</v>
      </c>
      <c r="E251" s="15">
        <v>300.0</v>
      </c>
      <c r="F251" s="13" t="s">
        <v>21</v>
      </c>
      <c r="G251" s="46" t="s">
        <v>89</v>
      </c>
      <c r="H251" s="46">
        <v>1800.0</v>
      </c>
      <c r="I251" s="21">
        <f t="shared" si="1"/>
        <v>540</v>
      </c>
      <c r="J251" s="15" t="s">
        <v>321</v>
      </c>
      <c r="K251" s="22"/>
    </row>
    <row r="252" ht="22.5" customHeight="1">
      <c r="A252" s="28">
        <v>45958.0</v>
      </c>
      <c r="B252" s="15" t="s">
        <v>367</v>
      </c>
      <c r="C252" s="13" t="s">
        <v>9</v>
      </c>
      <c r="D252" s="13">
        <v>80.0</v>
      </c>
      <c r="E252" s="15">
        <v>330.0</v>
      </c>
      <c r="F252" s="13" t="s">
        <v>21</v>
      </c>
      <c r="G252" s="46" t="s">
        <v>89</v>
      </c>
      <c r="H252" s="46">
        <v>1000.0</v>
      </c>
      <c r="I252" s="21">
        <f t="shared" si="1"/>
        <v>330</v>
      </c>
      <c r="J252" s="21"/>
      <c r="K252" s="22"/>
    </row>
    <row r="253" ht="22.5" customHeight="1">
      <c r="A253" s="28">
        <v>45959.0</v>
      </c>
      <c r="B253" s="15" t="s">
        <v>369</v>
      </c>
      <c r="C253" s="13" t="s">
        <v>9</v>
      </c>
      <c r="D253" s="13">
        <v>80.0</v>
      </c>
      <c r="E253" s="15">
        <v>280.0</v>
      </c>
      <c r="F253" s="13" t="s">
        <v>21</v>
      </c>
      <c r="G253" s="46" t="s">
        <v>89</v>
      </c>
      <c r="H253" s="46">
        <v>650.0</v>
      </c>
      <c r="I253" s="21">
        <f t="shared" si="1"/>
        <v>182</v>
      </c>
      <c r="J253" s="21"/>
      <c r="K253" s="22"/>
    </row>
    <row r="254" ht="22.5" customHeight="1">
      <c r="A254" s="28">
        <v>45959.0</v>
      </c>
      <c r="B254" s="15" t="s">
        <v>370</v>
      </c>
      <c r="C254" s="13" t="s">
        <v>9</v>
      </c>
      <c r="D254" s="13">
        <v>80.0</v>
      </c>
      <c r="E254" s="15">
        <v>290.0</v>
      </c>
      <c r="F254" s="13" t="s">
        <v>21</v>
      </c>
      <c r="G254" s="46" t="s">
        <v>89</v>
      </c>
      <c r="H254" s="46">
        <v>2250.0</v>
      </c>
      <c r="I254" s="21">
        <f t="shared" si="1"/>
        <v>652.5</v>
      </c>
      <c r="J254" s="21"/>
      <c r="K254" s="22"/>
    </row>
    <row r="255" ht="22.5" customHeight="1">
      <c r="A255" s="28">
        <v>45959.0</v>
      </c>
      <c r="B255" s="15" t="s">
        <v>371</v>
      </c>
      <c r="C255" s="13" t="s">
        <v>9</v>
      </c>
      <c r="D255" s="13">
        <v>80.0</v>
      </c>
      <c r="E255" s="15">
        <v>160.0</v>
      </c>
      <c r="F255" s="13" t="s">
        <v>21</v>
      </c>
      <c r="G255" s="46" t="s">
        <v>89</v>
      </c>
      <c r="H255" s="46">
        <v>1150.0</v>
      </c>
      <c r="I255" s="21">
        <f t="shared" si="1"/>
        <v>184</v>
      </c>
      <c r="J255" s="21"/>
      <c r="K255" s="22"/>
    </row>
    <row r="256" ht="22.5" customHeight="1">
      <c r="A256" s="28">
        <v>45959.0</v>
      </c>
      <c r="B256" s="15" t="s">
        <v>372</v>
      </c>
      <c r="C256" s="13" t="s">
        <v>9</v>
      </c>
      <c r="D256" s="13">
        <v>80.0</v>
      </c>
      <c r="E256" s="15">
        <v>280.0</v>
      </c>
      <c r="F256" s="13" t="s">
        <v>21</v>
      </c>
      <c r="G256" s="46" t="s">
        <v>89</v>
      </c>
      <c r="H256" s="46">
        <v>1800.0</v>
      </c>
      <c r="I256" s="21">
        <f t="shared" si="1"/>
        <v>504</v>
      </c>
      <c r="J256" s="21"/>
      <c r="K256" s="22"/>
    </row>
    <row r="257" ht="22.5" customHeight="1">
      <c r="A257" s="28">
        <v>45959.0</v>
      </c>
      <c r="B257" s="15" t="s">
        <v>373</v>
      </c>
      <c r="C257" s="13" t="s">
        <v>9</v>
      </c>
      <c r="D257" s="13">
        <v>80.0</v>
      </c>
      <c r="E257" s="15">
        <v>160.0</v>
      </c>
      <c r="F257" s="13" t="s">
        <v>21</v>
      </c>
      <c r="G257" s="46" t="s">
        <v>89</v>
      </c>
      <c r="H257" s="46">
        <v>2000.0</v>
      </c>
      <c r="I257" s="21">
        <f t="shared" si="1"/>
        <v>320</v>
      </c>
      <c r="J257" s="21"/>
      <c r="K257" s="22"/>
    </row>
    <row r="258" ht="22.5" customHeight="1">
      <c r="A258" s="28">
        <v>45959.0</v>
      </c>
      <c r="B258" s="15" t="s">
        <v>374</v>
      </c>
      <c r="C258" s="13" t="s">
        <v>26</v>
      </c>
      <c r="D258" s="13">
        <v>80.0</v>
      </c>
      <c r="E258" s="15">
        <v>145.0</v>
      </c>
      <c r="F258" s="13" t="s">
        <v>23</v>
      </c>
      <c r="G258" s="46" t="s">
        <v>99</v>
      </c>
      <c r="H258" s="46">
        <v>2000.0</v>
      </c>
      <c r="I258" s="21">
        <f t="shared" si="1"/>
        <v>290</v>
      </c>
      <c r="J258" s="21"/>
      <c r="K258" s="22"/>
    </row>
    <row r="259" ht="22.5" customHeight="1">
      <c r="A259" s="28">
        <v>45959.0</v>
      </c>
      <c r="B259" s="15" t="s">
        <v>376</v>
      </c>
      <c r="C259" s="13" t="s">
        <v>26</v>
      </c>
      <c r="D259" s="13">
        <v>80.0</v>
      </c>
      <c r="E259" s="15">
        <v>230.0</v>
      </c>
      <c r="F259" s="13" t="s">
        <v>23</v>
      </c>
      <c r="G259" s="46" t="s">
        <v>99</v>
      </c>
      <c r="H259" s="46">
        <v>1000.0</v>
      </c>
      <c r="I259" s="21">
        <f t="shared" si="1"/>
        <v>230</v>
      </c>
      <c r="J259" s="21"/>
      <c r="K259" s="22"/>
    </row>
    <row r="260" ht="22.5" customHeight="1">
      <c r="A260" s="28">
        <v>45959.0</v>
      </c>
      <c r="B260" s="15" t="s">
        <v>376</v>
      </c>
      <c r="C260" s="13" t="s">
        <v>26</v>
      </c>
      <c r="D260" s="13">
        <v>80.0</v>
      </c>
      <c r="E260" s="15">
        <v>135.0</v>
      </c>
      <c r="F260" s="13" t="s">
        <v>23</v>
      </c>
      <c r="G260" s="46" t="s">
        <v>99</v>
      </c>
      <c r="H260" s="46">
        <v>2000.0</v>
      </c>
      <c r="I260" s="21">
        <f t="shared" si="1"/>
        <v>270</v>
      </c>
      <c r="J260" s="21"/>
      <c r="K260" s="22"/>
    </row>
    <row r="261" ht="22.5" customHeight="1">
      <c r="A261" s="28">
        <v>45960.0</v>
      </c>
      <c r="B261" s="15" t="s">
        <v>377</v>
      </c>
      <c r="C261" s="13" t="s">
        <v>9</v>
      </c>
      <c r="D261" s="13">
        <v>80.0</v>
      </c>
      <c r="E261" s="15">
        <v>185.0</v>
      </c>
      <c r="F261" s="13" t="s">
        <v>27</v>
      </c>
      <c r="G261" s="46" t="s">
        <v>99</v>
      </c>
      <c r="H261" s="15">
        <v>3700.0</v>
      </c>
      <c r="I261" s="21">
        <f t="shared" si="1"/>
        <v>684.5</v>
      </c>
      <c r="J261" s="21"/>
      <c r="K261" s="22"/>
    </row>
    <row r="262" ht="22.5" customHeight="1">
      <c r="A262" s="28">
        <v>45960.0</v>
      </c>
      <c r="B262" s="15" t="s">
        <v>378</v>
      </c>
      <c r="C262" s="13" t="s">
        <v>9</v>
      </c>
      <c r="D262" s="13">
        <v>80.0</v>
      </c>
      <c r="E262" s="15">
        <v>125.0</v>
      </c>
      <c r="F262" s="13" t="s">
        <v>21</v>
      </c>
      <c r="G262" s="46" t="s">
        <v>89</v>
      </c>
      <c r="H262" s="15">
        <v>2000.0</v>
      </c>
      <c r="I262" s="21">
        <f t="shared" si="1"/>
        <v>250</v>
      </c>
      <c r="J262" s="21"/>
      <c r="K262" s="22"/>
    </row>
    <row r="263" ht="22.5" customHeight="1">
      <c r="A263" s="28">
        <v>45960.0</v>
      </c>
      <c r="B263" s="15" t="s">
        <v>379</v>
      </c>
      <c r="C263" s="13" t="s">
        <v>9</v>
      </c>
      <c r="D263" s="13">
        <v>80.0</v>
      </c>
      <c r="E263" s="15">
        <v>125.0</v>
      </c>
      <c r="F263" s="13" t="s">
        <v>21</v>
      </c>
      <c r="G263" s="46" t="s">
        <v>89</v>
      </c>
      <c r="H263" s="15">
        <v>2995.0</v>
      </c>
      <c r="I263" s="21">
        <f t="shared" si="1"/>
        <v>374.375</v>
      </c>
      <c r="J263" s="21"/>
      <c r="K263" s="22"/>
    </row>
    <row r="264" ht="22.5" customHeight="1">
      <c r="A264" s="28">
        <v>45960.0</v>
      </c>
      <c r="B264" s="15" t="s">
        <v>380</v>
      </c>
      <c r="C264" s="13" t="s">
        <v>9</v>
      </c>
      <c r="D264" s="13">
        <v>80.0</v>
      </c>
      <c r="E264" s="15">
        <v>125.0</v>
      </c>
      <c r="F264" s="13" t="s">
        <v>21</v>
      </c>
      <c r="G264" s="46" t="s">
        <v>89</v>
      </c>
      <c r="H264" s="15">
        <v>1200.0</v>
      </c>
      <c r="I264" s="21">
        <f t="shared" si="1"/>
        <v>150</v>
      </c>
      <c r="J264" s="21"/>
      <c r="K264" s="22"/>
    </row>
    <row r="265" ht="22.5" customHeight="1">
      <c r="A265" s="28">
        <v>45960.0</v>
      </c>
      <c r="B265" s="15" t="s">
        <v>381</v>
      </c>
      <c r="C265" s="13" t="s">
        <v>9</v>
      </c>
      <c r="D265" s="13">
        <v>80.0</v>
      </c>
      <c r="E265" s="15">
        <v>180.0</v>
      </c>
      <c r="F265" s="13" t="s">
        <v>21</v>
      </c>
      <c r="G265" s="46" t="s">
        <v>89</v>
      </c>
      <c r="H265" s="15">
        <v>1700.0</v>
      </c>
      <c r="I265" s="21">
        <f t="shared" si="1"/>
        <v>306</v>
      </c>
      <c r="J265" s="21"/>
      <c r="K265" s="22"/>
    </row>
    <row r="266" ht="22.5" customHeight="1">
      <c r="A266" s="28">
        <v>45960.0</v>
      </c>
      <c r="B266" s="15" t="s">
        <v>382</v>
      </c>
      <c r="C266" s="13" t="s">
        <v>9</v>
      </c>
      <c r="D266" s="13">
        <v>80.0</v>
      </c>
      <c r="E266" s="15">
        <v>125.0</v>
      </c>
      <c r="F266" s="13" t="s">
        <v>21</v>
      </c>
      <c r="G266" s="46" t="s">
        <v>89</v>
      </c>
      <c r="H266" s="15">
        <v>1150.0</v>
      </c>
      <c r="I266" s="21">
        <f t="shared" si="1"/>
        <v>143.75</v>
      </c>
      <c r="J266" s="21"/>
      <c r="K266" s="22"/>
    </row>
    <row r="267" ht="22.5" customHeight="1">
      <c r="A267" s="28">
        <v>45960.0</v>
      </c>
      <c r="B267" s="15" t="s">
        <v>384</v>
      </c>
      <c r="C267" s="13" t="s">
        <v>9</v>
      </c>
      <c r="D267" s="13">
        <v>80.0</v>
      </c>
      <c r="E267" s="15">
        <v>125.0</v>
      </c>
      <c r="F267" s="13" t="s">
        <v>21</v>
      </c>
      <c r="G267" s="46" t="s">
        <v>89</v>
      </c>
      <c r="H267" s="15">
        <v>2800.0</v>
      </c>
      <c r="I267" s="21">
        <f t="shared" si="1"/>
        <v>350</v>
      </c>
      <c r="J267" s="21"/>
      <c r="K267" s="22"/>
    </row>
    <row r="268" ht="22.5" customHeight="1">
      <c r="A268" s="28">
        <v>45960.0</v>
      </c>
      <c r="B268" s="15" t="s">
        <v>385</v>
      </c>
      <c r="C268" s="13" t="s">
        <v>9</v>
      </c>
      <c r="D268" s="13">
        <v>80.0</v>
      </c>
      <c r="E268" s="15">
        <v>290.0</v>
      </c>
      <c r="F268" s="13" t="s">
        <v>21</v>
      </c>
      <c r="G268" s="46" t="s">
        <v>89</v>
      </c>
      <c r="H268" s="15">
        <v>1500.0</v>
      </c>
      <c r="I268" s="21">
        <f t="shared" si="1"/>
        <v>435</v>
      </c>
      <c r="J268" s="21"/>
      <c r="K268" s="22"/>
    </row>
    <row r="269" ht="22.5" customHeight="1">
      <c r="A269" s="28">
        <v>45960.0</v>
      </c>
      <c r="B269" s="15" t="s">
        <v>386</v>
      </c>
      <c r="C269" s="13" t="s">
        <v>9</v>
      </c>
      <c r="D269" s="13">
        <v>80.0</v>
      </c>
      <c r="E269" s="15">
        <v>125.0</v>
      </c>
      <c r="F269" s="13" t="s">
        <v>21</v>
      </c>
      <c r="G269" s="46" t="s">
        <v>89</v>
      </c>
      <c r="H269" s="15">
        <v>1970.0</v>
      </c>
      <c r="I269" s="21">
        <f t="shared" si="1"/>
        <v>246.25</v>
      </c>
      <c r="J269" s="21"/>
      <c r="K269" s="22"/>
    </row>
    <row r="270" ht="22.5" customHeight="1">
      <c r="A270" s="28">
        <v>45960.0</v>
      </c>
      <c r="B270" s="15" t="s">
        <v>388</v>
      </c>
      <c r="C270" s="13" t="s">
        <v>9</v>
      </c>
      <c r="D270" s="13">
        <v>80.0</v>
      </c>
      <c r="E270" s="15">
        <v>125.0</v>
      </c>
      <c r="F270" s="13" t="s">
        <v>21</v>
      </c>
      <c r="G270" s="46" t="s">
        <v>89</v>
      </c>
      <c r="H270" s="15">
        <v>900.0</v>
      </c>
      <c r="I270" s="21">
        <f t="shared" si="1"/>
        <v>112.5</v>
      </c>
      <c r="J270" s="21"/>
      <c r="K270" s="22"/>
    </row>
    <row r="271" ht="22.5" customHeight="1">
      <c r="A271" s="28">
        <v>45960.0</v>
      </c>
      <c r="B271" s="15" t="s">
        <v>389</v>
      </c>
      <c r="C271" s="13" t="s">
        <v>9</v>
      </c>
      <c r="D271" s="13">
        <v>80.0</v>
      </c>
      <c r="E271" s="15">
        <v>125.0</v>
      </c>
      <c r="F271" s="13" t="s">
        <v>21</v>
      </c>
      <c r="G271" s="46" t="s">
        <v>89</v>
      </c>
      <c r="H271" s="15">
        <v>1350.0</v>
      </c>
      <c r="I271" s="21">
        <f t="shared" si="1"/>
        <v>168.75</v>
      </c>
      <c r="J271" s="21"/>
      <c r="K271" s="22"/>
    </row>
    <row r="272" ht="22.5" customHeight="1">
      <c r="A272" s="28">
        <v>45960.0</v>
      </c>
      <c r="B272" s="15" t="s">
        <v>390</v>
      </c>
      <c r="C272" s="13" t="s">
        <v>9</v>
      </c>
      <c r="D272" s="13">
        <v>80.0</v>
      </c>
      <c r="E272" s="15">
        <v>125.0</v>
      </c>
      <c r="F272" s="13" t="s">
        <v>21</v>
      </c>
      <c r="G272" s="46" t="s">
        <v>89</v>
      </c>
      <c r="H272" s="15">
        <v>4860.0</v>
      </c>
      <c r="I272" s="21">
        <f t="shared" si="1"/>
        <v>607.5</v>
      </c>
      <c r="J272" s="21"/>
      <c r="K272" s="22"/>
    </row>
    <row r="273" ht="22.5" customHeight="1">
      <c r="A273" s="28">
        <v>45961.0</v>
      </c>
      <c r="B273" s="15" t="s">
        <v>391</v>
      </c>
      <c r="C273" s="13" t="s">
        <v>9</v>
      </c>
      <c r="D273" s="13">
        <v>80.0</v>
      </c>
      <c r="E273" s="15">
        <v>125.0</v>
      </c>
      <c r="F273" s="13" t="s">
        <v>27</v>
      </c>
      <c r="G273" s="46" t="s">
        <v>392</v>
      </c>
      <c r="H273" s="15">
        <v>2800.0</v>
      </c>
      <c r="I273" s="21">
        <f t="shared" si="1"/>
        <v>350</v>
      </c>
      <c r="J273" s="21"/>
      <c r="K273" s="22"/>
    </row>
    <row r="274" ht="22.5" customHeight="1">
      <c r="A274" s="28">
        <v>45961.0</v>
      </c>
      <c r="B274" s="15" t="s">
        <v>393</v>
      </c>
      <c r="C274" s="13" t="s">
        <v>9</v>
      </c>
      <c r="D274" s="13">
        <v>80.0</v>
      </c>
      <c r="E274" s="15">
        <v>250.0</v>
      </c>
      <c r="F274" s="13" t="s">
        <v>21</v>
      </c>
      <c r="G274" s="46" t="s">
        <v>89</v>
      </c>
      <c r="H274" s="15">
        <v>2000.0</v>
      </c>
      <c r="I274" s="21">
        <f t="shared" si="1"/>
        <v>500</v>
      </c>
      <c r="J274" s="15" t="s">
        <v>507</v>
      </c>
      <c r="K274" s="22"/>
    </row>
    <row r="275" ht="22.5" customHeight="1">
      <c r="A275" s="28">
        <v>45962.0</v>
      </c>
      <c r="B275" s="15" t="s">
        <v>394</v>
      </c>
      <c r="C275" s="13" t="s">
        <v>9</v>
      </c>
      <c r="D275" s="13">
        <v>80.0</v>
      </c>
      <c r="E275" s="15">
        <v>395.0</v>
      </c>
      <c r="F275" s="13" t="s">
        <v>21</v>
      </c>
      <c r="G275" s="46" t="s">
        <v>89</v>
      </c>
      <c r="H275" s="15">
        <v>2100.0</v>
      </c>
      <c r="I275" s="21">
        <f t="shared" si="1"/>
        <v>829.5</v>
      </c>
      <c r="J275" s="21"/>
      <c r="K275" s="22"/>
    </row>
    <row r="276" ht="22.5" customHeight="1">
      <c r="A276" s="28">
        <v>45962.0</v>
      </c>
      <c r="B276" s="15" t="s">
        <v>396</v>
      </c>
      <c r="C276" s="13" t="s">
        <v>42</v>
      </c>
      <c r="D276" s="13">
        <v>50.0</v>
      </c>
      <c r="E276" s="15">
        <v>200.0</v>
      </c>
      <c r="F276" s="13" t="s">
        <v>21</v>
      </c>
      <c r="G276" s="46" t="s">
        <v>509</v>
      </c>
      <c r="H276" s="15">
        <v>6400.0</v>
      </c>
      <c r="I276" s="21">
        <f t="shared" si="1"/>
        <v>1280</v>
      </c>
      <c r="J276" s="21"/>
      <c r="K276" s="22"/>
    </row>
    <row r="277" ht="22.5" customHeight="1">
      <c r="A277" s="28">
        <v>45962.0</v>
      </c>
      <c r="B277" s="15" t="s">
        <v>397</v>
      </c>
      <c r="C277" s="13" t="s">
        <v>26</v>
      </c>
      <c r="D277" s="13">
        <v>80.0</v>
      </c>
      <c r="E277" s="15">
        <v>125.0</v>
      </c>
      <c r="F277" s="13" t="s">
        <v>27</v>
      </c>
      <c r="G277" s="46" t="s">
        <v>392</v>
      </c>
      <c r="H277" s="15">
        <v>4800.0</v>
      </c>
      <c r="I277" s="21">
        <f t="shared" si="1"/>
        <v>600</v>
      </c>
      <c r="J277" s="21"/>
      <c r="K277" s="22"/>
    </row>
    <row r="278" ht="22.5" customHeight="1">
      <c r="A278" s="28">
        <v>45964.0</v>
      </c>
      <c r="B278" s="15" t="s">
        <v>399</v>
      </c>
      <c r="C278" s="13" t="s">
        <v>9</v>
      </c>
      <c r="D278" s="13">
        <v>80.0</v>
      </c>
      <c r="E278" s="15">
        <v>300.0</v>
      </c>
      <c r="F278" s="13" t="s">
        <v>21</v>
      </c>
      <c r="G278" s="46" t="s">
        <v>89</v>
      </c>
      <c r="H278" s="15">
        <v>1200.0</v>
      </c>
      <c r="I278" s="21">
        <f t="shared" si="1"/>
        <v>360</v>
      </c>
      <c r="J278" s="21"/>
      <c r="K278" s="22"/>
    </row>
    <row r="279" ht="22.5" customHeight="1">
      <c r="A279" s="28">
        <v>45964.0</v>
      </c>
      <c r="B279" s="15" t="s">
        <v>401</v>
      </c>
      <c r="C279" s="13" t="s">
        <v>9</v>
      </c>
      <c r="D279" s="13">
        <v>80.0</v>
      </c>
      <c r="E279" s="15">
        <v>185.0</v>
      </c>
      <c r="F279" s="13" t="s">
        <v>27</v>
      </c>
      <c r="G279" s="46" t="s">
        <v>139</v>
      </c>
      <c r="H279" s="15">
        <v>500.0</v>
      </c>
      <c r="I279" s="21">
        <f t="shared" si="1"/>
        <v>92.5</v>
      </c>
      <c r="J279" s="21"/>
      <c r="K279" s="22"/>
    </row>
    <row r="280" ht="22.5" customHeight="1">
      <c r="A280" s="28">
        <v>45964.0</v>
      </c>
      <c r="B280" s="15" t="s">
        <v>403</v>
      </c>
      <c r="C280" s="13" t="s">
        <v>9</v>
      </c>
      <c r="D280" s="13">
        <v>80.0</v>
      </c>
      <c r="E280" s="15">
        <v>210.0</v>
      </c>
      <c r="F280" s="13" t="s">
        <v>27</v>
      </c>
      <c r="G280" s="46" t="s">
        <v>139</v>
      </c>
      <c r="H280" s="15">
        <v>1140.0</v>
      </c>
      <c r="I280" s="21">
        <f t="shared" si="1"/>
        <v>239.4</v>
      </c>
      <c r="J280" s="21"/>
      <c r="K280" s="22"/>
    </row>
    <row r="281" ht="22.5" customHeight="1">
      <c r="A281" s="28">
        <v>45964.0</v>
      </c>
      <c r="B281" s="15" t="s">
        <v>404</v>
      </c>
      <c r="C281" s="13" t="s">
        <v>43</v>
      </c>
      <c r="D281" s="13">
        <v>50.0</v>
      </c>
      <c r="E281" s="15">
        <v>125.0</v>
      </c>
      <c r="F281" s="13" t="s">
        <v>27</v>
      </c>
      <c r="G281" s="46" t="s">
        <v>176</v>
      </c>
      <c r="H281" s="15">
        <v>1600.0</v>
      </c>
      <c r="I281" s="21">
        <f t="shared" si="1"/>
        <v>200</v>
      </c>
      <c r="J281" s="21"/>
      <c r="K281" s="22"/>
    </row>
    <row r="282" ht="22.5" customHeight="1">
      <c r="A282" s="28">
        <v>45964.0</v>
      </c>
      <c r="B282" s="15" t="s">
        <v>405</v>
      </c>
      <c r="C282" s="13" t="s">
        <v>43</v>
      </c>
      <c r="D282" s="13">
        <v>50.0</v>
      </c>
      <c r="E282" s="15">
        <v>125.0</v>
      </c>
      <c r="F282" s="13" t="s">
        <v>27</v>
      </c>
      <c r="G282" s="46" t="s">
        <v>176</v>
      </c>
      <c r="H282" s="15">
        <v>2200.0</v>
      </c>
      <c r="I282" s="21">
        <f t="shared" si="1"/>
        <v>275</v>
      </c>
      <c r="J282" s="21"/>
      <c r="K282" s="22"/>
    </row>
    <row r="283" ht="22.5" customHeight="1">
      <c r="A283" s="28">
        <v>45964.0</v>
      </c>
      <c r="B283" s="15" t="s">
        <v>406</v>
      </c>
      <c r="C283" s="13" t="s">
        <v>9</v>
      </c>
      <c r="D283" s="13">
        <v>80.0</v>
      </c>
      <c r="E283" s="15">
        <v>160.0</v>
      </c>
      <c r="F283" s="13" t="s">
        <v>21</v>
      </c>
      <c r="G283" s="46" t="s">
        <v>89</v>
      </c>
      <c r="H283" s="15">
        <v>1280.0</v>
      </c>
      <c r="I283" s="21">
        <f t="shared" si="1"/>
        <v>204.8</v>
      </c>
      <c r="J283" s="21"/>
      <c r="K283" s="22"/>
    </row>
    <row r="284" ht="22.5" customHeight="1">
      <c r="A284" s="28">
        <v>45964.0</v>
      </c>
      <c r="B284" s="15" t="s">
        <v>407</v>
      </c>
      <c r="C284" s="13" t="s">
        <v>9</v>
      </c>
      <c r="D284" s="13">
        <v>80.0</v>
      </c>
      <c r="E284" s="15">
        <v>160.0</v>
      </c>
      <c r="F284" s="13" t="s">
        <v>21</v>
      </c>
      <c r="G284" s="46" t="s">
        <v>89</v>
      </c>
      <c r="H284" s="15">
        <v>2000.0</v>
      </c>
      <c r="I284" s="21">
        <f t="shared" si="1"/>
        <v>320</v>
      </c>
      <c r="J284" s="21"/>
      <c r="K284" s="22"/>
    </row>
    <row r="285" ht="22.5" customHeight="1">
      <c r="A285" s="28">
        <v>45964.0</v>
      </c>
      <c r="B285" s="15" t="s">
        <v>408</v>
      </c>
      <c r="C285" s="13" t="s">
        <v>9</v>
      </c>
      <c r="D285" s="13">
        <v>80.0</v>
      </c>
      <c r="E285" s="15">
        <v>160.0</v>
      </c>
      <c r="F285" s="13" t="s">
        <v>21</v>
      </c>
      <c r="G285" s="46" t="s">
        <v>89</v>
      </c>
      <c r="H285" s="15">
        <v>850.0</v>
      </c>
      <c r="I285" s="21">
        <f t="shared" si="1"/>
        <v>136</v>
      </c>
      <c r="J285" s="21"/>
      <c r="K285" s="22"/>
    </row>
    <row r="286" ht="22.5" customHeight="1">
      <c r="A286" s="28">
        <v>45964.0</v>
      </c>
      <c r="B286" s="15" t="s">
        <v>409</v>
      </c>
      <c r="C286" s="13" t="s">
        <v>9</v>
      </c>
      <c r="D286" s="13">
        <v>80.0</v>
      </c>
      <c r="E286" s="15">
        <v>160.0</v>
      </c>
      <c r="F286" s="13" t="s">
        <v>33</v>
      </c>
      <c r="G286" s="46" t="s">
        <v>170</v>
      </c>
      <c r="H286" s="15">
        <v>500.0</v>
      </c>
      <c r="I286" s="21">
        <f t="shared" si="1"/>
        <v>80</v>
      </c>
      <c r="J286" s="21"/>
      <c r="K286" s="22"/>
    </row>
    <row r="287" ht="22.5" customHeight="1">
      <c r="A287" s="28">
        <v>45965.0</v>
      </c>
      <c r="B287" s="15" t="s">
        <v>410</v>
      </c>
      <c r="C287" s="13" t="s">
        <v>9</v>
      </c>
      <c r="D287" s="13">
        <v>80.0</v>
      </c>
      <c r="E287" s="15">
        <v>170.0</v>
      </c>
      <c r="F287" s="13" t="s">
        <v>21</v>
      </c>
      <c r="G287" s="46" t="s">
        <v>89</v>
      </c>
      <c r="H287" s="15">
        <v>10000.0</v>
      </c>
      <c r="I287" s="21">
        <f t="shared" si="1"/>
        <v>1700</v>
      </c>
      <c r="J287" s="21"/>
      <c r="K287" s="22"/>
    </row>
    <row r="288" ht="22.5" customHeight="1">
      <c r="A288" s="28">
        <v>45965.0</v>
      </c>
      <c r="B288" s="15" t="s">
        <v>412</v>
      </c>
      <c r="C288" s="13" t="s">
        <v>9</v>
      </c>
      <c r="D288" s="13">
        <v>80.0</v>
      </c>
      <c r="E288" s="15">
        <v>140.0</v>
      </c>
      <c r="F288" s="13" t="s">
        <v>27</v>
      </c>
      <c r="G288" s="7" t="s">
        <v>413</v>
      </c>
      <c r="H288" s="15">
        <v>2990.0</v>
      </c>
      <c r="I288" s="21">
        <f t="shared" si="1"/>
        <v>418.6</v>
      </c>
      <c r="J288" s="21"/>
      <c r="K288" s="22"/>
    </row>
    <row r="289" ht="22.5" customHeight="1">
      <c r="A289" s="28">
        <v>45965.0</v>
      </c>
      <c r="B289" s="15" t="s">
        <v>414</v>
      </c>
      <c r="C289" s="13" t="s">
        <v>9</v>
      </c>
      <c r="D289" s="13">
        <v>80.0</v>
      </c>
      <c r="E289" s="15">
        <v>140.0</v>
      </c>
      <c r="F289" s="13" t="s">
        <v>27</v>
      </c>
      <c r="G289" s="7" t="s">
        <v>413</v>
      </c>
      <c r="H289" s="15">
        <v>1300.0</v>
      </c>
      <c r="I289" s="21">
        <f t="shared" si="1"/>
        <v>182</v>
      </c>
      <c r="J289" s="21"/>
      <c r="K289" s="22"/>
    </row>
    <row r="290" ht="22.5" customHeight="1">
      <c r="A290" s="28">
        <v>45965.0</v>
      </c>
      <c r="B290" s="15" t="s">
        <v>416</v>
      </c>
      <c r="C290" s="13" t="s">
        <v>9</v>
      </c>
      <c r="D290" s="13">
        <v>80.0</v>
      </c>
      <c r="E290" s="15">
        <v>140.0</v>
      </c>
      <c r="F290" s="13" t="s">
        <v>27</v>
      </c>
      <c r="G290" s="7" t="s">
        <v>413</v>
      </c>
      <c r="H290" s="15">
        <v>3400.0</v>
      </c>
      <c r="I290" s="21">
        <f t="shared" si="1"/>
        <v>476</v>
      </c>
      <c r="J290" s="21"/>
      <c r="K290" s="22"/>
    </row>
    <row r="291" ht="22.5" customHeight="1">
      <c r="A291" s="28">
        <v>45966.0</v>
      </c>
      <c r="B291" s="15" t="s">
        <v>417</v>
      </c>
      <c r="C291" s="13" t="s">
        <v>9</v>
      </c>
      <c r="D291" s="13">
        <v>80.0</v>
      </c>
      <c r="E291" s="15">
        <v>170.0</v>
      </c>
      <c r="F291" s="13" t="s">
        <v>21</v>
      </c>
      <c r="G291" s="46" t="s">
        <v>89</v>
      </c>
      <c r="H291" s="15">
        <v>1150.0</v>
      </c>
      <c r="I291" s="21">
        <f t="shared" si="1"/>
        <v>195.5</v>
      </c>
      <c r="J291" s="21"/>
      <c r="K291" s="22"/>
    </row>
    <row r="292" ht="22.5" customHeight="1">
      <c r="A292" s="28">
        <v>45966.0</v>
      </c>
      <c r="B292" s="15" t="s">
        <v>418</v>
      </c>
      <c r="C292" s="13" t="s">
        <v>9</v>
      </c>
      <c r="D292" s="13">
        <v>80.0</v>
      </c>
      <c r="E292" s="15">
        <v>180.0</v>
      </c>
      <c r="F292" s="13" t="s">
        <v>21</v>
      </c>
      <c r="G292" s="46" t="s">
        <v>89</v>
      </c>
      <c r="H292" s="15">
        <v>3200.0</v>
      </c>
      <c r="I292" s="21">
        <f t="shared" si="1"/>
        <v>576</v>
      </c>
      <c r="J292" s="21"/>
      <c r="K292" s="22"/>
    </row>
    <row r="293" ht="22.5" customHeight="1">
      <c r="A293" s="28">
        <v>45966.0</v>
      </c>
      <c r="B293" s="15" t="s">
        <v>419</v>
      </c>
      <c r="C293" s="13" t="s">
        <v>9</v>
      </c>
      <c r="D293" s="13">
        <v>80.0</v>
      </c>
      <c r="E293" s="15">
        <v>330.0</v>
      </c>
      <c r="F293" s="13" t="s">
        <v>21</v>
      </c>
      <c r="G293" s="46" t="s">
        <v>89</v>
      </c>
      <c r="H293" s="46">
        <v>4000.0</v>
      </c>
      <c r="I293" s="21">
        <f t="shared" si="1"/>
        <v>1320</v>
      </c>
      <c r="J293" s="21"/>
      <c r="K293" s="22"/>
    </row>
    <row r="294" ht="22.5" customHeight="1">
      <c r="A294" s="28">
        <v>45966.0</v>
      </c>
      <c r="B294" s="15" t="s">
        <v>420</v>
      </c>
      <c r="C294" s="13" t="s">
        <v>9</v>
      </c>
      <c r="D294" s="13">
        <v>80.0</v>
      </c>
      <c r="E294" s="15">
        <v>140.0</v>
      </c>
      <c r="F294" s="13" t="s">
        <v>27</v>
      </c>
      <c r="G294" s="15" t="s">
        <v>413</v>
      </c>
      <c r="H294" s="15">
        <v>1200.0</v>
      </c>
      <c r="I294" s="21">
        <f t="shared" si="1"/>
        <v>168</v>
      </c>
      <c r="J294" s="21"/>
      <c r="K294" s="22"/>
    </row>
    <row r="295" ht="22.5" customHeight="1">
      <c r="A295" s="28">
        <v>45966.0</v>
      </c>
      <c r="B295" s="15" t="s">
        <v>421</v>
      </c>
      <c r="C295" s="13" t="s">
        <v>52</v>
      </c>
      <c r="D295" s="13">
        <v>50.0</v>
      </c>
      <c r="E295" s="15">
        <v>148.0</v>
      </c>
      <c r="F295" s="13" t="s">
        <v>27</v>
      </c>
      <c r="G295" s="15" t="s">
        <v>413</v>
      </c>
      <c r="H295" s="15">
        <v>1500.0</v>
      </c>
      <c r="I295" s="21">
        <f t="shared" si="1"/>
        <v>222</v>
      </c>
      <c r="J295" s="21"/>
      <c r="K295" s="22"/>
    </row>
    <row r="296" ht="22.5" customHeight="1">
      <c r="A296" s="28">
        <v>45967.0</v>
      </c>
      <c r="B296" s="15" t="s">
        <v>422</v>
      </c>
      <c r="C296" s="13" t="s">
        <v>9</v>
      </c>
      <c r="D296" s="13">
        <v>80.0</v>
      </c>
      <c r="E296" s="15">
        <v>290.0</v>
      </c>
      <c r="F296" s="13" t="s">
        <v>21</v>
      </c>
      <c r="G296" s="15" t="s">
        <v>89</v>
      </c>
      <c r="H296" s="15">
        <v>2800.0</v>
      </c>
      <c r="I296" s="21">
        <f t="shared" si="1"/>
        <v>812</v>
      </c>
      <c r="J296" s="21"/>
      <c r="K296" s="22"/>
    </row>
    <row r="297" ht="22.5" customHeight="1">
      <c r="A297" s="28">
        <v>45967.0</v>
      </c>
      <c r="B297" s="15" t="s">
        <v>419</v>
      </c>
      <c r="C297" s="13" t="s">
        <v>9</v>
      </c>
      <c r="D297" s="13">
        <v>80.0</v>
      </c>
      <c r="E297" s="15">
        <v>330.0</v>
      </c>
      <c r="F297" s="13" t="s">
        <v>21</v>
      </c>
      <c r="G297" s="46" t="s">
        <v>89</v>
      </c>
      <c r="H297" s="46">
        <v>4000.0</v>
      </c>
      <c r="I297" s="21">
        <f t="shared" si="1"/>
        <v>1320</v>
      </c>
      <c r="J297" s="21"/>
      <c r="K297" s="22"/>
    </row>
    <row r="298" ht="22.5" customHeight="1">
      <c r="A298" s="28">
        <v>45967.0</v>
      </c>
      <c r="B298" s="15" t="s">
        <v>423</v>
      </c>
      <c r="C298" s="13" t="s">
        <v>9</v>
      </c>
      <c r="D298" s="13">
        <v>80.0</v>
      </c>
      <c r="E298" s="15">
        <v>180.0</v>
      </c>
      <c r="F298" s="13" t="s">
        <v>21</v>
      </c>
      <c r="G298" s="15" t="s">
        <v>89</v>
      </c>
      <c r="H298" s="15">
        <v>3200.0</v>
      </c>
      <c r="I298" s="21">
        <f t="shared" si="1"/>
        <v>576</v>
      </c>
      <c r="J298" s="21"/>
      <c r="K298" s="22"/>
    </row>
    <row r="299" ht="22.5" customHeight="1">
      <c r="A299" s="28">
        <v>45967.0</v>
      </c>
      <c r="B299" s="15" t="s">
        <v>424</v>
      </c>
      <c r="C299" s="13" t="s">
        <v>36</v>
      </c>
      <c r="D299" s="13">
        <v>70.0</v>
      </c>
      <c r="E299" s="15">
        <v>255.0</v>
      </c>
      <c r="F299" s="13" t="s">
        <v>37</v>
      </c>
      <c r="G299" s="15" t="s">
        <v>324</v>
      </c>
      <c r="H299" s="15">
        <v>600.0</v>
      </c>
      <c r="I299" s="21">
        <f t="shared" si="1"/>
        <v>153</v>
      </c>
      <c r="J299" s="21"/>
      <c r="K299" s="22"/>
    </row>
    <row r="300" ht="22.5" customHeight="1">
      <c r="A300" s="28">
        <v>45967.0</v>
      </c>
      <c r="B300" s="15" t="s">
        <v>424</v>
      </c>
      <c r="C300" s="13" t="s">
        <v>36</v>
      </c>
      <c r="D300" s="13">
        <v>70.0</v>
      </c>
      <c r="E300" s="15">
        <v>190.0</v>
      </c>
      <c r="F300" s="13" t="s">
        <v>37</v>
      </c>
      <c r="G300" s="15" t="s">
        <v>324</v>
      </c>
      <c r="H300" s="15">
        <v>3000.0</v>
      </c>
      <c r="I300" s="21">
        <f t="shared" si="1"/>
        <v>570</v>
      </c>
      <c r="J300" s="21"/>
      <c r="K300" s="22"/>
    </row>
    <row r="301" ht="22.5" customHeight="1">
      <c r="A301" s="28">
        <v>45967.0</v>
      </c>
      <c r="B301" s="15" t="s">
        <v>425</v>
      </c>
      <c r="C301" s="13" t="s">
        <v>36</v>
      </c>
      <c r="D301" s="13">
        <v>70.0</v>
      </c>
      <c r="E301" s="15">
        <v>255.0</v>
      </c>
      <c r="F301" s="13" t="s">
        <v>37</v>
      </c>
      <c r="G301" s="15" t="s">
        <v>324</v>
      </c>
      <c r="H301" s="15">
        <v>2400.0</v>
      </c>
      <c r="I301" s="21">
        <f t="shared" si="1"/>
        <v>612</v>
      </c>
      <c r="J301" s="21"/>
      <c r="K301" s="22"/>
    </row>
    <row r="302" ht="22.5" customHeight="1">
      <c r="A302" s="28">
        <v>45968.0</v>
      </c>
      <c r="B302" s="15" t="s">
        <v>426</v>
      </c>
      <c r="C302" s="13" t="s">
        <v>9</v>
      </c>
      <c r="D302" s="13">
        <v>80.0</v>
      </c>
      <c r="E302" s="15">
        <v>140.0</v>
      </c>
      <c r="F302" s="13" t="s">
        <v>27</v>
      </c>
      <c r="G302" s="15" t="s">
        <v>99</v>
      </c>
      <c r="H302" s="15">
        <v>800.0</v>
      </c>
      <c r="I302" s="21">
        <f t="shared" si="1"/>
        <v>112</v>
      </c>
      <c r="J302" s="21"/>
      <c r="K302" s="22"/>
    </row>
    <row r="303" ht="22.5" customHeight="1">
      <c r="A303" s="28">
        <v>45968.0</v>
      </c>
      <c r="B303" s="15" t="s">
        <v>427</v>
      </c>
      <c r="C303" s="13" t="s">
        <v>9</v>
      </c>
      <c r="D303" s="13">
        <v>80.0</v>
      </c>
      <c r="E303" s="15">
        <v>140.0</v>
      </c>
      <c r="F303" s="13" t="s">
        <v>27</v>
      </c>
      <c r="G303" s="15" t="s">
        <v>99</v>
      </c>
      <c r="H303" s="15">
        <v>1700.0</v>
      </c>
      <c r="I303" s="21">
        <f t="shared" si="1"/>
        <v>238</v>
      </c>
      <c r="J303" s="21"/>
      <c r="K303" s="22"/>
    </row>
    <row r="304" ht="22.5" customHeight="1">
      <c r="A304" s="28">
        <v>45968.0</v>
      </c>
      <c r="B304" s="15" t="s">
        <v>429</v>
      </c>
      <c r="C304" s="13" t="s">
        <v>9</v>
      </c>
      <c r="D304" s="13">
        <v>80.0</v>
      </c>
      <c r="E304" s="15">
        <v>395.0</v>
      </c>
      <c r="F304" s="13" t="s">
        <v>21</v>
      </c>
      <c r="G304" s="15" t="s">
        <v>89</v>
      </c>
      <c r="H304" s="15">
        <v>4300.0</v>
      </c>
      <c r="I304" s="21">
        <f t="shared" si="1"/>
        <v>1698.5</v>
      </c>
      <c r="J304" s="21"/>
      <c r="K304" s="22"/>
    </row>
    <row r="305" ht="22.5" customHeight="1">
      <c r="A305" s="28">
        <v>45968.0</v>
      </c>
      <c r="B305" s="15" t="s">
        <v>430</v>
      </c>
      <c r="C305" s="13" t="s">
        <v>9</v>
      </c>
      <c r="D305" s="13">
        <v>80.0</v>
      </c>
      <c r="E305" s="15">
        <v>250.0</v>
      </c>
      <c r="F305" s="13" t="s">
        <v>21</v>
      </c>
      <c r="G305" s="15" t="s">
        <v>89</v>
      </c>
      <c r="H305" s="15">
        <v>2550.0</v>
      </c>
      <c r="I305" s="21">
        <f t="shared" si="1"/>
        <v>637.5</v>
      </c>
      <c r="J305" s="21"/>
      <c r="K305" s="22"/>
    </row>
    <row r="306" ht="22.5" customHeight="1">
      <c r="A306" s="28">
        <v>45969.0</v>
      </c>
      <c r="B306" s="15" t="s">
        <v>431</v>
      </c>
      <c r="C306" s="13" t="s">
        <v>9</v>
      </c>
      <c r="D306" s="13">
        <v>80.0</v>
      </c>
      <c r="E306" s="15">
        <v>160.0</v>
      </c>
      <c r="F306" s="13" t="s">
        <v>27</v>
      </c>
      <c r="G306" s="15" t="s">
        <v>139</v>
      </c>
      <c r="H306" s="15">
        <v>1530.0</v>
      </c>
      <c r="I306" s="21">
        <f t="shared" si="1"/>
        <v>244.8</v>
      </c>
      <c r="J306" s="21"/>
      <c r="K306" s="22"/>
    </row>
    <row r="307" ht="22.5" customHeight="1">
      <c r="A307" s="28">
        <v>45969.0</v>
      </c>
      <c r="B307" s="15" t="s">
        <v>432</v>
      </c>
      <c r="C307" s="13" t="s">
        <v>9</v>
      </c>
      <c r="D307" s="13">
        <v>80.0</v>
      </c>
      <c r="E307" s="15">
        <v>160.0</v>
      </c>
      <c r="F307" s="13" t="s">
        <v>27</v>
      </c>
      <c r="G307" s="15" t="s">
        <v>139</v>
      </c>
      <c r="H307" s="15">
        <v>2500.0</v>
      </c>
      <c r="I307" s="21">
        <f t="shared" si="1"/>
        <v>400</v>
      </c>
      <c r="J307" s="21"/>
      <c r="K307" s="22"/>
    </row>
    <row r="308" ht="22.5" customHeight="1">
      <c r="A308" s="28">
        <v>45969.0</v>
      </c>
      <c r="B308" s="15" t="s">
        <v>433</v>
      </c>
      <c r="C308" s="13" t="s">
        <v>9</v>
      </c>
      <c r="D308" s="13">
        <v>80.0</v>
      </c>
      <c r="E308" s="15">
        <v>330.0</v>
      </c>
      <c r="F308" s="13" t="s">
        <v>21</v>
      </c>
      <c r="G308" s="15" t="s">
        <v>89</v>
      </c>
      <c r="H308" s="15">
        <v>1000.0</v>
      </c>
      <c r="I308" s="21">
        <f t="shared" si="1"/>
        <v>330</v>
      </c>
      <c r="J308" s="15" t="s">
        <v>557</v>
      </c>
      <c r="K308" s="22"/>
    </row>
    <row r="309" ht="22.5" customHeight="1">
      <c r="A309" s="28">
        <v>45969.0</v>
      </c>
      <c r="B309" s="15" t="s">
        <v>434</v>
      </c>
      <c r="C309" s="13" t="s">
        <v>9</v>
      </c>
      <c r="D309" s="13">
        <v>80.0</v>
      </c>
      <c r="E309" s="15">
        <v>330.0</v>
      </c>
      <c r="F309" s="13" t="s">
        <v>21</v>
      </c>
      <c r="G309" s="15" t="s">
        <v>89</v>
      </c>
      <c r="H309" s="15">
        <v>750.0</v>
      </c>
      <c r="I309" s="21">
        <f t="shared" si="1"/>
        <v>247.5</v>
      </c>
      <c r="J309" s="15" t="s">
        <v>557</v>
      </c>
      <c r="K309" s="22"/>
    </row>
    <row r="310" ht="22.5" customHeight="1">
      <c r="A310" s="28">
        <v>45969.0</v>
      </c>
      <c r="B310" s="15" t="s">
        <v>436</v>
      </c>
      <c r="C310" s="13" t="s">
        <v>9</v>
      </c>
      <c r="D310" s="13">
        <v>80.0</v>
      </c>
      <c r="E310" s="15">
        <v>280.0</v>
      </c>
      <c r="F310" s="13" t="s">
        <v>21</v>
      </c>
      <c r="G310" s="15" t="s">
        <v>562</v>
      </c>
      <c r="H310" s="15">
        <v>1300.0</v>
      </c>
      <c r="I310" s="21">
        <f t="shared" si="1"/>
        <v>364</v>
      </c>
      <c r="J310" s="21"/>
      <c r="K310" s="22"/>
    </row>
    <row r="311" ht="22.5" customHeight="1">
      <c r="A311" s="28">
        <v>45971.0</v>
      </c>
      <c r="B311" s="15" t="s">
        <v>437</v>
      </c>
      <c r="C311" s="13" t="s">
        <v>9</v>
      </c>
      <c r="D311" s="13">
        <v>80.0</v>
      </c>
      <c r="E311" s="15">
        <v>180.0</v>
      </c>
      <c r="F311" s="13" t="s">
        <v>21</v>
      </c>
      <c r="G311" s="15" t="s">
        <v>89</v>
      </c>
      <c r="H311" s="15">
        <v>500.0</v>
      </c>
      <c r="I311" s="21">
        <f t="shared" si="1"/>
        <v>90</v>
      </c>
      <c r="J311" s="21"/>
      <c r="K311" s="22"/>
    </row>
    <row r="312" ht="22.5" customHeight="1">
      <c r="A312" s="28">
        <v>45971.0</v>
      </c>
      <c r="B312" s="15" t="s">
        <v>438</v>
      </c>
      <c r="C312" s="13" t="s">
        <v>9</v>
      </c>
      <c r="D312" s="13">
        <v>80.0</v>
      </c>
      <c r="E312" s="15">
        <v>210.0</v>
      </c>
      <c r="F312" s="13" t="s">
        <v>21</v>
      </c>
      <c r="G312" s="15" t="s">
        <v>89</v>
      </c>
      <c r="H312" s="15">
        <v>650.0</v>
      </c>
      <c r="I312" s="21">
        <f t="shared" si="1"/>
        <v>136.5</v>
      </c>
      <c r="J312" s="21"/>
      <c r="K312" s="22"/>
    </row>
    <row r="313" ht="22.5" customHeight="1">
      <c r="A313" s="28">
        <v>45971.0</v>
      </c>
      <c r="B313" s="15" t="s">
        <v>440</v>
      </c>
      <c r="C313" s="13" t="s">
        <v>9</v>
      </c>
      <c r="D313" s="13">
        <v>80.0</v>
      </c>
      <c r="E313" s="15">
        <v>290.0</v>
      </c>
      <c r="F313" s="13" t="s">
        <v>21</v>
      </c>
      <c r="G313" s="15" t="s">
        <v>89</v>
      </c>
      <c r="H313" s="15">
        <v>1700.0</v>
      </c>
      <c r="I313" s="21">
        <f t="shared" si="1"/>
        <v>493</v>
      </c>
      <c r="J313" s="21"/>
      <c r="K313" s="22"/>
    </row>
    <row r="314" ht="22.5" customHeight="1">
      <c r="A314" s="28">
        <v>45971.0</v>
      </c>
      <c r="B314" s="15" t="s">
        <v>441</v>
      </c>
      <c r="C314" s="13" t="s">
        <v>9</v>
      </c>
      <c r="D314" s="13">
        <v>80.0</v>
      </c>
      <c r="E314" s="15">
        <v>280.0</v>
      </c>
      <c r="F314" s="13" t="s">
        <v>21</v>
      </c>
      <c r="G314" s="15" t="s">
        <v>89</v>
      </c>
      <c r="H314" s="15">
        <v>600.0</v>
      </c>
      <c r="I314" s="21">
        <f t="shared" si="1"/>
        <v>168</v>
      </c>
      <c r="J314" s="21"/>
      <c r="K314" s="22"/>
    </row>
    <row r="315" ht="22.5" customHeight="1">
      <c r="A315" s="28">
        <v>45971.0</v>
      </c>
      <c r="B315" s="15" t="s">
        <v>443</v>
      </c>
      <c r="C315" s="13" t="s">
        <v>9</v>
      </c>
      <c r="D315" s="13">
        <v>80.0</v>
      </c>
      <c r="E315" s="15">
        <v>165.0</v>
      </c>
      <c r="F315" s="13" t="s">
        <v>33</v>
      </c>
      <c r="G315" s="15" t="s">
        <v>170</v>
      </c>
      <c r="H315" s="15">
        <v>900.0</v>
      </c>
      <c r="I315" s="21">
        <f t="shared" si="1"/>
        <v>148.5</v>
      </c>
      <c r="J315" s="21"/>
      <c r="K315" s="22"/>
    </row>
    <row r="316" ht="22.5" customHeight="1">
      <c r="A316" s="28">
        <v>45971.0</v>
      </c>
      <c r="B316" s="15" t="s">
        <v>444</v>
      </c>
      <c r="C316" s="13" t="s">
        <v>9</v>
      </c>
      <c r="D316" s="13">
        <v>80.0</v>
      </c>
      <c r="E316" s="15">
        <v>165.0</v>
      </c>
      <c r="F316" s="13" t="s">
        <v>33</v>
      </c>
      <c r="G316" s="15" t="s">
        <v>170</v>
      </c>
      <c r="H316" s="15">
        <v>670.0</v>
      </c>
      <c r="I316" s="21">
        <f t="shared" si="1"/>
        <v>110.55</v>
      </c>
      <c r="J316" s="21"/>
      <c r="K316" s="22"/>
    </row>
    <row r="317" ht="22.5" customHeight="1">
      <c r="A317" s="28">
        <v>45971.0</v>
      </c>
      <c r="B317" s="15" t="s">
        <v>446</v>
      </c>
      <c r="C317" s="13" t="s">
        <v>9</v>
      </c>
      <c r="D317" s="13">
        <v>80.0</v>
      </c>
      <c r="E317" s="15">
        <v>165.0</v>
      </c>
      <c r="F317" s="13" t="s">
        <v>33</v>
      </c>
      <c r="G317" s="15" t="s">
        <v>170</v>
      </c>
      <c r="H317" s="15">
        <v>1700.0</v>
      </c>
      <c r="I317" s="21">
        <f t="shared" si="1"/>
        <v>280.5</v>
      </c>
      <c r="J317" s="21"/>
      <c r="K317" s="22"/>
    </row>
    <row r="318" ht="22.5" customHeight="1">
      <c r="A318" s="28">
        <v>45971.0</v>
      </c>
      <c r="B318" s="15" t="s">
        <v>447</v>
      </c>
      <c r="C318" s="13" t="s">
        <v>9</v>
      </c>
      <c r="D318" s="13">
        <v>80.0</v>
      </c>
      <c r="E318" s="15">
        <v>165.0</v>
      </c>
      <c r="F318" s="13" t="s">
        <v>33</v>
      </c>
      <c r="G318" s="15" t="s">
        <v>170</v>
      </c>
      <c r="H318" s="15">
        <v>1400.0</v>
      </c>
      <c r="I318" s="21">
        <f t="shared" si="1"/>
        <v>231</v>
      </c>
      <c r="J318" s="21"/>
      <c r="K318" s="22"/>
    </row>
    <row r="319" ht="22.5" customHeight="1">
      <c r="A319" s="28">
        <v>45971.0</v>
      </c>
      <c r="B319" s="15" t="s">
        <v>448</v>
      </c>
      <c r="C319" s="13" t="s">
        <v>9</v>
      </c>
      <c r="D319" s="13">
        <v>80.0</v>
      </c>
      <c r="E319" s="15">
        <v>165.0</v>
      </c>
      <c r="F319" s="13" t="s">
        <v>33</v>
      </c>
      <c r="G319" s="15" t="s">
        <v>170</v>
      </c>
      <c r="H319" s="15">
        <v>1100.0</v>
      </c>
      <c r="I319" s="21">
        <f t="shared" si="1"/>
        <v>181.5</v>
      </c>
      <c r="J319" s="21"/>
      <c r="K319" s="22"/>
    </row>
    <row r="320" ht="22.5" customHeight="1">
      <c r="A320" s="28">
        <v>45972.0</v>
      </c>
      <c r="B320" s="15" t="s">
        <v>449</v>
      </c>
      <c r="C320" s="13" t="s">
        <v>26</v>
      </c>
      <c r="D320" s="13">
        <v>80.0</v>
      </c>
      <c r="E320" s="15">
        <v>167.0</v>
      </c>
      <c r="F320" s="13" t="s">
        <v>27</v>
      </c>
      <c r="G320" s="15" t="s">
        <v>217</v>
      </c>
      <c r="H320" s="15">
        <v>1500.0</v>
      </c>
      <c r="I320" s="21">
        <f t="shared" si="1"/>
        <v>250.5</v>
      </c>
      <c r="J320" s="21"/>
      <c r="K320" s="22"/>
    </row>
    <row r="321" ht="22.5" customHeight="1">
      <c r="A321" s="28">
        <v>45973.0</v>
      </c>
      <c r="B321" s="15" t="s">
        <v>451</v>
      </c>
      <c r="C321" s="13" t="s">
        <v>9</v>
      </c>
      <c r="D321" s="13">
        <v>80.0</v>
      </c>
      <c r="E321" s="15">
        <v>140.0</v>
      </c>
      <c r="F321" s="13" t="s">
        <v>27</v>
      </c>
      <c r="G321" s="15" t="s">
        <v>176</v>
      </c>
      <c r="H321" s="15">
        <v>1920.0</v>
      </c>
      <c r="I321" s="21">
        <f t="shared" si="1"/>
        <v>268.8</v>
      </c>
      <c r="J321" s="21"/>
      <c r="K321" s="22"/>
    </row>
    <row r="322" ht="22.5" customHeight="1">
      <c r="A322" s="28">
        <v>45973.0</v>
      </c>
      <c r="B322" s="15" t="s">
        <v>452</v>
      </c>
      <c r="C322" s="13" t="s">
        <v>9</v>
      </c>
      <c r="D322" s="13">
        <v>80.0</v>
      </c>
      <c r="E322" s="15">
        <v>170.0</v>
      </c>
      <c r="F322" s="13" t="s">
        <v>21</v>
      </c>
      <c r="G322" s="15" t="s">
        <v>89</v>
      </c>
      <c r="H322" s="15">
        <v>400.0</v>
      </c>
      <c r="I322" s="21">
        <f t="shared" si="1"/>
        <v>68</v>
      </c>
      <c r="J322" s="21"/>
      <c r="K322" s="22"/>
    </row>
    <row r="323" ht="22.5" customHeight="1">
      <c r="A323" s="28">
        <v>45973.0</v>
      </c>
      <c r="B323" s="15" t="s">
        <v>453</v>
      </c>
      <c r="C323" s="13" t="s">
        <v>9</v>
      </c>
      <c r="D323" s="13">
        <v>80.0</v>
      </c>
      <c r="E323" s="15">
        <v>395.0</v>
      </c>
      <c r="F323" s="13" t="s">
        <v>21</v>
      </c>
      <c r="G323" s="15" t="s">
        <v>89</v>
      </c>
      <c r="H323" s="15">
        <v>2900.0</v>
      </c>
      <c r="I323" s="21">
        <f t="shared" si="1"/>
        <v>1145.5</v>
      </c>
      <c r="J323" s="21"/>
      <c r="K323" s="22"/>
    </row>
    <row r="324" ht="22.5" customHeight="1">
      <c r="A324" s="28">
        <v>45973.0</v>
      </c>
      <c r="B324" s="15" t="s">
        <v>454</v>
      </c>
      <c r="C324" s="13" t="s">
        <v>9</v>
      </c>
      <c r="D324" s="13">
        <v>80.0</v>
      </c>
      <c r="E324" s="15">
        <v>250.0</v>
      </c>
      <c r="F324" s="13" t="s">
        <v>21</v>
      </c>
      <c r="G324" s="15" t="s">
        <v>89</v>
      </c>
      <c r="H324" s="15">
        <v>6250.0</v>
      </c>
      <c r="I324" s="21">
        <f t="shared" si="1"/>
        <v>1562.5</v>
      </c>
      <c r="J324" s="21"/>
      <c r="K324" s="22"/>
    </row>
    <row r="325" ht="22.5" customHeight="1">
      <c r="A325" s="28">
        <v>45973.0</v>
      </c>
      <c r="B325" s="15" t="s">
        <v>454</v>
      </c>
      <c r="C325" s="13" t="s">
        <v>9</v>
      </c>
      <c r="D325" s="13">
        <v>80.0</v>
      </c>
      <c r="E325" s="15">
        <v>280.0</v>
      </c>
      <c r="F325" s="13" t="s">
        <v>21</v>
      </c>
      <c r="G325" s="15" t="s">
        <v>89</v>
      </c>
      <c r="H325" s="15">
        <v>2000.0</v>
      </c>
      <c r="I325" s="21">
        <f t="shared" si="1"/>
        <v>560</v>
      </c>
      <c r="J325" s="21"/>
      <c r="K325" s="22"/>
    </row>
    <row r="326" ht="22.5" customHeight="1">
      <c r="A326" s="28">
        <v>45974.0</v>
      </c>
      <c r="B326" s="15" t="s">
        <v>455</v>
      </c>
      <c r="C326" s="13" t="s">
        <v>9</v>
      </c>
      <c r="D326" s="13">
        <v>80.0</v>
      </c>
      <c r="E326" s="15">
        <v>210.0</v>
      </c>
      <c r="F326" s="13" t="s">
        <v>21</v>
      </c>
      <c r="G326" s="15" t="s">
        <v>89</v>
      </c>
      <c r="H326" s="15">
        <v>2230.0</v>
      </c>
      <c r="I326" s="21">
        <f t="shared" si="1"/>
        <v>468.3</v>
      </c>
      <c r="J326" s="21"/>
      <c r="K326" s="22"/>
    </row>
    <row r="327" ht="22.5" customHeight="1">
      <c r="A327" s="28">
        <v>45974.0</v>
      </c>
      <c r="B327" s="15" t="s">
        <v>456</v>
      </c>
      <c r="C327" s="13" t="s">
        <v>9</v>
      </c>
      <c r="D327" s="13">
        <v>80.0</v>
      </c>
      <c r="E327" s="15">
        <v>170.0</v>
      </c>
      <c r="F327" s="13" t="s">
        <v>21</v>
      </c>
      <c r="G327" s="15" t="s">
        <v>89</v>
      </c>
      <c r="H327" s="15">
        <v>300.0</v>
      </c>
      <c r="I327" s="21">
        <f t="shared" si="1"/>
        <v>51</v>
      </c>
      <c r="J327" s="21"/>
      <c r="K327" s="22"/>
    </row>
    <row r="328" ht="22.5" customHeight="1">
      <c r="A328" s="28">
        <v>45974.0</v>
      </c>
      <c r="B328" s="15" t="s">
        <v>457</v>
      </c>
      <c r="C328" s="13" t="s">
        <v>43</v>
      </c>
      <c r="D328" s="13">
        <v>50.0</v>
      </c>
      <c r="E328" s="15">
        <v>125.0</v>
      </c>
      <c r="F328" s="13" t="s">
        <v>27</v>
      </c>
      <c r="G328" s="15" t="s">
        <v>176</v>
      </c>
      <c r="H328" s="15">
        <v>2170.0</v>
      </c>
      <c r="I328" s="21">
        <f t="shared" si="1"/>
        <v>271.25</v>
      </c>
      <c r="J328" s="21"/>
      <c r="K328" s="22"/>
    </row>
    <row r="329" ht="22.5" customHeight="1">
      <c r="A329" s="28">
        <v>45974.0</v>
      </c>
      <c r="B329" s="15" t="s">
        <v>458</v>
      </c>
      <c r="C329" s="13" t="s">
        <v>43</v>
      </c>
      <c r="D329" s="13">
        <v>50.0</v>
      </c>
      <c r="E329" s="15">
        <v>125.0</v>
      </c>
      <c r="F329" s="13" t="s">
        <v>27</v>
      </c>
      <c r="G329" s="15" t="s">
        <v>176</v>
      </c>
      <c r="H329" s="15">
        <v>1000.0</v>
      </c>
      <c r="I329" s="21">
        <f t="shared" si="1"/>
        <v>125</v>
      </c>
      <c r="J329" s="21"/>
      <c r="K329" s="22"/>
    </row>
    <row r="330" ht="22.5" customHeight="1">
      <c r="A330" s="28">
        <v>45974.0</v>
      </c>
      <c r="B330" s="15" t="s">
        <v>458</v>
      </c>
      <c r="C330" s="13" t="s">
        <v>43</v>
      </c>
      <c r="D330" s="13">
        <v>50.0</v>
      </c>
      <c r="E330" s="15">
        <v>135.0</v>
      </c>
      <c r="F330" s="13" t="s">
        <v>31</v>
      </c>
      <c r="G330" s="15" t="s">
        <v>176</v>
      </c>
      <c r="H330" s="15">
        <v>2000.0</v>
      </c>
      <c r="I330" s="21">
        <f t="shared" si="1"/>
        <v>270</v>
      </c>
      <c r="J330" s="21"/>
      <c r="K330" s="22"/>
    </row>
    <row r="331" ht="22.5" customHeight="1">
      <c r="A331" s="28">
        <v>45974.0</v>
      </c>
      <c r="B331" s="15" t="s">
        <v>459</v>
      </c>
      <c r="C331" s="13" t="s">
        <v>43</v>
      </c>
      <c r="D331" s="13">
        <v>50.0</v>
      </c>
      <c r="E331" s="15">
        <v>135.0</v>
      </c>
      <c r="F331" s="13" t="s">
        <v>31</v>
      </c>
      <c r="G331" s="15" t="s">
        <v>176</v>
      </c>
      <c r="H331" s="15">
        <v>1845.0</v>
      </c>
      <c r="I331" s="21">
        <f t="shared" si="1"/>
        <v>249.075</v>
      </c>
      <c r="J331" s="21"/>
      <c r="K331" s="22"/>
    </row>
    <row r="332" ht="22.5" customHeight="1">
      <c r="A332" s="28">
        <v>45975.0</v>
      </c>
      <c r="B332" s="15" t="s">
        <v>460</v>
      </c>
      <c r="C332" s="13" t="s">
        <v>9</v>
      </c>
      <c r="D332" s="13">
        <v>80.0</v>
      </c>
      <c r="E332" s="15">
        <v>195.0</v>
      </c>
      <c r="F332" s="13" t="s">
        <v>27</v>
      </c>
      <c r="G332" s="15" t="s">
        <v>99</v>
      </c>
      <c r="H332" s="15">
        <v>1700.0</v>
      </c>
      <c r="I332" s="21">
        <f t="shared" si="1"/>
        <v>331.5</v>
      </c>
      <c r="J332" s="21"/>
      <c r="K332" s="22"/>
    </row>
    <row r="333" ht="22.5" customHeight="1">
      <c r="A333" s="28">
        <v>45975.0</v>
      </c>
      <c r="B333" s="15" t="s">
        <v>462</v>
      </c>
      <c r="C333" s="13" t="s">
        <v>9</v>
      </c>
      <c r="D333" s="13">
        <v>80.0</v>
      </c>
      <c r="E333" s="15">
        <v>210.0</v>
      </c>
      <c r="F333" s="13" t="s">
        <v>27</v>
      </c>
      <c r="G333" s="15" t="s">
        <v>99</v>
      </c>
      <c r="H333" s="15">
        <v>3000.0</v>
      </c>
      <c r="I333" s="21">
        <f t="shared" si="1"/>
        <v>630</v>
      </c>
      <c r="J333" s="21"/>
      <c r="K333" s="22"/>
    </row>
    <row r="334" ht="22.5" customHeight="1">
      <c r="A334" s="28">
        <v>45975.0</v>
      </c>
      <c r="B334" s="15" t="s">
        <v>463</v>
      </c>
      <c r="C334" s="13" t="s">
        <v>9</v>
      </c>
      <c r="D334" s="13">
        <v>80.0</v>
      </c>
      <c r="E334" s="15">
        <v>195.0</v>
      </c>
      <c r="F334" s="13" t="s">
        <v>27</v>
      </c>
      <c r="G334" s="15" t="s">
        <v>99</v>
      </c>
      <c r="H334" s="15">
        <v>1980.0</v>
      </c>
      <c r="I334" s="21">
        <f t="shared" si="1"/>
        <v>386.1</v>
      </c>
      <c r="J334" s="21"/>
      <c r="K334" s="22"/>
    </row>
    <row r="335" ht="22.5" customHeight="1">
      <c r="A335" s="28">
        <v>45975.0</v>
      </c>
      <c r="B335" s="15" t="s">
        <v>463</v>
      </c>
      <c r="C335" s="13" t="s">
        <v>9</v>
      </c>
      <c r="D335" s="13">
        <v>80.0</v>
      </c>
      <c r="E335" s="15">
        <v>185.0</v>
      </c>
      <c r="F335" s="13" t="s">
        <v>27</v>
      </c>
      <c r="G335" s="15" t="s">
        <v>99</v>
      </c>
      <c r="H335" s="15">
        <v>1000.0</v>
      </c>
      <c r="I335" s="21">
        <f t="shared" si="1"/>
        <v>185</v>
      </c>
      <c r="J335" s="21"/>
      <c r="K335" s="22"/>
    </row>
    <row r="336" ht="22.5" customHeight="1">
      <c r="A336" s="28">
        <v>45975.0</v>
      </c>
      <c r="B336" s="15" t="s">
        <v>464</v>
      </c>
      <c r="C336" s="13" t="s">
        <v>9</v>
      </c>
      <c r="D336" s="13">
        <v>80.0</v>
      </c>
      <c r="E336" s="15">
        <v>210.0</v>
      </c>
      <c r="F336" s="13" t="s">
        <v>27</v>
      </c>
      <c r="G336" s="15" t="s">
        <v>99</v>
      </c>
      <c r="H336" s="15">
        <v>1650.0</v>
      </c>
      <c r="I336" s="21">
        <f t="shared" si="1"/>
        <v>346.5</v>
      </c>
      <c r="J336" s="21"/>
      <c r="K336" s="22"/>
    </row>
    <row r="337" ht="22.5" customHeight="1">
      <c r="A337" s="28">
        <v>45975.0</v>
      </c>
      <c r="B337" s="15" t="s">
        <v>464</v>
      </c>
      <c r="C337" s="13" t="s">
        <v>9</v>
      </c>
      <c r="D337" s="13">
        <v>80.0</v>
      </c>
      <c r="E337" s="15">
        <v>195.0</v>
      </c>
      <c r="F337" s="13" t="s">
        <v>27</v>
      </c>
      <c r="G337" s="15" t="s">
        <v>99</v>
      </c>
      <c r="H337" s="15">
        <v>1430.0</v>
      </c>
      <c r="I337" s="21">
        <f t="shared" si="1"/>
        <v>278.85</v>
      </c>
      <c r="J337" s="21"/>
      <c r="K337" s="22"/>
    </row>
    <row r="338" ht="22.5" customHeight="1">
      <c r="A338" s="28">
        <v>45975.0</v>
      </c>
      <c r="B338" s="15" t="s">
        <v>465</v>
      </c>
      <c r="C338" s="13" t="s">
        <v>9</v>
      </c>
      <c r="D338" s="13">
        <v>80.0</v>
      </c>
      <c r="E338" s="15">
        <v>210.0</v>
      </c>
      <c r="F338" s="13" t="s">
        <v>27</v>
      </c>
      <c r="G338" s="15" t="s">
        <v>99</v>
      </c>
      <c r="H338" s="15">
        <v>1795.0</v>
      </c>
      <c r="I338" s="21">
        <f t="shared" si="1"/>
        <v>376.95</v>
      </c>
      <c r="J338" s="21"/>
      <c r="K338" s="22"/>
    </row>
    <row r="339" ht="22.5" customHeight="1">
      <c r="A339" s="28">
        <v>45975.0</v>
      </c>
      <c r="B339" s="15" t="s">
        <v>467</v>
      </c>
      <c r="C339" s="13" t="s">
        <v>9</v>
      </c>
      <c r="D339" s="13">
        <v>80.0</v>
      </c>
      <c r="E339" s="15">
        <v>185.0</v>
      </c>
      <c r="F339" s="13" t="s">
        <v>27</v>
      </c>
      <c r="G339" s="15" t="s">
        <v>99</v>
      </c>
      <c r="H339" s="15">
        <v>1100.0</v>
      </c>
      <c r="I339" s="21">
        <f t="shared" si="1"/>
        <v>203.5</v>
      </c>
      <c r="J339" s="21"/>
      <c r="K339" s="22"/>
    </row>
    <row r="340" ht="22.5" customHeight="1">
      <c r="A340" s="28">
        <v>45975.0</v>
      </c>
      <c r="B340" s="15" t="s">
        <v>467</v>
      </c>
      <c r="C340" s="13" t="s">
        <v>9</v>
      </c>
      <c r="D340" s="13">
        <v>80.0</v>
      </c>
      <c r="E340" s="15">
        <v>195.0</v>
      </c>
      <c r="F340" s="13" t="s">
        <v>27</v>
      </c>
      <c r="G340" s="15" t="s">
        <v>99</v>
      </c>
      <c r="H340" s="15">
        <v>1840.0</v>
      </c>
      <c r="I340" s="21">
        <f t="shared" si="1"/>
        <v>358.8</v>
      </c>
      <c r="J340" s="21"/>
      <c r="K340" s="22"/>
    </row>
    <row r="341" ht="22.5" customHeight="1">
      <c r="A341" s="28">
        <v>45976.0</v>
      </c>
      <c r="B341" s="15" t="s">
        <v>468</v>
      </c>
      <c r="C341" s="13" t="s">
        <v>43</v>
      </c>
      <c r="D341" s="13">
        <v>50.0</v>
      </c>
      <c r="E341" s="15">
        <v>125.0</v>
      </c>
      <c r="F341" s="13" t="s">
        <v>27</v>
      </c>
      <c r="G341" s="15" t="s">
        <v>176</v>
      </c>
      <c r="H341" s="15">
        <v>2000.0</v>
      </c>
      <c r="I341" s="21">
        <f t="shared" si="1"/>
        <v>250</v>
      </c>
      <c r="J341" s="21"/>
      <c r="K341" s="22"/>
    </row>
    <row r="342" ht="22.5" customHeight="1">
      <c r="A342" s="28">
        <v>45976.0</v>
      </c>
      <c r="B342" s="15" t="s">
        <v>469</v>
      </c>
      <c r="C342" s="13" t="s">
        <v>9</v>
      </c>
      <c r="D342" s="13">
        <v>80.0</v>
      </c>
      <c r="E342" s="15">
        <v>160.0</v>
      </c>
      <c r="F342" s="13" t="s">
        <v>27</v>
      </c>
      <c r="G342" s="15" t="s">
        <v>470</v>
      </c>
      <c r="H342" s="15">
        <v>1500.0</v>
      </c>
      <c r="I342" s="21">
        <f t="shared" si="1"/>
        <v>240</v>
      </c>
      <c r="J342" s="21"/>
      <c r="K342" s="22"/>
    </row>
    <row r="343" ht="22.5" customHeight="1">
      <c r="A343" s="28">
        <v>45976.0</v>
      </c>
      <c r="B343" s="15" t="s">
        <v>471</v>
      </c>
      <c r="C343" s="13" t="s">
        <v>9</v>
      </c>
      <c r="D343" s="13">
        <v>80.0</v>
      </c>
      <c r="E343" s="15">
        <v>140.0</v>
      </c>
      <c r="F343" s="13" t="s">
        <v>27</v>
      </c>
      <c r="G343" s="15" t="s">
        <v>470</v>
      </c>
      <c r="H343" s="15">
        <v>2200.0</v>
      </c>
      <c r="I343" s="21">
        <f t="shared" si="1"/>
        <v>308</v>
      </c>
      <c r="J343" s="21"/>
      <c r="K343" s="22"/>
    </row>
    <row r="344" ht="22.5" customHeight="1">
      <c r="A344" s="28">
        <v>45976.0</v>
      </c>
      <c r="B344" s="15" t="s">
        <v>472</v>
      </c>
      <c r="C344" s="13" t="s">
        <v>52</v>
      </c>
      <c r="D344" s="13">
        <v>50.0</v>
      </c>
      <c r="E344" s="15">
        <v>160.0</v>
      </c>
      <c r="F344" s="13" t="s">
        <v>31</v>
      </c>
      <c r="G344" s="15" t="s">
        <v>470</v>
      </c>
      <c r="H344" s="15">
        <v>900.0</v>
      </c>
      <c r="I344" s="21">
        <f t="shared" si="1"/>
        <v>144</v>
      </c>
      <c r="J344" s="21"/>
      <c r="K344" s="22"/>
    </row>
    <row r="345" ht="22.5" customHeight="1">
      <c r="A345" s="28">
        <v>45976.0</v>
      </c>
      <c r="B345" s="15" t="s">
        <v>472</v>
      </c>
      <c r="C345" s="13" t="s">
        <v>52</v>
      </c>
      <c r="D345" s="13">
        <v>50.0</v>
      </c>
      <c r="E345" s="15">
        <v>165.0</v>
      </c>
      <c r="F345" s="13" t="s">
        <v>31</v>
      </c>
      <c r="G345" s="15" t="s">
        <v>470</v>
      </c>
      <c r="H345" s="15">
        <v>1000.0</v>
      </c>
      <c r="I345" s="21">
        <f t="shared" si="1"/>
        <v>165</v>
      </c>
      <c r="J345" s="21"/>
      <c r="K345" s="22"/>
    </row>
    <row r="346" ht="22.5" customHeight="1">
      <c r="A346" s="28">
        <v>45978.0</v>
      </c>
      <c r="B346" s="15" t="s">
        <v>473</v>
      </c>
      <c r="C346" s="13" t="s">
        <v>36</v>
      </c>
      <c r="D346" s="13">
        <v>70.0</v>
      </c>
      <c r="E346" s="15">
        <v>260.0</v>
      </c>
      <c r="F346" s="13" t="s">
        <v>37</v>
      </c>
      <c r="G346" s="15" t="s">
        <v>324</v>
      </c>
      <c r="H346" s="15">
        <v>3000.0</v>
      </c>
      <c r="I346" s="21">
        <f t="shared" si="1"/>
        <v>780</v>
      </c>
      <c r="J346" s="21"/>
      <c r="K346" s="22"/>
    </row>
    <row r="347" ht="22.5" customHeight="1">
      <c r="A347" s="28">
        <v>45978.0</v>
      </c>
      <c r="B347" s="15" t="s">
        <v>474</v>
      </c>
      <c r="C347" s="13" t="s">
        <v>9</v>
      </c>
      <c r="D347" s="13">
        <v>80.0</v>
      </c>
      <c r="E347" s="15">
        <v>140.0</v>
      </c>
      <c r="F347" s="13" t="s">
        <v>27</v>
      </c>
      <c r="G347" s="15" t="s">
        <v>470</v>
      </c>
      <c r="H347" s="15">
        <v>2000.0</v>
      </c>
      <c r="I347" s="21">
        <f t="shared" si="1"/>
        <v>280</v>
      </c>
      <c r="J347" s="21"/>
      <c r="K347" s="22"/>
    </row>
    <row r="348" ht="22.5" customHeight="1">
      <c r="A348" s="28">
        <v>45978.0</v>
      </c>
      <c r="B348" s="15" t="s">
        <v>475</v>
      </c>
      <c r="C348" s="13" t="s">
        <v>9</v>
      </c>
      <c r="D348" s="13">
        <v>80.0</v>
      </c>
      <c r="E348" s="15">
        <v>140.0</v>
      </c>
      <c r="F348" s="13" t="s">
        <v>27</v>
      </c>
      <c r="G348" s="15" t="s">
        <v>99</v>
      </c>
      <c r="H348" s="15">
        <v>1990.0</v>
      </c>
      <c r="I348" s="21">
        <f t="shared" si="1"/>
        <v>278.6</v>
      </c>
      <c r="J348" s="21"/>
      <c r="K348" s="22"/>
    </row>
    <row r="349" ht="22.5" customHeight="1">
      <c r="A349" s="28">
        <v>45978.0</v>
      </c>
      <c r="B349" s="15" t="s">
        <v>476</v>
      </c>
      <c r="C349" s="13" t="s">
        <v>9</v>
      </c>
      <c r="D349" s="13">
        <v>80.0</v>
      </c>
      <c r="E349" s="15">
        <v>160.0</v>
      </c>
      <c r="F349" s="13" t="s">
        <v>27</v>
      </c>
      <c r="G349" s="15" t="s">
        <v>470</v>
      </c>
      <c r="H349" s="15">
        <v>3000.0</v>
      </c>
      <c r="I349" s="21">
        <f t="shared" si="1"/>
        <v>480</v>
      </c>
      <c r="J349" s="21"/>
      <c r="K349" s="22"/>
    </row>
    <row r="350" ht="22.5" customHeight="1">
      <c r="A350" s="28">
        <v>45979.0</v>
      </c>
      <c r="B350" s="15" t="s">
        <v>478</v>
      </c>
      <c r="C350" s="13" t="s">
        <v>9</v>
      </c>
      <c r="D350" s="13">
        <v>80.0</v>
      </c>
      <c r="E350" s="15">
        <v>140.0</v>
      </c>
      <c r="F350" s="13" t="s">
        <v>27</v>
      </c>
      <c r="G350" s="15" t="s">
        <v>99</v>
      </c>
      <c r="H350" s="15">
        <v>3550.0</v>
      </c>
      <c r="I350" s="21">
        <f t="shared" si="1"/>
        <v>497</v>
      </c>
      <c r="J350" s="21"/>
      <c r="K350" s="22"/>
    </row>
    <row r="351" ht="22.5" customHeight="1">
      <c r="A351" s="28">
        <v>45979.0</v>
      </c>
      <c r="B351" s="15" t="s">
        <v>480</v>
      </c>
      <c r="C351" s="13" t="s">
        <v>9</v>
      </c>
      <c r="D351" s="13">
        <v>80.0</v>
      </c>
      <c r="E351" s="15">
        <v>140.0</v>
      </c>
      <c r="F351" s="13" t="s">
        <v>27</v>
      </c>
      <c r="G351" s="15" t="s">
        <v>99</v>
      </c>
      <c r="H351" s="15">
        <v>1690.0</v>
      </c>
      <c r="I351" s="21">
        <f t="shared" si="1"/>
        <v>236.6</v>
      </c>
      <c r="J351" s="21"/>
      <c r="K351" s="22"/>
    </row>
    <row r="352" ht="22.5" customHeight="1">
      <c r="A352" s="28">
        <v>45979.0</v>
      </c>
      <c r="B352" s="15" t="s">
        <v>482</v>
      </c>
      <c r="C352" s="13" t="s">
        <v>9</v>
      </c>
      <c r="D352" s="13">
        <v>80.0</v>
      </c>
      <c r="E352" s="15">
        <v>160.0</v>
      </c>
      <c r="F352" s="13" t="s">
        <v>27</v>
      </c>
      <c r="G352" s="15" t="s">
        <v>99</v>
      </c>
      <c r="H352" s="15">
        <v>5100.0</v>
      </c>
      <c r="I352" s="21">
        <f t="shared" si="1"/>
        <v>816</v>
      </c>
      <c r="J352" s="21"/>
      <c r="K352" s="22"/>
    </row>
    <row r="353" ht="22.5" customHeight="1">
      <c r="A353" s="28">
        <v>45979.0</v>
      </c>
      <c r="B353" s="15" t="s">
        <v>483</v>
      </c>
      <c r="C353" s="13" t="s">
        <v>9</v>
      </c>
      <c r="D353" s="13">
        <v>80.0</v>
      </c>
      <c r="E353" s="15">
        <v>140.0</v>
      </c>
      <c r="F353" s="13" t="s">
        <v>27</v>
      </c>
      <c r="G353" s="15" t="s">
        <v>99</v>
      </c>
      <c r="H353" s="15">
        <v>2650.0</v>
      </c>
      <c r="I353" s="21">
        <f t="shared" si="1"/>
        <v>371</v>
      </c>
      <c r="J353" s="21"/>
      <c r="K353" s="22"/>
    </row>
    <row r="354" ht="22.5" customHeight="1">
      <c r="A354" s="28">
        <v>45979.0</v>
      </c>
      <c r="B354" s="15" t="s">
        <v>483</v>
      </c>
      <c r="C354" s="13" t="s">
        <v>9</v>
      </c>
      <c r="D354" s="13">
        <v>80.0</v>
      </c>
      <c r="E354" s="15">
        <v>160.0</v>
      </c>
      <c r="F354" s="13" t="s">
        <v>27</v>
      </c>
      <c r="G354" s="15" t="s">
        <v>99</v>
      </c>
      <c r="H354" s="15">
        <v>1500.0</v>
      </c>
      <c r="I354" s="21">
        <f t="shared" si="1"/>
        <v>240</v>
      </c>
      <c r="J354" s="21"/>
      <c r="K354" s="22"/>
    </row>
    <row r="355" ht="22.5" customHeight="1">
      <c r="A355" s="28">
        <v>45980.0</v>
      </c>
      <c r="B355" s="15" t="s">
        <v>484</v>
      </c>
      <c r="C355" s="13" t="s">
        <v>36</v>
      </c>
      <c r="D355" s="13">
        <v>70.0</v>
      </c>
      <c r="E355" s="15">
        <v>190.0</v>
      </c>
      <c r="F355" s="13" t="s">
        <v>37</v>
      </c>
      <c r="G355" s="15" t="s">
        <v>486</v>
      </c>
      <c r="H355" s="15">
        <v>3000.0</v>
      </c>
      <c r="I355" s="21">
        <f t="shared" si="1"/>
        <v>570</v>
      </c>
      <c r="J355" s="21"/>
      <c r="K355" s="22"/>
    </row>
    <row r="356" ht="22.5" customHeight="1">
      <c r="A356" s="28">
        <v>45980.0</v>
      </c>
      <c r="B356" s="15" t="s">
        <v>487</v>
      </c>
      <c r="C356" s="13" t="s">
        <v>36</v>
      </c>
      <c r="D356" s="13">
        <v>70.0</v>
      </c>
      <c r="E356" s="15">
        <v>190.0</v>
      </c>
      <c r="F356" s="13" t="s">
        <v>37</v>
      </c>
      <c r="G356" s="15" t="s">
        <v>486</v>
      </c>
      <c r="H356" s="15">
        <v>3180.0</v>
      </c>
      <c r="I356" s="21">
        <f t="shared" si="1"/>
        <v>604.2</v>
      </c>
      <c r="J356" s="21"/>
      <c r="K356" s="22"/>
    </row>
    <row r="357" ht="22.5" customHeight="1">
      <c r="A357" s="28">
        <v>45980.0</v>
      </c>
      <c r="B357" s="15" t="s">
        <v>489</v>
      </c>
      <c r="C357" s="13" t="s">
        <v>9</v>
      </c>
      <c r="D357" s="13">
        <v>80.0</v>
      </c>
      <c r="E357" s="15">
        <v>230.0</v>
      </c>
      <c r="F357" s="13" t="s">
        <v>27</v>
      </c>
      <c r="G357" s="15" t="s">
        <v>99</v>
      </c>
      <c r="H357" s="15">
        <v>1500.0</v>
      </c>
      <c r="I357" s="21">
        <f t="shared" si="1"/>
        <v>345</v>
      </c>
      <c r="J357" s="21"/>
      <c r="K357" s="22"/>
    </row>
    <row r="358" ht="22.5" customHeight="1">
      <c r="A358" s="28">
        <v>45980.0</v>
      </c>
      <c r="B358" s="15" t="s">
        <v>490</v>
      </c>
      <c r="C358" s="13" t="s">
        <v>9</v>
      </c>
      <c r="D358" s="13">
        <v>80.0</v>
      </c>
      <c r="E358" s="15">
        <v>160.0</v>
      </c>
      <c r="F358" s="13" t="s">
        <v>27</v>
      </c>
      <c r="G358" s="15" t="s">
        <v>491</v>
      </c>
      <c r="H358" s="15">
        <v>2100.0</v>
      </c>
      <c r="I358" s="21">
        <f t="shared" si="1"/>
        <v>336</v>
      </c>
      <c r="J358" s="21"/>
      <c r="K358" s="22"/>
    </row>
    <row r="359" ht="22.5" customHeight="1">
      <c r="A359" s="28">
        <v>45980.0</v>
      </c>
      <c r="B359" s="15" t="s">
        <v>490</v>
      </c>
      <c r="C359" s="13" t="s">
        <v>9</v>
      </c>
      <c r="D359" s="13">
        <v>80.0</v>
      </c>
      <c r="E359" s="15">
        <v>126.0</v>
      </c>
      <c r="F359" s="13" t="s">
        <v>27</v>
      </c>
      <c r="G359" s="15" t="s">
        <v>491</v>
      </c>
      <c r="H359" s="15">
        <v>2500.0</v>
      </c>
      <c r="I359" s="21">
        <f t="shared" si="1"/>
        <v>315</v>
      </c>
      <c r="J359" s="21"/>
      <c r="K359" s="22"/>
    </row>
    <row r="360" ht="22.5" customHeight="1">
      <c r="A360" s="28">
        <v>45980.0</v>
      </c>
      <c r="B360" s="15" t="s">
        <v>492</v>
      </c>
      <c r="C360" s="13" t="s">
        <v>9</v>
      </c>
      <c r="D360" s="13">
        <v>80.0</v>
      </c>
      <c r="E360" s="15">
        <v>280.0</v>
      </c>
      <c r="F360" s="13" t="s">
        <v>21</v>
      </c>
      <c r="G360" s="15" t="s">
        <v>89</v>
      </c>
      <c r="H360" s="15">
        <v>1000.0</v>
      </c>
      <c r="I360" s="21">
        <f t="shared" si="1"/>
        <v>280</v>
      </c>
      <c r="J360" s="21"/>
      <c r="K360" s="22"/>
    </row>
    <row r="361" ht="22.5" customHeight="1">
      <c r="A361" s="28">
        <v>45980.0</v>
      </c>
      <c r="B361" s="15" t="s">
        <v>492</v>
      </c>
      <c r="C361" s="13" t="s">
        <v>9</v>
      </c>
      <c r="D361" s="13">
        <v>80.0</v>
      </c>
      <c r="E361" s="15">
        <v>290.0</v>
      </c>
      <c r="F361" s="13" t="s">
        <v>21</v>
      </c>
      <c r="G361" s="15" t="s">
        <v>89</v>
      </c>
      <c r="H361" s="15">
        <v>730.0</v>
      </c>
      <c r="I361" s="21">
        <f t="shared" si="1"/>
        <v>211.7</v>
      </c>
      <c r="J361" s="21"/>
      <c r="K361" s="22"/>
    </row>
    <row r="362" ht="22.5" customHeight="1">
      <c r="A362" s="28">
        <v>45980.0</v>
      </c>
      <c r="B362" s="15" t="s">
        <v>493</v>
      </c>
      <c r="C362" s="13" t="s">
        <v>9</v>
      </c>
      <c r="D362" s="13">
        <v>80.0</v>
      </c>
      <c r="E362" s="15">
        <v>280.0</v>
      </c>
      <c r="F362" s="13" t="s">
        <v>21</v>
      </c>
      <c r="G362" s="15" t="s">
        <v>89</v>
      </c>
      <c r="H362" s="15">
        <v>2750.0</v>
      </c>
      <c r="I362" s="21">
        <f t="shared" si="1"/>
        <v>770</v>
      </c>
      <c r="J362" s="21"/>
      <c r="K362" s="22"/>
    </row>
    <row r="363" ht="22.5" customHeight="1">
      <c r="A363" s="28">
        <v>45980.0</v>
      </c>
      <c r="B363" s="15" t="s">
        <v>494</v>
      </c>
      <c r="C363" s="13" t="s">
        <v>9</v>
      </c>
      <c r="D363" s="13">
        <v>80.0</v>
      </c>
      <c r="E363" s="15">
        <v>210.0</v>
      </c>
      <c r="F363" s="13" t="s">
        <v>21</v>
      </c>
      <c r="G363" s="15" t="s">
        <v>89</v>
      </c>
      <c r="H363" s="15">
        <v>1500.0</v>
      </c>
      <c r="I363" s="21">
        <f t="shared" si="1"/>
        <v>315</v>
      </c>
      <c r="J363" s="21"/>
      <c r="K363" s="22"/>
    </row>
    <row r="364" ht="22.5" customHeight="1">
      <c r="A364" s="28">
        <v>45981.0</v>
      </c>
      <c r="B364" s="15" t="s">
        <v>495</v>
      </c>
      <c r="C364" s="13" t="s">
        <v>9</v>
      </c>
      <c r="D364" s="13">
        <v>80.0</v>
      </c>
      <c r="E364" s="15">
        <v>185.0</v>
      </c>
      <c r="F364" s="13" t="s">
        <v>27</v>
      </c>
      <c r="G364" s="15" t="s">
        <v>139</v>
      </c>
      <c r="H364" s="15">
        <v>260.0</v>
      </c>
      <c r="I364" s="21">
        <f t="shared" si="1"/>
        <v>48.1</v>
      </c>
      <c r="J364" s="21"/>
      <c r="K364" s="22"/>
    </row>
    <row r="365" ht="22.5" customHeight="1">
      <c r="A365" s="28">
        <v>45982.0</v>
      </c>
      <c r="B365" s="15" t="s">
        <v>496</v>
      </c>
      <c r="C365" s="13" t="s">
        <v>9</v>
      </c>
      <c r="D365" s="13">
        <v>80.0</v>
      </c>
      <c r="E365" s="15">
        <v>250.0</v>
      </c>
      <c r="F365" s="13" t="s">
        <v>21</v>
      </c>
      <c r="G365" s="15" t="s">
        <v>89</v>
      </c>
      <c r="H365" s="15">
        <v>950.0</v>
      </c>
      <c r="I365" s="21">
        <f t="shared" si="1"/>
        <v>237.5</v>
      </c>
      <c r="J365" s="15" t="s">
        <v>677</v>
      </c>
      <c r="K365" s="22"/>
    </row>
    <row r="366" ht="22.5" customHeight="1">
      <c r="A366" s="28">
        <v>45982.0</v>
      </c>
      <c r="B366" s="15" t="s">
        <v>497</v>
      </c>
      <c r="C366" s="13" t="s">
        <v>9</v>
      </c>
      <c r="D366" s="13">
        <v>80.0</v>
      </c>
      <c r="E366" s="15">
        <v>290.0</v>
      </c>
      <c r="F366" s="13" t="s">
        <v>21</v>
      </c>
      <c r="G366" s="15" t="s">
        <v>498</v>
      </c>
      <c r="H366" s="15">
        <v>1000.0</v>
      </c>
      <c r="I366" s="21">
        <f t="shared" si="1"/>
        <v>290</v>
      </c>
      <c r="J366" s="21"/>
      <c r="K366" s="22"/>
    </row>
    <row r="367" ht="22.5" customHeight="1">
      <c r="A367" s="28">
        <v>45983.0</v>
      </c>
      <c r="B367" s="15" t="s">
        <v>499</v>
      </c>
      <c r="C367" s="13" t="s">
        <v>9</v>
      </c>
      <c r="D367" s="13">
        <v>80.0</v>
      </c>
      <c r="E367" s="15">
        <v>330.0</v>
      </c>
      <c r="F367" s="13" t="s">
        <v>21</v>
      </c>
      <c r="G367" s="15" t="s">
        <v>498</v>
      </c>
      <c r="H367" s="15">
        <v>1470.0</v>
      </c>
      <c r="I367" s="21">
        <f t="shared" si="1"/>
        <v>485.1</v>
      </c>
      <c r="J367" s="21"/>
      <c r="K367" s="22"/>
    </row>
    <row r="368" ht="22.5" customHeight="1">
      <c r="A368" s="28">
        <v>45983.0</v>
      </c>
      <c r="B368" s="15" t="s">
        <v>500</v>
      </c>
      <c r="C368" s="13" t="s">
        <v>9</v>
      </c>
      <c r="D368" s="13">
        <v>80.0</v>
      </c>
      <c r="E368" s="15">
        <v>330.0</v>
      </c>
      <c r="F368" s="13" t="s">
        <v>21</v>
      </c>
      <c r="G368" s="15" t="s">
        <v>498</v>
      </c>
      <c r="H368" s="15">
        <v>1600.0</v>
      </c>
      <c r="I368" s="21">
        <f t="shared" si="1"/>
        <v>528</v>
      </c>
      <c r="J368" s="21"/>
      <c r="K368" s="22"/>
    </row>
    <row r="369" ht="22.5" customHeight="1">
      <c r="A369" s="28">
        <v>45985.0</v>
      </c>
      <c r="B369" s="15" t="s">
        <v>501</v>
      </c>
      <c r="C369" s="13" t="s">
        <v>9</v>
      </c>
      <c r="D369" s="13">
        <v>80.0</v>
      </c>
      <c r="E369" s="15">
        <v>160.0</v>
      </c>
      <c r="F369" s="13" t="s">
        <v>27</v>
      </c>
      <c r="G369" s="15" t="s">
        <v>99</v>
      </c>
      <c r="H369" s="15">
        <v>3160.0</v>
      </c>
      <c r="I369" s="21">
        <f t="shared" si="1"/>
        <v>505.6</v>
      </c>
      <c r="J369" s="21"/>
      <c r="K369" s="22"/>
    </row>
    <row r="370" ht="22.5" customHeight="1">
      <c r="A370" s="28">
        <v>45985.0</v>
      </c>
      <c r="B370" s="15" t="s">
        <v>502</v>
      </c>
      <c r="C370" s="13" t="s">
        <v>9</v>
      </c>
      <c r="D370" s="13">
        <v>80.0</v>
      </c>
      <c r="E370" s="15">
        <v>140.0</v>
      </c>
      <c r="F370" s="13" t="s">
        <v>27</v>
      </c>
      <c r="G370" s="15" t="s">
        <v>99</v>
      </c>
      <c r="H370" s="15">
        <v>1690.0</v>
      </c>
      <c r="I370" s="21">
        <f t="shared" si="1"/>
        <v>236.6</v>
      </c>
      <c r="J370" s="21"/>
      <c r="K370" s="22"/>
    </row>
    <row r="371" ht="22.5" customHeight="1">
      <c r="A371" s="28">
        <v>45985.0</v>
      </c>
      <c r="B371" s="15" t="s">
        <v>503</v>
      </c>
      <c r="C371" s="13" t="s">
        <v>9</v>
      </c>
      <c r="D371" s="13">
        <v>80.0</v>
      </c>
      <c r="E371" s="15">
        <v>160.0</v>
      </c>
      <c r="F371" s="13" t="s">
        <v>27</v>
      </c>
      <c r="G371" s="15" t="s">
        <v>99</v>
      </c>
      <c r="H371" s="15">
        <v>3400.0</v>
      </c>
      <c r="I371" s="21">
        <f t="shared" si="1"/>
        <v>544</v>
      </c>
      <c r="J371" s="21"/>
      <c r="K371" s="22"/>
    </row>
    <row r="372" ht="22.5" customHeight="1">
      <c r="A372" s="28">
        <v>45985.0</v>
      </c>
      <c r="B372" s="15" t="s">
        <v>504</v>
      </c>
      <c r="C372" s="13" t="s">
        <v>9</v>
      </c>
      <c r="D372" s="13">
        <v>80.0</v>
      </c>
      <c r="E372" s="15">
        <v>140.0</v>
      </c>
      <c r="F372" s="13" t="s">
        <v>27</v>
      </c>
      <c r="G372" s="15" t="s">
        <v>99</v>
      </c>
      <c r="H372" s="15">
        <v>2090.0</v>
      </c>
      <c r="I372" s="21">
        <f t="shared" si="1"/>
        <v>292.6</v>
      </c>
      <c r="J372" s="21"/>
      <c r="K372" s="22"/>
    </row>
    <row r="373" ht="22.5" customHeight="1">
      <c r="A373" s="28">
        <v>45985.0</v>
      </c>
      <c r="B373" s="15" t="s">
        <v>505</v>
      </c>
      <c r="C373" s="13" t="s">
        <v>9</v>
      </c>
      <c r="D373" s="13">
        <v>80.0</v>
      </c>
      <c r="E373" s="15">
        <v>230.0</v>
      </c>
      <c r="F373" s="13" t="s">
        <v>27</v>
      </c>
      <c r="G373" s="15" t="s">
        <v>99</v>
      </c>
      <c r="H373" s="15">
        <v>1900.0</v>
      </c>
      <c r="I373" s="21">
        <f t="shared" si="1"/>
        <v>437</v>
      </c>
      <c r="J373" s="21"/>
      <c r="K373" s="22"/>
    </row>
    <row r="374" ht="22.5" customHeight="1">
      <c r="A374" s="28">
        <v>45986.0</v>
      </c>
      <c r="B374" s="15" t="s">
        <v>506</v>
      </c>
      <c r="C374" s="13" t="s">
        <v>9</v>
      </c>
      <c r="D374" s="13">
        <v>80.0</v>
      </c>
      <c r="E374" s="15">
        <v>140.0</v>
      </c>
      <c r="F374" s="13" t="s">
        <v>27</v>
      </c>
      <c r="G374" s="15" t="s">
        <v>99</v>
      </c>
      <c r="H374" s="15">
        <v>460.0</v>
      </c>
      <c r="I374" s="21">
        <f t="shared" si="1"/>
        <v>64.4</v>
      </c>
      <c r="J374" s="21"/>
      <c r="K374" s="22"/>
    </row>
    <row r="375" ht="22.5" customHeight="1">
      <c r="A375" s="28">
        <v>45986.0</v>
      </c>
      <c r="B375" s="15" t="s">
        <v>508</v>
      </c>
      <c r="C375" s="13" t="s">
        <v>9</v>
      </c>
      <c r="D375" s="13">
        <v>80.0</v>
      </c>
      <c r="E375" s="15">
        <v>140.0</v>
      </c>
      <c r="F375" s="13" t="s">
        <v>27</v>
      </c>
      <c r="G375" s="15" t="s">
        <v>99</v>
      </c>
      <c r="H375" s="15">
        <v>1950.0</v>
      </c>
      <c r="I375" s="21">
        <f t="shared" si="1"/>
        <v>273</v>
      </c>
      <c r="J375" s="21"/>
      <c r="K375" s="22"/>
    </row>
    <row r="376" ht="22.5" customHeight="1">
      <c r="A376" s="28">
        <v>45986.0</v>
      </c>
      <c r="B376" s="15" t="s">
        <v>510</v>
      </c>
      <c r="C376" s="13" t="s">
        <v>9</v>
      </c>
      <c r="D376" s="13">
        <v>80.0</v>
      </c>
      <c r="E376" s="15">
        <v>140.0</v>
      </c>
      <c r="F376" s="13" t="s">
        <v>27</v>
      </c>
      <c r="G376" s="15" t="s">
        <v>99</v>
      </c>
      <c r="H376" s="15">
        <v>1050.0</v>
      </c>
      <c r="I376" s="21">
        <f t="shared" si="1"/>
        <v>147</v>
      </c>
      <c r="J376" s="21"/>
      <c r="K376" s="22"/>
    </row>
    <row r="377" ht="22.5" customHeight="1">
      <c r="A377" s="28">
        <v>45987.0</v>
      </c>
      <c r="B377" s="15" t="s">
        <v>511</v>
      </c>
      <c r="C377" s="13" t="s">
        <v>9</v>
      </c>
      <c r="D377" s="13">
        <v>80.0</v>
      </c>
      <c r="E377" s="15">
        <v>290.0</v>
      </c>
      <c r="F377" s="13" t="s">
        <v>21</v>
      </c>
      <c r="G377" s="15" t="s">
        <v>89</v>
      </c>
      <c r="H377" s="15">
        <v>21000.0</v>
      </c>
      <c r="I377" s="21">
        <f t="shared" si="1"/>
        <v>6090</v>
      </c>
      <c r="J377" s="21"/>
      <c r="K377" s="22"/>
    </row>
    <row r="378" ht="22.5" customHeight="1">
      <c r="A378" s="28">
        <v>45987.0</v>
      </c>
      <c r="B378" s="15" t="s">
        <v>512</v>
      </c>
      <c r="C378" s="13" t="s">
        <v>9</v>
      </c>
      <c r="D378" s="13">
        <v>80.0</v>
      </c>
      <c r="E378" s="15">
        <v>180.0</v>
      </c>
      <c r="F378" s="13" t="s">
        <v>21</v>
      </c>
      <c r="G378" s="15" t="s">
        <v>89</v>
      </c>
      <c r="H378" s="15">
        <v>2000.0</v>
      </c>
      <c r="I378" s="21">
        <f t="shared" si="1"/>
        <v>360</v>
      </c>
      <c r="J378" s="21"/>
      <c r="K378" s="22"/>
    </row>
    <row r="379" ht="22.5" customHeight="1">
      <c r="A379" s="28">
        <v>45987.0</v>
      </c>
      <c r="B379" s="15" t="s">
        <v>514</v>
      </c>
      <c r="C379" s="13" t="s">
        <v>9</v>
      </c>
      <c r="D379" s="13">
        <v>80.0</v>
      </c>
      <c r="E379" s="15">
        <v>210.0</v>
      </c>
      <c r="F379" s="13" t="s">
        <v>21</v>
      </c>
      <c r="G379" s="15" t="s">
        <v>89</v>
      </c>
      <c r="H379" s="15">
        <v>1270.0</v>
      </c>
      <c r="I379" s="21">
        <f t="shared" si="1"/>
        <v>266.7</v>
      </c>
      <c r="J379" s="21"/>
      <c r="K379" s="22"/>
    </row>
    <row r="380" ht="22.5" customHeight="1">
      <c r="A380" s="28">
        <v>45987.0</v>
      </c>
      <c r="B380" s="15" t="s">
        <v>515</v>
      </c>
      <c r="C380" s="13" t="s">
        <v>9</v>
      </c>
      <c r="D380" s="13">
        <v>80.0</v>
      </c>
      <c r="E380" s="15">
        <v>290.0</v>
      </c>
      <c r="F380" s="13" t="s">
        <v>21</v>
      </c>
      <c r="G380" s="15" t="s">
        <v>89</v>
      </c>
      <c r="H380" s="15">
        <v>2400.0</v>
      </c>
      <c r="I380" s="21">
        <f t="shared" si="1"/>
        <v>696</v>
      </c>
      <c r="J380" s="21"/>
      <c r="K380" s="22"/>
    </row>
    <row r="381" ht="22.5" customHeight="1">
      <c r="A381" s="28">
        <v>45987.0</v>
      </c>
      <c r="B381" s="15" t="s">
        <v>517</v>
      </c>
      <c r="C381" s="13" t="s">
        <v>9</v>
      </c>
      <c r="D381" s="13">
        <v>80.0</v>
      </c>
      <c r="E381" s="15">
        <v>330.0</v>
      </c>
      <c r="F381" s="13" t="s">
        <v>21</v>
      </c>
      <c r="G381" s="15" t="s">
        <v>89</v>
      </c>
      <c r="H381" s="15">
        <v>200.0</v>
      </c>
      <c r="I381" s="21">
        <f t="shared" si="1"/>
        <v>66</v>
      </c>
      <c r="J381" s="21"/>
      <c r="K381" s="22"/>
    </row>
    <row r="382" ht="22.5" customHeight="1">
      <c r="A382" s="28">
        <v>45987.0</v>
      </c>
      <c r="B382" s="15" t="s">
        <v>517</v>
      </c>
      <c r="C382" s="13" t="s">
        <v>9</v>
      </c>
      <c r="D382" s="13">
        <v>80.0</v>
      </c>
      <c r="E382" s="15">
        <v>320.0</v>
      </c>
      <c r="F382" s="13" t="s">
        <v>21</v>
      </c>
      <c r="G382" s="15" t="s">
        <v>89</v>
      </c>
      <c r="H382" s="15">
        <v>350.0</v>
      </c>
      <c r="I382" s="21">
        <f t="shared" si="1"/>
        <v>112</v>
      </c>
      <c r="J382" s="21"/>
      <c r="K382" s="22"/>
    </row>
    <row r="383" ht="22.5" customHeight="1">
      <c r="A383" s="28">
        <v>45987.0</v>
      </c>
      <c r="B383" s="15" t="s">
        <v>518</v>
      </c>
      <c r="C383" s="13" t="s">
        <v>9</v>
      </c>
      <c r="D383" s="13">
        <v>80.0</v>
      </c>
      <c r="E383" s="15">
        <v>290.0</v>
      </c>
      <c r="F383" s="13" t="s">
        <v>21</v>
      </c>
      <c r="G383" s="15" t="s">
        <v>89</v>
      </c>
      <c r="H383" s="15">
        <v>2300.0</v>
      </c>
      <c r="I383" s="21">
        <f t="shared" si="1"/>
        <v>667</v>
      </c>
      <c r="J383" s="21"/>
      <c r="K383" s="22"/>
    </row>
    <row r="384" ht="22.5" customHeight="1">
      <c r="A384" s="28">
        <v>45987.0</v>
      </c>
      <c r="B384" s="15" t="s">
        <v>519</v>
      </c>
      <c r="C384" s="13" t="s">
        <v>9</v>
      </c>
      <c r="D384" s="13">
        <v>80.0</v>
      </c>
      <c r="E384" s="15">
        <v>125.0</v>
      </c>
      <c r="F384" s="13" t="s">
        <v>21</v>
      </c>
      <c r="G384" s="15" t="s">
        <v>89</v>
      </c>
      <c r="H384" s="15">
        <v>4050.0</v>
      </c>
      <c r="I384" s="21">
        <f t="shared" si="1"/>
        <v>506.25</v>
      </c>
      <c r="J384" s="21"/>
      <c r="K384" s="22"/>
    </row>
    <row r="385" ht="22.5" customHeight="1">
      <c r="A385" s="28">
        <v>45988.0</v>
      </c>
      <c r="B385" s="15" t="s">
        <v>520</v>
      </c>
      <c r="C385" s="13" t="s">
        <v>26</v>
      </c>
      <c r="D385" s="13">
        <v>80.0</v>
      </c>
      <c r="E385" s="15">
        <v>160.0</v>
      </c>
      <c r="F385" s="13" t="s">
        <v>23</v>
      </c>
      <c r="G385" s="15" t="s">
        <v>99</v>
      </c>
      <c r="H385" s="15">
        <v>1970.0</v>
      </c>
      <c r="I385" s="21">
        <f t="shared" si="1"/>
        <v>315.2</v>
      </c>
      <c r="J385" s="21"/>
      <c r="K385" s="22"/>
    </row>
    <row r="386" ht="22.5" customHeight="1">
      <c r="A386" s="28">
        <v>45988.0</v>
      </c>
      <c r="B386" s="15" t="s">
        <v>521</v>
      </c>
      <c r="C386" s="13" t="s">
        <v>9</v>
      </c>
      <c r="D386" s="13">
        <v>80.0</v>
      </c>
      <c r="E386" s="15">
        <v>330.0</v>
      </c>
      <c r="F386" s="13" t="s">
        <v>21</v>
      </c>
      <c r="G386" s="15" t="s">
        <v>522</v>
      </c>
      <c r="H386" s="15">
        <v>600.0</v>
      </c>
      <c r="I386" s="21">
        <f t="shared" si="1"/>
        <v>198</v>
      </c>
      <c r="J386" s="21"/>
      <c r="K386" s="22"/>
    </row>
    <row r="387" ht="22.5" customHeight="1">
      <c r="A387" s="28">
        <v>45988.0</v>
      </c>
      <c r="B387" s="15" t="s">
        <v>523</v>
      </c>
      <c r="C387" s="13" t="s">
        <v>9</v>
      </c>
      <c r="D387" s="13">
        <v>80.0</v>
      </c>
      <c r="E387" s="15">
        <v>230.0</v>
      </c>
      <c r="F387" s="13" t="s">
        <v>27</v>
      </c>
      <c r="G387" s="15" t="s">
        <v>99</v>
      </c>
      <c r="H387" s="15">
        <v>1200.0</v>
      </c>
      <c r="I387" s="21">
        <f t="shared" si="1"/>
        <v>276</v>
      </c>
      <c r="J387" s="21"/>
      <c r="K387" s="22"/>
    </row>
    <row r="388" ht="22.5" customHeight="1">
      <c r="A388" s="28">
        <v>45988.0</v>
      </c>
      <c r="B388" s="15" t="s">
        <v>525</v>
      </c>
      <c r="C388" s="13" t="s">
        <v>9</v>
      </c>
      <c r="D388" s="13">
        <v>80.0</v>
      </c>
      <c r="E388" s="15">
        <v>140.0</v>
      </c>
      <c r="F388" s="13" t="s">
        <v>27</v>
      </c>
      <c r="G388" s="15" t="s">
        <v>99</v>
      </c>
      <c r="H388" s="15">
        <v>1690.0</v>
      </c>
      <c r="I388" s="21">
        <f t="shared" si="1"/>
        <v>236.6</v>
      </c>
      <c r="J388" s="21"/>
      <c r="K388" s="22"/>
    </row>
    <row r="389" ht="22.5" customHeight="1">
      <c r="A389" s="28">
        <v>45989.0</v>
      </c>
      <c r="B389" s="15" t="s">
        <v>526</v>
      </c>
      <c r="C389" s="13" t="s">
        <v>43</v>
      </c>
      <c r="D389" s="13">
        <v>50.0</v>
      </c>
      <c r="E389" s="15">
        <v>110.0</v>
      </c>
      <c r="F389" s="13" t="s">
        <v>23</v>
      </c>
      <c r="G389" s="15" t="s">
        <v>527</v>
      </c>
      <c r="H389" s="15">
        <v>8160.0</v>
      </c>
      <c r="I389" s="21">
        <f t="shared" si="1"/>
        <v>897.6</v>
      </c>
      <c r="J389" s="21"/>
      <c r="K389" s="22"/>
    </row>
    <row r="390" ht="22.5" customHeight="1">
      <c r="A390" s="28">
        <v>45989.0</v>
      </c>
      <c r="B390" s="15" t="s">
        <v>528</v>
      </c>
      <c r="C390" s="13" t="s">
        <v>9</v>
      </c>
      <c r="D390" s="13">
        <v>80.0</v>
      </c>
      <c r="E390" s="15">
        <v>290.0</v>
      </c>
      <c r="F390" s="13" t="s">
        <v>21</v>
      </c>
      <c r="G390" s="15" t="s">
        <v>89</v>
      </c>
      <c r="H390" s="15">
        <v>3100.0</v>
      </c>
      <c r="I390" s="21">
        <f t="shared" si="1"/>
        <v>899</v>
      </c>
      <c r="J390" s="21"/>
      <c r="K390" s="22"/>
    </row>
    <row r="391" ht="22.5" customHeight="1">
      <c r="A391" s="28">
        <v>45989.0</v>
      </c>
      <c r="B391" s="15" t="s">
        <v>531</v>
      </c>
      <c r="C391" s="13" t="s">
        <v>9</v>
      </c>
      <c r="D391" s="13">
        <v>80.0</v>
      </c>
      <c r="E391" s="15">
        <v>125.0</v>
      </c>
      <c r="F391" s="13" t="s">
        <v>21</v>
      </c>
      <c r="G391" s="15" t="s">
        <v>89</v>
      </c>
      <c r="H391" s="15">
        <v>1300.0</v>
      </c>
      <c r="I391" s="21">
        <f t="shared" si="1"/>
        <v>162.5</v>
      </c>
      <c r="J391" s="21"/>
      <c r="K391" s="22"/>
    </row>
    <row r="392" ht="22.5" customHeight="1">
      <c r="A392" s="28">
        <v>45989.0</v>
      </c>
      <c r="B392" s="15" t="s">
        <v>532</v>
      </c>
      <c r="C392" s="13" t="s">
        <v>9</v>
      </c>
      <c r="D392" s="13">
        <v>80.0</v>
      </c>
      <c r="E392" s="15">
        <v>125.0</v>
      </c>
      <c r="F392" s="13" t="s">
        <v>21</v>
      </c>
      <c r="G392" s="15" t="s">
        <v>89</v>
      </c>
      <c r="H392" s="15">
        <v>2550.0</v>
      </c>
      <c r="I392" s="21">
        <f t="shared" si="1"/>
        <v>318.75</v>
      </c>
      <c r="J392" s="21"/>
      <c r="K392" s="22"/>
    </row>
    <row r="393" ht="22.5" customHeight="1">
      <c r="A393" s="28">
        <v>45989.0</v>
      </c>
      <c r="B393" s="15" t="s">
        <v>533</v>
      </c>
      <c r="C393" s="13" t="s">
        <v>9</v>
      </c>
      <c r="D393" s="13">
        <v>80.0</v>
      </c>
      <c r="E393" s="15">
        <v>125.0</v>
      </c>
      <c r="F393" s="13" t="s">
        <v>21</v>
      </c>
      <c r="G393" s="15" t="s">
        <v>89</v>
      </c>
      <c r="H393" s="15">
        <v>1300.0</v>
      </c>
      <c r="I393" s="21">
        <f t="shared" si="1"/>
        <v>162.5</v>
      </c>
      <c r="J393" s="21"/>
      <c r="K393" s="22"/>
    </row>
    <row r="394" ht="22.5" customHeight="1">
      <c r="A394" s="28">
        <v>45990.0</v>
      </c>
      <c r="B394" s="15" t="s">
        <v>534</v>
      </c>
      <c r="C394" s="13" t="s">
        <v>9</v>
      </c>
      <c r="D394" s="13">
        <v>80.0</v>
      </c>
      <c r="E394" s="15">
        <v>280.0</v>
      </c>
      <c r="F394" s="13" t="s">
        <v>21</v>
      </c>
      <c r="G394" s="15" t="s">
        <v>89</v>
      </c>
      <c r="H394" s="15">
        <v>2000.0</v>
      </c>
      <c r="I394" s="21">
        <f t="shared" si="1"/>
        <v>560</v>
      </c>
      <c r="J394" s="21"/>
      <c r="K394" s="22"/>
    </row>
    <row r="395" ht="22.5" customHeight="1">
      <c r="A395" s="28">
        <v>45990.0</v>
      </c>
      <c r="B395" s="15" t="s">
        <v>535</v>
      </c>
      <c r="C395" s="13" t="s">
        <v>9</v>
      </c>
      <c r="D395" s="13">
        <v>80.0</v>
      </c>
      <c r="E395" s="15">
        <v>290.0</v>
      </c>
      <c r="F395" s="13" t="s">
        <v>21</v>
      </c>
      <c r="G395" s="15" t="s">
        <v>89</v>
      </c>
      <c r="H395" s="15">
        <v>1400.0</v>
      </c>
      <c r="I395" s="21">
        <f t="shared" si="1"/>
        <v>406</v>
      </c>
      <c r="J395" s="21"/>
      <c r="K395" s="22"/>
    </row>
    <row r="396" ht="22.5" customHeight="1">
      <c r="A396" s="28">
        <v>45990.0</v>
      </c>
      <c r="B396" s="15" t="s">
        <v>536</v>
      </c>
      <c r="C396" s="13" t="s">
        <v>9</v>
      </c>
      <c r="D396" s="13">
        <v>80.0</v>
      </c>
      <c r="E396" s="15">
        <v>280.0</v>
      </c>
      <c r="F396" s="13" t="s">
        <v>21</v>
      </c>
      <c r="G396" s="15" t="s">
        <v>89</v>
      </c>
      <c r="H396" s="15">
        <v>6250.0</v>
      </c>
      <c r="I396" s="21">
        <f t="shared" si="1"/>
        <v>1750</v>
      </c>
      <c r="J396" s="21"/>
      <c r="K396" s="22"/>
    </row>
    <row r="397" ht="22.5" customHeight="1">
      <c r="A397" s="28">
        <v>45990.0</v>
      </c>
      <c r="B397" s="15" t="s">
        <v>537</v>
      </c>
      <c r="C397" s="13" t="s">
        <v>9</v>
      </c>
      <c r="D397" s="13">
        <v>80.0</v>
      </c>
      <c r="E397" s="15">
        <v>290.0</v>
      </c>
      <c r="F397" s="13" t="s">
        <v>21</v>
      </c>
      <c r="G397" s="15" t="s">
        <v>89</v>
      </c>
      <c r="H397" s="15">
        <v>2500.0</v>
      </c>
      <c r="I397" s="21">
        <f t="shared" si="1"/>
        <v>725</v>
      </c>
      <c r="J397" s="21"/>
      <c r="K397" s="22"/>
    </row>
    <row r="398" ht="22.5" customHeight="1">
      <c r="A398" s="28">
        <v>45990.0</v>
      </c>
      <c r="B398" s="15" t="s">
        <v>538</v>
      </c>
      <c r="C398" s="13" t="s">
        <v>9</v>
      </c>
      <c r="D398" s="13">
        <v>80.0</v>
      </c>
      <c r="E398" s="15">
        <v>160.0</v>
      </c>
      <c r="F398" s="13" t="s">
        <v>21</v>
      </c>
      <c r="G398" s="15" t="s">
        <v>89</v>
      </c>
      <c r="H398" s="15">
        <v>1350.0</v>
      </c>
      <c r="I398" s="21">
        <f t="shared" si="1"/>
        <v>216</v>
      </c>
      <c r="J398" s="21"/>
      <c r="K398" s="22"/>
    </row>
    <row r="399" ht="22.5" customHeight="1">
      <c r="A399" s="28">
        <v>45990.0</v>
      </c>
      <c r="B399" s="15" t="s">
        <v>539</v>
      </c>
      <c r="C399" s="13" t="s">
        <v>9</v>
      </c>
      <c r="D399" s="13">
        <v>80.0</v>
      </c>
      <c r="E399" s="15">
        <v>160.0</v>
      </c>
      <c r="F399" s="13" t="s">
        <v>21</v>
      </c>
      <c r="G399" s="15" t="s">
        <v>89</v>
      </c>
      <c r="H399" s="15">
        <v>750.0</v>
      </c>
      <c r="I399" s="21">
        <f t="shared" si="1"/>
        <v>120</v>
      </c>
      <c r="J399" s="21"/>
      <c r="K399" s="22"/>
    </row>
    <row r="400" ht="22.5" customHeight="1">
      <c r="A400" s="28">
        <v>45990.0</v>
      </c>
      <c r="B400" s="15" t="s">
        <v>540</v>
      </c>
      <c r="C400" s="13" t="s">
        <v>9</v>
      </c>
      <c r="D400" s="13">
        <v>80.0</v>
      </c>
      <c r="E400" s="15">
        <v>160.0</v>
      </c>
      <c r="F400" s="13" t="s">
        <v>21</v>
      </c>
      <c r="G400" s="15" t="s">
        <v>89</v>
      </c>
      <c r="H400" s="15">
        <v>1000.0</v>
      </c>
      <c r="I400" s="21">
        <f t="shared" si="1"/>
        <v>160</v>
      </c>
      <c r="J400" s="21"/>
      <c r="K400" s="22"/>
    </row>
    <row r="401" ht="22.5" customHeight="1">
      <c r="A401" s="28">
        <v>45990.0</v>
      </c>
      <c r="B401" s="15" t="s">
        <v>541</v>
      </c>
      <c r="C401" s="13" t="s">
        <v>9</v>
      </c>
      <c r="D401" s="13">
        <v>80.0</v>
      </c>
      <c r="E401" s="15">
        <v>290.0</v>
      </c>
      <c r="F401" s="13" t="s">
        <v>21</v>
      </c>
      <c r="G401" s="15" t="s">
        <v>89</v>
      </c>
      <c r="H401" s="15">
        <v>2000.0</v>
      </c>
      <c r="I401" s="21">
        <f t="shared" si="1"/>
        <v>580</v>
      </c>
      <c r="J401" s="21"/>
      <c r="K401" s="22"/>
    </row>
    <row r="402" ht="22.5" customHeight="1">
      <c r="A402" s="28">
        <v>45992.0</v>
      </c>
      <c r="B402" s="15" t="s">
        <v>542</v>
      </c>
      <c r="C402" s="13" t="s">
        <v>9</v>
      </c>
      <c r="D402" s="13">
        <v>80.0</v>
      </c>
      <c r="E402" s="15">
        <v>280.0</v>
      </c>
      <c r="F402" s="13" t="s">
        <v>21</v>
      </c>
      <c r="G402" s="15" t="s">
        <v>89</v>
      </c>
      <c r="H402" s="15">
        <v>500.0</v>
      </c>
      <c r="I402" s="21">
        <f t="shared" si="1"/>
        <v>140</v>
      </c>
      <c r="J402" s="21"/>
      <c r="K402" s="22"/>
    </row>
    <row r="403" ht="22.5" customHeight="1">
      <c r="A403" s="28">
        <v>45992.0</v>
      </c>
      <c r="B403" s="15" t="s">
        <v>542</v>
      </c>
      <c r="C403" s="13" t="s">
        <v>9</v>
      </c>
      <c r="D403" s="13">
        <v>80.0</v>
      </c>
      <c r="E403" s="15">
        <v>290.0</v>
      </c>
      <c r="F403" s="13" t="s">
        <v>21</v>
      </c>
      <c r="G403" s="15" t="s">
        <v>89</v>
      </c>
      <c r="H403" s="15">
        <v>900.0</v>
      </c>
      <c r="I403" s="21">
        <f t="shared" si="1"/>
        <v>261</v>
      </c>
      <c r="J403" s="21"/>
      <c r="K403" s="22"/>
    </row>
    <row r="404" ht="22.5" customHeight="1">
      <c r="A404" s="28">
        <v>45992.0</v>
      </c>
      <c r="B404" s="15" t="s">
        <v>544</v>
      </c>
      <c r="C404" s="13" t="s">
        <v>9</v>
      </c>
      <c r="D404" s="13">
        <v>80.0</v>
      </c>
      <c r="E404" s="15">
        <v>150.0</v>
      </c>
      <c r="F404" s="13" t="s">
        <v>21</v>
      </c>
      <c r="G404" s="15" t="s">
        <v>89</v>
      </c>
      <c r="H404" s="15">
        <v>4000.0</v>
      </c>
      <c r="I404" s="21">
        <f t="shared" si="1"/>
        <v>600</v>
      </c>
      <c r="J404" s="21"/>
      <c r="K404" s="22"/>
    </row>
    <row r="405" ht="22.5" customHeight="1">
      <c r="A405" s="28">
        <v>45992.0</v>
      </c>
      <c r="B405" s="15" t="s">
        <v>545</v>
      </c>
      <c r="C405" s="13" t="s">
        <v>9</v>
      </c>
      <c r="D405" s="13">
        <v>80.0</v>
      </c>
      <c r="E405" s="15">
        <v>170.0</v>
      </c>
      <c r="F405" s="13" t="s">
        <v>21</v>
      </c>
      <c r="G405" s="15" t="s">
        <v>89</v>
      </c>
      <c r="H405" s="15">
        <v>2850.0</v>
      </c>
      <c r="I405" s="21">
        <f t="shared" si="1"/>
        <v>484.5</v>
      </c>
      <c r="J405" s="21"/>
      <c r="K405" s="22"/>
    </row>
    <row r="406" ht="22.5" customHeight="1">
      <c r="A406" s="28">
        <v>45992.0</v>
      </c>
      <c r="B406" s="15" t="s">
        <v>546</v>
      </c>
      <c r="C406" s="13" t="s">
        <v>57</v>
      </c>
      <c r="D406" s="13">
        <v>80.0</v>
      </c>
      <c r="E406" s="15">
        <v>160.0</v>
      </c>
      <c r="F406" s="13" t="s">
        <v>33</v>
      </c>
      <c r="G406" s="15" t="s">
        <v>170</v>
      </c>
      <c r="H406" s="15">
        <v>500.0</v>
      </c>
      <c r="I406" s="21">
        <f t="shared" si="1"/>
        <v>80</v>
      </c>
      <c r="J406" s="21"/>
      <c r="K406" s="22"/>
    </row>
    <row r="407" ht="22.5" customHeight="1">
      <c r="A407" s="28">
        <v>45992.0</v>
      </c>
      <c r="B407" s="15" t="s">
        <v>547</v>
      </c>
      <c r="C407" s="13" t="s">
        <v>57</v>
      </c>
      <c r="D407" s="13">
        <v>80.0</v>
      </c>
      <c r="E407" s="15">
        <v>160.0</v>
      </c>
      <c r="F407" s="13" t="s">
        <v>33</v>
      </c>
      <c r="G407" s="15" t="s">
        <v>170</v>
      </c>
      <c r="H407" s="15">
        <v>2000.0</v>
      </c>
      <c r="I407" s="21">
        <f t="shared" si="1"/>
        <v>320</v>
      </c>
      <c r="J407" s="21"/>
      <c r="K407" s="22"/>
    </row>
    <row r="408" ht="22.5" customHeight="1">
      <c r="A408" s="28">
        <v>45992.0</v>
      </c>
      <c r="B408" s="15" t="s">
        <v>548</v>
      </c>
      <c r="C408" s="13" t="s">
        <v>57</v>
      </c>
      <c r="D408" s="13">
        <v>80.0</v>
      </c>
      <c r="E408" s="15">
        <v>160.0</v>
      </c>
      <c r="F408" s="13" t="s">
        <v>33</v>
      </c>
      <c r="G408" s="15" t="s">
        <v>170</v>
      </c>
      <c r="H408" s="15">
        <v>1600.0</v>
      </c>
      <c r="I408" s="21">
        <f t="shared" si="1"/>
        <v>256</v>
      </c>
      <c r="J408" s="21"/>
      <c r="K408" s="22"/>
    </row>
    <row r="409" ht="22.5" customHeight="1">
      <c r="A409" s="28">
        <v>45993.0</v>
      </c>
      <c r="B409" s="15" t="s">
        <v>549</v>
      </c>
      <c r="C409" s="13" t="s">
        <v>43</v>
      </c>
      <c r="D409" s="13">
        <v>50.0</v>
      </c>
      <c r="E409" s="15">
        <v>125.0</v>
      </c>
      <c r="F409" s="13" t="s">
        <v>27</v>
      </c>
      <c r="G409" s="15" t="s">
        <v>176</v>
      </c>
      <c r="H409" s="15">
        <v>2600.0</v>
      </c>
      <c r="I409" s="21">
        <f t="shared" si="1"/>
        <v>325</v>
      </c>
      <c r="J409" s="21"/>
      <c r="K409" s="22"/>
    </row>
    <row r="410" ht="22.5" customHeight="1">
      <c r="A410" s="28">
        <v>45993.0</v>
      </c>
      <c r="B410" s="15" t="s">
        <v>550</v>
      </c>
      <c r="C410" s="13" t="s">
        <v>43</v>
      </c>
      <c r="D410" s="13">
        <v>50.0</v>
      </c>
      <c r="E410" s="15">
        <v>125.0</v>
      </c>
      <c r="F410" s="13" t="s">
        <v>27</v>
      </c>
      <c r="G410" s="15" t="s">
        <v>176</v>
      </c>
      <c r="H410" s="15">
        <v>1430.0</v>
      </c>
      <c r="I410" s="21">
        <f t="shared" si="1"/>
        <v>178.75</v>
      </c>
      <c r="J410" s="21"/>
      <c r="K410" s="22"/>
    </row>
    <row r="411" ht="22.5" customHeight="1">
      <c r="A411" s="28">
        <v>45994.0</v>
      </c>
      <c r="B411" s="15" t="s">
        <v>551</v>
      </c>
      <c r="C411" s="13" t="s">
        <v>9</v>
      </c>
      <c r="D411" s="13">
        <v>80.0</v>
      </c>
      <c r="E411" s="15">
        <v>290.0</v>
      </c>
      <c r="F411" s="13" t="s">
        <v>21</v>
      </c>
      <c r="G411" s="15" t="s">
        <v>89</v>
      </c>
      <c r="H411" s="15">
        <v>2000.0</v>
      </c>
      <c r="I411" s="21">
        <f t="shared" si="1"/>
        <v>580</v>
      </c>
      <c r="J411" s="61" t="s">
        <v>731</v>
      </c>
      <c r="K411" s="22"/>
    </row>
    <row r="412" ht="22.5" customHeight="1">
      <c r="A412" s="28">
        <v>45994.0</v>
      </c>
      <c r="B412" s="15" t="s">
        <v>552</v>
      </c>
      <c r="C412" s="13" t="s">
        <v>9</v>
      </c>
      <c r="D412" s="13">
        <v>80.0</v>
      </c>
      <c r="E412" s="15">
        <v>225.0</v>
      </c>
      <c r="F412" s="13" t="s">
        <v>21</v>
      </c>
      <c r="G412" s="15" t="s">
        <v>193</v>
      </c>
      <c r="H412" s="15">
        <v>34000.0</v>
      </c>
      <c r="I412" s="21">
        <f t="shared" si="1"/>
        <v>7650</v>
      </c>
      <c r="J412" s="21"/>
      <c r="K412" s="22"/>
    </row>
    <row r="413" ht="22.5" customHeight="1">
      <c r="A413" s="28">
        <v>45994.0</v>
      </c>
      <c r="B413" s="15" t="s">
        <v>553</v>
      </c>
      <c r="C413" s="13" t="s">
        <v>9</v>
      </c>
      <c r="D413" s="13">
        <v>80.0</v>
      </c>
      <c r="E413" s="15">
        <v>290.0</v>
      </c>
      <c r="F413" s="13" t="s">
        <v>21</v>
      </c>
      <c r="G413" s="15" t="s">
        <v>89</v>
      </c>
      <c r="H413" s="15">
        <v>2000.0</v>
      </c>
      <c r="I413" s="21">
        <f t="shared" si="1"/>
        <v>580</v>
      </c>
      <c r="J413" s="21"/>
      <c r="K413" s="22"/>
    </row>
    <row r="414" ht="22.5" customHeight="1">
      <c r="A414" s="28">
        <v>45995.0</v>
      </c>
      <c r="B414" s="15" t="s">
        <v>554</v>
      </c>
      <c r="C414" s="13" t="s">
        <v>9</v>
      </c>
      <c r="D414" s="13">
        <v>80.0</v>
      </c>
      <c r="E414" s="15">
        <v>140.0</v>
      </c>
      <c r="F414" s="13" t="s">
        <v>27</v>
      </c>
      <c r="G414" s="15" t="s">
        <v>99</v>
      </c>
      <c r="H414" s="15">
        <v>750.0</v>
      </c>
      <c r="I414" s="21">
        <f t="shared" si="1"/>
        <v>105</v>
      </c>
      <c r="J414" s="21"/>
      <c r="K414" s="22"/>
    </row>
    <row r="415" ht="22.5" customHeight="1">
      <c r="A415" s="28">
        <v>45995.0</v>
      </c>
      <c r="B415" s="15" t="s">
        <v>555</v>
      </c>
      <c r="C415" s="13" t="s">
        <v>9</v>
      </c>
      <c r="D415" s="13">
        <v>80.0</v>
      </c>
      <c r="E415" s="15">
        <v>195.0</v>
      </c>
      <c r="F415" s="13" t="s">
        <v>27</v>
      </c>
      <c r="G415" s="15" t="s">
        <v>99</v>
      </c>
      <c r="H415" s="15">
        <v>1840.0</v>
      </c>
      <c r="I415" s="21">
        <f t="shared" si="1"/>
        <v>358.8</v>
      </c>
      <c r="J415" s="21"/>
      <c r="K415" s="22"/>
    </row>
    <row r="416" ht="22.5" customHeight="1">
      <c r="A416" s="28">
        <v>45995.0</v>
      </c>
      <c r="B416" s="15" t="s">
        <v>556</v>
      </c>
      <c r="C416" s="13" t="s">
        <v>9</v>
      </c>
      <c r="D416" s="13">
        <v>80.0</v>
      </c>
      <c r="E416" s="15">
        <v>300.0</v>
      </c>
      <c r="F416" s="13" t="s">
        <v>21</v>
      </c>
      <c r="G416" s="15" t="s">
        <v>89</v>
      </c>
      <c r="H416" s="15">
        <v>1600.0</v>
      </c>
      <c r="I416" s="21">
        <f t="shared" si="1"/>
        <v>480</v>
      </c>
      <c r="J416" s="21"/>
      <c r="K416" s="22"/>
    </row>
    <row r="417" ht="22.5" customHeight="1">
      <c r="A417" s="28">
        <v>45995.0</v>
      </c>
      <c r="B417" s="15" t="s">
        <v>558</v>
      </c>
      <c r="C417" s="13" t="s">
        <v>9</v>
      </c>
      <c r="D417" s="13">
        <v>80.0</v>
      </c>
      <c r="E417" s="15">
        <v>160.0</v>
      </c>
      <c r="F417" s="13" t="s">
        <v>27</v>
      </c>
      <c r="G417" s="15" t="s">
        <v>99</v>
      </c>
      <c r="H417" s="15">
        <v>3400.0</v>
      </c>
      <c r="I417" s="21">
        <f t="shared" si="1"/>
        <v>544</v>
      </c>
      <c r="J417" s="21"/>
      <c r="K417" s="22"/>
    </row>
    <row r="418" ht="22.5" customHeight="1">
      <c r="A418" s="28">
        <v>45995.0</v>
      </c>
      <c r="B418" s="15" t="s">
        <v>559</v>
      </c>
      <c r="C418" s="13" t="s">
        <v>9</v>
      </c>
      <c r="D418" s="13">
        <v>80.0</v>
      </c>
      <c r="E418" s="15">
        <v>140.0</v>
      </c>
      <c r="F418" s="13" t="s">
        <v>27</v>
      </c>
      <c r="G418" s="15" t="s">
        <v>99</v>
      </c>
      <c r="H418" s="15">
        <v>3400.0</v>
      </c>
      <c r="I418" s="21">
        <f t="shared" si="1"/>
        <v>476</v>
      </c>
      <c r="J418" s="21"/>
      <c r="K418" s="22"/>
    </row>
    <row r="419" ht="22.5" customHeight="1">
      <c r="A419" s="28">
        <v>45996.0</v>
      </c>
      <c r="B419" s="15" t="s">
        <v>561</v>
      </c>
      <c r="C419" s="13" t="s">
        <v>26</v>
      </c>
      <c r="D419" s="13">
        <v>80.0</v>
      </c>
      <c r="E419" s="15">
        <v>210.0</v>
      </c>
      <c r="F419" s="13" t="s">
        <v>27</v>
      </c>
      <c r="G419" s="15" t="s">
        <v>392</v>
      </c>
      <c r="H419" s="15">
        <v>6660.0</v>
      </c>
      <c r="I419" s="21">
        <f t="shared" si="1"/>
        <v>1398.6</v>
      </c>
      <c r="J419" s="21"/>
      <c r="K419" s="22"/>
    </row>
    <row r="420" ht="22.5" customHeight="1">
      <c r="A420" s="28">
        <v>45997.0</v>
      </c>
      <c r="B420" s="15" t="s">
        <v>564</v>
      </c>
      <c r="C420" s="13" t="s">
        <v>9</v>
      </c>
      <c r="D420" s="13">
        <v>80.0</v>
      </c>
      <c r="E420" s="15">
        <v>140.0</v>
      </c>
      <c r="F420" s="13" t="s">
        <v>21</v>
      </c>
      <c r="G420" s="15" t="s">
        <v>566</v>
      </c>
      <c r="H420" s="15">
        <v>200.0</v>
      </c>
      <c r="I420" s="21">
        <f t="shared" si="1"/>
        <v>28</v>
      </c>
      <c r="J420" s="21"/>
      <c r="K420" s="22"/>
    </row>
    <row r="421" ht="22.5" customHeight="1">
      <c r="A421" s="28">
        <v>45997.0</v>
      </c>
      <c r="B421" s="15" t="s">
        <v>564</v>
      </c>
      <c r="C421" s="13" t="s">
        <v>9</v>
      </c>
      <c r="D421" s="13">
        <v>80.0</v>
      </c>
      <c r="E421" s="15">
        <v>160.0</v>
      </c>
      <c r="F421" s="13" t="s">
        <v>21</v>
      </c>
      <c r="G421" s="15" t="s">
        <v>566</v>
      </c>
      <c r="H421" s="15">
        <v>300.0</v>
      </c>
      <c r="I421" s="21">
        <f t="shared" si="1"/>
        <v>48</v>
      </c>
      <c r="J421" s="21"/>
      <c r="K421" s="22"/>
    </row>
    <row r="422" ht="22.5" customHeight="1">
      <c r="A422" s="28">
        <v>45997.0</v>
      </c>
      <c r="B422" s="15" t="s">
        <v>564</v>
      </c>
      <c r="C422" s="13" t="s">
        <v>9</v>
      </c>
      <c r="D422" s="13">
        <v>80.0</v>
      </c>
      <c r="E422" s="15">
        <v>165.0</v>
      </c>
      <c r="F422" s="13" t="s">
        <v>21</v>
      </c>
      <c r="G422" s="15" t="s">
        <v>566</v>
      </c>
      <c r="H422" s="15">
        <v>400.0</v>
      </c>
      <c r="I422" s="21">
        <f t="shared" si="1"/>
        <v>66</v>
      </c>
      <c r="J422" s="21"/>
      <c r="K422" s="22"/>
    </row>
    <row r="423" ht="22.5" customHeight="1">
      <c r="A423" s="28">
        <v>45997.0</v>
      </c>
      <c r="B423" s="15" t="s">
        <v>567</v>
      </c>
      <c r="C423" s="13" t="s">
        <v>57</v>
      </c>
      <c r="D423" s="13">
        <v>80.0</v>
      </c>
      <c r="E423" s="15">
        <v>160.0</v>
      </c>
      <c r="F423" s="13" t="s">
        <v>33</v>
      </c>
      <c r="G423" s="15" t="s">
        <v>170</v>
      </c>
      <c r="H423" s="15">
        <v>780.0</v>
      </c>
      <c r="I423" s="21">
        <f t="shared" si="1"/>
        <v>124.8</v>
      </c>
      <c r="J423" s="21"/>
      <c r="K423" s="22"/>
    </row>
    <row r="424" ht="22.5" customHeight="1">
      <c r="A424" s="28">
        <v>45997.0</v>
      </c>
      <c r="B424" s="15" t="s">
        <v>568</v>
      </c>
      <c r="C424" s="13" t="s">
        <v>57</v>
      </c>
      <c r="D424" s="13">
        <v>80.0</v>
      </c>
      <c r="E424" s="15">
        <v>160.0</v>
      </c>
      <c r="F424" s="13" t="s">
        <v>33</v>
      </c>
      <c r="G424" s="15" t="s">
        <v>170</v>
      </c>
      <c r="H424" s="15">
        <v>1200.0</v>
      </c>
      <c r="I424" s="21">
        <f t="shared" si="1"/>
        <v>192</v>
      </c>
      <c r="J424" s="21"/>
      <c r="K424" s="22"/>
    </row>
    <row r="425" ht="22.5" customHeight="1">
      <c r="A425" s="28">
        <v>45997.0</v>
      </c>
      <c r="B425" s="15" t="s">
        <v>569</v>
      </c>
      <c r="C425" s="13" t="s">
        <v>43</v>
      </c>
      <c r="D425" s="13">
        <v>50.0</v>
      </c>
      <c r="E425" s="15">
        <v>190.0</v>
      </c>
      <c r="F425" s="13" t="s">
        <v>27</v>
      </c>
      <c r="G425" s="15" t="s">
        <v>199</v>
      </c>
      <c r="H425" s="15">
        <v>320.0</v>
      </c>
      <c r="I425" s="21">
        <f t="shared" si="1"/>
        <v>60.8</v>
      </c>
      <c r="J425" s="21"/>
      <c r="K425" s="22"/>
    </row>
    <row r="426" ht="22.5" customHeight="1">
      <c r="A426" s="28">
        <v>45997.0</v>
      </c>
      <c r="B426" s="15" t="s">
        <v>570</v>
      </c>
      <c r="C426" s="13" t="s">
        <v>43</v>
      </c>
      <c r="D426" s="13">
        <v>50.0</v>
      </c>
      <c r="E426" s="15">
        <v>190.0</v>
      </c>
      <c r="F426" s="13" t="s">
        <v>27</v>
      </c>
      <c r="G426" s="15" t="s">
        <v>199</v>
      </c>
      <c r="H426" s="15">
        <v>1070.0</v>
      </c>
      <c r="I426" s="21">
        <f t="shared" si="1"/>
        <v>203.3</v>
      </c>
      <c r="J426" s="21"/>
      <c r="K426" s="22"/>
    </row>
    <row r="427" ht="22.5" customHeight="1">
      <c r="A427" s="28">
        <v>45999.0</v>
      </c>
      <c r="B427" s="15" t="s">
        <v>571</v>
      </c>
      <c r="C427" s="13" t="s">
        <v>9</v>
      </c>
      <c r="D427" s="13">
        <v>80.0</v>
      </c>
      <c r="E427" s="15">
        <v>395.0</v>
      </c>
      <c r="F427" s="13" t="s">
        <v>21</v>
      </c>
      <c r="G427" s="15" t="s">
        <v>89</v>
      </c>
      <c r="H427" s="15">
        <v>400.0</v>
      </c>
      <c r="I427" s="21">
        <f t="shared" si="1"/>
        <v>158</v>
      </c>
      <c r="J427" s="21"/>
      <c r="K427" s="22"/>
    </row>
    <row r="428" ht="22.5" customHeight="1">
      <c r="A428" s="28">
        <v>45999.0</v>
      </c>
      <c r="B428" s="15" t="s">
        <v>573</v>
      </c>
      <c r="C428" s="13" t="s">
        <v>9</v>
      </c>
      <c r="D428" s="13">
        <v>80.0</v>
      </c>
      <c r="E428" s="15">
        <v>180.0</v>
      </c>
      <c r="F428" s="13" t="s">
        <v>21</v>
      </c>
      <c r="G428" s="15" t="s">
        <v>89</v>
      </c>
      <c r="H428" s="15">
        <v>1400.0</v>
      </c>
      <c r="I428" s="21">
        <f t="shared" si="1"/>
        <v>252</v>
      </c>
      <c r="J428" s="21"/>
      <c r="K428" s="22"/>
    </row>
    <row r="429" ht="22.5" customHeight="1">
      <c r="A429" s="28">
        <v>45999.0</v>
      </c>
      <c r="B429" s="15" t="s">
        <v>575</v>
      </c>
      <c r="C429" s="13" t="s">
        <v>9</v>
      </c>
      <c r="D429" s="13">
        <v>80.0</v>
      </c>
      <c r="E429" s="15">
        <v>210.0</v>
      </c>
      <c r="F429" s="13" t="s">
        <v>21</v>
      </c>
      <c r="G429" s="15" t="s">
        <v>89</v>
      </c>
      <c r="H429" s="15">
        <v>1700.0</v>
      </c>
      <c r="I429" s="21">
        <f t="shared" si="1"/>
        <v>357</v>
      </c>
      <c r="J429" s="21"/>
      <c r="K429" s="22"/>
    </row>
    <row r="430" ht="22.5" customHeight="1">
      <c r="A430" s="28">
        <v>45999.0</v>
      </c>
      <c r="B430" s="15" t="s">
        <v>577</v>
      </c>
      <c r="C430" s="13" t="s">
        <v>9</v>
      </c>
      <c r="D430" s="13">
        <v>80.0</v>
      </c>
      <c r="E430" s="15">
        <v>290.0</v>
      </c>
      <c r="F430" s="13" t="s">
        <v>21</v>
      </c>
      <c r="G430" s="15" t="s">
        <v>89</v>
      </c>
      <c r="H430" s="15">
        <v>1600.0</v>
      </c>
      <c r="I430" s="21">
        <f t="shared" si="1"/>
        <v>464</v>
      </c>
      <c r="J430" s="21"/>
      <c r="K430" s="22"/>
    </row>
    <row r="431" ht="22.5" customHeight="1">
      <c r="A431" s="28">
        <v>45999.0</v>
      </c>
      <c r="B431" s="15" t="s">
        <v>578</v>
      </c>
      <c r="C431" s="13" t="s">
        <v>9</v>
      </c>
      <c r="D431" s="13">
        <v>80.0</v>
      </c>
      <c r="E431" s="15">
        <v>160.0</v>
      </c>
      <c r="F431" s="13" t="s">
        <v>27</v>
      </c>
      <c r="G431" s="15" t="s">
        <v>99</v>
      </c>
      <c r="H431" s="15">
        <v>1600.0</v>
      </c>
      <c r="I431" s="21">
        <f t="shared" si="1"/>
        <v>256</v>
      </c>
      <c r="J431" s="21"/>
      <c r="K431" s="22"/>
    </row>
    <row r="432" ht="22.5" customHeight="1">
      <c r="A432" s="28">
        <v>45999.0</v>
      </c>
      <c r="B432" s="15" t="s">
        <v>579</v>
      </c>
      <c r="C432" s="13" t="s">
        <v>9</v>
      </c>
      <c r="D432" s="13">
        <v>80.0</v>
      </c>
      <c r="E432" s="15">
        <v>210.0</v>
      </c>
      <c r="F432" s="13" t="s">
        <v>21</v>
      </c>
      <c r="G432" s="15" t="s">
        <v>89</v>
      </c>
      <c r="H432" s="15">
        <v>2400.0</v>
      </c>
      <c r="I432" s="21">
        <f t="shared" si="1"/>
        <v>504</v>
      </c>
      <c r="J432" s="21"/>
      <c r="K432" s="22"/>
    </row>
    <row r="433" ht="22.5" customHeight="1">
      <c r="A433" s="28">
        <v>46000.0</v>
      </c>
      <c r="B433" s="15" t="s">
        <v>580</v>
      </c>
      <c r="C433" s="13" t="s">
        <v>9</v>
      </c>
      <c r="D433" s="13">
        <v>80.0</v>
      </c>
      <c r="E433" s="15">
        <v>180.0</v>
      </c>
      <c r="F433" s="13" t="s">
        <v>21</v>
      </c>
      <c r="G433" s="15" t="s">
        <v>89</v>
      </c>
      <c r="H433" s="15">
        <v>700.0</v>
      </c>
      <c r="I433" s="21">
        <f t="shared" si="1"/>
        <v>126</v>
      </c>
      <c r="J433" s="21"/>
      <c r="K433" s="22"/>
    </row>
    <row r="434" ht="22.5" customHeight="1">
      <c r="A434" s="28">
        <v>46000.0</v>
      </c>
      <c r="B434" s="15" t="s">
        <v>581</v>
      </c>
      <c r="C434" s="13" t="s">
        <v>9</v>
      </c>
      <c r="D434" s="13">
        <v>80.0</v>
      </c>
      <c r="E434" s="15">
        <v>140.0</v>
      </c>
      <c r="F434" s="13" t="s">
        <v>27</v>
      </c>
      <c r="G434" s="15" t="s">
        <v>470</v>
      </c>
      <c r="H434" s="15">
        <v>400.0</v>
      </c>
      <c r="I434" s="21">
        <f t="shared" si="1"/>
        <v>56</v>
      </c>
      <c r="J434" s="21"/>
      <c r="K434" s="22"/>
    </row>
    <row r="435" ht="22.5" customHeight="1">
      <c r="A435" s="28">
        <v>46000.0</v>
      </c>
      <c r="B435" s="15" t="s">
        <v>581</v>
      </c>
      <c r="C435" s="13" t="s">
        <v>9</v>
      </c>
      <c r="D435" s="13">
        <v>80.0</v>
      </c>
      <c r="E435" s="15">
        <v>160.0</v>
      </c>
      <c r="F435" s="13" t="s">
        <v>27</v>
      </c>
      <c r="G435" s="15" t="s">
        <v>470</v>
      </c>
      <c r="H435" s="15">
        <v>500.0</v>
      </c>
      <c r="I435" s="21">
        <f t="shared" si="1"/>
        <v>80</v>
      </c>
      <c r="J435" s="21"/>
      <c r="K435" s="22"/>
    </row>
    <row r="436" ht="22.5" customHeight="1">
      <c r="A436" s="28">
        <v>46002.0</v>
      </c>
      <c r="B436" s="15" t="s">
        <v>582</v>
      </c>
      <c r="C436" s="13" t="s">
        <v>9</v>
      </c>
      <c r="D436" s="13">
        <v>80.0</v>
      </c>
      <c r="E436" s="15">
        <v>180.0</v>
      </c>
      <c r="F436" s="13" t="s">
        <v>21</v>
      </c>
      <c r="G436" s="15" t="s">
        <v>89</v>
      </c>
      <c r="H436" s="15">
        <v>4000.0</v>
      </c>
      <c r="I436" s="21">
        <f t="shared" si="1"/>
        <v>720</v>
      </c>
      <c r="J436" s="21"/>
      <c r="K436" s="22"/>
    </row>
    <row r="437" ht="22.5" customHeight="1">
      <c r="A437" s="28">
        <v>46002.0</v>
      </c>
      <c r="B437" s="15" t="s">
        <v>583</v>
      </c>
      <c r="C437" s="13" t="s">
        <v>9</v>
      </c>
      <c r="D437" s="13">
        <v>80.0</v>
      </c>
      <c r="E437" s="15">
        <v>125.0</v>
      </c>
      <c r="F437" s="13" t="s">
        <v>21</v>
      </c>
      <c r="G437" s="15" t="s">
        <v>89</v>
      </c>
      <c r="H437" s="15">
        <v>2000.0</v>
      </c>
      <c r="I437" s="21">
        <f t="shared" si="1"/>
        <v>250</v>
      </c>
      <c r="J437" s="21"/>
      <c r="K437" s="22"/>
    </row>
    <row r="438" ht="22.5" customHeight="1">
      <c r="A438" s="28">
        <v>46002.0</v>
      </c>
      <c r="B438" s="15" t="s">
        <v>584</v>
      </c>
      <c r="C438" s="13" t="s">
        <v>26</v>
      </c>
      <c r="D438" s="13">
        <v>80.0</v>
      </c>
      <c r="E438" s="15">
        <v>126.0</v>
      </c>
      <c r="F438" s="13" t="s">
        <v>27</v>
      </c>
      <c r="G438" s="15" t="s">
        <v>29</v>
      </c>
      <c r="H438" s="15">
        <v>5040.0</v>
      </c>
      <c r="I438" s="21">
        <f t="shared" si="1"/>
        <v>635.04</v>
      </c>
      <c r="J438" s="21"/>
      <c r="K438" s="22"/>
    </row>
    <row r="439" ht="22.5" customHeight="1">
      <c r="A439" s="28">
        <v>46002.0</v>
      </c>
      <c r="B439" s="15" t="s">
        <v>585</v>
      </c>
      <c r="C439" s="13" t="s">
        <v>57</v>
      </c>
      <c r="D439" s="13">
        <v>80.0</v>
      </c>
      <c r="E439" s="15">
        <v>160.0</v>
      </c>
      <c r="F439" s="13" t="s">
        <v>33</v>
      </c>
      <c r="G439" s="15" t="s">
        <v>170</v>
      </c>
      <c r="H439" s="15">
        <v>300.0</v>
      </c>
      <c r="I439" s="21">
        <f t="shared" si="1"/>
        <v>48</v>
      </c>
      <c r="J439" s="21"/>
      <c r="K439" s="22"/>
    </row>
    <row r="440" ht="22.5" customHeight="1">
      <c r="A440" s="28">
        <v>46003.0</v>
      </c>
      <c r="B440" s="15" t="s">
        <v>587</v>
      </c>
      <c r="C440" s="13" t="s">
        <v>9</v>
      </c>
      <c r="D440" s="13">
        <v>80.0</v>
      </c>
      <c r="E440" s="15">
        <v>180.0</v>
      </c>
      <c r="F440" s="13" t="s">
        <v>21</v>
      </c>
      <c r="G440" s="15" t="s">
        <v>89</v>
      </c>
      <c r="H440" s="15">
        <v>2500.0</v>
      </c>
      <c r="I440" s="21">
        <f t="shared" si="1"/>
        <v>450</v>
      </c>
      <c r="J440" s="21"/>
      <c r="K440" s="22"/>
    </row>
    <row r="441" ht="22.5" customHeight="1">
      <c r="A441" s="28">
        <v>46003.0</v>
      </c>
      <c r="B441" s="15" t="s">
        <v>588</v>
      </c>
      <c r="C441" s="13" t="s">
        <v>9</v>
      </c>
      <c r="D441" s="13">
        <v>80.0</v>
      </c>
      <c r="E441" s="15">
        <v>180.0</v>
      </c>
      <c r="F441" s="13" t="s">
        <v>21</v>
      </c>
      <c r="G441" s="15" t="s">
        <v>89</v>
      </c>
      <c r="H441" s="15">
        <v>1800.0</v>
      </c>
      <c r="I441" s="21">
        <f t="shared" si="1"/>
        <v>324</v>
      </c>
      <c r="J441" s="21"/>
      <c r="K441" s="22"/>
    </row>
    <row r="442" ht="22.5" customHeight="1">
      <c r="A442" s="28">
        <v>46003.0</v>
      </c>
      <c r="B442" s="15" t="s">
        <v>589</v>
      </c>
      <c r="C442" s="13" t="s">
        <v>9</v>
      </c>
      <c r="D442" s="13">
        <v>80.0</v>
      </c>
      <c r="E442" s="15">
        <v>160.0</v>
      </c>
      <c r="F442" s="13" t="s">
        <v>21</v>
      </c>
      <c r="G442" s="15" t="s">
        <v>89</v>
      </c>
      <c r="H442" s="15">
        <v>2000.0</v>
      </c>
      <c r="I442" s="21">
        <f t="shared" si="1"/>
        <v>320</v>
      </c>
      <c r="J442" s="21"/>
      <c r="K442" s="22"/>
    </row>
    <row r="443" ht="22.5" customHeight="1">
      <c r="A443" s="28">
        <v>46003.0</v>
      </c>
      <c r="B443" s="15" t="s">
        <v>590</v>
      </c>
      <c r="C443" s="13" t="s">
        <v>9</v>
      </c>
      <c r="D443" s="13">
        <v>80.0</v>
      </c>
      <c r="E443" s="15">
        <v>300.0</v>
      </c>
      <c r="F443" s="13" t="s">
        <v>21</v>
      </c>
      <c r="G443" s="15" t="s">
        <v>89</v>
      </c>
      <c r="H443" s="15">
        <v>2000.0</v>
      </c>
      <c r="I443" s="21">
        <f t="shared" si="1"/>
        <v>600</v>
      </c>
      <c r="J443" s="21"/>
      <c r="K443" s="22"/>
    </row>
    <row r="444" ht="22.5" customHeight="1">
      <c r="A444" s="28">
        <v>46003.0</v>
      </c>
      <c r="B444" s="15" t="s">
        <v>591</v>
      </c>
      <c r="C444" s="13" t="s">
        <v>9</v>
      </c>
      <c r="D444" s="13">
        <v>80.0</v>
      </c>
      <c r="E444" s="15">
        <v>280.0</v>
      </c>
      <c r="F444" s="13" t="s">
        <v>21</v>
      </c>
      <c r="G444" s="15" t="s">
        <v>89</v>
      </c>
      <c r="H444" s="15">
        <v>4000.0</v>
      </c>
      <c r="I444" s="21">
        <f t="shared" si="1"/>
        <v>1120</v>
      </c>
      <c r="J444" s="21"/>
      <c r="K444" s="22"/>
    </row>
    <row r="445" ht="22.5" customHeight="1">
      <c r="A445" s="28">
        <v>46003.0</v>
      </c>
      <c r="B445" s="15" t="s">
        <v>592</v>
      </c>
      <c r="C445" s="13" t="s">
        <v>9</v>
      </c>
      <c r="D445" s="13">
        <v>80.0</v>
      </c>
      <c r="E445" s="15">
        <v>320.0</v>
      </c>
      <c r="F445" s="13" t="s">
        <v>21</v>
      </c>
      <c r="G445" s="15" t="s">
        <v>89</v>
      </c>
      <c r="H445" s="15">
        <v>2000.0</v>
      </c>
      <c r="I445" s="21">
        <f t="shared" si="1"/>
        <v>640</v>
      </c>
      <c r="J445" s="21"/>
      <c r="K445" s="22"/>
    </row>
    <row r="446" ht="22.5" customHeight="1">
      <c r="A446" s="28">
        <v>46004.0</v>
      </c>
      <c r="B446" s="15" t="s">
        <v>593</v>
      </c>
      <c r="C446" s="13" t="s">
        <v>9</v>
      </c>
      <c r="D446" s="13">
        <v>80.0</v>
      </c>
      <c r="E446" s="15">
        <v>250.0</v>
      </c>
      <c r="F446" s="13" t="s">
        <v>21</v>
      </c>
      <c r="G446" s="15" t="s">
        <v>89</v>
      </c>
      <c r="H446" s="15">
        <v>3600.0</v>
      </c>
      <c r="I446" s="21">
        <f t="shared" si="1"/>
        <v>900</v>
      </c>
      <c r="J446" s="21"/>
      <c r="K446" s="22"/>
    </row>
    <row r="447" ht="22.5" customHeight="1">
      <c r="A447" s="28">
        <v>46004.0</v>
      </c>
      <c r="B447" s="15" t="s">
        <v>594</v>
      </c>
      <c r="C447" s="13" t="s">
        <v>9</v>
      </c>
      <c r="D447" s="13">
        <v>80.0</v>
      </c>
      <c r="E447" s="15">
        <v>125.0</v>
      </c>
      <c r="F447" s="13" t="s">
        <v>21</v>
      </c>
      <c r="G447" s="15" t="s">
        <v>89</v>
      </c>
      <c r="H447" s="15">
        <v>900.0</v>
      </c>
      <c r="I447" s="21">
        <f t="shared" si="1"/>
        <v>112.5</v>
      </c>
      <c r="J447" s="21"/>
      <c r="K447" s="22"/>
    </row>
    <row r="448" ht="22.5" customHeight="1">
      <c r="A448" s="28">
        <v>46004.0</v>
      </c>
      <c r="B448" s="15" t="s">
        <v>595</v>
      </c>
      <c r="C448" s="13" t="s">
        <v>9</v>
      </c>
      <c r="D448" s="13">
        <v>80.0</v>
      </c>
      <c r="E448" s="15">
        <v>290.0</v>
      </c>
      <c r="F448" s="13" t="s">
        <v>21</v>
      </c>
      <c r="G448" s="15" t="s">
        <v>89</v>
      </c>
      <c r="H448" s="15">
        <v>3100.0</v>
      </c>
      <c r="I448" s="21">
        <f t="shared" si="1"/>
        <v>899</v>
      </c>
      <c r="J448" s="21"/>
      <c r="K448" s="22"/>
    </row>
    <row r="449" ht="22.5" customHeight="1">
      <c r="A449" s="28">
        <v>46004.0</v>
      </c>
      <c r="B449" s="15" t="s">
        <v>597</v>
      </c>
      <c r="C449" s="13" t="s">
        <v>9</v>
      </c>
      <c r="D449" s="13">
        <v>80.0</v>
      </c>
      <c r="E449" s="15">
        <v>125.0</v>
      </c>
      <c r="F449" s="13" t="s">
        <v>21</v>
      </c>
      <c r="G449" s="15" t="s">
        <v>89</v>
      </c>
      <c r="H449" s="15">
        <v>2150.0</v>
      </c>
      <c r="I449" s="21">
        <f t="shared" si="1"/>
        <v>268.75</v>
      </c>
      <c r="J449" s="21"/>
      <c r="K449" s="22"/>
    </row>
    <row r="450" ht="22.5" customHeight="1">
      <c r="A450" s="28">
        <v>46004.0</v>
      </c>
      <c r="B450" s="15" t="s">
        <v>598</v>
      </c>
      <c r="C450" s="13" t="s">
        <v>9</v>
      </c>
      <c r="D450" s="13">
        <v>80.0</v>
      </c>
      <c r="E450" s="15">
        <v>250.0</v>
      </c>
      <c r="F450" s="13" t="s">
        <v>21</v>
      </c>
      <c r="G450" s="15" t="s">
        <v>89</v>
      </c>
      <c r="H450" s="15">
        <v>2000.0</v>
      </c>
      <c r="I450" s="21">
        <f t="shared" si="1"/>
        <v>500</v>
      </c>
      <c r="J450" s="21"/>
      <c r="K450" s="22"/>
    </row>
    <row r="451" ht="22.5" customHeight="1">
      <c r="A451" s="28">
        <v>46004.0</v>
      </c>
      <c r="B451" s="15" t="s">
        <v>599</v>
      </c>
      <c r="C451" s="13" t="s">
        <v>9</v>
      </c>
      <c r="D451" s="13">
        <v>80.0</v>
      </c>
      <c r="E451" s="15">
        <v>290.0</v>
      </c>
      <c r="F451" s="13" t="s">
        <v>21</v>
      </c>
      <c r="G451" s="15" t="s">
        <v>89</v>
      </c>
      <c r="H451" s="15">
        <v>1600.0</v>
      </c>
      <c r="I451" s="21">
        <f t="shared" si="1"/>
        <v>464</v>
      </c>
      <c r="J451" s="21"/>
      <c r="K451" s="22"/>
    </row>
    <row r="452" ht="22.5" customHeight="1">
      <c r="A452" s="28">
        <v>46004.0</v>
      </c>
      <c r="B452" s="15" t="s">
        <v>600</v>
      </c>
      <c r="C452" s="13" t="s">
        <v>9</v>
      </c>
      <c r="D452" s="13">
        <v>80.0</v>
      </c>
      <c r="E452" s="15">
        <v>125.0</v>
      </c>
      <c r="F452" s="13" t="s">
        <v>21</v>
      </c>
      <c r="G452" s="15" t="s">
        <v>89</v>
      </c>
      <c r="H452" s="15">
        <v>3400.0</v>
      </c>
      <c r="I452" s="21">
        <f t="shared" si="1"/>
        <v>425</v>
      </c>
      <c r="J452" s="21"/>
      <c r="K452" s="22"/>
    </row>
    <row r="453" ht="22.5" customHeight="1">
      <c r="A453" s="28">
        <v>46004.0</v>
      </c>
      <c r="B453" s="15" t="s">
        <v>601</v>
      </c>
      <c r="C453" s="13" t="s">
        <v>26</v>
      </c>
      <c r="D453" s="13">
        <v>80.0</v>
      </c>
      <c r="E453" s="15">
        <v>140.0</v>
      </c>
      <c r="F453" s="13" t="s">
        <v>27</v>
      </c>
      <c r="G453" s="15" t="s">
        <v>29</v>
      </c>
      <c r="H453" s="15">
        <v>6000.0</v>
      </c>
      <c r="I453" s="21">
        <f t="shared" si="1"/>
        <v>840</v>
      </c>
      <c r="J453" s="21"/>
      <c r="K453" s="22"/>
    </row>
    <row r="454" ht="22.5" customHeight="1">
      <c r="A454" s="28">
        <v>46006.0</v>
      </c>
      <c r="B454" s="15" t="s">
        <v>602</v>
      </c>
      <c r="C454" s="13" t="s">
        <v>9</v>
      </c>
      <c r="D454" s="13">
        <v>80.0</v>
      </c>
      <c r="E454" s="15">
        <v>250.0</v>
      </c>
      <c r="F454" s="13" t="s">
        <v>21</v>
      </c>
      <c r="G454" s="15" t="s">
        <v>498</v>
      </c>
      <c r="H454" s="15">
        <v>2130.0</v>
      </c>
      <c r="I454" s="21">
        <f t="shared" si="1"/>
        <v>532.5</v>
      </c>
      <c r="J454" s="15" t="s">
        <v>789</v>
      </c>
      <c r="K454" s="22"/>
    </row>
    <row r="455" ht="22.5" customHeight="1">
      <c r="A455" s="28">
        <v>46007.0</v>
      </c>
      <c r="B455" s="15" t="s">
        <v>603</v>
      </c>
      <c r="C455" s="13" t="s">
        <v>9</v>
      </c>
      <c r="D455" s="13">
        <v>80.0</v>
      </c>
      <c r="E455" s="15">
        <v>140.0</v>
      </c>
      <c r="F455" s="13" t="s">
        <v>27</v>
      </c>
      <c r="G455" s="15" t="s">
        <v>99</v>
      </c>
      <c r="H455" s="15">
        <v>1300.0</v>
      </c>
      <c r="I455" s="21">
        <f t="shared" si="1"/>
        <v>182</v>
      </c>
      <c r="J455" s="21"/>
      <c r="K455" s="22"/>
    </row>
    <row r="456" ht="22.5" customHeight="1">
      <c r="A456" s="28">
        <v>46007.0</v>
      </c>
      <c r="B456" s="15" t="s">
        <v>604</v>
      </c>
      <c r="C456" s="13" t="s">
        <v>9</v>
      </c>
      <c r="D456" s="13">
        <v>80.0</v>
      </c>
      <c r="E456" s="15">
        <v>125.0</v>
      </c>
      <c r="F456" s="13" t="s">
        <v>21</v>
      </c>
      <c r="G456" s="15" t="s">
        <v>89</v>
      </c>
      <c r="H456" s="15">
        <v>1100.0</v>
      </c>
      <c r="I456" s="21">
        <f t="shared" si="1"/>
        <v>137.5</v>
      </c>
      <c r="J456" s="21"/>
      <c r="K456" s="22"/>
    </row>
    <row r="457" ht="22.5" customHeight="1">
      <c r="A457" s="28">
        <v>46007.0</v>
      </c>
      <c r="B457" s="15" t="s">
        <v>606</v>
      </c>
      <c r="C457" s="13" t="s">
        <v>9</v>
      </c>
      <c r="D457" s="13">
        <v>80.0</v>
      </c>
      <c r="E457" s="15">
        <v>180.0</v>
      </c>
      <c r="F457" s="13" t="s">
        <v>21</v>
      </c>
      <c r="G457" s="15" t="s">
        <v>89</v>
      </c>
      <c r="H457" s="15">
        <v>500.0</v>
      </c>
      <c r="I457" s="21">
        <f t="shared" si="1"/>
        <v>90</v>
      </c>
      <c r="J457" s="21"/>
      <c r="K457" s="22"/>
    </row>
    <row r="458" ht="22.5" customHeight="1">
      <c r="A458" s="28">
        <v>46007.0</v>
      </c>
      <c r="B458" s="15" t="s">
        <v>607</v>
      </c>
      <c r="C458" s="13" t="s">
        <v>9</v>
      </c>
      <c r="D458" s="13">
        <v>80.0</v>
      </c>
      <c r="E458" s="15">
        <v>140.0</v>
      </c>
      <c r="F458" s="13" t="s">
        <v>27</v>
      </c>
      <c r="G458" s="15" t="s">
        <v>99</v>
      </c>
      <c r="H458" s="15">
        <v>700.0</v>
      </c>
      <c r="I458" s="21">
        <f t="shared" si="1"/>
        <v>98</v>
      </c>
      <c r="J458" s="21"/>
      <c r="K458" s="22"/>
    </row>
    <row r="459" ht="22.5" customHeight="1">
      <c r="A459" s="28">
        <v>46007.0</v>
      </c>
      <c r="B459" s="15" t="s">
        <v>608</v>
      </c>
      <c r="C459" s="13" t="s">
        <v>9</v>
      </c>
      <c r="D459" s="13">
        <v>80.0</v>
      </c>
      <c r="E459" s="15">
        <v>140.0</v>
      </c>
      <c r="F459" s="13" t="s">
        <v>27</v>
      </c>
      <c r="G459" s="15" t="s">
        <v>99</v>
      </c>
      <c r="H459" s="15">
        <v>1470.0</v>
      </c>
      <c r="I459" s="21">
        <f t="shared" si="1"/>
        <v>205.8</v>
      </c>
      <c r="J459" s="21"/>
      <c r="K459" s="22"/>
    </row>
    <row r="460" ht="22.5" customHeight="1">
      <c r="A460" s="28">
        <v>46007.0</v>
      </c>
      <c r="B460" s="15" t="s">
        <v>609</v>
      </c>
      <c r="C460" s="13" t="s">
        <v>9</v>
      </c>
      <c r="D460" s="13">
        <v>80.0</v>
      </c>
      <c r="E460" s="15">
        <v>180.0</v>
      </c>
      <c r="F460" s="13" t="s">
        <v>21</v>
      </c>
      <c r="G460" s="15" t="s">
        <v>99</v>
      </c>
      <c r="H460" s="15">
        <v>1970.0</v>
      </c>
      <c r="I460" s="21">
        <f t="shared" si="1"/>
        <v>354.6</v>
      </c>
      <c r="J460" s="21"/>
      <c r="K460" s="22"/>
    </row>
    <row r="461" ht="22.5" customHeight="1">
      <c r="A461" s="28">
        <v>46007.0</v>
      </c>
      <c r="B461" s="15" t="s">
        <v>610</v>
      </c>
      <c r="C461" s="13" t="s">
        <v>9</v>
      </c>
      <c r="D461" s="13">
        <v>80.0</v>
      </c>
      <c r="E461" s="15">
        <v>140.0</v>
      </c>
      <c r="F461" s="13" t="s">
        <v>27</v>
      </c>
      <c r="G461" s="15" t="s">
        <v>176</v>
      </c>
      <c r="H461" s="15">
        <v>1150.0</v>
      </c>
      <c r="I461" s="21">
        <f t="shared" si="1"/>
        <v>161</v>
      </c>
      <c r="J461" s="21"/>
      <c r="K461" s="22"/>
    </row>
    <row r="462" ht="22.5" customHeight="1">
      <c r="A462" s="28">
        <v>46007.0</v>
      </c>
      <c r="B462" s="15" t="s">
        <v>612</v>
      </c>
      <c r="C462" s="13" t="s">
        <v>9</v>
      </c>
      <c r="D462" s="13">
        <v>80.0</v>
      </c>
      <c r="E462" s="15">
        <v>140.0</v>
      </c>
      <c r="F462" s="13" t="s">
        <v>27</v>
      </c>
      <c r="G462" s="15" t="s">
        <v>139</v>
      </c>
      <c r="H462" s="15">
        <v>1480.0</v>
      </c>
      <c r="I462" s="21">
        <f t="shared" si="1"/>
        <v>207.2</v>
      </c>
      <c r="J462" s="21"/>
      <c r="K462" s="22"/>
    </row>
    <row r="463" ht="22.5" customHeight="1">
      <c r="A463" s="28">
        <v>46007.0</v>
      </c>
      <c r="B463" s="15" t="s">
        <v>613</v>
      </c>
      <c r="C463" s="13" t="s">
        <v>9</v>
      </c>
      <c r="D463" s="13">
        <v>80.0</v>
      </c>
      <c r="E463" s="15">
        <v>140.0</v>
      </c>
      <c r="F463" s="13" t="s">
        <v>27</v>
      </c>
      <c r="G463" s="15" t="s">
        <v>139</v>
      </c>
      <c r="H463" s="15">
        <v>430.0</v>
      </c>
      <c r="I463" s="21">
        <f t="shared" si="1"/>
        <v>60.2</v>
      </c>
      <c r="J463" s="21"/>
      <c r="K463" s="22"/>
    </row>
    <row r="464" ht="22.5" customHeight="1">
      <c r="A464" s="28">
        <v>46007.0</v>
      </c>
      <c r="B464" s="15" t="s">
        <v>614</v>
      </c>
      <c r="C464" s="13" t="s">
        <v>9</v>
      </c>
      <c r="D464" s="13">
        <v>80.0</v>
      </c>
      <c r="E464" s="15">
        <v>126.0</v>
      </c>
      <c r="F464" s="13" t="s">
        <v>27</v>
      </c>
      <c r="G464" s="15" t="s">
        <v>139</v>
      </c>
      <c r="H464" s="15">
        <v>400.0</v>
      </c>
      <c r="I464" s="21">
        <f t="shared" si="1"/>
        <v>50.4</v>
      </c>
      <c r="J464" s="21"/>
      <c r="K464" s="22"/>
    </row>
    <row r="465" ht="22.5" customHeight="1">
      <c r="A465" s="28">
        <v>46008.0</v>
      </c>
      <c r="B465" s="15" t="s">
        <v>615</v>
      </c>
      <c r="C465" s="13" t="s">
        <v>9</v>
      </c>
      <c r="D465" s="13">
        <v>80.0</v>
      </c>
      <c r="E465" s="15">
        <v>230.0</v>
      </c>
      <c r="F465" s="13" t="s">
        <v>27</v>
      </c>
      <c r="G465" s="15" t="s">
        <v>99</v>
      </c>
      <c r="H465" s="15">
        <v>600.0</v>
      </c>
      <c r="I465" s="21">
        <f t="shared" si="1"/>
        <v>138</v>
      </c>
      <c r="J465" s="21"/>
      <c r="K465" s="22"/>
    </row>
    <row r="466" ht="22.5" customHeight="1">
      <c r="A466" s="28">
        <v>46008.0</v>
      </c>
      <c r="B466" s="15" t="s">
        <v>616</v>
      </c>
      <c r="C466" s="13" t="s">
        <v>9</v>
      </c>
      <c r="D466" s="13">
        <v>80.0</v>
      </c>
      <c r="E466" s="15">
        <v>195.0</v>
      </c>
      <c r="F466" s="13" t="s">
        <v>27</v>
      </c>
      <c r="G466" s="15" t="s">
        <v>99</v>
      </c>
      <c r="H466" s="15">
        <v>1960.0</v>
      </c>
      <c r="I466" s="21">
        <f t="shared" si="1"/>
        <v>382.2</v>
      </c>
      <c r="J466" s="21"/>
      <c r="K466" s="22"/>
    </row>
    <row r="467" ht="22.5" customHeight="1">
      <c r="A467" s="28">
        <v>46008.0</v>
      </c>
      <c r="B467" s="15" t="s">
        <v>617</v>
      </c>
      <c r="C467" s="13" t="s">
        <v>9</v>
      </c>
      <c r="D467" s="13">
        <v>80.0</v>
      </c>
      <c r="E467" s="15">
        <v>160.0</v>
      </c>
      <c r="F467" s="13" t="s">
        <v>27</v>
      </c>
      <c r="G467" s="15" t="s">
        <v>99</v>
      </c>
      <c r="H467" s="15">
        <v>2980.0</v>
      </c>
      <c r="I467" s="21">
        <f t="shared" si="1"/>
        <v>476.8</v>
      </c>
      <c r="J467" s="21"/>
      <c r="K467" s="22"/>
    </row>
    <row r="468" ht="22.5" customHeight="1">
      <c r="A468" s="28">
        <v>46008.0</v>
      </c>
      <c r="B468" s="15" t="s">
        <v>619</v>
      </c>
      <c r="C468" s="13" t="s">
        <v>9</v>
      </c>
      <c r="D468" s="13">
        <v>80.0</v>
      </c>
      <c r="E468" s="15">
        <v>160.0</v>
      </c>
      <c r="F468" s="13" t="s">
        <v>27</v>
      </c>
      <c r="G468" s="15" t="s">
        <v>99</v>
      </c>
      <c r="H468" s="15">
        <v>2800.0</v>
      </c>
      <c r="I468" s="21">
        <f t="shared" si="1"/>
        <v>448</v>
      </c>
      <c r="J468" s="21"/>
      <c r="K468" s="22"/>
    </row>
    <row r="469" ht="22.5" customHeight="1">
      <c r="A469" s="28">
        <v>46008.0</v>
      </c>
      <c r="B469" s="15" t="s">
        <v>620</v>
      </c>
      <c r="C469" s="13" t="s">
        <v>9</v>
      </c>
      <c r="D469" s="13">
        <v>80.0</v>
      </c>
      <c r="E469" s="15">
        <v>230.0</v>
      </c>
      <c r="F469" s="13" t="s">
        <v>27</v>
      </c>
      <c r="G469" s="15" t="s">
        <v>99</v>
      </c>
      <c r="H469" s="15">
        <v>1500.0</v>
      </c>
      <c r="I469" s="21">
        <f t="shared" si="1"/>
        <v>345</v>
      </c>
      <c r="J469" s="21"/>
      <c r="K469" s="22"/>
    </row>
    <row r="470" ht="22.5" customHeight="1">
      <c r="A470" s="28">
        <v>46009.0</v>
      </c>
      <c r="B470" s="15" t="s">
        <v>621</v>
      </c>
      <c r="C470" s="13" t="s">
        <v>26</v>
      </c>
      <c r="D470" s="13">
        <v>80.0</v>
      </c>
      <c r="E470" s="15">
        <v>200.0</v>
      </c>
      <c r="F470" s="13" t="s">
        <v>23</v>
      </c>
      <c r="G470" s="15" t="s">
        <v>99</v>
      </c>
      <c r="H470" s="15">
        <v>2330.0</v>
      </c>
      <c r="I470" s="21">
        <f t="shared" si="1"/>
        <v>466</v>
      </c>
      <c r="J470" s="21"/>
      <c r="K470" s="22"/>
    </row>
    <row r="471" ht="22.5" customHeight="1">
      <c r="A471" s="28">
        <v>46009.0</v>
      </c>
      <c r="B471" s="15" t="s">
        <v>621</v>
      </c>
      <c r="C471" s="13" t="s">
        <v>26</v>
      </c>
      <c r="D471" s="13">
        <v>80.0</v>
      </c>
      <c r="E471" s="15">
        <v>210.0</v>
      </c>
      <c r="F471" s="13" t="s">
        <v>27</v>
      </c>
      <c r="G471" s="15" t="s">
        <v>99</v>
      </c>
      <c r="H471" s="15">
        <v>1100.0</v>
      </c>
      <c r="I471" s="21">
        <f t="shared" si="1"/>
        <v>231</v>
      </c>
      <c r="J471" s="21"/>
      <c r="K471" s="22"/>
    </row>
    <row r="472" ht="22.5" customHeight="1">
      <c r="A472" s="28">
        <v>46009.0</v>
      </c>
      <c r="B472" s="15" t="s">
        <v>623</v>
      </c>
      <c r="C472" s="13" t="s">
        <v>26</v>
      </c>
      <c r="D472" s="13">
        <v>80.0</v>
      </c>
      <c r="E472" s="15">
        <v>200.0</v>
      </c>
      <c r="F472" s="13" t="s">
        <v>23</v>
      </c>
      <c r="G472" s="15" t="s">
        <v>99</v>
      </c>
      <c r="H472" s="15">
        <v>3060.0</v>
      </c>
      <c r="I472" s="21">
        <f t="shared" si="1"/>
        <v>612</v>
      </c>
      <c r="J472" s="21"/>
      <c r="K472" s="22"/>
    </row>
    <row r="473" ht="22.5" customHeight="1">
      <c r="A473" s="28">
        <v>46009.0</v>
      </c>
      <c r="B473" s="15" t="s">
        <v>624</v>
      </c>
      <c r="C473" s="13" t="s">
        <v>9</v>
      </c>
      <c r="D473" s="13">
        <v>80.0</v>
      </c>
      <c r="E473" s="15">
        <v>140.0</v>
      </c>
      <c r="F473" s="13" t="s">
        <v>27</v>
      </c>
      <c r="G473" s="15" t="s">
        <v>99</v>
      </c>
      <c r="H473" s="15">
        <v>1480.0</v>
      </c>
      <c r="I473" s="21">
        <f t="shared" si="1"/>
        <v>207.2</v>
      </c>
      <c r="J473" s="21"/>
      <c r="K473" s="22"/>
    </row>
    <row r="474" ht="22.5" customHeight="1">
      <c r="A474" s="28">
        <v>46009.0</v>
      </c>
      <c r="B474" s="15" t="s">
        <v>625</v>
      </c>
      <c r="C474" s="13" t="s">
        <v>9</v>
      </c>
      <c r="D474" s="13">
        <v>80.0</v>
      </c>
      <c r="E474" s="15">
        <v>140.0</v>
      </c>
      <c r="F474" s="13" t="s">
        <v>27</v>
      </c>
      <c r="G474" s="15" t="s">
        <v>99</v>
      </c>
      <c r="H474" s="15">
        <v>1470.0</v>
      </c>
      <c r="I474" s="21">
        <f t="shared" si="1"/>
        <v>205.8</v>
      </c>
      <c r="J474" s="21"/>
      <c r="K474" s="22"/>
    </row>
    <row r="475" ht="22.5" customHeight="1">
      <c r="A475" s="28">
        <v>46010.0</v>
      </c>
      <c r="B475" s="15" t="s">
        <v>626</v>
      </c>
      <c r="C475" s="13" t="s">
        <v>9</v>
      </c>
      <c r="D475" s="13">
        <v>80.0</v>
      </c>
      <c r="E475" s="15">
        <v>260.0</v>
      </c>
      <c r="F475" s="13" t="s">
        <v>27</v>
      </c>
      <c r="G475" s="15" t="s">
        <v>99</v>
      </c>
      <c r="H475" s="15">
        <v>3400.0</v>
      </c>
      <c r="I475" s="21">
        <f t="shared" si="1"/>
        <v>884</v>
      </c>
      <c r="J475" s="21"/>
      <c r="K475" s="22"/>
    </row>
    <row r="476" ht="22.5" customHeight="1">
      <c r="A476" s="28">
        <v>46010.0</v>
      </c>
      <c r="B476" s="15" t="s">
        <v>628</v>
      </c>
      <c r="C476" s="13" t="s">
        <v>9</v>
      </c>
      <c r="D476" s="13">
        <v>80.0</v>
      </c>
      <c r="E476" s="15">
        <v>260.0</v>
      </c>
      <c r="F476" s="13" t="s">
        <v>27</v>
      </c>
      <c r="G476" s="15" t="s">
        <v>99</v>
      </c>
      <c r="H476" s="15">
        <v>1000.0</v>
      </c>
      <c r="I476" s="21">
        <f t="shared" si="1"/>
        <v>260</v>
      </c>
      <c r="J476" s="21"/>
      <c r="K476" s="22"/>
    </row>
    <row r="477" ht="22.5" customHeight="1">
      <c r="A477" s="28">
        <v>46010.0</v>
      </c>
      <c r="B477" s="15" t="s">
        <v>630</v>
      </c>
      <c r="C477" s="13" t="s">
        <v>9</v>
      </c>
      <c r="D477" s="13">
        <v>80.0</v>
      </c>
      <c r="E477" s="15">
        <v>160.0</v>
      </c>
      <c r="F477" s="13" t="s">
        <v>27</v>
      </c>
      <c r="G477" s="15" t="s">
        <v>99</v>
      </c>
      <c r="H477" s="15">
        <v>1480.0</v>
      </c>
      <c r="I477" s="21">
        <f t="shared" si="1"/>
        <v>236.8</v>
      </c>
      <c r="J477" s="21"/>
      <c r="K477" s="22"/>
    </row>
    <row r="478" ht="22.5" customHeight="1">
      <c r="A478" s="28">
        <v>46010.0</v>
      </c>
      <c r="B478" s="15" t="s">
        <v>631</v>
      </c>
      <c r="C478" s="13" t="s">
        <v>9</v>
      </c>
      <c r="D478" s="13">
        <v>80.0</v>
      </c>
      <c r="E478" s="15">
        <v>140.0</v>
      </c>
      <c r="F478" s="13" t="s">
        <v>27</v>
      </c>
      <c r="G478" s="15" t="s">
        <v>99</v>
      </c>
      <c r="H478" s="15">
        <v>800.0</v>
      </c>
      <c r="I478" s="21">
        <f t="shared" si="1"/>
        <v>112</v>
      </c>
      <c r="J478" s="21"/>
      <c r="K478" s="22"/>
    </row>
    <row r="479" ht="22.5" customHeight="1">
      <c r="A479" s="28">
        <v>46011.0</v>
      </c>
      <c r="B479" s="15" t="s">
        <v>633</v>
      </c>
      <c r="C479" s="13" t="s">
        <v>9</v>
      </c>
      <c r="D479" s="13">
        <v>80.0</v>
      </c>
      <c r="E479" s="15">
        <v>250.0</v>
      </c>
      <c r="F479" s="13" t="s">
        <v>21</v>
      </c>
      <c r="G479" s="15" t="s">
        <v>498</v>
      </c>
      <c r="H479" s="15">
        <v>2200.0</v>
      </c>
      <c r="I479" s="21">
        <f t="shared" si="1"/>
        <v>550</v>
      </c>
      <c r="J479" s="15" t="s">
        <v>677</v>
      </c>
      <c r="K479" s="22"/>
    </row>
    <row r="480" ht="22.5" customHeight="1">
      <c r="A480" s="28">
        <v>46011.0</v>
      </c>
      <c r="B480" s="15" t="s">
        <v>634</v>
      </c>
      <c r="C480" s="13" t="s">
        <v>26</v>
      </c>
      <c r="D480" s="13">
        <v>80.0</v>
      </c>
      <c r="E480" s="15">
        <v>160.0</v>
      </c>
      <c r="F480" s="13" t="s">
        <v>23</v>
      </c>
      <c r="G480" s="15" t="s">
        <v>99</v>
      </c>
      <c r="H480" s="15">
        <v>1050.0</v>
      </c>
      <c r="I480" s="21">
        <f t="shared" si="1"/>
        <v>168</v>
      </c>
      <c r="J480" s="21"/>
      <c r="K480" s="22"/>
    </row>
    <row r="481" ht="22.5" customHeight="1">
      <c r="A481" s="28">
        <v>46011.0</v>
      </c>
      <c r="B481" s="15" t="s">
        <v>635</v>
      </c>
      <c r="C481" s="13" t="s">
        <v>9</v>
      </c>
      <c r="D481" s="13">
        <v>80.0</v>
      </c>
      <c r="E481" s="15">
        <v>210.0</v>
      </c>
      <c r="F481" s="13" t="s">
        <v>21</v>
      </c>
      <c r="G481" s="15" t="s">
        <v>89</v>
      </c>
      <c r="H481" s="15">
        <v>2000.0</v>
      </c>
      <c r="I481" s="21">
        <f t="shared" si="1"/>
        <v>420</v>
      </c>
      <c r="J481" s="21"/>
      <c r="K481" s="22"/>
    </row>
    <row r="482" ht="22.5" customHeight="1">
      <c r="A482" s="28">
        <v>46014.0</v>
      </c>
      <c r="B482" s="15" t="s">
        <v>637</v>
      </c>
      <c r="C482" s="13" t="s">
        <v>9</v>
      </c>
      <c r="D482" s="13">
        <v>80.0</v>
      </c>
      <c r="E482" s="15">
        <v>140.0</v>
      </c>
      <c r="F482" s="13" t="s">
        <v>27</v>
      </c>
      <c r="G482" s="15" t="s">
        <v>99</v>
      </c>
      <c r="H482" s="15">
        <v>1730.0</v>
      </c>
      <c r="I482" s="21">
        <f t="shared" si="1"/>
        <v>242.2</v>
      </c>
      <c r="J482" s="21"/>
      <c r="K482" s="22"/>
    </row>
    <row r="483" ht="22.5" customHeight="1">
      <c r="A483" s="28">
        <v>46014.0</v>
      </c>
      <c r="B483" s="15" t="s">
        <v>638</v>
      </c>
      <c r="C483" s="13" t="s">
        <v>54</v>
      </c>
      <c r="D483" s="13">
        <v>40.0</v>
      </c>
      <c r="E483" s="15">
        <v>240.0</v>
      </c>
      <c r="F483" s="13" t="s">
        <v>55</v>
      </c>
      <c r="G483" s="15" t="s">
        <v>742</v>
      </c>
      <c r="H483" s="15">
        <v>2000.0</v>
      </c>
      <c r="I483" s="21">
        <f t="shared" si="1"/>
        <v>480</v>
      </c>
      <c r="J483" s="21"/>
      <c r="K483" s="22"/>
    </row>
    <row r="484" ht="22.5" customHeight="1">
      <c r="A484" s="28">
        <v>46014.0</v>
      </c>
      <c r="B484" s="15" t="s">
        <v>641</v>
      </c>
      <c r="C484" s="13" t="s">
        <v>43</v>
      </c>
      <c r="D484" s="13">
        <v>50.0</v>
      </c>
      <c r="E484" s="15">
        <v>125.0</v>
      </c>
      <c r="F484" s="13" t="s">
        <v>27</v>
      </c>
      <c r="G484" s="15" t="s">
        <v>176</v>
      </c>
      <c r="H484" s="15">
        <v>2000.0</v>
      </c>
      <c r="I484" s="21">
        <f t="shared" si="1"/>
        <v>250</v>
      </c>
      <c r="J484" s="21"/>
      <c r="K484" s="22"/>
    </row>
    <row r="485" ht="22.5" customHeight="1">
      <c r="A485" s="28">
        <v>46015.0</v>
      </c>
      <c r="B485" s="15" t="s">
        <v>643</v>
      </c>
      <c r="C485" s="13" t="s">
        <v>43</v>
      </c>
      <c r="D485" s="13">
        <v>50.0</v>
      </c>
      <c r="E485" s="15">
        <v>125.0</v>
      </c>
      <c r="F485" s="13" t="s">
        <v>27</v>
      </c>
      <c r="G485" s="15" t="s">
        <v>644</v>
      </c>
      <c r="H485" s="15">
        <v>1600.0</v>
      </c>
      <c r="I485" s="21">
        <f t="shared" si="1"/>
        <v>200</v>
      </c>
      <c r="J485" s="21"/>
      <c r="K485" s="22"/>
    </row>
    <row r="486" ht="22.5" customHeight="1">
      <c r="A486" s="28">
        <v>46015.0</v>
      </c>
      <c r="B486" s="15" t="s">
        <v>645</v>
      </c>
      <c r="C486" s="13" t="s">
        <v>9</v>
      </c>
      <c r="D486" s="13">
        <v>80.0</v>
      </c>
      <c r="E486" s="15">
        <v>250.0</v>
      </c>
      <c r="F486" s="13" t="s">
        <v>21</v>
      </c>
      <c r="G486" s="15" t="s">
        <v>89</v>
      </c>
      <c r="H486" s="15">
        <v>950.0</v>
      </c>
      <c r="I486" s="21">
        <f t="shared" si="1"/>
        <v>237.5</v>
      </c>
      <c r="J486" s="21"/>
      <c r="K486" s="22"/>
    </row>
    <row r="487" ht="22.5" customHeight="1">
      <c r="A487" s="28">
        <v>46015.0</v>
      </c>
      <c r="B487" s="15" t="s">
        <v>646</v>
      </c>
      <c r="C487" s="13" t="s">
        <v>9</v>
      </c>
      <c r="D487" s="13">
        <v>80.0</v>
      </c>
      <c r="E487" s="15">
        <v>300.0</v>
      </c>
      <c r="F487" s="13" t="s">
        <v>21</v>
      </c>
      <c r="G487" s="15" t="s">
        <v>89</v>
      </c>
      <c r="H487" s="15">
        <v>5200.0</v>
      </c>
      <c r="I487" s="21">
        <f t="shared" si="1"/>
        <v>1560</v>
      </c>
      <c r="J487" s="15" t="s">
        <v>837</v>
      </c>
      <c r="K487" s="22"/>
    </row>
    <row r="488" ht="22.5" customHeight="1">
      <c r="A488" s="28">
        <v>46016.0</v>
      </c>
      <c r="B488" s="15" t="s">
        <v>647</v>
      </c>
      <c r="C488" s="13" t="s">
        <v>9</v>
      </c>
      <c r="D488" s="13">
        <v>80.0</v>
      </c>
      <c r="E488" s="15">
        <v>160.0</v>
      </c>
      <c r="F488" s="13" t="s">
        <v>27</v>
      </c>
      <c r="G488" s="15" t="s">
        <v>99</v>
      </c>
      <c r="H488" s="15">
        <v>2440.0</v>
      </c>
      <c r="I488" s="21">
        <f t="shared" si="1"/>
        <v>390.4</v>
      </c>
      <c r="J488" s="21"/>
      <c r="K488" s="22"/>
    </row>
    <row r="489" ht="22.5" customHeight="1">
      <c r="A489" s="28">
        <v>46016.0</v>
      </c>
      <c r="B489" s="15" t="s">
        <v>648</v>
      </c>
      <c r="C489" s="13" t="s">
        <v>9</v>
      </c>
      <c r="D489" s="13">
        <v>80.0</v>
      </c>
      <c r="E489" s="15">
        <v>230.0</v>
      </c>
      <c r="F489" s="13" t="s">
        <v>27</v>
      </c>
      <c r="G489" s="15" t="s">
        <v>99</v>
      </c>
      <c r="H489" s="15">
        <v>3560.0</v>
      </c>
      <c r="I489" s="21">
        <f t="shared" si="1"/>
        <v>818.8</v>
      </c>
      <c r="J489" s="21"/>
      <c r="K489" s="22"/>
    </row>
    <row r="490" ht="22.5" customHeight="1">
      <c r="A490" s="28">
        <v>46016.0</v>
      </c>
      <c r="B490" s="15" t="s">
        <v>649</v>
      </c>
      <c r="C490" s="13" t="s">
        <v>9</v>
      </c>
      <c r="D490" s="13">
        <v>80.0</v>
      </c>
      <c r="E490" s="15">
        <v>195.0</v>
      </c>
      <c r="F490" s="13" t="s">
        <v>27</v>
      </c>
      <c r="G490" s="15" t="s">
        <v>99</v>
      </c>
      <c r="H490" s="15">
        <v>2960.0</v>
      </c>
      <c r="I490" s="21">
        <f t="shared" si="1"/>
        <v>577.2</v>
      </c>
      <c r="J490" s="21"/>
      <c r="K490" s="22"/>
    </row>
    <row r="491" ht="22.5" customHeight="1">
      <c r="A491" s="28">
        <v>46016.0</v>
      </c>
      <c r="B491" s="15" t="s">
        <v>650</v>
      </c>
      <c r="C491" s="13" t="s">
        <v>9</v>
      </c>
      <c r="D491" s="13">
        <v>80.0</v>
      </c>
      <c r="E491" s="15">
        <v>195.0</v>
      </c>
      <c r="F491" s="13" t="s">
        <v>27</v>
      </c>
      <c r="G491" s="15" t="s">
        <v>99</v>
      </c>
      <c r="H491" s="15">
        <v>1960.0</v>
      </c>
      <c r="I491" s="21">
        <f t="shared" si="1"/>
        <v>382.2</v>
      </c>
      <c r="J491" s="21"/>
      <c r="K491" s="22"/>
    </row>
    <row r="492" ht="22.5" customHeight="1">
      <c r="A492" s="28">
        <v>46016.0</v>
      </c>
      <c r="B492" s="15" t="s">
        <v>651</v>
      </c>
      <c r="C492" s="13" t="s">
        <v>9</v>
      </c>
      <c r="D492" s="13">
        <v>80.0</v>
      </c>
      <c r="E492" s="15">
        <v>230.0</v>
      </c>
      <c r="F492" s="13" t="s">
        <v>27</v>
      </c>
      <c r="G492" s="15" t="s">
        <v>99</v>
      </c>
      <c r="H492" s="15">
        <v>1360.0</v>
      </c>
      <c r="I492" s="21">
        <f t="shared" si="1"/>
        <v>312.8</v>
      </c>
      <c r="J492" s="21"/>
      <c r="K492" s="22"/>
    </row>
    <row r="493" ht="22.5" customHeight="1">
      <c r="A493" s="28">
        <v>46016.0</v>
      </c>
      <c r="B493" s="15" t="s">
        <v>653</v>
      </c>
      <c r="C493" s="13" t="s">
        <v>9</v>
      </c>
      <c r="D493" s="13">
        <v>80.0</v>
      </c>
      <c r="E493" s="15">
        <v>140.0</v>
      </c>
      <c r="F493" s="13" t="s">
        <v>27</v>
      </c>
      <c r="G493" s="15" t="s">
        <v>99</v>
      </c>
      <c r="H493" s="15">
        <v>1470.0</v>
      </c>
      <c r="I493" s="21">
        <f t="shared" si="1"/>
        <v>205.8</v>
      </c>
      <c r="J493" s="21"/>
      <c r="K493" s="22"/>
    </row>
    <row r="494" ht="22.5" customHeight="1">
      <c r="A494" s="28">
        <v>46017.0</v>
      </c>
      <c r="B494" s="15" t="s">
        <v>654</v>
      </c>
      <c r="C494" s="13" t="s">
        <v>26</v>
      </c>
      <c r="D494" s="13">
        <v>80.0</v>
      </c>
      <c r="E494" s="15">
        <v>130.0</v>
      </c>
      <c r="F494" s="13" t="s">
        <v>27</v>
      </c>
      <c r="G494" s="15" t="s">
        <v>99</v>
      </c>
      <c r="H494" s="15">
        <v>1500.0</v>
      </c>
      <c r="I494" s="21">
        <f t="shared" si="1"/>
        <v>195</v>
      </c>
      <c r="J494" s="21"/>
      <c r="K494" s="22"/>
    </row>
    <row r="495" ht="22.5" customHeight="1">
      <c r="A495" s="28">
        <v>46017.0</v>
      </c>
      <c r="B495" s="15" t="s">
        <v>655</v>
      </c>
      <c r="C495" s="13" t="s">
        <v>26</v>
      </c>
      <c r="D495" s="13">
        <v>80.0</v>
      </c>
      <c r="E495" s="15">
        <v>185.0</v>
      </c>
      <c r="F495" s="13" t="s">
        <v>27</v>
      </c>
      <c r="G495" s="15" t="s">
        <v>99</v>
      </c>
      <c r="H495" s="15">
        <v>3000.0</v>
      </c>
      <c r="I495" s="21">
        <f t="shared" si="1"/>
        <v>555</v>
      </c>
      <c r="J495" s="21"/>
      <c r="K495" s="22"/>
    </row>
    <row r="496" ht="22.5" customHeight="1">
      <c r="A496" s="28">
        <v>46017.0</v>
      </c>
      <c r="B496" s="15" t="s">
        <v>656</v>
      </c>
      <c r="C496" s="13" t="s">
        <v>9</v>
      </c>
      <c r="D496" s="13">
        <v>80.0</v>
      </c>
      <c r="E496" s="15">
        <v>150.0</v>
      </c>
      <c r="F496" s="13" t="s">
        <v>21</v>
      </c>
      <c r="G496" s="15" t="s">
        <v>89</v>
      </c>
      <c r="H496" s="15">
        <v>4000.0</v>
      </c>
      <c r="I496" s="21">
        <f t="shared" si="1"/>
        <v>600</v>
      </c>
      <c r="J496" s="21"/>
      <c r="K496" s="22"/>
    </row>
    <row r="497" ht="22.5" customHeight="1">
      <c r="A497" s="28">
        <v>46017.0</v>
      </c>
      <c r="B497" s="15" t="s">
        <v>657</v>
      </c>
      <c r="C497" s="13" t="s">
        <v>9</v>
      </c>
      <c r="D497" s="13">
        <v>80.0</v>
      </c>
      <c r="E497" s="15">
        <v>250.0</v>
      </c>
      <c r="F497" s="13" t="s">
        <v>21</v>
      </c>
      <c r="G497" s="15" t="s">
        <v>89</v>
      </c>
      <c r="H497" s="15">
        <v>2050.0</v>
      </c>
      <c r="I497" s="21">
        <f t="shared" si="1"/>
        <v>512.5</v>
      </c>
      <c r="J497" s="21"/>
      <c r="K497" s="22"/>
    </row>
    <row r="498" ht="22.5" customHeight="1">
      <c r="A498" s="28">
        <v>46018.0</v>
      </c>
      <c r="B498" s="15" t="s">
        <v>658</v>
      </c>
      <c r="C498" s="13" t="s">
        <v>9</v>
      </c>
      <c r="D498" s="13">
        <v>80.0</v>
      </c>
      <c r="E498" s="15">
        <v>140.0</v>
      </c>
      <c r="F498" s="13" t="s">
        <v>27</v>
      </c>
      <c r="G498" s="15" t="s">
        <v>139</v>
      </c>
      <c r="H498" s="15">
        <v>300.0</v>
      </c>
      <c r="I498" s="21">
        <f t="shared" si="1"/>
        <v>42</v>
      </c>
      <c r="J498" s="21"/>
      <c r="K498" s="22"/>
    </row>
    <row r="499" ht="22.5" customHeight="1">
      <c r="A499" s="28">
        <v>46018.0</v>
      </c>
      <c r="B499" s="15" t="s">
        <v>658</v>
      </c>
      <c r="C499" s="13" t="s">
        <v>9</v>
      </c>
      <c r="D499" s="13">
        <v>80.0</v>
      </c>
      <c r="E499" s="15">
        <v>160.0</v>
      </c>
      <c r="F499" s="13" t="s">
        <v>27</v>
      </c>
      <c r="G499" s="15" t="s">
        <v>139</v>
      </c>
      <c r="H499" s="15">
        <v>200.0</v>
      </c>
      <c r="I499" s="21">
        <f t="shared" si="1"/>
        <v>32</v>
      </c>
      <c r="J499" s="21"/>
      <c r="K499" s="22"/>
    </row>
    <row r="500" ht="22.5" customHeight="1">
      <c r="A500" s="28">
        <v>46018.0</v>
      </c>
      <c r="B500" s="15" t="s">
        <v>659</v>
      </c>
      <c r="C500" s="13" t="s">
        <v>9</v>
      </c>
      <c r="D500" s="13">
        <v>80.0</v>
      </c>
      <c r="E500" s="15">
        <v>125.0</v>
      </c>
      <c r="F500" s="13" t="s">
        <v>21</v>
      </c>
      <c r="G500" s="15" t="s">
        <v>89</v>
      </c>
      <c r="H500" s="15">
        <v>2450.0</v>
      </c>
      <c r="I500" s="21">
        <f t="shared" si="1"/>
        <v>306.25</v>
      </c>
      <c r="J500" s="21"/>
      <c r="K500" s="22"/>
    </row>
    <row r="501" ht="22.5" customHeight="1">
      <c r="A501" s="28">
        <v>46018.0</v>
      </c>
      <c r="B501" s="15" t="s">
        <v>660</v>
      </c>
      <c r="C501" s="13" t="s">
        <v>9</v>
      </c>
      <c r="D501" s="13">
        <v>80.0</v>
      </c>
      <c r="E501" s="15">
        <v>125.0</v>
      </c>
      <c r="F501" s="13" t="s">
        <v>21</v>
      </c>
      <c r="G501" s="15" t="s">
        <v>89</v>
      </c>
      <c r="H501" s="15">
        <v>4100.0</v>
      </c>
      <c r="I501" s="21">
        <f t="shared" si="1"/>
        <v>512.5</v>
      </c>
      <c r="J501" s="21"/>
      <c r="K501" s="22"/>
    </row>
    <row r="502" ht="22.5" customHeight="1">
      <c r="A502" s="28">
        <v>46018.0</v>
      </c>
      <c r="B502" s="15" t="s">
        <v>661</v>
      </c>
      <c r="C502" s="13" t="s">
        <v>9</v>
      </c>
      <c r="D502" s="13">
        <v>80.0</v>
      </c>
      <c r="E502" s="15">
        <v>170.0</v>
      </c>
      <c r="F502" s="13" t="s">
        <v>21</v>
      </c>
      <c r="G502" s="15" t="s">
        <v>89</v>
      </c>
      <c r="H502" s="15">
        <v>2000.0</v>
      </c>
      <c r="I502" s="21">
        <f t="shared" si="1"/>
        <v>340</v>
      </c>
      <c r="J502" s="21"/>
      <c r="K502" s="22"/>
    </row>
    <row r="503" ht="22.5" customHeight="1">
      <c r="A503" s="28">
        <v>46018.0</v>
      </c>
      <c r="B503" s="15" t="s">
        <v>662</v>
      </c>
      <c r="C503" s="13" t="s">
        <v>9</v>
      </c>
      <c r="D503" s="13">
        <v>80.0</v>
      </c>
      <c r="E503" s="15">
        <v>125.0</v>
      </c>
      <c r="F503" s="13" t="s">
        <v>21</v>
      </c>
      <c r="G503" s="15" t="s">
        <v>89</v>
      </c>
      <c r="H503" s="15">
        <v>1150.0</v>
      </c>
      <c r="I503" s="21">
        <f t="shared" si="1"/>
        <v>143.75</v>
      </c>
      <c r="J503" s="21"/>
      <c r="K503" s="22"/>
    </row>
    <row r="504" ht="22.5" customHeight="1">
      <c r="A504" s="28">
        <v>46018.0</v>
      </c>
      <c r="B504" s="15" t="s">
        <v>663</v>
      </c>
      <c r="C504" s="13" t="s">
        <v>9</v>
      </c>
      <c r="D504" s="13">
        <v>80.0</v>
      </c>
      <c r="E504" s="15">
        <v>170.0</v>
      </c>
      <c r="F504" s="13" t="s">
        <v>21</v>
      </c>
      <c r="G504" s="15" t="s">
        <v>89</v>
      </c>
      <c r="H504" s="15">
        <v>550.0</v>
      </c>
      <c r="I504" s="21">
        <f t="shared" si="1"/>
        <v>93.5</v>
      </c>
      <c r="J504" s="21"/>
      <c r="K504" s="22"/>
    </row>
    <row r="505" ht="22.5" customHeight="1">
      <c r="A505" s="28">
        <v>46018.0</v>
      </c>
      <c r="B505" s="15" t="s">
        <v>664</v>
      </c>
      <c r="C505" s="13" t="s">
        <v>9</v>
      </c>
      <c r="D505" s="13">
        <v>80.0</v>
      </c>
      <c r="E505" s="15">
        <v>160.0</v>
      </c>
      <c r="F505" s="13" t="s">
        <v>21</v>
      </c>
      <c r="G505" s="15" t="s">
        <v>89</v>
      </c>
      <c r="H505" s="15">
        <v>2000.0</v>
      </c>
      <c r="I505" s="21">
        <f t="shared" si="1"/>
        <v>320</v>
      </c>
      <c r="J505" s="21"/>
      <c r="K505" s="22"/>
    </row>
    <row r="506" ht="22.5" customHeight="1">
      <c r="A506" s="28">
        <v>46018.0</v>
      </c>
      <c r="B506" s="15" t="s">
        <v>665</v>
      </c>
      <c r="C506" s="13" t="s">
        <v>9</v>
      </c>
      <c r="D506" s="13">
        <v>80.0</v>
      </c>
      <c r="E506" s="15">
        <v>250.0</v>
      </c>
      <c r="F506" s="13" t="s">
        <v>21</v>
      </c>
      <c r="G506" s="15" t="s">
        <v>89</v>
      </c>
      <c r="H506" s="15">
        <v>490.0</v>
      </c>
      <c r="I506" s="21">
        <f t="shared" si="1"/>
        <v>122.5</v>
      </c>
      <c r="J506" s="21"/>
      <c r="K506" s="22"/>
    </row>
    <row r="507" ht="22.5" customHeight="1">
      <c r="A507" s="28">
        <v>46018.0</v>
      </c>
      <c r="B507" s="15" t="s">
        <v>666</v>
      </c>
      <c r="C507" s="13" t="s">
        <v>9</v>
      </c>
      <c r="D507" s="13">
        <v>80.0</v>
      </c>
      <c r="E507" s="15">
        <v>250.0</v>
      </c>
      <c r="F507" s="13" t="s">
        <v>21</v>
      </c>
      <c r="G507" s="15" t="s">
        <v>89</v>
      </c>
      <c r="H507" s="15">
        <v>300.0</v>
      </c>
      <c r="I507" s="21">
        <f t="shared" si="1"/>
        <v>75</v>
      </c>
      <c r="J507" s="21"/>
      <c r="K507" s="22"/>
    </row>
    <row r="508" ht="22.5" customHeight="1">
      <c r="A508" s="28">
        <v>46018.0</v>
      </c>
      <c r="B508" s="15" t="s">
        <v>667</v>
      </c>
      <c r="C508" s="13" t="s">
        <v>9</v>
      </c>
      <c r="D508" s="13">
        <v>80.0</v>
      </c>
      <c r="E508" s="15">
        <v>250.0</v>
      </c>
      <c r="F508" s="13" t="s">
        <v>21</v>
      </c>
      <c r="G508" s="15" t="s">
        <v>89</v>
      </c>
      <c r="H508" s="15">
        <v>1400.0</v>
      </c>
      <c r="I508" s="21">
        <f t="shared" si="1"/>
        <v>350</v>
      </c>
      <c r="J508" s="21"/>
      <c r="K508" s="22"/>
    </row>
    <row r="509" ht="22.5" customHeight="1">
      <c r="A509" s="28">
        <v>46018.0</v>
      </c>
      <c r="B509" s="15" t="s">
        <v>668</v>
      </c>
      <c r="C509" s="13" t="s">
        <v>9</v>
      </c>
      <c r="D509" s="13">
        <v>80.0</v>
      </c>
      <c r="E509" s="15">
        <v>180.0</v>
      </c>
      <c r="F509" s="13" t="s">
        <v>21</v>
      </c>
      <c r="G509" s="15" t="s">
        <v>89</v>
      </c>
      <c r="H509" s="15">
        <v>800.0</v>
      </c>
      <c r="I509" s="21">
        <f t="shared" si="1"/>
        <v>144</v>
      </c>
      <c r="J509" s="21"/>
      <c r="K509" s="22"/>
    </row>
    <row r="510" ht="22.5" customHeight="1">
      <c r="A510" s="28">
        <v>46020.0</v>
      </c>
      <c r="B510" s="15" t="s">
        <v>669</v>
      </c>
      <c r="C510" s="13" t="s">
        <v>9</v>
      </c>
      <c r="D510" s="13">
        <v>80.0</v>
      </c>
      <c r="E510" s="15">
        <v>210.0</v>
      </c>
      <c r="F510" s="13" t="s">
        <v>21</v>
      </c>
      <c r="G510" s="15" t="s">
        <v>89</v>
      </c>
      <c r="H510" s="15">
        <v>1500.0</v>
      </c>
      <c r="I510" s="21">
        <f t="shared" si="1"/>
        <v>315</v>
      </c>
      <c r="J510" s="21"/>
      <c r="K510" s="22"/>
    </row>
    <row r="511" ht="22.5" customHeight="1">
      <c r="A511" s="28">
        <v>46020.0</v>
      </c>
      <c r="B511" s="15" t="s">
        <v>670</v>
      </c>
      <c r="C511" s="13" t="s">
        <v>9</v>
      </c>
      <c r="D511" s="13">
        <v>80.0</v>
      </c>
      <c r="E511" s="15">
        <v>150.0</v>
      </c>
      <c r="F511" s="13" t="s">
        <v>21</v>
      </c>
      <c r="G511" s="15" t="s">
        <v>89</v>
      </c>
      <c r="H511" s="15">
        <v>1700.0</v>
      </c>
      <c r="I511" s="21">
        <f t="shared" si="1"/>
        <v>255</v>
      </c>
      <c r="J511" s="21"/>
      <c r="K511" s="22"/>
    </row>
    <row r="512" ht="22.5" customHeight="1">
      <c r="A512" s="28">
        <v>46020.0</v>
      </c>
      <c r="B512" s="15" t="s">
        <v>671</v>
      </c>
      <c r="C512" s="13" t="s">
        <v>9</v>
      </c>
      <c r="D512" s="13">
        <v>80.0</v>
      </c>
      <c r="E512" s="15">
        <v>250.0</v>
      </c>
      <c r="F512" s="13" t="s">
        <v>21</v>
      </c>
      <c r="G512" s="15" t="s">
        <v>89</v>
      </c>
      <c r="H512" s="15">
        <v>2300.0</v>
      </c>
      <c r="I512" s="21">
        <f t="shared" si="1"/>
        <v>575</v>
      </c>
      <c r="J512" s="21"/>
      <c r="K512" s="22"/>
    </row>
    <row r="513" ht="22.5" customHeight="1">
      <c r="A513" s="28">
        <v>46020.0</v>
      </c>
      <c r="B513" s="15" t="s">
        <v>672</v>
      </c>
      <c r="C513" s="13" t="s">
        <v>43</v>
      </c>
      <c r="D513" s="13">
        <v>50.0</v>
      </c>
      <c r="E513" s="15">
        <v>110.0</v>
      </c>
      <c r="F513" s="13" t="s">
        <v>23</v>
      </c>
      <c r="G513" s="15" t="s">
        <v>166</v>
      </c>
      <c r="H513" s="15">
        <v>450.0</v>
      </c>
      <c r="I513" s="21">
        <f t="shared" si="1"/>
        <v>49.5</v>
      </c>
      <c r="J513" s="21"/>
      <c r="K513" s="22"/>
    </row>
    <row r="514" ht="22.5" customHeight="1">
      <c r="A514" s="28">
        <v>46020.0</v>
      </c>
      <c r="B514" s="15" t="s">
        <v>673</v>
      </c>
      <c r="C514" s="13" t="s">
        <v>9</v>
      </c>
      <c r="D514" s="13">
        <v>80.0</v>
      </c>
      <c r="E514" s="15">
        <v>250.0</v>
      </c>
      <c r="F514" s="13" t="s">
        <v>21</v>
      </c>
      <c r="G514" s="15" t="s">
        <v>89</v>
      </c>
      <c r="H514" s="15">
        <v>9540.0</v>
      </c>
      <c r="I514" s="21">
        <f t="shared" si="1"/>
        <v>2385</v>
      </c>
      <c r="J514" s="21"/>
      <c r="K514" s="22"/>
    </row>
    <row r="515" ht="22.5" customHeight="1">
      <c r="A515" s="28">
        <v>46020.0</v>
      </c>
      <c r="B515" s="15" t="s">
        <v>674</v>
      </c>
      <c r="C515" s="13" t="s">
        <v>9</v>
      </c>
      <c r="D515" s="13">
        <v>80.0</v>
      </c>
      <c r="E515" s="15">
        <v>320.0</v>
      </c>
      <c r="F515" s="13" t="s">
        <v>21</v>
      </c>
      <c r="G515" s="15" t="s">
        <v>89</v>
      </c>
      <c r="H515" s="15">
        <v>900.0</v>
      </c>
      <c r="I515" s="21">
        <f t="shared" si="1"/>
        <v>288</v>
      </c>
      <c r="J515" s="21"/>
      <c r="K515" s="22"/>
    </row>
    <row r="516" ht="22.5" customHeight="1">
      <c r="A516" s="28">
        <v>46021.0</v>
      </c>
      <c r="B516" s="15" t="s">
        <v>675</v>
      </c>
      <c r="C516" s="13" t="s">
        <v>9</v>
      </c>
      <c r="D516" s="13">
        <v>80.0</v>
      </c>
      <c r="E516" s="15">
        <v>290.0</v>
      </c>
      <c r="F516" s="13" t="s">
        <v>21</v>
      </c>
      <c r="G516" s="15" t="s">
        <v>89</v>
      </c>
      <c r="H516" s="15">
        <v>4800.0</v>
      </c>
      <c r="I516" s="21">
        <f t="shared" si="1"/>
        <v>1392</v>
      </c>
      <c r="J516" s="21"/>
      <c r="K516" s="22"/>
    </row>
    <row r="517" ht="22.5" customHeight="1">
      <c r="A517" s="28">
        <v>46021.0</v>
      </c>
      <c r="B517" s="15" t="s">
        <v>675</v>
      </c>
      <c r="C517" s="13" t="s">
        <v>9</v>
      </c>
      <c r="D517" s="13">
        <v>80.0</v>
      </c>
      <c r="E517" s="15">
        <v>320.0</v>
      </c>
      <c r="F517" s="13" t="s">
        <v>21</v>
      </c>
      <c r="G517" s="15" t="s">
        <v>89</v>
      </c>
      <c r="H517" s="15">
        <v>2350.0</v>
      </c>
      <c r="I517" s="21">
        <f t="shared" si="1"/>
        <v>752</v>
      </c>
      <c r="J517" s="21"/>
      <c r="K517" s="22"/>
    </row>
    <row r="518" ht="22.5" customHeight="1">
      <c r="A518" s="28">
        <v>46021.0</v>
      </c>
      <c r="B518" s="15" t="s">
        <v>676</v>
      </c>
      <c r="C518" s="13" t="s">
        <v>9</v>
      </c>
      <c r="D518" s="13">
        <v>80.0</v>
      </c>
      <c r="E518" s="15">
        <v>250.0</v>
      </c>
      <c r="F518" s="13" t="s">
        <v>21</v>
      </c>
      <c r="G518" s="15" t="s">
        <v>498</v>
      </c>
      <c r="H518" s="15">
        <v>3300.0</v>
      </c>
      <c r="I518" s="21">
        <f t="shared" si="1"/>
        <v>825</v>
      </c>
      <c r="J518" s="15" t="s">
        <v>875</v>
      </c>
      <c r="K518" s="22"/>
    </row>
    <row r="519" ht="22.5" customHeight="1">
      <c r="A519" s="28">
        <v>46021.0</v>
      </c>
      <c r="B519" s="15" t="s">
        <v>678</v>
      </c>
      <c r="C519" s="13" t="s">
        <v>9</v>
      </c>
      <c r="D519" s="13">
        <v>80.0</v>
      </c>
      <c r="E519" s="15">
        <v>250.0</v>
      </c>
      <c r="F519" s="13" t="s">
        <v>21</v>
      </c>
      <c r="G519" s="15" t="s">
        <v>89</v>
      </c>
      <c r="H519" s="15">
        <v>3990.0</v>
      </c>
      <c r="I519" s="21">
        <f t="shared" si="1"/>
        <v>997.5</v>
      </c>
      <c r="J519" s="15" t="s">
        <v>878</v>
      </c>
      <c r="K519" s="22"/>
    </row>
    <row r="520" ht="22.5" customHeight="1">
      <c r="A520" s="28">
        <v>46021.0</v>
      </c>
      <c r="B520" s="15" t="s">
        <v>678</v>
      </c>
      <c r="C520" s="13" t="s">
        <v>9</v>
      </c>
      <c r="D520" s="13">
        <v>80.0</v>
      </c>
      <c r="E520" s="15">
        <v>150.0</v>
      </c>
      <c r="F520" s="13" t="s">
        <v>21</v>
      </c>
      <c r="G520" s="15" t="s">
        <v>89</v>
      </c>
      <c r="H520" s="15">
        <v>700.0</v>
      </c>
      <c r="I520" s="21">
        <f t="shared" si="1"/>
        <v>105</v>
      </c>
      <c r="J520" s="21"/>
      <c r="K520" s="22"/>
    </row>
    <row r="521" ht="22.5" customHeight="1">
      <c r="A521" s="28">
        <v>46022.0</v>
      </c>
      <c r="B521" s="15" t="s">
        <v>679</v>
      </c>
      <c r="C521" s="13" t="s">
        <v>9</v>
      </c>
      <c r="D521" s="13">
        <v>80.0</v>
      </c>
      <c r="E521" s="15">
        <v>330.0</v>
      </c>
      <c r="F521" s="13" t="s">
        <v>21</v>
      </c>
      <c r="G521" s="15" t="s">
        <v>89</v>
      </c>
      <c r="H521" s="15">
        <v>3250.0</v>
      </c>
      <c r="I521" s="21">
        <f t="shared" si="1"/>
        <v>1072.5</v>
      </c>
      <c r="J521" s="21"/>
      <c r="K521" s="22"/>
    </row>
    <row r="522" ht="22.5" customHeight="1">
      <c r="A522" s="28">
        <v>46022.0</v>
      </c>
      <c r="B522" s="15" t="s">
        <v>680</v>
      </c>
      <c r="C522" s="13" t="s">
        <v>9</v>
      </c>
      <c r="D522" s="13">
        <v>80.0</v>
      </c>
      <c r="E522" s="15">
        <v>320.0</v>
      </c>
      <c r="F522" s="13" t="s">
        <v>21</v>
      </c>
      <c r="G522" s="15" t="s">
        <v>89</v>
      </c>
      <c r="H522" s="15">
        <v>700.0</v>
      </c>
      <c r="I522" s="21">
        <f t="shared" si="1"/>
        <v>224</v>
      </c>
      <c r="J522" s="21"/>
      <c r="K522" s="22"/>
    </row>
    <row r="523" ht="22.5" customHeight="1">
      <c r="A523" s="28">
        <v>46022.0</v>
      </c>
      <c r="B523" s="15" t="s">
        <v>680</v>
      </c>
      <c r="C523" s="13" t="s">
        <v>9</v>
      </c>
      <c r="D523" s="13">
        <v>80.0</v>
      </c>
      <c r="E523" s="15">
        <v>330.0</v>
      </c>
      <c r="F523" s="13" t="s">
        <v>21</v>
      </c>
      <c r="G523" s="15" t="s">
        <v>89</v>
      </c>
      <c r="H523" s="15">
        <v>2000.0</v>
      </c>
      <c r="I523" s="21">
        <f t="shared" si="1"/>
        <v>660</v>
      </c>
      <c r="J523" s="21"/>
      <c r="K523" s="22"/>
    </row>
    <row r="524" ht="22.5" customHeight="1">
      <c r="A524" s="28">
        <v>46022.0</v>
      </c>
      <c r="B524" s="15" t="s">
        <v>681</v>
      </c>
      <c r="C524" s="13" t="s">
        <v>9</v>
      </c>
      <c r="D524" s="13">
        <v>80.0</v>
      </c>
      <c r="E524" s="15">
        <v>160.0</v>
      </c>
      <c r="F524" s="13" t="s">
        <v>33</v>
      </c>
      <c r="G524" s="15" t="s">
        <v>170</v>
      </c>
      <c r="H524" s="15">
        <v>2000.0</v>
      </c>
      <c r="I524" s="21">
        <f t="shared" si="1"/>
        <v>320</v>
      </c>
      <c r="J524" s="21"/>
      <c r="K524" s="22"/>
    </row>
    <row r="525" ht="22.5" customHeight="1">
      <c r="A525" s="28">
        <v>46022.0</v>
      </c>
      <c r="B525" s="15" t="s">
        <v>682</v>
      </c>
      <c r="C525" s="13" t="s">
        <v>9</v>
      </c>
      <c r="D525" s="13">
        <v>80.0</v>
      </c>
      <c r="E525" s="15">
        <v>160.0</v>
      </c>
      <c r="F525" s="13" t="s">
        <v>33</v>
      </c>
      <c r="G525" s="15" t="s">
        <v>170</v>
      </c>
      <c r="H525" s="15">
        <v>1490.0</v>
      </c>
      <c r="I525" s="21">
        <f t="shared" si="1"/>
        <v>238.4</v>
      </c>
      <c r="J525" s="21"/>
      <c r="K525" s="22"/>
    </row>
    <row r="526" ht="22.5" customHeight="1">
      <c r="A526" s="28">
        <v>46022.0</v>
      </c>
      <c r="B526" s="15" t="s">
        <v>683</v>
      </c>
      <c r="C526" s="13" t="s">
        <v>9</v>
      </c>
      <c r="D526" s="13">
        <v>80.0</v>
      </c>
      <c r="E526" s="15">
        <v>210.0</v>
      </c>
      <c r="F526" s="13" t="s">
        <v>21</v>
      </c>
      <c r="G526" s="15" t="s">
        <v>89</v>
      </c>
      <c r="H526" s="15">
        <v>2100.0</v>
      </c>
      <c r="I526" s="21">
        <f t="shared" si="1"/>
        <v>441</v>
      </c>
      <c r="J526" s="21"/>
      <c r="K526" s="22"/>
    </row>
    <row r="527" ht="22.5" customHeight="1">
      <c r="A527" s="28">
        <v>46022.0</v>
      </c>
      <c r="B527" s="15" t="s">
        <v>684</v>
      </c>
      <c r="C527" s="13" t="s">
        <v>9</v>
      </c>
      <c r="D527" s="13">
        <v>80.0</v>
      </c>
      <c r="E527" s="15">
        <v>280.0</v>
      </c>
      <c r="F527" s="13" t="s">
        <v>21</v>
      </c>
      <c r="G527" s="15" t="s">
        <v>89</v>
      </c>
      <c r="H527" s="15">
        <v>6700.0</v>
      </c>
      <c r="I527" s="21">
        <f t="shared" si="1"/>
        <v>1876</v>
      </c>
      <c r="J527" s="21"/>
      <c r="K527" s="22"/>
    </row>
    <row r="528" ht="22.5" customHeight="1">
      <c r="A528" s="28">
        <v>46022.0</v>
      </c>
      <c r="B528" s="15" t="s">
        <v>685</v>
      </c>
      <c r="C528" s="13" t="s">
        <v>9</v>
      </c>
      <c r="D528" s="13">
        <v>80.0</v>
      </c>
      <c r="E528" s="15">
        <v>290.0</v>
      </c>
      <c r="F528" s="13" t="s">
        <v>21</v>
      </c>
      <c r="G528" s="15" t="s">
        <v>89</v>
      </c>
      <c r="H528" s="15">
        <v>2000.0</v>
      </c>
      <c r="I528" s="21">
        <f t="shared" si="1"/>
        <v>580</v>
      </c>
      <c r="J528" s="21"/>
      <c r="K528" s="22"/>
    </row>
    <row r="529" ht="22.5" customHeight="1">
      <c r="A529" s="28">
        <v>46024.0</v>
      </c>
      <c r="B529" s="15" t="s">
        <v>686</v>
      </c>
      <c r="C529" s="13" t="s">
        <v>9</v>
      </c>
      <c r="D529" s="13">
        <v>80.0</v>
      </c>
      <c r="E529" s="15">
        <v>250.0</v>
      </c>
      <c r="F529" s="13" t="s">
        <v>21</v>
      </c>
      <c r="G529" s="15" t="s">
        <v>89</v>
      </c>
      <c r="H529" s="15">
        <v>16000.0</v>
      </c>
      <c r="I529" s="21">
        <f t="shared" si="1"/>
        <v>4000</v>
      </c>
      <c r="J529" s="21"/>
      <c r="K529" s="22"/>
    </row>
    <row r="530" ht="22.5" customHeight="1">
      <c r="A530" s="28">
        <v>46024.0</v>
      </c>
      <c r="B530" s="15" t="s">
        <v>687</v>
      </c>
      <c r="C530" s="13" t="s">
        <v>9</v>
      </c>
      <c r="D530" s="13">
        <v>80.0</v>
      </c>
      <c r="E530" s="15">
        <v>125.0</v>
      </c>
      <c r="F530" s="13" t="s">
        <v>21</v>
      </c>
      <c r="G530" s="15" t="s">
        <v>89</v>
      </c>
      <c r="H530" s="15">
        <v>2000.0</v>
      </c>
      <c r="I530" s="21">
        <f t="shared" si="1"/>
        <v>250</v>
      </c>
      <c r="J530" s="21"/>
      <c r="K530" s="22"/>
    </row>
    <row r="531" ht="22.5" customHeight="1">
      <c r="A531" s="28">
        <v>46024.0</v>
      </c>
      <c r="B531" s="15" t="s">
        <v>688</v>
      </c>
      <c r="C531" s="13" t="s">
        <v>9</v>
      </c>
      <c r="D531" s="13">
        <v>80.0</v>
      </c>
      <c r="E531" s="15">
        <v>210.0</v>
      </c>
      <c r="F531" s="13" t="s">
        <v>21</v>
      </c>
      <c r="G531" s="15" t="s">
        <v>89</v>
      </c>
      <c r="H531" s="15">
        <v>2950.0</v>
      </c>
      <c r="I531" s="21">
        <f t="shared" si="1"/>
        <v>619.5</v>
      </c>
      <c r="J531" s="21"/>
      <c r="K531" s="22"/>
    </row>
    <row r="532" ht="22.5" customHeight="1">
      <c r="A532" s="28">
        <v>46024.0</v>
      </c>
      <c r="B532" s="15" t="s">
        <v>689</v>
      </c>
      <c r="C532" s="13" t="s">
        <v>9</v>
      </c>
      <c r="D532" s="13">
        <v>80.0</v>
      </c>
      <c r="E532" s="15">
        <v>290.0</v>
      </c>
      <c r="F532" s="13" t="s">
        <v>21</v>
      </c>
      <c r="G532" s="15" t="s">
        <v>89</v>
      </c>
      <c r="H532" s="15">
        <v>2000.0</v>
      </c>
      <c r="I532" s="21">
        <f t="shared" si="1"/>
        <v>580</v>
      </c>
      <c r="J532" s="21"/>
      <c r="K532" s="22"/>
    </row>
    <row r="533" ht="22.5" customHeight="1">
      <c r="A533" s="28">
        <v>46025.0</v>
      </c>
      <c r="B533" s="15" t="s">
        <v>690</v>
      </c>
      <c r="C533" s="13" t="s">
        <v>9</v>
      </c>
      <c r="D533" s="13">
        <v>80.0</v>
      </c>
      <c r="E533" s="15">
        <v>395.0</v>
      </c>
      <c r="F533" s="13" t="s">
        <v>21</v>
      </c>
      <c r="G533" s="15" t="s">
        <v>89</v>
      </c>
      <c r="H533" s="15">
        <v>10000.0</v>
      </c>
      <c r="I533" s="21">
        <f t="shared" si="1"/>
        <v>3950</v>
      </c>
      <c r="J533" s="21"/>
      <c r="K533" s="22"/>
    </row>
    <row r="534" ht="22.5" customHeight="1">
      <c r="A534" s="28">
        <v>46025.0</v>
      </c>
      <c r="B534" s="15" t="s">
        <v>691</v>
      </c>
      <c r="C534" s="13" t="s">
        <v>9</v>
      </c>
      <c r="D534" s="13">
        <v>80.0</v>
      </c>
      <c r="E534" s="15">
        <v>150.0</v>
      </c>
      <c r="F534" s="13" t="s">
        <v>21</v>
      </c>
      <c r="G534" s="15" t="s">
        <v>89</v>
      </c>
      <c r="H534" s="15">
        <v>6000.0</v>
      </c>
      <c r="I534" s="21">
        <f t="shared" si="1"/>
        <v>900</v>
      </c>
      <c r="J534" s="21"/>
      <c r="K534" s="22"/>
    </row>
    <row r="535" ht="22.5" customHeight="1">
      <c r="A535" s="28">
        <v>46025.0</v>
      </c>
      <c r="B535" s="15" t="s">
        <v>692</v>
      </c>
      <c r="C535" s="13" t="s">
        <v>9</v>
      </c>
      <c r="D535" s="13">
        <v>80.0</v>
      </c>
      <c r="E535" s="15">
        <v>290.0</v>
      </c>
      <c r="F535" s="13" t="s">
        <v>21</v>
      </c>
      <c r="G535" s="15" t="s">
        <v>89</v>
      </c>
      <c r="H535" s="15">
        <v>3200.0</v>
      </c>
      <c r="I535" s="21">
        <f t="shared" si="1"/>
        <v>928</v>
      </c>
      <c r="J535" s="21"/>
      <c r="K535" s="22"/>
    </row>
    <row r="536" ht="22.5" customHeight="1">
      <c r="A536" s="28">
        <v>46025.0</v>
      </c>
      <c r="B536" s="15" t="s">
        <v>693</v>
      </c>
      <c r="C536" s="13" t="s">
        <v>9</v>
      </c>
      <c r="D536" s="13">
        <v>80.0</v>
      </c>
      <c r="E536" s="15">
        <v>125.0</v>
      </c>
      <c r="F536" s="13" t="s">
        <v>21</v>
      </c>
      <c r="G536" s="15" t="s">
        <v>89</v>
      </c>
      <c r="H536" s="15">
        <v>1210.0</v>
      </c>
      <c r="I536" s="21">
        <f t="shared" si="1"/>
        <v>151.25</v>
      </c>
      <c r="J536" s="21"/>
      <c r="K536" s="22"/>
    </row>
    <row r="537" ht="22.5" customHeight="1">
      <c r="A537" s="28">
        <v>46025.0</v>
      </c>
      <c r="B537" s="15" t="s">
        <v>694</v>
      </c>
      <c r="C537" s="13" t="s">
        <v>9</v>
      </c>
      <c r="D537" s="13">
        <v>80.0</v>
      </c>
      <c r="E537" s="15">
        <v>125.0</v>
      </c>
      <c r="F537" s="13" t="s">
        <v>21</v>
      </c>
      <c r="G537" s="15" t="s">
        <v>89</v>
      </c>
      <c r="H537" s="15">
        <v>2530.0</v>
      </c>
      <c r="I537" s="21">
        <f t="shared" si="1"/>
        <v>316.25</v>
      </c>
      <c r="J537" s="21"/>
      <c r="K537" s="22"/>
    </row>
    <row r="538" ht="22.5" customHeight="1">
      <c r="A538" s="28">
        <v>46025.0</v>
      </c>
      <c r="B538" s="15" t="s">
        <v>695</v>
      </c>
      <c r="C538" s="13" t="s">
        <v>9</v>
      </c>
      <c r="D538" s="13">
        <v>80.0</v>
      </c>
      <c r="E538" s="15">
        <v>125.0</v>
      </c>
      <c r="F538" s="13" t="s">
        <v>21</v>
      </c>
      <c r="G538" s="15" t="s">
        <v>89</v>
      </c>
      <c r="H538" s="15">
        <v>1800.0</v>
      </c>
      <c r="I538" s="21">
        <f t="shared" si="1"/>
        <v>225</v>
      </c>
      <c r="J538" s="21"/>
      <c r="K538" s="22"/>
    </row>
    <row r="539" ht="22.5" customHeight="1">
      <c r="A539" s="28">
        <v>46027.0</v>
      </c>
      <c r="B539" s="15" t="s">
        <v>696</v>
      </c>
      <c r="C539" s="13" t="s">
        <v>9</v>
      </c>
      <c r="D539" s="13">
        <v>80.0</v>
      </c>
      <c r="E539" s="15">
        <v>210.0</v>
      </c>
      <c r="F539" s="13" t="s">
        <v>21</v>
      </c>
      <c r="G539" s="15" t="s">
        <v>89</v>
      </c>
      <c r="H539" s="15">
        <v>2300.0</v>
      </c>
      <c r="I539" s="21">
        <f t="shared" si="1"/>
        <v>483</v>
      </c>
      <c r="J539" s="21"/>
      <c r="K539" s="22"/>
    </row>
    <row r="540" ht="22.5" customHeight="1">
      <c r="A540" s="28">
        <v>46027.0</v>
      </c>
      <c r="B540" s="15" t="s">
        <v>697</v>
      </c>
      <c r="C540" s="13" t="s">
        <v>9</v>
      </c>
      <c r="D540" s="13">
        <v>80.0</v>
      </c>
      <c r="E540" s="15">
        <v>290.0</v>
      </c>
      <c r="F540" s="13" t="s">
        <v>21</v>
      </c>
      <c r="G540" s="15" t="s">
        <v>89</v>
      </c>
      <c r="H540" s="15">
        <v>4000.0</v>
      </c>
      <c r="I540" s="21">
        <f t="shared" si="1"/>
        <v>1160</v>
      </c>
      <c r="J540" s="21"/>
      <c r="K540" s="22"/>
    </row>
    <row r="541" ht="22.5" customHeight="1">
      <c r="A541" s="28">
        <v>46027.0</v>
      </c>
      <c r="B541" s="15" t="s">
        <v>698</v>
      </c>
      <c r="C541" s="13" t="s">
        <v>9</v>
      </c>
      <c r="D541" s="13">
        <v>80.0</v>
      </c>
      <c r="E541" s="15">
        <v>290.0</v>
      </c>
      <c r="F541" s="13" t="s">
        <v>21</v>
      </c>
      <c r="G541" s="15" t="s">
        <v>89</v>
      </c>
      <c r="H541" s="15">
        <v>4900.0</v>
      </c>
      <c r="I541" s="21">
        <f t="shared" si="1"/>
        <v>1421</v>
      </c>
      <c r="J541" s="21"/>
      <c r="K541" s="22"/>
    </row>
    <row r="542" ht="22.5" customHeight="1">
      <c r="A542" s="28">
        <v>46027.0</v>
      </c>
      <c r="B542" s="15" t="s">
        <v>699</v>
      </c>
      <c r="C542" s="13" t="s">
        <v>9</v>
      </c>
      <c r="D542" s="13">
        <v>80.0</v>
      </c>
      <c r="E542" s="15">
        <v>250.0</v>
      </c>
      <c r="F542" s="13" t="s">
        <v>21</v>
      </c>
      <c r="G542" s="15" t="s">
        <v>89</v>
      </c>
      <c r="H542" s="15">
        <v>3200.0</v>
      </c>
      <c r="I542" s="21">
        <f t="shared" si="1"/>
        <v>800</v>
      </c>
      <c r="J542" s="21"/>
      <c r="K542" s="22"/>
    </row>
    <row r="543" ht="22.5" customHeight="1">
      <c r="A543" s="28">
        <v>46027.0</v>
      </c>
      <c r="B543" s="15" t="s">
        <v>700</v>
      </c>
      <c r="C543" s="13" t="s">
        <v>9</v>
      </c>
      <c r="D543" s="13">
        <v>80.0</v>
      </c>
      <c r="E543" s="15">
        <v>280.0</v>
      </c>
      <c r="F543" s="13" t="s">
        <v>21</v>
      </c>
      <c r="G543" s="15" t="s">
        <v>89</v>
      </c>
      <c r="H543" s="15">
        <v>1100.0</v>
      </c>
      <c r="I543" s="21">
        <f t="shared" si="1"/>
        <v>308</v>
      </c>
      <c r="J543" s="21"/>
      <c r="K543" s="22"/>
    </row>
    <row r="544" ht="22.5" customHeight="1">
      <c r="A544" s="28">
        <v>46028.0</v>
      </c>
      <c r="B544" s="15" t="s">
        <v>701</v>
      </c>
      <c r="C544" s="13" t="s">
        <v>9</v>
      </c>
      <c r="D544" s="13">
        <v>80.0</v>
      </c>
      <c r="E544" s="15">
        <v>210.0</v>
      </c>
      <c r="F544" s="13" t="s">
        <v>21</v>
      </c>
      <c r="G544" s="15" t="s">
        <v>89</v>
      </c>
      <c r="H544" s="15">
        <v>2600.0</v>
      </c>
      <c r="I544" s="21">
        <f t="shared" si="1"/>
        <v>546</v>
      </c>
      <c r="J544" s="21"/>
      <c r="K544" s="22"/>
    </row>
    <row r="545" ht="22.5" customHeight="1">
      <c r="A545" s="28">
        <v>46028.0</v>
      </c>
      <c r="B545" s="15" t="s">
        <v>701</v>
      </c>
      <c r="C545" s="13" t="s">
        <v>9</v>
      </c>
      <c r="D545" s="13">
        <v>80.0</v>
      </c>
      <c r="E545" s="15">
        <v>250.0</v>
      </c>
      <c r="F545" s="13" t="s">
        <v>21</v>
      </c>
      <c r="G545" s="15" t="s">
        <v>89</v>
      </c>
      <c r="H545" s="15">
        <v>1200.0</v>
      </c>
      <c r="I545" s="21">
        <f t="shared" si="1"/>
        <v>300</v>
      </c>
      <c r="J545" s="21"/>
      <c r="K545" s="22"/>
    </row>
    <row r="546" ht="22.5" customHeight="1">
      <c r="A546" s="28">
        <v>46028.0</v>
      </c>
      <c r="B546" s="15" t="s">
        <v>702</v>
      </c>
      <c r="C546" s="13" t="s">
        <v>9</v>
      </c>
      <c r="D546" s="13">
        <v>80.0</v>
      </c>
      <c r="E546" s="15">
        <v>290.0</v>
      </c>
      <c r="F546" s="13" t="s">
        <v>21</v>
      </c>
      <c r="G546" s="15" t="s">
        <v>89</v>
      </c>
      <c r="H546" s="15">
        <v>4280.0</v>
      </c>
      <c r="I546" s="21">
        <f t="shared" si="1"/>
        <v>1241.2</v>
      </c>
      <c r="J546" s="21"/>
      <c r="K546" s="22"/>
    </row>
    <row r="547" ht="22.5" customHeight="1">
      <c r="A547" s="28">
        <v>46028.0</v>
      </c>
      <c r="B547" s="15" t="s">
        <v>703</v>
      </c>
      <c r="C547" s="13" t="s">
        <v>9</v>
      </c>
      <c r="D547" s="13">
        <v>80.0</v>
      </c>
      <c r="E547" s="15">
        <v>140.0</v>
      </c>
      <c r="F547" s="13" t="s">
        <v>27</v>
      </c>
      <c r="G547" s="15" t="s">
        <v>99</v>
      </c>
      <c r="H547" s="15">
        <v>3180.0</v>
      </c>
      <c r="I547" s="21">
        <f t="shared" si="1"/>
        <v>445.2</v>
      </c>
      <c r="J547" s="21"/>
      <c r="K547" s="22"/>
    </row>
    <row r="548" ht="22.5" customHeight="1">
      <c r="A548" s="28">
        <v>46028.0</v>
      </c>
      <c r="B548" s="15" t="s">
        <v>704</v>
      </c>
      <c r="C548" s="13" t="s">
        <v>9</v>
      </c>
      <c r="D548" s="13">
        <v>80.0</v>
      </c>
      <c r="E548" s="15">
        <v>185.0</v>
      </c>
      <c r="F548" s="13" t="s">
        <v>27</v>
      </c>
      <c r="G548" s="15" t="s">
        <v>99</v>
      </c>
      <c r="H548" s="15">
        <v>1050.0</v>
      </c>
      <c r="I548" s="21">
        <f t="shared" si="1"/>
        <v>194.25</v>
      </c>
      <c r="J548" s="21"/>
      <c r="K548" s="22"/>
    </row>
    <row r="549" ht="22.5" customHeight="1">
      <c r="A549" s="28">
        <v>46028.0</v>
      </c>
      <c r="B549" s="15" t="s">
        <v>704</v>
      </c>
      <c r="C549" s="13" t="s">
        <v>9</v>
      </c>
      <c r="D549" s="13">
        <v>80.0</v>
      </c>
      <c r="E549" s="15">
        <v>195.0</v>
      </c>
      <c r="F549" s="13" t="s">
        <v>27</v>
      </c>
      <c r="G549" s="15" t="s">
        <v>99</v>
      </c>
      <c r="H549" s="15">
        <v>1000.0</v>
      </c>
      <c r="I549" s="21">
        <f t="shared" si="1"/>
        <v>195</v>
      </c>
      <c r="J549" s="21"/>
      <c r="K549" s="22"/>
    </row>
    <row r="550" ht="22.5" customHeight="1">
      <c r="A550" s="28">
        <v>46028.0</v>
      </c>
      <c r="B550" s="15" t="s">
        <v>705</v>
      </c>
      <c r="C550" s="13" t="s">
        <v>9</v>
      </c>
      <c r="D550" s="13">
        <v>80.0</v>
      </c>
      <c r="E550" s="15">
        <v>200.0</v>
      </c>
      <c r="F550" s="13" t="s">
        <v>27</v>
      </c>
      <c r="G550" s="15" t="s">
        <v>99</v>
      </c>
      <c r="H550" s="15">
        <v>1880.0</v>
      </c>
      <c r="I550" s="21">
        <f t="shared" si="1"/>
        <v>376</v>
      </c>
      <c r="J550" s="21"/>
      <c r="K550" s="22"/>
    </row>
    <row r="551" ht="22.5" customHeight="1">
      <c r="A551" s="28">
        <v>46028.0</v>
      </c>
      <c r="B551" s="15" t="s">
        <v>706</v>
      </c>
      <c r="C551" s="13" t="s">
        <v>9</v>
      </c>
      <c r="D551" s="13">
        <v>80.0</v>
      </c>
      <c r="E551" s="15">
        <v>140.0</v>
      </c>
      <c r="F551" s="13" t="s">
        <v>27</v>
      </c>
      <c r="G551" s="15" t="s">
        <v>99</v>
      </c>
      <c r="H551" s="15">
        <v>1541.0</v>
      </c>
      <c r="I551" s="21">
        <f t="shared" si="1"/>
        <v>215.74</v>
      </c>
      <c r="J551" s="21"/>
      <c r="K551" s="22"/>
    </row>
    <row r="552" ht="22.5" customHeight="1">
      <c r="A552" s="28">
        <v>46028.0</v>
      </c>
      <c r="B552" s="15" t="s">
        <v>707</v>
      </c>
      <c r="C552" s="13" t="s">
        <v>9</v>
      </c>
      <c r="D552" s="13">
        <v>80.0</v>
      </c>
      <c r="E552" s="15">
        <v>185.0</v>
      </c>
      <c r="F552" s="13" t="s">
        <v>27</v>
      </c>
      <c r="G552" s="15" t="s">
        <v>99</v>
      </c>
      <c r="H552" s="15">
        <v>2540.0</v>
      </c>
      <c r="I552" s="21">
        <f t="shared" si="1"/>
        <v>469.9</v>
      </c>
      <c r="J552" s="21"/>
      <c r="K552" s="22"/>
    </row>
    <row r="553" ht="22.5" customHeight="1">
      <c r="A553" s="28">
        <v>46028.0</v>
      </c>
      <c r="B553" s="15" t="s">
        <v>708</v>
      </c>
      <c r="C553" s="13" t="s">
        <v>9</v>
      </c>
      <c r="D553" s="13">
        <v>80.0</v>
      </c>
      <c r="E553" s="15">
        <v>200.0</v>
      </c>
      <c r="F553" s="13" t="s">
        <v>27</v>
      </c>
      <c r="G553" s="15" t="s">
        <v>99</v>
      </c>
      <c r="H553" s="15">
        <v>1500.0</v>
      </c>
      <c r="I553" s="21">
        <f t="shared" si="1"/>
        <v>300</v>
      </c>
      <c r="J553" s="21"/>
      <c r="K553" s="22"/>
    </row>
    <row r="554" ht="22.5" customHeight="1">
      <c r="A554" s="28">
        <v>46028.0</v>
      </c>
      <c r="B554" s="15" t="s">
        <v>709</v>
      </c>
      <c r="C554" s="13" t="s">
        <v>9</v>
      </c>
      <c r="D554" s="13">
        <v>80.0</v>
      </c>
      <c r="E554" s="15">
        <v>185.0</v>
      </c>
      <c r="F554" s="13" t="s">
        <v>27</v>
      </c>
      <c r="G554" s="15" t="s">
        <v>99</v>
      </c>
      <c r="H554" s="15">
        <v>1970.0</v>
      </c>
      <c r="I554" s="21">
        <f t="shared" si="1"/>
        <v>364.45</v>
      </c>
      <c r="J554" s="21"/>
      <c r="K554" s="22"/>
    </row>
    <row r="555" ht="22.5" customHeight="1">
      <c r="A555" s="28">
        <v>46029.0</v>
      </c>
      <c r="B555" s="15" t="s">
        <v>710</v>
      </c>
      <c r="C555" s="13" t="s">
        <v>9</v>
      </c>
      <c r="D555" s="13">
        <v>80.0</v>
      </c>
      <c r="E555" s="15">
        <v>140.0</v>
      </c>
      <c r="F555" s="13" t="s">
        <v>27</v>
      </c>
      <c r="G555" s="15" t="s">
        <v>99</v>
      </c>
      <c r="H555" s="15">
        <v>1320.0</v>
      </c>
      <c r="I555" s="21">
        <f t="shared" si="1"/>
        <v>184.8</v>
      </c>
      <c r="J555" s="21"/>
      <c r="K555" s="22"/>
    </row>
    <row r="556" ht="22.5" customHeight="1">
      <c r="A556" s="28">
        <v>46029.0</v>
      </c>
      <c r="B556" s="15" t="s">
        <v>711</v>
      </c>
      <c r="C556" s="13" t="s">
        <v>9</v>
      </c>
      <c r="D556" s="13">
        <v>80.0</v>
      </c>
      <c r="E556" s="15">
        <v>160.0</v>
      </c>
      <c r="F556" s="13" t="s">
        <v>27</v>
      </c>
      <c r="G556" s="15" t="s">
        <v>99</v>
      </c>
      <c r="H556" s="15">
        <v>2180.0</v>
      </c>
      <c r="I556" s="21">
        <f t="shared" si="1"/>
        <v>348.8</v>
      </c>
      <c r="J556" s="21"/>
      <c r="K556" s="22"/>
    </row>
    <row r="557" ht="22.5" customHeight="1">
      <c r="A557" s="28">
        <v>46029.0</v>
      </c>
      <c r="B557" s="15" t="s">
        <v>712</v>
      </c>
      <c r="C557" s="13" t="s">
        <v>9</v>
      </c>
      <c r="D557" s="13">
        <v>80.0</v>
      </c>
      <c r="E557" s="15">
        <v>160.0</v>
      </c>
      <c r="F557" s="13" t="s">
        <v>27</v>
      </c>
      <c r="G557" s="15" t="s">
        <v>99</v>
      </c>
      <c r="H557" s="15">
        <v>1600.0</v>
      </c>
      <c r="I557" s="21">
        <f t="shared" si="1"/>
        <v>256</v>
      </c>
      <c r="J557" s="21"/>
      <c r="K557" s="22"/>
    </row>
    <row r="558" ht="22.5" customHeight="1">
      <c r="A558" s="28">
        <v>46029.0</v>
      </c>
      <c r="B558" s="15" t="s">
        <v>713</v>
      </c>
      <c r="C558" s="13" t="s">
        <v>9</v>
      </c>
      <c r="D558" s="13">
        <v>80.0</v>
      </c>
      <c r="E558" s="15">
        <v>330.0</v>
      </c>
      <c r="F558" s="13" t="s">
        <v>21</v>
      </c>
      <c r="G558" s="15" t="s">
        <v>498</v>
      </c>
      <c r="H558" s="15">
        <v>1350.0</v>
      </c>
      <c r="I558" s="21">
        <f t="shared" si="1"/>
        <v>445.5</v>
      </c>
      <c r="J558" s="15" t="s">
        <v>942</v>
      </c>
      <c r="K558" s="22"/>
    </row>
    <row r="559" ht="22.5" customHeight="1">
      <c r="A559" s="28">
        <v>46029.0</v>
      </c>
      <c r="B559" s="15" t="s">
        <v>714</v>
      </c>
      <c r="C559" s="13" t="s">
        <v>9</v>
      </c>
      <c r="D559" s="13">
        <v>80.0</v>
      </c>
      <c r="E559" s="15">
        <v>330.0</v>
      </c>
      <c r="F559" s="13" t="s">
        <v>21</v>
      </c>
      <c r="G559" s="15" t="s">
        <v>498</v>
      </c>
      <c r="H559" s="15">
        <v>1270.0</v>
      </c>
      <c r="I559" s="21">
        <f t="shared" si="1"/>
        <v>419.1</v>
      </c>
      <c r="J559" s="15" t="s">
        <v>942</v>
      </c>
      <c r="K559" s="22"/>
    </row>
    <row r="560" ht="22.5" customHeight="1">
      <c r="A560" s="28">
        <v>46029.0</v>
      </c>
      <c r="B560" s="15" t="s">
        <v>715</v>
      </c>
      <c r="C560" s="13" t="s">
        <v>9</v>
      </c>
      <c r="D560" s="13">
        <v>80.0</v>
      </c>
      <c r="E560" s="15">
        <v>330.0</v>
      </c>
      <c r="F560" s="13" t="s">
        <v>21</v>
      </c>
      <c r="G560" s="15" t="s">
        <v>498</v>
      </c>
      <c r="H560" s="15">
        <v>1100.0</v>
      </c>
      <c r="I560" s="21">
        <f t="shared" si="1"/>
        <v>363</v>
      </c>
      <c r="J560" s="15" t="s">
        <v>942</v>
      </c>
      <c r="K560" s="22"/>
    </row>
    <row r="561" ht="22.5" customHeight="1">
      <c r="A561" s="28">
        <v>46029.0</v>
      </c>
      <c r="B561" s="15" t="s">
        <v>716</v>
      </c>
      <c r="C561" s="13" t="s">
        <v>9</v>
      </c>
      <c r="D561" s="13">
        <v>80.0</v>
      </c>
      <c r="E561" s="15">
        <v>330.0</v>
      </c>
      <c r="F561" s="13" t="s">
        <v>21</v>
      </c>
      <c r="G561" s="15" t="s">
        <v>498</v>
      </c>
      <c r="H561" s="15">
        <v>1300.0</v>
      </c>
      <c r="I561" s="21">
        <f t="shared" si="1"/>
        <v>429</v>
      </c>
      <c r="J561" s="15" t="s">
        <v>942</v>
      </c>
      <c r="K561" s="22"/>
    </row>
    <row r="562" ht="22.5" customHeight="1">
      <c r="A562" s="28">
        <v>46029.0</v>
      </c>
      <c r="B562" s="15" t="s">
        <v>717</v>
      </c>
      <c r="C562" s="13" t="s">
        <v>9</v>
      </c>
      <c r="D562" s="13">
        <v>80.0</v>
      </c>
      <c r="E562" s="15">
        <v>140.0</v>
      </c>
      <c r="F562" s="13" t="s">
        <v>27</v>
      </c>
      <c r="G562" s="15" t="s">
        <v>99</v>
      </c>
      <c r="H562" s="15">
        <v>2100.0</v>
      </c>
      <c r="I562" s="21">
        <f t="shared" si="1"/>
        <v>294</v>
      </c>
      <c r="J562" s="21"/>
      <c r="K562" s="22"/>
    </row>
    <row r="563" ht="22.5" customHeight="1">
      <c r="A563" s="28">
        <v>46030.0</v>
      </c>
      <c r="B563" s="15" t="s">
        <v>718</v>
      </c>
      <c r="C563" s="13" t="s">
        <v>9</v>
      </c>
      <c r="D563" s="13">
        <v>80.0</v>
      </c>
      <c r="E563" s="15">
        <v>290.0</v>
      </c>
      <c r="F563" s="13" t="s">
        <v>21</v>
      </c>
      <c r="G563" s="15" t="s">
        <v>89</v>
      </c>
      <c r="H563" s="15">
        <v>4550.0</v>
      </c>
      <c r="I563" s="21">
        <f t="shared" si="1"/>
        <v>1319.5</v>
      </c>
      <c r="J563" s="21"/>
      <c r="K563" s="22"/>
    </row>
    <row r="564" ht="22.5" customHeight="1">
      <c r="A564" s="28">
        <v>46030.0</v>
      </c>
      <c r="B564" s="15" t="s">
        <v>719</v>
      </c>
      <c r="C564" s="13" t="s">
        <v>9</v>
      </c>
      <c r="D564" s="13">
        <v>80.0</v>
      </c>
      <c r="E564" s="15">
        <v>290.0</v>
      </c>
      <c r="F564" s="13" t="s">
        <v>21</v>
      </c>
      <c r="G564" s="15" t="s">
        <v>89</v>
      </c>
      <c r="H564" s="15">
        <v>3320.0</v>
      </c>
      <c r="I564" s="21">
        <f t="shared" si="1"/>
        <v>962.8</v>
      </c>
      <c r="J564" s="21"/>
      <c r="K564" s="22"/>
    </row>
    <row r="565" ht="22.5" customHeight="1">
      <c r="A565" s="28">
        <v>46030.0</v>
      </c>
      <c r="B565" s="15" t="s">
        <v>720</v>
      </c>
      <c r="C565" s="13" t="s">
        <v>9</v>
      </c>
      <c r="D565" s="13">
        <v>80.0</v>
      </c>
      <c r="E565" s="15">
        <v>290.0</v>
      </c>
      <c r="F565" s="13" t="s">
        <v>21</v>
      </c>
      <c r="G565" s="15" t="s">
        <v>89</v>
      </c>
      <c r="H565" s="15">
        <v>5960.0</v>
      </c>
      <c r="I565" s="21">
        <f t="shared" si="1"/>
        <v>1728.4</v>
      </c>
      <c r="J565" s="21"/>
      <c r="K565" s="22"/>
    </row>
    <row r="566" ht="22.5" customHeight="1">
      <c r="A566" s="28">
        <v>46030.0</v>
      </c>
      <c r="B566" s="15" t="s">
        <v>721</v>
      </c>
      <c r="C566" s="13" t="s">
        <v>9</v>
      </c>
      <c r="D566" s="13">
        <v>80.0</v>
      </c>
      <c r="E566" s="15">
        <v>290.0</v>
      </c>
      <c r="F566" s="13" t="s">
        <v>21</v>
      </c>
      <c r="G566" s="15" t="s">
        <v>89</v>
      </c>
      <c r="H566" s="15">
        <v>2180.0</v>
      </c>
      <c r="I566" s="21">
        <f t="shared" si="1"/>
        <v>632.2</v>
      </c>
      <c r="J566" s="21"/>
      <c r="K566" s="22"/>
    </row>
    <row r="567" ht="22.5" customHeight="1">
      <c r="A567" s="28">
        <v>46030.0</v>
      </c>
      <c r="B567" s="15" t="s">
        <v>722</v>
      </c>
      <c r="C567" s="13" t="s">
        <v>9</v>
      </c>
      <c r="D567" s="13">
        <v>80.0</v>
      </c>
      <c r="E567" s="15">
        <v>290.0</v>
      </c>
      <c r="F567" s="13" t="s">
        <v>21</v>
      </c>
      <c r="G567" s="15" t="s">
        <v>89</v>
      </c>
      <c r="H567" s="15">
        <v>2140.0</v>
      </c>
      <c r="I567" s="21">
        <f t="shared" si="1"/>
        <v>620.6</v>
      </c>
      <c r="J567" s="21"/>
      <c r="K567" s="22"/>
    </row>
    <row r="568" ht="22.5" customHeight="1">
      <c r="A568" s="28">
        <v>46030.0</v>
      </c>
      <c r="B568" s="15" t="s">
        <v>723</v>
      </c>
      <c r="C568" s="13" t="s">
        <v>9</v>
      </c>
      <c r="D568" s="13">
        <v>80.0</v>
      </c>
      <c r="E568" s="15">
        <v>290.0</v>
      </c>
      <c r="F568" s="13" t="s">
        <v>21</v>
      </c>
      <c r="G568" s="15" t="s">
        <v>89</v>
      </c>
      <c r="H568" s="15">
        <v>990.0</v>
      </c>
      <c r="I568" s="21">
        <f t="shared" si="1"/>
        <v>287.1</v>
      </c>
      <c r="J568" s="21"/>
      <c r="K568" s="22"/>
    </row>
    <row r="569" ht="22.5" customHeight="1">
      <c r="A569" s="28">
        <v>46030.0</v>
      </c>
      <c r="B569" s="15" t="s">
        <v>724</v>
      </c>
      <c r="C569" s="13" t="s">
        <v>9</v>
      </c>
      <c r="D569" s="13">
        <v>80.0</v>
      </c>
      <c r="E569" s="15">
        <v>290.0</v>
      </c>
      <c r="F569" s="13" t="s">
        <v>21</v>
      </c>
      <c r="G569" s="15" t="s">
        <v>89</v>
      </c>
      <c r="H569" s="15">
        <v>1660.0</v>
      </c>
      <c r="I569" s="21">
        <f t="shared" si="1"/>
        <v>481.4</v>
      </c>
      <c r="J569" s="21"/>
      <c r="K569" s="22"/>
    </row>
    <row r="570" ht="22.5" customHeight="1">
      <c r="A570" s="28">
        <v>46030.0</v>
      </c>
      <c r="B570" s="15" t="s">
        <v>725</v>
      </c>
      <c r="C570" s="13" t="s">
        <v>9</v>
      </c>
      <c r="D570" s="13">
        <v>80.0</v>
      </c>
      <c r="E570" s="15">
        <v>140.0</v>
      </c>
      <c r="F570" s="13" t="s">
        <v>27</v>
      </c>
      <c r="G570" s="15" t="s">
        <v>99</v>
      </c>
      <c r="H570" s="15">
        <v>1690.0</v>
      </c>
      <c r="I570" s="21">
        <f t="shared" si="1"/>
        <v>236.6</v>
      </c>
      <c r="J570" s="21"/>
      <c r="K570" s="22"/>
    </row>
    <row r="571" ht="22.5" customHeight="1">
      <c r="A571" s="28">
        <v>46030.0</v>
      </c>
      <c r="B571" s="15" t="s">
        <v>726</v>
      </c>
      <c r="C571" s="13" t="s">
        <v>43</v>
      </c>
      <c r="D571" s="13">
        <v>50.0</v>
      </c>
      <c r="E571" s="15">
        <v>125.0</v>
      </c>
      <c r="F571" s="13" t="s">
        <v>27</v>
      </c>
      <c r="G571" s="15" t="s">
        <v>176</v>
      </c>
      <c r="H571" s="15">
        <v>1150.0</v>
      </c>
      <c r="I571" s="21">
        <f t="shared" si="1"/>
        <v>143.75</v>
      </c>
      <c r="J571" s="21"/>
      <c r="K571" s="22"/>
    </row>
    <row r="572" ht="22.5" customHeight="1">
      <c r="A572" s="28">
        <v>46031.0</v>
      </c>
      <c r="B572" s="15" t="s">
        <v>727</v>
      </c>
      <c r="C572" s="13" t="s">
        <v>9</v>
      </c>
      <c r="D572" s="13">
        <v>80.0</v>
      </c>
      <c r="E572" s="15">
        <v>290.0</v>
      </c>
      <c r="F572" s="13" t="s">
        <v>21</v>
      </c>
      <c r="G572" s="15" t="s">
        <v>89</v>
      </c>
      <c r="H572" s="15">
        <v>3460.0</v>
      </c>
      <c r="I572" s="21">
        <f t="shared" si="1"/>
        <v>1003.4</v>
      </c>
      <c r="J572" s="21"/>
      <c r="K572" s="22"/>
    </row>
    <row r="573" ht="22.5" customHeight="1">
      <c r="A573" s="28">
        <v>46031.0</v>
      </c>
      <c r="B573" s="15" t="s">
        <v>728</v>
      </c>
      <c r="C573" s="13" t="s">
        <v>43</v>
      </c>
      <c r="D573" s="13">
        <v>50.0</v>
      </c>
      <c r="E573" s="15">
        <v>190.0</v>
      </c>
      <c r="F573" s="13" t="s">
        <v>23</v>
      </c>
      <c r="G573" s="15" t="s">
        <v>729</v>
      </c>
      <c r="H573" s="15">
        <v>1870.0</v>
      </c>
      <c r="I573" s="21">
        <f t="shared" si="1"/>
        <v>355.3</v>
      </c>
      <c r="J573" s="21"/>
      <c r="K573" s="22"/>
    </row>
    <row r="574" ht="22.5" customHeight="1">
      <c r="A574" s="28">
        <v>46031.0</v>
      </c>
      <c r="B574" s="15" t="s">
        <v>730</v>
      </c>
      <c r="C574" s="13" t="s">
        <v>43</v>
      </c>
      <c r="D574" s="13">
        <v>50.0</v>
      </c>
      <c r="E574" s="15">
        <v>155.0</v>
      </c>
      <c r="F574" s="13" t="s">
        <v>23</v>
      </c>
      <c r="G574" s="15" t="s">
        <v>729</v>
      </c>
      <c r="H574" s="15">
        <v>1600.0</v>
      </c>
      <c r="I574" s="21">
        <f t="shared" si="1"/>
        <v>248</v>
      </c>
      <c r="J574" s="21"/>
      <c r="K574" s="22"/>
    </row>
    <row r="575" ht="22.5" customHeight="1">
      <c r="A575" s="28">
        <v>46031.0</v>
      </c>
      <c r="B575" s="15" t="s">
        <v>732</v>
      </c>
      <c r="C575" s="13" t="s">
        <v>43</v>
      </c>
      <c r="D575" s="13">
        <v>50.0</v>
      </c>
      <c r="E575" s="15">
        <v>130.0</v>
      </c>
      <c r="F575" s="13" t="s">
        <v>23</v>
      </c>
      <c r="G575" s="15" t="s">
        <v>729</v>
      </c>
      <c r="H575" s="15">
        <v>1480.0</v>
      </c>
      <c r="I575" s="21">
        <f t="shared" si="1"/>
        <v>192.4</v>
      </c>
      <c r="J575" s="21"/>
      <c r="K575" s="22"/>
    </row>
    <row r="576" ht="22.5" customHeight="1">
      <c r="A576" s="28">
        <v>46031.0</v>
      </c>
      <c r="B576" s="15" t="s">
        <v>733</v>
      </c>
      <c r="C576" s="13" t="s">
        <v>9</v>
      </c>
      <c r="D576" s="13">
        <v>80.0</v>
      </c>
      <c r="E576" s="15">
        <v>150.0</v>
      </c>
      <c r="F576" s="13" t="s">
        <v>21</v>
      </c>
      <c r="G576" s="15" t="s">
        <v>125</v>
      </c>
      <c r="H576" s="15">
        <v>1150.0</v>
      </c>
      <c r="I576" s="21">
        <f t="shared" si="1"/>
        <v>172.5</v>
      </c>
      <c r="J576" s="21"/>
      <c r="K576" s="22"/>
    </row>
    <row r="577" ht="22.5" customHeight="1">
      <c r="A577" s="28">
        <v>46032.0</v>
      </c>
      <c r="B577" s="15" t="s">
        <v>734</v>
      </c>
      <c r="C577" s="13" t="s">
        <v>9</v>
      </c>
      <c r="D577" s="13">
        <v>80.0</v>
      </c>
      <c r="E577" s="15">
        <v>210.0</v>
      </c>
      <c r="F577" s="13" t="s">
        <v>21</v>
      </c>
      <c r="G577" s="15" t="s">
        <v>89</v>
      </c>
      <c r="H577" s="15">
        <v>2000.0</v>
      </c>
      <c r="I577" s="21">
        <f t="shared" si="1"/>
        <v>420</v>
      </c>
      <c r="J577" s="21"/>
      <c r="K577" s="22"/>
    </row>
    <row r="578" ht="22.5" customHeight="1">
      <c r="A578" s="28">
        <v>46032.0</v>
      </c>
      <c r="B578" s="15" t="s">
        <v>735</v>
      </c>
      <c r="C578" s="13" t="s">
        <v>9</v>
      </c>
      <c r="D578" s="13">
        <v>80.0</v>
      </c>
      <c r="E578" s="15">
        <v>290.0</v>
      </c>
      <c r="F578" s="13" t="s">
        <v>21</v>
      </c>
      <c r="G578" s="15" t="s">
        <v>89</v>
      </c>
      <c r="H578" s="15">
        <v>2000.0</v>
      </c>
      <c r="I578" s="21">
        <f t="shared" si="1"/>
        <v>580</v>
      </c>
      <c r="J578" s="21"/>
      <c r="K578" s="22"/>
    </row>
    <row r="579" ht="22.5" customHeight="1">
      <c r="A579" s="28">
        <v>46032.0</v>
      </c>
      <c r="B579" s="15" t="s">
        <v>736</v>
      </c>
      <c r="C579" s="13" t="s">
        <v>9</v>
      </c>
      <c r="D579" s="13">
        <v>80.0</v>
      </c>
      <c r="E579" s="15">
        <v>320.0</v>
      </c>
      <c r="F579" s="13" t="s">
        <v>21</v>
      </c>
      <c r="G579" s="15" t="s">
        <v>89</v>
      </c>
      <c r="H579" s="15">
        <v>1400.0</v>
      </c>
      <c r="I579" s="21">
        <f t="shared" si="1"/>
        <v>448</v>
      </c>
      <c r="J579" s="21"/>
      <c r="K579" s="22"/>
    </row>
    <row r="580" ht="22.5" customHeight="1">
      <c r="A580" s="28">
        <v>46032.0</v>
      </c>
      <c r="B580" s="15" t="s">
        <v>737</v>
      </c>
      <c r="C580" s="13" t="s">
        <v>9</v>
      </c>
      <c r="D580" s="13">
        <v>80.0</v>
      </c>
      <c r="E580" s="15">
        <v>125.0</v>
      </c>
      <c r="F580" s="13" t="s">
        <v>21</v>
      </c>
      <c r="G580" s="15" t="s">
        <v>89</v>
      </c>
      <c r="H580" s="15">
        <v>2000.0</v>
      </c>
      <c r="I580" s="21">
        <f t="shared" si="1"/>
        <v>250</v>
      </c>
      <c r="J580" s="21"/>
      <c r="K580" s="22"/>
    </row>
    <row r="581" ht="22.5" customHeight="1">
      <c r="A581" s="28">
        <v>46032.0</v>
      </c>
      <c r="B581" s="15" t="s">
        <v>738</v>
      </c>
      <c r="C581" s="13" t="s">
        <v>9</v>
      </c>
      <c r="D581" s="13">
        <v>80.0</v>
      </c>
      <c r="E581" s="15">
        <v>125.0</v>
      </c>
      <c r="F581" s="13" t="s">
        <v>21</v>
      </c>
      <c r="G581" s="15" t="s">
        <v>89</v>
      </c>
      <c r="H581" s="15">
        <v>780.0</v>
      </c>
      <c r="I581" s="21">
        <f t="shared" si="1"/>
        <v>97.5</v>
      </c>
      <c r="J581" s="21"/>
      <c r="K581" s="22"/>
    </row>
    <row r="582" ht="22.5" customHeight="1">
      <c r="A582" s="28">
        <v>46032.0</v>
      </c>
      <c r="B582" s="15" t="s">
        <v>739</v>
      </c>
      <c r="C582" s="13" t="s">
        <v>9</v>
      </c>
      <c r="D582" s="13">
        <v>80.0</v>
      </c>
      <c r="E582" s="15">
        <v>170.0</v>
      </c>
      <c r="F582" s="13" t="s">
        <v>21</v>
      </c>
      <c r="G582" s="15" t="s">
        <v>89</v>
      </c>
      <c r="H582" s="15">
        <v>1720.0</v>
      </c>
      <c r="I582" s="21">
        <f t="shared" si="1"/>
        <v>292.4</v>
      </c>
      <c r="J582" s="21"/>
      <c r="K582" s="22"/>
    </row>
    <row r="583" ht="22.5" customHeight="1">
      <c r="A583" s="28">
        <v>46032.0</v>
      </c>
      <c r="B583" s="15" t="s">
        <v>740</v>
      </c>
      <c r="C583" s="13" t="s">
        <v>9</v>
      </c>
      <c r="D583" s="13">
        <v>80.0</v>
      </c>
      <c r="E583" s="15">
        <v>170.0</v>
      </c>
      <c r="F583" s="13" t="s">
        <v>21</v>
      </c>
      <c r="G583" s="15" t="s">
        <v>89</v>
      </c>
      <c r="H583" s="15">
        <v>2200.0</v>
      </c>
      <c r="I583" s="21">
        <f t="shared" si="1"/>
        <v>374</v>
      </c>
      <c r="J583" s="21"/>
      <c r="K583" s="22"/>
    </row>
    <row r="584" ht="22.5" customHeight="1">
      <c r="A584" s="28">
        <v>46034.0</v>
      </c>
      <c r="B584" s="15" t="s">
        <v>741</v>
      </c>
      <c r="C584" s="13" t="s">
        <v>54</v>
      </c>
      <c r="D584" s="13">
        <v>40.0</v>
      </c>
      <c r="E584" s="15">
        <v>240.0</v>
      </c>
      <c r="F584" s="13" t="s">
        <v>55</v>
      </c>
      <c r="G584" s="15" t="s">
        <v>742</v>
      </c>
      <c r="H584" s="15">
        <v>4330.0</v>
      </c>
      <c r="I584" s="21">
        <f t="shared" si="1"/>
        <v>1039.2</v>
      </c>
      <c r="J584" s="21"/>
      <c r="K584" s="22"/>
    </row>
    <row r="585" ht="22.5" customHeight="1">
      <c r="A585" s="28">
        <v>46034.0</v>
      </c>
      <c r="B585" s="15" t="s">
        <v>743</v>
      </c>
      <c r="C585" s="13" t="s">
        <v>54</v>
      </c>
      <c r="D585" s="13">
        <v>40.0</v>
      </c>
      <c r="E585" s="15">
        <v>240.0</v>
      </c>
      <c r="F585" s="13" t="s">
        <v>55</v>
      </c>
      <c r="G585" s="15" t="s">
        <v>742</v>
      </c>
      <c r="H585" s="15">
        <v>2680.0</v>
      </c>
      <c r="I585" s="21">
        <f t="shared" si="1"/>
        <v>643.2</v>
      </c>
      <c r="J585" s="21"/>
      <c r="K585" s="22"/>
    </row>
    <row r="586" ht="22.5" customHeight="1">
      <c r="A586" s="28">
        <v>46034.0</v>
      </c>
      <c r="B586" s="15" t="s">
        <v>744</v>
      </c>
      <c r="C586" s="13" t="s">
        <v>54</v>
      </c>
      <c r="D586" s="13">
        <v>40.0</v>
      </c>
      <c r="E586" s="15">
        <v>240.0</v>
      </c>
      <c r="F586" s="13" t="s">
        <v>55</v>
      </c>
      <c r="G586" s="15" t="s">
        <v>742</v>
      </c>
      <c r="H586" s="15">
        <v>6980.0</v>
      </c>
      <c r="I586" s="21">
        <f t="shared" si="1"/>
        <v>1675.2</v>
      </c>
      <c r="J586" s="21"/>
      <c r="K586" s="22"/>
    </row>
    <row r="587" ht="22.5" customHeight="1">
      <c r="A587" s="28">
        <v>46034.0</v>
      </c>
      <c r="B587" s="15" t="s">
        <v>745</v>
      </c>
      <c r="C587" s="13" t="s">
        <v>54</v>
      </c>
      <c r="D587" s="13">
        <v>40.0</v>
      </c>
      <c r="E587" s="15">
        <v>240.0</v>
      </c>
      <c r="F587" s="13" t="s">
        <v>55</v>
      </c>
      <c r="G587" s="15" t="s">
        <v>742</v>
      </c>
      <c r="H587" s="15">
        <v>6000.0</v>
      </c>
      <c r="I587" s="21">
        <f t="shared" si="1"/>
        <v>1440</v>
      </c>
      <c r="J587" s="21"/>
      <c r="K587" s="22"/>
    </row>
    <row r="588" ht="22.5" customHeight="1">
      <c r="A588" s="28">
        <v>46034.0</v>
      </c>
      <c r="B588" s="15" t="s">
        <v>746</v>
      </c>
      <c r="C588" s="13" t="s">
        <v>9</v>
      </c>
      <c r="D588" s="13">
        <v>80.0</v>
      </c>
      <c r="E588" s="15">
        <v>180.0</v>
      </c>
      <c r="F588" s="13" t="s">
        <v>21</v>
      </c>
      <c r="G588" s="15" t="s">
        <v>89</v>
      </c>
      <c r="H588" s="15">
        <v>200.0</v>
      </c>
      <c r="I588" s="21">
        <f t="shared" si="1"/>
        <v>36</v>
      </c>
      <c r="J588" s="21"/>
      <c r="K588" s="22"/>
    </row>
    <row r="589" ht="22.5" customHeight="1">
      <c r="A589" s="28">
        <v>46034.0</v>
      </c>
      <c r="B589" s="15" t="s">
        <v>746</v>
      </c>
      <c r="C589" s="13" t="s">
        <v>9</v>
      </c>
      <c r="D589" s="13">
        <v>80.0</v>
      </c>
      <c r="E589" s="15">
        <v>170.0</v>
      </c>
      <c r="F589" s="13" t="s">
        <v>21</v>
      </c>
      <c r="G589" s="15" t="s">
        <v>89</v>
      </c>
      <c r="H589" s="15">
        <v>1450.0</v>
      </c>
      <c r="I589" s="21">
        <f t="shared" si="1"/>
        <v>246.5</v>
      </c>
      <c r="J589" s="21"/>
      <c r="K589" s="22"/>
    </row>
    <row r="590" ht="22.5" customHeight="1">
      <c r="A590" s="28">
        <v>46034.0</v>
      </c>
      <c r="B590" s="15" t="s">
        <v>747</v>
      </c>
      <c r="C590" s="13" t="s">
        <v>9</v>
      </c>
      <c r="D590" s="13">
        <v>80.0</v>
      </c>
      <c r="E590" s="15">
        <v>250.0</v>
      </c>
      <c r="F590" s="13" t="s">
        <v>21</v>
      </c>
      <c r="G590" s="15" t="s">
        <v>89</v>
      </c>
      <c r="H590" s="15">
        <v>400.0</v>
      </c>
      <c r="I590" s="21">
        <f t="shared" si="1"/>
        <v>100</v>
      </c>
      <c r="J590" s="21"/>
      <c r="K590" s="22"/>
    </row>
    <row r="591" ht="22.5" customHeight="1">
      <c r="A591" s="28">
        <v>46034.0</v>
      </c>
      <c r="B591" s="15" t="s">
        <v>748</v>
      </c>
      <c r="C591" s="13" t="s">
        <v>9</v>
      </c>
      <c r="D591" s="13">
        <v>80.0</v>
      </c>
      <c r="E591" s="15">
        <v>125.0</v>
      </c>
      <c r="F591" s="13" t="s">
        <v>21</v>
      </c>
      <c r="G591" s="15" t="s">
        <v>89</v>
      </c>
      <c r="H591" s="15">
        <v>2000.0</v>
      </c>
      <c r="I591" s="21">
        <f t="shared" si="1"/>
        <v>250</v>
      </c>
      <c r="J591" s="21"/>
      <c r="K591" s="22"/>
    </row>
    <row r="592" ht="22.5" customHeight="1">
      <c r="A592" s="28">
        <v>46035.0</v>
      </c>
      <c r="B592" s="15" t="s">
        <v>749</v>
      </c>
      <c r="C592" s="13" t="s">
        <v>43</v>
      </c>
      <c r="D592" s="13">
        <v>50.0</v>
      </c>
      <c r="E592" s="15">
        <v>130.0</v>
      </c>
      <c r="F592" s="13" t="s">
        <v>23</v>
      </c>
      <c r="G592" s="15" t="s">
        <v>176</v>
      </c>
      <c r="H592" s="15">
        <v>1480.0</v>
      </c>
      <c r="I592" s="21">
        <f t="shared" si="1"/>
        <v>192.4</v>
      </c>
      <c r="J592" s="21"/>
      <c r="K592" s="22"/>
    </row>
    <row r="593" ht="22.5" customHeight="1">
      <c r="A593" s="28">
        <v>46035.0</v>
      </c>
      <c r="B593" s="15" t="s">
        <v>750</v>
      </c>
      <c r="C593" s="13" t="s">
        <v>9</v>
      </c>
      <c r="D593" s="13">
        <v>80.0</v>
      </c>
      <c r="E593" s="15">
        <v>250.0</v>
      </c>
      <c r="F593" s="13" t="s">
        <v>21</v>
      </c>
      <c r="G593" s="15" t="s">
        <v>89</v>
      </c>
      <c r="H593" s="15">
        <v>24000.0</v>
      </c>
      <c r="I593" s="21">
        <f t="shared" si="1"/>
        <v>6000</v>
      </c>
      <c r="J593" s="21"/>
      <c r="K593" s="22"/>
    </row>
    <row r="594" ht="22.5" customHeight="1">
      <c r="A594" s="28" t="s">
        <v>751</v>
      </c>
      <c r="B594" s="15" t="s">
        <v>752</v>
      </c>
      <c r="C594" s="13" t="s">
        <v>9</v>
      </c>
      <c r="D594" s="13">
        <v>80.0</v>
      </c>
      <c r="E594" s="15">
        <v>140.0</v>
      </c>
      <c r="F594" s="13" t="s">
        <v>27</v>
      </c>
      <c r="G594" s="15" t="s">
        <v>99</v>
      </c>
      <c r="H594" s="15">
        <v>1970.0</v>
      </c>
      <c r="I594" s="21">
        <f t="shared" si="1"/>
        <v>275.8</v>
      </c>
      <c r="J594" s="21"/>
      <c r="K594" s="22"/>
    </row>
    <row r="595" ht="22.5" customHeight="1">
      <c r="A595" s="28" t="s">
        <v>751</v>
      </c>
      <c r="B595" s="15" t="s">
        <v>753</v>
      </c>
      <c r="C595" s="13" t="s">
        <v>9</v>
      </c>
      <c r="D595" s="13">
        <v>80.0</v>
      </c>
      <c r="E595" s="15">
        <v>260.0</v>
      </c>
      <c r="F595" s="13" t="s">
        <v>27</v>
      </c>
      <c r="G595" s="15" t="s">
        <v>99</v>
      </c>
      <c r="H595" s="15">
        <v>2660.0</v>
      </c>
      <c r="I595" s="21">
        <f t="shared" si="1"/>
        <v>691.6</v>
      </c>
      <c r="J595" s="21"/>
      <c r="K595" s="22"/>
    </row>
    <row r="596" ht="22.5" customHeight="1">
      <c r="A596" s="28" t="s">
        <v>751</v>
      </c>
      <c r="B596" s="15" t="s">
        <v>754</v>
      </c>
      <c r="C596" s="13" t="s">
        <v>9</v>
      </c>
      <c r="D596" s="13">
        <v>80.0</v>
      </c>
      <c r="E596" s="15">
        <v>250.0</v>
      </c>
      <c r="F596" s="13" t="s">
        <v>21</v>
      </c>
      <c r="G596" s="15" t="s">
        <v>89</v>
      </c>
      <c r="H596" s="15">
        <v>2200.0</v>
      </c>
      <c r="I596" s="21">
        <f t="shared" si="1"/>
        <v>550</v>
      </c>
      <c r="J596" s="21"/>
      <c r="K596" s="22"/>
    </row>
    <row r="597" ht="22.5" customHeight="1">
      <c r="A597" s="28" t="s">
        <v>751</v>
      </c>
      <c r="B597" s="15" t="s">
        <v>755</v>
      </c>
      <c r="C597" s="13" t="s">
        <v>9</v>
      </c>
      <c r="D597" s="13">
        <v>80.0</v>
      </c>
      <c r="E597" s="15">
        <v>280.0</v>
      </c>
      <c r="F597" s="13" t="s">
        <v>21</v>
      </c>
      <c r="G597" s="15" t="s">
        <v>89</v>
      </c>
      <c r="H597" s="15">
        <v>2000.0</v>
      </c>
      <c r="I597" s="21">
        <f t="shared" si="1"/>
        <v>560</v>
      </c>
      <c r="J597" s="21"/>
      <c r="K597" s="22"/>
    </row>
    <row r="598" ht="22.5" customHeight="1">
      <c r="A598" s="28" t="s">
        <v>751</v>
      </c>
      <c r="B598" s="15" t="s">
        <v>756</v>
      </c>
      <c r="C598" s="13" t="s">
        <v>9</v>
      </c>
      <c r="D598" s="13">
        <v>80.0</v>
      </c>
      <c r="E598" s="15">
        <v>250.0</v>
      </c>
      <c r="F598" s="13" t="s">
        <v>21</v>
      </c>
      <c r="G598" s="15" t="s">
        <v>89</v>
      </c>
      <c r="H598" s="15">
        <v>1300.0</v>
      </c>
      <c r="I598" s="21">
        <f t="shared" si="1"/>
        <v>325</v>
      </c>
      <c r="J598" s="21"/>
      <c r="K598" s="22"/>
    </row>
    <row r="599" ht="22.5" customHeight="1">
      <c r="A599" s="28" t="s">
        <v>751</v>
      </c>
      <c r="B599" s="15" t="s">
        <v>757</v>
      </c>
      <c r="C599" s="13" t="s">
        <v>9</v>
      </c>
      <c r="D599" s="13">
        <v>80.0</v>
      </c>
      <c r="E599" s="15">
        <v>210.0</v>
      </c>
      <c r="F599" s="13" t="s">
        <v>21</v>
      </c>
      <c r="G599" s="15" t="s">
        <v>89</v>
      </c>
      <c r="H599" s="15">
        <v>1950.0</v>
      </c>
      <c r="I599" s="21">
        <f t="shared" si="1"/>
        <v>409.5</v>
      </c>
      <c r="J599" s="21"/>
      <c r="K599" s="22"/>
    </row>
    <row r="600" ht="22.5" customHeight="1">
      <c r="A600" s="28">
        <v>46037.0</v>
      </c>
      <c r="B600" s="15" t="s">
        <v>758</v>
      </c>
      <c r="C600" s="13" t="s">
        <v>9</v>
      </c>
      <c r="D600" s="13">
        <v>80.0</v>
      </c>
      <c r="E600" s="15">
        <v>230.0</v>
      </c>
      <c r="F600" s="13" t="s">
        <v>27</v>
      </c>
      <c r="G600" s="15" t="s">
        <v>99</v>
      </c>
      <c r="H600" s="15">
        <v>2500.0</v>
      </c>
      <c r="I600" s="21">
        <f t="shared" si="1"/>
        <v>575</v>
      </c>
      <c r="J600" s="21"/>
      <c r="K600" s="22"/>
    </row>
    <row r="601" ht="22.5" customHeight="1">
      <c r="A601" s="28">
        <v>46037.0</v>
      </c>
      <c r="B601" s="15" t="s">
        <v>759</v>
      </c>
      <c r="C601" s="13" t="s">
        <v>9</v>
      </c>
      <c r="D601" s="13">
        <v>80.0</v>
      </c>
      <c r="E601" s="15">
        <v>280.0</v>
      </c>
      <c r="F601" s="13" t="s">
        <v>21</v>
      </c>
      <c r="G601" s="15" t="s">
        <v>89</v>
      </c>
      <c r="H601" s="15">
        <v>6915.0</v>
      </c>
      <c r="I601" s="21">
        <f t="shared" si="1"/>
        <v>1936.2</v>
      </c>
      <c r="J601" s="21"/>
      <c r="K601" s="22"/>
    </row>
    <row r="602" ht="22.5" customHeight="1">
      <c r="A602" s="28">
        <v>46037.0</v>
      </c>
      <c r="B602" s="15" t="s">
        <v>760</v>
      </c>
      <c r="C602" s="13" t="s">
        <v>9</v>
      </c>
      <c r="D602" s="13">
        <v>80.0</v>
      </c>
      <c r="E602" s="15">
        <v>160.0</v>
      </c>
      <c r="F602" s="13" t="s">
        <v>27</v>
      </c>
      <c r="G602" s="15" t="s">
        <v>89</v>
      </c>
      <c r="H602" s="15">
        <v>3480.0</v>
      </c>
      <c r="I602" s="21">
        <f t="shared" si="1"/>
        <v>556.8</v>
      </c>
      <c r="J602" s="21"/>
      <c r="K602" s="22"/>
    </row>
    <row r="603" ht="22.5" customHeight="1">
      <c r="A603" s="28">
        <v>46037.0</v>
      </c>
      <c r="B603" s="15" t="s">
        <v>761</v>
      </c>
      <c r="C603" s="13" t="s">
        <v>9</v>
      </c>
      <c r="D603" s="13">
        <v>80.0</v>
      </c>
      <c r="E603" s="15">
        <v>210.0</v>
      </c>
      <c r="F603" s="13" t="s">
        <v>21</v>
      </c>
      <c r="G603" s="15" t="s">
        <v>89</v>
      </c>
      <c r="H603" s="15">
        <v>2650.0</v>
      </c>
      <c r="I603" s="21">
        <f t="shared" si="1"/>
        <v>556.5</v>
      </c>
      <c r="J603" s="21"/>
      <c r="K603" s="22"/>
    </row>
    <row r="604" ht="22.5" customHeight="1">
      <c r="A604" s="28">
        <v>46037.0</v>
      </c>
      <c r="B604" s="15" t="s">
        <v>762</v>
      </c>
      <c r="C604" s="13" t="s">
        <v>9</v>
      </c>
      <c r="D604" s="13">
        <v>80.0</v>
      </c>
      <c r="E604" s="15">
        <v>290.0</v>
      </c>
      <c r="F604" s="13" t="s">
        <v>21</v>
      </c>
      <c r="G604" s="15" t="s">
        <v>89</v>
      </c>
      <c r="H604" s="15">
        <v>1000.0</v>
      </c>
      <c r="I604" s="21">
        <f t="shared" si="1"/>
        <v>290</v>
      </c>
      <c r="J604" s="21"/>
      <c r="K604" s="22"/>
    </row>
    <row r="605" ht="22.5" customHeight="1">
      <c r="A605" s="28">
        <v>46037.0</v>
      </c>
      <c r="B605" s="15" t="s">
        <v>763</v>
      </c>
      <c r="C605" s="13" t="s">
        <v>9</v>
      </c>
      <c r="D605" s="13">
        <v>80.0</v>
      </c>
      <c r="E605" s="15">
        <v>125.0</v>
      </c>
      <c r="F605" s="13" t="s">
        <v>21</v>
      </c>
      <c r="G605" s="15" t="s">
        <v>89</v>
      </c>
      <c r="H605" s="15">
        <v>762.0</v>
      </c>
      <c r="I605" s="21">
        <f t="shared" si="1"/>
        <v>95.25</v>
      </c>
      <c r="J605" s="21"/>
      <c r="K605" s="22"/>
    </row>
    <row r="606" ht="22.5" customHeight="1">
      <c r="A606" s="28">
        <v>46037.0</v>
      </c>
      <c r="B606" s="15" t="s">
        <v>764</v>
      </c>
      <c r="C606" s="13" t="s">
        <v>9</v>
      </c>
      <c r="D606" s="13">
        <v>80.0</v>
      </c>
      <c r="E606" s="15">
        <v>125.0</v>
      </c>
      <c r="F606" s="13" t="s">
        <v>21</v>
      </c>
      <c r="G606" s="15" t="s">
        <v>89</v>
      </c>
      <c r="H606" s="15">
        <v>1759.0</v>
      </c>
      <c r="I606" s="21">
        <f t="shared" si="1"/>
        <v>219.875</v>
      </c>
      <c r="J606" s="21"/>
      <c r="K606" s="22"/>
    </row>
    <row r="607" ht="22.5" customHeight="1">
      <c r="A607" s="28">
        <v>46037.0</v>
      </c>
      <c r="B607" s="15" t="s">
        <v>765</v>
      </c>
      <c r="C607" s="13" t="s">
        <v>9</v>
      </c>
      <c r="D607" s="13">
        <v>80.0</v>
      </c>
      <c r="E607" s="15">
        <v>125.0</v>
      </c>
      <c r="F607" s="13" t="s">
        <v>21</v>
      </c>
      <c r="G607" s="15" t="s">
        <v>89</v>
      </c>
      <c r="H607" s="15">
        <v>2800.0</v>
      </c>
      <c r="I607" s="21">
        <f t="shared" si="1"/>
        <v>350</v>
      </c>
      <c r="J607" s="21"/>
      <c r="K607" s="22"/>
    </row>
    <row r="608" ht="22.5" customHeight="1">
      <c r="A608" s="28">
        <v>46038.0</v>
      </c>
      <c r="B608" s="15" t="s">
        <v>766</v>
      </c>
      <c r="C608" s="13" t="s">
        <v>9</v>
      </c>
      <c r="D608" s="13">
        <v>80.0</v>
      </c>
      <c r="E608" s="15">
        <v>185.0</v>
      </c>
      <c r="F608" s="13" t="s">
        <v>27</v>
      </c>
      <c r="G608" s="15" t="s">
        <v>99</v>
      </c>
      <c r="H608" s="15">
        <v>400.0</v>
      </c>
      <c r="I608" s="21">
        <f t="shared" si="1"/>
        <v>74</v>
      </c>
      <c r="J608" s="21"/>
      <c r="K608" s="22"/>
    </row>
    <row r="609" ht="22.5" customHeight="1">
      <c r="A609" s="28">
        <v>46038.0</v>
      </c>
      <c r="B609" s="15" t="s">
        <v>766</v>
      </c>
      <c r="C609" s="13" t="s">
        <v>9</v>
      </c>
      <c r="D609" s="13">
        <v>80.0</v>
      </c>
      <c r="E609" s="15">
        <v>160.0</v>
      </c>
      <c r="F609" s="13" t="s">
        <v>27</v>
      </c>
      <c r="G609" s="15" t="s">
        <v>99</v>
      </c>
      <c r="H609" s="15">
        <v>2410.0</v>
      </c>
      <c r="I609" s="21">
        <f t="shared" si="1"/>
        <v>385.6</v>
      </c>
      <c r="J609" s="21"/>
      <c r="K609" s="22"/>
    </row>
    <row r="610" ht="22.5" customHeight="1">
      <c r="A610" s="28">
        <v>46038.0</v>
      </c>
      <c r="B610" s="15" t="s">
        <v>767</v>
      </c>
      <c r="C610" s="13" t="s">
        <v>9</v>
      </c>
      <c r="D610" s="13">
        <v>80.0</v>
      </c>
      <c r="E610" s="15">
        <v>160.0</v>
      </c>
      <c r="F610" s="13" t="s">
        <v>27</v>
      </c>
      <c r="G610" s="15" t="s">
        <v>99</v>
      </c>
      <c r="H610" s="15">
        <v>3220.0</v>
      </c>
      <c r="I610" s="21">
        <f t="shared" si="1"/>
        <v>515.2</v>
      </c>
      <c r="J610" s="21"/>
      <c r="K610" s="22"/>
    </row>
    <row r="611" ht="22.5" customHeight="1">
      <c r="A611" s="28">
        <v>46038.0</v>
      </c>
      <c r="B611" s="15" t="s">
        <v>768</v>
      </c>
      <c r="C611" s="13" t="s">
        <v>9</v>
      </c>
      <c r="D611" s="13">
        <v>80.0</v>
      </c>
      <c r="E611" s="15">
        <v>230.0</v>
      </c>
      <c r="F611" s="13" t="s">
        <v>27</v>
      </c>
      <c r="G611" s="15" t="s">
        <v>99</v>
      </c>
      <c r="H611" s="15">
        <v>850.0</v>
      </c>
      <c r="I611" s="21">
        <f t="shared" si="1"/>
        <v>195.5</v>
      </c>
      <c r="J611" s="21"/>
      <c r="K611" s="22"/>
    </row>
    <row r="612" ht="22.5" customHeight="1">
      <c r="A612" s="28">
        <v>46038.0</v>
      </c>
      <c r="B612" s="15" t="s">
        <v>769</v>
      </c>
      <c r="C612" s="13" t="s">
        <v>9</v>
      </c>
      <c r="D612" s="13">
        <v>80.0</v>
      </c>
      <c r="E612" s="15">
        <v>230.0</v>
      </c>
      <c r="F612" s="13" t="s">
        <v>27</v>
      </c>
      <c r="G612" s="15" t="s">
        <v>99</v>
      </c>
      <c r="H612" s="15">
        <v>1500.0</v>
      </c>
      <c r="I612" s="21">
        <f t="shared" si="1"/>
        <v>345</v>
      </c>
      <c r="J612" s="21"/>
      <c r="K612" s="22"/>
    </row>
    <row r="613" ht="22.5" customHeight="1">
      <c r="A613" s="28">
        <v>46038.0</v>
      </c>
      <c r="B613" s="15" t="s">
        <v>770</v>
      </c>
      <c r="C613" s="13" t="s">
        <v>9</v>
      </c>
      <c r="D613" s="13">
        <v>80.0</v>
      </c>
      <c r="E613" s="15">
        <v>140.0</v>
      </c>
      <c r="F613" s="13" t="s">
        <v>27</v>
      </c>
      <c r="G613" s="15" t="s">
        <v>99</v>
      </c>
      <c r="H613" s="15">
        <v>1600.0</v>
      </c>
      <c r="I613" s="21">
        <f t="shared" si="1"/>
        <v>224</v>
      </c>
      <c r="J613" s="21"/>
      <c r="K613" s="22"/>
    </row>
    <row r="614" ht="22.5" customHeight="1">
      <c r="A614" s="28">
        <v>46038.0</v>
      </c>
      <c r="B614" s="15" t="s">
        <v>771</v>
      </c>
      <c r="C614" s="13" t="s">
        <v>9</v>
      </c>
      <c r="D614" s="13">
        <v>80.0</v>
      </c>
      <c r="E614" s="15">
        <v>140.0</v>
      </c>
      <c r="F614" s="13" t="s">
        <v>27</v>
      </c>
      <c r="G614" s="15" t="s">
        <v>99</v>
      </c>
      <c r="H614" s="15">
        <v>1970.0</v>
      </c>
      <c r="I614" s="21">
        <f t="shared" si="1"/>
        <v>275.8</v>
      </c>
      <c r="J614" s="21"/>
      <c r="K614" s="22"/>
    </row>
    <row r="615" ht="22.5" customHeight="1">
      <c r="A615" s="28">
        <v>46038.0</v>
      </c>
      <c r="B615" s="15" t="s">
        <v>772</v>
      </c>
      <c r="C615" s="13" t="s">
        <v>9</v>
      </c>
      <c r="D615" s="13">
        <v>80.0</v>
      </c>
      <c r="E615" s="15">
        <v>140.0</v>
      </c>
      <c r="F615" s="13" t="s">
        <v>27</v>
      </c>
      <c r="G615" s="15" t="s">
        <v>99</v>
      </c>
      <c r="H615" s="15">
        <v>2870.0</v>
      </c>
      <c r="I615" s="21">
        <f t="shared" si="1"/>
        <v>401.8</v>
      </c>
      <c r="J615" s="21"/>
      <c r="K615" s="22"/>
    </row>
    <row r="616" ht="22.5" customHeight="1">
      <c r="A616" s="28">
        <v>46038.0</v>
      </c>
      <c r="B616" s="15" t="s">
        <v>773</v>
      </c>
      <c r="C616" s="13" t="s">
        <v>9</v>
      </c>
      <c r="D616" s="13">
        <v>80.0</v>
      </c>
      <c r="E616" s="15">
        <v>160.0</v>
      </c>
      <c r="F616" s="13" t="s">
        <v>27</v>
      </c>
      <c r="G616" s="15" t="s">
        <v>99</v>
      </c>
      <c r="H616" s="15">
        <v>3500.0</v>
      </c>
      <c r="I616" s="21">
        <f t="shared" si="1"/>
        <v>560</v>
      </c>
      <c r="J616" s="21"/>
      <c r="K616" s="22"/>
    </row>
    <row r="617" ht="22.5" customHeight="1">
      <c r="A617" s="28">
        <v>46038.0</v>
      </c>
      <c r="B617" s="15" t="s">
        <v>774</v>
      </c>
      <c r="C617" s="13" t="s">
        <v>9</v>
      </c>
      <c r="D617" s="13">
        <v>80.0</v>
      </c>
      <c r="E617" s="15">
        <v>230.0</v>
      </c>
      <c r="F617" s="13" t="s">
        <v>27</v>
      </c>
      <c r="G617" s="15" t="s">
        <v>99</v>
      </c>
      <c r="H617" s="15">
        <v>1800.0</v>
      </c>
      <c r="I617" s="21">
        <f t="shared" si="1"/>
        <v>414</v>
      </c>
      <c r="J617" s="21"/>
      <c r="K617" s="22"/>
    </row>
    <row r="618" ht="22.5" customHeight="1">
      <c r="A618" s="28">
        <v>46039.0</v>
      </c>
      <c r="B618" s="15" t="s">
        <v>775</v>
      </c>
      <c r="C618" s="13" t="s">
        <v>57</v>
      </c>
      <c r="D618" s="13">
        <v>80.0</v>
      </c>
      <c r="E618" s="15">
        <v>160.0</v>
      </c>
      <c r="F618" s="13" t="s">
        <v>33</v>
      </c>
      <c r="G618" s="15" t="s">
        <v>170</v>
      </c>
      <c r="H618" s="15">
        <v>900.0</v>
      </c>
      <c r="I618" s="21">
        <f t="shared" si="1"/>
        <v>144</v>
      </c>
      <c r="J618" s="21"/>
      <c r="K618" s="22"/>
    </row>
    <row r="619" ht="22.5" customHeight="1">
      <c r="A619" s="28">
        <v>46039.0</v>
      </c>
      <c r="B619" s="15" t="s">
        <v>776</v>
      </c>
      <c r="C619" s="13" t="s">
        <v>57</v>
      </c>
      <c r="D619" s="13">
        <v>80.0</v>
      </c>
      <c r="E619" s="15">
        <v>160.0</v>
      </c>
      <c r="F619" s="13" t="s">
        <v>33</v>
      </c>
      <c r="G619" s="15" t="s">
        <v>170</v>
      </c>
      <c r="H619" s="15">
        <v>470.0</v>
      </c>
      <c r="I619" s="21">
        <f t="shared" si="1"/>
        <v>75.2</v>
      </c>
      <c r="J619" s="21"/>
      <c r="K619" s="22"/>
    </row>
    <row r="620" ht="22.5" customHeight="1">
      <c r="A620" s="28">
        <v>46039.0</v>
      </c>
      <c r="B620" s="15" t="s">
        <v>777</v>
      </c>
      <c r="C620" s="13" t="s">
        <v>9</v>
      </c>
      <c r="D620" s="13">
        <v>80.0</v>
      </c>
      <c r="E620" s="15">
        <v>140.0</v>
      </c>
      <c r="F620" s="13" t="s">
        <v>27</v>
      </c>
      <c r="G620" s="15" t="s">
        <v>99</v>
      </c>
      <c r="H620" s="15">
        <v>2170.0</v>
      </c>
      <c r="I620" s="21">
        <f t="shared" si="1"/>
        <v>303.8</v>
      </c>
      <c r="J620" s="21"/>
      <c r="K620" s="22"/>
    </row>
    <row r="621" ht="22.5" customHeight="1">
      <c r="A621" s="28">
        <v>46039.0</v>
      </c>
      <c r="B621" s="15" t="s">
        <v>778</v>
      </c>
      <c r="C621" s="13" t="s">
        <v>9</v>
      </c>
      <c r="D621" s="13">
        <v>80.0</v>
      </c>
      <c r="E621" s="15">
        <v>210.0</v>
      </c>
      <c r="F621" s="13" t="s">
        <v>21</v>
      </c>
      <c r="G621" s="15" t="s">
        <v>779</v>
      </c>
      <c r="H621" s="15">
        <v>1800.0</v>
      </c>
      <c r="I621" s="21">
        <f t="shared" si="1"/>
        <v>378</v>
      </c>
      <c r="J621" s="21"/>
      <c r="K621" s="22"/>
    </row>
    <row r="622" ht="22.5" customHeight="1">
      <c r="A622" s="28">
        <v>46039.0</v>
      </c>
      <c r="B622" s="15" t="s">
        <v>780</v>
      </c>
      <c r="C622" s="13" t="s">
        <v>9</v>
      </c>
      <c r="D622" s="13">
        <v>80.0</v>
      </c>
      <c r="E622" s="15">
        <v>210.0</v>
      </c>
      <c r="F622" s="13" t="s">
        <v>23</v>
      </c>
      <c r="G622" s="15" t="s">
        <v>29</v>
      </c>
      <c r="H622" s="15">
        <v>5880.0</v>
      </c>
      <c r="I622" s="21">
        <f t="shared" si="1"/>
        <v>1234.8</v>
      </c>
      <c r="J622" s="21"/>
      <c r="K622" s="22"/>
    </row>
    <row r="623" ht="22.5" customHeight="1">
      <c r="A623" s="28">
        <v>46039.0</v>
      </c>
      <c r="B623" s="15" t="s">
        <v>781</v>
      </c>
      <c r="C623" s="13" t="s">
        <v>48</v>
      </c>
      <c r="D623" s="13">
        <v>120.0</v>
      </c>
      <c r="E623" s="15">
        <v>340.0</v>
      </c>
      <c r="F623" s="13" t="s">
        <v>27</v>
      </c>
      <c r="G623" s="15" t="s">
        <v>779</v>
      </c>
      <c r="H623" s="15">
        <v>2000.0</v>
      </c>
      <c r="I623" s="21">
        <f t="shared" si="1"/>
        <v>680</v>
      </c>
      <c r="J623" s="21"/>
      <c r="K623" s="22"/>
    </row>
    <row r="624" ht="22.5" customHeight="1">
      <c r="A624" s="28">
        <v>46041.0</v>
      </c>
      <c r="B624" s="15" t="s">
        <v>786</v>
      </c>
      <c r="C624" s="13" t="s">
        <v>47</v>
      </c>
      <c r="D624" s="13">
        <v>60.0</v>
      </c>
      <c r="E624" s="15">
        <v>166.0</v>
      </c>
      <c r="F624" s="13" t="s">
        <v>23</v>
      </c>
      <c r="G624" s="15" t="s">
        <v>176</v>
      </c>
      <c r="H624" s="15">
        <v>1500.0</v>
      </c>
      <c r="I624" s="21">
        <f t="shared" si="1"/>
        <v>249</v>
      </c>
      <c r="J624" s="21"/>
      <c r="K624" s="22"/>
    </row>
    <row r="625" ht="22.5" customHeight="1">
      <c r="A625" s="28">
        <v>46041.0</v>
      </c>
      <c r="B625" s="15" t="s">
        <v>787</v>
      </c>
      <c r="C625" s="13" t="s">
        <v>47</v>
      </c>
      <c r="D625" s="13">
        <v>60.0</v>
      </c>
      <c r="E625" s="15">
        <v>166.0</v>
      </c>
      <c r="F625" s="13" t="s">
        <v>23</v>
      </c>
      <c r="G625" s="15" t="s">
        <v>176</v>
      </c>
      <c r="H625" s="15">
        <v>420.0</v>
      </c>
      <c r="I625" s="21">
        <f t="shared" si="1"/>
        <v>69.72</v>
      </c>
      <c r="J625" s="21"/>
      <c r="K625" s="22"/>
    </row>
    <row r="626" ht="22.5" customHeight="1">
      <c r="A626" s="28">
        <v>46041.0</v>
      </c>
      <c r="B626" s="15" t="s">
        <v>787</v>
      </c>
      <c r="C626" s="13" t="s">
        <v>47</v>
      </c>
      <c r="D626" s="13">
        <v>60.0</v>
      </c>
      <c r="E626" s="15">
        <v>172.0</v>
      </c>
      <c r="F626" s="13" t="s">
        <v>23</v>
      </c>
      <c r="G626" s="15" t="s">
        <v>176</v>
      </c>
      <c r="H626" s="15">
        <v>2000.0</v>
      </c>
      <c r="I626" s="21">
        <f t="shared" si="1"/>
        <v>344</v>
      </c>
      <c r="J626" s="21"/>
      <c r="K626" s="22"/>
    </row>
    <row r="627" ht="22.5" customHeight="1">
      <c r="A627" s="28">
        <v>46041.0</v>
      </c>
      <c r="B627" s="15" t="s">
        <v>788</v>
      </c>
      <c r="C627" s="13" t="s">
        <v>26</v>
      </c>
      <c r="D627" s="13">
        <v>80.0</v>
      </c>
      <c r="E627" s="15">
        <v>210.0</v>
      </c>
      <c r="F627" s="13" t="s">
        <v>23</v>
      </c>
      <c r="G627" s="15" t="s">
        <v>29</v>
      </c>
      <c r="H627" s="15">
        <v>6200.0</v>
      </c>
      <c r="I627" s="21">
        <f t="shared" si="1"/>
        <v>1302</v>
      </c>
      <c r="J627" s="21"/>
      <c r="K627" s="22"/>
    </row>
    <row r="628" ht="22.5" customHeight="1">
      <c r="A628" s="28">
        <v>46041.0</v>
      </c>
      <c r="B628" s="15" t="s">
        <v>790</v>
      </c>
      <c r="C628" s="13" t="s">
        <v>9</v>
      </c>
      <c r="D628" s="13">
        <v>80.0</v>
      </c>
      <c r="E628" s="15">
        <v>140.0</v>
      </c>
      <c r="F628" s="13" t="s">
        <v>27</v>
      </c>
      <c r="G628" s="15" t="s">
        <v>176</v>
      </c>
      <c r="H628" s="15">
        <v>1340.0</v>
      </c>
      <c r="I628" s="21">
        <f t="shared" si="1"/>
        <v>187.6</v>
      </c>
      <c r="J628" s="21"/>
      <c r="K628" s="22"/>
    </row>
    <row r="629" ht="22.5" customHeight="1">
      <c r="A629" s="28">
        <v>46042.0</v>
      </c>
      <c r="B629" s="15" t="s">
        <v>791</v>
      </c>
      <c r="C629" s="13" t="s">
        <v>43</v>
      </c>
      <c r="D629" s="13">
        <v>50.0</v>
      </c>
      <c r="E629" s="15">
        <v>125.0</v>
      </c>
      <c r="F629" s="13" t="s">
        <v>27</v>
      </c>
      <c r="G629" s="15" t="s">
        <v>176</v>
      </c>
      <c r="H629" s="15">
        <v>1670.0</v>
      </c>
      <c r="I629" s="21">
        <f t="shared" si="1"/>
        <v>208.75</v>
      </c>
      <c r="J629" s="21"/>
      <c r="K629" s="22"/>
    </row>
    <row r="630" ht="22.5" customHeight="1">
      <c r="A630" s="28">
        <v>46042.0</v>
      </c>
      <c r="B630" s="15" t="s">
        <v>792</v>
      </c>
      <c r="C630" s="13" t="s">
        <v>54</v>
      </c>
      <c r="D630" s="13">
        <v>40.0</v>
      </c>
      <c r="E630" s="15">
        <v>240.0</v>
      </c>
      <c r="F630" s="13" t="s">
        <v>55</v>
      </c>
      <c r="G630" s="15" t="s">
        <v>742</v>
      </c>
      <c r="H630" s="15">
        <v>2500.0</v>
      </c>
      <c r="I630" s="21">
        <f t="shared" si="1"/>
        <v>600</v>
      </c>
      <c r="J630" s="21"/>
      <c r="K630" s="22"/>
    </row>
    <row r="631" ht="22.5" customHeight="1">
      <c r="A631" s="28">
        <v>46042.0</v>
      </c>
      <c r="B631" s="15" t="s">
        <v>793</v>
      </c>
      <c r="C631" s="13" t="s">
        <v>54</v>
      </c>
      <c r="D631" s="13">
        <v>40.0</v>
      </c>
      <c r="E631" s="15">
        <v>240.0</v>
      </c>
      <c r="F631" s="13" t="s">
        <v>55</v>
      </c>
      <c r="G631" s="15" t="s">
        <v>742</v>
      </c>
      <c r="H631" s="15">
        <v>1500.0</v>
      </c>
      <c r="I631" s="21">
        <f t="shared" si="1"/>
        <v>360</v>
      </c>
      <c r="J631" s="21"/>
      <c r="K631" s="22"/>
    </row>
    <row r="632" ht="22.5" customHeight="1">
      <c r="A632" s="28">
        <v>46042.0</v>
      </c>
      <c r="B632" s="15" t="s">
        <v>794</v>
      </c>
      <c r="C632" s="13" t="s">
        <v>54</v>
      </c>
      <c r="D632" s="13">
        <v>40.0</v>
      </c>
      <c r="E632" s="15">
        <v>240.0</v>
      </c>
      <c r="F632" s="13" t="s">
        <v>55</v>
      </c>
      <c r="G632" s="15" t="s">
        <v>742</v>
      </c>
      <c r="H632" s="15">
        <v>5600.0</v>
      </c>
      <c r="I632" s="21">
        <f t="shared" si="1"/>
        <v>1344</v>
      </c>
      <c r="J632" s="21"/>
      <c r="K632" s="22"/>
    </row>
    <row r="633" ht="22.5" customHeight="1">
      <c r="A633" s="28">
        <v>46042.0</v>
      </c>
      <c r="B633" s="15" t="s">
        <v>795</v>
      </c>
      <c r="C633" s="38"/>
      <c r="D633" s="38"/>
      <c r="E633" s="15">
        <v>100.0</v>
      </c>
      <c r="F633" s="38"/>
      <c r="G633" s="15" t="s">
        <v>170</v>
      </c>
      <c r="H633" s="15">
        <v>600.0</v>
      </c>
      <c r="I633" s="21">
        <f t="shared" si="1"/>
        <v>60</v>
      </c>
      <c r="J633" s="15" t="s">
        <v>1054</v>
      </c>
      <c r="K633" s="22"/>
    </row>
    <row r="634" ht="22.5" customHeight="1">
      <c r="A634" s="28">
        <v>46043.0</v>
      </c>
      <c r="B634" s="15" t="s">
        <v>796</v>
      </c>
      <c r="C634" s="13" t="s">
        <v>54</v>
      </c>
      <c r="D634" s="13">
        <v>40.0</v>
      </c>
      <c r="E634" s="15">
        <v>240.0</v>
      </c>
      <c r="F634" s="13" t="s">
        <v>55</v>
      </c>
      <c r="G634" s="15" t="s">
        <v>331</v>
      </c>
      <c r="H634" s="15">
        <v>3400.0</v>
      </c>
      <c r="I634" s="21">
        <f t="shared" si="1"/>
        <v>816</v>
      </c>
      <c r="J634" s="21"/>
      <c r="K634" s="22"/>
    </row>
    <row r="635" ht="22.5" customHeight="1">
      <c r="A635" s="28">
        <v>46043.0</v>
      </c>
      <c r="B635" s="15" t="s">
        <v>797</v>
      </c>
      <c r="C635" s="13" t="s">
        <v>54</v>
      </c>
      <c r="D635" s="13">
        <v>40.0</v>
      </c>
      <c r="E635" s="15">
        <v>240.0</v>
      </c>
      <c r="F635" s="13" t="s">
        <v>55</v>
      </c>
      <c r="G635" s="15" t="s">
        <v>331</v>
      </c>
      <c r="H635" s="15">
        <v>4300.0</v>
      </c>
      <c r="I635" s="21">
        <f t="shared" si="1"/>
        <v>1032</v>
      </c>
      <c r="J635" s="21"/>
      <c r="K635" s="22"/>
    </row>
    <row r="636" ht="22.5" customHeight="1">
      <c r="A636" s="28">
        <v>46043.0</v>
      </c>
      <c r="B636" s="15" t="s">
        <v>798</v>
      </c>
      <c r="C636" s="13" t="s">
        <v>9</v>
      </c>
      <c r="D636" s="13">
        <v>80.0</v>
      </c>
      <c r="E636" s="15">
        <v>125.0</v>
      </c>
      <c r="F636" s="13" t="s">
        <v>21</v>
      </c>
      <c r="G636" s="15" t="s">
        <v>89</v>
      </c>
      <c r="H636" s="15">
        <v>1000.0</v>
      </c>
      <c r="I636" s="21">
        <f t="shared" si="1"/>
        <v>125</v>
      </c>
      <c r="J636" s="21"/>
      <c r="K636" s="22"/>
    </row>
    <row r="637" ht="22.5" customHeight="1">
      <c r="A637" s="28">
        <v>46044.0</v>
      </c>
      <c r="B637" s="15" t="s">
        <v>799</v>
      </c>
      <c r="C637" s="13" t="s">
        <v>54</v>
      </c>
      <c r="D637" s="13">
        <v>40.0</v>
      </c>
      <c r="E637" s="15">
        <v>240.0</v>
      </c>
      <c r="F637" s="13" t="s">
        <v>55</v>
      </c>
      <c r="G637" s="15" t="s">
        <v>331</v>
      </c>
      <c r="H637" s="15">
        <v>900.0</v>
      </c>
      <c r="I637" s="21">
        <f t="shared" si="1"/>
        <v>216</v>
      </c>
      <c r="J637" s="21"/>
      <c r="K637" s="22"/>
    </row>
    <row r="638" ht="22.5" customHeight="1">
      <c r="A638" s="28">
        <v>46044.0</v>
      </c>
      <c r="B638" s="15" t="s">
        <v>800</v>
      </c>
      <c r="C638" s="13" t="s">
        <v>9</v>
      </c>
      <c r="D638" s="13">
        <v>80.0</v>
      </c>
      <c r="E638" s="15">
        <v>230.0</v>
      </c>
      <c r="F638" s="13" t="s">
        <v>27</v>
      </c>
      <c r="G638" s="15" t="s">
        <v>99</v>
      </c>
      <c r="H638" s="15">
        <v>3000.0</v>
      </c>
      <c r="I638" s="21">
        <f t="shared" si="1"/>
        <v>690</v>
      </c>
      <c r="J638" s="21"/>
      <c r="K638" s="22"/>
    </row>
    <row r="639" ht="22.5" customHeight="1">
      <c r="A639" s="28">
        <v>46044.0</v>
      </c>
      <c r="B639" s="15" t="s">
        <v>801</v>
      </c>
      <c r="C639" s="13" t="s">
        <v>9</v>
      </c>
      <c r="D639" s="13">
        <v>80.0</v>
      </c>
      <c r="E639" s="15">
        <v>160.0</v>
      </c>
      <c r="F639" s="13" t="s">
        <v>27</v>
      </c>
      <c r="G639" s="15" t="s">
        <v>99</v>
      </c>
      <c r="H639" s="15">
        <v>730.0</v>
      </c>
      <c r="I639" s="21">
        <f t="shared" si="1"/>
        <v>116.8</v>
      </c>
      <c r="J639" s="21"/>
      <c r="K639" s="22"/>
    </row>
    <row r="640" ht="22.5" customHeight="1">
      <c r="A640" s="28">
        <v>46045.0</v>
      </c>
      <c r="B640" s="15" t="s">
        <v>802</v>
      </c>
      <c r="C640" s="13" t="s">
        <v>9</v>
      </c>
      <c r="D640" s="13">
        <v>80.0</v>
      </c>
      <c r="E640" s="15">
        <v>140.0</v>
      </c>
      <c r="F640" s="13" t="s">
        <v>27</v>
      </c>
      <c r="G640" s="15" t="s">
        <v>99</v>
      </c>
      <c r="H640" s="15">
        <v>1040.0</v>
      </c>
      <c r="I640" s="21">
        <f t="shared" si="1"/>
        <v>145.6</v>
      </c>
      <c r="J640" s="21"/>
      <c r="K640" s="22"/>
    </row>
    <row r="641" ht="22.5" customHeight="1">
      <c r="A641" s="28">
        <v>46045.0</v>
      </c>
      <c r="B641" s="15" t="s">
        <v>803</v>
      </c>
      <c r="C641" s="13" t="s">
        <v>9</v>
      </c>
      <c r="D641" s="13">
        <v>80.0</v>
      </c>
      <c r="E641" s="15">
        <v>140.0</v>
      </c>
      <c r="F641" s="13" t="s">
        <v>27</v>
      </c>
      <c r="G641" s="15" t="s">
        <v>99</v>
      </c>
      <c r="H641" s="15">
        <v>2600.0</v>
      </c>
      <c r="I641" s="21">
        <f t="shared" si="1"/>
        <v>364</v>
      </c>
      <c r="J641" s="21"/>
      <c r="K641" s="22"/>
    </row>
    <row r="642" ht="22.5" customHeight="1">
      <c r="A642" s="28">
        <v>46045.0</v>
      </c>
      <c r="B642" s="15" t="s">
        <v>804</v>
      </c>
      <c r="C642" s="13" t="s">
        <v>36</v>
      </c>
      <c r="D642" s="13">
        <v>70.0</v>
      </c>
      <c r="E642" s="15">
        <v>205.0</v>
      </c>
      <c r="F642" s="38"/>
      <c r="G642" s="15" t="s">
        <v>805</v>
      </c>
      <c r="H642" s="15">
        <v>6000.0</v>
      </c>
      <c r="I642" s="21">
        <f t="shared" si="1"/>
        <v>1230</v>
      </c>
      <c r="J642" s="15" t="s">
        <v>1062</v>
      </c>
      <c r="K642" s="22"/>
    </row>
    <row r="643" ht="22.5" customHeight="1">
      <c r="A643" s="28">
        <v>46045.0</v>
      </c>
      <c r="B643" s="15" t="s">
        <v>806</v>
      </c>
      <c r="C643" s="13" t="s">
        <v>36</v>
      </c>
      <c r="D643" s="13">
        <v>70.0</v>
      </c>
      <c r="E643" s="15">
        <v>205.0</v>
      </c>
      <c r="F643" s="38"/>
      <c r="G643" s="15" t="s">
        <v>805</v>
      </c>
      <c r="H643" s="15">
        <v>6300.0</v>
      </c>
      <c r="I643" s="21">
        <f t="shared" si="1"/>
        <v>1291.5</v>
      </c>
      <c r="J643" s="21"/>
      <c r="K643" s="22"/>
    </row>
    <row r="644" ht="22.5" customHeight="1">
      <c r="A644" s="28">
        <v>46049.0</v>
      </c>
      <c r="B644" s="15" t="s">
        <v>807</v>
      </c>
      <c r="C644" s="13" t="s">
        <v>9</v>
      </c>
      <c r="D644" s="13">
        <v>80.0</v>
      </c>
      <c r="E644" s="15">
        <v>160.0</v>
      </c>
      <c r="F644" s="13" t="s">
        <v>27</v>
      </c>
      <c r="G644" s="15" t="s">
        <v>99</v>
      </c>
      <c r="H644" s="15">
        <v>4610.0</v>
      </c>
      <c r="I644" s="21">
        <f t="shared" si="1"/>
        <v>737.6</v>
      </c>
      <c r="J644" s="21"/>
      <c r="K644" s="22"/>
    </row>
    <row r="645" ht="22.5" customHeight="1">
      <c r="A645" s="28">
        <v>46049.0</v>
      </c>
      <c r="B645" s="15" t="s">
        <v>808</v>
      </c>
      <c r="C645" s="13" t="s">
        <v>9</v>
      </c>
      <c r="D645" s="13">
        <v>80.0</v>
      </c>
      <c r="E645" s="15">
        <v>140.0</v>
      </c>
      <c r="F645" s="13" t="s">
        <v>27</v>
      </c>
      <c r="G645" s="15" t="s">
        <v>99</v>
      </c>
      <c r="H645" s="15">
        <v>500.0</v>
      </c>
      <c r="I645" s="21">
        <f t="shared" si="1"/>
        <v>70</v>
      </c>
      <c r="J645" s="21"/>
      <c r="K645" s="22"/>
    </row>
    <row r="646" ht="22.5" customHeight="1">
      <c r="A646" s="28">
        <v>46049.0</v>
      </c>
      <c r="B646" s="15" t="s">
        <v>808</v>
      </c>
      <c r="C646" s="13" t="s">
        <v>9</v>
      </c>
      <c r="D646" s="13">
        <v>80.0</v>
      </c>
      <c r="E646" s="15">
        <v>160.0</v>
      </c>
      <c r="F646" s="13" t="s">
        <v>27</v>
      </c>
      <c r="G646" s="15" t="s">
        <v>99</v>
      </c>
      <c r="H646" s="15">
        <v>400.0</v>
      </c>
      <c r="I646" s="21">
        <f t="shared" si="1"/>
        <v>64</v>
      </c>
      <c r="J646" s="21"/>
      <c r="K646" s="22"/>
    </row>
    <row r="647" ht="22.5" customHeight="1">
      <c r="A647" s="28">
        <v>46049.0</v>
      </c>
      <c r="B647" s="15" t="s">
        <v>809</v>
      </c>
      <c r="C647" s="13" t="s">
        <v>9</v>
      </c>
      <c r="D647" s="13">
        <v>80.0</v>
      </c>
      <c r="E647" s="15">
        <v>280.0</v>
      </c>
      <c r="F647" s="13" t="s">
        <v>21</v>
      </c>
      <c r="G647" s="15" t="s">
        <v>166</v>
      </c>
      <c r="H647" s="15">
        <v>900.0</v>
      </c>
      <c r="I647" s="21">
        <f t="shared" si="1"/>
        <v>252</v>
      </c>
      <c r="J647" s="21"/>
      <c r="K647" s="22"/>
    </row>
    <row r="648" ht="22.5" customHeight="1">
      <c r="A648" s="28">
        <v>46049.0</v>
      </c>
      <c r="B648" s="15" t="s">
        <v>809</v>
      </c>
      <c r="C648" s="13" t="s">
        <v>9</v>
      </c>
      <c r="D648" s="13">
        <v>80.0</v>
      </c>
      <c r="E648" s="15">
        <v>150.0</v>
      </c>
      <c r="F648" s="13" t="s">
        <v>21</v>
      </c>
      <c r="G648" s="15" t="s">
        <v>166</v>
      </c>
      <c r="H648" s="15">
        <v>1970.0</v>
      </c>
      <c r="I648" s="21">
        <f t="shared" si="1"/>
        <v>295.5</v>
      </c>
      <c r="J648" s="21"/>
      <c r="K648" s="22"/>
    </row>
    <row r="649" ht="22.5" customHeight="1">
      <c r="A649" s="28">
        <v>46049.0</v>
      </c>
      <c r="B649" s="15" t="s">
        <v>810</v>
      </c>
      <c r="C649" s="13" t="s">
        <v>9</v>
      </c>
      <c r="D649" s="13">
        <v>80.0</v>
      </c>
      <c r="E649" s="15">
        <v>170.0</v>
      </c>
      <c r="F649" s="13" t="s">
        <v>21</v>
      </c>
      <c r="G649" s="15" t="s">
        <v>89</v>
      </c>
      <c r="H649" s="15">
        <v>700.0</v>
      </c>
      <c r="I649" s="21">
        <f t="shared" si="1"/>
        <v>119</v>
      </c>
      <c r="J649" s="21"/>
      <c r="K649" s="22"/>
    </row>
    <row r="650" ht="22.5" customHeight="1">
      <c r="A650" s="28">
        <v>46049.0</v>
      </c>
      <c r="B650" s="15" t="s">
        <v>811</v>
      </c>
      <c r="C650" s="13" t="s">
        <v>9</v>
      </c>
      <c r="D650" s="13">
        <v>80.0</v>
      </c>
      <c r="E650" s="15">
        <v>170.0</v>
      </c>
      <c r="F650" s="13" t="s">
        <v>21</v>
      </c>
      <c r="G650" s="15" t="s">
        <v>89</v>
      </c>
      <c r="H650" s="15">
        <v>400.0</v>
      </c>
      <c r="I650" s="21">
        <f t="shared" si="1"/>
        <v>68</v>
      </c>
      <c r="J650" s="21"/>
      <c r="K650" s="22"/>
    </row>
    <row r="651" ht="22.5" customHeight="1">
      <c r="A651" s="28">
        <v>46049.0</v>
      </c>
      <c r="B651" s="15" t="s">
        <v>812</v>
      </c>
      <c r="C651" s="13" t="s">
        <v>9</v>
      </c>
      <c r="D651" s="13">
        <v>80.0</v>
      </c>
      <c r="E651" s="15">
        <v>170.0</v>
      </c>
      <c r="F651" s="13" t="s">
        <v>21</v>
      </c>
      <c r="G651" s="15" t="s">
        <v>89</v>
      </c>
      <c r="H651" s="15">
        <v>1000.0</v>
      </c>
      <c r="I651" s="21">
        <f t="shared" si="1"/>
        <v>170</v>
      </c>
      <c r="J651" s="21"/>
      <c r="K651" s="22"/>
    </row>
    <row r="652" ht="22.5" customHeight="1">
      <c r="A652" s="28">
        <v>46049.0</v>
      </c>
      <c r="B652" s="15" t="s">
        <v>813</v>
      </c>
      <c r="C652" s="13" t="s">
        <v>9</v>
      </c>
      <c r="D652" s="13">
        <v>80.0</v>
      </c>
      <c r="E652" s="15">
        <v>170.0</v>
      </c>
      <c r="F652" s="13" t="s">
        <v>21</v>
      </c>
      <c r="G652" s="15" t="s">
        <v>89</v>
      </c>
      <c r="H652" s="15">
        <v>1300.0</v>
      </c>
      <c r="I652" s="21">
        <f t="shared" si="1"/>
        <v>221</v>
      </c>
      <c r="J652" s="21"/>
      <c r="K652" s="22"/>
    </row>
    <row r="653" ht="22.5" customHeight="1">
      <c r="A653" s="28">
        <v>46049.0</v>
      </c>
      <c r="B653" s="15" t="s">
        <v>814</v>
      </c>
      <c r="C653" s="13" t="s">
        <v>9</v>
      </c>
      <c r="D653" s="13">
        <v>80.0</v>
      </c>
      <c r="E653" s="15">
        <v>230.0</v>
      </c>
      <c r="F653" s="13" t="s">
        <v>21</v>
      </c>
      <c r="G653" s="15" t="s">
        <v>193</v>
      </c>
      <c r="H653" s="15">
        <v>7500.0</v>
      </c>
      <c r="I653" s="21">
        <f t="shared" si="1"/>
        <v>1725</v>
      </c>
      <c r="J653" s="21"/>
      <c r="K653" s="22"/>
    </row>
    <row r="654" ht="22.5" customHeight="1">
      <c r="A654" s="28">
        <v>46050.0</v>
      </c>
      <c r="B654" s="15" t="s">
        <v>815</v>
      </c>
      <c r="C654" s="13" t="s">
        <v>9</v>
      </c>
      <c r="D654" s="13">
        <v>80.0</v>
      </c>
      <c r="E654" s="15">
        <v>290.0</v>
      </c>
      <c r="F654" s="13" t="s">
        <v>21</v>
      </c>
      <c r="G654" s="15" t="s">
        <v>89</v>
      </c>
      <c r="H654" s="15">
        <v>4550.0</v>
      </c>
      <c r="I654" s="21">
        <f t="shared" si="1"/>
        <v>1319.5</v>
      </c>
      <c r="J654" s="21"/>
      <c r="K654" s="22"/>
    </row>
    <row r="655" ht="22.5" customHeight="1">
      <c r="A655" s="28">
        <v>46050.0</v>
      </c>
      <c r="B655" s="15" t="s">
        <v>816</v>
      </c>
      <c r="C655" s="13" t="s">
        <v>9</v>
      </c>
      <c r="D655" s="13">
        <v>80.0</v>
      </c>
      <c r="E655" s="15">
        <v>180.0</v>
      </c>
      <c r="F655" s="13" t="s">
        <v>21</v>
      </c>
      <c r="G655" s="15" t="s">
        <v>89</v>
      </c>
      <c r="H655" s="15">
        <v>4000.0</v>
      </c>
      <c r="I655" s="21">
        <f t="shared" si="1"/>
        <v>720</v>
      </c>
      <c r="J655" s="21"/>
      <c r="K655" s="22"/>
    </row>
    <row r="656" ht="22.5" customHeight="1">
      <c r="A656" s="28">
        <v>46050.0</v>
      </c>
      <c r="B656" s="15" t="s">
        <v>816</v>
      </c>
      <c r="C656" s="13" t="s">
        <v>9</v>
      </c>
      <c r="D656" s="13">
        <v>80.0</v>
      </c>
      <c r="E656" s="15">
        <v>210.0</v>
      </c>
      <c r="F656" s="13" t="s">
        <v>21</v>
      </c>
      <c r="G656" s="15" t="s">
        <v>89</v>
      </c>
      <c r="H656" s="15">
        <v>1500.0</v>
      </c>
      <c r="I656" s="21">
        <f t="shared" si="1"/>
        <v>315</v>
      </c>
      <c r="J656" s="21"/>
      <c r="K656" s="22"/>
    </row>
    <row r="657" ht="22.5" customHeight="1">
      <c r="A657" s="28">
        <v>46050.0</v>
      </c>
      <c r="B657" s="15" t="s">
        <v>817</v>
      </c>
      <c r="C657" s="13" t="s">
        <v>9</v>
      </c>
      <c r="D657" s="13">
        <v>80.0</v>
      </c>
      <c r="E657" s="15">
        <v>290.0</v>
      </c>
      <c r="F657" s="13" t="s">
        <v>21</v>
      </c>
      <c r="G657" s="15" t="s">
        <v>89</v>
      </c>
      <c r="H657" s="15">
        <v>1140.0</v>
      </c>
      <c r="I657" s="21">
        <f t="shared" si="1"/>
        <v>330.6</v>
      </c>
      <c r="J657" s="21"/>
      <c r="K657" s="22"/>
    </row>
    <row r="658" ht="22.5" customHeight="1">
      <c r="A658" s="28">
        <v>46050.0</v>
      </c>
      <c r="B658" s="15" t="s">
        <v>818</v>
      </c>
      <c r="C658" s="13" t="s">
        <v>9</v>
      </c>
      <c r="D658" s="13">
        <v>80.0</v>
      </c>
      <c r="E658" s="15">
        <v>230.0</v>
      </c>
      <c r="F658" s="13" t="s">
        <v>21</v>
      </c>
      <c r="G658" s="15" t="s">
        <v>89</v>
      </c>
      <c r="H658" s="15">
        <v>8960.0</v>
      </c>
      <c r="I658" s="21">
        <f t="shared" si="1"/>
        <v>2060.8</v>
      </c>
      <c r="J658" s="21"/>
      <c r="K658" s="22"/>
    </row>
    <row r="659" ht="22.5" customHeight="1">
      <c r="A659" s="28">
        <v>46050.0</v>
      </c>
      <c r="B659" s="15" t="s">
        <v>819</v>
      </c>
      <c r="C659" s="13" t="s">
        <v>9</v>
      </c>
      <c r="D659" s="13">
        <v>80.0</v>
      </c>
      <c r="E659" s="15">
        <v>290.0</v>
      </c>
      <c r="F659" s="13" t="s">
        <v>21</v>
      </c>
      <c r="G659" s="15" t="s">
        <v>89</v>
      </c>
      <c r="H659" s="15">
        <v>6400.0</v>
      </c>
      <c r="I659" s="21">
        <f t="shared" si="1"/>
        <v>1856</v>
      </c>
      <c r="J659" s="21"/>
      <c r="K659" s="22"/>
    </row>
    <row r="660" ht="22.5" customHeight="1">
      <c r="A660" s="28">
        <v>46051.0</v>
      </c>
      <c r="B660" s="15" t="s">
        <v>820</v>
      </c>
      <c r="C660" s="13" t="s">
        <v>9</v>
      </c>
      <c r="D660" s="13">
        <v>80.0</v>
      </c>
      <c r="E660" s="15">
        <v>290.0</v>
      </c>
      <c r="F660" s="13" t="s">
        <v>21</v>
      </c>
      <c r="G660" s="15" t="s">
        <v>89</v>
      </c>
      <c r="H660" s="15">
        <v>2000.0</v>
      </c>
      <c r="I660" s="21">
        <f t="shared" si="1"/>
        <v>580</v>
      </c>
      <c r="J660" s="21"/>
      <c r="K660" s="22"/>
    </row>
    <row r="661" ht="22.5" customHeight="1">
      <c r="A661" s="28">
        <v>46051.0</v>
      </c>
      <c r="B661" s="15" t="s">
        <v>821</v>
      </c>
      <c r="C661" s="13" t="s">
        <v>9</v>
      </c>
      <c r="D661" s="13">
        <v>80.0</v>
      </c>
      <c r="E661" s="15">
        <v>290.0</v>
      </c>
      <c r="F661" s="13" t="s">
        <v>21</v>
      </c>
      <c r="G661" s="15" t="s">
        <v>89</v>
      </c>
      <c r="H661" s="15">
        <v>1200.0</v>
      </c>
      <c r="I661" s="21">
        <f t="shared" si="1"/>
        <v>348</v>
      </c>
      <c r="J661" s="21"/>
      <c r="K661" s="22"/>
    </row>
    <row r="662" ht="22.5" customHeight="1">
      <c r="A662" s="28">
        <v>46051.0</v>
      </c>
      <c r="B662" s="15" t="s">
        <v>822</v>
      </c>
      <c r="C662" s="13" t="s">
        <v>9</v>
      </c>
      <c r="D662" s="13">
        <v>80.0</v>
      </c>
      <c r="E662" s="15">
        <v>320.0</v>
      </c>
      <c r="F662" s="13" t="s">
        <v>21</v>
      </c>
      <c r="G662" s="15" t="s">
        <v>89</v>
      </c>
      <c r="H662" s="15">
        <v>900.0</v>
      </c>
      <c r="I662" s="21">
        <f t="shared" si="1"/>
        <v>288</v>
      </c>
      <c r="J662" s="21"/>
      <c r="K662" s="22"/>
    </row>
    <row r="663" ht="22.5" customHeight="1">
      <c r="A663" s="28">
        <v>46051.0</v>
      </c>
      <c r="B663" s="15" t="s">
        <v>823</v>
      </c>
      <c r="C663" s="13" t="s">
        <v>9</v>
      </c>
      <c r="D663" s="13">
        <v>80.0</v>
      </c>
      <c r="E663" s="15">
        <v>330.0</v>
      </c>
      <c r="F663" s="13" t="s">
        <v>21</v>
      </c>
      <c r="G663" s="15" t="s">
        <v>89</v>
      </c>
      <c r="H663" s="15">
        <v>1040.0</v>
      </c>
      <c r="I663" s="21">
        <f t="shared" si="1"/>
        <v>343.2</v>
      </c>
      <c r="J663" s="21"/>
      <c r="K663" s="22"/>
    </row>
    <row r="664" ht="22.5" customHeight="1">
      <c r="A664" s="28">
        <v>46051.0</v>
      </c>
      <c r="B664" s="15" t="s">
        <v>824</v>
      </c>
      <c r="C664" s="13" t="s">
        <v>9</v>
      </c>
      <c r="D664" s="13">
        <v>80.0</v>
      </c>
      <c r="E664" s="15">
        <v>330.0</v>
      </c>
      <c r="F664" s="13" t="s">
        <v>21</v>
      </c>
      <c r="G664" s="15" t="s">
        <v>89</v>
      </c>
      <c r="H664" s="15">
        <v>2000.0</v>
      </c>
      <c r="I664" s="21">
        <f t="shared" si="1"/>
        <v>660</v>
      </c>
      <c r="J664" s="21"/>
      <c r="K664" s="22"/>
    </row>
    <row r="665" ht="22.5" customHeight="1">
      <c r="A665" s="28">
        <v>46051.0</v>
      </c>
      <c r="B665" s="15" t="s">
        <v>825</v>
      </c>
      <c r="C665" s="13" t="s">
        <v>9</v>
      </c>
      <c r="D665" s="13">
        <v>80.0</v>
      </c>
      <c r="E665" s="15">
        <v>330.0</v>
      </c>
      <c r="F665" s="13" t="s">
        <v>21</v>
      </c>
      <c r="G665" s="15" t="s">
        <v>89</v>
      </c>
      <c r="H665" s="15">
        <v>750.0</v>
      </c>
      <c r="I665" s="21">
        <f t="shared" si="1"/>
        <v>247.5</v>
      </c>
      <c r="J665" s="21"/>
      <c r="K665" s="22"/>
    </row>
    <row r="666" ht="22.5" customHeight="1">
      <c r="A666" s="28">
        <v>46051.0</v>
      </c>
      <c r="B666" s="15" t="s">
        <v>826</v>
      </c>
      <c r="C666" s="13" t="s">
        <v>9</v>
      </c>
      <c r="D666" s="13">
        <v>80.0</v>
      </c>
      <c r="E666" s="15">
        <v>230.0</v>
      </c>
      <c r="F666" s="13" t="s">
        <v>21</v>
      </c>
      <c r="G666" s="15" t="s">
        <v>193</v>
      </c>
      <c r="H666" s="15">
        <v>11600.0</v>
      </c>
      <c r="I666" s="21">
        <f t="shared" si="1"/>
        <v>2668</v>
      </c>
      <c r="J666" s="21"/>
      <c r="K666" s="22"/>
    </row>
    <row r="667" ht="22.5" customHeight="1">
      <c r="A667" s="28">
        <v>46052.0</v>
      </c>
      <c r="B667" s="15" t="s">
        <v>827</v>
      </c>
      <c r="C667" s="13" t="s">
        <v>9</v>
      </c>
      <c r="D667" s="13">
        <v>80.0</v>
      </c>
      <c r="E667" s="15">
        <v>170.0</v>
      </c>
      <c r="F667" s="13" t="s">
        <v>21</v>
      </c>
      <c r="G667" s="15" t="s">
        <v>89</v>
      </c>
      <c r="H667" s="15">
        <v>1740.0</v>
      </c>
      <c r="I667" s="21">
        <f t="shared" si="1"/>
        <v>295.8</v>
      </c>
      <c r="J667" s="21"/>
      <c r="K667" s="22"/>
    </row>
    <row r="668" ht="22.5" customHeight="1">
      <c r="A668" s="28">
        <v>46052.0</v>
      </c>
      <c r="B668" s="15" t="s">
        <v>828</v>
      </c>
      <c r="C668" s="13" t="s">
        <v>9</v>
      </c>
      <c r="D668" s="13">
        <v>80.0</v>
      </c>
      <c r="E668" s="15">
        <v>210.0</v>
      </c>
      <c r="F668" s="13" t="s">
        <v>21</v>
      </c>
      <c r="G668" s="15" t="s">
        <v>89</v>
      </c>
      <c r="H668" s="15">
        <v>2000.0</v>
      </c>
      <c r="I668" s="21">
        <f t="shared" si="1"/>
        <v>420</v>
      </c>
      <c r="J668" s="21"/>
      <c r="K668" s="22"/>
    </row>
    <row r="669" ht="22.5" customHeight="1">
      <c r="A669" s="28">
        <v>46052.0</v>
      </c>
      <c r="B669" s="15" t="s">
        <v>829</v>
      </c>
      <c r="C669" s="13" t="s">
        <v>9</v>
      </c>
      <c r="D669" s="13">
        <v>80.0</v>
      </c>
      <c r="E669" s="15">
        <v>250.0</v>
      </c>
      <c r="F669" s="13" t="s">
        <v>21</v>
      </c>
      <c r="G669" s="15" t="s">
        <v>89</v>
      </c>
      <c r="H669" s="15">
        <v>650.0</v>
      </c>
      <c r="I669" s="21">
        <f t="shared" si="1"/>
        <v>162.5</v>
      </c>
      <c r="J669" s="21"/>
      <c r="K669" s="22"/>
    </row>
    <row r="670" ht="22.5" customHeight="1">
      <c r="A670" s="28">
        <v>46052.0</v>
      </c>
      <c r="B670" s="15" t="s">
        <v>830</v>
      </c>
      <c r="C670" s="13" t="s">
        <v>9</v>
      </c>
      <c r="D670" s="13">
        <v>80.0</v>
      </c>
      <c r="E670" s="15">
        <v>160.0</v>
      </c>
      <c r="F670" s="13" t="s">
        <v>21</v>
      </c>
      <c r="G670" s="15" t="s">
        <v>89</v>
      </c>
      <c r="H670" s="15">
        <v>1000.0</v>
      </c>
      <c r="I670" s="21">
        <f t="shared" si="1"/>
        <v>160</v>
      </c>
      <c r="J670" s="21"/>
      <c r="K670" s="22"/>
    </row>
    <row r="671" ht="22.5" customHeight="1">
      <c r="A671" s="28">
        <v>46052.0</v>
      </c>
      <c r="B671" s="15" t="s">
        <v>831</v>
      </c>
      <c r="C671" s="13" t="s">
        <v>9</v>
      </c>
      <c r="D671" s="13">
        <v>80.0</v>
      </c>
      <c r="E671" s="15">
        <v>170.0</v>
      </c>
      <c r="F671" s="13" t="s">
        <v>21</v>
      </c>
      <c r="G671" s="15" t="s">
        <v>89</v>
      </c>
      <c r="H671" s="15">
        <v>2000.0</v>
      </c>
      <c r="I671" s="21">
        <f t="shared" si="1"/>
        <v>340</v>
      </c>
      <c r="J671" s="21"/>
      <c r="K671" s="22"/>
    </row>
    <row r="672" ht="22.5" customHeight="1">
      <c r="A672" s="28">
        <v>46053.0</v>
      </c>
      <c r="B672" s="15" t="s">
        <v>832</v>
      </c>
      <c r="C672" s="13" t="s">
        <v>9</v>
      </c>
      <c r="D672" s="13">
        <v>80.0</v>
      </c>
      <c r="E672" s="15">
        <v>330.0</v>
      </c>
      <c r="F672" s="13" t="s">
        <v>21</v>
      </c>
      <c r="G672" s="15" t="s">
        <v>89</v>
      </c>
      <c r="H672" s="15">
        <v>3800.0</v>
      </c>
      <c r="I672" s="21">
        <f t="shared" si="1"/>
        <v>1254</v>
      </c>
      <c r="J672" s="21"/>
      <c r="K672" s="22"/>
    </row>
    <row r="673" ht="22.5" customHeight="1">
      <c r="A673" s="28">
        <v>46053.0</v>
      </c>
      <c r="B673" s="15" t="s">
        <v>833</v>
      </c>
      <c r="C673" s="13" t="s">
        <v>9</v>
      </c>
      <c r="D673" s="13">
        <v>80.0</v>
      </c>
      <c r="E673" s="15">
        <v>210.0</v>
      </c>
      <c r="F673" s="13" t="s">
        <v>21</v>
      </c>
      <c r="G673" s="15" t="s">
        <v>89</v>
      </c>
      <c r="H673" s="15">
        <v>1490.0</v>
      </c>
      <c r="I673" s="21">
        <f t="shared" si="1"/>
        <v>312.9</v>
      </c>
      <c r="J673" s="21"/>
      <c r="K673" s="22"/>
    </row>
    <row r="674" ht="22.5" customHeight="1">
      <c r="A674" s="28">
        <v>46053.0</v>
      </c>
      <c r="B674" s="15" t="s">
        <v>834</v>
      </c>
      <c r="C674" s="13" t="s">
        <v>9</v>
      </c>
      <c r="D674" s="13">
        <v>80.0</v>
      </c>
      <c r="E674" s="15">
        <v>330.0</v>
      </c>
      <c r="F674" s="13" t="s">
        <v>21</v>
      </c>
      <c r="G674" s="15" t="s">
        <v>89</v>
      </c>
      <c r="H674" s="15">
        <v>2000.0</v>
      </c>
      <c r="I674" s="21">
        <f t="shared" si="1"/>
        <v>660</v>
      </c>
      <c r="J674" s="21"/>
      <c r="K674" s="22"/>
    </row>
    <row r="675" ht="22.5" customHeight="1">
      <c r="A675" s="28">
        <v>46053.0</v>
      </c>
      <c r="B675" s="15" t="s">
        <v>835</v>
      </c>
      <c r="C675" s="13" t="s">
        <v>9</v>
      </c>
      <c r="D675" s="13">
        <v>80.0</v>
      </c>
      <c r="E675" s="15">
        <v>125.0</v>
      </c>
      <c r="F675" s="13" t="s">
        <v>21</v>
      </c>
      <c r="G675" s="15" t="s">
        <v>89</v>
      </c>
      <c r="H675" s="15">
        <v>1990.0</v>
      </c>
      <c r="I675" s="21">
        <f t="shared" si="1"/>
        <v>248.75</v>
      </c>
      <c r="J675" s="21"/>
      <c r="K675" s="22"/>
    </row>
    <row r="676" ht="22.5" customHeight="1">
      <c r="A676" s="28">
        <v>46053.0</v>
      </c>
      <c r="B676" s="15" t="s">
        <v>836</v>
      </c>
      <c r="C676" s="13" t="s">
        <v>9</v>
      </c>
      <c r="D676" s="13">
        <v>80.0</v>
      </c>
      <c r="E676" s="15">
        <v>125.0</v>
      </c>
      <c r="F676" s="13" t="s">
        <v>21</v>
      </c>
      <c r="G676" s="15" t="s">
        <v>89</v>
      </c>
      <c r="H676" s="15">
        <v>1990.0</v>
      </c>
      <c r="I676" s="21">
        <f t="shared" si="1"/>
        <v>248.75</v>
      </c>
      <c r="J676" s="21"/>
      <c r="K676" s="22"/>
    </row>
    <row r="677" ht="22.5" customHeight="1">
      <c r="A677" s="28">
        <v>46053.0</v>
      </c>
      <c r="B677" s="15" t="s">
        <v>838</v>
      </c>
      <c r="C677" s="13" t="s">
        <v>9</v>
      </c>
      <c r="D677" s="13">
        <v>80.0</v>
      </c>
      <c r="E677" s="15">
        <v>125.0</v>
      </c>
      <c r="F677" s="13" t="s">
        <v>21</v>
      </c>
      <c r="G677" s="15" t="s">
        <v>89</v>
      </c>
      <c r="H677" s="15">
        <v>960.0</v>
      </c>
      <c r="I677" s="21">
        <f t="shared" si="1"/>
        <v>120</v>
      </c>
      <c r="J677" s="21"/>
      <c r="K677" s="22"/>
    </row>
    <row r="678" ht="22.5" customHeight="1">
      <c r="A678" s="28">
        <v>46055.0</v>
      </c>
      <c r="B678" s="15" t="s">
        <v>839</v>
      </c>
      <c r="C678" s="13" t="s">
        <v>9</v>
      </c>
      <c r="D678" s="13">
        <v>80.0</v>
      </c>
      <c r="E678" s="15">
        <v>160.0</v>
      </c>
      <c r="F678" s="13" t="s">
        <v>27</v>
      </c>
      <c r="G678" s="15" t="s">
        <v>402</v>
      </c>
      <c r="H678" s="15">
        <v>2145.0</v>
      </c>
      <c r="I678" s="21">
        <f t="shared" si="1"/>
        <v>343.2</v>
      </c>
      <c r="J678" s="21"/>
      <c r="K678" s="22"/>
    </row>
    <row r="679" ht="22.5" customHeight="1">
      <c r="A679" s="28">
        <v>46055.0</v>
      </c>
      <c r="B679" s="15" t="s">
        <v>840</v>
      </c>
      <c r="C679" s="13" t="s">
        <v>9</v>
      </c>
      <c r="D679" s="13">
        <v>80.0</v>
      </c>
      <c r="E679" s="15">
        <v>230.0</v>
      </c>
      <c r="F679" s="13" t="s">
        <v>27</v>
      </c>
      <c r="G679" s="15" t="s">
        <v>402</v>
      </c>
      <c r="H679" s="15">
        <v>850.0</v>
      </c>
      <c r="I679" s="21">
        <f t="shared" si="1"/>
        <v>195.5</v>
      </c>
      <c r="J679" s="21"/>
      <c r="K679" s="22"/>
    </row>
    <row r="680" ht="22.5" customHeight="1">
      <c r="A680" s="28">
        <v>46055.0</v>
      </c>
      <c r="B680" s="15" t="s">
        <v>841</v>
      </c>
      <c r="C680" s="38"/>
      <c r="D680" s="13">
        <v>60.0</v>
      </c>
      <c r="E680" s="15">
        <v>172.0</v>
      </c>
      <c r="F680" s="13" t="s">
        <v>23</v>
      </c>
      <c r="G680" s="15" t="s">
        <v>176</v>
      </c>
      <c r="H680" s="15">
        <v>2570.0</v>
      </c>
      <c r="I680" s="21">
        <f t="shared" si="1"/>
        <v>442.04</v>
      </c>
      <c r="J680" s="15" t="s">
        <v>1092</v>
      </c>
      <c r="K680" s="22"/>
    </row>
    <row r="681" ht="22.5" customHeight="1">
      <c r="A681" s="28">
        <v>46055.0</v>
      </c>
      <c r="B681" s="15" t="s">
        <v>842</v>
      </c>
      <c r="C681" s="38"/>
      <c r="D681" s="13">
        <v>60.0</v>
      </c>
      <c r="E681" s="15">
        <v>172.0</v>
      </c>
      <c r="F681" s="13" t="s">
        <v>23</v>
      </c>
      <c r="G681" s="15" t="s">
        <v>176</v>
      </c>
      <c r="H681" s="15">
        <v>1100.0</v>
      </c>
      <c r="I681" s="21">
        <f t="shared" si="1"/>
        <v>189.2</v>
      </c>
      <c r="J681" s="15" t="s">
        <v>1092</v>
      </c>
      <c r="K681" s="22"/>
    </row>
    <row r="682" ht="22.5" customHeight="1">
      <c r="A682" s="28">
        <v>46055.0</v>
      </c>
      <c r="B682" s="15" t="s">
        <v>843</v>
      </c>
      <c r="C682" s="13" t="s">
        <v>9</v>
      </c>
      <c r="D682" s="13">
        <v>80.0</v>
      </c>
      <c r="E682" s="15">
        <v>160.0</v>
      </c>
      <c r="F682" s="13" t="s">
        <v>27</v>
      </c>
      <c r="G682" s="15" t="s">
        <v>99</v>
      </c>
      <c r="H682" s="15">
        <v>5490.0</v>
      </c>
      <c r="I682" s="21">
        <f t="shared" si="1"/>
        <v>878.4</v>
      </c>
      <c r="J682" s="21"/>
      <c r="K682" s="22"/>
    </row>
    <row r="683" ht="22.5" customHeight="1">
      <c r="A683" s="28">
        <v>46055.0</v>
      </c>
      <c r="B683" s="15" t="s">
        <v>844</v>
      </c>
      <c r="C683" s="13" t="s">
        <v>9</v>
      </c>
      <c r="D683" s="13">
        <v>80.0</v>
      </c>
      <c r="E683" s="15">
        <v>160.0</v>
      </c>
      <c r="F683" s="13" t="s">
        <v>27</v>
      </c>
      <c r="G683" s="15" t="s">
        <v>99</v>
      </c>
      <c r="H683" s="15">
        <v>2100.0</v>
      </c>
      <c r="I683" s="21">
        <f t="shared" si="1"/>
        <v>336</v>
      </c>
      <c r="J683" s="21"/>
      <c r="K683" s="22"/>
    </row>
    <row r="684" ht="22.5" customHeight="1">
      <c r="A684" s="28">
        <v>46056.0</v>
      </c>
      <c r="B684" s="15" t="s">
        <v>845</v>
      </c>
      <c r="C684" s="13" t="s">
        <v>9</v>
      </c>
      <c r="D684" s="13">
        <v>80.0</v>
      </c>
      <c r="E684" s="15">
        <v>140.0</v>
      </c>
      <c r="F684" s="13" t="s">
        <v>27</v>
      </c>
      <c r="G684" s="15" t="s">
        <v>99</v>
      </c>
      <c r="H684" s="15">
        <v>1700.0</v>
      </c>
      <c r="I684" s="21">
        <f t="shared" si="1"/>
        <v>238</v>
      </c>
      <c r="J684" s="21"/>
      <c r="K684" s="22"/>
    </row>
    <row r="685" ht="22.5" customHeight="1">
      <c r="A685" s="28">
        <v>46056.0</v>
      </c>
      <c r="B685" s="15" t="s">
        <v>846</v>
      </c>
      <c r="C685" s="13" t="s">
        <v>26</v>
      </c>
      <c r="D685" s="13">
        <v>80.0</v>
      </c>
      <c r="E685" s="15">
        <v>250.0</v>
      </c>
      <c r="F685" s="13" t="s">
        <v>23</v>
      </c>
      <c r="G685" s="15" t="s">
        <v>99</v>
      </c>
      <c r="H685" s="15">
        <v>500.0</v>
      </c>
      <c r="I685" s="21">
        <f t="shared" si="1"/>
        <v>125</v>
      </c>
      <c r="J685" s="21"/>
      <c r="K685" s="22"/>
    </row>
    <row r="686" ht="22.5" customHeight="1">
      <c r="A686" s="28">
        <v>46056.0</v>
      </c>
      <c r="B686" s="15" t="s">
        <v>846</v>
      </c>
      <c r="C686" s="13" t="s">
        <v>26</v>
      </c>
      <c r="D686" s="13">
        <v>80.0</v>
      </c>
      <c r="E686" s="15">
        <v>280.0</v>
      </c>
      <c r="F686" s="13" t="s">
        <v>23</v>
      </c>
      <c r="G686" s="15" t="s">
        <v>99</v>
      </c>
      <c r="H686" s="15">
        <v>500.0</v>
      </c>
      <c r="I686" s="21">
        <f t="shared" si="1"/>
        <v>140</v>
      </c>
      <c r="J686" s="21"/>
      <c r="K686" s="22"/>
    </row>
    <row r="687" ht="22.5" customHeight="1">
      <c r="A687" s="28">
        <v>46056.0</v>
      </c>
      <c r="B687" s="15" t="s">
        <v>846</v>
      </c>
      <c r="C687" s="13" t="s">
        <v>26</v>
      </c>
      <c r="D687" s="13">
        <v>80.0</v>
      </c>
      <c r="E687" s="15">
        <v>135.0</v>
      </c>
      <c r="F687" s="13" t="s">
        <v>23</v>
      </c>
      <c r="G687" s="15" t="s">
        <v>99</v>
      </c>
      <c r="H687" s="15">
        <v>500.0</v>
      </c>
      <c r="I687" s="21">
        <f t="shared" si="1"/>
        <v>67.5</v>
      </c>
      <c r="J687" s="21"/>
      <c r="K687" s="22"/>
    </row>
    <row r="688" ht="22.5" customHeight="1">
      <c r="A688" s="28">
        <v>46056.0</v>
      </c>
      <c r="B688" s="15" t="s">
        <v>847</v>
      </c>
      <c r="C688" s="13" t="s">
        <v>9</v>
      </c>
      <c r="D688" s="13">
        <v>80.0</v>
      </c>
      <c r="E688" s="15">
        <v>140.0</v>
      </c>
      <c r="F688" s="13" t="s">
        <v>27</v>
      </c>
      <c r="G688" s="15" t="s">
        <v>99</v>
      </c>
      <c r="H688" s="15">
        <v>1370.0</v>
      </c>
      <c r="I688" s="21">
        <f t="shared" si="1"/>
        <v>191.8</v>
      </c>
      <c r="J688" s="21"/>
      <c r="K688" s="22"/>
    </row>
    <row r="689" ht="22.5" customHeight="1">
      <c r="A689" s="28">
        <v>46056.0</v>
      </c>
      <c r="B689" s="15" t="s">
        <v>848</v>
      </c>
      <c r="C689" s="13" t="s">
        <v>9</v>
      </c>
      <c r="D689" s="13">
        <v>80.0</v>
      </c>
      <c r="E689" s="15">
        <v>290.0</v>
      </c>
      <c r="F689" s="13" t="s">
        <v>21</v>
      </c>
      <c r="G689" s="15" t="s">
        <v>89</v>
      </c>
      <c r="H689" s="15">
        <v>14000.0</v>
      </c>
      <c r="I689" s="21">
        <f t="shared" si="1"/>
        <v>4060</v>
      </c>
      <c r="J689" s="21"/>
      <c r="K689" s="22"/>
    </row>
    <row r="690" ht="22.5" customHeight="1">
      <c r="A690" s="28">
        <v>46056.0</v>
      </c>
      <c r="B690" s="15" t="s">
        <v>849</v>
      </c>
      <c r="C690" s="13" t="s">
        <v>9</v>
      </c>
      <c r="D690" s="13">
        <v>80.0</v>
      </c>
      <c r="E690" s="15">
        <v>125.0</v>
      </c>
      <c r="F690" s="13" t="s">
        <v>21</v>
      </c>
      <c r="G690" s="15" t="s">
        <v>89</v>
      </c>
      <c r="H690" s="15">
        <v>3950.0</v>
      </c>
      <c r="I690" s="21">
        <f t="shared" si="1"/>
        <v>493.75</v>
      </c>
      <c r="J690" s="21"/>
      <c r="K690" s="22"/>
    </row>
    <row r="691" ht="22.5" customHeight="1">
      <c r="A691" s="28">
        <v>46056.0</v>
      </c>
      <c r="B691" s="15" t="s">
        <v>850</v>
      </c>
      <c r="C691" s="13" t="s">
        <v>9</v>
      </c>
      <c r="D691" s="13">
        <v>80.0</v>
      </c>
      <c r="E691" s="15">
        <v>125.0</v>
      </c>
      <c r="F691" s="13" t="s">
        <v>21</v>
      </c>
      <c r="G691" s="15" t="s">
        <v>89</v>
      </c>
      <c r="H691" s="15">
        <v>2000.0</v>
      </c>
      <c r="I691" s="21">
        <f t="shared" si="1"/>
        <v>250</v>
      </c>
      <c r="J691" s="21"/>
      <c r="K691" s="22"/>
    </row>
    <row r="692" ht="22.5" customHeight="1">
      <c r="A692" s="28">
        <v>46056.0</v>
      </c>
      <c r="B692" s="15" t="s">
        <v>851</v>
      </c>
      <c r="C692" s="13" t="s">
        <v>9</v>
      </c>
      <c r="D692" s="13">
        <v>80.0</v>
      </c>
      <c r="E692" s="15">
        <v>140.0</v>
      </c>
      <c r="F692" s="13" t="s">
        <v>27</v>
      </c>
      <c r="G692" s="15" t="s">
        <v>99</v>
      </c>
      <c r="H692" s="15">
        <v>2500.0</v>
      </c>
      <c r="I692" s="21">
        <f t="shared" si="1"/>
        <v>350</v>
      </c>
      <c r="J692" s="21"/>
      <c r="K692" s="22"/>
    </row>
    <row r="693" ht="22.5" customHeight="1">
      <c r="A693" s="28">
        <v>46056.0</v>
      </c>
      <c r="B693" s="15" t="s">
        <v>852</v>
      </c>
      <c r="C693" s="13" t="s">
        <v>9</v>
      </c>
      <c r="D693" s="13">
        <v>80.0</v>
      </c>
      <c r="E693" s="15">
        <v>230.0</v>
      </c>
      <c r="F693" s="13" t="s">
        <v>27</v>
      </c>
      <c r="G693" s="15" t="s">
        <v>99</v>
      </c>
      <c r="H693" s="15">
        <v>700.0</v>
      </c>
      <c r="I693" s="21">
        <f t="shared" si="1"/>
        <v>161</v>
      </c>
      <c r="J693" s="21"/>
      <c r="K693" s="22"/>
    </row>
    <row r="694" ht="22.5" customHeight="1">
      <c r="A694" s="28">
        <v>46057.0</v>
      </c>
      <c r="B694" s="15" t="s">
        <v>853</v>
      </c>
      <c r="C694" s="13" t="s">
        <v>9</v>
      </c>
      <c r="D694" s="13">
        <v>80.0</v>
      </c>
      <c r="E694" s="15">
        <v>150.0</v>
      </c>
      <c r="F694" s="13" t="s">
        <v>21</v>
      </c>
      <c r="G694" s="15" t="s">
        <v>89</v>
      </c>
      <c r="H694" s="15">
        <v>2540.0</v>
      </c>
      <c r="I694" s="21">
        <f t="shared" si="1"/>
        <v>381</v>
      </c>
      <c r="J694" s="21"/>
      <c r="K694" s="22"/>
    </row>
    <row r="695" ht="22.5" customHeight="1">
      <c r="A695" s="28">
        <v>46057.0</v>
      </c>
      <c r="B695" s="15" t="s">
        <v>854</v>
      </c>
      <c r="C695" s="13" t="s">
        <v>9</v>
      </c>
      <c r="D695" s="13">
        <v>80.0</v>
      </c>
      <c r="E695" s="15">
        <v>280.0</v>
      </c>
      <c r="F695" s="13" t="s">
        <v>21</v>
      </c>
      <c r="G695" s="15" t="s">
        <v>89</v>
      </c>
      <c r="H695" s="15">
        <v>4000.0</v>
      </c>
      <c r="I695" s="21">
        <f t="shared" si="1"/>
        <v>1120</v>
      </c>
      <c r="J695" s="21"/>
      <c r="K695" s="22"/>
    </row>
    <row r="696" ht="22.5" customHeight="1">
      <c r="A696" s="28">
        <v>46057.0</v>
      </c>
      <c r="B696" s="15" t="s">
        <v>855</v>
      </c>
      <c r="C696" s="13" t="s">
        <v>9</v>
      </c>
      <c r="D696" s="13">
        <v>80.0</v>
      </c>
      <c r="E696" s="15">
        <v>290.0</v>
      </c>
      <c r="F696" s="13" t="s">
        <v>21</v>
      </c>
      <c r="G696" s="15" t="s">
        <v>89</v>
      </c>
      <c r="H696" s="15">
        <v>16250.0</v>
      </c>
      <c r="I696" s="21">
        <f t="shared" si="1"/>
        <v>4712.5</v>
      </c>
      <c r="J696" s="21"/>
      <c r="K696" s="22"/>
    </row>
    <row r="697" ht="22.5" customHeight="1">
      <c r="A697" s="28">
        <v>46057.0</v>
      </c>
      <c r="B697" s="15" t="s">
        <v>856</v>
      </c>
      <c r="C697" s="13" t="s">
        <v>9</v>
      </c>
      <c r="D697" s="13">
        <v>80.0</v>
      </c>
      <c r="E697" s="15">
        <v>150.0</v>
      </c>
      <c r="F697" s="13" t="s">
        <v>21</v>
      </c>
      <c r="G697" s="15" t="s">
        <v>89</v>
      </c>
      <c r="H697" s="15">
        <v>1970.0</v>
      </c>
      <c r="I697" s="21">
        <f t="shared" si="1"/>
        <v>295.5</v>
      </c>
      <c r="J697" s="21"/>
      <c r="K697" s="22"/>
    </row>
    <row r="698" ht="22.5" customHeight="1">
      <c r="A698" s="28">
        <v>46057.0</v>
      </c>
      <c r="B698" s="15" t="s">
        <v>857</v>
      </c>
      <c r="C698" s="13" t="s">
        <v>9</v>
      </c>
      <c r="D698" s="13">
        <v>80.0</v>
      </c>
      <c r="E698" s="15">
        <v>395.0</v>
      </c>
      <c r="F698" s="13" t="s">
        <v>21</v>
      </c>
      <c r="G698" s="15" t="s">
        <v>89</v>
      </c>
      <c r="H698" s="15">
        <v>3320.0</v>
      </c>
      <c r="I698" s="21">
        <f t="shared" si="1"/>
        <v>1311.4</v>
      </c>
      <c r="J698" s="21"/>
      <c r="K698" s="22"/>
    </row>
    <row r="699" ht="22.5" customHeight="1">
      <c r="A699" s="28">
        <v>46057.0</v>
      </c>
      <c r="B699" s="15" t="s">
        <v>858</v>
      </c>
      <c r="C699" s="13" t="s">
        <v>9</v>
      </c>
      <c r="D699" s="13">
        <v>80.0</v>
      </c>
      <c r="E699" s="15">
        <v>250.0</v>
      </c>
      <c r="F699" s="13" t="s">
        <v>21</v>
      </c>
      <c r="G699" s="15" t="s">
        <v>89</v>
      </c>
      <c r="H699" s="15">
        <v>8250.0</v>
      </c>
      <c r="I699" s="21">
        <f t="shared" si="1"/>
        <v>2062.5</v>
      </c>
      <c r="J699" s="21"/>
      <c r="K699" s="22"/>
    </row>
    <row r="700" ht="22.5" customHeight="1">
      <c r="A700" s="28">
        <v>46057.0</v>
      </c>
      <c r="B700" s="15" t="s">
        <v>859</v>
      </c>
      <c r="C700" s="13" t="s">
        <v>9</v>
      </c>
      <c r="D700" s="13">
        <v>80.0</v>
      </c>
      <c r="E700" s="15">
        <v>250.0</v>
      </c>
      <c r="F700" s="13" t="s">
        <v>21</v>
      </c>
      <c r="G700" s="15" t="s">
        <v>89</v>
      </c>
      <c r="H700" s="15">
        <v>700.0</v>
      </c>
      <c r="I700" s="21">
        <f t="shared" si="1"/>
        <v>175</v>
      </c>
      <c r="J700" s="21"/>
      <c r="K700" s="22"/>
    </row>
    <row r="701" ht="22.5" customHeight="1">
      <c r="A701" s="28">
        <v>46058.0</v>
      </c>
      <c r="B701" s="15" t="s">
        <v>860</v>
      </c>
      <c r="C701" s="13" t="s">
        <v>9</v>
      </c>
      <c r="D701" s="13">
        <v>80.0</v>
      </c>
      <c r="E701" s="15">
        <v>260.0</v>
      </c>
      <c r="F701" s="13" t="s">
        <v>27</v>
      </c>
      <c r="G701" s="15" t="s">
        <v>99</v>
      </c>
      <c r="H701" s="15">
        <v>1700.0</v>
      </c>
      <c r="I701" s="21">
        <f t="shared" si="1"/>
        <v>442</v>
      </c>
      <c r="J701" s="21"/>
      <c r="K701" s="22"/>
    </row>
    <row r="702" ht="22.5" customHeight="1">
      <c r="A702" s="28">
        <v>46058.0</v>
      </c>
      <c r="B702" s="15" t="s">
        <v>861</v>
      </c>
      <c r="C702" s="13" t="s">
        <v>9</v>
      </c>
      <c r="D702" s="13">
        <v>80.0</v>
      </c>
      <c r="E702" s="15">
        <v>180.0</v>
      </c>
      <c r="F702" s="13" t="s">
        <v>21</v>
      </c>
      <c r="G702" s="15" t="s">
        <v>89</v>
      </c>
      <c r="H702" s="15">
        <v>2000.0</v>
      </c>
      <c r="I702" s="21">
        <f t="shared" si="1"/>
        <v>360</v>
      </c>
      <c r="J702" s="21"/>
      <c r="K702" s="22"/>
    </row>
    <row r="703" ht="22.5" customHeight="1">
      <c r="A703" s="28">
        <v>46058.0</v>
      </c>
      <c r="B703" s="15" t="s">
        <v>862</v>
      </c>
      <c r="C703" s="13" t="s">
        <v>9</v>
      </c>
      <c r="D703" s="13">
        <v>80.0</v>
      </c>
      <c r="E703" s="15">
        <v>200.0</v>
      </c>
      <c r="F703" s="13" t="s">
        <v>27</v>
      </c>
      <c r="G703" s="15" t="s">
        <v>99</v>
      </c>
      <c r="H703" s="15">
        <v>2170.0</v>
      </c>
      <c r="I703" s="21">
        <f t="shared" si="1"/>
        <v>434</v>
      </c>
      <c r="J703" s="21"/>
      <c r="K703" s="22"/>
    </row>
    <row r="704" ht="22.5" customHeight="1">
      <c r="A704" s="28">
        <v>46059.0</v>
      </c>
      <c r="B704" s="15" t="s">
        <v>863</v>
      </c>
      <c r="C704" s="13" t="s">
        <v>43</v>
      </c>
      <c r="D704" s="13">
        <v>50.0</v>
      </c>
      <c r="E704" s="15">
        <v>125.0</v>
      </c>
      <c r="F704" s="13" t="s">
        <v>27</v>
      </c>
      <c r="G704" s="15" t="s">
        <v>176</v>
      </c>
      <c r="H704" s="15">
        <v>2620.0</v>
      </c>
      <c r="I704" s="21">
        <f t="shared" si="1"/>
        <v>327.5</v>
      </c>
      <c r="J704" s="21"/>
      <c r="K704" s="22"/>
    </row>
    <row r="705" ht="22.5" customHeight="1">
      <c r="A705" s="28">
        <v>46059.0</v>
      </c>
      <c r="B705" s="15" t="s">
        <v>864</v>
      </c>
      <c r="C705" s="13" t="s">
        <v>43</v>
      </c>
      <c r="D705" s="13">
        <v>50.0</v>
      </c>
      <c r="E705" s="15">
        <v>125.0</v>
      </c>
      <c r="F705" s="13" t="s">
        <v>27</v>
      </c>
      <c r="G705" s="15" t="s">
        <v>176</v>
      </c>
      <c r="H705" s="15">
        <v>1490.0</v>
      </c>
      <c r="I705" s="21">
        <f t="shared" si="1"/>
        <v>186.25</v>
      </c>
      <c r="J705" s="21"/>
      <c r="K705" s="22"/>
    </row>
    <row r="706" ht="22.5" customHeight="1">
      <c r="A706" s="28">
        <v>46059.0</v>
      </c>
      <c r="B706" s="15" t="s">
        <v>865</v>
      </c>
      <c r="C706" s="13" t="s">
        <v>9</v>
      </c>
      <c r="D706" s="13">
        <v>80.0</v>
      </c>
      <c r="E706" s="15">
        <v>290.0</v>
      </c>
      <c r="F706" s="13" t="s">
        <v>21</v>
      </c>
      <c r="G706" s="15" t="s">
        <v>89</v>
      </c>
      <c r="H706" s="15">
        <v>2000.0</v>
      </c>
      <c r="I706" s="21">
        <f t="shared" si="1"/>
        <v>580</v>
      </c>
      <c r="J706" s="21"/>
      <c r="K706" s="22"/>
    </row>
    <row r="707" ht="22.5" customHeight="1">
      <c r="A707" s="28">
        <v>46059.0</v>
      </c>
      <c r="B707" s="15" t="s">
        <v>866</v>
      </c>
      <c r="C707" s="13" t="s">
        <v>9</v>
      </c>
      <c r="D707" s="13">
        <v>80.0</v>
      </c>
      <c r="E707" s="15">
        <v>125.0</v>
      </c>
      <c r="F707" s="13" t="s">
        <v>21</v>
      </c>
      <c r="G707" s="15" t="s">
        <v>89</v>
      </c>
      <c r="H707" s="15">
        <v>2400.0</v>
      </c>
      <c r="I707" s="21">
        <f t="shared" si="1"/>
        <v>300</v>
      </c>
      <c r="J707" s="21"/>
      <c r="K707" s="22"/>
    </row>
    <row r="708" ht="22.5" customHeight="1">
      <c r="A708" s="28">
        <v>46059.0</v>
      </c>
      <c r="B708" s="15" t="s">
        <v>867</v>
      </c>
      <c r="C708" s="13" t="s">
        <v>54</v>
      </c>
      <c r="D708" s="13">
        <v>40.0</v>
      </c>
      <c r="E708" s="15">
        <v>240.0</v>
      </c>
      <c r="F708" s="13" t="s">
        <v>55</v>
      </c>
      <c r="G708" s="15" t="s">
        <v>331</v>
      </c>
      <c r="H708" s="15">
        <v>4000.0</v>
      </c>
      <c r="I708" s="21">
        <f t="shared" si="1"/>
        <v>960</v>
      </c>
      <c r="J708" s="21"/>
      <c r="K708" s="22"/>
    </row>
    <row r="709" ht="22.5" customHeight="1">
      <c r="A709" s="28">
        <v>46060.0</v>
      </c>
      <c r="B709" s="15" t="s">
        <v>868</v>
      </c>
      <c r="C709" s="13" t="s">
        <v>9</v>
      </c>
      <c r="D709" s="13">
        <v>80.0</v>
      </c>
      <c r="E709" s="15">
        <v>230.0</v>
      </c>
      <c r="F709" s="13" t="s">
        <v>21</v>
      </c>
      <c r="G709" s="15" t="s">
        <v>193</v>
      </c>
      <c r="H709" s="15">
        <v>14000.0</v>
      </c>
      <c r="I709" s="21">
        <f t="shared" si="1"/>
        <v>3220</v>
      </c>
      <c r="J709" s="21"/>
      <c r="K709" s="22"/>
    </row>
    <row r="710" ht="22.5" customHeight="1">
      <c r="A710" s="28">
        <v>46060.0</v>
      </c>
      <c r="B710" s="15" t="s">
        <v>869</v>
      </c>
      <c r="C710" s="13" t="s">
        <v>9</v>
      </c>
      <c r="D710" s="13">
        <v>80.0</v>
      </c>
      <c r="E710" s="15">
        <v>230.0</v>
      </c>
      <c r="F710" s="13" t="s">
        <v>21</v>
      </c>
      <c r="G710" s="15" t="s">
        <v>193</v>
      </c>
      <c r="H710" s="15">
        <v>7380.0</v>
      </c>
      <c r="I710" s="21">
        <f t="shared" si="1"/>
        <v>1697.4</v>
      </c>
      <c r="J710" s="21"/>
      <c r="K710" s="22"/>
    </row>
    <row r="711" ht="22.5" customHeight="1">
      <c r="A711" s="28">
        <v>46062.0</v>
      </c>
      <c r="B711" s="15" t="s">
        <v>870</v>
      </c>
      <c r="C711" s="13" t="s">
        <v>9</v>
      </c>
      <c r="D711" s="13">
        <v>80.0</v>
      </c>
      <c r="E711" s="15">
        <v>230.0</v>
      </c>
      <c r="F711" s="13" t="s">
        <v>21</v>
      </c>
      <c r="G711" s="15" t="s">
        <v>193</v>
      </c>
      <c r="H711" s="15">
        <v>4500.0</v>
      </c>
      <c r="I711" s="21">
        <f t="shared" si="1"/>
        <v>1035</v>
      </c>
      <c r="J711" s="21"/>
      <c r="K711" s="22"/>
    </row>
    <row r="712" ht="22.5" customHeight="1">
      <c r="A712" s="28">
        <v>46062.0</v>
      </c>
      <c r="B712" s="15" t="s">
        <v>871</v>
      </c>
      <c r="C712" s="13" t="s">
        <v>9</v>
      </c>
      <c r="D712" s="13">
        <v>80.0</v>
      </c>
      <c r="E712" s="15">
        <v>230.0</v>
      </c>
      <c r="F712" s="13" t="s">
        <v>21</v>
      </c>
      <c r="G712" s="15" t="s">
        <v>193</v>
      </c>
      <c r="H712" s="15">
        <v>14400.0</v>
      </c>
      <c r="I712" s="21">
        <f t="shared" si="1"/>
        <v>3312</v>
      </c>
      <c r="J712" s="21"/>
      <c r="K712" s="22"/>
    </row>
    <row r="713" ht="22.5" customHeight="1">
      <c r="A713" s="28">
        <v>46063.0</v>
      </c>
      <c r="B713" s="15" t="s">
        <v>872</v>
      </c>
      <c r="C713" s="13" t="s">
        <v>9</v>
      </c>
      <c r="D713" s="13">
        <v>80.0</v>
      </c>
      <c r="E713" s="15">
        <v>220.0</v>
      </c>
      <c r="F713" s="13" t="s">
        <v>27</v>
      </c>
      <c r="G713" s="15" t="s">
        <v>99</v>
      </c>
      <c r="H713" s="15">
        <v>2950.0</v>
      </c>
      <c r="I713" s="21">
        <f t="shared" si="1"/>
        <v>649</v>
      </c>
      <c r="J713" s="21"/>
      <c r="K713" s="22"/>
    </row>
    <row r="714" ht="22.5" customHeight="1">
      <c r="A714" s="28">
        <v>46063.0</v>
      </c>
      <c r="B714" s="15" t="s">
        <v>873</v>
      </c>
      <c r="C714" s="13" t="s">
        <v>9</v>
      </c>
      <c r="D714" s="13">
        <v>80.0</v>
      </c>
      <c r="E714" s="15">
        <v>195.0</v>
      </c>
      <c r="F714" s="13" t="s">
        <v>27</v>
      </c>
      <c r="G714" s="15" t="s">
        <v>99</v>
      </c>
      <c r="H714" s="15">
        <v>3000.0</v>
      </c>
      <c r="I714" s="21">
        <f t="shared" si="1"/>
        <v>585</v>
      </c>
      <c r="J714" s="21"/>
      <c r="K714" s="22"/>
    </row>
    <row r="715" ht="22.5" customHeight="1">
      <c r="A715" s="28">
        <v>46064.0</v>
      </c>
      <c r="B715" s="15" t="s">
        <v>874</v>
      </c>
      <c r="C715" s="13" t="s">
        <v>9</v>
      </c>
      <c r="D715" s="13">
        <v>80.0</v>
      </c>
      <c r="E715" s="15">
        <v>160.0</v>
      </c>
      <c r="F715" s="13" t="s">
        <v>27</v>
      </c>
      <c r="G715" s="15" t="s">
        <v>99</v>
      </c>
      <c r="H715" s="15">
        <v>1500.0</v>
      </c>
      <c r="I715" s="21">
        <f t="shared" si="1"/>
        <v>240</v>
      </c>
      <c r="J715" s="21"/>
      <c r="K715" s="22"/>
    </row>
    <row r="716" ht="22.5" customHeight="1">
      <c r="A716" s="28">
        <v>46064.0</v>
      </c>
      <c r="B716" s="15" t="s">
        <v>876</v>
      </c>
      <c r="C716" s="13" t="s">
        <v>9</v>
      </c>
      <c r="D716" s="13">
        <v>80.0</v>
      </c>
      <c r="E716" s="15">
        <v>140.0</v>
      </c>
      <c r="F716" s="13" t="s">
        <v>27</v>
      </c>
      <c r="G716" s="15" t="s">
        <v>99</v>
      </c>
      <c r="H716" s="15">
        <v>2000.0</v>
      </c>
      <c r="I716" s="21">
        <f t="shared" si="1"/>
        <v>280</v>
      </c>
      <c r="J716" s="21"/>
      <c r="K716" s="22"/>
    </row>
    <row r="717" ht="22.5" customHeight="1">
      <c r="A717" s="28">
        <v>46064.0</v>
      </c>
      <c r="B717" s="15" t="s">
        <v>877</v>
      </c>
      <c r="C717" s="13" t="s">
        <v>9</v>
      </c>
      <c r="D717" s="13">
        <v>80.0</v>
      </c>
      <c r="E717" s="15">
        <v>185.0</v>
      </c>
      <c r="F717" s="13" t="s">
        <v>27</v>
      </c>
      <c r="G717" s="15" t="s">
        <v>99</v>
      </c>
      <c r="H717" s="15">
        <v>2040.0</v>
      </c>
      <c r="I717" s="21">
        <f t="shared" si="1"/>
        <v>377.4</v>
      </c>
      <c r="J717" s="21"/>
      <c r="K717" s="22"/>
    </row>
    <row r="718" ht="22.5" customHeight="1">
      <c r="A718" s="28">
        <v>46064.0</v>
      </c>
      <c r="B718" s="15" t="s">
        <v>879</v>
      </c>
      <c r="C718" s="13" t="s">
        <v>9</v>
      </c>
      <c r="D718" s="13">
        <v>80.0</v>
      </c>
      <c r="E718" s="15">
        <v>195.0</v>
      </c>
      <c r="F718" s="13" t="s">
        <v>27</v>
      </c>
      <c r="G718" s="15" t="s">
        <v>99</v>
      </c>
      <c r="H718" s="15">
        <v>2300.0</v>
      </c>
      <c r="I718" s="21">
        <f t="shared" si="1"/>
        <v>448.5</v>
      </c>
      <c r="J718" s="21"/>
      <c r="K718" s="22"/>
    </row>
    <row r="719" ht="22.5" customHeight="1">
      <c r="A719" s="28">
        <v>46065.0</v>
      </c>
      <c r="B719" s="15" t="s">
        <v>880</v>
      </c>
      <c r="C719" s="13" t="s">
        <v>9</v>
      </c>
      <c r="D719" s="13">
        <v>80.0</v>
      </c>
      <c r="E719" s="15">
        <v>140.0</v>
      </c>
      <c r="F719" s="13" t="s">
        <v>27</v>
      </c>
      <c r="G719" s="15" t="s">
        <v>99</v>
      </c>
      <c r="H719" s="15">
        <v>1140.0</v>
      </c>
      <c r="I719" s="21">
        <f t="shared" si="1"/>
        <v>159.6</v>
      </c>
      <c r="J719" s="21"/>
      <c r="K719" s="22"/>
    </row>
    <row r="720" ht="22.5" customHeight="1">
      <c r="A720" s="28">
        <v>46065.0</v>
      </c>
      <c r="B720" s="15" t="s">
        <v>881</v>
      </c>
      <c r="C720" s="13" t="s">
        <v>9</v>
      </c>
      <c r="D720" s="13">
        <v>80.0</v>
      </c>
      <c r="E720" s="15">
        <v>140.0</v>
      </c>
      <c r="F720" s="13" t="s">
        <v>27</v>
      </c>
      <c r="G720" s="15" t="s">
        <v>99</v>
      </c>
      <c r="H720" s="15">
        <v>2700.0</v>
      </c>
      <c r="I720" s="21">
        <f t="shared" si="1"/>
        <v>378</v>
      </c>
      <c r="J720" s="21"/>
      <c r="K720" s="22"/>
    </row>
    <row r="721" ht="22.5" customHeight="1">
      <c r="A721" s="28">
        <v>46065.0</v>
      </c>
      <c r="B721" s="15" t="s">
        <v>882</v>
      </c>
      <c r="C721" s="13" t="s">
        <v>43</v>
      </c>
      <c r="D721" s="13">
        <v>50.0</v>
      </c>
      <c r="E721" s="15">
        <v>125.0</v>
      </c>
      <c r="F721" s="13" t="s">
        <v>27</v>
      </c>
      <c r="G721" s="15" t="s">
        <v>176</v>
      </c>
      <c r="H721" s="15">
        <v>1670.0</v>
      </c>
      <c r="I721" s="21">
        <f t="shared" si="1"/>
        <v>208.75</v>
      </c>
      <c r="J721" s="21"/>
      <c r="K721" s="22"/>
    </row>
    <row r="722" ht="22.5" customHeight="1">
      <c r="A722" s="28">
        <v>46065.0</v>
      </c>
      <c r="B722" s="15" t="s">
        <v>883</v>
      </c>
      <c r="C722" s="13" t="s">
        <v>43</v>
      </c>
      <c r="D722" s="13">
        <v>50.0</v>
      </c>
      <c r="E722" s="15">
        <v>190.0</v>
      </c>
      <c r="F722" s="13" t="s">
        <v>23</v>
      </c>
      <c r="G722" s="15" t="s">
        <v>884</v>
      </c>
      <c r="H722" s="15">
        <v>200.0</v>
      </c>
      <c r="I722" s="21">
        <f t="shared" si="1"/>
        <v>38</v>
      </c>
      <c r="J722" s="15" t="s">
        <v>357</v>
      </c>
      <c r="K722" s="22"/>
    </row>
    <row r="723" ht="22.5" customHeight="1">
      <c r="A723" s="28">
        <v>46066.0</v>
      </c>
      <c r="B723" s="15" t="s">
        <v>885</v>
      </c>
      <c r="C723" s="13" t="s">
        <v>26</v>
      </c>
      <c r="D723" s="13">
        <v>80.0</v>
      </c>
      <c r="E723" s="15">
        <v>143.0</v>
      </c>
      <c r="F723" s="13" t="s">
        <v>23</v>
      </c>
      <c r="G723" s="15" t="s">
        <v>217</v>
      </c>
      <c r="H723" s="15">
        <v>3370.0</v>
      </c>
      <c r="I723" s="21">
        <f t="shared" si="1"/>
        <v>481.91</v>
      </c>
      <c r="J723" s="21"/>
      <c r="K723" s="22"/>
    </row>
    <row r="724" ht="22.5" customHeight="1">
      <c r="A724" s="28">
        <v>46066.0</v>
      </c>
      <c r="B724" s="15" t="s">
        <v>886</v>
      </c>
      <c r="C724" s="13" t="s">
        <v>9</v>
      </c>
      <c r="D724" s="13">
        <v>80.0</v>
      </c>
      <c r="E724" s="15">
        <v>220.0</v>
      </c>
      <c r="F724" s="13" t="s">
        <v>27</v>
      </c>
      <c r="G724" s="15" t="s">
        <v>106</v>
      </c>
      <c r="H724" s="15">
        <v>1000.0</v>
      </c>
      <c r="I724" s="21">
        <f t="shared" si="1"/>
        <v>220</v>
      </c>
      <c r="J724" s="21"/>
      <c r="K724" s="22"/>
    </row>
    <row r="725" ht="22.5" customHeight="1">
      <c r="A725" s="28">
        <v>46066.0</v>
      </c>
      <c r="B725" s="15" t="s">
        <v>886</v>
      </c>
      <c r="C725" s="13" t="s">
        <v>9</v>
      </c>
      <c r="D725" s="13">
        <v>80.0</v>
      </c>
      <c r="E725" s="15">
        <v>185.0</v>
      </c>
      <c r="F725" s="13" t="s">
        <v>27</v>
      </c>
      <c r="G725" s="15" t="s">
        <v>106</v>
      </c>
      <c r="H725" s="15">
        <v>650.0</v>
      </c>
      <c r="I725" s="21">
        <f t="shared" si="1"/>
        <v>120.25</v>
      </c>
      <c r="J725" s="21"/>
      <c r="K725" s="22"/>
    </row>
    <row r="726" ht="22.5" customHeight="1">
      <c r="A726" s="28">
        <v>46066.0</v>
      </c>
      <c r="B726" s="15" t="s">
        <v>887</v>
      </c>
      <c r="C726" s="13" t="s">
        <v>9</v>
      </c>
      <c r="D726" s="13">
        <v>80.0</v>
      </c>
      <c r="E726" s="15">
        <v>185.0</v>
      </c>
      <c r="F726" s="13" t="s">
        <v>27</v>
      </c>
      <c r="G726" s="15" t="s">
        <v>106</v>
      </c>
      <c r="H726" s="15">
        <v>1500.0</v>
      </c>
      <c r="I726" s="21">
        <f t="shared" si="1"/>
        <v>277.5</v>
      </c>
      <c r="J726" s="21"/>
      <c r="K726" s="22"/>
    </row>
    <row r="727" ht="22.5" customHeight="1">
      <c r="A727" s="28">
        <v>46066.0</v>
      </c>
      <c r="B727" s="15" t="s">
        <v>888</v>
      </c>
      <c r="C727" s="38"/>
      <c r="D727" s="38"/>
      <c r="E727" s="15">
        <v>254.0</v>
      </c>
      <c r="F727" s="38"/>
      <c r="G727" s="15" t="s">
        <v>170</v>
      </c>
      <c r="H727" s="15">
        <v>5900.0</v>
      </c>
      <c r="I727" s="21">
        <f t="shared" si="1"/>
        <v>1498.6</v>
      </c>
      <c r="J727" s="15" t="s">
        <v>1140</v>
      </c>
      <c r="K727" s="22"/>
    </row>
    <row r="728" ht="22.5" customHeight="1">
      <c r="A728" s="28">
        <v>46067.0</v>
      </c>
      <c r="B728" s="15" t="s">
        <v>889</v>
      </c>
      <c r="C728" s="13" t="s">
        <v>9</v>
      </c>
      <c r="D728" s="13">
        <v>80.0</v>
      </c>
      <c r="E728" s="15">
        <v>230.0</v>
      </c>
      <c r="F728" s="13" t="s">
        <v>27</v>
      </c>
      <c r="G728" s="15" t="s">
        <v>139</v>
      </c>
      <c r="H728" s="15">
        <v>1400.0</v>
      </c>
      <c r="I728" s="21">
        <f t="shared" si="1"/>
        <v>322</v>
      </c>
      <c r="J728" s="21"/>
      <c r="K728" s="22"/>
    </row>
    <row r="729" ht="22.5" customHeight="1">
      <c r="A729" s="28">
        <v>46067.0</v>
      </c>
      <c r="B729" s="15" t="s">
        <v>890</v>
      </c>
      <c r="C729" s="13" t="s">
        <v>9</v>
      </c>
      <c r="D729" s="13">
        <v>80.0</v>
      </c>
      <c r="E729" s="15">
        <v>160.0</v>
      </c>
      <c r="F729" s="13" t="s">
        <v>27</v>
      </c>
      <c r="G729" s="15" t="s">
        <v>139</v>
      </c>
      <c r="H729" s="15">
        <v>600.0</v>
      </c>
      <c r="I729" s="21">
        <f t="shared" si="1"/>
        <v>96</v>
      </c>
      <c r="J729" s="21"/>
      <c r="K729" s="22"/>
    </row>
    <row r="730" ht="22.5" customHeight="1">
      <c r="A730" s="28">
        <v>46067.0</v>
      </c>
      <c r="B730" s="15" t="s">
        <v>891</v>
      </c>
      <c r="C730" s="13" t="s">
        <v>9</v>
      </c>
      <c r="D730" s="13">
        <v>80.0</v>
      </c>
      <c r="E730" s="15">
        <v>125.0</v>
      </c>
      <c r="F730" s="13" t="s">
        <v>21</v>
      </c>
      <c r="G730" s="15" t="s">
        <v>89</v>
      </c>
      <c r="H730" s="15">
        <v>3300.0</v>
      </c>
      <c r="I730" s="21">
        <f t="shared" si="1"/>
        <v>412.5</v>
      </c>
      <c r="J730" s="21"/>
      <c r="K730" s="22"/>
    </row>
    <row r="731" ht="22.5" customHeight="1">
      <c r="A731" s="28">
        <v>46067.0</v>
      </c>
      <c r="B731" s="15" t="s">
        <v>892</v>
      </c>
      <c r="C731" s="13" t="s">
        <v>54</v>
      </c>
      <c r="D731" s="13">
        <v>40.0</v>
      </c>
      <c r="E731" s="15">
        <v>240.0</v>
      </c>
      <c r="F731" s="13" t="s">
        <v>55</v>
      </c>
      <c r="G731" s="15" t="s">
        <v>893</v>
      </c>
      <c r="H731" s="15">
        <v>2800.0</v>
      </c>
      <c r="I731" s="21">
        <f t="shared" si="1"/>
        <v>672</v>
      </c>
      <c r="J731" s="21"/>
      <c r="K731" s="22"/>
    </row>
    <row r="732" ht="22.5" customHeight="1">
      <c r="A732" s="28">
        <v>46069.0</v>
      </c>
      <c r="B732" s="15" t="s">
        <v>894</v>
      </c>
      <c r="C732" s="13" t="s">
        <v>9</v>
      </c>
      <c r="D732" s="13">
        <v>80.0</v>
      </c>
      <c r="E732" s="15">
        <v>125.0</v>
      </c>
      <c r="F732" s="13" t="s">
        <v>21</v>
      </c>
      <c r="G732" s="15" t="s">
        <v>89</v>
      </c>
      <c r="H732" s="15">
        <v>1350.0</v>
      </c>
      <c r="I732" s="21">
        <f t="shared" si="1"/>
        <v>168.75</v>
      </c>
      <c r="J732" s="21"/>
      <c r="K732" s="22"/>
    </row>
    <row r="733" ht="22.5" customHeight="1">
      <c r="A733" s="28">
        <v>46069.0</v>
      </c>
      <c r="B733" s="15" t="s">
        <v>895</v>
      </c>
      <c r="C733" s="13" t="s">
        <v>9</v>
      </c>
      <c r="D733" s="13">
        <v>80.0</v>
      </c>
      <c r="E733" s="15">
        <v>320.0</v>
      </c>
      <c r="F733" s="13" t="s">
        <v>21</v>
      </c>
      <c r="G733" s="15" t="s">
        <v>89</v>
      </c>
      <c r="H733" s="15">
        <v>2080.0</v>
      </c>
      <c r="I733" s="21">
        <f t="shared" si="1"/>
        <v>665.6</v>
      </c>
      <c r="J733" s="21"/>
      <c r="K733" s="22"/>
    </row>
    <row r="734" ht="22.5" customHeight="1">
      <c r="A734" s="28">
        <v>46069.0</v>
      </c>
      <c r="B734" s="15" t="s">
        <v>896</v>
      </c>
      <c r="C734" s="13" t="s">
        <v>9</v>
      </c>
      <c r="D734" s="13">
        <v>80.0</v>
      </c>
      <c r="E734" s="15">
        <v>330.0</v>
      </c>
      <c r="F734" s="13" t="s">
        <v>21</v>
      </c>
      <c r="G734" s="15" t="s">
        <v>89</v>
      </c>
      <c r="H734" s="15">
        <v>2000.0</v>
      </c>
      <c r="I734" s="21">
        <f t="shared" si="1"/>
        <v>660</v>
      </c>
      <c r="J734" s="21"/>
      <c r="K734" s="22"/>
    </row>
    <row r="735" ht="22.5" customHeight="1">
      <c r="A735" s="28">
        <v>46069.0</v>
      </c>
      <c r="B735" s="15" t="s">
        <v>897</v>
      </c>
      <c r="C735" s="13" t="s">
        <v>9</v>
      </c>
      <c r="D735" s="13">
        <v>80.0</v>
      </c>
      <c r="E735" s="15">
        <v>180.0</v>
      </c>
      <c r="F735" s="13" t="s">
        <v>21</v>
      </c>
      <c r="G735" s="15" t="s">
        <v>89</v>
      </c>
      <c r="H735" s="15">
        <v>3970.0</v>
      </c>
      <c r="I735" s="21">
        <f t="shared" si="1"/>
        <v>714.6</v>
      </c>
      <c r="J735" s="21"/>
      <c r="K735" s="22"/>
    </row>
    <row r="736" ht="22.5" customHeight="1">
      <c r="A736" s="28">
        <v>46069.0</v>
      </c>
      <c r="B736" s="15" t="s">
        <v>898</v>
      </c>
      <c r="C736" s="13" t="s">
        <v>9</v>
      </c>
      <c r="D736" s="13">
        <v>80.0</v>
      </c>
      <c r="E736" s="15">
        <v>180.0</v>
      </c>
      <c r="F736" s="13" t="s">
        <v>21</v>
      </c>
      <c r="G736" s="15" t="s">
        <v>89</v>
      </c>
      <c r="H736" s="15">
        <v>600.0</v>
      </c>
      <c r="I736" s="21">
        <f t="shared" si="1"/>
        <v>108</v>
      </c>
      <c r="J736" s="21"/>
      <c r="K736" s="22"/>
    </row>
    <row r="737" ht="22.5" customHeight="1">
      <c r="A737" s="28">
        <v>46070.0</v>
      </c>
      <c r="B737" s="15" t="s">
        <v>899</v>
      </c>
      <c r="C737" s="38"/>
      <c r="D737" s="38"/>
      <c r="E737" s="21"/>
      <c r="F737" s="38"/>
      <c r="G737" s="21"/>
      <c r="H737" s="21"/>
      <c r="I737" s="21">
        <f t="shared" si="1"/>
        <v>0</v>
      </c>
      <c r="J737" s="15" t="s">
        <v>1149</v>
      </c>
      <c r="K737" s="22"/>
    </row>
    <row r="738" ht="22.5" customHeight="1">
      <c r="A738" s="28">
        <v>46070.0</v>
      </c>
      <c r="B738" s="15" t="s">
        <v>900</v>
      </c>
      <c r="C738" s="13" t="s">
        <v>9</v>
      </c>
      <c r="D738" s="13">
        <v>80.0</v>
      </c>
      <c r="E738" s="15">
        <v>160.0</v>
      </c>
      <c r="F738" s="13" t="s">
        <v>27</v>
      </c>
      <c r="G738" s="15" t="s">
        <v>901</v>
      </c>
      <c r="H738" s="15">
        <v>600.0</v>
      </c>
      <c r="I738" s="21">
        <f t="shared" si="1"/>
        <v>96</v>
      </c>
      <c r="J738" s="15" t="s">
        <v>1150</v>
      </c>
      <c r="K738" s="22"/>
    </row>
    <row r="739" ht="22.5" customHeight="1">
      <c r="A739" s="28">
        <v>46070.0</v>
      </c>
      <c r="B739" s="15" t="s">
        <v>902</v>
      </c>
      <c r="C739" s="13" t="s">
        <v>9</v>
      </c>
      <c r="D739" s="13">
        <v>80.0</v>
      </c>
      <c r="E739" s="15">
        <v>150.0</v>
      </c>
      <c r="F739" s="13" t="s">
        <v>21</v>
      </c>
      <c r="G739" s="15" t="s">
        <v>89</v>
      </c>
      <c r="H739" s="15">
        <v>1430.0</v>
      </c>
      <c r="I739" s="21">
        <f t="shared" si="1"/>
        <v>214.5</v>
      </c>
      <c r="J739" s="21"/>
      <c r="K739" s="22"/>
    </row>
    <row r="740" ht="22.5" customHeight="1">
      <c r="A740" s="28">
        <v>46070.0</v>
      </c>
      <c r="B740" s="15" t="s">
        <v>903</v>
      </c>
      <c r="C740" s="13" t="s">
        <v>9</v>
      </c>
      <c r="D740" s="13">
        <v>80.0</v>
      </c>
      <c r="E740" s="15">
        <v>150.0</v>
      </c>
      <c r="F740" s="13" t="s">
        <v>21</v>
      </c>
      <c r="G740" s="15" t="s">
        <v>89</v>
      </c>
      <c r="H740" s="15">
        <v>3300.0</v>
      </c>
      <c r="I740" s="21">
        <f t="shared" si="1"/>
        <v>495</v>
      </c>
      <c r="J740" s="21"/>
      <c r="K740" s="22"/>
    </row>
    <row r="741" ht="22.5" customHeight="1">
      <c r="A741" s="28">
        <v>46070.0</v>
      </c>
      <c r="B741" s="15" t="s">
        <v>904</v>
      </c>
      <c r="C741" s="13" t="s">
        <v>47</v>
      </c>
      <c r="D741" s="13">
        <v>50.0</v>
      </c>
      <c r="E741" s="15">
        <v>172.0</v>
      </c>
      <c r="F741" s="13" t="s">
        <v>23</v>
      </c>
      <c r="G741" s="15" t="s">
        <v>901</v>
      </c>
      <c r="H741" s="15">
        <v>1480.0</v>
      </c>
      <c r="I741" s="21">
        <f t="shared" si="1"/>
        <v>254.56</v>
      </c>
      <c r="J741" s="15" t="s">
        <v>1150</v>
      </c>
      <c r="K741" s="22"/>
    </row>
    <row r="742" ht="22.5" customHeight="1">
      <c r="A742" s="28">
        <v>46071.0</v>
      </c>
      <c r="B742" s="15" t="s">
        <v>905</v>
      </c>
      <c r="C742" s="13" t="s">
        <v>9</v>
      </c>
      <c r="D742" s="13">
        <v>80.0</v>
      </c>
      <c r="E742" s="15">
        <v>320.0</v>
      </c>
      <c r="F742" s="13" t="s">
        <v>21</v>
      </c>
      <c r="G742" s="15" t="s">
        <v>89</v>
      </c>
      <c r="H742" s="15">
        <v>2000.0</v>
      </c>
      <c r="I742" s="21">
        <f t="shared" si="1"/>
        <v>640</v>
      </c>
      <c r="J742" s="21"/>
      <c r="K742" s="22"/>
    </row>
    <row r="743" ht="22.5" customHeight="1">
      <c r="A743" s="28">
        <v>46071.0</v>
      </c>
      <c r="B743" s="15" t="s">
        <v>906</v>
      </c>
      <c r="C743" s="13" t="s">
        <v>9</v>
      </c>
      <c r="D743" s="13">
        <v>80.0</v>
      </c>
      <c r="E743" s="15">
        <v>160.0</v>
      </c>
      <c r="F743" s="13" t="s">
        <v>27</v>
      </c>
      <c r="G743" s="15" t="s">
        <v>99</v>
      </c>
      <c r="H743" s="15">
        <v>2240.0</v>
      </c>
      <c r="I743" s="21">
        <f t="shared" si="1"/>
        <v>358.4</v>
      </c>
      <c r="J743" s="21"/>
      <c r="K743" s="22"/>
    </row>
    <row r="744" ht="22.5" customHeight="1">
      <c r="A744" s="28">
        <v>46071.0</v>
      </c>
      <c r="B744" s="15" t="s">
        <v>907</v>
      </c>
      <c r="C744" s="13" t="s">
        <v>9</v>
      </c>
      <c r="D744" s="13">
        <v>80.0</v>
      </c>
      <c r="E744" s="15">
        <v>160.0</v>
      </c>
      <c r="F744" s="13" t="s">
        <v>27</v>
      </c>
      <c r="G744" s="15" t="s">
        <v>99</v>
      </c>
      <c r="H744" s="15">
        <v>1660.0</v>
      </c>
      <c r="I744" s="21">
        <f t="shared" si="1"/>
        <v>265.6</v>
      </c>
      <c r="J744" s="21"/>
      <c r="K744" s="22"/>
    </row>
    <row r="745" ht="22.5" customHeight="1">
      <c r="A745" s="28">
        <v>46071.0</v>
      </c>
      <c r="B745" s="15" t="s">
        <v>908</v>
      </c>
      <c r="C745" s="13" t="s">
        <v>9</v>
      </c>
      <c r="D745" s="13">
        <v>80.0</v>
      </c>
      <c r="E745" s="15">
        <v>160.0</v>
      </c>
      <c r="F745" s="13" t="s">
        <v>27</v>
      </c>
      <c r="G745" s="15" t="s">
        <v>99</v>
      </c>
      <c r="H745" s="15">
        <v>5000.0</v>
      </c>
      <c r="I745" s="21">
        <f t="shared" si="1"/>
        <v>800</v>
      </c>
      <c r="J745" s="21"/>
      <c r="K745" s="22"/>
    </row>
    <row r="746" ht="22.5" customHeight="1">
      <c r="A746" s="28">
        <v>46071.0</v>
      </c>
      <c r="B746" s="15" t="s">
        <v>909</v>
      </c>
      <c r="C746" s="13" t="s">
        <v>9</v>
      </c>
      <c r="D746" s="13">
        <v>80.0</v>
      </c>
      <c r="E746" s="15">
        <v>140.0</v>
      </c>
      <c r="F746" s="13" t="s">
        <v>27</v>
      </c>
      <c r="G746" s="15" t="s">
        <v>99</v>
      </c>
      <c r="H746" s="15">
        <v>1800.0</v>
      </c>
      <c r="I746" s="21">
        <f t="shared" si="1"/>
        <v>252</v>
      </c>
      <c r="J746" s="21"/>
      <c r="K746" s="22"/>
    </row>
    <row r="747" ht="22.5" customHeight="1">
      <c r="A747" s="28">
        <v>46071.0</v>
      </c>
      <c r="B747" s="15" t="s">
        <v>910</v>
      </c>
      <c r="C747" s="13" t="s">
        <v>9</v>
      </c>
      <c r="D747" s="13">
        <v>80.0</v>
      </c>
      <c r="E747" s="15">
        <v>220.0</v>
      </c>
      <c r="F747" s="13" t="s">
        <v>27</v>
      </c>
      <c r="G747" s="15" t="s">
        <v>99</v>
      </c>
      <c r="H747" s="15">
        <v>2600.0</v>
      </c>
      <c r="I747" s="21">
        <f t="shared" si="1"/>
        <v>572</v>
      </c>
      <c r="J747" s="21"/>
      <c r="K747" s="22"/>
    </row>
    <row r="748" ht="22.5" customHeight="1">
      <c r="A748" s="28">
        <v>46071.0</v>
      </c>
      <c r="B748" s="15" t="s">
        <v>911</v>
      </c>
      <c r="C748" s="38"/>
      <c r="D748" s="38"/>
      <c r="E748" s="15">
        <v>100.0</v>
      </c>
      <c r="F748" s="38"/>
      <c r="G748" s="15" t="s">
        <v>170</v>
      </c>
      <c r="H748" s="15">
        <v>300.0</v>
      </c>
      <c r="I748" s="21">
        <f t="shared" si="1"/>
        <v>30</v>
      </c>
      <c r="J748" s="15" t="s">
        <v>1157</v>
      </c>
      <c r="K748" s="22"/>
    </row>
    <row r="749" ht="22.5" customHeight="1">
      <c r="A749" s="28">
        <v>46072.0</v>
      </c>
      <c r="B749" s="15" t="s">
        <v>912</v>
      </c>
      <c r="C749" s="13" t="s">
        <v>77</v>
      </c>
      <c r="D749" s="13">
        <v>230.0</v>
      </c>
      <c r="E749" s="15">
        <v>200.0</v>
      </c>
      <c r="F749" s="13" t="s">
        <v>21</v>
      </c>
      <c r="G749" s="15" t="s">
        <v>884</v>
      </c>
      <c r="H749" s="15">
        <v>7800.0</v>
      </c>
      <c r="I749" s="21">
        <f t="shared" si="1"/>
        <v>1560</v>
      </c>
      <c r="J749" s="21"/>
      <c r="K749" s="22"/>
    </row>
    <row r="750" ht="22.5" customHeight="1">
      <c r="A750" s="28">
        <v>46072.0</v>
      </c>
      <c r="B750" s="15" t="s">
        <v>913</v>
      </c>
      <c r="C750" s="13" t="s">
        <v>9</v>
      </c>
      <c r="D750" s="13">
        <v>80.0</v>
      </c>
      <c r="E750" s="15">
        <v>180.0</v>
      </c>
      <c r="F750" s="13" t="s">
        <v>21</v>
      </c>
      <c r="G750" s="15" t="s">
        <v>89</v>
      </c>
      <c r="H750" s="15">
        <v>3000.0</v>
      </c>
      <c r="I750" s="21">
        <f t="shared" si="1"/>
        <v>540</v>
      </c>
      <c r="J750" s="21"/>
      <c r="K750" s="22"/>
    </row>
    <row r="751" ht="22.5" customHeight="1">
      <c r="A751" s="28">
        <v>46072.0</v>
      </c>
      <c r="B751" s="15" t="s">
        <v>914</v>
      </c>
      <c r="C751" s="13" t="s">
        <v>52</v>
      </c>
      <c r="D751" s="13">
        <v>50.0</v>
      </c>
      <c r="E751" s="15">
        <v>125.0</v>
      </c>
      <c r="F751" s="13" t="s">
        <v>31</v>
      </c>
      <c r="G751" s="15" t="s">
        <v>331</v>
      </c>
      <c r="H751" s="15">
        <v>1450.0</v>
      </c>
      <c r="I751" s="21">
        <f t="shared" si="1"/>
        <v>181.25</v>
      </c>
      <c r="J751" s="21"/>
      <c r="K751" s="22"/>
    </row>
    <row r="752" ht="22.5" customHeight="1">
      <c r="A752" s="28">
        <v>46072.0</v>
      </c>
      <c r="B752" s="15" t="s">
        <v>915</v>
      </c>
      <c r="C752" s="13" t="s">
        <v>9</v>
      </c>
      <c r="D752" s="13">
        <v>80.0</v>
      </c>
      <c r="E752" s="15">
        <v>290.0</v>
      </c>
      <c r="F752" s="13" t="s">
        <v>21</v>
      </c>
      <c r="G752" s="15" t="s">
        <v>89</v>
      </c>
      <c r="H752" s="15">
        <v>6500.0</v>
      </c>
      <c r="I752" s="21">
        <f t="shared" si="1"/>
        <v>1885</v>
      </c>
      <c r="J752" s="21"/>
      <c r="K752" s="22"/>
    </row>
    <row r="753" ht="22.5" customHeight="1">
      <c r="A753" s="28">
        <v>46073.0</v>
      </c>
      <c r="B753" s="15" t="s">
        <v>916</v>
      </c>
      <c r="C753" s="13" t="s">
        <v>9</v>
      </c>
      <c r="D753" s="13">
        <v>80.0</v>
      </c>
      <c r="E753" s="15">
        <v>125.0</v>
      </c>
      <c r="F753" s="13" t="s">
        <v>21</v>
      </c>
      <c r="G753" s="15" t="s">
        <v>89</v>
      </c>
      <c r="H753" s="15">
        <v>6000.0</v>
      </c>
      <c r="I753" s="21">
        <f t="shared" si="1"/>
        <v>750</v>
      </c>
      <c r="J753" s="21"/>
      <c r="K753" s="22"/>
    </row>
    <row r="754" ht="22.5" customHeight="1">
      <c r="A754" s="28">
        <v>46073.0</v>
      </c>
      <c r="B754" s="15" t="s">
        <v>917</v>
      </c>
      <c r="C754" s="13" t="s">
        <v>9</v>
      </c>
      <c r="D754" s="13">
        <v>80.0</v>
      </c>
      <c r="E754" s="15">
        <v>290.0</v>
      </c>
      <c r="F754" s="13" t="s">
        <v>21</v>
      </c>
      <c r="G754" s="15" t="s">
        <v>89</v>
      </c>
      <c r="H754" s="15">
        <v>2000.0</v>
      </c>
      <c r="I754" s="21">
        <f t="shared" si="1"/>
        <v>580</v>
      </c>
      <c r="J754" s="21"/>
      <c r="K754" s="22"/>
    </row>
    <row r="755" ht="22.5" customHeight="1">
      <c r="A755" s="28">
        <v>46073.0</v>
      </c>
      <c r="B755" s="15" t="s">
        <v>867</v>
      </c>
      <c r="C755" s="13" t="s">
        <v>9</v>
      </c>
      <c r="D755" s="13">
        <v>80.0</v>
      </c>
      <c r="E755" s="15">
        <v>320.0</v>
      </c>
      <c r="F755" s="13" t="s">
        <v>21</v>
      </c>
      <c r="G755" s="15" t="s">
        <v>89</v>
      </c>
      <c r="H755" s="15">
        <v>1640.0</v>
      </c>
      <c r="I755" s="21">
        <f t="shared" si="1"/>
        <v>524.8</v>
      </c>
      <c r="J755" s="21"/>
      <c r="K755" s="22"/>
    </row>
    <row r="756" ht="22.5" customHeight="1">
      <c r="A756" s="28">
        <v>46073.0</v>
      </c>
      <c r="B756" s="15" t="s">
        <v>918</v>
      </c>
      <c r="C756" s="13" t="s">
        <v>9</v>
      </c>
      <c r="D756" s="13">
        <v>80.0</v>
      </c>
      <c r="E756" s="15">
        <v>210.0</v>
      </c>
      <c r="F756" s="13" t="s">
        <v>21</v>
      </c>
      <c r="G756" s="15" t="s">
        <v>89</v>
      </c>
      <c r="H756" s="15">
        <v>1100.0</v>
      </c>
      <c r="I756" s="21">
        <f t="shared" si="1"/>
        <v>231</v>
      </c>
      <c r="J756" s="21"/>
      <c r="K756" s="22"/>
    </row>
    <row r="757" ht="22.5" customHeight="1">
      <c r="A757" s="28">
        <v>46073.0</v>
      </c>
      <c r="B757" s="15" t="s">
        <v>919</v>
      </c>
      <c r="C757" s="13" t="s">
        <v>9</v>
      </c>
      <c r="D757" s="13">
        <v>80.0</v>
      </c>
      <c r="E757" s="15">
        <v>290.0</v>
      </c>
      <c r="F757" s="13" t="s">
        <v>21</v>
      </c>
      <c r="G757" s="15" t="s">
        <v>89</v>
      </c>
      <c r="H757" s="15">
        <v>2500.0</v>
      </c>
      <c r="I757" s="21">
        <f t="shared" si="1"/>
        <v>725</v>
      </c>
      <c r="J757" s="21"/>
      <c r="K757" s="22"/>
    </row>
    <row r="758" ht="22.5" customHeight="1">
      <c r="A758" s="28">
        <v>46074.0</v>
      </c>
      <c r="B758" s="15" t="s">
        <v>920</v>
      </c>
      <c r="C758" s="13" t="s">
        <v>9</v>
      </c>
      <c r="D758" s="13">
        <v>80.0</v>
      </c>
      <c r="E758" s="15">
        <v>150.0</v>
      </c>
      <c r="F758" s="13" t="s">
        <v>21</v>
      </c>
      <c r="G758" s="15" t="s">
        <v>89</v>
      </c>
      <c r="H758" s="15">
        <v>2000.0</v>
      </c>
      <c r="I758" s="21">
        <f t="shared" si="1"/>
        <v>300</v>
      </c>
      <c r="J758" s="21"/>
      <c r="K758" s="22"/>
    </row>
    <row r="759" ht="22.5" customHeight="1">
      <c r="A759" s="28">
        <v>46074.0</v>
      </c>
      <c r="B759" s="15" t="s">
        <v>921</v>
      </c>
      <c r="C759" s="13" t="s">
        <v>9</v>
      </c>
      <c r="D759" s="13">
        <v>80.0</v>
      </c>
      <c r="E759" s="15">
        <v>210.0</v>
      </c>
      <c r="F759" s="13" t="s">
        <v>21</v>
      </c>
      <c r="G759" s="15" t="s">
        <v>89</v>
      </c>
      <c r="H759" s="15">
        <v>4000.0</v>
      </c>
      <c r="I759" s="21">
        <f t="shared" si="1"/>
        <v>840</v>
      </c>
      <c r="J759" s="21"/>
      <c r="K759" s="22"/>
    </row>
    <row r="760" ht="22.5" customHeight="1">
      <c r="A760" s="28">
        <v>46076.0</v>
      </c>
      <c r="B760" s="15" t="s">
        <v>922</v>
      </c>
      <c r="C760" s="13" t="s">
        <v>9</v>
      </c>
      <c r="D760" s="13">
        <v>80.0</v>
      </c>
      <c r="E760" s="15">
        <v>210.0</v>
      </c>
      <c r="F760" s="13" t="s">
        <v>21</v>
      </c>
      <c r="G760" s="15" t="s">
        <v>89</v>
      </c>
      <c r="H760" s="15">
        <v>3850.0</v>
      </c>
      <c r="I760" s="21">
        <f t="shared" si="1"/>
        <v>808.5</v>
      </c>
      <c r="J760" s="21"/>
      <c r="K760" s="22"/>
    </row>
    <row r="761" ht="22.5" customHeight="1">
      <c r="A761" s="28">
        <v>46076.0</v>
      </c>
      <c r="B761" s="15" t="s">
        <v>923</v>
      </c>
      <c r="C761" s="13" t="s">
        <v>9</v>
      </c>
      <c r="D761" s="13">
        <v>80.0</v>
      </c>
      <c r="E761" s="15">
        <v>160.0</v>
      </c>
      <c r="F761" s="13" t="s">
        <v>27</v>
      </c>
      <c r="G761" s="15" t="s">
        <v>99</v>
      </c>
      <c r="H761" s="15">
        <v>4710.0</v>
      </c>
      <c r="I761" s="21">
        <f t="shared" si="1"/>
        <v>753.6</v>
      </c>
      <c r="J761" s="21"/>
      <c r="K761" s="22"/>
    </row>
    <row r="762" ht="22.5" customHeight="1">
      <c r="A762" s="28">
        <v>46076.0</v>
      </c>
      <c r="B762" s="15" t="s">
        <v>924</v>
      </c>
      <c r="C762" s="13" t="s">
        <v>45</v>
      </c>
      <c r="D762" s="13">
        <v>50.0</v>
      </c>
      <c r="E762" s="15">
        <v>132.0</v>
      </c>
      <c r="F762" s="38"/>
      <c r="G762" s="15" t="s">
        <v>925</v>
      </c>
      <c r="H762" s="15">
        <v>650.0</v>
      </c>
      <c r="I762" s="21">
        <f t="shared" si="1"/>
        <v>85.8</v>
      </c>
      <c r="J762" s="15" t="s">
        <v>1173</v>
      </c>
      <c r="K762" s="22"/>
    </row>
    <row r="763" ht="22.5" customHeight="1">
      <c r="A763" s="28">
        <v>46076.0</v>
      </c>
      <c r="B763" s="15" t="s">
        <v>926</v>
      </c>
      <c r="C763" s="13" t="s">
        <v>42</v>
      </c>
      <c r="D763" s="13">
        <v>50.0</v>
      </c>
      <c r="E763" s="15">
        <v>180.0</v>
      </c>
      <c r="F763" s="38"/>
      <c r="G763" s="15" t="s">
        <v>925</v>
      </c>
      <c r="H763" s="15">
        <v>400.0</v>
      </c>
      <c r="I763" s="21">
        <f t="shared" si="1"/>
        <v>72</v>
      </c>
      <c r="J763" s="21"/>
      <c r="K763" s="22"/>
    </row>
    <row r="764" ht="22.5" customHeight="1">
      <c r="A764" s="28">
        <v>46077.0</v>
      </c>
      <c r="B764" s="15" t="s">
        <v>927</v>
      </c>
      <c r="C764" s="13" t="s">
        <v>9</v>
      </c>
      <c r="D764" s="13">
        <v>80.0</v>
      </c>
      <c r="E764" s="15">
        <v>320.0</v>
      </c>
      <c r="F764" s="13" t="s">
        <v>21</v>
      </c>
      <c r="G764" s="15" t="s">
        <v>89</v>
      </c>
      <c r="H764" s="15">
        <v>1000.0</v>
      </c>
      <c r="I764" s="21">
        <f t="shared" si="1"/>
        <v>320</v>
      </c>
      <c r="J764" s="21"/>
      <c r="K764" s="22"/>
    </row>
    <row r="765" ht="22.5" customHeight="1">
      <c r="A765" s="28">
        <v>46077.0</v>
      </c>
      <c r="B765" s="15" t="s">
        <v>928</v>
      </c>
      <c r="C765" s="13" t="s">
        <v>9</v>
      </c>
      <c r="D765" s="13">
        <v>80.0</v>
      </c>
      <c r="E765" s="15">
        <v>250.0</v>
      </c>
      <c r="F765" s="13" t="s">
        <v>21</v>
      </c>
      <c r="G765" s="15" t="s">
        <v>89</v>
      </c>
      <c r="H765" s="15">
        <v>1000.0</v>
      </c>
      <c r="I765" s="21">
        <f t="shared" si="1"/>
        <v>250</v>
      </c>
      <c r="J765" s="15" t="s">
        <v>1178</v>
      </c>
      <c r="K765" s="22"/>
    </row>
    <row r="766" ht="22.5" customHeight="1">
      <c r="A766" s="28">
        <v>46077.0</v>
      </c>
      <c r="B766" s="15" t="s">
        <v>929</v>
      </c>
      <c r="C766" s="13" t="s">
        <v>9</v>
      </c>
      <c r="D766" s="13">
        <v>80.0</v>
      </c>
      <c r="E766" s="15">
        <v>250.0</v>
      </c>
      <c r="F766" s="13" t="s">
        <v>21</v>
      </c>
      <c r="G766" s="15" t="s">
        <v>89</v>
      </c>
      <c r="H766" s="15">
        <v>1250.0</v>
      </c>
      <c r="I766" s="21">
        <f t="shared" si="1"/>
        <v>312.5</v>
      </c>
      <c r="J766" s="21"/>
      <c r="K766" s="22"/>
    </row>
    <row r="767" ht="22.5" customHeight="1">
      <c r="A767" s="28">
        <v>46078.0</v>
      </c>
      <c r="B767" s="15" t="s">
        <v>930</v>
      </c>
      <c r="C767" s="13" t="s">
        <v>9</v>
      </c>
      <c r="D767" s="13">
        <v>80.0</v>
      </c>
      <c r="E767" s="15">
        <v>160.0</v>
      </c>
      <c r="F767" s="13" t="s">
        <v>27</v>
      </c>
      <c r="G767" s="15" t="s">
        <v>99</v>
      </c>
      <c r="H767" s="15">
        <v>2960.0</v>
      </c>
      <c r="I767" s="21">
        <f t="shared" si="1"/>
        <v>473.6</v>
      </c>
      <c r="J767" s="21"/>
      <c r="K767" s="22"/>
    </row>
    <row r="768" ht="22.5" customHeight="1">
      <c r="A768" s="28">
        <v>46078.0</v>
      </c>
      <c r="B768" s="15" t="s">
        <v>931</v>
      </c>
      <c r="C768" s="13" t="s">
        <v>9</v>
      </c>
      <c r="D768" s="13">
        <v>80.0</v>
      </c>
      <c r="E768" s="15">
        <v>195.0</v>
      </c>
      <c r="F768" s="13" t="s">
        <v>27</v>
      </c>
      <c r="G768" s="15" t="s">
        <v>99</v>
      </c>
      <c r="H768" s="15">
        <v>1600.0</v>
      </c>
      <c r="I768" s="21">
        <f t="shared" si="1"/>
        <v>312</v>
      </c>
      <c r="J768" s="21"/>
      <c r="K768" s="22"/>
    </row>
    <row r="769" ht="22.5" customHeight="1">
      <c r="A769" s="28">
        <v>46078.0</v>
      </c>
      <c r="B769" s="15" t="s">
        <v>932</v>
      </c>
      <c r="C769" s="13" t="s">
        <v>9</v>
      </c>
      <c r="D769" s="13">
        <v>80.0</v>
      </c>
      <c r="E769" s="15">
        <v>160.0</v>
      </c>
      <c r="F769" s="13" t="s">
        <v>27</v>
      </c>
      <c r="G769" s="15" t="s">
        <v>99</v>
      </c>
      <c r="H769" s="15">
        <v>4700.0</v>
      </c>
      <c r="I769" s="21">
        <f t="shared" si="1"/>
        <v>752</v>
      </c>
      <c r="J769" s="21"/>
      <c r="K769" s="22"/>
    </row>
    <row r="770" ht="22.5" customHeight="1">
      <c r="A770" s="28">
        <v>46078.0</v>
      </c>
      <c r="B770" s="15" t="s">
        <v>933</v>
      </c>
      <c r="C770" s="13" t="s">
        <v>9</v>
      </c>
      <c r="D770" s="13">
        <v>80.0</v>
      </c>
      <c r="E770" s="15">
        <v>160.0</v>
      </c>
      <c r="F770" s="13" t="s">
        <v>27</v>
      </c>
      <c r="G770" s="15" t="s">
        <v>99</v>
      </c>
      <c r="H770" s="15">
        <v>2550.0</v>
      </c>
      <c r="I770" s="21">
        <f t="shared" si="1"/>
        <v>408</v>
      </c>
      <c r="J770" s="21"/>
      <c r="K770" s="22"/>
    </row>
    <row r="771" ht="22.5" customHeight="1">
      <c r="A771" s="28">
        <v>46078.0</v>
      </c>
      <c r="B771" s="15" t="s">
        <v>934</v>
      </c>
      <c r="C771" s="13" t="s">
        <v>9</v>
      </c>
      <c r="D771" s="13">
        <v>80.0</v>
      </c>
      <c r="E771" s="15">
        <v>230.0</v>
      </c>
      <c r="F771" s="13" t="s">
        <v>27</v>
      </c>
      <c r="G771" s="15" t="s">
        <v>99</v>
      </c>
      <c r="H771" s="15">
        <v>1570.0</v>
      </c>
      <c r="I771" s="21">
        <f t="shared" si="1"/>
        <v>361.1</v>
      </c>
      <c r="J771" s="21"/>
      <c r="K771" s="22"/>
    </row>
    <row r="772" ht="22.5" customHeight="1">
      <c r="A772" s="28">
        <v>46078.0</v>
      </c>
      <c r="B772" s="15" t="s">
        <v>935</v>
      </c>
      <c r="C772" s="13" t="s">
        <v>9</v>
      </c>
      <c r="D772" s="13">
        <v>80.0</v>
      </c>
      <c r="E772" s="15">
        <v>230.0</v>
      </c>
      <c r="F772" s="13" t="s">
        <v>27</v>
      </c>
      <c r="G772" s="15" t="s">
        <v>99</v>
      </c>
      <c r="H772" s="15">
        <v>550.0</v>
      </c>
      <c r="I772" s="21">
        <f t="shared" si="1"/>
        <v>126.5</v>
      </c>
      <c r="J772" s="21"/>
      <c r="K772" s="22"/>
    </row>
    <row r="773" ht="22.5" customHeight="1">
      <c r="A773" s="28">
        <v>46078.0</v>
      </c>
      <c r="B773" s="15" t="s">
        <v>936</v>
      </c>
      <c r="C773" s="13" t="s">
        <v>9</v>
      </c>
      <c r="D773" s="13">
        <v>80.0</v>
      </c>
      <c r="E773" s="15">
        <v>230.0</v>
      </c>
      <c r="F773" s="13" t="s">
        <v>27</v>
      </c>
      <c r="G773" s="15" t="s">
        <v>99</v>
      </c>
      <c r="H773" s="15">
        <v>1400.0</v>
      </c>
      <c r="I773" s="21">
        <f t="shared" si="1"/>
        <v>322</v>
      </c>
      <c r="J773" s="21"/>
      <c r="K773" s="22"/>
    </row>
    <row r="774" ht="22.5" customHeight="1">
      <c r="A774" s="28">
        <v>46079.0</v>
      </c>
      <c r="B774" s="15" t="s">
        <v>937</v>
      </c>
      <c r="C774" s="13" t="s">
        <v>9</v>
      </c>
      <c r="D774" s="13">
        <v>80.0</v>
      </c>
      <c r="E774" s="15">
        <v>140.0</v>
      </c>
      <c r="F774" s="13" t="s">
        <v>27</v>
      </c>
      <c r="G774" s="15" t="s">
        <v>99</v>
      </c>
      <c r="H774" s="15">
        <v>2400.0</v>
      </c>
      <c r="I774" s="21">
        <f t="shared" si="1"/>
        <v>336</v>
      </c>
      <c r="J774" s="21"/>
      <c r="K774" s="22"/>
    </row>
    <row r="775" ht="22.5" customHeight="1">
      <c r="A775" s="28">
        <v>46079.0</v>
      </c>
      <c r="B775" s="15" t="s">
        <v>938</v>
      </c>
      <c r="C775" s="13" t="s">
        <v>9</v>
      </c>
      <c r="D775" s="13">
        <v>80.0</v>
      </c>
      <c r="E775" s="15">
        <v>140.0</v>
      </c>
      <c r="F775" s="13" t="s">
        <v>27</v>
      </c>
      <c r="G775" s="15" t="s">
        <v>99</v>
      </c>
      <c r="H775" s="15">
        <v>2900.0</v>
      </c>
      <c r="I775" s="21">
        <f t="shared" si="1"/>
        <v>406</v>
      </c>
      <c r="J775" s="21"/>
      <c r="K775" s="22"/>
    </row>
    <row r="776" ht="22.5" customHeight="1">
      <c r="A776" s="28">
        <v>46079.0</v>
      </c>
      <c r="B776" s="15" t="s">
        <v>939</v>
      </c>
      <c r="C776" s="13" t="s">
        <v>9</v>
      </c>
      <c r="D776" s="13">
        <v>80.0</v>
      </c>
      <c r="E776" s="15">
        <v>185.0</v>
      </c>
      <c r="F776" s="13" t="s">
        <v>27</v>
      </c>
      <c r="G776" s="15" t="s">
        <v>99</v>
      </c>
      <c r="H776" s="15">
        <v>3190.0</v>
      </c>
      <c r="I776" s="21">
        <f t="shared" si="1"/>
        <v>590.15</v>
      </c>
      <c r="J776" s="21"/>
      <c r="K776" s="22"/>
    </row>
    <row r="777" ht="22.5" customHeight="1">
      <c r="A777" s="28">
        <v>46079.0</v>
      </c>
      <c r="B777" s="15" t="s">
        <v>940</v>
      </c>
      <c r="C777" s="13" t="s">
        <v>9</v>
      </c>
      <c r="D777" s="13">
        <v>80.0</v>
      </c>
      <c r="E777" s="15">
        <v>220.0</v>
      </c>
      <c r="F777" s="13" t="s">
        <v>27</v>
      </c>
      <c r="G777" s="15" t="s">
        <v>99</v>
      </c>
      <c r="H777" s="15">
        <v>1100.0</v>
      </c>
      <c r="I777" s="21">
        <f t="shared" si="1"/>
        <v>242</v>
      </c>
      <c r="J777" s="21"/>
      <c r="K777" s="22"/>
    </row>
    <row r="778" ht="22.5" customHeight="1">
      <c r="A778" s="28">
        <v>46079.0</v>
      </c>
      <c r="B778" s="15" t="s">
        <v>940</v>
      </c>
      <c r="C778" s="13" t="s">
        <v>9</v>
      </c>
      <c r="D778" s="13">
        <v>80.0</v>
      </c>
      <c r="E778" s="15">
        <v>230.0</v>
      </c>
      <c r="F778" s="13" t="s">
        <v>27</v>
      </c>
      <c r="G778" s="15" t="s">
        <v>99</v>
      </c>
      <c r="H778" s="15">
        <v>1690.0</v>
      </c>
      <c r="I778" s="21">
        <f t="shared" si="1"/>
        <v>388.7</v>
      </c>
      <c r="J778" s="21"/>
      <c r="K778" s="22"/>
    </row>
    <row r="779" ht="22.5" customHeight="1">
      <c r="A779" s="28">
        <v>46079.0</v>
      </c>
      <c r="B779" s="15" t="s">
        <v>941</v>
      </c>
      <c r="C779" s="13" t="s">
        <v>43</v>
      </c>
      <c r="D779" s="13">
        <v>50.0</v>
      </c>
      <c r="E779" s="15">
        <v>125.0</v>
      </c>
      <c r="F779" s="13" t="s">
        <v>27</v>
      </c>
      <c r="G779" s="15" t="s">
        <v>176</v>
      </c>
      <c r="H779" s="15">
        <v>2200.0</v>
      </c>
      <c r="I779" s="21">
        <f t="shared" si="1"/>
        <v>275</v>
      </c>
      <c r="J779" s="21"/>
      <c r="K779" s="22"/>
    </row>
    <row r="780" ht="22.5" customHeight="1">
      <c r="A780" s="28">
        <v>46079.0</v>
      </c>
      <c r="B780" s="15" t="s">
        <v>943</v>
      </c>
      <c r="C780" s="13" t="s">
        <v>43</v>
      </c>
      <c r="D780" s="13">
        <v>50.0</v>
      </c>
      <c r="E780" s="15">
        <v>125.0</v>
      </c>
      <c r="F780" s="13" t="s">
        <v>27</v>
      </c>
      <c r="G780" s="15" t="s">
        <v>176</v>
      </c>
      <c r="H780" s="15">
        <v>1490.0</v>
      </c>
      <c r="I780" s="21">
        <f t="shared" si="1"/>
        <v>186.25</v>
      </c>
      <c r="J780" s="21"/>
      <c r="K780" s="22"/>
    </row>
    <row r="781" ht="22.5" customHeight="1">
      <c r="A781" s="28">
        <v>46079.0</v>
      </c>
      <c r="B781" s="15" t="s">
        <v>944</v>
      </c>
      <c r="C781" s="13" t="s">
        <v>43</v>
      </c>
      <c r="D781" s="13">
        <v>50.0</v>
      </c>
      <c r="E781" s="15">
        <v>125.0</v>
      </c>
      <c r="F781" s="13" t="s">
        <v>27</v>
      </c>
      <c r="G781" s="15" t="s">
        <v>176</v>
      </c>
      <c r="H781" s="15">
        <v>2340.0</v>
      </c>
      <c r="I781" s="21">
        <f t="shared" si="1"/>
        <v>292.5</v>
      </c>
      <c r="J781" s="21"/>
      <c r="K781" s="22"/>
    </row>
    <row r="782" ht="22.5" customHeight="1">
      <c r="A782" s="28">
        <v>46079.0</v>
      </c>
      <c r="B782" s="15" t="s">
        <v>945</v>
      </c>
      <c r="C782" s="13" t="s">
        <v>43</v>
      </c>
      <c r="D782" s="13">
        <v>50.0</v>
      </c>
      <c r="E782" s="15">
        <v>125.0</v>
      </c>
      <c r="F782" s="13" t="s">
        <v>27</v>
      </c>
      <c r="G782" s="15" t="s">
        <v>176</v>
      </c>
      <c r="H782" s="15">
        <v>2870.0</v>
      </c>
      <c r="I782" s="21">
        <f t="shared" si="1"/>
        <v>358.75</v>
      </c>
      <c r="J782" s="21"/>
      <c r="K782" s="22"/>
    </row>
    <row r="783" ht="22.5" customHeight="1">
      <c r="A783" s="28">
        <v>46080.0</v>
      </c>
      <c r="B783" s="15" t="s">
        <v>946</v>
      </c>
      <c r="C783" s="13" t="s">
        <v>26</v>
      </c>
      <c r="D783" s="13">
        <v>80.0</v>
      </c>
      <c r="E783" s="15">
        <v>220.0</v>
      </c>
      <c r="F783" s="13" t="s">
        <v>31</v>
      </c>
      <c r="G783" s="15" t="s">
        <v>392</v>
      </c>
      <c r="H783" s="15">
        <v>6100.0</v>
      </c>
      <c r="I783" s="21">
        <f t="shared" si="1"/>
        <v>1342</v>
      </c>
      <c r="J783" s="21"/>
      <c r="K783" s="22"/>
    </row>
    <row r="784" ht="22.5" customHeight="1">
      <c r="A784" s="28">
        <v>46080.0</v>
      </c>
      <c r="B784" s="15" t="s">
        <v>947</v>
      </c>
      <c r="C784" s="13" t="s">
        <v>9</v>
      </c>
      <c r="D784" s="13">
        <v>80.0</v>
      </c>
      <c r="E784" s="15">
        <v>210.0</v>
      </c>
      <c r="F784" s="13" t="s">
        <v>27</v>
      </c>
      <c r="G784" s="15" t="s">
        <v>392</v>
      </c>
      <c r="H784" s="15">
        <v>5980.0</v>
      </c>
      <c r="I784" s="21">
        <f t="shared" si="1"/>
        <v>1255.8</v>
      </c>
      <c r="J784" s="21"/>
      <c r="K784" s="22"/>
    </row>
    <row r="785" ht="22.5" customHeight="1">
      <c r="A785" s="28">
        <v>46081.0</v>
      </c>
      <c r="B785" s="15" t="s">
        <v>948</v>
      </c>
      <c r="C785" s="13" t="s">
        <v>9</v>
      </c>
      <c r="D785" s="13">
        <v>80.0</v>
      </c>
      <c r="E785" s="15">
        <v>125.0</v>
      </c>
      <c r="F785" s="13" t="s">
        <v>21</v>
      </c>
      <c r="G785" s="15" t="s">
        <v>949</v>
      </c>
      <c r="H785" s="15">
        <v>450.0</v>
      </c>
      <c r="I785" s="21">
        <f t="shared" si="1"/>
        <v>56.25</v>
      </c>
      <c r="J785" s="21"/>
      <c r="K785" s="22"/>
    </row>
    <row r="786" ht="22.5" customHeight="1">
      <c r="A786" s="28">
        <v>46081.0</v>
      </c>
      <c r="B786" s="15" t="s">
        <v>950</v>
      </c>
      <c r="C786" s="13" t="s">
        <v>9</v>
      </c>
      <c r="D786" s="13">
        <v>80.0</v>
      </c>
      <c r="E786" s="15">
        <v>140.0</v>
      </c>
      <c r="F786" s="13" t="s">
        <v>27</v>
      </c>
      <c r="G786" s="15" t="s">
        <v>951</v>
      </c>
      <c r="H786" s="15">
        <v>1700.0</v>
      </c>
      <c r="I786" s="21">
        <f t="shared" si="1"/>
        <v>238</v>
      </c>
      <c r="J786" s="21"/>
      <c r="K786" s="22"/>
    </row>
    <row r="787" ht="22.5" customHeight="1">
      <c r="A787" s="28">
        <v>46081.0</v>
      </c>
      <c r="B787" s="15" t="s">
        <v>952</v>
      </c>
      <c r="C787" s="13" t="s">
        <v>9</v>
      </c>
      <c r="D787" s="13">
        <v>80.0</v>
      </c>
      <c r="E787" s="15">
        <v>140.0</v>
      </c>
      <c r="F787" s="13" t="s">
        <v>27</v>
      </c>
      <c r="G787" s="15" t="s">
        <v>176</v>
      </c>
      <c r="H787" s="15">
        <v>1240.0</v>
      </c>
      <c r="I787" s="21">
        <f t="shared" si="1"/>
        <v>173.6</v>
      </c>
      <c r="J787" s="21"/>
      <c r="K787" s="22"/>
    </row>
    <row r="788" ht="22.5" customHeight="1">
      <c r="A788" s="28">
        <v>46083.0</v>
      </c>
      <c r="B788" s="15" t="s">
        <v>953</v>
      </c>
      <c r="C788" s="13" t="s">
        <v>9</v>
      </c>
      <c r="D788" s="13">
        <v>80.0</v>
      </c>
      <c r="E788" s="15">
        <v>170.0</v>
      </c>
      <c r="F788" s="13" t="s">
        <v>21</v>
      </c>
      <c r="G788" s="15" t="s">
        <v>89</v>
      </c>
      <c r="H788" s="15">
        <v>2000.0</v>
      </c>
      <c r="I788" s="21">
        <f t="shared" si="1"/>
        <v>340</v>
      </c>
      <c r="J788" s="21"/>
      <c r="K788" s="22"/>
    </row>
    <row r="789" ht="22.5" customHeight="1">
      <c r="A789" s="28">
        <v>46083.0</v>
      </c>
      <c r="B789" s="15" t="s">
        <v>954</v>
      </c>
      <c r="C789" s="13" t="s">
        <v>42</v>
      </c>
      <c r="D789" s="13">
        <v>50.0</v>
      </c>
      <c r="E789" s="15">
        <v>330.0</v>
      </c>
      <c r="F789" s="13" t="s">
        <v>23</v>
      </c>
      <c r="G789" s="15" t="s">
        <v>925</v>
      </c>
      <c r="H789" s="15">
        <v>1000.0</v>
      </c>
      <c r="I789" s="21">
        <f t="shared" si="1"/>
        <v>330</v>
      </c>
      <c r="J789" s="21"/>
      <c r="K789" s="22"/>
    </row>
    <row r="790" ht="22.5" customHeight="1">
      <c r="A790" s="28">
        <v>46083.0</v>
      </c>
      <c r="B790" s="15" t="s">
        <v>955</v>
      </c>
      <c r="C790" s="13" t="s">
        <v>9</v>
      </c>
      <c r="D790" s="13">
        <v>80.0</v>
      </c>
      <c r="E790" s="15">
        <v>180.0</v>
      </c>
      <c r="F790" s="13" t="s">
        <v>21</v>
      </c>
      <c r="G790" s="15" t="s">
        <v>89</v>
      </c>
      <c r="H790" s="15">
        <v>5920.0</v>
      </c>
      <c r="I790" s="21">
        <f t="shared" si="1"/>
        <v>1065.6</v>
      </c>
      <c r="J790" s="21"/>
      <c r="K790" s="22"/>
    </row>
    <row r="791" ht="22.5" customHeight="1">
      <c r="A791" s="28">
        <v>46083.0</v>
      </c>
      <c r="B791" s="15" t="s">
        <v>923</v>
      </c>
      <c r="C791" s="13" t="s">
        <v>9</v>
      </c>
      <c r="D791" s="13">
        <v>80.0</v>
      </c>
      <c r="E791" s="15">
        <v>150.0</v>
      </c>
      <c r="F791" s="13" t="s">
        <v>21</v>
      </c>
      <c r="G791" s="15" t="s">
        <v>89</v>
      </c>
      <c r="H791" s="15">
        <v>750.0</v>
      </c>
      <c r="I791" s="21">
        <f t="shared" si="1"/>
        <v>112.5</v>
      </c>
      <c r="J791" s="21"/>
      <c r="K791" s="22"/>
    </row>
    <row r="792" ht="22.5" customHeight="1">
      <c r="A792" s="28">
        <v>46083.0</v>
      </c>
      <c r="B792" s="15" t="s">
        <v>956</v>
      </c>
      <c r="C792" s="13" t="s">
        <v>57</v>
      </c>
      <c r="D792" s="13">
        <v>80.0</v>
      </c>
      <c r="E792" s="15">
        <v>160.0</v>
      </c>
      <c r="F792" s="13" t="s">
        <v>33</v>
      </c>
      <c r="G792" s="15" t="s">
        <v>957</v>
      </c>
      <c r="H792" s="15">
        <v>310.0</v>
      </c>
      <c r="I792" s="21">
        <f t="shared" si="1"/>
        <v>49.6</v>
      </c>
      <c r="J792" s="21"/>
      <c r="K792" s="22"/>
    </row>
    <row r="793" ht="22.5" customHeight="1">
      <c r="A793" s="28">
        <v>46083.0</v>
      </c>
      <c r="B793" s="15" t="s">
        <v>958</v>
      </c>
      <c r="C793" s="13" t="s">
        <v>57</v>
      </c>
      <c r="D793" s="13">
        <v>80.0</v>
      </c>
      <c r="E793" s="15">
        <v>160.0</v>
      </c>
      <c r="F793" s="13" t="s">
        <v>33</v>
      </c>
      <c r="G793" s="15" t="s">
        <v>957</v>
      </c>
      <c r="H793" s="15">
        <v>570.0</v>
      </c>
      <c r="I793" s="21">
        <f t="shared" si="1"/>
        <v>91.2</v>
      </c>
      <c r="J793" s="21"/>
      <c r="K793" s="22"/>
    </row>
    <row r="794" ht="22.5" customHeight="1">
      <c r="A794" s="28">
        <v>46083.0</v>
      </c>
      <c r="B794" s="15" t="s">
        <v>959</v>
      </c>
      <c r="C794" s="13" t="s">
        <v>57</v>
      </c>
      <c r="D794" s="13">
        <v>80.0</v>
      </c>
      <c r="E794" s="15">
        <v>160.0</v>
      </c>
      <c r="F794" s="13" t="s">
        <v>33</v>
      </c>
      <c r="G794" s="15" t="s">
        <v>957</v>
      </c>
      <c r="H794" s="15">
        <v>2000.0</v>
      </c>
      <c r="I794" s="21">
        <f t="shared" si="1"/>
        <v>320</v>
      </c>
      <c r="J794" s="21"/>
      <c r="K794" s="22"/>
    </row>
    <row r="795" ht="22.5" customHeight="1">
      <c r="A795" s="28">
        <v>46083.0</v>
      </c>
      <c r="B795" s="15" t="s">
        <v>960</v>
      </c>
      <c r="C795" s="13" t="s">
        <v>57</v>
      </c>
      <c r="D795" s="13">
        <v>80.0</v>
      </c>
      <c r="E795" s="15">
        <v>160.0</v>
      </c>
      <c r="F795" s="13" t="s">
        <v>33</v>
      </c>
      <c r="G795" s="15" t="s">
        <v>957</v>
      </c>
      <c r="H795" s="15">
        <v>1590.0</v>
      </c>
      <c r="I795" s="21">
        <f t="shared" si="1"/>
        <v>254.4</v>
      </c>
      <c r="J795" s="21"/>
      <c r="K795" s="22"/>
    </row>
    <row r="796" ht="22.5" customHeight="1">
      <c r="A796" s="28">
        <v>46085.0</v>
      </c>
      <c r="B796" s="15" t="s">
        <v>961</v>
      </c>
      <c r="C796" s="13" t="s">
        <v>57</v>
      </c>
      <c r="D796" s="13">
        <v>80.0</v>
      </c>
      <c r="E796" s="15">
        <v>160.0</v>
      </c>
      <c r="F796" s="13" t="s">
        <v>33</v>
      </c>
      <c r="G796" s="15" t="s">
        <v>957</v>
      </c>
      <c r="H796" s="15">
        <v>1220.0</v>
      </c>
      <c r="I796" s="21">
        <f t="shared" si="1"/>
        <v>195.2</v>
      </c>
      <c r="J796" s="21"/>
      <c r="K796" s="22"/>
    </row>
    <row r="797" ht="22.5" customHeight="1">
      <c r="A797" s="28">
        <v>46085.0</v>
      </c>
      <c r="B797" s="15" t="s">
        <v>962</v>
      </c>
      <c r="C797" s="13" t="s">
        <v>57</v>
      </c>
      <c r="D797" s="13">
        <v>80.0</v>
      </c>
      <c r="E797" s="15">
        <v>160.0</v>
      </c>
      <c r="F797" s="13" t="s">
        <v>33</v>
      </c>
      <c r="G797" s="15" t="s">
        <v>957</v>
      </c>
      <c r="H797" s="15">
        <v>850.0</v>
      </c>
      <c r="I797" s="21">
        <f t="shared" si="1"/>
        <v>136</v>
      </c>
      <c r="J797" s="21"/>
      <c r="K797" s="22"/>
    </row>
    <row r="798" ht="22.5" customHeight="1">
      <c r="A798" s="28">
        <v>46085.0</v>
      </c>
      <c r="B798" s="15" t="s">
        <v>963</v>
      </c>
      <c r="C798" s="13" t="s">
        <v>9</v>
      </c>
      <c r="D798" s="13">
        <v>80.0</v>
      </c>
      <c r="E798" s="15">
        <v>125.0</v>
      </c>
      <c r="F798" s="13" t="s">
        <v>21</v>
      </c>
      <c r="G798" s="15" t="s">
        <v>89</v>
      </c>
      <c r="H798" s="15">
        <v>3400.0</v>
      </c>
      <c r="I798" s="21">
        <f t="shared" si="1"/>
        <v>425</v>
      </c>
      <c r="J798" s="21"/>
      <c r="K798" s="22"/>
    </row>
    <row r="799" ht="22.5" customHeight="1">
      <c r="A799" s="28">
        <v>46085.0</v>
      </c>
      <c r="B799" s="15" t="s">
        <v>964</v>
      </c>
      <c r="C799" s="13" t="s">
        <v>9</v>
      </c>
      <c r="D799" s="13">
        <v>80.0</v>
      </c>
      <c r="E799" s="15">
        <v>125.0</v>
      </c>
      <c r="F799" s="13" t="s">
        <v>21</v>
      </c>
      <c r="G799" s="15" t="s">
        <v>89</v>
      </c>
      <c r="H799" s="15">
        <v>4000.0</v>
      </c>
      <c r="I799" s="21">
        <f t="shared" si="1"/>
        <v>500</v>
      </c>
      <c r="J799" s="21"/>
      <c r="K799" s="22"/>
    </row>
    <row r="800" ht="22.5" customHeight="1">
      <c r="A800" s="28">
        <v>46085.0</v>
      </c>
      <c r="B800" s="15" t="s">
        <v>965</v>
      </c>
      <c r="C800" s="13" t="s">
        <v>9</v>
      </c>
      <c r="D800" s="13">
        <v>80.0</v>
      </c>
      <c r="E800" s="15">
        <v>125.0</v>
      </c>
      <c r="F800" s="13" t="s">
        <v>21</v>
      </c>
      <c r="G800" s="15" t="s">
        <v>89</v>
      </c>
      <c r="H800" s="15">
        <v>2550.0</v>
      </c>
      <c r="I800" s="21">
        <f t="shared" si="1"/>
        <v>318.75</v>
      </c>
      <c r="J800" s="21"/>
      <c r="K800" s="22"/>
    </row>
    <row r="801" ht="22.5" customHeight="1">
      <c r="A801" s="28">
        <v>46085.0</v>
      </c>
      <c r="B801" s="15" t="s">
        <v>966</v>
      </c>
      <c r="C801" s="13" t="s">
        <v>9</v>
      </c>
      <c r="D801" s="13">
        <v>80.0</v>
      </c>
      <c r="E801" s="15">
        <v>300.0</v>
      </c>
      <c r="F801" s="13" t="s">
        <v>21</v>
      </c>
      <c r="G801" s="15" t="s">
        <v>89</v>
      </c>
      <c r="H801" s="15">
        <v>12000.0</v>
      </c>
      <c r="I801" s="21">
        <f t="shared" si="1"/>
        <v>3600</v>
      </c>
      <c r="J801" s="21"/>
      <c r="K801" s="22"/>
    </row>
    <row r="802" ht="22.5" customHeight="1">
      <c r="A802" s="28">
        <v>46085.0</v>
      </c>
      <c r="B802" s="15" t="s">
        <v>967</v>
      </c>
      <c r="C802" s="13" t="s">
        <v>9</v>
      </c>
      <c r="D802" s="13">
        <v>80.0</v>
      </c>
      <c r="E802" s="15">
        <v>330.0</v>
      </c>
      <c r="F802" s="13" t="s">
        <v>21</v>
      </c>
      <c r="G802" s="15" t="s">
        <v>89</v>
      </c>
      <c r="H802" s="15">
        <v>1600.0</v>
      </c>
      <c r="I802" s="21">
        <f t="shared" si="1"/>
        <v>528</v>
      </c>
      <c r="J802" s="21"/>
      <c r="K802" s="22"/>
    </row>
    <row r="803" ht="22.5" customHeight="1">
      <c r="A803" s="28">
        <v>46087.0</v>
      </c>
      <c r="B803" s="15" t="s">
        <v>968</v>
      </c>
      <c r="C803" s="13" t="s">
        <v>9</v>
      </c>
      <c r="D803" s="13">
        <v>80.0</v>
      </c>
      <c r="E803" s="15">
        <v>160.0</v>
      </c>
      <c r="F803" s="13" t="s">
        <v>27</v>
      </c>
      <c r="G803" s="15" t="s">
        <v>99</v>
      </c>
      <c r="H803" s="15">
        <v>1510.0</v>
      </c>
      <c r="I803" s="21">
        <f t="shared" si="1"/>
        <v>241.6</v>
      </c>
      <c r="J803" s="21"/>
      <c r="K803" s="22"/>
    </row>
    <row r="804" ht="22.5" customHeight="1">
      <c r="A804" s="28">
        <v>46087.0</v>
      </c>
      <c r="B804" s="15" t="s">
        <v>969</v>
      </c>
      <c r="C804" s="13" t="s">
        <v>9</v>
      </c>
      <c r="D804" s="13">
        <v>80.0</v>
      </c>
      <c r="E804" s="15">
        <v>230.0</v>
      </c>
      <c r="F804" s="13" t="s">
        <v>21</v>
      </c>
      <c r="G804" s="15" t="s">
        <v>193</v>
      </c>
      <c r="H804" s="15">
        <v>13000.0</v>
      </c>
      <c r="I804" s="21">
        <f t="shared" si="1"/>
        <v>2990</v>
      </c>
      <c r="J804" s="21"/>
      <c r="K804" s="22"/>
    </row>
    <row r="805" ht="22.5" customHeight="1">
      <c r="A805" s="28">
        <v>46087.0</v>
      </c>
      <c r="B805" s="15" t="s">
        <v>970</v>
      </c>
      <c r="C805" s="13" t="s">
        <v>9</v>
      </c>
      <c r="D805" s="13">
        <v>80.0</v>
      </c>
      <c r="E805" s="15">
        <v>290.0</v>
      </c>
      <c r="F805" s="13" t="s">
        <v>21</v>
      </c>
      <c r="G805" s="15" t="s">
        <v>89</v>
      </c>
      <c r="H805" s="15">
        <v>9750.0</v>
      </c>
      <c r="I805" s="21">
        <f t="shared" si="1"/>
        <v>2827.5</v>
      </c>
      <c r="J805" s="21"/>
      <c r="K805" s="22"/>
    </row>
    <row r="806" ht="22.5" customHeight="1">
      <c r="A806" s="28">
        <v>46087.0</v>
      </c>
      <c r="B806" s="15" t="s">
        <v>971</v>
      </c>
      <c r="C806" s="13" t="s">
        <v>26</v>
      </c>
      <c r="D806" s="13">
        <v>80.0</v>
      </c>
      <c r="E806" s="15">
        <v>142.0</v>
      </c>
      <c r="F806" s="13" t="s">
        <v>23</v>
      </c>
      <c r="G806" s="15" t="s">
        <v>99</v>
      </c>
      <c r="H806" s="15">
        <v>700.0</v>
      </c>
      <c r="I806" s="21">
        <f t="shared" si="1"/>
        <v>99.4</v>
      </c>
      <c r="J806" s="21"/>
      <c r="K806" s="22"/>
    </row>
    <row r="807" ht="22.5" customHeight="1">
      <c r="A807" s="28">
        <v>46087.0</v>
      </c>
      <c r="B807" s="15" t="s">
        <v>971</v>
      </c>
      <c r="C807" s="13" t="s">
        <v>26</v>
      </c>
      <c r="D807" s="13">
        <v>80.0</v>
      </c>
      <c r="E807" s="15">
        <v>150.0</v>
      </c>
      <c r="F807" s="38"/>
      <c r="G807" s="15" t="s">
        <v>99</v>
      </c>
      <c r="H807" s="15">
        <v>1500.0</v>
      </c>
      <c r="I807" s="21">
        <f t="shared" si="1"/>
        <v>225</v>
      </c>
      <c r="J807" s="15" t="s">
        <v>1187</v>
      </c>
      <c r="K807" s="22"/>
    </row>
    <row r="808" ht="22.5" customHeight="1">
      <c r="A808" s="28">
        <v>46088.0</v>
      </c>
      <c r="B808" s="15" t="s">
        <v>972</v>
      </c>
      <c r="C808" s="13" t="s">
        <v>9</v>
      </c>
      <c r="D808" s="13">
        <v>80.0</v>
      </c>
      <c r="E808" s="15">
        <v>140.0</v>
      </c>
      <c r="F808" s="13" t="s">
        <v>27</v>
      </c>
      <c r="G808" s="15" t="s">
        <v>973</v>
      </c>
      <c r="H808" s="15">
        <v>350.0</v>
      </c>
      <c r="I808" s="21">
        <f t="shared" si="1"/>
        <v>49</v>
      </c>
      <c r="J808" s="21"/>
      <c r="K808" s="22"/>
    </row>
    <row r="809" ht="22.5" customHeight="1">
      <c r="A809" s="28">
        <v>46088.0</v>
      </c>
      <c r="B809" s="15" t="s">
        <v>972</v>
      </c>
      <c r="C809" s="13" t="s">
        <v>9</v>
      </c>
      <c r="D809" s="13">
        <v>80.0</v>
      </c>
      <c r="E809" s="15">
        <v>160.0</v>
      </c>
      <c r="F809" s="13" t="s">
        <v>27</v>
      </c>
      <c r="G809" s="15" t="s">
        <v>973</v>
      </c>
      <c r="H809" s="15">
        <v>750.0</v>
      </c>
      <c r="I809" s="21">
        <f t="shared" si="1"/>
        <v>120</v>
      </c>
      <c r="J809" s="21"/>
      <c r="K809" s="22"/>
    </row>
    <row r="810" ht="22.5" customHeight="1">
      <c r="A810" s="28">
        <v>46088.0</v>
      </c>
      <c r="B810" s="15" t="s">
        <v>974</v>
      </c>
      <c r="C810" s="13" t="s">
        <v>9</v>
      </c>
      <c r="D810" s="13">
        <v>80.0</v>
      </c>
      <c r="E810" s="15">
        <v>220.0</v>
      </c>
      <c r="F810" s="13" t="s">
        <v>27</v>
      </c>
      <c r="G810" s="15" t="s">
        <v>99</v>
      </c>
      <c r="H810" s="15">
        <v>1500.0</v>
      </c>
      <c r="I810" s="21">
        <f t="shared" si="1"/>
        <v>330</v>
      </c>
      <c r="J810" s="21"/>
      <c r="K810" s="22"/>
    </row>
    <row r="811" ht="22.5" customHeight="1">
      <c r="A811" s="28">
        <v>46088.0</v>
      </c>
      <c r="B811" s="15" t="s">
        <v>975</v>
      </c>
      <c r="C811" s="13" t="s">
        <v>9</v>
      </c>
      <c r="D811" s="13">
        <v>80.0</v>
      </c>
      <c r="E811" s="15">
        <v>140.0</v>
      </c>
      <c r="F811" s="13" t="s">
        <v>27</v>
      </c>
      <c r="G811" s="15" t="s">
        <v>99</v>
      </c>
      <c r="H811" s="15">
        <v>1700.0</v>
      </c>
      <c r="I811" s="21">
        <f t="shared" si="1"/>
        <v>238</v>
      </c>
      <c r="J811" s="21"/>
      <c r="K811" s="22"/>
    </row>
    <row r="812" ht="22.5" customHeight="1">
      <c r="A812" s="28">
        <v>46088.0</v>
      </c>
      <c r="B812" s="15" t="s">
        <v>976</v>
      </c>
      <c r="C812" s="13" t="s">
        <v>9</v>
      </c>
      <c r="D812" s="13">
        <v>80.0</v>
      </c>
      <c r="E812" s="15">
        <v>230.0</v>
      </c>
      <c r="F812" s="13" t="s">
        <v>27</v>
      </c>
      <c r="G812" s="15" t="s">
        <v>99</v>
      </c>
      <c r="H812" s="15">
        <v>1500.0</v>
      </c>
      <c r="I812" s="21">
        <f t="shared" si="1"/>
        <v>345</v>
      </c>
      <c r="J812" s="21"/>
      <c r="K812" s="22"/>
    </row>
    <row r="813" ht="22.5" customHeight="1">
      <c r="A813" s="28">
        <v>46088.0</v>
      </c>
      <c r="B813" s="15" t="s">
        <v>977</v>
      </c>
      <c r="C813" s="13" t="s">
        <v>43</v>
      </c>
      <c r="D813" s="13">
        <v>50.0</v>
      </c>
      <c r="E813" s="15">
        <v>125.0</v>
      </c>
      <c r="F813" s="13" t="s">
        <v>27</v>
      </c>
      <c r="G813" s="15" t="s">
        <v>176</v>
      </c>
      <c r="H813" s="15">
        <v>2030.0</v>
      </c>
      <c r="I813" s="21">
        <f t="shared" si="1"/>
        <v>253.75</v>
      </c>
      <c r="J813" s="21"/>
      <c r="K813" s="22"/>
    </row>
    <row r="814" ht="22.5" customHeight="1">
      <c r="A814" s="28">
        <v>46088.0</v>
      </c>
      <c r="B814" s="15" t="s">
        <v>978</v>
      </c>
      <c r="C814" s="13" t="s">
        <v>43</v>
      </c>
      <c r="D814" s="13">
        <v>50.0</v>
      </c>
      <c r="E814" s="15">
        <v>125.0</v>
      </c>
      <c r="F814" s="13" t="s">
        <v>27</v>
      </c>
      <c r="G814" s="15" t="s">
        <v>176</v>
      </c>
      <c r="H814" s="15">
        <v>2930.0</v>
      </c>
      <c r="I814" s="21">
        <f t="shared" si="1"/>
        <v>366.25</v>
      </c>
      <c r="J814" s="21"/>
      <c r="K814" s="22"/>
    </row>
    <row r="815" ht="22.5" customHeight="1">
      <c r="A815" s="28">
        <v>46090.0</v>
      </c>
      <c r="B815" s="15" t="s">
        <v>979</v>
      </c>
      <c r="C815" s="13" t="s">
        <v>9</v>
      </c>
      <c r="D815" s="13">
        <v>80.0</v>
      </c>
      <c r="E815" s="15">
        <v>260.0</v>
      </c>
      <c r="F815" s="13" t="s">
        <v>27</v>
      </c>
      <c r="G815" s="15" t="s">
        <v>99</v>
      </c>
      <c r="H815" s="15">
        <v>2580.0</v>
      </c>
      <c r="I815" s="21">
        <f t="shared" si="1"/>
        <v>670.8</v>
      </c>
      <c r="J815" s="21"/>
      <c r="K815" s="22"/>
    </row>
    <row r="816" ht="22.5" customHeight="1">
      <c r="A816" s="28">
        <v>46090.0</v>
      </c>
      <c r="B816" s="15" t="s">
        <v>980</v>
      </c>
      <c r="C816" s="13" t="s">
        <v>43</v>
      </c>
      <c r="D816" s="13">
        <v>50.0</v>
      </c>
      <c r="E816" s="15">
        <v>125.0</v>
      </c>
      <c r="F816" s="13" t="s">
        <v>27</v>
      </c>
      <c r="G816" s="15" t="s">
        <v>176</v>
      </c>
      <c r="H816" s="15">
        <v>1750.0</v>
      </c>
      <c r="I816" s="21">
        <f t="shared" si="1"/>
        <v>218.75</v>
      </c>
      <c r="J816" s="21"/>
      <c r="K816" s="22"/>
    </row>
    <row r="817" ht="22.5" customHeight="1">
      <c r="A817" s="28">
        <v>46090.0</v>
      </c>
      <c r="B817" s="15" t="s">
        <v>981</v>
      </c>
      <c r="C817" s="13" t="s">
        <v>43</v>
      </c>
      <c r="D817" s="13">
        <v>50.0</v>
      </c>
      <c r="E817" s="15">
        <v>125.0</v>
      </c>
      <c r="F817" s="13" t="s">
        <v>27</v>
      </c>
      <c r="G817" s="15" t="s">
        <v>884</v>
      </c>
      <c r="H817" s="15">
        <v>1600.0</v>
      </c>
      <c r="I817" s="21">
        <f t="shared" si="1"/>
        <v>200</v>
      </c>
      <c r="J817" s="21"/>
      <c r="K817" s="22"/>
    </row>
    <row r="818" ht="22.5" customHeight="1">
      <c r="A818" s="28">
        <v>46090.0</v>
      </c>
      <c r="B818" s="15" t="s">
        <v>982</v>
      </c>
      <c r="C818" s="13" t="s">
        <v>49</v>
      </c>
      <c r="D818" s="13">
        <v>120.0</v>
      </c>
      <c r="E818" s="15">
        <v>235.0</v>
      </c>
      <c r="F818" s="13" t="s">
        <v>27</v>
      </c>
      <c r="G818" s="15" t="s">
        <v>949</v>
      </c>
      <c r="H818" s="15">
        <v>1160.0</v>
      </c>
      <c r="I818" s="21">
        <f t="shared" si="1"/>
        <v>272.6</v>
      </c>
      <c r="J818" s="21"/>
      <c r="K818" s="22"/>
    </row>
    <row r="819" ht="22.5" customHeight="1">
      <c r="A819" s="28">
        <v>46090.0</v>
      </c>
      <c r="B819" s="15" t="s">
        <v>983</v>
      </c>
      <c r="C819" s="13" t="s">
        <v>9</v>
      </c>
      <c r="D819" s="13">
        <v>80.0</v>
      </c>
      <c r="E819" s="15">
        <v>225.0</v>
      </c>
      <c r="F819" s="13" t="s">
        <v>21</v>
      </c>
      <c r="G819" s="15" t="s">
        <v>193</v>
      </c>
      <c r="H819" s="15">
        <v>10500.0</v>
      </c>
      <c r="I819" s="21">
        <f t="shared" si="1"/>
        <v>2362.5</v>
      </c>
      <c r="J819" s="21"/>
      <c r="K819" s="22"/>
    </row>
    <row r="820" ht="22.5" customHeight="1">
      <c r="A820" s="28">
        <v>46091.0</v>
      </c>
      <c r="B820" s="15" t="s">
        <v>984</v>
      </c>
      <c r="C820" s="13" t="s">
        <v>42</v>
      </c>
      <c r="D820" s="13">
        <v>50.0</v>
      </c>
      <c r="E820" s="15">
        <v>205.0</v>
      </c>
      <c r="F820" s="38"/>
      <c r="G820" s="15" t="s">
        <v>166</v>
      </c>
      <c r="H820" s="15">
        <v>1500.0</v>
      </c>
      <c r="I820" s="21">
        <f t="shared" si="1"/>
        <v>307.5</v>
      </c>
      <c r="J820" s="15" t="s">
        <v>1188</v>
      </c>
      <c r="K820" s="22"/>
    </row>
    <row r="821" ht="22.5" customHeight="1">
      <c r="A821" s="28">
        <v>46091.0</v>
      </c>
      <c r="B821" s="15" t="s">
        <v>985</v>
      </c>
      <c r="C821" s="13" t="s">
        <v>9</v>
      </c>
      <c r="D821" s="13">
        <v>80.0</v>
      </c>
      <c r="E821" s="15">
        <v>230.0</v>
      </c>
      <c r="F821" s="13" t="s">
        <v>21</v>
      </c>
      <c r="G821" s="15" t="s">
        <v>193</v>
      </c>
      <c r="H821" s="15">
        <v>23900.0</v>
      </c>
      <c r="I821" s="21">
        <f t="shared" si="1"/>
        <v>5497</v>
      </c>
      <c r="J821" s="21"/>
      <c r="K821" s="22"/>
    </row>
    <row r="822" ht="22.5" customHeight="1">
      <c r="A822" s="28">
        <v>46091.0</v>
      </c>
      <c r="B822" s="15" t="s">
        <v>986</v>
      </c>
      <c r="C822" s="13" t="s">
        <v>9</v>
      </c>
      <c r="D822" s="13">
        <v>80.0</v>
      </c>
      <c r="E822" s="15">
        <v>230.0</v>
      </c>
      <c r="F822" s="13" t="s">
        <v>21</v>
      </c>
      <c r="G822" s="15" t="s">
        <v>193</v>
      </c>
      <c r="H822" s="15">
        <v>13600.0</v>
      </c>
      <c r="I822" s="21">
        <f t="shared" si="1"/>
        <v>3128</v>
      </c>
      <c r="J822" s="21"/>
      <c r="K822" s="22"/>
    </row>
    <row r="823" ht="22.5" customHeight="1">
      <c r="A823" s="28">
        <v>46092.0</v>
      </c>
      <c r="B823" s="15" t="s">
        <v>987</v>
      </c>
      <c r="C823" s="13" t="s">
        <v>26</v>
      </c>
      <c r="D823" s="13">
        <v>80.0</v>
      </c>
      <c r="E823" s="15">
        <v>300.0</v>
      </c>
      <c r="F823" s="38"/>
      <c r="G823" s="15" t="s">
        <v>217</v>
      </c>
      <c r="H823" s="15">
        <v>2000.0</v>
      </c>
      <c r="I823" s="21">
        <f t="shared" si="1"/>
        <v>600</v>
      </c>
      <c r="J823" s="15" t="s">
        <v>1188</v>
      </c>
      <c r="K823" s="22"/>
    </row>
    <row r="824" ht="22.5" customHeight="1">
      <c r="A824" s="28">
        <v>46092.0</v>
      </c>
      <c r="B824" s="15" t="s">
        <v>988</v>
      </c>
      <c r="C824" s="13" t="s">
        <v>26</v>
      </c>
      <c r="D824" s="13">
        <v>80.0</v>
      </c>
      <c r="E824" s="15">
        <v>165.0</v>
      </c>
      <c r="F824" s="38"/>
      <c r="G824" s="15" t="s">
        <v>217</v>
      </c>
      <c r="H824" s="15">
        <v>940.0</v>
      </c>
      <c r="I824" s="21">
        <f t="shared" si="1"/>
        <v>155.1</v>
      </c>
      <c r="J824" s="21"/>
      <c r="K824" s="22"/>
    </row>
    <row r="825" ht="22.5" customHeight="1">
      <c r="A825" s="28">
        <v>46092.0</v>
      </c>
      <c r="B825" s="15" t="s">
        <v>988</v>
      </c>
      <c r="C825" s="13" t="s">
        <v>26</v>
      </c>
      <c r="D825" s="13">
        <v>80.0</v>
      </c>
      <c r="E825" s="15">
        <v>280.0</v>
      </c>
      <c r="F825" s="13" t="s">
        <v>21</v>
      </c>
      <c r="G825" s="15" t="s">
        <v>217</v>
      </c>
      <c r="H825" s="15">
        <v>200.0</v>
      </c>
      <c r="I825" s="21">
        <f t="shared" si="1"/>
        <v>56</v>
      </c>
      <c r="J825" s="21"/>
      <c r="K825" s="22"/>
    </row>
    <row r="826" ht="22.5" customHeight="1">
      <c r="A826" s="28">
        <v>46092.0</v>
      </c>
      <c r="B826" s="15" t="s">
        <v>989</v>
      </c>
      <c r="C826" s="13" t="s">
        <v>26</v>
      </c>
      <c r="D826" s="13">
        <v>80.0</v>
      </c>
      <c r="E826" s="15">
        <v>280.0</v>
      </c>
      <c r="F826" s="38"/>
      <c r="G826" s="15" t="s">
        <v>217</v>
      </c>
      <c r="H826" s="15">
        <v>1510.0</v>
      </c>
      <c r="I826" s="21">
        <f t="shared" si="1"/>
        <v>422.8</v>
      </c>
      <c r="J826" s="21"/>
      <c r="K826" s="22"/>
    </row>
    <row r="827" ht="22.5" customHeight="1">
      <c r="A827" s="28">
        <v>46092.0</v>
      </c>
      <c r="B827" s="15" t="s">
        <v>990</v>
      </c>
      <c r="C827" s="13" t="s">
        <v>26</v>
      </c>
      <c r="D827" s="13">
        <v>80.0</v>
      </c>
      <c r="E827" s="15">
        <v>165.0</v>
      </c>
      <c r="F827" s="38"/>
      <c r="G827" s="15" t="s">
        <v>217</v>
      </c>
      <c r="H827" s="15">
        <v>4970.0</v>
      </c>
      <c r="I827" s="21">
        <f t="shared" si="1"/>
        <v>820.05</v>
      </c>
      <c r="J827" s="21"/>
      <c r="K827" s="22"/>
    </row>
    <row r="828" ht="22.5" customHeight="1">
      <c r="A828" s="28">
        <v>46092.0</v>
      </c>
      <c r="B828" s="15" t="s">
        <v>991</v>
      </c>
      <c r="C828" s="13" t="s">
        <v>9</v>
      </c>
      <c r="D828" s="13">
        <v>80.0</v>
      </c>
      <c r="E828" s="15">
        <v>140.0</v>
      </c>
      <c r="F828" s="13" t="s">
        <v>27</v>
      </c>
      <c r="G828" s="15" t="s">
        <v>176</v>
      </c>
      <c r="H828" s="15">
        <v>1410.0</v>
      </c>
      <c r="I828" s="21">
        <f t="shared" si="1"/>
        <v>197.4</v>
      </c>
      <c r="J828" s="21"/>
      <c r="K828" s="22"/>
    </row>
    <row r="829" ht="22.5" customHeight="1">
      <c r="A829" s="28">
        <v>46093.0</v>
      </c>
      <c r="B829" s="15" t="s">
        <v>992</v>
      </c>
      <c r="C829" s="13" t="s">
        <v>26</v>
      </c>
      <c r="D829" s="13">
        <v>80.0</v>
      </c>
      <c r="E829" s="15">
        <v>265.0</v>
      </c>
      <c r="F829" s="38"/>
      <c r="G829" s="15" t="s">
        <v>217</v>
      </c>
      <c r="H829" s="15">
        <v>1510.0</v>
      </c>
      <c r="I829" s="21">
        <f t="shared" si="1"/>
        <v>400.15</v>
      </c>
      <c r="J829" s="21"/>
      <c r="K829" s="22"/>
    </row>
    <row r="830" ht="22.5" customHeight="1">
      <c r="A830" s="28">
        <v>46093.0</v>
      </c>
      <c r="B830" s="15" t="s">
        <v>993</v>
      </c>
      <c r="C830" s="13" t="s">
        <v>26</v>
      </c>
      <c r="D830" s="13">
        <v>80.0</v>
      </c>
      <c r="E830" s="15">
        <v>245.0</v>
      </c>
      <c r="F830" s="38"/>
      <c r="G830" s="15" t="s">
        <v>217</v>
      </c>
      <c r="H830" s="15">
        <v>1100.0</v>
      </c>
      <c r="I830" s="21">
        <f t="shared" si="1"/>
        <v>269.5</v>
      </c>
      <c r="J830" s="21"/>
      <c r="K830" s="22"/>
    </row>
    <row r="831" ht="22.5" customHeight="1">
      <c r="A831" s="28">
        <v>46093.0</v>
      </c>
      <c r="B831" s="15" t="s">
        <v>994</v>
      </c>
      <c r="C831" s="13" t="s">
        <v>26</v>
      </c>
      <c r="D831" s="13">
        <v>80.0</v>
      </c>
      <c r="E831" s="15">
        <v>265.0</v>
      </c>
      <c r="F831" s="38"/>
      <c r="G831" s="15" t="s">
        <v>217</v>
      </c>
      <c r="H831" s="15">
        <v>1000.0</v>
      </c>
      <c r="I831" s="21">
        <f t="shared" si="1"/>
        <v>265</v>
      </c>
      <c r="J831" s="21"/>
      <c r="K831" s="22"/>
    </row>
    <row r="832" ht="22.5" customHeight="1">
      <c r="A832" s="28">
        <v>46093.0</v>
      </c>
      <c r="B832" s="15" t="s">
        <v>995</v>
      </c>
      <c r="C832" s="13" t="s">
        <v>26</v>
      </c>
      <c r="D832" s="13">
        <v>80.0</v>
      </c>
      <c r="E832" s="15">
        <v>245.0</v>
      </c>
      <c r="F832" s="38"/>
      <c r="G832" s="15" t="s">
        <v>217</v>
      </c>
      <c r="H832" s="15">
        <v>1930.0</v>
      </c>
      <c r="I832" s="21">
        <f t="shared" si="1"/>
        <v>472.85</v>
      </c>
      <c r="J832" s="21"/>
      <c r="K832" s="22"/>
    </row>
    <row r="833" ht="22.5" customHeight="1">
      <c r="A833" s="28">
        <v>46093.0</v>
      </c>
      <c r="B833" s="15" t="s">
        <v>996</v>
      </c>
      <c r="C833" s="13" t="s">
        <v>26</v>
      </c>
      <c r="D833" s="13">
        <v>80.0</v>
      </c>
      <c r="E833" s="15">
        <v>150.0</v>
      </c>
      <c r="F833" s="38"/>
      <c r="G833" s="15" t="s">
        <v>217</v>
      </c>
      <c r="H833" s="15">
        <v>2710.0</v>
      </c>
      <c r="I833" s="21">
        <f t="shared" si="1"/>
        <v>406.5</v>
      </c>
      <c r="J833" s="21"/>
      <c r="K833" s="22"/>
    </row>
    <row r="834" ht="22.5" customHeight="1">
      <c r="A834" s="28">
        <v>46093.0</v>
      </c>
      <c r="B834" s="15" t="s">
        <v>997</v>
      </c>
      <c r="C834" s="13" t="s">
        <v>42</v>
      </c>
      <c r="D834" s="13">
        <v>50.0</v>
      </c>
      <c r="E834" s="15">
        <v>195.0</v>
      </c>
      <c r="F834" s="13" t="s">
        <v>23</v>
      </c>
      <c r="G834" s="15" t="s">
        <v>884</v>
      </c>
      <c r="H834" s="15">
        <v>500.0</v>
      </c>
      <c r="I834" s="21">
        <f t="shared" si="1"/>
        <v>97.5</v>
      </c>
      <c r="J834" s="21"/>
      <c r="K834" s="22"/>
    </row>
    <row r="835" ht="22.5" customHeight="1">
      <c r="A835" s="28">
        <v>46094.0</v>
      </c>
      <c r="B835" s="15" t="s">
        <v>998</v>
      </c>
      <c r="C835" s="13" t="s">
        <v>26</v>
      </c>
      <c r="D835" s="13">
        <v>80.0</v>
      </c>
      <c r="E835" s="15">
        <v>250.0</v>
      </c>
      <c r="F835" s="38"/>
      <c r="G835" s="15" t="s">
        <v>217</v>
      </c>
      <c r="H835" s="15">
        <v>400.0</v>
      </c>
      <c r="I835" s="21">
        <f t="shared" si="1"/>
        <v>100</v>
      </c>
      <c r="J835" s="21"/>
      <c r="K835" s="22"/>
    </row>
    <row r="836" ht="22.5" customHeight="1">
      <c r="A836" s="28">
        <v>46094.0</v>
      </c>
      <c r="B836" s="15" t="s">
        <v>998</v>
      </c>
      <c r="C836" s="13" t="s">
        <v>26</v>
      </c>
      <c r="D836" s="13">
        <v>80.0</v>
      </c>
      <c r="E836" s="15">
        <v>300.0</v>
      </c>
      <c r="F836" s="38"/>
      <c r="G836" s="15" t="s">
        <v>217</v>
      </c>
      <c r="H836" s="15">
        <v>200.0</v>
      </c>
      <c r="I836" s="21">
        <f t="shared" si="1"/>
        <v>60</v>
      </c>
      <c r="J836" s="21"/>
      <c r="K836" s="22"/>
    </row>
    <row r="837" ht="22.5" customHeight="1">
      <c r="A837" s="28">
        <v>46094.0</v>
      </c>
      <c r="B837" s="15" t="s">
        <v>992</v>
      </c>
      <c r="C837" s="13" t="s">
        <v>26</v>
      </c>
      <c r="D837" s="13">
        <v>80.0</v>
      </c>
      <c r="E837" s="15">
        <v>265.0</v>
      </c>
      <c r="F837" s="13"/>
      <c r="G837" s="15" t="s">
        <v>217</v>
      </c>
      <c r="H837" s="15">
        <v>1510.0</v>
      </c>
      <c r="I837" s="21">
        <f t="shared" si="1"/>
        <v>400.15</v>
      </c>
      <c r="J837" s="21"/>
      <c r="K837" s="22"/>
    </row>
    <row r="838" ht="22.5" customHeight="1">
      <c r="A838" s="28">
        <v>46094.0</v>
      </c>
      <c r="B838" s="15" t="s">
        <v>999</v>
      </c>
      <c r="C838" s="13" t="s">
        <v>9</v>
      </c>
      <c r="D838" s="13">
        <v>80.0</v>
      </c>
      <c r="E838" s="15">
        <v>170.0</v>
      </c>
      <c r="F838" s="13" t="s">
        <v>21</v>
      </c>
      <c r="G838" s="15" t="s">
        <v>1000</v>
      </c>
      <c r="H838" s="15">
        <v>2000.0</v>
      </c>
      <c r="I838" s="21">
        <f t="shared" si="1"/>
        <v>340</v>
      </c>
      <c r="J838" s="21"/>
      <c r="K838" s="22"/>
    </row>
    <row r="839" ht="22.5" customHeight="1">
      <c r="A839" s="28">
        <v>46094.0</v>
      </c>
      <c r="B839" s="15" t="s">
        <v>1001</v>
      </c>
      <c r="C839" s="13" t="s">
        <v>9</v>
      </c>
      <c r="D839" s="13">
        <v>80.0</v>
      </c>
      <c r="E839" s="15">
        <v>170.0</v>
      </c>
      <c r="F839" s="13" t="s">
        <v>21</v>
      </c>
      <c r="G839" s="15" t="s">
        <v>1000</v>
      </c>
      <c r="H839" s="15">
        <v>1560.0</v>
      </c>
      <c r="I839" s="21">
        <f t="shared" si="1"/>
        <v>265.2</v>
      </c>
      <c r="J839" s="21"/>
      <c r="K839" s="22"/>
    </row>
    <row r="840" ht="22.5" customHeight="1">
      <c r="A840" s="28">
        <v>46094.0</v>
      </c>
      <c r="B840" s="15" t="s">
        <v>1002</v>
      </c>
      <c r="C840" s="13" t="s">
        <v>9</v>
      </c>
      <c r="D840" s="13">
        <v>80.0</v>
      </c>
      <c r="E840" s="15">
        <v>140.0</v>
      </c>
      <c r="F840" s="13" t="s">
        <v>27</v>
      </c>
      <c r="G840" s="15" t="s">
        <v>99</v>
      </c>
      <c r="H840" s="15">
        <v>2060.0</v>
      </c>
      <c r="I840" s="21">
        <f t="shared" si="1"/>
        <v>288.4</v>
      </c>
      <c r="J840" s="21"/>
      <c r="K840" s="22"/>
    </row>
    <row r="841" ht="22.5" customHeight="1">
      <c r="A841" s="28">
        <v>46094.0</v>
      </c>
      <c r="B841" s="15" t="s">
        <v>1003</v>
      </c>
      <c r="C841" s="13" t="s">
        <v>9</v>
      </c>
      <c r="D841" s="13">
        <v>80.0</v>
      </c>
      <c r="E841" s="15">
        <v>140.0</v>
      </c>
      <c r="F841" s="13" t="s">
        <v>27</v>
      </c>
      <c r="G841" s="15" t="s">
        <v>176</v>
      </c>
      <c r="H841" s="15">
        <v>1410.0</v>
      </c>
      <c r="I841" s="21">
        <f t="shared" si="1"/>
        <v>197.4</v>
      </c>
      <c r="J841" s="21"/>
      <c r="K841" s="22"/>
    </row>
    <row r="842" ht="22.5" customHeight="1">
      <c r="A842" s="28">
        <v>46094.0</v>
      </c>
      <c r="B842" s="15" t="s">
        <v>1004</v>
      </c>
      <c r="C842" s="13" t="s">
        <v>43</v>
      </c>
      <c r="D842" s="13">
        <v>50.0</v>
      </c>
      <c r="E842" s="15">
        <v>125.0</v>
      </c>
      <c r="F842" s="13" t="s">
        <v>27</v>
      </c>
      <c r="G842" s="15" t="s">
        <v>1005</v>
      </c>
      <c r="H842" s="15">
        <v>1000.0</v>
      </c>
      <c r="I842" s="21">
        <f t="shared" si="1"/>
        <v>125</v>
      </c>
      <c r="J842" s="21"/>
      <c r="K842" s="22"/>
    </row>
    <row r="843" ht="22.5" customHeight="1">
      <c r="A843" s="28">
        <v>46094.0</v>
      </c>
      <c r="B843" s="15" t="s">
        <v>1004</v>
      </c>
      <c r="C843" s="13" t="s">
        <v>42</v>
      </c>
      <c r="D843" s="13">
        <v>50.0</v>
      </c>
      <c r="E843" s="15">
        <v>330.0</v>
      </c>
      <c r="F843" s="13" t="s">
        <v>23</v>
      </c>
      <c r="G843" s="15" t="s">
        <v>1005</v>
      </c>
      <c r="H843" s="15">
        <v>1000.0</v>
      </c>
      <c r="I843" s="21">
        <f t="shared" si="1"/>
        <v>330</v>
      </c>
      <c r="J843" s="21"/>
      <c r="K843" s="22"/>
    </row>
    <row r="844" ht="22.5" customHeight="1">
      <c r="A844" s="28">
        <v>46095.0</v>
      </c>
      <c r="B844" s="15" t="s">
        <v>1006</v>
      </c>
      <c r="C844" s="13" t="s">
        <v>9</v>
      </c>
      <c r="D844" s="13">
        <v>80.0</v>
      </c>
      <c r="E844" s="15">
        <v>330.0</v>
      </c>
      <c r="F844" s="13" t="s">
        <v>21</v>
      </c>
      <c r="G844" s="15" t="s">
        <v>89</v>
      </c>
      <c r="H844" s="15">
        <v>400.0</v>
      </c>
      <c r="I844" s="21">
        <f t="shared" si="1"/>
        <v>132</v>
      </c>
      <c r="J844" s="21"/>
      <c r="K844" s="22"/>
    </row>
    <row r="845" ht="22.5" customHeight="1">
      <c r="A845" s="28">
        <v>46095.0</v>
      </c>
      <c r="B845" s="15" t="s">
        <v>1007</v>
      </c>
      <c r="C845" s="13" t="s">
        <v>9</v>
      </c>
      <c r="D845" s="13">
        <v>80.0</v>
      </c>
      <c r="E845" s="15">
        <v>330.0</v>
      </c>
      <c r="F845" s="13" t="s">
        <v>21</v>
      </c>
      <c r="G845" s="15" t="s">
        <v>89</v>
      </c>
      <c r="H845" s="15">
        <v>2635.0</v>
      </c>
      <c r="I845" s="21">
        <f t="shared" si="1"/>
        <v>869.55</v>
      </c>
      <c r="J845" s="21"/>
      <c r="K845" s="22"/>
    </row>
    <row r="846" ht="22.5" customHeight="1">
      <c r="A846" s="28">
        <v>46095.0</v>
      </c>
      <c r="B846" s="15" t="s">
        <v>1008</v>
      </c>
      <c r="C846" s="13" t="s">
        <v>9</v>
      </c>
      <c r="D846" s="13">
        <v>80.0</v>
      </c>
      <c r="E846" s="15">
        <v>330.0</v>
      </c>
      <c r="F846" s="13" t="s">
        <v>21</v>
      </c>
      <c r="G846" s="15" t="s">
        <v>89</v>
      </c>
      <c r="H846" s="15">
        <v>600.0</v>
      </c>
      <c r="I846" s="21">
        <f t="shared" si="1"/>
        <v>198</v>
      </c>
      <c r="J846" s="21"/>
      <c r="K846" s="22"/>
    </row>
    <row r="847" ht="22.5" customHeight="1">
      <c r="A847" s="28">
        <v>46095.0</v>
      </c>
      <c r="B847" s="15" t="s">
        <v>1009</v>
      </c>
      <c r="C847" s="13" t="s">
        <v>9</v>
      </c>
      <c r="D847" s="13">
        <v>80.0</v>
      </c>
      <c r="E847" s="15">
        <v>330.0</v>
      </c>
      <c r="F847" s="13" t="s">
        <v>21</v>
      </c>
      <c r="G847" s="15" t="s">
        <v>89</v>
      </c>
      <c r="H847" s="15">
        <v>891.0</v>
      </c>
      <c r="I847" s="21">
        <f t="shared" si="1"/>
        <v>294.03</v>
      </c>
      <c r="J847" s="21"/>
      <c r="K847" s="22"/>
    </row>
    <row r="848" ht="22.5" customHeight="1">
      <c r="A848" s="28">
        <v>46095.0</v>
      </c>
      <c r="B848" s="15" t="s">
        <v>1010</v>
      </c>
      <c r="C848" s="13" t="s">
        <v>43</v>
      </c>
      <c r="D848" s="13">
        <v>50.0</v>
      </c>
      <c r="E848" s="15">
        <v>200.0</v>
      </c>
      <c r="F848" s="13" t="s">
        <v>23</v>
      </c>
      <c r="G848" s="15" t="s">
        <v>1011</v>
      </c>
      <c r="H848" s="15">
        <v>1800.0</v>
      </c>
      <c r="I848" s="21">
        <f t="shared" si="1"/>
        <v>360</v>
      </c>
      <c r="J848" s="21"/>
      <c r="K848" s="22"/>
    </row>
    <row r="849" ht="22.5" customHeight="1">
      <c r="A849" s="28">
        <v>46097.0</v>
      </c>
      <c r="B849" s="15" t="s">
        <v>1012</v>
      </c>
      <c r="C849" s="13" t="s">
        <v>9</v>
      </c>
      <c r="D849" s="13">
        <v>80.0</v>
      </c>
      <c r="E849" s="15">
        <v>290.0</v>
      </c>
      <c r="F849" s="13" t="s">
        <v>21</v>
      </c>
      <c r="G849" s="15" t="s">
        <v>89</v>
      </c>
      <c r="H849" s="15">
        <v>800.0</v>
      </c>
      <c r="I849" s="21">
        <f t="shared" si="1"/>
        <v>232</v>
      </c>
      <c r="J849" s="21"/>
      <c r="K849" s="22"/>
    </row>
    <row r="850" ht="22.5" customHeight="1">
      <c r="A850" s="28">
        <v>46097.0</v>
      </c>
      <c r="B850" s="15" t="s">
        <v>1013</v>
      </c>
      <c r="C850" s="13" t="s">
        <v>9</v>
      </c>
      <c r="D850" s="13">
        <v>80.0</v>
      </c>
      <c r="E850" s="15">
        <v>210.0</v>
      </c>
      <c r="F850" s="13" t="s">
        <v>21</v>
      </c>
      <c r="G850" s="15" t="s">
        <v>89</v>
      </c>
      <c r="H850" s="15">
        <v>3130.0</v>
      </c>
      <c r="I850" s="21">
        <f t="shared" si="1"/>
        <v>657.3</v>
      </c>
      <c r="J850" s="21"/>
      <c r="K850" s="22"/>
    </row>
    <row r="851" ht="22.5" customHeight="1">
      <c r="A851" s="28">
        <v>46097.0</v>
      </c>
      <c r="B851" s="15" t="s">
        <v>1014</v>
      </c>
      <c r="C851" s="13" t="s">
        <v>9</v>
      </c>
      <c r="D851" s="13">
        <v>80.0</v>
      </c>
      <c r="E851" s="15">
        <v>300.0</v>
      </c>
      <c r="F851" s="13" t="s">
        <v>21</v>
      </c>
      <c r="G851" s="15" t="s">
        <v>89</v>
      </c>
      <c r="H851" s="15">
        <v>1100.0</v>
      </c>
      <c r="I851" s="21">
        <f t="shared" si="1"/>
        <v>330</v>
      </c>
      <c r="J851" s="21"/>
      <c r="K851" s="22"/>
    </row>
    <row r="852" ht="22.5" customHeight="1">
      <c r="A852" s="28">
        <v>46097.0</v>
      </c>
      <c r="B852" s="15" t="s">
        <v>1015</v>
      </c>
      <c r="C852" s="13" t="s">
        <v>9</v>
      </c>
      <c r="D852" s="13">
        <v>80.0</v>
      </c>
      <c r="E852" s="15">
        <v>170.0</v>
      </c>
      <c r="F852" s="13" t="s">
        <v>21</v>
      </c>
      <c r="G852" s="15" t="s">
        <v>89</v>
      </c>
      <c r="H852" s="15">
        <v>1200.0</v>
      </c>
      <c r="I852" s="21">
        <f t="shared" si="1"/>
        <v>204</v>
      </c>
      <c r="J852" s="21"/>
      <c r="K852" s="22"/>
    </row>
    <row r="853" ht="22.5" customHeight="1">
      <c r="A853" s="28">
        <v>46097.0</v>
      </c>
      <c r="B853" s="15" t="s">
        <v>1016</v>
      </c>
      <c r="C853" s="13" t="s">
        <v>9</v>
      </c>
      <c r="D853" s="13">
        <v>80.0</v>
      </c>
      <c r="E853" s="15">
        <v>140.0</v>
      </c>
      <c r="F853" s="13" t="s">
        <v>27</v>
      </c>
      <c r="G853" s="15" t="s">
        <v>99</v>
      </c>
      <c r="H853" s="15">
        <v>3580.0</v>
      </c>
      <c r="I853" s="21">
        <f t="shared" si="1"/>
        <v>501.2</v>
      </c>
      <c r="J853" s="21"/>
      <c r="K853" s="22"/>
    </row>
    <row r="854" ht="22.5" customHeight="1">
      <c r="A854" s="28">
        <v>46097.0</v>
      </c>
      <c r="B854" s="15" t="s">
        <v>1017</v>
      </c>
      <c r="C854" s="13" t="s">
        <v>42</v>
      </c>
      <c r="D854" s="13">
        <v>50.0</v>
      </c>
      <c r="E854" s="15">
        <v>215.0</v>
      </c>
      <c r="F854" s="13" t="s">
        <v>23</v>
      </c>
      <c r="G854" s="15" t="s">
        <v>925</v>
      </c>
      <c r="H854" s="15">
        <v>1000.0</v>
      </c>
      <c r="I854" s="21">
        <f t="shared" si="1"/>
        <v>215</v>
      </c>
      <c r="J854" s="15" t="s">
        <v>1189</v>
      </c>
      <c r="K854" s="22"/>
    </row>
    <row r="855" ht="22.5" customHeight="1">
      <c r="A855" s="28">
        <v>46097.0</v>
      </c>
      <c r="B855" s="15" t="s">
        <v>1018</v>
      </c>
      <c r="C855" s="13" t="s">
        <v>9</v>
      </c>
      <c r="D855" s="13">
        <v>80.0</v>
      </c>
      <c r="E855" s="15">
        <v>210.0</v>
      </c>
      <c r="F855" s="13" t="s">
        <v>21</v>
      </c>
      <c r="G855" s="15" t="s">
        <v>89</v>
      </c>
      <c r="H855" s="15">
        <v>1700.0</v>
      </c>
      <c r="I855" s="21">
        <f t="shared" si="1"/>
        <v>357</v>
      </c>
      <c r="J855" s="21"/>
      <c r="K855" s="22"/>
    </row>
    <row r="856" ht="22.5" customHeight="1">
      <c r="A856" s="28">
        <v>46097.0</v>
      </c>
      <c r="B856" s="15" t="s">
        <v>1019</v>
      </c>
      <c r="C856" s="13" t="s">
        <v>9</v>
      </c>
      <c r="D856" s="13">
        <v>80.0</v>
      </c>
      <c r="E856" s="15">
        <v>250.0</v>
      </c>
      <c r="F856" s="13" t="s">
        <v>21</v>
      </c>
      <c r="G856" s="15" t="s">
        <v>89</v>
      </c>
      <c r="H856" s="15">
        <v>3090.0</v>
      </c>
      <c r="I856" s="21">
        <f t="shared" si="1"/>
        <v>772.5</v>
      </c>
      <c r="J856" s="21"/>
      <c r="K856" s="22"/>
    </row>
    <row r="857" ht="22.5" customHeight="1">
      <c r="A857" s="28">
        <v>46097.0</v>
      </c>
      <c r="B857" s="15" t="s">
        <v>1020</v>
      </c>
      <c r="C857" s="13" t="s">
        <v>9</v>
      </c>
      <c r="D857" s="13">
        <v>80.0</v>
      </c>
      <c r="E857" s="15">
        <v>290.0</v>
      </c>
      <c r="F857" s="13" t="s">
        <v>21</v>
      </c>
      <c r="G857" s="15" t="s">
        <v>89</v>
      </c>
      <c r="H857" s="15">
        <v>2000.0</v>
      </c>
      <c r="I857" s="21">
        <f t="shared" si="1"/>
        <v>580</v>
      </c>
      <c r="J857" s="21"/>
      <c r="K857" s="22"/>
    </row>
    <row r="858" ht="22.5" customHeight="1">
      <c r="A858" s="28">
        <v>46098.0</v>
      </c>
      <c r="B858" s="15" t="s">
        <v>1021</v>
      </c>
      <c r="C858" s="13" t="s">
        <v>9</v>
      </c>
      <c r="D858" s="13">
        <v>80.0</v>
      </c>
      <c r="E858" s="15">
        <v>160.0</v>
      </c>
      <c r="F858" s="13" t="s">
        <v>27</v>
      </c>
      <c r="G858" s="15" t="s">
        <v>99</v>
      </c>
      <c r="H858" s="15">
        <v>4870.0</v>
      </c>
      <c r="I858" s="21">
        <f t="shared" si="1"/>
        <v>779.2</v>
      </c>
      <c r="J858" s="21"/>
      <c r="K858" s="22"/>
    </row>
    <row r="859" ht="22.5" customHeight="1">
      <c r="A859" s="28">
        <v>46098.0</v>
      </c>
      <c r="B859" s="15" t="s">
        <v>1022</v>
      </c>
      <c r="C859" s="13" t="s">
        <v>9</v>
      </c>
      <c r="D859" s="13">
        <v>80.0</v>
      </c>
      <c r="E859" s="15">
        <v>185.0</v>
      </c>
      <c r="F859" s="13" t="s">
        <v>27</v>
      </c>
      <c r="G859" s="15" t="s">
        <v>99</v>
      </c>
      <c r="H859" s="15">
        <v>2100.0</v>
      </c>
      <c r="I859" s="21">
        <f t="shared" si="1"/>
        <v>388.5</v>
      </c>
      <c r="J859" s="21"/>
      <c r="K859" s="22"/>
    </row>
    <row r="860" ht="22.5" customHeight="1">
      <c r="A860" s="28">
        <v>46098.0</v>
      </c>
      <c r="B860" s="15" t="s">
        <v>1023</v>
      </c>
      <c r="C860" s="13" t="s">
        <v>9</v>
      </c>
      <c r="D860" s="13">
        <v>80.0</v>
      </c>
      <c r="E860" s="15">
        <v>160.0</v>
      </c>
      <c r="F860" s="13" t="s">
        <v>27</v>
      </c>
      <c r="G860" s="15" t="s">
        <v>99</v>
      </c>
      <c r="H860" s="15">
        <v>3690.0</v>
      </c>
      <c r="I860" s="21">
        <f t="shared" si="1"/>
        <v>590.4</v>
      </c>
      <c r="J860" s="21"/>
      <c r="K860" s="22"/>
    </row>
    <row r="861" ht="22.5" customHeight="1">
      <c r="A861" s="28">
        <v>46098.0</v>
      </c>
      <c r="B861" s="15" t="s">
        <v>1024</v>
      </c>
      <c r="C861" s="13" t="s">
        <v>9</v>
      </c>
      <c r="D861" s="13">
        <v>80.0</v>
      </c>
      <c r="E861" s="15">
        <v>160.0</v>
      </c>
      <c r="F861" s="13" t="s">
        <v>27</v>
      </c>
      <c r="G861" s="15" t="s">
        <v>99</v>
      </c>
      <c r="H861" s="15">
        <v>2230.0</v>
      </c>
      <c r="I861" s="21">
        <f t="shared" si="1"/>
        <v>356.8</v>
      </c>
      <c r="J861" s="21"/>
      <c r="K861" s="22"/>
    </row>
    <row r="862" ht="22.5" customHeight="1">
      <c r="A862" s="28">
        <v>46098.0</v>
      </c>
      <c r="B862" s="15" t="s">
        <v>1025</v>
      </c>
      <c r="C862" s="13" t="s">
        <v>9</v>
      </c>
      <c r="D862" s="13">
        <v>80.0</v>
      </c>
      <c r="E862" s="15">
        <v>160.0</v>
      </c>
      <c r="F862" s="13" t="s">
        <v>27</v>
      </c>
      <c r="G862" s="15" t="s">
        <v>99</v>
      </c>
      <c r="H862" s="15">
        <v>850.0</v>
      </c>
      <c r="I862" s="21">
        <f t="shared" si="1"/>
        <v>136</v>
      </c>
      <c r="J862" s="21"/>
      <c r="K862" s="22"/>
    </row>
    <row r="863" ht="22.5" customHeight="1">
      <c r="A863" s="28">
        <v>46098.0</v>
      </c>
      <c r="B863" s="15" t="s">
        <v>1025</v>
      </c>
      <c r="C863" s="13" t="s">
        <v>9</v>
      </c>
      <c r="D863" s="13">
        <v>80.0</v>
      </c>
      <c r="E863" s="15">
        <v>185.0</v>
      </c>
      <c r="F863" s="13" t="s">
        <v>27</v>
      </c>
      <c r="G863" s="15" t="s">
        <v>99</v>
      </c>
      <c r="H863" s="15">
        <v>1200.0</v>
      </c>
      <c r="I863" s="21">
        <f t="shared" si="1"/>
        <v>222</v>
      </c>
      <c r="J863" s="21"/>
      <c r="K863" s="22"/>
    </row>
    <row r="864" ht="22.5" customHeight="1">
      <c r="A864" s="28">
        <v>46098.0</v>
      </c>
      <c r="B864" s="15" t="s">
        <v>1026</v>
      </c>
      <c r="C864" s="13" t="s">
        <v>9</v>
      </c>
      <c r="D864" s="13">
        <v>80.0</v>
      </c>
      <c r="E864" s="15">
        <v>140.0</v>
      </c>
      <c r="F864" s="13" t="s">
        <v>27</v>
      </c>
      <c r="G864" s="15" t="s">
        <v>99</v>
      </c>
      <c r="H864" s="15">
        <v>1130.0</v>
      </c>
      <c r="I864" s="21">
        <f t="shared" si="1"/>
        <v>158.2</v>
      </c>
      <c r="J864" s="21"/>
      <c r="K864" s="22"/>
    </row>
    <row r="865" ht="22.5" customHeight="1">
      <c r="A865" s="28">
        <v>46098.0</v>
      </c>
      <c r="B865" s="15" t="s">
        <v>1027</v>
      </c>
      <c r="C865" s="13" t="s">
        <v>9</v>
      </c>
      <c r="D865" s="13">
        <v>80.0</v>
      </c>
      <c r="E865" s="15">
        <v>140.0</v>
      </c>
      <c r="F865" s="13" t="s">
        <v>27</v>
      </c>
      <c r="G865" s="15" t="s">
        <v>99</v>
      </c>
      <c r="H865" s="15">
        <v>1800.0</v>
      </c>
      <c r="I865" s="21">
        <f t="shared" si="1"/>
        <v>252</v>
      </c>
      <c r="J865" s="21"/>
      <c r="K865" s="22"/>
    </row>
    <row r="866" ht="22.5" customHeight="1">
      <c r="A866" s="28">
        <v>46098.0</v>
      </c>
      <c r="B866" s="15" t="s">
        <v>1028</v>
      </c>
      <c r="C866" s="13" t="s">
        <v>9</v>
      </c>
      <c r="D866" s="13">
        <v>80.0</v>
      </c>
      <c r="E866" s="15">
        <v>220.0</v>
      </c>
      <c r="F866" s="13" t="s">
        <v>27</v>
      </c>
      <c r="G866" s="15" t="s">
        <v>99</v>
      </c>
      <c r="H866" s="15">
        <v>2100.0</v>
      </c>
      <c r="I866" s="21">
        <f t="shared" si="1"/>
        <v>462</v>
      </c>
      <c r="J866" s="21"/>
      <c r="K866" s="22"/>
    </row>
    <row r="867" ht="22.5" customHeight="1">
      <c r="A867" s="28">
        <v>46098.0</v>
      </c>
      <c r="B867" s="15" t="s">
        <v>1028</v>
      </c>
      <c r="C867" s="13" t="s">
        <v>9</v>
      </c>
      <c r="D867" s="13">
        <v>80.0</v>
      </c>
      <c r="E867" s="15">
        <v>230.0</v>
      </c>
      <c r="F867" s="13" t="s">
        <v>27</v>
      </c>
      <c r="G867" s="15" t="s">
        <v>99</v>
      </c>
      <c r="H867" s="15">
        <v>2450.0</v>
      </c>
      <c r="I867" s="21">
        <f t="shared" si="1"/>
        <v>563.5</v>
      </c>
      <c r="J867" s="21"/>
      <c r="K867" s="22"/>
    </row>
    <row r="868" ht="22.5" customHeight="1">
      <c r="A868" s="28">
        <v>46099.0</v>
      </c>
      <c r="B868" s="15" t="s">
        <v>1029</v>
      </c>
      <c r="C868" s="13" t="s">
        <v>43</v>
      </c>
      <c r="D868" s="13">
        <v>50.0</v>
      </c>
      <c r="E868" s="15">
        <v>185.0</v>
      </c>
      <c r="F868" s="13" t="s">
        <v>23</v>
      </c>
      <c r="G868" s="15" t="s">
        <v>199</v>
      </c>
      <c r="H868" s="15">
        <v>1800.0</v>
      </c>
      <c r="I868" s="21">
        <f t="shared" si="1"/>
        <v>333</v>
      </c>
      <c r="J868" s="21"/>
      <c r="K868" s="22"/>
    </row>
    <row r="869" ht="22.5" customHeight="1">
      <c r="A869" s="28">
        <v>46099.0</v>
      </c>
      <c r="B869" s="15" t="s">
        <v>1030</v>
      </c>
      <c r="C869" s="13" t="s">
        <v>43</v>
      </c>
      <c r="D869" s="13">
        <v>50.0</v>
      </c>
      <c r="E869" s="15">
        <v>185.0</v>
      </c>
      <c r="F869" s="13" t="s">
        <v>23</v>
      </c>
      <c r="G869" s="15" t="s">
        <v>199</v>
      </c>
      <c r="H869" s="15">
        <v>720.0</v>
      </c>
      <c r="I869" s="21">
        <f t="shared" si="1"/>
        <v>133.2</v>
      </c>
      <c r="J869" s="21"/>
      <c r="K869" s="22"/>
    </row>
    <row r="870" ht="22.5" customHeight="1">
      <c r="A870" s="28">
        <v>46099.0</v>
      </c>
      <c r="B870" s="15" t="s">
        <v>1031</v>
      </c>
      <c r="C870" s="13" t="s">
        <v>43</v>
      </c>
      <c r="D870" s="13">
        <v>50.0</v>
      </c>
      <c r="E870" s="15">
        <v>125.0</v>
      </c>
      <c r="F870" s="13" t="s">
        <v>27</v>
      </c>
      <c r="G870" s="15" t="s">
        <v>1032</v>
      </c>
      <c r="H870" s="15">
        <v>3150.0</v>
      </c>
      <c r="I870" s="21">
        <f t="shared" si="1"/>
        <v>393.75</v>
      </c>
      <c r="J870" s="21"/>
      <c r="K870" s="22"/>
    </row>
    <row r="871" ht="22.5" customHeight="1">
      <c r="A871" s="28">
        <v>46099.0</v>
      </c>
      <c r="B871" s="15" t="s">
        <v>1033</v>
      </c>
      <c r="C871" s="13" t="s">
        <v>9</v>
      </c>
      <c r="D871" s="13">
        <v>80.0</v>
      </c>
      <c r="E871" s="15">
        <v>395.0</v>
      </c>
      <c r="F871" s="13" t="s">
        <v>21</v>
      </c>
      <c r="G871" s="15" t="s">
        <v>89</v>
      </c>
      <c r="H871" s="15">
        <v>7870.0</v>
      </c>
      <c r="I871" s="21">
        <f t="shared" si="1"/>
        <v>3108.65</v>
      </c>
      <c r="J871" s="21"/>
      <c r="K871" s="22"/>
    </row>
    <row r="872" ht="22.5" customHeight="1">
      <c r="A872" s="28">
        <v>46099.0</v>
      </c>
      <c r="B872" s="15" t="s">
        <v>1034</v>
      </c>
      <c r="C872" s="13" t="s">
        <v>9</v>
      </c>
      <c r="D872" s="13">
        <v>80.0</v>
      </c>
      <c r="E872" s="15">
        <v>250.0</v>
      </c>
      <c r="F872" s="13" t="s">
        <v>21</v>
      </c>
      <c r="G872" s="15" t="s">
        <v>89</v>
      </c>
      <c r="H872" s="15">
        <v>16020.0</v>
      </c>
      <c r="I872" s="21">
        <f t="shared" si="1"/>
        <v>4005</v>
      </c>
      <c r="J872" s="21"/>
      <c r="K872" s="22"/>
    </row>
    <row r="873" ht="22.5" customHeight="1">
      <c r="A873" s="28">
        <v>46099.0</v>
      </c>
      <c r="B873" s="15" t="s">
        <v>1035</v>
      </c>
      <c r="C873" s="13" t="s">
        <v>42</v>
      </c>
      <c r="D873" s="13">
        <v>50.0</v>
      </c>
      <c r="E873" s="15">
        <v>200.0</v>
      </c>
      <c r="F873" s="13" t="s">
        <v>21</v>
      </c>
      <c r="G873" s="15" t="s">
        <v>166</v>
      </c>
      <c r="H873" s="15">
        <v>6000.0</v>
      </c>
      <c r="I873" s="21">
        <f t="shared" si="1"/>
        <v>1200</v>
      </c>
      <c r="J873" s="21"/>
      <c r="K873" s="22"/>
    </row>
    <row r="874" ht="22.5" customHeight="1">
      <c r="A874" s="28">
        <v>46101.0</v>
      </c>
      <c r="B874" s="15" t="s">
        <v>1036</v>
      </c>
      <c r="C874" s="13" t="s">
        <v>9</v>
      </c>
      <c r="D874" s="13">
        <v>80.0</v>
      </c>
      <c r="E874" s="15">
        <v>125.0</v>
      </c>
      <c r="F874" s="13" t="s">
        <v>21</v>
      </c>
      <c r="G874" s="15" t="s">
        <v>89</v>
      </c>
      <c r="H874" s="15">
        <v>5000.0</v>
      </c>
      <c r="I874" s="21">
        <f t="shared" si="1"/>
        <v>625</v>
      </c>
      <c r="J874" s="21"/>
      <c r="K874" s="22"/>
    </row>
    <row r="875" ht="22.5" customHeight="1">
      <c r="A875" s="28">
        <v>46101.0</v>
      </c>
      <c r="B875" s="15" t="s">
        <v>1037</v>
      </c>
      <c r="C875" s="13" t="s">
        <v>9</v>
      </c>
      <c r="D875" s="13">
        <v>80.0</v>
      </c>
      <c r="E875" s="15">
        <v>170.0</v>
      </c>
      <c r="F875" s="13" t="s">
        <v>21</v>
      </c>
      <c r="G875" s="15" t="s">
        <v>89</v>
      </c>
      <c r="H875" s="15">
        <v>510.0</v>
      </c>
      <c r="I875" s="21">
        <f t="shared" si="1"/>
        <v>86.7</v>
      </c>
      <c r="J875" s="21"/>
      <c r="K875" s="22"/>
    </row>
    <row r="876" ht="22.5" customHeight="1">
      <c r="A876" s="28">
        <v>46101.0</v>
      </c>
      <c r="B876" s="15" t="s">
        <v>1038</v>
      </c>
      <c r="C876" s="13" t="s">
        <v>9</v>
      </c>
      <c r="D876" s="13">
        <v>80.0</v>
      </c>
      <c r="E876" s="15">
        <v>290.0</v>
      </c>
      <c r="F876" s="13" t="s">
        <v>21</v>
      </c>
      <c r="G876" s="15" t="s">
        <v>89</v>
      </c>
      <c r="H876" s="15">
        <v>2000.0</v>
      </c>
      <c r="I876" s="21">
        <f t="shared" si="1"/>
        <v>580</v>
      </c>
      <c r="J876" s="21"/>
      <c r="K876" s="22"/>
    </row>
    <row r="877" ht="22.5" customHeight="1">
      <c r="A877" s="28">
        <v>46101.0</v>
      </c>
      <c r="B877" s="15" t="s">
        <v>1039</v>
      </c>
      <c r="C877" s="13" t="s">
        <v>9</v>
      </c>
      <c r="D877" s="13">
        <v>80.0</v>
      </c>
      <c r="E877" s="15">
        <v>330.0</v>
      </c>
      <c r="F877" s="13" t="s">
        <v>21</v>
      </c>
      <c r="G877" s="15" t="s">
        <v>89</v>
      </c>
      <c r="H877" s="15">
        <v>2000.0</v>
      </c>
      <c r="I877" s="21">
        <f t="shared" si="1"/>
        <v>660</v>
      </c>
      <c r="J877" s="21"/>
      <c r="K877" s="22"/>
    </row>
    <row r="878" ht="22.5" customHeight="1">
      <c r="A878" s="28">
        <v>46101.0</v>
      </c>
      <c r="B878" s="15" t="s">
        <v>1040</v>
      </c>
      <c r="C878" s="13" t="s">
        <v>9</v>
      </c>
      <c r="D878" s="13">
        <v>80.0</v>
      </c>
      <c r="E878" s="15">
        <v>300.0</v>
      </c>
      <c r="F878" s="13" t="s">
        <v>21</v>
      </c>
      <c r="G878" s="15" t="s">
        <v>89</v>
      </c>
      <c r="H878" s="15">
        <v>1000.0</v>
      </c>
      <c r="I878" s="21">
        <f t="shared" si="1"/>
        <v>300</v>
      </c>
      <c r="J878" s="21"/>
      <c r="K878" s="22"/>
    </row>
    <row r="879" ht="22.5" customHeight="1">
      <c r="A879" s="28">
        <v>46101.0</v>
      </c>
      <c r="B879" s="15" t="s">
        <v>1041</v>
      </c>
      <c r="C879" s="13" t="s">
        <v>9</v>
      </c>
      <c r="D879" s="13">
        <v>80.0</v>
      </c>
      <c r="E879" s="15">
        <v>180.0</v>
      </c>
      <c r="F879" s="13" t="s">
        <v>21</v>
      </c>
      <c r="G879" s="15" t="s">
        <v>89</v>
      </c>
      <c r="H879" s="15">
        <v>8850.0</v>
      </c>
      <c r="I879" s="21">
        <f t="shared" si="1"/>
        <v>1593</v>
      </c>
      <c r="J879" s="21"/>
      <c r="K879" s="22"/>
    </row>
    <row r="880" ht="22.5" customHeight="1">
      <c r="A880" s="28">
        <v>46101.0</v>
      </c>
      <c r="B880" s="15" t="s">
        <v>1042</v>
      </c>
      <c r="C880" s="13" t="s">
        <v>9</v>
      </c>
      <c r="D880" s="13">
        <v>80.0</v>
      </c>
      <c r="E880" s="15">
        <v>125.0</v>
      </c>
      <c r="F880" s="13" t="s">
        <v>21</v>
      </c>
      <c r="G880" s="15" t="s">
        <v>89</v>
      </c>
      <c r="H880" s="15">
        <v>4050.0</v>
      </c>
      <c r="I880" s="21">
        <f t="shared" si="1"/>
        <v>506.25</v>
      </c>
      <c r="J880" s="21"/>
      <c r="K880" s="22"/>
    </row>
    <row r="881" ht="22.5" customHeight="1">
      <c r="A881" s="28">
        <v>46102.0</v>
      </c>
      <c r="B881" s="15" t="s">
        <v>1190</v>
      </c>
      <c r="C881" s="13" t="s">
        <v>36</v>
      </c>
      <c r="D881" s="13">
        <v>105.0</v>
      </c>
      <c r="E881" s="15">
        <v>205.0</v>
      </c>
      <c r="F881" s="13" t="s">
        <v>37</v>
      </c>
      <c r="G881" s="15" t="s">
        <v>805</v>
      </c>
      <c r="H881" s="15">
        <v>6866.0</v>
      </c>
      <c r="I881" s="21">
        <f t="shared" si="1"/>
        <v>1407.53</v>
      </c>
      <c r="J881" s="21"/>
      <c r="K881" s="22"/>
    </row>
    <row r="882" ht="22.5" customHeight="1">
      <c r="A882" s="28">
        <v>46102.0</v>
      </c>
      <c r="B882" s="15" t="s">
        <v>1191</v>
      </c>
      <c r="C882" s="13" t="s">
        <v>36</v>
      </c>
      <c r="D882" s="13">
        <v>105.0</v>
      </c>
      <c r="E882" s="15">
        <v>205.0</v>
      </c>
      <c r="F882" s="13" t="s">
        <v>37</v>
      </c>
      <c r="G882" s="15" t="s">
        <v>805</v>
      </c>
      <c r="H882" s="15">
        <v>6600.0</v>
      </c>
      <c r="I882" s="21">
        <f t="shared" si="1"/>
        <v>1353</v>
      </c>
      <c r="J882" s="21"/>
      <c r="K882" s="22"/>
    </row>
    <row r="883" ht="22.5" customHeight="1">
      <c r="A883" s="28">
        <v>46103.0</v>
      </c>
      <c r="B883" s="15" t="s">
        <v>1043</v>
      </c>
      <c r="C883" s="13" t="s">
        <v>9</v>
      </c>
      <c r="D883" s="13">
        <v>80.0</v>
      </c>
      <c r="E883" s="15">
        <v>150.0</v>
      </c>
      <c r="F883" s="13" t="s">
        <v>21</v>
      </c>
      <c r="G883" s="15" t="s">
        <v>89</v>
      </c>
      <c r="H883" s="15">
        <v>1900.0</v>
      </c>
      <c r="I883" s="21">
        <f t="shared" si="1"/>
        <v>285</v>
      </c>
      <c r="J883" s="21"/>
      <c r="K883" s="22"/>
    </row>
    <row r="884" ht="22.5" customHeight="1">
      <c r="A884" s="28">
        <v>46103.0</v>
      </c>
      <c r="B884" s="15" t="s">
        <v>1044</v>
      </c>
      <c r="C884" s="13" t="s">
        <v>9</v>
      </c>
      <c r="D884" s="13">
        <v>80.0</v>
      </c>
      <c r="E884" s="15">
        <v>180.0</v>
      </c>
      <c r="F884" s="13" t="s">
        <v>21</v>
      </c>
      <c r="G884" s="15" t="s">
        <v>89</v>
      </c>
      <c r="H884" s="15">
        <v>2800.0</v>
      </c>
      <c r="I884" s="21">
        <f t="shared" si="1"/>
        <v>504</v>
      </c>
      <c r="J884" s="21"/>
      <c r="K884" s="22"/>
    </row>
    <row r="885" ht="22.5" customHeight="1">
      <c r="A885" s="28">
        <v>46103.0</v>
      </c>
      <c r="B885" s="15" t="s">
        <v>1045</v>
      </c>
      <c r="C885" s="13" t="s">
        <v>9</v>
      </c>
      <c r="D885" s="13">
        <v>80.0</v>
      </c>
      <c r="E885" s="15">
        <v>180.0</v>
      </c>
      <c r="F885" s="13" t="s">
        <v>21</v>
      </c>
      <c r="G885" s="15" t="s">
        <v>89</v>
      </c>
      <c r="H885" s="15">
        <v>4000.0</v>
      </c>
      <c r="I885" s="21">
        <f t="shared" si="1"/>
        <v>720</v>
      </c>
      <c r="J885" s="21"/>
      <c r="K885" s="22"/>
    </row>
    <row r="886" ht="22.5" customHeight="1">
      <c r="A886" s="28">
        <v>46103.0</v>
      </c>
      <c r="B886" s="15" t="s">
        <v>1046</v>
      </c>
      <c r="C886" s="13" t="s">
        <v>9</v>
      </c>
      <c r="D886" s="13">
        <v>80.0</v>
      </c>
      <c r="E886" s="15">
        <v>125.0</v>
      </c>
      <c r="F886" s="13" t="s">
        <v>21</v>
      </c>
      <c r="G886" s="15" t="s">
        <v>89</v>
      </c>
      <c r="H886" s="15">
        <v>3050.0</v>
      </c>
      <c r="I886" s="21">
        <f t="shared" si="1"/>
        <v>381.25</v>
      </c>
      <c r="J886" s="21"/>
      <c r="K886" s="22"/>
    </row>
    <row r="887" ht="22.5" customHeight="1">
      <c r="A887" s="28">
        <v>46103.0</v>
      </c>
      <c r="B887" s="15" t="s">
        <v>1047</v>
      </c>
      <c r="C887" s="13" t="s">
        <v>9</v>
      </c>
      <c r="D887" s="13">
        <v>80.0</v>
      </c>
      <c r="E887" s="15">
        <v>320.0</v>
      </c>
      <c r="F887" s="13" t="s">
        <v>21</v>
      </c>
      <c r="G887" s="15" t="s">
        <v>89</v>
      </c>
      <c r="H887" s="15">
        <v>3390.0</v>
      </c>
      <c r="I887" s="21">
        <f t="shared" si="1"/>
        <v>1084.8</v>
      </c>
      <c r="J887" s="21"/>
      <c r="K887" s="22"/>
    </row>
    <row r="888" ht="22.5" customHeight="1">
      <c r="A888" s="28">
        <v>46103.0</v>
      </c>
      <c r="B888" s="15" t="s">
        <v>1048</v>
      </c>
      <c r="C888" s="13" t="s">
        <v>9</v>
      </c>
      <c r="D888" s="13">
        <v>80.0</v>
      </c>
      <c r="E888" s="15">
        <v>290.0</v>
      </c>
      <c r="F888" s="13" t="s">
        <v>21</v>
      </c>
      <c r="G888" s="15" t="s">
        <v>89</v>
      </c>
      <c r="H888" s="15">
        <v>2300.0</v>
      </c>
      <c r="I888" s="21">
        <f t="shared" si="1"/>
        <v>667</v>
      </c>
      <c r="J888" s="21"/>
      <c r="K888" s="22"/>
    </row>
    <row r="889" ht="22.5" customHeight="1">
      <c r="A889" s="28">
        <v>46104.0</v>
      </c>
      <c r="B889" s="15" t="s">
        <v>1049</v>
      </c>
      <c r="C889" s="13" t="s">
        <v>9</v>
      </c>
      <c r="D889" s="13">
        <v>80.0</v>
      </c>
      <c r="E889" s="15">
        <v>290.0</v>
      </c>
      <c r="F889" s="13" t="s">
        <v>21</v>
      </c>
      <c r="G889" s="15" t="s">
        <v>89</v>
      </c>
      <c r="H889" s="15">
        <v>15400.0</v>
      </c>
      <c r="I889" s="21">
        <f t="shared" si="1"/>
        <v>4466</v>
      </c>
      <c r="J889" s="21"/>
      <c r="K889" s="22"/>
    </row>
    <row r="890" ht="22.5" customHeight="1">
      <c r="A890" s="28">
        <v>46104.0</v>
      </c>
      <c r="B890" s="15" t="s">
        <v>1050</v>
      </c>
      <c r="C890" s="13" t="s">
        <v>9</v>
      </c>
      <c r="D890" s="13">
        <v>80.0</v>
      </c>
      <c r="E890" s="15">
        <v>210.0</v>
      </c>
      <c r="F890" s="13" t="s">
        <v>21</v>
      </c>
      <c r="G890" s="15" t="s">
        <v>89</v>
      </c>
      <c r="H890" s="15">
        <v>1000.0</v>
      </c>
      <c r="I890" s="21">
        <f t="shared" si="1"/>
        <v>210</v>
      </c>
      <c r="J890" s="21"/>
      <c r="K890" s="22"/>
    </row>
    <row r="891" ht="22.5" customHeight="1">
      <c r="A891" s="28">
        <v>46105.0</v>
      </c>
      <c r="B891" s="15" t="s">
        <v>1051</v>
      </c>
      <c r="C891" s="13" t="s">
        <v>9</v>
      </c>
      <c r="D891" s="13">
        <v>80.0</v>
      </c>
      <c r="E891" s="15">
        <v>330.0</v>
      </c>
      <c r="F891" s="13" t="s">
        <v>21</v>
      </c>
      <c r="G891" s="15" t="s">
        <v>89</v>
      </c>
      <c r="H891" s="15">
        <v>7700.0</v>
      </c>
      <c r="I891" s="21">
        <f t="shared" si="1"/>
        <v>2541</v>
      </c>
      <c r="J891" s="21"/>
      <c r="K891" s="22"/>
    </row>
    <row r="892" ht="22.5" customHeight="1">
      <c r="A892" s="28">
        <v>46105.0</v>
      </c>
      <c r="B892" s="15" t="s">
        <v>1051</v>
      </c>
      <c r="C892" s="13" t="s">
        <v>9</v>
      </c>
      <c r="D892" s="13">
        <v>80.0</v>
      </c>
      <c r="E892" s="15">
        <v>320.0</v>
      </c>
      <c r="F892" s="13" t="s">
        <v>21</v>
      </c>
      <c r="G892" s="15" t="s">
        <v>89</v>
      </c>
      <c r="H892" s="15">
        <v>1800.0</v>
      </c>
      <c r="I892" s="21">
        <f t="shared" si="1"/>
        <v>576</v>
      </c>
      <c r="J892" s="21"/>
      <c r="K892" s="22"/>
    </row>
    <row r="893" ht="22.5" customHeight="1">
      <c r="A893" s="28">
        <v>46105.0</v>
      </c>
      <c r="B893" s="15" t="s">
        <v>1052</v>
      </c>
      <c r="C893" s="13" t="s">
        <v>43</v>
      </c>
      <c r="D893" s="13">
        <v>50.0</v>
      </c>
      <c r="E893" s="15">
        <v>125.0</v>
      </c>
      <c r="F893" s="13" t="s">
        <v>27</v>
      </c>
      <c r="G893" s="15" t="s">
        <v>1032</v>
      </c>
      <c r="H893" s="15">
        <v>2850.0</v>
      </c>
      <c r="I893" s="21">
        <f t="shared" si="1"/>
        <v>356.25</v>
      </c>
      <c r="J893" s="21"/>
      <c r="K893" s="22"/>
    </row>
    <row r="894" ht="22.5" customHeight="1">
      <c r="A894" s="28">
        <v>46105.0</v>
      </c>
      <c r="B894" s="15" t="s">
        <v>1053</v>
      </c>
      <c r="C894" s="13" t="s">
        <v>43</v>
      </c>
      <c r="D894" s="13">
        <v>50.0</v>
      </c>
      <c r="E894" s="15">
        <v>125.0</v>
      </c>
      <c r="F894" s="13" t="s">
        <v>27</v>
      </c>
      <c r="G894" s="15" t="s">
        <v>1032</v>
      </c>
      <c r="H894" s="15">
        <v>1600.0</v>
      </c>
      <c r="I894" s="21">
        <f t="shared" si="1"/>
        <v>200</v>
      </c>
      <c r="J894" s="21"/>
      <c r="K894" s="22"/>
    </row>
    <row r="895" ht="22.5" customHeight="1">
      <c r="A895" s="28">
        <v>46106.0</v>
      </c>
      <c r="B895" s="15" t="s">
        <v>1055</v>
      </c>
      <c r="C895" s="13" t="s">
        <v>9</v>
      </c>
      <c r="D895" s="13">
        <v>80.0</v>
      </c>
      <c r="E895" s="15">
        <v>300.0</v>
      </c>
      <c r="F895" s="13" t="s">
        <v>21</v>
      </c>
      <c r="G895" s="15" t="s">
        <v>89</v>
      </c>
      <c r="H895" s="15">
        <v>2000.0</v>
      </c>
      <c r="I895" s="21">
        <f t="shared" si="1"/>
        <v>600</v>
      </c>
      <c r="J895" s="21"/>
      <c r="K895" s="22"/>
    </row>
    <row r="896" ht="22.5" customHeight="1">
      <c r="A896" s="28">
        <v>46106.0</v>
      </c>
      <c r="B896" s="15" t="s">
        <v>1056</v>
      </c>
      <c r="C896" s="13" t="s">
        <v>9</v>
      </c>
      <c r="D896" s="13">
        <v>80.0</v>
      </c>
      <c r="E896" s="15">
        <v>280.0</v>
      </c>
      <c r="F896" s="13" t="s">
        <v>21</v>
      </c>
      <c r="G896" s="15" t="s">
        <v>89</v>
      </c>
      <c r="H896" s="15">
        <v>2000.0</v>
      </c>
      <c r="I896" s="21">
        <f t="shared" si="1"/>
        <v>560</v>
      </c>
      <c r="J896" s="21"/>
      <c r="K896" s="22"/>
    </row>
    <row r="897" ht="22.5" customHeight="1">
      <c r="A897" s="28">
        <v>46106.0</v>
      </c>
      <c r="B897" s="15" t="s">
        <v>1057</v>
      </c>
      <c r="C897" s="13" t="s">
        <v>9</v>
      </c>
      <c r="D897" s="13">
        <v>80.0</v>
      </c>
      <c r="E897" s="15">
        <v>210.0</v>
      </c>
      <c r="F897" s="13" t="s">
        <v>21</v>
      </c>
      <c r="G897" s="15" t="s">
        <v>89</v>
      </c>
      <c r="H897" s="15">
        <v>4300.0</v>
      </c>
      <c r="I897" s="21">
        <f t="shared" si="1"/>
        <v>903</v>
      </c>
      <c r="J897" s="21"/>
      <c r="K897" s="22"/>
    </row>
    <row r="898" ht="22.5" customHeight="1">
      <c r="A898" s="28">
        <v>46106.0</v>
      </c>
      <c r="B898" s="15" t="s">
        <v>1058</v>
      </c>
      <c r="C898" s="13" t="s">
        <v>9</v>
      </c>
      <c r="D898" s="13">
        <v>80.0</v>
      </c>
      <c r="E898" s="15">
        <v>290.0</v>
      </c>
      <c r="F898" s="13" t="s">
        <v>21</v>
      </c>
      <c r="G898" s="15" t="s">
        <v>89</v>
      </c>
      <c r="H898" s="15">
        <v>3600.0</v>
      </c>
      <c r="I898" s="21">
        <f t="shared" si="1"/>
        <v>1044</v>
      </c>
      <c r="J898" s="21"/>
      <c r="K898" s="22"/>
    </row>
    <row r="899" ht="22.5" customHeight="1">
      <c r="A899" s="28">
        <v>46106.0</v>
      </c>
      <c r="B899" s="15" t="s">
        <v>1059</v>
      </c>
      <c r="C899" s="13" t="s">
        <v>9</v>
      </c>
      <c r="D899" s="13">
        <v>80.0</v>
      </c>
      <c r="E899" s="15">
        <v>210.0</v>
      </c>
      <c r="F899" s="13" t="s">
        <v>21</v>
      </c>
      <c r="G899" s="15" t="s">
        <v>89</v>
      </c>
      <c r="H899" s="15">
        <v>7420.0</v>
      </c>
      <c r="I899" s="21">
        <f t="shared" si="1"/>
        <v>1558.2</v>
      </c>
      <c r="J899" s="21"/>
      <c r="K899" s="22"/>
    </row>
    <row r="900" ht="22.5" customHeight="1">
      <c r="A900" s="28">
        <v>46107.0</v>
      </c>
      <c r="B900" s="15" t="s">
        <v>1060</v>
      </c>
      <c r="C900" s="13" t="s">
        <v>9</v>
      </c>
      <c r="D900" s="13">
        <v>80.0</v>
      </c>
      <c r="E900" s="15">
        <v>125.0</v>
      </c>
      <c r="F900" s="13" t="s">
        <v>21</v>
      </c>
      <c r="G900" s="15" t="s">
        <v>89</v>
      </c>
      <c r="H900" s="15">
        <v>1200.0</v>
      </c>
      <c r="I900" s="21">
        <f t="shared" si="1"/>
        <v>150</v>
      </c>
      <c r="J900" s="21"/>
      <c r="K900" s="22"/>
    </row>
    <row r="901" ht="22.5" customHeight="1">
      <c r="A901" s="28">
        <v>46107.0</v>
      </c>
      <c r="B901" s="15" t="s">
        <v>1061</v>
      </c>
      <c r="C901" s="13" t="s">
        <v>9</v>
      </c>
      <c r="D901" s="13">
        <v>80.0</v>
      </c>
      <c r="E901" s="15">
        <v>125.0</v>
      </c>
      <c r="F901" s="13" t="s">
        <v>21</v>
      </c>
      <c r="G901" s="15" t="s">
        <v>89</v>
      </c>
      <c r="H901" s="15">
        <v>4000.0</v>
      </c>
      <c r="I901" s="21">
        <f t="shared" si="1"/>
        <v>500</v>
      </c>
      <c r="J901" s="21"/>
      <c r="K901" s="22"/>
    </row>
    <row r="902" ht="22.5" customHeight="1">
      <c r="A902" s="28">
        <v>46107.0</v>
      </c>
      <c r="B902" s="15" t="s">
        <v>1063</v>
      </c>
      <c r="C902" s="13" t="s">
        <v>9</v>
      </c>
      <c r="D902" s="13">
        <v>80.0</v>
      </c>
      <c r="E902" s="15">
        <v>250.0</v>
      </c>
      <c r="F902" s="13" t="s">
        <v>21</v>
      </c>
      <c r="G902" s="15" t="s">
        <v>89</v>
      </c>
      <c r="H902" s="15">
        <v>800.0</v>
      </c>
      <c r="I902" s="21">
        <f t="shared" si="1"/>
        <v>200</v>
      </c>
      <c r="J902" s="21"/>
      <c r="K902" s="22"/>
    </row>
    <row r="903" ht="22.5" customHeight="1">
      <c r="A903" s="28">
        <v>46107.0</v>
      </c>
      <c r="B903" s="15" t="s">
        <v>1064</v>
      </c>
      <c r="C903" s="13" t="s">
        <v>9</v>
      </c>
      <c r="D903" s="13">
        <v>80.0</v>
      </c>
      <c r="E903" s="15">
        <v>125.0</v>
      </c>
      <c r="F903" s="13" t="s">
        <v>21</v>
      </c>
      <c r="G903" s="15" t="s">
        <v>89</v>
      </c>
      <c r="H903" s="15">
        <v>1100.0</v>
      </c>
      <c r="I903" s="21">
        <f t="shared" si="1"/>
        <v>137.5</v>
      </c>
      <c r="J903" s="21"/>
      <c r="K903" s="22"/>
    </row>
    <row r="904" ht="22.5" customHeight="1">
      <c r="A904" s="28">
        <v>46107.0</v>
      </c>
      <c r="B904" s="15" t="s">
        <v>1065</v>
      </c>
      <c r="C904" s="13" t="s">
        <v>9</v>
      </c>
      <c r="D904" s="13">
        <v>80.0</v>
      </c>
      <c r="E904" s="15">
        <v>180.0</v>
      </c>
      <c r="F904" s="13" t="s">
        <v>21</v>
      </c>
      <c r="G904" s="15" t="s">
        <v>89</v>
      </c>
      <c r="H904" s="15">
        <v>1507.0</v>
      </c>
      <c r="I904" s="21">
        <f t="shared" si="1"/>
        <v>271.26</v>
      </c>
      <c r="J904" s="21"/>
      <c r="K904" s="22"/>
    </row>
    <row r="905" ht="22.5" customHeight="1">
      <c r="A905" s="28">
        <v>46107.0</v>
      </c>
      <c r="B905" s="15" t="s">
        <v>1066</v>
      </c>
      <c r="C905" s="13" t="s">
        <v>9</v>
      </c>
      <c r="D905" s="13">
        <v>80.0</v>
      </c>
      <c r="E905" s="15">
        <v>150.0</v>
      </c>
      <c r="F905" s="13" t="s">
        <v>21</v>
      </c>
      <c r="G905" s="15" t="s">
        <v>89</v>
      </c>
      <c r="H905" s="15">
        <v>4450.0</v>
      </c>
      <c r="I905" s="21">
        <f t="shared" si="1"/>
        <v>667.5</v>
      </c>
      <c r="J905" s="21"/>
      <c r="K905" s="22"/>
    </row>
    <row r="906" ht="22.5" customHeight="1">
      <c r="A906" s="28">
        <v>46108.0</v>
      </c>
      <c r="B906" s="15" t="s">
        <v>1061</v>
      </c>
      <c r="C906" s="13" t="s">
        <v>9</v>
      </c>
      <c r="D906" s="13">
        <v>80.0</v>
      </c>
      <c r="E906" s="15">
        <v>125.0</v>
      </c>
      <c r="F906" s="13" t="s">
        <v>21</v>
      </c>
      <c r="G906" s="15" t="s">
        <v>89</v>
      </c>
      <c r="H906" s="15">
        <v>4000.0</v>
      </c>
      <c r="I906" s="21">
        <f t="shared" si="1"/>
        <v>500</v>
      </c>
      <c r="J906" s="21"/>
      <c r="K906" s="22"/>
    </row>
    <row r="907" ht="22.5" customHeight="1">
      <c r="A907" s="28">
        <v>46108.0</v>
      </c>
      <c r="B907" s="15" t="s">
        <v>1067</v>
      </c>
      <c r="C907" s="13" t="s">
        <v>9</v>
      </c>
      <c r="D907" s="13">
        <v>80.0</v>
      </c>
      <c r="E907" s="15">
        <v>210.0</v>
      </c>
      <c r="F907" s="13" t="s">
        <v>21</v>
      </c>
      <c r="G907" s="15" t="s">
        <v>89</v>
      </c>
      <c r="H907" s="15">
        <v>3000.0</v>
      </c>
      <c r="I907" s="21">
        <f t="shared" si="1"/>
        <v>630</v>
      </c>
      <c r="J907" s="21"/>
      <c r="K907" s="22"/>
    </row>
    <row r="908" ht="22.5" customHeight="1">
      <c r="A908" s="28">
        <v>46108.0</v>
      </c>
      <c r="B908" s="15" t="s">
        <v>1067</v>
      </c>
      <c r="C908" s="13" t="s">
        <v>9</v>
      </c>
      <c r="D908" s="13">
        <v>80.0</v>
      </c>
      <c r="E908" s="15">
        <v>230.0</v>
      </c>
      <c r="F908" s="13" t="s">
        <v>21</v>
      </c>
      <c r="G908" s="15" t="s">
        <v>89</v>
      </c>
      <c r="H908" s="15">
        <v>2000.0</v>
      </c>
      <c r="I908" s="21">
        <f t="shared" si="1"/>
        <v>460</v>
      </c>
      <c r="J908" s="21"/>
      <c r="K908" s="22"/>
    </row>
    <row r="909" ht="22.5" customHeight="1">
      <c r="A909" s="28">
        <v>46108.0</v>
      </c>
      <c r="B909" s="15" t="s">
        <v>1068</v>
      </c>
      <c r="C909" s="13" t="s">
        <v>9</v>
      </c>
      <c r="D909" s="13">
        <v>80.0</v>
      </c>
      <c r="E909" s="15">
        <v>395.0</v>
      </c>
      <c r="F909" s="13" t="s">
        <v>21</v>
      </c>
      <c r="G909" s="15" t="s">
        <v>89</v>
      </c>
      <c r="H909" s="15">
        <v>1600.0</v>
      </c>
      <c r="I909" s="21">
        <f t="shared" si="1"/>
        <v>632</v>
      </c>
      <c r="J909" s="15" t="s">
        <v>1192</v>
      </c>
      <c r="K909" s="22"/>
    </row>
    <row r="910" ht="22.5" customHeight="1">
      <c r="A910" s="28">
        <v>46108.0</v>
      </c>
      <c r="B910" s="15" t="s">
        <v>1069</v>
      </c>
      <c r="C910" s="13" t="s">
        <v>65</v>
      </c>
      <c r="D910" s="13">
        <v>40.0</v>
      </c>
      <c r="E910" s="15">
        <v>650.0</v>
      </c>
      <c r="F910" s="38"/>
      <c r="G910" s="15" t="s">
        <v>893</v>
      </c>
      <c r="H910" s="15">
        <v>6600.0</v>
      </c>
      <c r="I910" s="21">
        <f t="shared" si="1"/>
        <v>4290</v>
      </c>
      <c r="J910" s="15" t="s">
        <v>1193</v>
      </c>
      <c r="K910" s="22"/>
    </row>
    <row r="911" ht="22.5" customHeight="1">
      <c r="A911" s="28">
        <v>46108.0</v>
      </c>
      <c r="B911" s="15" t="s">
        <v>1070</v>
      </c>
      <c r="C911" s="13" t="s">
        <v>65</v>
      </c>
      <c r="D911" s="13">
        <v>40.0</v>
      </c>
      <c r="E911" s="15">
        <v>240.0</v>
      </c>
      <c r="F911" s="38"/>
      <c r="G911" s="15" t="s">
        <v>893</v>
      </c>
      <c r="H911" s="15">
        <v>2300.0</v>
      </c>
      <c r="I911" s="21">
        <f t="shared" si="1"/>
        <v>552</v>
      </c>
      <c r="J911" s="15" t="s">
        <v>1193</v>
      </c>
      <c r="K911" s="22"/>
    </row>
    <row r="912" ht="22.5" customHeight="1">
      <c r="A912" s="28">
        <v>46109.0</v>
      </c>
      <c r="B912" s="15" t="s">
        <v>1071</v>
      </c>
      <c r="C912" s="13" t="s">
        <v>9</v>
      </c>
      <c r="D912" s="13">
        <v>80.0</v>
      </c>
      <c r="E912" s="15">
        <v>150.0</v>
      </c>
      <c r="F912" s="13" t="s">
        <v>21</v>
      </c>
      <c r="G912" s="15" t="s">
        <v>89</v>
      </c>
      <c r="H912" s="15">
        <v>2430.0</v>
      </c>
      <c r="I912" s="21">
        <f t="shared" si="1"/>
        <v>364.5</v>
      </c>
      <c r="J912" s="21"/>
      <c r="K912" s="22"/>
    </row>
    <row r="913" ht="22.5" customHeight="1">
      <c r="A913" s="28">
        <v>46109.0</v>
      </c>
      <c r="B913" s="15" t="s">
        <v>1072</v>
      </c>
      <c r="C913" s="13" t="s">
        <v>9</v>
      </c>
      <c r="D913" s="13">
        <v>80.0</v>
      </c>
      <c r="E913" s="15">
        <v>150.0</v>
      </c>
      <c r="F913" s="13" t="s">
        <v>21</v>
      </c>
      <c r="G913" s="15" t="s">
        <v>89</v>
      </c>
      <c r="H913" s="15">
        <v>1680.0</v>
      </c>
      <c r="I913" s="21">
        <f t="shared" si="1"/>
        <v>252</v>
      </c>
      <c r="J913" s="21"/>
      <c r="K913" s="22"/>
    </row>
    <row r="914" ht="22.5" customHeight="1">
      <c r="A914" s="28">
        <v>46109.0</v>
      </c>
      <c r="B914" s="15" t="s">
        <v>1070</v>
      </c>
      <c r="C914" s="13" t="s">
        <v>9</v>
      </c>
      <c r="D914" s="13">
        <v>80.0</v>
      </c>
      <c r="E914" s="15">
        <v>180.0</v>
      </c>
      <c r="F914" s="13" t="s">
        <v>21</v>
      </c>
      <c r="G914" s="15" t="s">
        <v>89</v>
      </c>
      <c r="H914" s="15">
        <v>600.0</v>
      </c>
      <c r="I914" s="21">
        <f t="shared" si="1"/>
        <v>108</v>
      </c>
      <c r="J914" s="21"/>
      <c r="K914" s="22"/>
    </row>
    <row r="915" ht="22.5" customHeight="1">
      <c r="A915" s="28">
        <v>46109.0</v>
      </c>
      <c r="B915" s="15" t="s">
        <v>1073</v>
      </c>
      <c r="C915" s="13" t="s">
        <v>9</v>
      </c>
      <c r="D915" s="13">
        <v>80.0</v>
      </c>
      <c r="E915" s="15">
        <v>160.0</v>
      </c>
      <c r="F915" s="13" t="s">
        <v>21</v>
      </c>
      <c r="G915" s="15" t="s">
        <v>89</v>
      </c>
      <c r="H915" s="15">
        <v>2350.0</v>
      </c>
      <c r="I915" s="21">
        <f t="shared" si="1"/>
        <v>376</v>
      </c>
      <c r="J915" s="21"/>
      <c r="K915" s="22"/>
    </row>
    <row r="916" ht="22.5" customHeight="1">
      <c r="A916" s="28">
        <v>46109.0</v>
      </c>
      <c r="B916" s="15" t="s">
        <v>1074</v>
      </c>
      <c r="C916" s="13" t="s">
        <v>9</v>
      </c>
      <c r="D916" s="13">
        <v>80.0</v>
      </c>
      <c r="E916" s="15">
        <v>300.0</v>
      </c>
      <c r="F916" s="13" t="s">
        <v>21</v>
      </c>
      <c r="G916" s="15" t="s">
        <v>89</v>
      </c>
      <c r="H916" s="15">
        <v>2300.0</v>
      </c>
      <c r="I916" s="21">
        <f t="shared" si="1"/>
        <v>690</v>
      </c>
      <c r="J916" s="21"/>
      <c r="K916" s="22"/>
    </row>
    <row r="917" ht="22.5" customHeight="1">
      <c r="A917" s="28">
        <v>46109.0</v>
      </c>
      <c r="B917" s="15" t="s">
        <v>1075</v>
      </c>
      <c r="C917" s="13" t="s">
        <v>9</v>
      </c>
      <c r="D917" s="13">
        <v>80.0</v>
      </c>
      <c r="E917" s="15">
        <v>300.0</v>
      </c>
      <c r="F917" s="13" t="s">
        <v>21</v>
      </c>
      <c r="G917" s="15" t="s">
        <v>89</v>
      </c>
      <c r="H917" s="15">
        <v>810.0</v>
      </c>
      <c r="I917" s="21">
        <f t="shared" si="1"/>
        <v>243</v>
      </c>
      <c r="J917" s="21"/>
      <c r="K917" s="22"/>
    </row>
    <row r="918" ht="22.5" customHeight="1">
      <c r="A918" s="28">
        <v>46109.0</v>
      </c>
      <c r="B918" s="15" t="s">
        <v>1075</v>
      </c>
      <c r="C918" s="13" t="s">
        <v>9</v>
      </c>
      <c r="D918" s="13">
        <v>80.0</v>
      </c>
      <c r="E918" s="15">
        <v>320.0</v>
      </c>
      <c r="F918" s="13" t="s">
        <v>21</v>
      </c>
      <c r="G918" s="15" t="s">
        <v>89</v>
      </c>
      <c r="H918" s="15">
        <v>200.0</v>
      </c>
      <c r="I918" s="21">
        <f t="shared" si="1"/>
        <v>64</v>
      </c>
      <c r="J918" s="21"/>
      <c r="K918" s="22"/>
    </row>
    <row r="919" ht="22.5" customHeight="1">
      <c r="A919" s="28">
        <v>46111.0</v>
      </c>
      <c r="B919" s="15" t="s">
        <v>1076</v>
      </c>
      <c r="C919" s="13" t="s">
        <v>43</v>
      </c>
      <c r="D919" s="13">
        <v>50.0</v>
      </c>
      <c r="E919" s="15">
        <v>125.0</v>
      </c>
      <c r="F919" s="13" t="s">
        <v>27</v>
      </c>
      <c r="G919" s="15" t="s">
        <v>1032</v>
      </c>
      <c r="H919" s="15">
        <v>2150.0</v>
      </c>
      <c r="I919" s="21">
        <f t="shared" si="1"/>
        <v>268.75</v>
      </c>
      <c r="J919" s="21"/>
      <c r="K919" s="22"/>
    </row>
    <row r="920" ht="22.5" customHeight="1">
      <c r="A920" s="28">
        <v>46111.0</v>
      </c>
      <c r="B920" s="15" t="s">
        <v>1077</v>
      </c>
      <c r="C920" s="13" t="s">
        <v>43</v>
      </c>
      <c r="D920" s="13">
        <v>50.0</v>
      </c>
      <c r="E920" s="15">
        <v>125.0</v>
      </c>
      <c r="F920" s="13" t="s">
        <v>27</v>
      </c>
      <c r="G920" s="15" t="s">
        <v>1032</v>
      </c>
      <c r="H920" s="15">
        <v>3180.0</v>
      </c>
      <c r="I920" s="21">
        <f t="shared" si="1"/>
        <v>397.5</v>
      </c>
      <c r="J920" s="21"/>
      <c r="K920" s="22"/>
    </row>
    <row r="921" ht="22.5" customHeight="1">
      <c r="A921" s="28">
        <v>46111.0</v>
      </c>
      <c r="B921" s="15" t="s">
        <v>1078</v>
      </c>
      <c r="C921" s="13" t="s">
        <v>43</v>
      </c>
      <c r="D921" s="13">
        <v>50.0</v>
      </c>
      <c r="E921" s="15">
        <v>125.0</v>
      </c>
      <c r="F921" s="13" t="s">
        <v>27</v>
      </c>
      <c r="G921" s="15" t="s">
        <v>1032</v>
      </c>
      <c r="H921" s="15">
        <v>2060.0</v>
      </c>
      <c r="I921" s="21">
        <f t="shared" si="1"/>
        <v>257.5</v>
      </c>
      <c r="J921" s="21"/>
      <c r="K921" s="22"/>
    </row>
    <row r="922" ht="22.5" customHeight="1">
      <c r="A922" s="28">
        <v>46111.0</v>
      </c>
      <c r="B922" s="15" t="s">
        <v>970</v>
      </c>
      <c r="C922" s="13" t="s">
        <v>9</v>
      </c>
      <c r="D922" s="13">
        <v>80.0</v>
      </c>
      <c r="E922" s="15">
        <v>185.0</v>
      </c>
      <c r="F922" s="13" t="s">
        <v>27</v>
      </c>
      <c r="G922" s="15" t="s">
        <v>106</v>
      </c>
      <c r="H922" s="15">
        <v>1500.0</v>
      </c>
      <c r="I922" s="21">
        <f t="shared" si="1"/>
        <v>277.5</v>
      </c>
      <c r="J922" s="21"/>
      <c r="K922" s="22"/>
    </row>
    <row r="923" ht="22.5" customHeight="1">
      <c r="A923" s="28">
        <v>46111.0</v>
      </c>
      <c r="B923" s="15" t="s">
        <v>955</v>
      </c>
      <c r="C923" s="13" t="s">
        <v>9</v>
      </c>
      <c r="D923" s="13">
        <v>80.0</v>
      </c>
      <c r="E923" s="15">
        <v>185.0</v>
      </c>
      <c r="F923" s="13" t="s">
        <v>27</v>
      </c>
      <c r="G923" s="15" t="s">
        <v>106</v>
      </c>
      <c r="H923" s="15">
        <v>1970.0</v>
      </c>
      <c r="I923" s="21">
        <f t="shared" si="1"/>
        <v>364.45</v>
      </c>
      <c r="J923" s="21"/>
      <c r="K923" s="22"/>
    </row>
    <row r="924" ht="22.5" customHeight="1">
      <c r="A924" s="28">
        <v>46111.0</v>
      </c>
      <c r="B924" s="15" t="s">
        <v>1079</v>
      </c>
      <c r="C924" s="13" t="s">
        <v>43</v>
      </c>
      <c r="D924" s="13">
        <v>50.0</v>
      </c>
      <c r="E924" s="15">
        <v>125.0</v>
      </c>
      <c r="F924" s="13" t="s">
        <v>27</v>
      </c>
      <c r="G924" s="15" t="s">
        <v>1032</v>
      </c>
      <c r="H924" s="15">
        <v>960.0</v>
      </c>
      <c r="I924" s="21">
        <f t="shared" si="1"/>
        <v>120</v>
      </c>
      <c r="J924" s="21"/>
      <c r="K924" s="22"/>
    </row>
    <row r="925" ht="22.5" customHeight="1">
      <c r="A925" s="28">
        <v>46112.0</v>
      </c>
      <c r="B925" s="15" t="s">
        <v>1080</v>
      </c>
      <c r="C925" s="13" t="s">
        <v>9</v>
      </c>
      <c r="D925" s="13">
        <v>80.0</v>
      </c>
      <c r="E925" s="15">
        <v>280.0</v>
      </c>
      <c r="F925" s="13" t="s">
        <v>21</v>
      </c>
      <c r="G925" s="15" t="s">
        <v>89</v>
      </c>
      <c r="H925" s="15">
        <v>620.0</v>
      </c>
      <c r="I925" s="21">
        <f t="shared" si="1"/>
        <v>173.6</v>
      </c>
      <c r="J925" s="21"/>
      <c r="K925" s="22"/>
    </row>
    <row r="926" ht="22.5" customHeight="1">
      <c r="A926" s="28">
        <v>46112.0</v>
      </c>
      <c r="B926" s="15" t="s">
        <v>1081</v>
      </c>
      <c r="C926" s="13" t="s">
        <v>9</v>
      </c>
      <c r="D926" s="13">
        <v>80.0</v>
      </c>
      <c r="E926" s="15">
        <v>125.0</v>
      </c>
      <c r="F926" s="13" t="s">
        <v>21</v>
      </c>
      <c r="G926" s="15" t="s">
        <v>89</v>
      </c>
      <c r="H926" s="15">
        <v>2040.0</v>
      </c>
      <c r="I926" s="21">
        <f t="shared" si="1"/>
        <v>255</v>
      </c>
      <c r="J926" s="21"/>
      <c r="K926" s="22"/>
    </row>
    <row r="927" ht="22.5" customHeight="1">
      <c r="A927" s="28">
        <v>46112.0</v>
      </c>
      <c r="B927" s="15" t="s">
        <v>1082</v>
      </c>
      <c r="C927" s="13" t="s">
        <v>9</v>
      </c>
      <c r="D927" s="13">
        <v>80.0</v>
      </c>
      <c r="E927" s="15">
        <v>280.0</v>
      </c>
      <c r="F927" s="13" t="s">
        <v>21</v>
      </c>
      <c r="G927" s="15" t="s">
        <v>89</v>
      </c>
      <c r="H927" s="15">
        <v>1300.0</v>
      </c>
      <c r="I927" s="21">
        <f t="shared" si="1"/>
        <v>364</v>
      </c>
      <c r="J927" s="21"/>
      <c r="K927" s="22"/>
    </row>
    <row r="928" ht="22.5" customHeight="1">
      <c r="A928" s="28">
        <v>46112.0</v>
      </c>
      <c r="B928" s="15" t="s">
        <v>1083</v>
      </c>
      <c r="C928" s="13" t="s">
        <v>54</v>
      </c>
      <c r="D928" s="13">
        <v>40.0</v>
      </c>
      <c r="E928" s="15">
        <v>200.0</v>
      </c>
      <c r="F928" s="38"/>
      <c r="G928" s="15" t="s">
        <v>742</v>
      </c>
      <c r="H928" s="15">
        <v>2000.0</v>
      </c>
      <c r="I928" s="21">
        <f t="shared" si="1"/>
        <v>400</v>
      </c>
      <c r="J928" s="15" t="s">
        <v>1193</v>
      </c>
      <c r="K928" s="22"/>
    </row>
    <row r="929" ht="22.5" customHeight="1">
      <c r="A929" s="28">
        <v>46112.0</v>
      </c>
      <c r="B929" s="15" t="s">
        <v>1084</v>
      </c>
      <c r="C929" s="13" t="s">
        <v>9</v>
      </c>
      <c r="D929" s="13">
        <v>80.0</v>
      </c>
      <c r="E929" s="15">
        <v>160.0</v>
      </c>
      <c r="F929" s="13" t="s">
        <v>27</v>
      </c>
      <c r="G929" s="15" t="s">
        <v>99</v>
      </c>
      <c r="H929" s="15">
        <v>1480.0</v>
      </c>
      <c r="I929" s="21">
        <f t="shared" si="1"/>
        <v>236.8</v>
      </c>
      <c r="J929" s="21"/>
      <c r="K929" s="22"/>
    </row>
    <row r="930" ht="22.5" customHeight="1">
      <c r="A930" s="28">
        <v>46112.0</v>
      </c>
      <c r="B930" s="15" t="s">
        <v>1085</v>
      </c>
      <c r="C930" s="13" t="s">
        <v>9</v>
      </c>
      <c r="D930" s="13">
        <v>80.0</v>
      </c>
      <c r="E930" s="15">
        <v>230.0</v>
      </c>
      <c r="F930" s="13" t="s">
        <v>27</v>
      </c>
      <c r="G930" s="15" t="s">
        <v>99</v>
      </c>
      <c r="H930" s="15">
        <v>1200.0</v>
      </c>
      <c r="I930" s="21">
        <f t="shared" si="1"/>
        <v>276</v>
      </c>
      <c r="J930" s="21"/>
      <c r="K930" s="22"/>
    </row>
    <row r="931" ht="22.5" customHeight="1">
      <c r="A931" s="28">
        <v>46112.0</v>
      </c>
      <c r="B931" s="15" t="s">
        <v>1086</v>
      </c>
      <c r="C931" s="13" t="s">
        <v>9</v>
      </c>
      <c r="D931" s="13">
        <v>80.0</v>
      </c>
      <c r="E931" s="15">
        <v>140.0</v>
      </c>
      <c r="F931" s="13" t="s">
        <v>27</v>
      </c>
      <c r="G931" s="15" t="s">
        <v>99</v>
      </c>
      <c r="H931" s="15">
        <v>500.0</v>
      </c>
      <c r="I931" s="21">
        <f t="shared" si="1"/>
        <v>70</v>
      </c>
      <c r="J931" s="21"/>
      <c r="K931" s="22"/>
    </row>
    <row r="932" ht="22.5" customHeight="1">
      <c r="A932" s="28">
        <v>46113.0</v>
      </c>
      <c r="B932" s="15" t="s">
        <v>1087</v>
      </c>
      <c r="C932" s="13" t="s">
        <v>9</v>
      </c>
      <c r="D932" s="13">
        <v>80.0</v>
      </c>
      <c r="E932" s="15">
        <v>290.0</v>
      </c>
      <c r="F932" s="13" t="s">
        <v>21</v>
      </c>
      <c r="G932" s="15" t="s">
        <v>89</v>
      </c>
      <c r="H932" s="15">
        <v>8000.0</v>
      </c>
      <c r="I932" s="21">
        <f t="shared" si="1"/>
        <v>2320</v>
      </c>
      <c r="J932" s="21"/>
      <c r="K932" s="22"/>
    </row>
    <row r="933" ht="22.5" customHeight="1">
      <c r="A933" s="28">
        <v>46113.0</v>
      </c>
      <c r="B933" s="15" t="s">
        <v>1088</v>
      </c>
      <c r="C933" s="13" t="s">
        <v>9</v>
      </c>
      <c r="D933" s="13">
        <v>80.0</v>
      </c>
      <c r="E933" s="15">
        <v>290.0</v>
      </c>
      <c r="F933" s="13" t="s">
        <v>21</v>
      </c>
      <c r="G933" s="15" t="s">
        <v>89</v>
      </c>
      <c r="H933" s="15">
        <v>10650.0</v>
      </c>
      <c r="I933" s="21">
        <f t="shared" si="1"/>
        <v>3088.5</v>
      </c>
      <c r="J933" s="21"/>
      <c r="K933" s="22"/>
    </row>
    <row r="934" ht="22.5" customHeight="1">
      <c r="A934" s="28">
        <v>46113.0</v>
      </c>
      <c r="B934" s="15" t="s">
        <v>1089</v>
      </c>
      <c r="C934" s="13" t="s">
        <v>9</v>
      </c>
      <c r="D934" s="13">
        <v>80.0</v>
      </c>
      <c r="E934" s="15">
        <v>290.0</v>
      </c>
      <c r="F934" s="13" t="s">
        <v>21</v>
      </c>
      <c r="G934" s="15" t="s">
        <v>89</v>
      </c>
      <c r="H934" s="15">
        <v>1820.0</v>
      </c>
      <c r="I934" s="21">
        <f t="shared" si="1"/>
        <v>527.8</v>
      </c>
      <c r="J934" s="21"/>
      <c r="K934" s="22"/>
    </row>
    <row r="935" ht="22.5" customHeight="1">
      <c r="A935" s="28">
        <v>46114.0</v>
      </c>
      <c r="B935" s="15" t="s">
        <v>1090</v>
      </c>
      <c r="C935" s="13" t="s">
        <v>9</v>
      </c>
      <c r="D935" s="13">
        <v>80.0</v>
      </c>
      <c r="E935" s="15">
        <v>160.0</v>
      </c>
      <c r="F935" s="13" t="s">
        <v>21</v>
      </c>
      <c r="G935" s="15" t="s">
        <v>89</v>
      </c>
      <c r="H935" s="15">
        <v>1000.0</v>
      </c>
      <c r="I935" s="21">
        <f t="shared" si="1"/>
        <v>160</v>
      </c>
      <c r="J935" s="21"/>
      <c r="K935" s="22"/>
    </row>
    <row r="936" ht="22.5" customHeight="1">
      <c r="A936" s="28">
        <v>46114.0</v>
      </c>
      <c r="B936" s="15" t="s">
        <v>1090</v>
      </c>
      <c r="C936" s="13" t="s">
        <v>9</v>
      </c>
      <c r="D936" s="13">
        <v>80.0</v>
      </c>
      <c r="E936" s="15">
        <v>170.0</v>
      </c>
      <c r="F936" s="13" t="s">
        <v>21</v>
      </c>
      <c r="G936" s="15" t="s">
        <v>89</v>
      </c>
      <c r="H936" s="15">
        <v>350.0</v>
      </c>
      <c r="I936" s="21">
        <f t="shared" si="1"/>
        <v>59.5</v>
      </c>
      <c r="J936" s="21"/>
      <c r="K936" s="22"/>
    </row>
    <row r="937" ht="22.5" customHeight="1">
      <c r="A937" s="28">
        <v>46114.0</v>
      </c>
      <c r="B937" s="15" t="s">
        <v>1090</v>
      </c>
      <c r="C937" s="13" t="s">
        <v>9</v>
      </c>
      <c r="D937" s="13">
        <v>80.0</v>
      </c>
      <c r="E937" s="15">
        <v>175.0</v>
      </c>
      <c r="F937" s="13" t="s">
        <v>21</v>
      </c>
      <c r="G937" s="15" t="s">
        <v>89</v>
      </c>
      <c r="H937" s="15">
        <v>800.0</v>
      </c>
      <c r="I937" s="21">
        <f t="shared" si="1"/>
        <v>140</v>
      </c>
      <c r="J937" s="15" t="s">
        <v>1194</v>
      </c>
      <c r="K937" s="22"/>
    </row>
    <row r="938" ht="22.5" customHeight="1">
      <c r="A938" s="28">
        <v>46114.0</v>
      </c>
      <c r="B938" s="15" t="s">
        <v>1091</v>
      </c>
      <c r="C938" s="13" t="s">
        <v>9</v>
      </c>
      <c r="D938" s="13">
        <v>80.0</v>
      </c>
      <c r="E938" s="15">
        <v>250.0</v>
      </c>
      <c r="F938" s="13" t="s">
        <v>21</v>
      </c>
      <c r="G938" s="15" t="s">
        <v>89</v>
      </c>
      <c r="H938" s="15">
        <v>360.0</v>
      </c>
      <c r="I938" s="21">
        <f t="shared" si="1"/>
        <v>90</v>
      </c>
      <c r="J938" s="21"/>
      <c r="K938" s="22"/>
    </row>
    <row r="939" ht="22.5" customHeight="1">
      <c r="A939" s="28">
        <v>46114.0</v>
      </c>
      <c r="B939" s="15" t="s">
        <v>1093</v>
      </c>
      <c r="C939" s="13" t="s">
        <v>9</v>
      </c>
      <c r="D939" s="13">
        <v>80.0</v>
      </c>
      <c r="E939" s="15">
        <v>250.0</v>
      </c>
      <c r="F939" s="13" t="s">
        <v>21</v>
      </c>
      <c r="G939" s="15" t="s">
        <v>89</v>
      </c>
      <c r="H939" s="15">
        <v>2000.0</v>
      </c>
      <c r="I939" s="21">
        <f t="shared" si="1"/>
        <v>500</v>
      </c>
      <c r="J939" s="21"/>
      <c r="K939" s="22"/>
    </row>
    <row r="940" ht="22.5" customHeight="1">
      <c r="A940" s="28">
        <v>46114.0</v>
      </c>
      <c r="B940" s="15" t="s">
        <v>1094</v>
      </c>
      <c r="C940" s="13" t="s">
        <v>9</v>
      </c>
      <c r="D940" s="13">
        <v>80.0</v>
      </c>
      <c r="E940" s="15">
        <v>250.0</v>
      </c>
      <c r="F940" s="13" t="s">
        <v>21</v>
      </c>
      <c r="G940" s="15" t="s">
        <v>89</v>
      </c>
      <c r="H940" s="15">
        <v>400.0</v>
      </c>
      <c r="I940" s="21">
        <f t="shared" si="1"/>
        <v>100</v>
      </c>
      <c r="J940" s="21"/>
      <c r="K940" s="22"/>
    </row>
    <row r="941" ht="22.5" customHeight="1">
      <c r="A941" s="28">
        <v>46114.0</v>
      </c>
      <c r="B941" s="15" t="s">
        <v>1095</v>
      </c>
      <c r="C941" s="13" t="s">
        <v>9</v>
      </c>
      <c r="D941" s="13">
        <v>80.0</v>
      </c>
      <c r="E941" s="15">
        <v>320.0</v>
      </c>
      <c r="F941" s="13" t="s">
        <v>21</v>
      </c>
      <c r="G941" s="15" t="s">
        <v>89</v>
      </c>
      <c r="H941" s="15">
        <v>990.0</v>
      </c>
      <c r="I941" s="21">
        <f t="shared" si="1"/>
        <v>316.8</v>
      </c>
      <c r="J941" s="21"/>
      <c r="K941" s="22"/>
    </row>
    <row r="942" ht="22.5" customHeight="1">
      <c r="A942" s="28">
        <v>46114.0</v>
      </c>
      <c r="B942" s="15" t="s">
        <v>1096</v>
      </c>
      <c r="C942" s="13" t="s">
        <v>9</v>
      </c>
      <c r="D942" s="13">
        <v>80.0</v>
      </c>
      <c r="E942" s="15">
        <v>200.0</v>
      </c>
      <c r="F942" s="13" t="s">
        <v>27</v>
      </c>
      <c r="G942" s="15" t="s">
        <v>99</v>
      </c>
      <c r="H942" s="15">
        <v>1500.0</v>
      </c>
      <c r="I942" s="21">
        <f t="shared" si="1"/>
        <v>300</v>
      </c>
      <c r="J942" s="21"/>
      <c r="K942" s="22"/>
    </row>
    <row r="943" ht="22.5" customHeight="1">
      <c r="A943" s="28">
        <v>46114.0</v>
      </c>
      <c r="B943" s="15" t="s">
        <v>1097</v>
      </c>
      <c r="C943" s="13" t="s">
        <v>9</v>
      </c>
      <c r="D943" s="13">
        <v>80.0</v>
      </c>
      <c r="E943" s="15">
        <v>170.0</v>
      </c>
      <c r="F943" s="13" t="s">
        <v>21</v>
      </c>
      <c r="G943" s="15" t="s">
        <v>89</v>
      </c>
      <c r="H943" s="15">
        <v>800.0</v>
      </c>
      <c r="I943" s="21">
        <f t="shared" si="1"/>
        <v>136</v>
      </c>
      <c r="J943" s="21"/>
      <c r="K943" s="22"/>
    </row>
    <row r="944" ht="22.5" customHeight="1">
      <c r="A944" s="28">
        <v>46114.0</v>
      </c>
      <c r="B944" s="15" t="s">
        <v>1098</v>
      </c>
      <c r="C944" s="13" t="s">
        <v>9</v>
      </c>
      <c r="D944" s="13">
        <v>80.0</v>
      </c>
      <c r="E944" s="15">
        <v>170.0</v>
      </c>
      <c r="F944" s="13" t="s">
        <v>21</v>
      </c>
      <c r="G944" s="15" t="s">
        <v>89</v>
      </c>
      <c r="H944" s="15">
        <v>550.0</v>
      </c>
      <c r="I944" s="21">
        <f t="shared" si="1"/>
        <v>93.5</v>
      </c>
      <c r="J944" s="21"/>
      <c r="K944" s="22"/>
    </row>
    <row r="945" ht="22.5" customHeight="1">
      <c r="A945" s="28">
        <v>46115.0</v>
      </c>
      <c r="B945" s="15" t="s">
        <v>1099</v>
      </c>
      <c r="C945" s="13" t="s">
        <v>9</v>
      </c>
      <c r="D945" s="13">
        <v>80.0</v>
      </c>
      <c r="E945" s="15">
        <v>200.0</v>
      </c>
      <c r="F945" s="13" t="s">
        <v>27</v>
      </c>
      <c r="G945" s="15" t="s">
        <v>99</v>
      </c>
      <c r="H945" s="15">
        <v>1500.0</v>
      </c>
      <c r="I945" s="21">
        <f t="shared" si="1"/>
        <v>300</v>
      </c>
      <c r="J945" s="21"/>
      <c r="K945" s="22"/>
    </row>
    <row r="946" ht="22.5" customHeight="1">
      <c r="A946" s="28">
        <v>46115.0</v>
      </c>
      <c r="B946" s="15" t="s">
        <v>1100</v>
      </c>
      <c r="C946" s="13" t="s">
        <v>9</v>
      </c>
      <c r="D946" s="13">
        <v>80.0</v>
      </c>
      <c r="E946" s="15">
        <v>185.0</v>
      </c>
      <c r="F946" s="13" t="s">
        <v>27</v>
      </c>
      <c r="G946" s="15" t="s">
        <v>106</v>
      </c>
      <c r="H946" s="15">
        <v>1050.0</v>
      </c>
      <c r="I946" s="21">
        <f t="shared" si="1"/>
        <v>194.25</v>
      </c>
      <c r="J946" s="21"/>
      <c r="K946" s="22"/>
    </row>
    <row r="947" ht="22.5" customHeight="1">
      <c r="A947" s="28">
        <v>46115.0</v>
      </c>
      <c r="B947" s="15" t="s">
        <v>1101</v>
      </c>
      <c r="C947" s="13" t="s">
        <v>9</v>
      </c>
      <c r="D947" s="13">
        <v>80.0</v>
      </c>
      <c r="E947" s="15">
        <v>140.0</v>
      </c>
      <c r="F947" s="13" t="s">
        <v>27</v>
      </c>
      <c r="G947" s="15" t="s">
        <v>392</v>
      </c>
      <c r="H947" s="15">
        <v>5960.0</v>
      </c>
      <c r="I947" s="21">
        <f t="shared" si="1"/>
        <v>834.4</v>
      </c>
      <c r="J947" s="21"/>
      <c r="K947" s="22"/>
    </row>
    <row r="948" ht="22.5" customHeight="1">
      <c r="A948" s="28">
        <v>46115.0</v>
      </c>
      <c r="B948" s="15" t="s">
        <v>1102</v>
      </c>
      <c r="C948" s="13" t="s">
        <v>9</v>
      </c>
      <c r="D948" s="13">
        <v>80.0</v>
      </c>
      <c r="E948" s="15">
        <v>140.0</v>
      </c>
      <c r="F948" s="13" t="s">
        <v>27</v>
      </c>
      <c r="G948" s="15" t="s">
        <v>99</v>
      </c>
      <c r="H948" s="15">
        <v>1760.0</v>
      </c>
      <c r="I948" s="21">
        <f t="shared" si="1"/>
        <v>246.4</v>
      </c>
      <c r="J948" s="21"/>
      <c r="K948" s="22"/>
    </row>
    <row r="949" ht="22.5" customHeight="1">
      <c r="A949" s="28">
        <v>46115.0</v>
      </c>
      <c r="B949" s="15" t="s">
        <v>1103</v>
      </c>
      <c r="C949" s="13" t="s">
        <v>9</v>
      </c>
      <c r="D949" s="13">
        <v>80.0</v>
      </c>
      <c r="E949" s="15">
        <v>140.0</v>
      </c>
      <c r="F949" s="13" t="s">
        <v>27</v>
      </c>
      <c r="G949" s="15" t="s">
        <v>99</v>
      </c>
      <c r="H949" s="15">
        <v>1560.0</v>
      </c>
      <c r="I949" s="21">
        <f t="shared" si="1"/>
        <v>218.4</v>
      </c>
      <c r="J949" s="21"/>
      <c r="K949" s="22"/>
    </row>
    <row r="950" ht="22.5" customHeight="1">
      <c r="A950" s="28">
        <v>46115.0</v>
      </c>
      <c r="B950" s="15" t="s">
        <v>1104</v>
      </c>
      <c r="C950" s="13" t="s">
        <v>9</v>
      </c>
      <c r="D950" s="13">
        <v>80.0</v>
      </c>
      <c r="E950" s="15">
        <v>140.0</v>
      </c>
      <c r="F950" s="13" t="s">
        <v>27</v>
      </c>
      <c r="G950" s="15" t="s">
        <v>99</v>
      </c>
      <c r="H950" s="15">
        <v>2450.0</v>
      </c>
      <c r="I950" s="21">
        <f t="shared" si="1"/>
        <v>343</v>
      </c>
      <c r="J950" s="21"/>
      <c r="K950" s="22"/>
    </row>
    <row r="951" ht="22.5" customHeight="1">
      <c r="A951" s="28">
        <v>46116.0</v>
      </c>
      <c r="B951" s="15" t="s">
        <v>1105</v>
      </c>
      <c r="C951" s="13" t="s">
        <v>9</v>
      </c>
      <c r="D951" s="13">
        <v>80.0</v>
      </c>
      <c r="E951" s="15">
        <v>150.0</v>
      </c>
      <c r="F951" s="13" t="s">
        <v>21</v>
      </c>
      <c r="G951" s="15" t="s">
        <v>89</v>
      </c>
      <c r="H951" s="15">
        <v>1000.0</v>
      </c>
      <c r="I951" s="21">
        <f t="shared" si="1"/>
        <v>150</v>
      </c>
      <c r="J951" s="21"/>
      <c r="K951" s="22"/>
    </row>
    <row r="952" ht="22.5" customHeight="1">
      <c r="A952" s="28">
        <v>46116.0</v>
      </c>
      <c r="B952" s="15" t="s">
        <v>1106</v>
      </c>
      <c r="C952" s="13" t="s">
        <v>9</v>
      </c>
      <c r="D952" s="13">
        <v>80.0</v>
      </c>
      <c r="E952" s="15">
        <v>180.0</v>
      </c>
      <c r="F952" s="13" t="s">
        <v>21</v>
      </c>
      <c r="G952" s="15" t="s">
        <v>89</v>
      </c>
      <c r="H952" s="15">
        <v>650.0</v>
      </c>
      <c r="I952" s="21">
        <f t="shared" si="1"/>
        <v>117</v>
      </c>
      <c r="J952" s="21"/>
      <c r="K952" s="22"/>
    </row>
    <row r="953" ht="22.5" customHeight="1">
      <c r="A953" s="28">
        <v>46116.0</v>
      </c>
      <c r="B953" s="15" t="s">
        <v>1107</v>
      </c>
      <c r="C953" s="13" t="s">
        <v>9</v>
      </c>
      <c r="D953" s="13">
        <v>80.0</v>
      </c>
      <c r="E953" s="15">
        <v>125.0</v>
      </c>
      <c r="F953" s="13" t="s">
        <v>21</v>
      </c>
      <c r="G953" s="15" t="s">
        <v>89</v>
      </c>
      <c r="H953" s="15">
        <v>1720.0</v>
      </c>
      <c r="I953" s="21">
        <f t="shared" si="1"/>
        <v>215</v>
      </c>
      <c r="J953" s="21"/>
      <c r="K953" s="22"/>
    </row>
    <row r="954" ht="22.5" customHeight="1">
      <c r="A954" s="28">
        <v>46116.0</v>
      </c>
      <c r="B954" s="15" t="s">
        <v>1108</v>
      </c>
      <c r="C954" s="13" t="s">
        <v>9</v>
      </c>
      <c r="D954" s="13">
        <v>80.0</v>
      </c>
      <c r="E954" s="15">
        <v>125.0</v>
      </c>
      <c r="F954" s="13" t="s">
        <v>21</v>
      </c>
      <c r="G954" s="15" t="s">
        <v>89</v>
      </c>
      <c r="H954" s="15">
        <v>1000.0</v>
      </c>
      <c r="I954" s="21">
        <f t="shared" si="1"/>
        <v>125</v>
      </c>
      <c r="J954" s="21"/>
      <c r="K954" s="22"/>
    </row>
    <row r="955" ht="22.5" customHeight="1">
      <c r="A955" s="28">
        <v>46116.0</v>
      </c>
      <c r="B955" s="15" t="s">
        <v>1109</v>
      </c>
      <c r="C955" s="13" t="s">
        <v>57</v>
      </c>
      <c r="D955" s="13">
        <v>80.0</v>
      </c>
      <c r="E955" s="15">
        <v>160.0</v>
      </c>
      <c r="F955" s="13" t="s">
        <v>33</v>
      </c>
      <c r="G955" s="15" t="s">
        <v>170</v>
      </c>
      <c r="H955" s="15">
        <v>2000.0</v>
      </c>
      <c r="I955" s="21">
        <f t="shared" si="1"/>
        <v>320</v>
      </c>
      <c r="J955" s="21"/>
      <c r="K955" s="22"/>
    </row>
    <row r="956" ht="22.5" customHeight="1">
      <c r="A956" s="28">
        <v>46116.0</v>
      </c>
      <c r="B956" s="15" t="s">
        <v>1110</v>
      </c>
      <c r="C956" s="38"/>
      <c r="D956" s="38"/>
      <c r="E956" s="15">
        <v>100.0</v>
      </c>
      <c r="F956" s="38"/>
      <c r="G956" s="15" t="s">
        <v>170</v>
      </c>
      <c r="H956" s="15">
        <v>900.0</v>
      </c>
      <c r="I956" s="21">
        <f t="shared" si="1"/>
        <v>90</v>
      </c>
      <c r="J956" s="15" t="s">
        <v>1195</v>
      </c>
      <c r="K956" s="22"/>
    </row>
    <row r="957" ht="22.5" customHeight="1">
      <c r="A957" s="28">
        <v>46118.0</v>
      </c>
      <c r="B957" s="15" t="s">
        <v>1111</v>
      </c>
      <c r="C957" s="13" t="s">
        <v>9</v>
      </c>
      <c r="D957" s="13">
        <v>80.0</v>
      </c>
      <c r="E957" s="15">
        <v>150.0</v>
      </c>
      <c r="F957" s="13" t="s">
        <v>21</v>
      </c>
      <c r="G957" s="15" t="s">
        <v>89</v>
      </c>
      <c r="H957" s="15">
        <v>2000.0</v>
      </c>
      <c r="I957" s="21">
        <f t="shared" si="1"/>
        <v>300</v>
      </c>
      <c r="J957" s="21"/>
      <c r="K957" s="22"/>
    </row>
    <row r="958" ht="22.5" customHeight="1">
      <c r="A958" s="28">
        <v>46118.0</v>
      </c>
      <c r="B958" s="15" t="s">
        <v>1112</v>
      </c>
      <c r="C958" s="13" t="s">
        <v>9</v>
      </c>
      <c r="D958" s="13">
        <v>80.0</v>
      </c>
      <c r="E958" s="15">
        <v>250.0</v>
      </c>
      <c r="F958" s="13" t="s">
        <v>21</v>
      </c>
      <c r="G958" s="15" t="s">
        <v>89</v>
      </c>
      <c r="H958" s="15">
        <v>2000.0</v>
      </c>
      <c r="I958" s="21">
        <f t="shared" si="1"/>
        <v>500</v>
      </c>
      <c r="J958" s="21"/>
      <c r="K958" s="22"/>
    </row>
    <row r="959" ht="22.5" customHeight="1">
      <c r="A959" s="28">
        <v>46118.0</v>
      </c>
      <c r="B959" s="15" t="s">
        <v>1113</v>
      </c>
      <c r="C959" s="13" t="s">
        <v>9</v>
      </c>
      <c r="D959" s="13">
        <v>80.0</v>
      </c>
      <c r="E959" s="15">
        <v>180.0</v>
      </c>
      <c r="F959" s="13" t="s">
        <v>21</v>
      </c>
      <c r="G959" s="15" t="s">
        <v>89</v>
      </c>
      <c r="H959" s="15">
        <v>6000.0</v>
      </c>
      <c r="I959" s="21">
        <f t="shared" si="1"/>
        <v>1080</v>
      </c>
      <c r="J959" s="21"/>
      <c r="K959" s="22"/>
    </row>
    <row r="960" ht="22.5" customHeight="1">
      <c r="A960" s="28">
        <v>46119.0</v>
      </c>
      <c r="B960" s="15" t="s">
        <v>1114</v>
      </c>
      <c r="C960" s="13" t="s">
        <v>9</v>
      </c>
      <c r="D960" s="13">
        <v>80.0</v>
      </c>
      <c r="E960" s="15">
        <v>395.0</v>
      </c>
      <c r="F960" s="13" t="s">
        <v>21</v>
      </c>
      <c r="G960" s="15" t="s">
        <v>89</v>
      </c>
      <c r="H960" s="15">
        <v>2000.0</v>
      </c>
      <c r="I960" s="21">
        <f t="shared" si="1"/>
        <v>790</v>
      </c>
      <c r="J960" s="21"/>
      <c r="K960" s="22"/>
    </row>
    <row r="961" ht="22.5" customHeight="1">
      <c r="A961" s="28">
        <v>46119.0</v>
      </c>
      <c r="B961" s="15" t="s">
        <v>1115</v>
      </c>
      <c r="C961" s="13" t="s">
        <v>9</v>
      </c>
      <c r="D961" s="13">
        <v>80.0</v>
      </c>
      <c r="E961" s="15">
        <v>210.0</v>
      </c>
      <c r="F961" s="13" t="s">
        <v>21</v>
      </c>
      <c r="G961" s="15" t="s">
        <v>89</v>
      </c>
      <c r="H961" s="15">
        <v>4000.0</v>
      </c>
      <c r="I961" s="21">
        <f t="shared" si="1"/>
        <v>840</v>
      </c>
      <c r="J961" s="21"/>
      <c r="K961" s="22"/>
    </row>
    <row r="962" ht="22.5" customHeight="1">
      <c r="A962" s="28">
        <v>46119.0</v>
      </c>
      <c r="B962" s="15" t="s">
        <v>1116</v>
      </c>
      <c r="C962" s="13" t="s">
        <v>9</v>
      </c>
      <c r="D962" s="13">
        <v>80.0</v>
      </c>
      <c r="E962" s="15">
        <v>7750.0</v>
      </c>
      <c r="F962" s="13" t="s">
        <v>21</v>
      </c>
      <c r="G962" s="15" t="s">
        <v>89</v>
      </c>
      <c r="H962" s="15">
        <v>7750.0</v>
      </c>
      <c r="I962" s="21">
        <f t="shared" si="1"/>
        <v>60062.5</v>
      </c>
      <c r="J962" s="21"/>
      <c r="K962" s="22"/>
    </row>
    <row r="963" ht="22.5" customHeight="1">
      <c r="A963" s="28">
        <v>46119.0</v>
      </c>
      <c r="B963" s="15" t="s">
        <v>1117</v>
      </c>
      <c r="C963" s="13" t="s">
        <v>9</v>
      </c>
      <c r="D963" s="13">
        <v>80.0</v>
      </c>
      <c r="E963" s="15">
        <v>300.0</v>
      </c>
      <c r="F963" s="13" t="s">
        <v>21</v>
      </c>
      <c r="G963" s="15" t="s">
        <v>89</v>
      </c>
      <c r="H963" s="15">
        <v>11090.0</v>
      </c>
      <c r="I963" s="21">
        <f t="shared" si="1"/>
        <v>3327</v>
      </c>
      <c r="J963" s="21"/>
      <c r="K963" s="22"/>
    </row>
    <row r="964" ht="22.5" customHeight="1">
      <c r="A964" s="28">
        <v>46120.0</v>
      </c>
      <c r="B964" s="15" t="s">
        <v>1118</v>
      </c>
      <c r="C964" s="13" t="s">
        <v>9</v>
      </c>
      <c r="D964" s="13">
        <v>80.0</v>
      </c>
      <c r="E964" s="15">
        <v>395.0</v>
      </c>
      <c r="F964" s="13" t="s">
        <v>21</v>
      </c>
      <c r="G964" s="15" t="s">
        <v>89</v>
      </c>
      <c r="H964" s="15">
        <v>4040.0</v>
      </c>
      <c r="I964" s="21">
        <f t="shared" si="1"/>
        <v>1595.8</v>
      </c>
      <c r="J964" s="21"/>
      <c r="K964" s="22"/>
    </row>
    <row r="965" ht="22.5" customHeight="1">
      <c r="A965" s="28">
        <v>46120.0</v>
      </c>
      <c r="B965" s="15" t="s">
        <v>1119</v>
      </c>
      <c r="C965" s="13" t="s">
        <v>9</v>
      </c>
      <c r="D965" s="13">
        <v>80.0</v>
      </c>
      <c r="E965" s="15">
        <v>250.0</v>
      </c>
      <c r="F965" s="13" t="s">
        <v>21</v>
      </c>
      <c r="G965" s="15" t="s">
        <v>89</v>
      </c>
      <c r="H965" s="15">
        <v>15400.0</v>
      </c>
      <c r="I965" s="21">
        <f t="shared" si="1"/>
        <v>3850</v>
      </c>
      <c r="J965" s="21"/>
      <c r="K965" s="22"/>
    </row>
    <row r="966" ht="22.5" customHeight="1">
      <c r="A966" s="28">
        <v>46120.0</v>
      </c>
      <c r="B966" s="15" t="s">
        <v>1120</v>
      </c>
      <c r="C966" s="13" t="s">
        <v>9</v>
      </c>
      <c r="D966" s="13">
        <v>80.0</v>
      </c>
      <c r="E966" s="15">
        <v>210.0</v>
      </c>
      <c r="F966" s="13" t="s">
        <v>21</v>
      </c>
      <c r="G966" s="15" t="s">
        <v>89</v>
      </c>
      <c r="H966" s="15">
        <v>2680.0</v>
      </c>
      <c r="I966" s="21">
        <f t="shared" si="1"/>
        <v>562.8</v>
      </c>
      <c r="J966" s="21"/>
      <c r="K966" s="22"/>
    </row>
    <row r="967" ht="22.5" customHeight="1">
      <c r="A967" s="28">
        <v>46120.0</v>
      </c>
      <c r="B967" s="15" t="s">
        <v>1121</v>
      </c>
      <c r="C967" s="13" t="s">
        <v>9</v>
      </c>
      <c r="D967" s="13">
        <v>80.0</v>
      </c>
      <c r="E967" s="15">
        <v>210.0</v>
      </c>
      <c r="F967" s="13" t="s">
        <v>21</v>
      </c>
      <c r="G967" s="15" t="s">
        <v>89</v>
      </c>
      <c r="H967" s="15">
        <v>1500.0</v>
      </c>
      <c r="I967" s="21">
        <f t="shared" si="1"/>
        <v>315</v>
      </c>
      <c r="J967" s="21"/>
      <c r="K967" s="22"/>
    </row>
    <row r="968" ht="22.5" customHeight="1">
      <c r="A968" s="28">
        <v>46120.0</v>
      </c>
      <c r="B968" s="15" t="s">
        <v>1122</v>
      </c>
      <c r="C968" s="13" t="s">
        <v>9</v>
      </c>
      <c r="D968" s="13">
        <v>80.0</v>
      </c>
      <c r="E968" s="15">
        <v>320.0</v>
      </c>
      <c r="F968" s="13" t="s">
        <v>21</v>
      </c>
      <c r="G968" s="15" t="s">
        <v>89</v>
      </c>
      <c r="H968" s="15">
        <v>2000.0</v>
      </c>
      <c r="I968" s="21">
        <f t="shared" si="1"/>
        <v>640</v>
      </c>
      <c r="J968" s="21"/>
      <c r="K968" s="22"/>
    </row>
    <row r="969" ht="22.5" customHeight="1">
      <c r="A969" s="28">
        <v>46120.0</v>
      </c>
      <c r="B969" s="15" t="s">
        <v>1123</v>
      </c>
      <c r="C969" s="13" t="s">
        <v>9</v>
      </c>
      <c r="D969" s="13">
        <v>80.0</v>
      </c>
      <c r="E969" s="15">
        <v>230.0</v>
      </c>
      <c r="F969" s="13" t="s">
        <v>21</v>
      </c>
      <c r="G969" s="15" t="s">
        <v>89</v>
      </c>
      <c r="H969" s="15">
        <v>3200.0</v>
      </c>
      <c r="I969" s="21">
        <f t="shared" si="1"/>
        <v>736</v>
      </c>
      <c r="J969" s="21"/>
      <c r="K969" s="22"/>
    </row>
    <row r="970" ht="22.5" customHeight="1">
      <c r="A970" s="28">
        <v>46120.0</v>
      </c>
      <c r="B970" s="15" t="s">
        <v>1123</v>
      </c>
      <c r="C970" s="13" t="s">
        <v>9</v>
      </c>
      <c r="D970" s="13">
        <v>80.0</v>
      </c>
      <c r="E970" s="15">
        <v>250.0</v>
      </c>
      <c r="F970" s="13" t="s">
        <v>21</v>
      </c>
      <c r="G970" s="15" t="s">
        <v>89</v>
      </c>
      <c r="H970" s="15">
        <v>2000.0</v>
      </c>
      <c r="I970" s="21">
        <f t="shared" si="1"/>
        <v>500</v>
      </c>
      <c r="J970" s="21"/>
      <c r="K970" s="22"/>
    </row>
    <row r="971" ht="22.5" customHeight="1">
      <c r="A971" s="28">
        <v>46120.0</v>
      </c>
      <c r="B971" s="15" t="s">
        <v>1124</v>
      </c>
      <c r="C971" s="13" t="s">
        <v>9</v>
      </c>
      <c r="D971" s="13">
        <v>80.0</v>
      </c>
      <c r="E971" s="15">
        <v>320.0</v>
      </c>
      <c r="F971" s="13" t="s">
        <v>21</v>
      </c>
      <c r="G971" s="15" t="s">
        <v>89</v>
      </c>
      <c r="H971" s="15">
        <v>2000.0</v>
      </c>
      <c r="I971" s="21">
        <f t="shared" si="1"/>
        <v>640</v>
      </c>
      <c r="J971" s="21"/>
      <c r="K971" s="22"/>
    </row>
    <row r="972" ht="22.5" customHeight="1">
      <c r="A972" s="28">
        <v>46120.0</v>
      </c>
      <c r="B972" s="15" t="s">
        <v>1125</v>
      </c>
      <c r="C972" s="13" t="s">
        <v>9</v>
      </c>
      <c r="D972" s="13">
        <v>80.0</v>
      </c>
      <c r="E972" s="15">
        <v>330.0</v>
      </c>
      <c r="F972" s="13" t="s">
        <v>21</v>
      </c>
      <c r="G972" s="15" t="s">
        <v>89</v>
      </c>
      <c r="H972" s="15">
        <v>600.0</v>
      </c>
      <c r="I972" s="21">
        <f t="shared" si="1"/>
        <v>198</v>
      </c>
      <c r="J972" s="21"/>
      <c r="K972" s="22"/>
    </row>
    <row r="973" ht="22.5" customHeight="1">
      <c r="A973" s="28">
        <v>46120.0</v>
      </c>
      <c r="B973" s="15" t="s">
        <v>1126</v>
      </c>
      <c r="C973" s="13" t="s">
        <v>9</v>
      </c>
      <c r="D973" s="13">
        <v>80.0</v>
      </c>
      <c r="E973" s="15">
        <v>320.0</v>
      </c>
      <c r="F973" s="13" t="s">
        <v>21</v>
      </c>
      <c r="G973" s="15" t="s">
        <v>89</v>
      </c>
      <c r="H973" s="15">
        <v>1160.0</v>
      </c>
      <c r="I973" s="21">
        <f t="shared" si="1"/>
        <v>371.2</v>
      </c>
      <c r="J973" s="21"/>
      <c r="K973" s="22"/>
    </row>
    <row r="974" ht="22.5" customHeight="1">
      <c r="A974" s="28">
        <v>46121.0</v>
      </c>
      <c r="B974" s="15" t="s">
        <v>1127</v>
      </c>
      <c r="C974" s="13" t="s">
        <v>9</v>
      </c>
      <c r="D974" s="13">
        <v>80.0</v>
      </c>
      <c r="E974" s="15">
        <v>300.0</v>
      </c>
      <c r="F974" s="13" t="s">
        <v>21</v>
      </c>
      <c r="G974" s="15" t="s">
        <v>89</v>
      </c>
      <c r="H974" s="15">
        <v>2000.0</v>
      </c>
      <c r="I974" s="21">
        <f t="shared" si="1"/>
        <v>600</v>
      </c>
      <c r="J974" s="21"/>
      <c r="K974" s="22"/>
    </row>
    <row r="975" ht="22.5" customHeight="1">
      <c r="A975" s="28">
        <v>46121.0</v>
      </c>
      <c r="B975" s="15" t="s">
        <v>1128</v>
      </c>
      <c r="C975" s="13" t="s">
        <v>9</v>
      </c>
      <c r="D975" s="13">
        <v>80.0</v>
      </c>
      <c r="E975" s="15">
        <v>290.0</v>
      </c>
      <c r="F975" s="13" t="s">
        <v>21</v>
      </c>
      <c r="G975" s="15" t="s">
        <v>89</v>
      </c>
      <c r="H975" s="15">
        <v>4000.0</v>
      </c>
      <c r="I975" s="21">
        <f t="shared" si="1"/>
        <v>1160</v>
      </c>
      <c r="J975" s="21"/>
      <c r="K975" s="22"/>
    </row>
    <row r="976" ht="22.5" customHeight="1">
      <c r="A976" s="28">
        <v>46121.0</v>
      </c>
      <c r="B976" s="15" t="s">
        <v>1129</v>
      </c>
      <c r="C976" s="13" t="s">
        <v>9</v>
      </c>
      <c r="D976" s="13">
        <v>80.0</v>
      </c>
      <c r="E976" s="15">
        <v>330.0</v>
      </c>
      <c r="F976" s="13" t="s">
        <v>21</v>
      </c>
      <c r="G976" s="15" t="s">
        <v>89</v>
      </c>
      <c r="H976" s="15">
        <v>3240.0</v>
      </c>
      <c r="I976" s="21">
        <f t="shared" si="1"/>
        <v>1069.2</v>
      </c>
      <c r="J976" s="21"/>
      <c r="K976" s="22"/>
    </row>
    <row r="977" ht="22.5" customHeight="1">
      <c r="A977" s="28">
        <v>46121.0</v>
      </c>
      <c r="B977" s="15" t="s">
        <v>1130</v>
      </c>
      <c r="C977" s="13" t="s">
        <v>9</v>
      </c>
      <c r="D977" s="13">
        <v>80.0</v>
      </c>
      <c r="E977" s="15">
        <v>150.0</v>
      </c>
      <c r="F977" s="13" t="s">
        <v>21</v>
      </c>
      <c r="G977" s="15" t="s">
        <v>89</v>
      </c>
      <c r="H977" s="15">
        <v>1090.0</v>
      </c>
      <c r="I977" s="21">
        <f t="shared" si="1"/>
        <v>163.5</v>
      </c>
      <c r="J977" s="21"/>
      <c r="K977" s="22"/>
    </row>
    <row r="978" ht="22.5" customHeight="1">
      <c r="A978" s="28">
        <v>46121.0</v>
      </c>
      <c r="B978" s="15" t="s">
        <v>1131</v>
      </c>
      <c r="C978" s="13" t="s">
        <v>9</v>
      </c>
      <c r="D978" s="13">
        <v>80.0</v>
      </c>
      <c r="E978" s="15">
        <v>180.0</v>
      </c>
      <c r="F978" s="13" t="s">
        <v>21</v>
      </c>
      <c r="G978" s="15" t="s">
        <v>89</v>
      </c>
      <c r="H978" s="15">
        <v>1090.0</v>
      </c>
      <c r="I978" s="21">
        <f t="shared" si="1"/>
        <v>196.2</v>
      </c>
      <c r="J978" s="21"/>
      <c r="K978" s="22"/>
    </row>
    <row r="979" ht="22.5" customHeight="1">
      <c r="A979" s="28">
        <v>46121.0</v>
      </c>
      <c r="B979" s="15" t="s">
        <v>1132</v>
      </c>
      <c r="C979" s="13" t="s">
        <v>9</v>
      </c>
      <c r="D979" s="13">
        <v>80.0</v>
      </c>
      <c r="E979" s="15">
        <v>150.0</v>
      </c>
      <c r="F979" s="13" t="s">
        <v>21</v>
      </c>
      <c r="G979" s="15" t="s">
        <v>1133</v>
      </c>
      <c r="H979" s="15">
        <v>2700.0</v>
      </c>
      <c r="I979" s="21">
        <f t="shared" si="1"/>
        <v>405</v>
      </c>
      <c r="J979" s="21"/>
      <c r="K979" s="22"/>
    </row>
    <row r="980" ht="22.5" customHeight="1">
      <c r="A980" s="28">
        <v>46122.0</v>
      </c>
      <c r="B980" s="15" t="s">
        <v>1134</v>
      </c>
      <c r="C980" s="13" t="s">
        <v>9</v>
      </c>
      <c r="D980" s="13">
        <v>80.0</v>
      </c>
      <c r="E980" s="15">
        <v>290.0</v>
      </c>
      <c r="F980" s="13" t="s">
        <v>21</v>
      </c>
      <c r="G980" s="15" t="s">
        <v>89</v>
      </c>
      <c r="H980" s="15">
        <v>12950.0</v>
      </c>
      <c r="I980" s="21">
        <f t="shared" si="1"/>
        <v>3755.5</v>
      </c>
      <c r="J980" s="21"/>
      <c r="K980" s="22"/>
    </row>
    <row r="981" ht="22.5" customHeight="1">
      <c r="A981" s="28">
        <v>46122.0</v>
      </c>
      <c r="B981" s="15" t="s">
        <v>1135</v>
      </c>
      <c r="C981" s="13" t="s">
        <v>26</v>
      </c>
      <c r="D981" s="13">
        <v>80.0</v>
      </c>
      <c r="E981" s="15">
        <v>150.0</v>
      </c>
      <c r="F981" s="13" t="s">
        <v>27</v>
      </c>
      <c r="G981" s="15" t="s">
        <v>392</v>
      </c>
      <c r="H981" s="15">
        <v>4710.0</v>
      </c>
      <c r="I981" s="21">
        <f t="shared" si="1"/>
        <v>706.5</v>
      </c>
      <c r="J981" s="21"/>
      <c r="K981" s="22"/>
    </row>
    <row r="982" ht="22.5" customHeight="1">
      <c r="A982" s="28">
        <v>46122.0</v>
      </c>
      <c r="B982" s="15" t="s">
        <v>1136</v>
      </c>
      <c r="C982" s="13" t="s">
        <v>9</v>
      </c>
      <c r="D982" s="13">
        <v>80.0</v>
      </c>
      <c r="E982" s="15">
        <v>125.0</v>
      </c>
      <c r="F982" s="13" t="s">
        <v>21</v>
      </c>
      <c r="G982" s="15" t="s">
        <v>89</v>
      </c>
      <c r="H982" s="15">
        <v>4300.0</v>
      </c>
      <c r="I982" s="21">
        <f t="shared" si="1"/>
        <v>537.5</v>
      </c>
      <c r="J982" s="21"/>
      <c r="K982" s="22"/>
    </row>
    <row r="983" ht="22.5" customHeight="1">
      <c r="A983" s="28">
        <v>46122.0</v>
      </c>
      <c r="B983" s="15" t="s">
        <v>1137</v>
      </c>
      <c r="C983" s="13" t="s">
        <v>9</v>
      </c>
      <c r="D983" s="13">
        <v>80.0</v>
      </c>
      <c r="E983" s="15">
        <v>125.0</v>
      </c>
      <c r="F983" s="13" t="s">
        <v>21</v>
      </c>
      <c r="G983" s="15" t="s">
        <v>89</v>
      </c>
      <c r="H983" s="15">
        <v>2480.0</v>
      </c>
      <c r="I983" s="21">
        <f t="shared" si="1"/>
        <v>310</v>
      </c>
      <c r="J983" s="21"/>
      <c r="K983" s="22"/>
    </row>
    <row r="984" ht="22.5" customHeight="1">
      <c r="A984" s="28">
        <v>46122.0</v>
      </c>
      <c r="B984" s="15" t="s">
        <v>1138</v>
      </c>
      <c r="C984" s="13" t="s">
        <v>9</v>
      </c>
      <c r="D984" s="13">
        <v>80.0</v>
      </c>
      <c r="E984" s="15">
        <v>125.0</v>
      </c>
      <c r="F984" s="13" t="s">
        <v>21</v>
      </c>
      <c r="G984" s="15" t="s">
        <v>89</v>
      </c>
      <c r="H984" s="15">
        <v>2000.0</v>
      </c>
      <c r="I984" s="21">
        <f t="shared" si="1"/>
        <v>250</v>
      </c>
      <c r="J984" s="21"/>
      <c r="K984" s="22"/>
    </row>
    <row r="985" ht="22.5" customHeight="1">
      <c r="A985" s="28">
        <v>46122.0</v>
      </c>
      <c r="B985" s="15" t="s">
        <v>1139</v>
      </c>
      <c r="C985" s="13" t="s">
        <v>9</v>
      </c>
      <c r="D985" s="13">
        <v>80.0</v>
      </c>
      <c r="E985" s="15">
        <v>125.0</v>
      </c>
      <c r="F985" s="13" t="s">
        <v>21</v>
      </c>
      <c r="G985" s="15" t="s">
        <v>89</v>
      </c>
      <c r="H985" s="15">
        <v>3400.0</v>
      </c>
      <c r="I985" s="21">
        <f t="shared" si="1"/>
        <v>425</v>
      </c>
      <c r="J985" s="21"/>
      <c r="K985" s="22"/>
    </row>
    <row r="986" ht="22.5" customHeight="1">
      <c r="A986" s="28">
        <v>46122.0</v>
      </c>
      <c r="B986" s="15" t="s">
        <v>1141</v>
      </c>
      <c r="C986" s="13" t="s">
        <v>9</v>
      </c>
      <c r="D986" s="13">
        <v>80.0</v>
      </c>
      <c r="E986" s="15">
        <v>125.0</v>
      </c>
      <c r="F986" s="13" t="s">
        <v>21</v>
      </c>
      <c r="G986" s="15" t="s">
        <v>89</v>
      </c>
      <c r="H986" s="15">
        <v>3467.0</v>
      </c>
      <c r="I986" s="21">
        <f t="shared" si="1"/>
        <v>433.375</v>
      </c>
      <c r="J986" s="21"/>
      <c r="K986" s="22"/>
    </row>
    <row r="987" ht="22.5" customHeight="1">
      <c r="A987" s="28">
        <v>46122.0</v>
      </c>
      <c r="B987" s="15" t="s">
        <v>1142</v>
      </c>
      <c r="C987" s="13" t="s">
        <v>9</v>
      </c>
      <c r="D987" s="13">
        <v>80.0</v>
      </c>
      <c r="E987" s="15">
        <v>125.0</v>
      </c>
      <c r="F987" s="13" t="s">
        <v>21</v>
      </c>
      <c r="G987" s="15" t="s">
        <v>89</v>
      </c>
      <c r="H987" s="15">
        <v>1440.0</v>
      </c>
      <c r="I987" s="21">
        <f t="shared" si="1"/>
        <v>180</v>
      </c>
      <c r="J987" s="21"/>
      <c r="K987" s="22"/>
    </row>
    <row r="988" ht="22.5" customHeight="1">
      <c r="A988" s="28">
        <v>46122.0</v>
      </c>
      <c r="B988" s="15" t="s">
        <v>1143</v>
      </c>
      <c r="C988" s="13" t="s">
        <v>9</v>
      </c>
      <c r="D988" s="13">
        <v>80.0</v>
      </c>
      <c r="E988" s="15">
        <v>125.0</v>
      </c>
      <c r="F988" s="13" t="s">
        <v>21</v>
      </c>
      <c r="G988" s="15" t="s">
        <v>89</v>
      </c>
      <c r="H988" s="15">
        <v>1090.0</v>
      </c>
      <c r="I988" s="21">
        <f t="shared" si="1"/>
        <v>136.25</v>
      </c>
      <c r="J988" s="21"/>
      <c r="K988" s="22"/>
    </row>
    <row r="989" ht="22.5" customHeight="1">
      <c r="A989" s="28">
        <v>46123.0</v>
      </c>
      <c r="B989" s="15" t="s">
        <v>1144</v>
      </c>
      <c r="C989" s="13" t="s">
        <v>9</v>
      </c>
      <c r="D989" s="13">
        <v>80.0</v>
      </c>
      <c r="E989" s="15">
        <v>300.0</v>
      </c>
      <c r="F989" s="13" t="s">
        <v>21</v>
      </c>
      <c r="G989" s="15" t="s">
        <v>89</v>
      </c>
      <c r="H989" s="15">
        <v>550.0</v>
      </c>
      <c r="I989" s="21">
        <f t="shared" si="1"/>
        <v>165</v>
      </c>
      <c r="J989" s="21"/>
      <c r="K989" s="22"/>
    </row>
    <row r="990" ht="22.5" customHeight="1">
      <c r="A990" s="28">
        <v>46123.0</v>
      </c>
      <c r="B990" s="15" t="s">
        <v>1145</v>
      </c>
      <c r="C990" s="13" t="s">
        <v>43</v>
      </c>
      <c r="D990" s="13">
        <v>50.0</v>
      </c>
      <c r="E990" s="15">
        <v>125.0</v>
      </c>
      <c r="F990" s="13" t="s">
        <v>27</v>
      </c>
      <c r="G990" s="15" t="s">
        <v>884</v>
      </c>
      <c r="H990" s="15">
        <v>3150.0</v>
      </c>
      <c r="I990" s="21">
        <f t="shared" si="1"/>
        <v>393.75</v>
      </c>
      <c r="J990" s="21"/>
      <c r="K990" s="22"/>
    </row>
    <row r="991" ht="22.5" customHeight="1">
      <c r="A991" s="28">
        <v>46123.0</v>
      </c>
      <c r="B991" s="15" t="s">
        <v>1146</v>
      </c>
      <c r="C991" s="13" t="s">
        <v>9</v>
      </c>
      <c r="D991" s="13">
        <v>80.0</v>
      </c>
      <c r="E991" s="15">
        <v>125.0</v>
      </c>
      <c r="F991" s="13" t="s">
        <v>21</v>
      </c>
      <c r="G991" s="15" t="s">
        <v>89</v>
      </c>
      <c r="H991" s="15">
        <v>2000.0</v>
      </c>
      <c r="I991" s="21">
        <f t="shared" si="1"/>
        <v>250</v>
      </c>
      <c r="J991" s="21"/>
      <c r="K991" s="22"/>
    </row>
    <row r="992" ht="22.5" customHeight="1">
      <c r="A992" s="28">
        <v>46123.0</v>
      </c>
      <c r="B992" s="15" t="s">
        <v>1147</v>
      </c>
      <c r="C992" s="13" t="s">
        <v>9</v>
      </c>
      <c r="D992" s="13">
        <v>80.0</v>
      </c>
      <c r="E992" s="15">
        <v>125.0</v>
      </c>
      <c r="F992" s="13" t="s">
        <v>21</v>
      </c>
      <c r="G992" s="15" t="s">
        <v>89</v>
      </c>
      <c r="H992" s="15">
        <v>745.0</v>
      </c>
      <c r="I992" s="21">
        <f t="shared" si="1"/>
        <v>93.125</v>
      </c>
      <c r="J992" s="21"/>
      <c r="K992" s="22"/>
    </row>
    <row r="993" ht="22.5" customHeight="1">
      <c r="A993" s="28">
        <v>46125.0</v>
      </c>
      <c r="B993" s="15" t="s">
        <v>1148</v>
      </c>
      <c r="C993" s="13" t="s">
        <v>26</v>
      </c>
      <c r="D993" s="13">
        <v>80.0</v>
      </c>
      <c r="E993" s="15">
        <v>150.0</v>
      </c>
      <c r="F993" s="38"/>
      <c r="G993" s="15" t="s">
        <v>99</v>
      </c>
      <c r="H993" s="15">
        <v>1200.0</v>
      </c>
      <c r="I993" s="21">
        <f t="shared" si="1"/>
        <v>180</v>
      </c>
      <c r="J993" s="15" t="s">
        <v>1196</v>
      </c>
      <c r="K993" s="22"/>
    </row>
    <row r="994" ht="22.5" customHeight="1">
      <c r="A994" s="28">
        <v>46125.0</v>
      </c>
      <c r="B994" s="15" t="s">
        <v>1151</v>
      </c>
      <c r="C994" s="13" t="s">
        <v>9</v>
      </c>
      <c r="D994" s="13">
        <v>80.0</v>
      </c>
      <c r="E994" s="15">
        <v>160.0</v>
      </c>
      <c r="F994" s="13" t="s">
        <v>27</v>
      </c>
      <c r="G994" s="15" t="s">
        <v>99</v>
      </c>
      <c r="H994" s="15">
        <v>3000.0</v>
      </c>
      <c r="I994" s="21">
        <f t="shared" si="1"/>
        <v>480</v>
      </c>
      <c r="J994" s="21"/>
      <c r="K994" s="22"/>
    </row>
    <row r="995" ht="22.5" customHeight="1">
      <c r="A995" s="28">
        <v>46125.0</v>
      </c>
      <c r="B995" s="15" t="s">
        <v>1152</v>
      </c>
      <c r="C995" s="13" t="s">
        <v>9</v>
      </c>
      <c r="D995" s="13">
        <v>80.0</v>
      </c>
      <c r="E995" s="15">
        <v>160.0</v>
      </c>
      <c r="F995" s="13" t="s">
        <v>27</v>
      </c>
      <c r="G995" s="15" t="s">
        <v>99</v>
      </c>
      <c r="H995" s="15">
        <v>6960.0</v>
      </c>
      <c r="I995" s="21">
        <f t="shared" si="1"/>
        <v>1113.6</v>
      </c>
      <c r="J995" s="21"/>
      <c r="K995" s="22"/>
    </row>
    <row r="996" ht="22.5" customHeight="1">
      <c r="A996" s="28">
        <v>46125.0</v>
      </c>
      <c r="B996" s="15" t="s">
        <v>1153</v>
      </c>
      <c r="C996" s="13" t="s">
        <v>9</v>
      </c>
      <c r="D996" s="13">
        <v>80.0</v>
      </c>
      <c r="E996" s="15">
        <v>160.0</v>
      </c>
      <c r="F996" s="13" t="s">
        <v>27</v>
      </c>
      <c r="G996" s="15" t="s">
        <v>99</v>
      </c>
      <c r="H996" s="15">
        <v>2870.0</v>
      </c>
      <c r="I996" s="21">
        <f t="shared" si="1"/>
        <v>459.2</v>
      </c>
      <c r="J996" s="21"/>
      <c r="K996" s="22"/>
    </row>
    <row r="997" ht="22.5" customHeight="1">
      <c r="A997" s="28">
        <v>46125.0</v>
      </c>
      <c r="B997" s="15" t="s">
        <v>1154</v>
      </c>
      <c r="C997" s="13" t="s">
        <v>9</v>
      </c>
      <c r="D997" s="13">
        <v>80.0</v>
      </c>
      <c r="E997" s="15">
        <v>160.0</v>
      </c>
      <c r="F997" s="13" t="s">
        <v>27</v>
      </c>
      <c r="G997" s="15" t="s">
        <v>99</v>
      </c>
      <c r="H997" s="15">
        <v>2800.0</v>
      </c>
      <c r="I997" s="21">
        <f t="shared" si="1"/>
        <v>448</v>
      </c>
      <c r="J997" s="21"/>
      <c r="K997" s="22"/>
    </row>
    <row r="998" ht="22.5" customHeight="1">
      <c r="A998" s="28">
        <v>46125.0</v>
      </c>
      <c r="B998" s="15" t="s">
        <v>1155</v>
      </c>
      <c r="C998" s="13" t="s">
        <v>9</v>
      </c>
      <c r="D998" s="13">
        <v>80.0</v>
      </c>
      <c r="E998" s="15">
        <v>160.0</v>
      </c>
      <c r="F998" s="13" t="s">
        <v>27</v>
      </c>
      <c r="G998" s="15" t="s">
        <v>99</v>
      </c>
      <c r="H998" s="15">
        <v>6780.0</v>
      </c>
      <c r="I998" s="21">
        <f t="shared" si="1"/>
        <v>1084.8</v>
      </c>
      <c r="J998" s="21"/>
      <c r="K998" s="22"/>
    </row>
    <row r="999" ht="22.5" customHeight="1">
      <c r="A999" s="28">
        <v>46127.0</v>
      </c>
      <c r="B999" s="15" t="s">
        <v>1156</v>
      </c>
      <c r="C999" s="13" t="s">
        <v>9</v>
      </c>
      <c r="D999" s="13">
        <v>80.0</v>
      </c>
      <c r="E999" s="15">
        <v>290.0</v>
      </c>
      <c r="F999" s="13" t="s">
        <v>21</v>
      </c>
      <c r="G999" s="15" t="s">
        <v>89</v>
      </c>
      <c r="H999" s="15">
        <v>25250.0</v>
      </c>
      <c r="I999" s="21">
        <f t="shared" si="1"/>
        <v>7322.5</v>
      </c>
      <c r="J999" s="21"/>
      <c r="K999" s="22"/>
    </row>
    <row r="1000" ht="22.5" customHeight="1">
      <c r="A1000" s="28">
        <v>46127.0</v>
      </c>
      <c r="B1000" s="15" t="s">
        <v>1158</v>
      </c>
      <c r="C1000" s="13" t="s">
        <v>9</v>
      </c>
      <c r="D1000" s="13">
        <v>80.0</v>
      </c>
      <c r="E1000" s="15">
        <v>320.0</v>
      </c>
      <c r="F1000" s="13" t="s">
        <v>21</v>
      </c>
      <c r="G1000" s="15" t="s">
        <v>89</v>
      </c>
      <c r="H1000" s="15">
        <v>3010.0</v>
      </c>
      <c r="I1000" s="21">
        <f t="shared" si="1"/>
        <v>963.2</v>
      </c>
      <c r="J1000" s="21"/>
      <c r="K1000" s="22"/>
    </row>
    <row r="1001" ht="22.5" customHeight="1">
      <c r="A1001" s="28">
        <v>46127.0</v>
      </c>
      <c r="B1001" s="15" t="s">
        <v>1159</v>
      </c>
      <c r="C1001" s="13" t="s">
        <v>9</v>
      </c>
      <c r="D1001" s="13">
        <v>80.0</v>
      </c>
      <c r="E1001" s="15">
        <v>180.0</v>
      </c>
      <c r="F1001" s="13" t="s">
        <v>21</v>
      </c>
      <c r="G1001" s="15" t="s">
        <v>89</v>
      </c>
      <c r="H1001" s="15">
        <v>2400.0</v>
      </c>
      <c r="I1001" s="21">
        <f t="shared" si="1"/>
        <v>432</v>
      </c>
      <c r="J1001" s="21"/>
      <c r="K1001" s="22"/>
    </row>
    <row r="1002" ht="22.5" customHeight="1">
      <c r="A1002" s="28">
        <v>46127.0</v>
      </c>
      <c r="B1002" s="15" t="s">
        <v>1160</v>
      </c>
      <c r="C1002" s="13" t="s">
        <v>9</v>
      </c>
      <c r="D1002" s="13">
        <v>80.0</v>
      </c>
      <c r="E1002" s="15">
        <v>300.0</v>
      </c>
      <c r="F1002" s="13" t="s">
        <v>21</v>
      </c>
      <c r="G1002" s="15" t="s">
        <v>89</v>
      </c>
      <c r="H1002" s="15">
        <v>800.0</v>
      </c>
      <c r="I1002" s="21">
        <f t="shared" si="1"/>
        <v>240</v>
      </c>
      <c r="J1002" s="21"/>
      <c r="K1002" s="22"/>
    </row>
    <row r="1003" ht="22.5" customHeight="1">
      <c r="A1003" s="28">
        <v>46127.0</v>
      </c>
      <c r="B1003" s="15" t="s">
        <v>1160</v>
      </c>
      <c r="C1003" s="13" t="s">
        <v>9</v>
      </c>
      <c r="D1003" s="13">
        <v>80.0</v>
      </c>
      <c r="E1003" s="15">
        <v>320.0</v>
      </c>
      <c r="F1003" s="13" t="s">
        <v>21</v>
      </c>
      <c r="G1003" s="15" t="s">
        <v>89</v>
      </c>
      <c r="H1003" s="15">
        <v>2000.0</v>
      </c>
      <c r="I1003" s="21">
        <f t="shared" si="1"/>
        <v>640</v>
      </c>
      <c r="J1003" s="21"/>
      <c r="K1003" s="22"/>
    </row>
    <row r="1004" ht="22.5" customHeight="1">
      <c r="A1004" s="28">
        <v>46127.0</v>
      </c>
      <c r="B1004" s="15" t="s">
        <v>1161</v>
      </c>
      <c r="C1004" s="13" t="s">
        <v>9</v>
      </c>
      <c r="D1004" s="13">
        <v>80.0</v>
      </c>
      <c r="E1004" s="15">
        <v>250.0</v>
      </c>
      <c r="F1004" s="13" t="s">
        <v>21</v>
      </c>
      <c r="G1004" s="15" t="s">
        <v>89</v>
      </c>
      <c r="H1004" s="15">
        <v>3150.0</v>
      </c>
      <c r="I1004" s="21">
        <f t="shared" si="1"/>
        <v>787.5</v>
      </c>
      <c r="J1004" s="15" t="s">
        <v>1197</v>
      </c>
      <c r="K1004" s="22"/>
    </row>
    <row r="1005" ht="22.5" customHeight="1">
      <c r="A1005" s="28">
        <v>46127.0</v>
      </c>
      <c r="B1005" s="15" t="s">
        <v>1162</v>
      </c>
      <c r="C1005" s="13" t="s">
        <v>9</v>
      </c>
      <c r="D1005" s="13">
        <v>80.0</v>
      </c>
      <c r="E1005" s="15">
        <v>300.0</v>
      </c>
      <c r="F1005" s="13" t="s">
        <v>21</v>
      </c>
      <c r="G1005" s="15" t="s">
        <v>89</v>
      </c>
      <c r="H1005" s="15">
        <v>1900.0</v>
      </c>
      <c r="I1005" s="21">
        <f t="shared" si="1"/>
        <v>570</v>
      </c>
      <c r="J1005" s="21"/>
      <c r="K1005" s="22"/>
    </row>
    <row r="1006" ht="22.5" customHeight="1">
      <c r="A1006" s="28">
        <v>46127.0</v>
      </c>
      <c r="B1006" s="15" t="s">
        <v>1163</v>
      </c>
      <c r="C1006" s="13" t="s">
        <v>9</v>
      </c>
      <c r="D1006" s="13">
        <v>80.0</v>
      </c>
      <c r="E1006" s="15">
        <v>250.0</v>
      </c>
      <c r="F1006" s="13" t="s">
        <v>21</v>
      </c>
      <c r="G1006" s="15" t="s">
        <v>89</v>
      </c>
      <c r="H1006" s="15">
        <v>1550.0</v>
      </c>
      <c r="I1006" s="21">
        <f t="shared" si="1"/>
        <v>387.5</v>
      </c>
      <c r="J1006" s="21"/>
      <c r="K1006" s="22"/>
    </row>
    <row r="1007" ht="22.5" customHeight="1">
      <c r="A1007" s="28">
        <v>46127.0</v>
      </c>
      <c r="B1007" s="15" t="s">
        <v>1164</v>
      </c>
      <c r="C1007" s="13" t="s">
        <v>41</v>
      </c>
      <c r="D1007" s="13">
        <v>150.0</v>
      </c>
      <c r="E1007" s="15">
        <v>200.0</v>
      </c>
      <c r="F1007" s="13" t="s">
        <v>21</v>
      </c>
      <c r="G1007" s="15" t="s">
        <v>884</v>
      </c>
      <c r="H1007" s="15">
        <v>10100.0</v>
      </c>
      <c r="I1007" s="21">
        <f t="shared" si="1"/>
        <v>2020</v>
      </c>
      <c r="J1007" s="21"/>
      <c r="K1007" s="22"/>
    </row>
    <row r="1008" ht="22.5" customHeight="1">
      <c r="A1008" s="28">
        <v>46127.0</v>
      </c>
      <c r="B1008" s="15" t="s">
        <v>1164</v>
      </c>
      <c r="C1008" s="13" t="s">
        <v>41</v>
      </c>
      <c r="D1008" s="13">
        <v>150.0</v>
      </c>
      <c r="E1008" s="15">
        <v>180.0</v>
      </c>
      <c r="F1008" s="13" t="s">
        <v>21</v>
      </c>
      <c r="G1008" s="15" t="s">
        <v>884</v>
      </c>
      <c r="H1008" s="15">
        <v>1400.0</v>
      </c>
      <c r="I1008" s="21">
        <f t="shared" si="1"/>
        <v>252</v>
      </c>
      <c r="J1008" s="21"/>
      <c r="K1008" s="22"/>
    </row>
    <row r="1009" ht="22.5" customHeight="1">
      <c r="A1009" s="28">
        <v>46128.0</v>
      </c>
      <c r="B1009" s="15" t="s">
        <v>1165</v>
      </c>
      <c r="C1009" s="13" t="s">
        <v>9</v>
      </c>
      <c r="D1009" s="13">
        <v>80.0</v>
      </c>
      <c r="E1009" s="15">
        <v>150.0</v>
      </c>
      <c r="F1009" s="13" t="s">
        <v>21</v>
      </c>
      <c r="G1009" s="15" t="s">
        <v>522</v>
      </c>
      <c r="H1009" s="15">
        <v>1550.0</v>
      </c>
      <c r="I1009" s="21">
        <f t="shared" si="1"/>
        <v>232.5</v>
      </c>
      <c r="J1009" s="21"/>
      <c r="K1009" s="22"/>
    </row>
    <row r="1010" ht="22.5" customHeight="1">
      <c r="A1010" s="28">
        <v>46128.0</v>
      </c>
      <c r="B1010" s="15" t="s">
        <v>1166</v>
      </c>
      <c r="C1010" s="13" t="s">
        <v>9</v>
      </c>
      <c r="D1010" s="13">
        <v>80.0</v>
      </c>
      <c r="E1010" s="15">
        <v>250.0</v>
      </c>
      <c r="F1010" s="13" t="s">
        <v>21</v>
      </c>
      <c r="G1010" s="15" t="s">
        <v>89</v>
      </c>
      <c r="H1010" s="15">
        <v>900.0</v>
      </c>
      <c r="I1010" s="21">
        <f t="shared" si="1"/>
        <v>225</v>
      </c>
      <c r="J1010" s="15" t="s">
        <v>1197</v>
      </c>
      <c r="K1010" s="22"/>
    </row>
    <row r="1011" ht="22.5" customHeight="1">
      <c r="A1011" s="28">
        <v>46128.0</v>
      </c>
      <c r="B1011" s="15" t="s">
        <v>1167</v>
      </c>
      <c r="C1011" s="13" t="s">
        <v>9</v>
      </c>
      <c r="D1011" s="13">
        <v>80.0</v>
      </c>
      <c r="E1011" s="15">
        <v>160.0</v>
      </c>
      <c r="F1011" s="13" t="s">
        <v>27</v>
      </c>
      <c r="G1011" s="15" t="s">
        <v>89</v>
      </c>
      <c r="H1011" s="15">
        <v>7480.0</v>
      </c>
      <c r="I1011" s="21">
        <f t="shared" si="1"/>
        <v>1196.8</v>
      </c>
      <c r="J1011" s="21"/>
      <c r="K1011" s="22"/>
    </row>
    <row r="1012" ht="22.5" customHeight="1">
      <c r="A1012" s="28">
        <v>46129.0</v>
      </c>
      <c r="B1012" s="15" t="s">
        <v>1168</v>
      </c>
      <c r="C1012" s="13" t="s">
        <v>9</v>
      </c>
      <c r="D1012" s="13">
        <v>80.0</v>
      </c>
      <c r="E1012" s="15">
        <v>230.0</v>
      </c>
      <c r="F1012" s="13" t="s">
        <v>27</v>
      </c>
      <c r="G1012" s="15" t="s">
        <v>99</v>
      </c>
      <c r="H1012" s="15">
        <v>1080.0</v>
      </c>
      <c r="I1012" s="21">
        <f t="shared" si="1"/>
        <v>248.4</v>
      </c>
      <c r="J1012" s="21"/>
      <c r="K1012" s="22"/>
    </row>
    <row r="1013" ht="22.5" customHeight="1">
      <c r="A1013" s="28">
        <v>46129.0</v>
      </c>
      <c r="B1013" s="15" t="s">
        <v>1169</v>
      </c>
      <c r="C1013" s="13" t="s">
        <v>9</v>
      </c>
      <c r="D1013" s="13">
        <v>80.0</v>
      </c>
      <c r="E1013" s="15">
        <v>140.0</v>
      </c>
      <c r="F1013" s="13" t="s">
        <v>27</v>
      </c>
      <c r="G1013" s="15" t="s">
        <v>99</v>
      </c>
      <c r="H1013" s="15">
        <v>1500.0</v>
      </c>
      <c r="I1013" s="21">
        <f t="shared" si="1"/>
        <v>210</v>
      </c>
      <c r="J1013" s="21"/>
      <c r="K1013" s="22"/>
    </row>
    <row r="1014" ht="22.5" customHeight="1">
      <c r="A1014" s="28">
        <v>46129.0</v>
      </c>
      <c r="B1014" s="15" t="s">
        <v>1170</v>
      </c>
      <c r="C1014" s="13" t="s">
        <v>9</v>
      </c>
      <c r="D1014" s="13">
        <v>80.0</v>
      </c>
      <c r="E1014" s="15">
        <v>230.0</v>
      </c>
      <c r="F1014" s="13" t="s">
        <v>27</v>
      </c>
      <c r="G1014" s="15" t="s">
        <v>99</v>
      </c>
      <c r="H1014" s="15">
        <v>1540.0</v>
      </c>
      <c r="I1014" s="21">
        <f t="shared" si="1"/>
        <v>354.2</v>
      </c>
      <c r="J1014" s="21"/>
      <c r="K1014" s="22"/>
    </row>
    <row r="1015" ht="22.5" customHeight="1">
      <c r="A1015" s="28">
        <v>46129.0</v>
      </c>
      <c r="B1015" s="15" t="s">
        <v>1171</v>
      </c>
      <c r="C1015" s="13" t="s">
        <v>9</v>
      </c>
      <c r="D1015" s="13">
        <v>80.0</v>
      </c>
      <c r="E1015" s="15">
        <v>140.0</v>
      </c>
      <c r="F1015" s="13" t="s">
        <v>27</v>
      </c>
      <c r="G1015" s="15" t="s">
        <v>99</v>
      </c>
      <c r="H1015" s="15">
        <v>2500.0</v>
      </c>
      <c r="I1015" s="21">
        <f t="shared" si="1"/>
        <v>350</v>
      </c>
      <c r="J1015" s="21"/>
      <c r="K1015" s="22"/>
    </row>
    <row r="1016" ht="22.5" customHeight="1">
      <c r="A1016" s="28">
        <v>46129.0</v>
      </c>
      <c r="B1016" s="15" t="s">
        <v>1172</v>
      </c>
      <c r="C1016" s="13" t="s">
        <v>9</v>
      </c>
      <c r="D1016" s="13">
        <v>80.0</v>
      </c>
      <c r="E1016" s="15">
        <v>140.0</v>
      </c>
      <c r="F1016" s="13" t="s">
        <v>27</v>
      </c>
      <c r="G1016" s="15" t="s">
        <v>99</v>
      </c>
      <c r="H1016" s="15">
        <v>1300.0</v>
      </c>
      <c r="I1016" s="21">
        <f t="shared" si="1"/>
        <v>182</v>
      </c>
      <c r="J1016" s="21"/>
      <c r="K1016" s="22"/>
    </row>
    <row r="1017" ht="22.5" customHeight="1">
      <c r="A1017" s="28">
        <v>46129.0</v>
      </c>
      <c r="B1017" s="15" t="s">
        <v>1174</v>
      </c>
      <c r="C1017" s="13" t="s">
        <v>9</v>
      </c>
      <c r="D1017" s="13">
        <v>80.0</v>
      </c>
      <c r="E1017" s="15">
        <v>185.0</v>
      </c>
      <c r="F1017" s="13" t="s">
        <v>27</v>
      </c>
      <c r="G1017" s="15" t="s">
        <v>99</v>
      </c>
      <c r="H1017" s="15">
        <v>1800.0</v>
      </c>
      <c r="I1017" s="21">
        <f t="shared" si="1"/>
        <v>333</v>
      </c>
      <c r="J1017" s="21"/>
      <c r="K1017" s="22"/>
    </row>
    <row r="1018" ht="22.5" customHeight="1">
      <c r="A1018" s="28">
        <v>46129.0</v>
      </c>
      <c r="B1018" s="15" t="s">
        <v>1175</v>
      </c>
      <c r="C1018" s="13" t="s">
        <v>9</v>
      </c>
      <c r="D1018" s="13">
        <v>80.0</v>
      </c>
      <c r="E1018" s="15">
        <v>140.0</v>
      </c>
      <c r="F1018" s="13" t="s">
        <v>27</v>
      </c>
      <c r="G1018" s="15" t="s">
        <v>99</v>
      </c>
      <c r="H1018" s="15">
        <v>3200.0</v>
      </c>
      <c r="I1018" s="21">
        <f t="shared" si="1"/>
        <v>448</v>
      </c>
      <c r="J1018" s="21"/>
      <c r="K1018" s="22"/>
    </row>
    <row r="1019" ht="22.5" customHeight="1">
      <c r="A1019" s="28">
        <v>46129.0</v>
      </c>
      <c r="B1019" s="15" t="s">
        <v>1176</v>
      </c>
      <c r="C1019" s="13" t="s">
        <v>9</v>
      </c>
      <c r="D1019" s="13">
        <v>80.0</v>
      </c>
      <c r="E1019" s="15">
        <v>140.0</v>
      </c>
      <c r="F1019" s="13" t="s">
        <v>27</v>
      </c>
      <c r="G1019" s="15" t="s">
        <v>99</v>
      </c>
      <c r="H1019" s="15">
        <v>5050.0</v>
      </c>
      <c r="I1019" s="21">
        <f t="shared" si="1"/>
        <v>707</v>
      </c>
      <c r="J1019" s="21"/>
      <c r="K1019" s="22"/>
    </row>
    <row r="1020" ht="22.5" customHeight="1">
      <c r="A1020" s="28">
        <v>46129.0</v>
      </c>
      <c r="B1020" s="15" t="s">
        <v>1177</v>
      </c>
      <c r="C1020" s="13" t="s">
        <v>9</v>
      </c>
      <c r="D1020" s="13">
        <v>80.0</v>
      </c>
      <c r="E1020" s="15">
        <v>140.0</v>
      </c>
      <c r="F1020" s="13" t="s">
        <v>27</v>
      </c>
      <c r="G1020" s="15" t="s">
        <v>99</v>
      </c>
      <c r="H1020" s="15">
        <v>2580.0</v>
      </c>
      <c r="I1020" s="21">
        <f t="shared" si="1"/>
        <v>361.2</v>
      </c>
      <c r="J1020" s="21"/>
      <c r="K1020" s="22"/>
    </row>
    <row r="1021" ht="22.5" customHeight="1">
      <c r="A1021" s="28">
        <v>46129.0</v>
      </c>
      <c r="B1021" s="15" t="s">
        <v>1179</v>
      </c>
      <c r="C1021" s="13" t="s">
        <v>9</v>
      </c>
      <c r="D1021" s="13">
        <v>80.0</v>
      </c>
      <c r="E1021" s="15">
        <v>140.0</v>
      </c>
      <c r="F1021" s="13" t="s">
        <v>27</v>
      </c>
      <c r="G1021" s="15" t="s">
        <v>99</v>
      </c>
      <c r="H1021" s="15">
        <v>4390.0</v>
      </c>
      <c r="I1021" s="21">
        <f t="shared" si="1"/>
        <v>614.6</v>
      </c>
      <c r="J1021" s="21"/>
      <c r="K1021" s="22"/>
    </row>
    <row r="1022" ht="22.5" customHeight="1">
      <c r="A1022" s="28">
        <v>46129.0</v>
      </c>
      <c r="B1022" s="15" t="s">
        <v>1180</v>
      </c>
      <c r="C1022" s="13" t="s">
        <v>9</v>
      </c>
      <c r="D1022" s="13">
        <v>80.0</v>
      </c>
      <c r="E1022" s="15">
        <v>230.0</v>
      </c>
      <c r="F1022" s="13" t="s">
        <v>27</v>
      </c>
      <c r="G1022" s="15" t="s">
        <v>99</v>
      </c>
      <c r="H1022" s="15">
        <v>1800.0</v>
      </c>
      <c r="I1022" s="21">
        <f t="shared" si="1"/>
        <v>414</v>
      </c>
      <c r="J1022" s="21"/>
      <c r="K1022" s="22"/>
    </row>
    <row r="1023" ht="22.5" customHeight="1">
      <c r="A1023" s="28">
        <v>46129.0</v>
      </c>
      <c r="B1023" s="15" t="s">
        <v>1181</v>
      </c>
      <c r="C1023" s="13" t="s">
        <v>26</v>
      </c>
      <c r="D1023" s="13">
        <v>80.0</v>
      </c>
      <c r="E1023" s="15">
        <v>250.0</v>
      </c>
      <c r="F1023" s="13" t="s">
        <v>27</v>
      </c>
      <c r="G1023" s="15" t="s">
        <v>99</v>
      </c>
      <c r="H1023" s="15">
        <v>1500.0</v>
      </c>
      <c r="I1023" s="21">
        <f t="shared" si="1"/>
        <v>375</v>
      </c>
      <c r="J1023" s="21"/>
      <c r="K1023" s="22"/>
    </row>
    <row r="1024" ht="22.5" customHeight="1">
      <c r="A1024" s="28">
        <v>46129.0</v>
      </c>
      <c r="B1024" s="15" t="s">
        <v>1182</v>
      </c>
      <c r="C1024" s="13" t="s">
        <v>26</v>
      </c>
      <c r="D1024" s="13">
        <v>80.0</v>
      </c>
      <c r="E1024" s="15">
        <v>190.0</v>
      </c>
      <c r="F1024" s="13" t="s">
        <v>27</v>
      </c>
      <c r="G1024" s="15" t="s">
        <v>99</v>
      </c>
      <c r="H1024" s="15">
        <v>1500.0</v>
      </c>
      <c r="I1024" s="21">
        <f t="shared" si="1"/>
        <v>285</v>
      </c>
      <c r="J1024" s="21"/>
      <c r="K1024" s="22"/>
    </row>
    <row r="1025" ht="22.5" customHeight="1">
      <c r="A1025" s="28">
        <v>46129.0</v>
      </c>
      <c r="B1025" s="15" t="s">
        <v>1183</v>
      </c>
      <c r="C1025" s="13" t="s">
        <v>9</v>
      </c>
      <c r="D1025" s="13">
        <v>80.0</v>
      </c>
      <c r="E1025" s="15">
        <v>180.0</v>
      </c>
      <c r="F1025" s="13" t="s">
        <v>21</v>
      </c>
      <c r="G1025" s="15" t="s">
        <v>89</v>
      </c>
      <c r="H1025" s="15">
        <v>1750.0</v>
      </c>
      <c r="I1025" s="21">
        <f t="shared" si="1"/>
        <v>315</v>
      </c>
      <c r="J1025" s="21"/>
      <c r="K1025" s="22"/>
    </row>
    <row r="1026" ht="22.5" customHeight="1">
      <c r="A1026" s="28">
        <v>46130.0</v>
      </c>
      <c r="B1026" s="15" t="s">
        <v>1184</v>
      </c>
      <c r="C1026" s="13" t="s">
        <v>9</v>
      </c>
      <c r="D1026" s="13">
        <v>80.0</v>
      </c>
      <c r="E1026" s="15">
        <v>160.0</v>
      </c>
      <c r="F1026" s="13" t="s">
        <v>27</v>
      </c>
      <c r="G1026" s="15" t="s">
        <v>470</v>
      </c>
      <c r="H1026" s="15">
        <v>1500.0</v>
      </c>
      <c r="I1026" s="21">
        <f t="shared" si="1"/>
        <v>240</v>
      </c>
      <c r="J1026" s="21"/>
      <c r="K1026" s="22"/>
    </row>
    <row r="1027" ht="22.5" customHeight="1">
      <c r="A1027" s="28">
        <v>46130.0</v>
      </c>
      <c r="B1027" s="15" t="s">
        <v>1185</v>
      </c>
      <c r="C1027" s="13" t="s">
        <v>9</v>
      </c>
      <c r="D1027" s="13">
        <v>80.0</v>
      </c>
      <c r="E1027" s="15">
        <v>180.0</v>
      </c>
      <c r="F1027" s="13" t="s">
        <v>21</v>
      </c>
      <c r="G1027" s="15" t="s">
        <v>89</v>
      </c>
      <c r="H1027" s="15">
        <v>1370.0</v>
      </c>
      <c r="I1027" s="21">
        <f t="shared" si="1"/>
        <v>246.6</v>
      </c>
      <c r="J1027" s="21"/>
      <c r="K1027" s="22"/>
    </row>
    <row r="1028" ht="22.5" customHeight="1">
      <c r="A1028" s="28">
        <v>46130.0</v>
      </c>
      <c r="B1028" s="15" t="s">
        <v>1186</v>
      </c>
      <c r="C1028" s="13" t="s">
        <v>9</v>
      </c>
      <c r="D1028" s="13">
        <v>80.0</v>
      </c>
      <c r="E1028" s="15">
        <v>180.0</v>
      </c>
      <c r="F1028" s="13" t="s">
        <v>21</v>
      </c>
      <c r="G1028" s="15" t="s">
        <v>89</v>
      </c>
      <c r="H1028" s="15">
        <v>650.0</v>
      </c>
      <c r="I1028" s="21">
        <f t="shared" si="1"/>
        <v>117</v>
      </c>
      <c r="J1028" s="21"/>
      <c r="K1028" s="22"/>
    </row>
    <row r="1029" ht="22.5" customHeight="1">
      <c r="A1029" s="28"/>
      <c r="B1029" s="15"/>
      <c r="C1029" s="38"/>
      <c r="D1029" s="38"/>
      <c r="E1029" s="21"/>
      <c r="F1029" s="38"/>
      <c r="G1029" s="21"/>
      <c r="H1029" s="21"/>
      <c r="I1029" s="21">
        <f t="shared" si="1"/>
        <v>0</v>
      </c>
      <c r="J1029" s="21"/>
      <c r="K1029" s="22"/>
    </row>
    <row r="1030" ht="22.5" customHeight="1">
      <c r="A1030" s="28"/>
      <c r="B1030" s="15"/>
      <c r="C1030" s="38"/>
      <c r="D1030" s="38"/>
      <c r="E1030" s="21"/>
      <c r="F1030" s="38"/>
      <c r="G1030" s="21"/>
      <c r="H1030" s="21"/>
      <c r="I1030" s="21">
        <f t="shared" si="1"/>
        <v>0</v>
      </c>
      <c r="J1030" s="21"/>
      <c r="K1030" s="22"/>
    </row>
    <row r="1031" ht="22.5" customHeight="1">
      <c r="A1031" s="28"/>
      <c r="B1031" s="15"/>
      <c r="C1031" s="38"/>
      <c r="D1031" s="38"/>
      <c r="E1031" s="21"/>
      <c r="F1031" s="38"/>
      <c r="G1031" s="21"/>
      <c r="H1031" s="21"/>
      <c r="I1031" s="21">
        <f t="shared" si="1"/>
        <v>0</v>
      </c>
      <c r="J1031" s="21"/>
      <c r="K1031" s="22"/>
    </row>
    <row r="1032" ht="22.5" customHeight="1">
      <c r="A1032" s="28"/>
      <c r="B1032" s="15"/>
      <c r="C1032" s="38"/>
      <c r="D1032" s="38"/>
      <c r="E1032" s="21"/>
      <c r="F1032" s="38"/>
      <c r="G1032" s="21"/>
      <c r="H1032" s="21"/>
      <c r="I1032" s="21">
        <f t="shared" si="1"/>
        <v>0</v>
      </c>
      <c r="J1032" s="21"/>
      <c r="K1032" s="22"/>
    </row>
    <row r="1033" ht="22.5" customHeight="1">
      <c r="A1033" s="28"/>
      <c r="B1033" s="15"/>
      <c r="C1033" s="38"/>
      <c r="D1033" s="38"/>
      <c r="E1033" s="21"/>
      <c r="F1033" s="38"/>
      <c r="G1033" s="21"/>
      <c r="H1033" s="21"/>
      <c r="I1033" s="21">
        <f t="shared" si="1"/>
        <v>0</v>
      </c>
      <c r="J1033" s="21"/>
      <c r="K1033" s="22"/>
    </row>
    <row r="1034" ht="22.5" customHeight="1">
      <c r="A1034" s="28"/>
      <c r="B1034" s="15"/>
      <c r="C1034" s="38"/>
      <c r="D1034" s="38"/>
      <c r="E1034" s="21"/>
      <c r="F1034" s="38"/>
      <c r="G1034" s="21"/>
      <c r="H1034" s="21"/>
      <c r="I1034" s="21">
        <f t="shared" si="1"/>
        <v>0</v>
      </c>
      <c r="J1034" s="21"/>
      <c r="K1034" s="22"/>
    </row>
    <row r="1035" ht="22.5" customHeight="1">
      <c r="A1035" s="28"/>
      <c r="B1035" s="15"/>
      <c r="C1035" s="38"/>
      <c r="D1035" s="38"/>
      <c r="E1035" s="21"/>
      <c r="F1035" s="38"/>
      <c r="G1035" s="21"/>
      <c r="H1035" s="21"/>
      <c r="I1035" s="21">
        <f t="shared" si="1"/>
        <v>0</v>
      </c>
      <c r="J1035" s="21"/>
      <c r="K1035" s="22"/>
    </row>
    <row r="1036" ht="22.5" customHeight="1">
      <c r="A1036" s="28"/>
      <c r="B1036" s="15"/>
      <c r="C1036" s="38"/>
      <c r="D1036" s="38"/>
      <c r="E1036" s="21"/>
      <c r="F1036" s="38"/>
      <c r="G1036" s="21"/>
      <c r="H1036" s="21"/>
      <c r="I1036" s="21">
        <f t="shared" si="1"/>
        <v>0</v>
      </c>
      <c r="J1036" s="21"/>
      <c r="K1036" s="22"/>
    </row>
    <row r="1037" ht="22.5" customHeight="1">
      <c r="A1037" s="28"/>
      <c r="B1037" s="15"/>
      <c r="C1037" s="38"/>
      <c r="D1037" s="38"/>
      <c r="E1037" s="21"/>
      <c r="F1037" s="38"/>
      <c r="G1037" s="21"/>
      <c r="H1037" s="21"/>
      <c r="I1037" s="21">
        <f t="shared" si="1"/>
        <v>0</v>
      </c>
      <c r="J1037" s="21"/>
      <c r="K1037" s="22"/>
    </row>
    <row r="1038" ht="22.5" customHeight="1">
      <c r="A1038" s="28"/>
      <c r="B1038" s="15"/>
      <c r="C1038" s="38"/>
      <c r="D1038" s="38"/>
      <c r="E1038" s="21"/>
      <c r="F1038" s="38"/>
      <c r="G1038" s="21"/>
      <c r="H1038" s="21"/>
      <c r="I1038" s="21">
        <f t="shared" si="1"/>
        <v>0</v>
      </c>
      <c r="J1038" s="21"/>
      <c r="K1038" s="22"/>
    </row>
    <row r="1039" ht="22.5" customHeight="1">
      <c r="A1039" s="28"/>
      <c r="B1039" s="15"/>
      <c r="C1039" s="38"/>
      <c r="D1039" s="38"/>
      <c r="E1039" s="21"/>
      <c r="F1039" s="38"/>
      <c r="G1039" s="21"/>
      <c r="H1039" s="21"/>
      <c r="I1039" s="21">
        <f t="shared" si="1"/>
        <v>0</v>
      </c>
      <c r="J1039" s="21"/>
      <c r="K1039" s="22"/>
    </row>
    <row r="1040" ht="22.5" customHeight="1">
      <c r="A1040" s="28"/>
      <c r="B1040" s="15"/>
      <c r="C1040" s="38"/>
      <c r="D1040" s="38"/>
      <c r="E1040" s="21"/>
      <c r="F1040" s="38"/>
      <c r="G1040" s="21"/>
      <c r="H1040" s="21"/>
      <c r="I1040" s="21">
        <f t="shared" si="1"/>
        <v>0</v>
      </c>
      <c r="J1040" s="21"/>
      <c r="K1040" s="22"/>
    </row>
    <row r="1041" ht="22.5" customHeight="1">
      <c r="A1041" s="28"/>
      <c r="B1041" s="15"/>
      <c r="C1041" s="38"/>
      <c r="D1041" s="38"/>
      <c r="E1041" s="21"/>
      <c r="F1041" s="38"/>
      <c r="G1041" s="21"/>
      <c r="H1041" s="21"/>
      <c r="I1041" s="21">
        <f t="shared" si="1"/>
        <v>0</v>
      </c>
      <c r="J1041" s="21"/>
      <c r="K1041" s="22"/>
    </row>
    <row r="1042" ht="22.5" customHeight="1">
      <c r="A1042" s="28"/>
      <c r="B1042" s="15"/>
      <c r="C1042" s="38"/>
      <c r="D1042" s="38"/>
      <c r="E1042" s="21"/>
      <c r="F1042" s="38"/>
      <c r="G1042" s="21"/>
      <c r="H1042" s="21"/>
      <c r="I1042" s="21">
        <f t="shared" si="1"/>
        <v>0</v>
      </c>
      <c r="J1042" s="21"/>
      <c r="K1042" s="22"/>
    </row>
    <row r="1043" ht="22.5" customHeight="1">
      <c r="A1043" s="28"/>
      <c r="B1043" s="15"/>
      <c r="C1043" s="38"/>
      <c r="D1043" s="38"/>
      <c r="E1043" s="21"/>
      <c r="F1043" s="38"/>
      <c r="G1043" s="21"/>
      <c r="H1043" s="21"/>
      <c r="I1043" s="21">
        <f t="shared" si="1"/>
        <v>0</v>
      </c>
      <c r="J1043" s="21"/>
      <c r="K1043" s="22"/>
    </row>
    <row r="1044" ht="22.5" customHeight="1">
      <c r="A1044" s="28"/>
      <c r="B1044" s="15"/>
      <c r="C1044" s="38"/>
      <c r="D1044" s="38"/>
      <c r="E1044" s="21"/>
      <c r="F1044" s="38"/>
      <c r="G1044" s="21"/>
      <c r="H1044" s="21"/>
      <c r="I1044" s="21">
        <f t="shared" si="1"/>
        <v>0</v>
      </c>
      <c r="J1044" s="21"/>
      <c r="K1044" s="22"/>
    </row>
    <row r="1045" ht="22.5" customHeight="1">
      <c r="A1045" s="83"/>
      <c r="B1045" s="84"/>
      <c r="C1045" s="85"/>
      <c r="D1045" s="85"/>
      <c r="E1045" s="86"/>
      <c r="F1045" s="85"/>
      <c r="G1045" s="86"/>
      <c r="H1045" s="86"/>
      <c r="I1045" s="86">
        <f t="shared" si="1"/>
        <v>0</v>
      </c>
      <c r="J1045" s="86"/>
      <c r="K1045" s="22"/>
    </row>
    <row r="1046" ht="22.5" customHeight="1">
      <c r="A1046" s="83"/>
      <c r="B1046" s="84"/>
      <c r="C1046" s="85"/>
      <c r="D1046" s="85"/>
      <c r="E1046" s="86"/>
      <c r="F1046" s="85"/>
      <c r="G1046" s="86"/>
      <c r="H1046" s="86"/>
      <c r="I1046" s="86">
        <f t="shared" si="1"/>
        <v>0</v>
      </c>
      <c r="J1046" s="86"/>
      <c r="K1046" s="22"/>
    </row>
    <row r="1047" ht="22.5" customHeight="1">
      <c r="A1047" s="83"/>
      <c r="B1047" s="84"/>
      <c r="C1047" s="85"/>
      <c r="D1047" s="85"/>
      <c r="E1047" s="86"/>
      <c r="F1047" s="85"/>
      <c r="G1047" s="86"/>
      <c r="H1047" s="86"/>
      <c r="I1047" s="86">
        <f t="shared" si="1"/>
        <v>0</v>
      </c>
      <c r="J1047" s="86"/>
      <c r="K1047" s="22"/>
    </row>
    <row r="1048" ht="22.5" customHeight="1">
      <c r="A1048" s="83"/>
      <c r="B1048" s="84"/>
      <c r="C1048" s="85"/>
      <c r="D1048" s="85"/>
      <c r="E1048" s="86"/>
      <c r="F1048" s="85"/>
      <c r="G1048" s="86"/>
      <c r="H1048" s="86"/>
      <c r="I1048" s="86">
        <f t="shared" si="1"/>
        <v>0</v>
      </c>
      <c r="J1048" s="86"/>
      <c r="K1048" s="22"/>
    </row>
    <row r="1049" ht="22.5" customHeight="1">
      <c r="A1049" s="83"/>
      <c r="B1049" s="84"/>
      <c r="C1049" s="85"/>
      <c r="D1049" s="85"/>
      <c r="E1049" s="86"/>
      <c r="F1049" s="85"/>
      <c r="G1049" s="86"/>
      <c r="H1049" s="86"/>
      <c r="I1049" s="86">
        <f t="shared" si="1"/>
        <v>0</v>
      </c>
      <c r="J1049" s="86"/>
      <c r="K1049" s="22"/>
    </row>
    <row r="1050" ht="22.5" customHeight="1">
      <c r="A1050" s="83"/>
      <c r="B1050" s="84"/>
      <c r="C1050" s="85"/>
      <c r="D1050" s="85"/>
      <c r="E1050" s="86"/>
      <c r="F1050" s="85"/>
      <c r="G1050" s="86"/>
      <c r="H1050" s="86"/>
      <c r="I1050" s="86">
        <f t="shared" si="1"/>
        <v>0</v>
      </c>
      <c r="J1050" s="86"/>
      <c r="K1050" s="22"/>
    </row>
    <row r="1051" ht="22.5" customHeight="1">
      <c r="A1051" s="83"/>
      <c r="B1051" s="84"/>
      <c r="C1051" s="85"/>
      <c r="D1051" s="85"/>
      <c r="E1051" s="86"/>
      <c r="F1051" s="85"/>
      <c r="G1051" s="86"/>
      <c r="H1051" s="86"/>
      <c r="I1051" s="86">
        <f t="shared" si="1"/>
        <v>0</v>
      </c>
      <c r="J1051" s="86"/>
      <c r="K1051" s="22"/>
    </row>
    <row r="1052" ht="22.5" customHeight="1">
      <c r="A1052" s="83"/>
      <c r="B1052" s="84"/>
      <c r="C1052" s="85"/>
      <c r="D1052" s="85"/>
      <c r="E1052" s="86"/>
      <c r="F1052" s="85"/>
      <c r="G1052" s="86"/>
      <c r="H1052" s="86"/>
      <c r="I1052" s="86">
        <f t="shared" si="1"/>
        <v>0</v>
      </c>
      <c r="J1052" s="86"/>
      <c r="K1052" s="22"/>
    </row>
    <row r="1053" ht="22.5" customHeight="1">
      <c r="A1053" s="83"/>
      <c r="B1053" s="84"/>
      <c r="C1053" s="85"/>
      <c r="D1053" s="85"/>
      <c r="E1053" s="86"/>
      <c r="F1053" s="85"/>
      <c r="G1053" s="86"/>
      <c r="H1053" s="86"/>
      <c r="I1053" s="86">
        <f t="shared" si="1"/>
        <v>0</v>
      </c>
      <c r="J1053" s="86"/>
      <c r="K1053" s="22"/>
    </row>
    <row r="1054" ht="22.5" customHeight="1">
      <c r="A1054" s="83"/>
      <c r="B1054" s="84"/>
      <c r="C1054" s="85"/>
      <c r="D1054" s="85"/>
      <c r="E1054" s="86"/>
      <c r="F1054" s="85"/>
      <c r="G1054" s="86"/>
      <c r="H1054" s="86"/>
      <c r="I1054" s="86">
        <f t="shared" si="1"/>
        <v>0</v>
      </c>
      <c r="J1054" s="86"/>
      <c r="K1054" s="22"/>
    </row>
    <row r="1055" ht="22.5" customHeight="1">
      <c r="A1055" s="83"/>
      <c r="B1055" s="84"/>
      <c r="C1055" s="85"/>
      <c r="D1055" s="85"/>
      <c r="E1055" s="86"/>
      <c r="F1055" s="85"/>
      <c r="G1055" s="86"/>
      <c r="H1055" s="86"/>
      <c r="I1055" s="86">
        <f t="shared" si="1"/>
        <v>0</v>
      </c>
      <c r="J1055" s="86"/>
      <c r="K1055" s="22"/>
    </row>
    <row r="1056" ht="22.5" customHeight="1">
      <c r="A1056" s="83"/>
      <c r="B1056" s="84"/>
      <c r="C1056" s="85"/>
      <c r="D1056" s="85"/>
      <c r="E1056" s="86"/>
      <c r="F1056" s="85"/>
      <c r="G1056" s="86"/>
      <c r="H1056" s="86"/>
      <c r="I1056" s="86">
        <f t="shared" si="1"/>
        <v>0</v>
      </c>
      <c r="J1056" s="86"/>
      <c r="K1056" s="22"/>
    </row>
    <row r="1057" ht="22.5" customHeight="1">
      <c r="A1057" s="83"/>
      <c r="B1057" s="84"/>
      <c r="C1057" s="85"/>
      <c r="D1057" s="85"/>
      <c r="E1057" s="86"/>
      <c r="F1057" s="85"/>
      <c r="G1057" s="86"/>
      <c r="H1057" s="86"/>
      <c r="I1057" s="86">
        <f t="shared" si="1"/>
        <v>0</v>
      </c>
      <c r="J1057" s="86"/>
      <c r="K1057" s="22"/>
    </row>
    <row r="1058" ht="22.5" customHeight="1">
      <c r="A1058" s="83"/>
      <c r="B1058" s="84"/>
      <c r="C1058" s="85"/>
      <c r="D1058" s="85"/>
      <c r="E1058" s="86"/>
      <c r="F1058" s="85"/>
      <c r="G1058" s="86"/>
      <c r="H1058" s="86"/>
      <c r="I1058" s="86">
        <f t="shared" si="1"/>
        <v>0</v>
      </c>
      <c r="J1058" s="86"/>
      <c r="K1058" s="22"/>
    </row>
    <row r="1059" ht="22.5" customHeight="1">
      <c r="A1059" s="83"/>
      <c r="B1059" s="84"/>
      <c r="C1059" s="85"/>
      <c r="D1059" s="85"/>
      <c r="E1059" s="86"/>
      <c r="F1059" s="85"/>
      <c r="G1059" s="86"/>
      <c r="H1059" s="86"/>
      <c r="I1059" s="86">
        <f t="shared" si="1"/>
        <v>0</v>
      </c>
      <c r="J1059" s="86"/>
      <c r="K1059" s="22"/>
    </row>
    <row r="1060" ht="22.5" customHeight="1">
      <c r="A1060" s="83"/>
      <c r="B1060" s="84"/>
      <c r="C1060" s="85"/>
      <c r="D1060" s="85"/>
      <c r="E1060" s="86"/>
      <c r="F1060" s="85"/>
      <c r="G1060" s="86"/>
      <c r="H1060" s="86"/>
      <c r="I1060" s="86">
        <f t="shared" si="1"/>
        <v>0</v>
      </c>
      <c r="J1060" s="86"/>
      <c r="K1060" s="22"/>
    </row>
    <row r="1061" ht="22.5" customHeight="1">
      <c r="A1061" s="83"/>
      <c r="B1061" s="84"/>
      <c r="C1061" s="85"/>
      <c r="D1061" s="85"/>
      <c r="E1061" s="86"/>
      <c r="F1061" s="85"/>
      <c r="G1061" s="86"/>
      <c r="H1061" s="86"/>
      <c r="I1061" s="86">
        <f t="shared" si="1"/>
        <v>0</v>
      </c>
      <c r="J1061" s="86"/>
      <c r="K1061" s="22"/>
    </row>
    <row r="1062" ht="22.5" customHeight="1">
      <c r="A1062" s="83"/>
      <c r="B1062" s="84"/>
      <c r="C1062" s="85"/>
      <c r="D1062" s="85"/>
      <c r="E1062" s="86"/>
      <c r="F1062" s="85"/>
      <c r="G1062" s="86"/>
      <c r="H1062" s="86"/>
      <c r="I1062" s="86">
        <f t="shared" si="1"/>
        <v>0</v>
      </c>
      <c r="J1062" s="86"/>
      <c r="K1062" s="22"/>
    </row>
    <row r="1063" ht="22.5" customHeight="1">
      <c r="A1063" s="83"/>
      <c r="B1063" s="84"/>
      <c r="C1063" s="85"/>
      <c r="D1063" s="85"/>
      <c r="E1063" s="86"/>
      <c r="F1063" s="85"/>
      <c r="G1063" s="86"/>
      <c r="H1063" s="86"/>
      <c r="I1063" s="86">
        <f t="shared" si="1"/>
        <v>0</v>
      </c>
      <c r="J1063" s="86"/>
      <c r="K1063" s="22"/>
    </row>
    <row r="1064" ht="22.5" customHeight="1">
      <c r="A1064" s="83"/>
      <c r="B1064" s="84"/>
      <c r="C1064" s="85"/>
      <c r="D1064" s="85"/>
      <c r="E1064" s="86"/>
      <c r="F1064" s="85"/>
      <c r="G1064" s="86"/>
      <c r="H1064" s="86"/>
      <c r="I1064" s="86">
        <f t="shared" si="1"/>
        <v>0</v>
      </c>
      <c r="J1064" s="86"/>
      <c r="K1064" s="22"/>
    </row>
    <row r="1065" ht="22.5" customHeight="1">
      <c r="A1065" s="83"/>
      <c r="B1065" s="84"/>
      <c r="C1065" s="85"/>
      <c r="D1065" s="85"/>
      <c r="E1065" s="86"/>
      <c r="F1065" s="85"/>
      <c r="G1065" s="86"/>
      <c r="H1065" s="86"/>
      <c r="I1065" s="86">
        <f t="shared" si="1"/>
        <v>0</v>
      </c>
      <c r="J1065" s="86"/>
      <c r="K1065" s="22"/>
    </row>
    <row r="1066" ht="22.5" customHeight="1">
      <c r="A1066" s="83"/>
      <c r="B1066" s="84"/>
      <c r="C1066" s="85"/>
      <c r="D1066" s="85"/>
      <c r="E1066" s="86"/>
      <c r="F1066" s="85"/>
      <c r="G1066" s="86"/>
      <c r="H1066" s="86"/>
      <c r="I1066" s="86">
        <f t="shared" si="1"/>
        <v>0</v>
      </c>
      <c r="J1066" s="86"/>
      <c r="K1066" s="22"/>
    </row>
    <row r="1067" ht="22.5" customHeight="1">
      <c r="A1067" s="83"/>
      <c r="B1067" s="84"/>
      <c r="C1067" s="85"/>
      <c r="D1067" s="85"/>
      <c r="E1067" s="86"/>
      <c r="F1067" s="85"/>
      <c r="G1067" s="86"/>
      <c r="H1067" s="86"/>
      <c r="I1067" s="86">
        <f t="shared" si="1"/>
        <v>0</v>
      </c>
      <c r="J1067" s="86"/>
      <c r="K1067" s="22"/>
    </row>
    <row r="1068" ht="22.5" customHeight="1">
      <c r="A1068" s="83"/>
      <c r="B1068" s="84"/>
      <c r="C1068" s="85"/>
      <c r="D1068" s="85"/>
      <c r="E1068" s="86"/>
      <c r="F1068" s="85"/>
      <c r="G1068" s="86"/>
      <c r="H1068" s="86"/>
      <c r="I1068" s="86">
        <f t="shared" si="1"/>
        <v>0</v>
      </c>
      <c r="J1068" s="86"/>
      <c r="K1068" s="22"/>
    </row>
    <row r="1069" ht="22.5" customHeight="1">
      <c r="A1069" s="83"/>
      <c r="B1069" s="84"/>
      <c r="C1069" s="85"/>
      <c r="D1069" s="85"/>
      <c r="E1069" s="86"/>
      <c r="F1069" s="85"/>
      <c r="G1069" s="86"/>
      <c r="H1069" s="86"/>
      <c r="I1069" s="86">
        <f t="shared" si="1"/>
        <v>0</v>
      </c>
      <c r="J1069" s="86"/>
      <c r="K1069" s="22"/>
    </row>
    <row r="1070" ht="22.5" customHeight="1">
      <c r="A1070" s="83"/>
      <c r="B1070" s="84"/>
      <c r="C1070" s="85"/>
      <c r="D1070" s="85"/>
      <c r="E1070" s="86"/>
      <c r="F1070" s="85"/>
      <c r="G1070" s="86"/>
      <c r="H1070" s="86"/>
      <c r="I1070" s="86">
        <f t="shared" si="1"/>
        <v>0</v>
      </c>
      <c r="J1070" s="86"/>
      <c r="K1070" s="22"/>
    </row>
    <row r="1071" ht="22.5" customHeight="1">
      <c r="A1071" s="83"/>
      <c r="B1071" s="84"/>
      <c r="C1071" s="85"/>
      <c r="D1071" s="85"/>
      <c r="E1071" s="86"/>
      <c r="F1071" s="85"/>
      <c r="G1071" s="86"/>
      <c r="H1071" s="86"/>
      <c r="I1071" s="86">
        <f t="shared" si="1"/>
        <v>0</v>
      </c>
      <c r="J1071" s="86"/>
      <c r="K1071" s="22"/>
    </row>
    <row r="1072" ht="22.5" customHeight="1">
      <c r="A1072" s="83"/>
      <c r="B1072" s="84"/>
      <c r="C1072" s="85"/>
      <c r="D1072" s="85"/>
      <c r="E1072" s="86"/>
      <c r="F1072" s="85"/>
      <c r="G1072" s="86"/>
      <c r="H1072" s="86"/>
      <c r="I1072" s="86">
        <f t="shared" si="1"/>
        <v>0</v>
      </c>
      <c r="J1072" s="86"/>
      <c r="K1072" s="22"/>
    </row>
    <row r="1073" ht="22.5" customHeight="1">
      <c r="A1073" s="83"/>
      <c r="B1073" s="84"/>
      <c r="C1073" s="85"/>
      <c r="D1073" s="85"/>
      <c r="E1073" s="86"/>
      <c r="F1073" s="85"/>
      <c r="G1073" s="86"/>
      <c r="H1073" s="86"/>
      <c r="I1073" s="86">
        <f t="shared" si="1"/>
        <v>0</v>
      </c>
      <c r="J1073" s="86"/>
      <c r="K1073" s="22"/>
    </row>
    <row r="1074" ht="22.5" customHeight="1">
      <c r="A1074" s="83"/>
      <c r="B1074" s="84"/>
      <c r="C1074" s="85"/>
      <c r="D1074" s="85"/>
      <c r="E1074" s="86"/>
      <c r="F1074" s="85"/>
      <c r="G1074" s="86"/>
      <c r="H1074" s="86"/>
      <c r="I1074" s="86">
        <f t="shared" si="1"/>
        <v>0</v>
      </c>
      <c r="J1074" s="86"/>
      <c r="K1074" s="22"/>
    </row>
    <row r="1075" ht="22.5" customHeight="1">
      <c r="A1075" s="83"/>
      <c r="B1075" s="84"/>
      <c r="C1075" s="85"/>
      <c r="D1075" s="85"/>
      <c r="E1075" s="86"/>
      <c r="F1075" s="85"/>
      <c r="G1075" s="86"/>
      <c r="H1075" s="86"/>
      <c r="I1075" s="86">
        <f t="shared" si="1"/>
        <v>0</v>
      </c>
      <c r="J1075" s="86"/>
      <c r="K1075" s="22"/>
    </row>
    <row r="1076" ht="22.5" customHeight="1">
      <c r="A1076" s="83"/>
      <c r="B1076" s="84"/>
      <c r="C1076" s="85"/>
      <c r="D1076" s="85"/>
      <c r="E1076" s="86"/>
      <c r="F1076" s="85"/>
      <c r="G1076" s="86"/>
      <c r="H1076" s="86"/>
      <c r="I1076" s="86">
        <f t="shared" si="1"/>
        <v>0</v>
      </c>
      <c r="J1076" s="86"/>
      <c r="K1076" s="22"/>
    </row>
    <row r="1077" ht="22.5" customHeight="1">
      <c r="A1077" s="83"/>
      <c r="B1077" s="84"/>
      <c r="C1077" s="85"/>
      <c r="D1077" s="85"/>
      <c r="E1077" s="86"/>
      <c r="F1077" s="85"/>
      <c r="G1077" s="86"/>
      <c r="H1077" s="86"/>
      <c r="I1077" s="86">
        <f t="shared" si="1"/>
        <v>0</v>
      </c>
      <c r="J1077" s="86"/>
      <c r="K1077" s="22"/>
    </row>
    <row r="1078" ht="22.5" customHeight="1">
      <c r="A1078" s="83"/>
      <c r="B1078" s="84"/>
      <c r="C1078" s="85"/>
      <c r="D1078" s="85"/>
      <c r="E1078" s="86"/>
      <c r="F1078" s="85"/>
      <c r="G1078" s="86"/>
      <c r="H1078" s="86"/>
      <c r="I1078" s="86">
        <f t="shared" si="1"/>
        <v>0</v>
      </c>
      <c r="J1078" s="86"/>
      <c r="K1078" s="22"/>
    </row>
    <row r="1079" ht="22.5" customHeight="1">
      <c r="A1079" s="83"/>
      <c r="B1079" s="84"/>
      <c r="C1079" s="85"/>
      <c r="D1079" s="85"/>
      <c r="E1079" s="86"/>
      <c r="F1079" s="85"/>
      <c r="G1079" s="86"/>
      <c r="H1079" s="86"/>
      <c r="I1079" s="86">
        <f t="shared" si="1"/>
        <v>0</v>
      </c>
      <c r="J1079" s="86"/>
      <c r="K1079" s="22"/>
    </row>
    <row r="1080" ht="22.5" customHeight="1">
      <c r="A1080" s="83"/>
      <c r="B1080" s="84"/>
      <c r="C1080" s="85"/>
      <c r="D1080" s="85"/>
      <c r="E1080" s="86"/>
      <c r="F1080" s="85"/>
      <c r="G1080" s="86"/>
      <c r="H1080" s="86"/>
      <c r="I1080" s="86">
        <f t="shared" si="1"/>
        <v>0</v>
      </c>
      <c r="J1080" s="86"/>
      <c r="K1080" s="22"/>
    </row>
    <row r="1081" ht="22.5" customHeight="1">
      <c r="A1081" s="83"/>
      <c r="B1081" s="84"/>
      <c r="C1081" s="85"/>
      <c r="D1081" s="85"/>
      <c r="E1081" s="86"/>
      <c r="F1081" s="85"/>
      <c r="G1081" s="86"/>
      <c r="H1081" s="86"/>
      <c r="I1081" s="86">
        <f t="shared" si="1"/>
        <v>0</v>
      </c>
      <c r="J1081" s="86"/>
      <c r="K1081" s="22"/>
    </row>
    <row r="1082" ht="22.5" customHeight="1">
      <c r="A1082" s="83"/>
      <c r="B1082" s="84"/>
      <c r="C1082" s="85"/>
      <c r="D1082" s="85"/>
      <c r="E1082" s="86"/>
      <c r="F1082" s="85"/>
      <c r="G1082" s="86"/>
      <c r="H1082" s="86"/>
      <c r="I1082" s="86">
        <f t="shared" si="1"/>
        <v>0</v>
      </c>
      <c r="J1082" s="86"/>
      <c r="K1082" s="22"/>
    </row>
    <row r="1083" ht="22.5" customHeight="1">
      <c r="A1083" s="83"/>
      <c r="B1083" s="84"/>
      <c r="C1083" s="85"/>
      <c r="D1083" s="85"/>
      <c r="E1083" s="86"/>
      <c r="F1083" s="85"/>
      <c r="G1083" s="86"/>
      <c r="H1083" s="86"/>
      <c r="I1083" s="86">
        <f t="shared" si="1"/>
        <v>0</v>
      </c>
      <c r="J1083" s="86"/>
      <c r="K1083" s="22"/>
    </row>
    <row r="1084" ht="22.5" customHeight="1">
      <c r="A1084" s="83"/>
      <c r="B1084" s="84"/>
      <c r="C1084" s="85"/>
      <c r="D1084" s="85"/>
      <c r="E1084" s="86"/>
      <c r="F1084" s="85"/>
      <c r="G1084" s="86"/>
      <c r="H1084" s="86"/>
      <c r="I1084" s="86">
        <f t="shared" si="1"/>
        <v>0</v>
      </c>
      <c r="J1084" s="86"/>
      <c r="K1084" s="22"/>
    </row>
    <row r="1085" ht="22.5" customHeight="1">
      <c r="A1085" s="83"/>
      <c r="B1085" s="84"/>
      <c r="C1085" s="85"/>
      <c r="D1085" s="85"/>
      <c r="E1085" s="86"/>
      <c r="F1085" s="85"/>
      <c r="G1085" s="86"/>
      <c r="H1085" s="86"/>
      <c r="I1085" s="86">
        <f t="shared" si="1"/>
        <v>0</v>
      </c>
      <c r="J1085" s="86"/>
      <c r="K1085" s="22"/>
    </row>
    <row r="1086" ht="22.5" customHeight="1">
      <c r="A1086" s="83"/>
      <c r="B1086" s="84"/>
      <c r="C1086" s="85"/>
      <c r="D1086" s="85"/>
      <c r="E1086" s="86"/>
      <c r="F1086" s="85"/>
      <c r="G1086" s="86"/>
      <c r="H1086" s="86"/>
      <c r="I1086" s="86">
        <f t="shared" si="1"/>
        <v>0</v>
      </c>
      <c r="J1086" s="86"/>
      <c r="K1086" s="22"/>
    </row>
    <row r="1087" ht="22.5" customHeight="1">
      <c r="A1087" s="83"/>
      <c r="B1087" s="84"/>
      <c r="C1087" s="85"/>
      <c r="D1087" s="85"/>
      <c r="E1087" s="86"/>
      <c r="F1087" s="85"/>
      <c r="G1087" s="86"/>
      <c r="H1087" s="86"/>
      <c r="I1087" s="86">
        <f t="shared" si="1"/>
        <v>0</v>
      </c>
      <c r="J1087" s="86"/>
      <c r="K1087" s="22"/>
    </row>
    <row r="1088" ht="22.5" customHeight="1">
      <c r="A1088" s="83"/>
      <c r="B1088" s="84"/>
      <c r="C1088" s="85"/>
      <c r="D1088" s="85"/>
      <c r="E1088" s="86"/>
      <c r="F1088" s="85"/>
      <c r="G1088" s="86"/>
      <c r="H1088" s="86"/>
      <c r="I1088" s="86">
        <f t="shared" si="1"/>
        <v>0</v>
      </c>
      <c r="J1088" s="86"/>
      <c r="K1088" s="22"/>
    </row>
    <row r="1089" ht="22.5" customHeight="1">
      <c r="A1089" s="83"/>
      <c r="B1089" s="84"/>
      <c r="C1089" s="85"/>
      <c r="D1089" s="85"/>
      <c r="E1089" s="86"/>
      <c r="F1089" s="85"/>
      <c r="G1089" s="86"/>
      <c r="H1089" s="86"/>
      <c r="I1089" s="86">
        <f t="shared" si="1"/>
        <v>0</v>
      </c>
      <c r="J1089" s="86"/>
      <c r="K1089" s="22"/>
    </row>
    <row r="1090" ht="22.5" customHeight="1">
      <c r="A1090" s="83"/>
      <c r="B1090" s="84"/>
      <c r="C1090" s="85"/>
      <c r="D1090" s="85"/>
      <c r="E1090" s="86"/>
      <c r="F1090" s="85"/>
      <c r="G1090" s="86"/>
      <c r="H1090" s="86"/>
      <c r="I1090" s="86">
        <f t="shared" si="1"/>
        <v>0</v>
      </c>
      <c r="J1090" s="86"/>
      <c r="K1090" s="22"/>
    </row>
    <row r="1091" ht="22.5" customHeight="1">
      <c r="A1091" s="83"/>
      <c r="B1091" s="84"/>
      <c r="C1091" s="85"/>
      <c r="D1091" s="85"/>
      <c r="E1091" s="86"/>
      <c r="F1091" s="85"/>
      <c r="G1091" s="86"/>
      <c r="H1091" s="86"/>
      <c r="I1091" s="86">
        <f t="shared" si="1"/>
        <v>0</v>
      </c>
      <c r="J1091" s="86"/>
      <c r="K1091" s="22"/>
    </row>
    <row r="1092" ht="22.5" customHeight="1">
      <c r="A1092" s="83"/>
      <c r="B1092" s="84"/>
      <c r="C1092" s="85"/>
      <c r="D1092" s="85"/>
      <c r="E1092" s="86"/>
      <c r="F1092" s="85"/>
      <c r="G1092" s="86"/>
      <c r="H1092" s="86"/>
      <c r="I1092" s="86">
        <f t="shared" si="1"/>
        <v>0</v>
      </c>
      <c r="J1092" s="86"/>
      <c r="K1092" s="22"/>
    </row>
    <row r="1093" ht="22.5" customHeight="1">
      <c r="A1093" s="83"/>
      <c r="B1093" s="84"/>
      <c r="C1093" s="85"/>
      <c r="D1093" s="85"/>
      <c r="E1093" s="86"/>
      <c r="F1093" s="85"/>
      <c r="G1093" s="86"/>
      <c r="H1093" s="86"/>
      <c r="I1093" s="86">
        <f t="shared" si="1"/>
        <v>0</v>
      </c>
      <c r="J1093" s="86"/>
      <c r="K1093" s="22"/>
    </row>
    <row r="1094" ht="22.5" customHeight="1">
      <c r="A1094" s="83"/>
      <c r="B1094" s="84"/>
      <c r="C1094" s="85"/>
      <c r="D1094" s="85"/>
      <c r="E1094" s="86"/>
      <c r="F1094" s="85"/>
      <c r="G1094" s="86"/>
      <c r="H1094" s="86"/>
      <c r="I1094" s="86">
        <f t="shared" si="1"/>
        <v>0</v>
      </c>
      <c r="J1094" s="86"/>
      <c r="K1094" s="22"/>
    </row>
    <row r="1095" ht="22.5" customHeight="1">
      <c r="A1095" s="83"/>
      <c r="B1095" s="84"/>
      <c r="C1095" s="85"/>
      <c r="D1095" s="85"/>
      <c r="E1095" s="86"/>
      <c r="F1095" s="85"/>
      <c r="G1095" s="86"/>
      <c r="H1095" s="86"/>
      <c r="I1095" s="86">
        <f t="shared" si="1"/>
        <v>0</v>
      </c>
      <c r="J1095" s="86"/>
      <c r="K1095" s="22"/>
    </row>
    <row r="1096" ht="22.5" customHeight="1">
      <c r="A1096" s="83"/>
      <c r="B1096" s="84"/>
      <c r="C1096" s="85"/>
      <c r="D1096" s="85"/>
      <c r="E1096" s="86"/>
      <c r="F1096" s="85"/>
      <c r="G1096" s="86"/>
      <c r="H1096" s="86"/>
      <c r="I1096" s="86">
        <f t="shared" si="1"/>
        <v>0</v>
      </c>
      <c r="J1096" s="86"/>
      <c r="K1096" s="22"/>
    </row>
    <row r="1097" ht="22.5" customHeight="1">
      <c r="A1097" s="83"/>
      <c r="B1097" s="84"/>
      <c r="C1097" s="85"/>
      <c r="D1097" s="85"/>
      <c r="E1097" s="86"/>
      <c r="F1097" s="85"/>
      <c r="G1097" s="86"/>
      <c r="H1097" s="86"/>
      <c r="I1097" s="86">
        <f t="shared" si="1"/>
        <v>0</v>
      </c>
      <c r="J1097" s="86"/>
      <c r="K1097" s="22"/>
    </row>
    <row r="1098" ht="22.5" customHeight="1">
      <c r="A1098" s="83"/>
      <c r="B1098" s="84"/>
      <c r="C1098" s="85"/>
      <c r="D1098" s="85"/>
      <c r="E1098" s="86"/>
      <c r="F1098" s="85"/>
      <c r="G1098" s="86"/>
      <c r="H1098" s="86"/>
      <c r="I1098" s="86">
        <f t="shared" si="1"/>
        <v>0</v>
      </c>
      <c r="J1098" s="86"/>
      <c r="K1098" s="22"/>
    </row>
    <row r="1099" ht="22.5" customHeight="1">
      <c r="A1099" s="83"/>
      <c r="B1099" s="84"/>
      <c r="C1099" s="85"/>
      <c r="D1099" s="85"/>
      <c r="E1099" s="86"/>
      <c r="F1099" s="85"/>
      <c r="G1099" s="86"/>
      <c r="H1099" s="86"/>
      <c r="I1099" s="86">
        <f t="shared" si="1"/>
        <v>0</v>
      </c>
      <c r="J1099" s="86"/>
      <c r="K1099" s="22"/>
    </row>
    <row r="1100" ht="22.5" customHeight="1">
      <c r="A1100" s="83"/>
      <c r="B1100" s="84"/>
      <c r="C1100" s="85"/>
      <c r="D1100" s="85"/>
      <c r="E1100" s="86"/>
      <c r="F1100" s="85"/>
      <c r="G1100" s="86"/>
      <c r="H1100" s="86"/>
      <c r="I1100" s="86">
        <f t="shared" si="1"/>
        <v>0</v>
      </c>
      <c r="J1100" s="86"/>
      <c r="K1100" s="22"/>
    </row>
    <row r="1101" ht="22.5" customHeight="1">
      <c r="A1101" s="83"/>
      <c r="B1101" s="84"/>
      <c r="C1101" s="85"/>
      <c r="D1101" s="85"/>
      <c r="E1101" s="86"/>
      <c r="F1101" s="85"/>
      <c r="G1101" s="86"/>
      <c r="H1101" s="86"/>
      <c r="I1101" s="86">
        <f t="shared" si="1"/>
        <v>0</v>
      </c>
      <c r="J1101" s="86"/>
      <c r="K1101" s="22"/>
    </row>
    <row r="1102" ht="22.5" customHeight="1">
      <c r="A1102" s="83"/>
      <c r="B1102" s="84"/>
      <c r="C1102" s="85"/>
      <c r="D1102" s="85"/>
      <c r="E1102" s="86"/>
      <c r="F1102" s="85"/>
      <c r="G1102" s="86"/>
      <c r="H1102" s="86"/>
      <c r="I1102" s="86">
        <f t="shared" si="1"/>
        <v>0</v>
      </c>
      <c r="J1102" s="86"/>
      <c r="K1102" s="22"/>
    </row>
    <row r="1103" ht="22.5" customHeight="1">
      <c r="A1103" s="83"/>
      <c r="B1103" s="84"/>
      <c r="C1103" s="85"/>
      <c r="D1103" s="85"/>
      <c r="E1103" s="86"/>
      <c r="F1103" s="85"/>
      <c r="G1103" s="86"/>
      <c r="H1103" s="86"/>
      <c r="I1103" s="86">
        <f t="shared" si="1"/>
        <v>0</v>
      </c>
      <c r="J1103" s="86"/>
      <c r="K1103" s="22"/>
    </row>
    <row r="1104" ht="22.5" customHeight="1">
      <c r="A1104" s="83"/>
      <c r="B1104" s="84"/>
      <c r="C1104" s="85"/>
      <c r="D1104" s="85"/>
      <c r="E1104" s="86"/>
      <c r="F1104" s="85"/>
      <c r="G1104" s="86"/>
      <c r="H1104" s="86"/>
      <c r="I1104" s="86">
        <f t="shared" si="1"/>
        <v>0</v>
      </c>
      <c r="J1104" s="86"/>
      <c r="K1104" s="22"/>
    </row>
    <row r="1105" ht="22.5" customHeight="1">
      <c r="A1105" s="83"/>
      <c r="B1105" s="84"/>
      <c r="C1105" s="85"/>
      <c r="D1105" s="85"/>
      <c r="E1105" s="86"/>
      <c r="F1105" s="85"/>
      <c r="G1105" s="86"/>
      <c r="H1105" s="86"/>
      <c r="I1105" s="86">
        <f t="shared" si="1"/>
        <v>0</v>
      </c>
      <c r="J1105" s="86"/>
      <c r="K1105" s="22"/>
    </row>
    <row r="1106" ht="22.5" customHeight="1">
      <c r="A1106" s="83"/>
      <c r="B1106" s="84"/>
      <c r="C1106" s="85"/>
      <c r="D1106" s="85"/>
      <c r="E1106" s="86"/>
      <c r="F1106" s="85"/>
      <c r="G1106" s="86"/>
      <c r="H1106" s="86"/>
      <c r="I1106" s="86">
        <f t="shared" si="1"/>
        <v>0</v>
      </c>
      <c r="J1106" s="86"/>
      <c r="K1106" s="22"/>
    </row>
    <row r="1107" ht="22.5" customHeight="1">
      <c r="A1107" s="83"/>
      <c r="B1107" s="84"/>
      <c r="C1107" s="85"/>
      <c r="D1107" s="85"/>
      <c r="E1107" s="86"/>
      <c r="F1107" s="85"/>
      <c r="G1107" s="86"/>
      <c r="H1107" s="86"/>
      <c r="I1107" s="86">
        <f t="shared" si="1"/>
        <v>0</v>
      </c>
      <c r="J1107" s="86"/>
      <c r="K1107" s="22"/>
    </row>
    <row r="1108" ht="22.5" customHeight="1">
      <c r="A1108" s="83"/>
      <c r="B1108" s="84"/>
      <c r="C1108" s="85"/>
      <c r="D1108" s="85"/>
      <c r="E1108" s="86"/>
      <c r="F1108" s="85"/>
      <c r="G1108" s="86"/>
      <c r="H1108" s="86"/>
      <c r="I1108" s="86">
        <f t="shared" si="1"/>
        <v>0</v>
      </c>
      <c r="J1108" s="86"/>
      <c r="K1108" s="22"/>
    </row>
    <row r="1109" ht="22.5" customHeight="1">
      <c r="A1109" s="83"/>
      <c r="B1109" s="84"/>
      <c r="C1109" s="85"/>
      <c r="D1109" s="85"/>
      <c r="E1109" s="86"/>
      <c r="F1109" s="85"/>
      <c r="G1109" s="86"/>
      <c r="H1109" s="86"/>
      <c r="I1109" s="86">
        <f t="shared" si="1"/>
        <v>0</v>
      </c>
      <c r="J1109" s="86"/>
      <c r="K1109" s="22"/>
    </row>
    <row r="1110" ht="22.5" customHeight="1">
      <c r="A1110" s="83"/>
      <c r="B1110" s="84"/>
      <c r="C1110" s="85"/>
      <c r="D1110" s="85"/>
      <c r="E1110" s="86"/>
      <c r="F1110" s="85"/>
      <c r="G1110" s="86"/>
      <c r="H1110" s="86"/>
      <c r="I1110" s="86">
        <f t="shared" si="1"/>
        <v>0</v>
      </c>
      <c r="J1110" s="86"/>
      <c r="K1110" s="22"/>
    </row>
    <row r="1111" ht="22.5" customHeight="1">
      <c r="A1111" s="83"/>
      <c r="B1111" s="84"/>
      <c r="C1111" s="85"/>
      <c r="D1111" s="85"/>
      <c r="E1111" s="86"/>
      <c r="F1111" s="85"/>
      <c r="G1111" s="86"/>
      <c r="H1111" s="86"/>
      <c r="I1111" s="86">
        <f t="shared" si="1"/>
        <v>0</v>
      </c>
      <c r="J1111" s="86"/>
      <c r="K1111" s="22"/>
    </row>
    <row r="1112" ht="22.5" customHeight="1">
      <c r="A1112" s="83"/>
      <c r="B1112" s="84"/>
      <c r="C1112" s="85"/>
      <c r="D1112" s="85"/>
      <c r="E1112" s="86"/>
      <c r="F1112" s="85"/>
      <c r="G1112" s="86"/>
      <c r="H1112" s="86"/>
      <c r="I1112" s="86">
        <f t="shared" si="1"/>
        <v>0</v>
      </c>
      <c r="J1112" s="86"/>
      <c r="K1112" s="22"/>
    </row>
    <row r="1113" ht="22.5" customHeight="1">
      <c r="A1113" s="83"/>
      <c r="B1113" s="84"/>
      <c r="C1113" s="85"/>
      <c r="D1113" s="85"/>
      <c r="E1113" s="86"/>
      <c r="F1113" s="85"/>
      <c r="G1113" s="86"/>
      <c r="H1113" s="86"/>
      <c r="I1113" s="86">
        <f t="shared" si="1"/>
        <v>0</v>
      </c>
      <c r="J1113" s="86"/>
      <c r="K1113" s="22"/>
    </row>
    <row r="1114" ht="22.5" customHeight="1">
      <c r="A1114" s="83"/>
      <c r="B1114" s="84"/>
      <c r="C1114" s="85"/>
      <c r="D1114" s="85"/>
      <c r="E1114" s="86"/>
      <c r="F1114" s="85"/>
      <c r="G1114" s="86"/>
      <c r="H1114" s="86"/>
      <c r="I1114" s="86">
        <f t="shared" si="1"/>
        <v>0</v>
      </c>
      <c r="J1114" s="86"/>
      <c r="K1114" s="22"/>
    </row>
    <row r="1115" ht="22.5" customHeight="1">
      <c r="A1115" s="83"/>
      <c r="B1115" s="84"/>
      <c r="C1115" s="85"/>
      <c r="D1115" s="85"/>
      <c r="E1115" s="86"/>
      <c r="F1115" s="85"/>
      <c r="G1115" s="86"/>
      <c r="H1115" s="86"/>
      <c r="I1115" s="86">
        <f t="shared" si="1"/>
        <v>0</v>
      </c>
      <c r="J1115" s="86"/>
      <c r="K1115" s="22"/>
    </row>
    <row r="1116" ht="22.5" customHeight="1">
      <c r="A1116" s="83"/>
      <c r="B1116" s="84"/>
      <c r="C1116" s="85"/>
      <c r="D1116" s="85"/>
      <c r="E1116" s="86"/>
      <c r="F1116" s="85"/>
      <c r="G1116" s="86"/>
      <c r="H1116" s="86"/>
      <c r="I1116" s="86">
        <f t="shared" si="1"/>
        <v>0</v>
      </c>
      <c r="J1116" s="86"/>
      <c r="K1116" s="22"/>
    </row>
    <row r="1117" ht="22.5" customHeight="1">
      <c r="A1117" s="83"/>
      <c r="B1117" s="84"/>
      <c r="C1117" s="85"/>
      <c r="D1117" s="85"/>
      <c r="E1117" s="86"/>
      <c r="F1117" s="85"/>
      <c r="G1117" s="86"/>
      <c r="H1117" s="86"/>
      <c r="I1117" s="86">
        <f t="shared" si="1"/>
        <v>0</v>
      </c>
      <c r="J1117" s="86"/>
      <c r="K1117" s="22"/>
    </row>
    <row r="1118" ht="22.5" customHeight="1">
      <c r="A1118" s="83"/>
      <c r="B1118" s="84"/>
      <c r="C1118" s="85"/>
      <c r="D1118" s="85"/>
      <c r="E1118" s="86"/>
      <c r="F1118" s="85"/>
      <c r="G1118" s="86"/>
      <c r="H1118" s="86"/>
      <c r="I1118" s="86">
        <f t="shared" si="1"/>
        <v>0</v>
      </c>
      <c r="J1118" s="86"/>
      <c r="K1118" s="22"/>
    </row>
    <row r="1119" ht="22.5" customHeight="1">
      <c r="A1119" s="83"/>
      <c r="B1119" s="84"/>
      <c r="C1119" s="85"/>
      <c r="D1119" s="85"/>
      <c r="E1119" s="86"/>
      <c r="F1119" s="85"/>
      <c r="G1119" s="86"/>
      <c r="H1119" s="86"/>
      <c r="I1119" s="86">
        <f t="shared" si="1"/>
        <v>0</v>
      </c>
      <c r="J1119" s="86"/>
      <c r="K1119" s="22"/>
    </row>
    <row r="1120" ht="22.5" customHeight="1">
      <c r="A1120" s="83"/>
      <c r="B1120" s="84"/>
      <c r="C1120" s="85"/>
      <c r="D1120" s="85"/>
      <c r="E1120" s="86"/>
      <c r="F1120" s="85"/>
      <c r="G1120" s="86"/>
      <c r="H1120" s="86"/>
      <c r="I1120" s="86">
        <f t="shared" si="1"/>
        <v>0</v>
      </c>
      <c r="J1120" s="86"/>
      <c r="K1120" s="22"/>
    </row>
    <row r="1121" ht="22.5" customHeight="1">
      <c r="A1121" s="83"/>
      <c r="B1121" s="84"/>
      <c r="C1121" s="85"/>
      <c r="D1121" s="85"/>
      <c r="E1121" s="86"/>
      <c r="F1121" s="85"/>
      <c r="G1121" s="86"/>
      <c r="H1121" s="86"/>
      <c r="I1121" s="86">
        <f t="shared" si="1"/>
        <v>0</v>
      </c>
      <c r="J1121" s="86"/>
      <c r="K1121" s="22"/>
    </row>
    <row r="1122" ht="22.5" customHeight="1">
      <c r="A1122" s="83"/>
      <c r="B1122" s="84"/>
      <c r="C1122" s="85"/>
      <c r="D1122" s="85"/>
      <c r="E1122" s="86"/>
      <c r="F1122" s="85"/>
      <c r="G1122" s="86"/>
      <c r="H1122" s="86"/>
      <c r="I1122" s="86">
        <f t="shared" si="1"/>
        <v>0</v>
      </c>
      <c r="J1122" s="86"/>
      <c r="K1122" s="22"/>
    </row>
    <row r="1123" ht="22.5" customHeight="1">
      <c r="A1123" s="83"/>
      <c r="B1123" s="84"/>
      <c r="C1123" s="85"/>
      <c r="D1123" s="85"/>
      <c r="E1123" s="86"/>
      <c r="F1123" s="85"/>
      <c r="G1123" s="86"/>
      <c r="H1123" s="86"/>
      <c r="I1123" s="86">
        <f t="shared" si="1"/>
        <v>0</v>
      </c>
      <c r="J1123" s="86"/>
      <c r="K1123" s="22"/>
    </row>
    <row r="1124" ht="22.5" customHeight="1">
      <c r="A1124" s="83"/>
      <c r="B1124" s="84"/>
      <c r="C1124" s="85"/>
      <c r="D1124" s="85"/>
      <c r="E1124" s="86"/>
      <c r="F1124" s="85"/>
      <c r="G1124" s="86"/>
      <c r="H1124" s="86"/>
      <c r="I1124" s="86">
        <f t="shared" si="1"/>
        <v>0</v>
      </c>
      <c r="J1124" s="86"/>
      <c r="K1124" s="22"/>
    </row>
    <row r="1125" ht="22.5" customHeight="1">
      <c r="A1125" s="83"/>
      <c r="B1125" s="84"/>
      <c r="C1125" s="85"/>
      <c r="D1125" s="85"/>
      <c r="E1125" s="86"/>
      <c r="F1125" s="85"/>
      <c r="G1125" s="86"/>
      <c r="H1125" s="86"/>
      <c r="I1125" s="86">
        <f t="shared" si="1"/>
        <v>0</v>
      </c>
      <c r="J1125" s="86"/>
      <c r="K1125" s="22"/>
    </row>
    <row r="1126" ht="22.5" customHeight="1">
      <c r="A1126" s="83"/>
      <c r="B1126" s="84"/>
      <c r="C1126" s="85"/>
      <c r="D1126" s="85"/>
      <c r="E1126" s="86"/>
      <c r="F1126" s="85"/>
      <c r="G1126" s="86"/>
      <c r="H1126" s="86"/>
      <c r="I1126" s="86">
        <f t="shared" si="1"/>
        <v>0</v>
      </c>
      <c r="J1126" s="86"/>
      <c r="K1126" s="22"/>
    </row>
    <row r="1127" ht="22.5" customHeight="1">
      <c r="A1127" s="83"/>
      <c r="B1127" s="84"/>
      <c r="C1127" s="85"/>
      <c r="D1127" s="85"/>
      <c r="E1127" s="86"/>
      <c r="F1127" s="85"/>
      <c r="G1127" s="86"/>
      <c r="H1127" s="86"/>
      <c r="I1127" s="86">
        <f t="shared" si="1"/>
        <v>0</v>
      </c>
      <c r="J1127" s="86"/>
      <c r="K1127" s="22"/>
    </row>
    <row r="1128" ht="22.5" customHeight="1">
      <c r="A1128" s="83"/>
      <c r="B1128" s="84"/>
      <c r="C1128" s="85"/>
      <c r="D1128" s="85"/>
      <c r="E1128" s="86"/>
      <c r="F1128" s="85"/>
      <c r="G1128" s="86"/>
      <c r="H1128" s="86"/>
      <c r="I1128" s="86">
        <f t="shared" si="1"/>
        <v>0</v>
      </c>
      <c r="J1128" s="86"/>
      <c r="K1128" s="22"/>
    </row>
    <row r="1129" ht="22.5" customHeight="1">
      <c r="A1129" s="83"/>
      <c r="B1129" s="84"/>
      <c r="C1129" s="85"/>
      <c r="D1129" s="85"/>
      <c r="E1129" s="86"/>
      <c r="F1129" s="85"/>
      <c r="G1129" s="86"/>
      <c r="H1129" s="86"/>
      <c r="I1129" s="86">
        <f t="shared" si="1"/>
        <v>0</v>
      </c>
      <c r="J1129" s="86"/>
      <c r="K1129" s="22"/>
    </row>
    <row r="1130" ht="22.5" customHeight="1">
      <c r="A1130" s="83"/>
      <c r="B1130" s="84"/>
      <c r="C1130" s="85"/>
      <c r="D1130" s="85"/>
      <c r="E1130" s="86"/>
      <c r="F1130" s="85"/>
      <c r="G1130" s="86"/>
      <c r="H1130" s="86"/>
      <c r="I1130" s="86">
        <f t="shared" si="1"/>
        <v>0</v>
      </c>
      <c r="J1130" s="86"/>
      <c r="K1130" s="22"/>
    </row>
    <row r="1131" ht="22.5" customHeight="1">
      <c r="A1131" s="83"/>
      <c r="B1131" s="84"/>
      <c r="C1131" s="85"/>
      <c r="D1131" s="85"/>
      <c r="E1131" s="86"/>
      <c r="F1131" s="85"/>
      <c r="G1131" s="86"/>
      <c r="H1131" s="86"/>
      <c r="I1131" s="86">
        <f t="shared" si="1"/>
        <v>0</v>
      </c>
      <c r="J1131" s="86"/>
      <c r="K1131" s="22"/>
    </row>
    <row r="1132" ht="22.5" customHeight="1">
      <c r="A1132" s="83"/>
      <c r="B1132" s="84"/>
      <c r="C1132" s="85"/>
      <c r="D1132" s="85"/>
      <c r="E1132" s="86"/>
      <c r="F1132" s="85"/>
      <c r="G1132" s="86"/>
      <c r="H1132" s="86"/>
      <c r="I1132" s="86">
        <f t="shared" si="1"/>
        <v>0</v>
      </c>
      <c r="J1132" s="86"/>
      <c r="K1132" s="22"/>
    </row>
    <row r="1133" ht="22.5" customHeight="1">
      <c r="A1133" s="83"/>
      <c r="B1133" s="84"/>
      <c r="C1133" s="85"/>
      <c r="D1133" s="85"/>
      <c r="E1133" s="86"/>
      <c r="F1133" s="85"/>
      <c r="G1133" s="86"/>
      <c r="H1133" s="86"/>
      <c r="I1133" s="86">
        <f t="shared" si="1"/>
        <v>0</v>
      </c>
      <c r="J1133" s="86"/>
      <c r="K1133" s="22"/>
    </row>
    <row r="1134" ht="22.5" customHeight="1">
      <c r="A1134" s="83"/>
      <c r="B1134" s="84"/>
      <c r="C1134" s="85"/>
      <c r="D1134" s="85"/>
      <c r="E1134" s="86"/>
      <c r="F1134" s="85"/>
      <c r="G1134" s="86"/>
      <c r="H1134" s="86"/>
      <c r="I1134" s="86">
        <f t="shared" si="1"/>
        <v>0</v>
      </c>
      <c r="J1134" s="86"/>
      <c r="K1134" s="22"/>
    </row>
    <row r="1135" ht="22.5" customHeight="1">
      <c r="A1135" s="83"/>
      <c r="B1135" s="84"/>
      <c r="C1135" s="85"/>
      <c r="D1135" s="85"/>
      <c r="E1135" s="86"/>
      <c r="F1135" s="85"/>
      <c r="G1135" s="86"/>
      <c r="H1135" s="86"/>
      <c r="I1135" s="86">
        <f t="shared" si="1"/>
        <v>0</v>
      </c>
      <c r="J1135" s="86"/>
      <c r="K1135" s="22"/>
    </row>
    <row r="1136" ht="22.5" customHeight="1">
      <c r="A1136" s="83"/>
      <c r="B1136" s="84"/>
      <c r="C1136" s="85"/>
      <c r="D1136" s="85"/>
      <c r="E1136" s="86"/>
      <c r="F1136" s="85"/>
      <c r="G1136" s="86"/>
      <c r="H1136" s="86"/>
      <c r="I1136" s="86">
        <f t="shared" si="1"/>
        <v>0</v>
      </c>
      <c r="J1136" s="86"/>
      <c r="K1136" s="22"/>
    </row>
    <row r="1137" ht="22.5" customHeight="1">
      <c r="A1137" s="83"/>
      <c r="B1137" s="84"/>
      <c r="C1137" s="85"/>
      <c r="D1137" s="85"/>
      <c r="E1137" s="86"/>
      <c r="F1137" s="85"/>
      <c r="G1137" s="86"/>
      <c r="H1137" s="86"/>
      <c r="I1137" s="86">
        <f t="shared" si="1"/>
        <v>0</v>
      </c>
      <c r="J1137" s="86"/>
      <c r="K1137" s="22"/>
    </row>
    <row r="1138" ht="22.5" customHeight="1">
      <c r="A1138" s="83"/>
      <c r="B1138" s="84"/>
      <c r="C1138" s="85"/>
      <c r="D1138" s="85"/>
      <c r="E1138" s="86"/>
      <c r="F1138" s="85"/>
      <c r="G1138" s="86"/>
      <c r="H1138" s="86"/>
      <c r="I1138" s="86">
        <f t="shared" si="1"/>
        <v>0</v>
      </c>
      <c r="J1138" s="86"/>
      <c r="K1138" s="22"/>
    </row>
    <row r="1139" ht="22.5" customHeight="1">
      <c r="A1139" s="83"/>
      <c r="B1139" s="84"/>
      <c r="C1139" s="85"/>
      <c r="D1139" s="85"/>
      <c r="E1139" s="86"/>
      <c r="F1139" s="85"/>
      <c r="G1139" s="86"/>
      <c r="H1139" s="86"/>
      <c r="I1139" s="86">
        <f t="shared" si="1"/>
        <v>0</v>
      </c>
      <c r="J1139" s="86"/>
      <c r="K1139" s="22"/>
    </row>
    <row r="1140" ht="22.5" customHeight="1">
      <c r="A1140" s="83"/>
      <c r="B1140" s="84"/>
      <c r="C1140" s="85"/>
      <c r="D1140" s="85"/>
      <c r="E1140" s="86"/>
      <c r="F1140" s="85"/>
      <c r="G1140" s="86"/>
      <c r="H1140" s="86"/>
      <c r="I1140" s="86">
        <f t="shared" si="1"/>
        <v>0</v>
      </c>
      <c r="J1140" s="86"/>
      <c r="K1140" s="22"/>
    </row>
    <row r="1141" ht="22.5" customHeight="1">
      <c r="A1141" s="83"/>
      <c r="B1141" s="84"/>
      <c r="C1141" s="85"/>
      <c r="D1141" s="85"/>
      <c r="E1141" s="86"/>
      <c r="F1141" s="85"/>
      <c r="G1141" s="86"/>
      <c r="H1141" s="86"/>
      <c r="I1141" s="86">
        <f t="shared" si="1"/>
        <v>0</v>
      </c>
      <c r="J1141" s="86"/>
      <c r="K1141" s="22"/>
    </row>
    <row r="1142" ht="22.5" customHeight="1">
      <c r="A1142" s="83"/>
      <c r="B1142" s="84"/>
      <c r="C1142" s="85"/>
      <c r="D1142" s="85"/>
      <c r="E1142" s="86"/>
      <c r="F1142" s="85"/>
      <c r="G1142" s="86"/>
      <c r="H1142" s="86"/>
      <c r="I1142" s="86">
        <f t="shared" si="1"/>
        <v>0</v>
      </c>
      <c r="J1142" s="86"/>
      <c r="K1142" s="22"/>
    </row>
    <row r="1143" ht="22.5" customHeight="1">
      <c r="A1143" s="83"/>
      <c r="B1143" s="84"/>
      <c r="C1143" s="85"/>
      <c r="D1143" s="85"/>
      <c r="E1143" s="86"/>
      <c r="F1143" s="85"/>
      <c r="G1143" s="86"/>
      <c r="H1143" s="86"/>
      <c r="I1143" s="86">
        <f t="shared" si="1"/>
        <v>0</v>
      </c>
      <c r="J1143" s="86"/>
      <c r="K1143" s="22"/>
    </row>
    <row r="1144" ht="22.5" customHeight="1">
      <c r="A1144" s="83"/>
      <c r="B1144" s="84"/>
      <c r="C1144" s="85"/>
      <c r="D1144" s="85"/>
      <c r="E1144" s="86"/>
      <c r="F1144" s="85"/>
      <c r="G1144" s="86"/>
      <c r="H1144" s="86"/>
      <c r="I1144" s="86">
        <f t="shared" si="1"/>
        <v>0</v>
      </c>
      <c r="J1144" s="86"/>
      <c r="K1144" s="22"/>
    </row>
    <row r="1145" ht="22.5" customHeight="1">
      <c r="A1145" s="83"/>
      <c r="B1145" s="84"/>
      <c r="C1145" s="85"/>
      <c r="D1145" s="85"/>
      <c r="E1145" s="86"/>
      <c r="F1145" s="85"/>
      <c r="G1145" s="86"/>
      <c r="H1145" s="86"/>
      <c r="I1145" s="86">
        <f t="shared" si="1"/>
        <v>0</v>
      </c>
      <c r="J1145" s="86"/>
      <c r="K1145" s="22"/>
    </row>
    <row r="1146" ht="22.5" customHeight="1">
      <c r="A1146" s="83"/>
      <c r="B1146" s="84"/>
      <c r="C1146" s="85"/>
      <c r="D1146" s="85"/>
      <c r="E1146" s="86"/>
      <c r="F1146" s="85"/>
      <c r="G1146" s="86"/>
      <c r="H1146" s="86"/>
      <c r="I1146" s="86">
        <f t="shared" si="1"/>
        <v>0</v>
      </c>
      <c r="J1146" s="86"/>
      <c r="K1146" s="22"/>
    </row>
    <row r="1147" ht="22.5" customHeight="1">
      <c r="A1147" s="83"/>
      <c r="B1147" s="84"/>
      <c r="C1147" s="85"/>
      <c r="D1147" s="85"/>
      <c r="E1147" s="86"/>
      <c r="F1147" s="85"/>
      <c r="G1147" s="86"/>
      <c r="H1147" s="86"/>
      <c r="I1147" s="86">
        <f t="shared" si="1"/>
        <v>0</v>
      </c>
      <c r="J1147" s="86"/>
      <c r="K1147" s="22"/>
    </row>
    <row r="1148" ht="22.5" customHeight="1">
      <c r="A1148" s="83"/>
      <c r="B1148" s="84"/>
      <c r="C1148" s="85"/>
      <c r="D1148" s="85"/>
      <c r="E1148" s="86"/>
      <c r="F1148" s="85"/>
      <c r="G1148" s="86"/>
      <c r="H1148" s="86"/>
      <c r="I1148" s="86">
        <f t="shared" si="1"/>
        <v>0</v>
      </c>
      <c r="J1148" s="86"/>
      <c r="K1148" s="22"/>
    </row>
    <row r="1149" ht="22.5" customHeight="1">
      <c r="A1149" s="83"/>
      <c r="B1149" s="84"/>
      <c r="C1149" s="85"/>
      <c r="D1149" s="85"/>
      <c r="E1149" s="86"/>
      <c r="F1149" s="85"/>
      <c r="G1149" s="86"/>
      <c r="H1149" s="86"/>
      <c r="I1149" s="86">
        <f t="shared" si="1"/>
        <v>0</v>
      </c>
      <c r="J1149" s="86"/>
      <c r="K1149" s="22"/>
    </row>
    <row r="1150" ht="22.5" customHeight="1">
      <c r="A1150" s="83"/>
      <c r="B1150" s="84"/>
      <c r="C1150" s="85"/>
      <c r="D1150" s="85"/>
      <c r="E1150" s="86"/>
      <c r="F1150" s="85"/>
      <c r="G1150" s="86"/>
      <c r="H1150" s="86"/>
      <c r="I1150" s="86">
        <f t="shared" si="1"/>
        <v>0</v>
      </c>
      <c r="J1150" s="86"/>
      <c r="K1150" s="22"/>
    </row>
    <row r="1151" ht="22.5" customHeight="1">
      <c r="A1151" s="83"/>
      <c r="B1151" s="84"/>
      <c r="C1151" s="85"/>
      <c r="D1151" s="85"/>
      <c r="E1151" s="86"/>
      <c r="F1151" s="85"/>
      <c r="G1151" s="86"/>
      <c r="H1151" s="86"/>
      <c r="I1151" s="86">
        <f t="shared" si="1"/>
        <v>0</v>
      </c>
      <c r="J1151" s="86"/>
      <c r="K1151" s="22"/>
    </row>
    <row r="1152" ht="22.5" customHeight="1">
      <c r="A1152" s="83"/>
      <c r="B1152" s="84"/>
      <c r="C1152" s="85"/>
      <c r="D1152" s="85"/>
      <c r="E1152" s="86"/>
      <c r="F1152" s="85"/>
      <c r="G1152" s="86"/>
      <c r="H1152" s="86"/>
      <c r="I1152" s="86">
        <f t="shared" si="1"/>
        <v>0</v>
      </c>
      <c r="J1152" s="86"/>
      <c r="K1152" s="22"/>
    </row>
    <row r="1153" ht="22.5" customHeight="1">
      <c r="A1153" s="83"/>
      <c r="B1153" s="84"/>
      <c r="C1153" s="85"/>
      <c r="D1153" s="85"/>
      <c r="E1153" s="86"/>
      <c r="F1153" s="85"/>
      <c r="G1153" s="86"/>
      <c r="H1153" s="86"/>
      <c r="I1153" s="86">
        <f t="shared" si="1"/>
        <v>0</v>
      </c>
      <c r="J1153" s="86"/>
      <c r="K1153" s="22"/>
    </row>
    <row r="1154" ht="22.5" customHeight="1">
      <c r="A1154" s="83"/>
      <c r="B1154" s="84"/>
      <c r="C1154" s="85"/>
      <c r="D1154" s="85"/>
      <c r="E1154" s="86"/>
      <c r="F1154" s="85"/>
      <c r="G1154" s="86"/>
      <c r="H1154" s="86"/>
      <c r="I1154" s="86">
        <f t="shared" si="1"/>
        <v>0</v>
      </c>
      <c r="J1154" s="86"/>
      <c r="K1154" s="22"/>
    </row>
    <row r="1155" ht="22.5" customHeight="1">
      <c r="A1155" s="83"/>
      <c r="B1155" s="84"/>
      <c r="C1155" s="85"/>
      <c r="D1155" s="85"/>
      <c r="E1155" s="86"/>
      <c r="F1155" s="85"/>
      <c r="G1155" s="86"/>
      <c r="H1155" s="86"/>
      <c r="I1155" s="86">
        <f t="shared" si="1"/>
        <v>0</v>
      </c>
      <c r="J1155" s="86"/>
      <c r="K1155" s="22"/>
    </row>
    <row r="1156" ht="22.5" customHeight="1">
      <c r="A1156" s="83"/>
      <c r="B1156" s="84"/>
      <c r="C1156" s="85"/>
      <c r="D1156" s="85"/>
      <c r="E1156" s="86"/>
      <c r="F1156" s="85"/>
      <c r="G1156" s="86"/>
      <c r="H1156" s="86"/>
      <c r="I1156" s="86">
        <f t="shared" si="1"/>
        <v>0</v>
      </c>
      <c r="J1156" s="86"/>
      <c r="K1156" s="22"/>
    </row>
    <row r="1157" ht="22.5" customHeight="1">
      <c r="A1157" s="83"/>
      <c r="B1157" s="84"/>
      <c r="C1157" s="85"/>
      <c r="D1157" s="85"/>
      <c r="E1157" s="86"/>
      <c r="F1157" s="85"/>
      <c r="G1157" s="86"/>
      <c r="H1157" s="86"/>
      <c r="I1157" s="86">
        <f t="shared" si="1"/>
        <v>0</v>
      </c>
      <c r="J1157" s="86"/>
      <c r="K1157" s="22"/>
    </row>
    <row r="1158" ht="22.5" customHeight="1">
      <c r="A1158" s="83"/>
      <c r="B1158" s="84"/>
      <c r="C1158" s="85"/>
      <c r="D1158" s="85"/>
      <c r="E1158" s="86"/>
      <c r="F1158" s="85"/>
      <c r="G1158" s="86"/>
      <c r="H1158" s="86"/>
      <c r="I1158" s="86">
        <f t="shared" si="1"/>
        <v>0</v>
      </c>
      <c r="J1158" s="86"/>
      <c r="K1158" s="22"/>
    </row>
    <row r="1159" ht="22.5" customHeight="1">
      <c r="A1159" s="83"/>
      <c r="B1159" s="84"/>
      <c r="C1159" s="85"/>
      <c r="D1159" s="85"/>
      <c r="E1159" s="86"/>
      <c r="F1159" s="85"/>
      <c r="G1159" s="86"/>
      <c r="H1159" s="86"/>
      <c r="I1159" s="86">
        <f t="shared" si="1"/>
        <v>0</v>
      </c>
      <c r="J1159" s="86"/>
      <c r="K1159" s="22"/>
    </row>
    <row r="1160" ht="22.5" customHeight="1">
      <c r="A1160" s="83"/>
      <c r="B1160" s="84"/>
      <c r="C1160" s="85"/>
      <c r="D1160" s="85"/>
      <c r="E1160" s="86"/>
      <c r="F1160" s="85"/>
      <c r="G1160" s="86"/>
      <c r="H1160" s="86"/>
      <c r="I1160" s="86">
        <f t="shared" si="1"/>
        <v>0</v>
      </c>
      <c r="J1160" s="86"/>
      <c r="K1160" s="22"/>
    </row>
    <row r="1161" ht="22.5" customHeight="1">
      <c r="A1161" s="83"/>
      <c r="B1161" s="84"/>
      <c r="C1161" s="85"/>
      <c r="D1161" s="85"/>
      <c r="E1161" s="86"/>
      <c r="F1161" s="85"/>
      <c r="G1161" s="86"/>
      <c r="H1161" s="86"/>
      <c r="I1161" s="86">
        <f t="shared" si="1"/>
        <v>0</v>
      </c>
      <c r="J1161" s="86"/>
      <c r="K1161" s="22"/>
    </row>
    <row r="1162" ht="22.5" customHeight="1">
      <c r="A1162" s="83"/>
      <c r="B1162" s="84"/>
      <c r="C1162" s="85"/>
      <c r="D1162" s="85"/>
      <c r="E1162" s="86"/>
      <c r="F1162" s="85"/>
      <c r="G1162" s="86"/>
      <c r="H1162" s="86"/>
      <c r="I1162" s="86">
        <f t="shared" si="1"/>
        <v>0</v>
      </c>
      <c r="J1162" s="86"/>
      <c r="K1162" s="22"/>
    </row>
    <row r="1163" ht="22.5" customHeight="1">
      <c r="A1163" s="83"/>
      <c r="B1163" s="84"/>
      <c r="C1163" s="85"/>
      <c r="D1163" s="85"/>
      <c r="E1163" s="86"/>
      <c r="F1163" s="85"/>
      <c r="G1163" s="86"/>
      <c r="H1163" s="86"/>
      <c r="I1163" s="86">
        <f t="shared" si="1"/>
        <v>0</v>
      </c>
      <c r="J1163" s="86"/>
      <c r="K1163" s="22"/>
    </row>
    <row r="1164" ht="22.5" customHeight="1">
      <c r="A1164" s="83"/>
      <c r="B1164" s="84"/>
      <c r="C1164" s="85"/>
      <c r="D1164" s="85"/>
      <c r="E1164" s="86"/>
      <c r="F1164" s="85"/>
      <c r="G1164" s="86"/>
      <c r="H1164" s="86"/>
      <c r="I1164" s="86">
        <f t="shared" si="1"/>
        <v>0</v>
      </c>
      <c r="J1164" s="86"/>
      <c r="K1164" s="22"/>
    </row>
    <row r="1165" ht="22.5" customHeight="1">
      <c r="A1165" s="83"/>
      <c r="B1165" s="84"/>
      <c r="C1165" s="85"/>
      <c r="D1165" s="85"/>
      <c r="E1165" s="86"/>
      <c r="F1165" s="85"/>
      <c r="G1165" s="86"/>
      <c r="H1165" s="86"/>
      <c r="I1165" s="86">
        <f t="shared" si="1"/>
        <v>0</v>
      </c>
      <c r="J1165" s="86"/>
      <c r="K1165" s="22"/>
    </row>
    <row r="1166" ht="22.5" customHeight="1">
      <c r="A1166" s="83"/>
      <c r="B1166" s="84"/>
      <c r="C1166" s="85"/>
      <c r="D1166" s="85"/>
      <c r="E1166" s="86"/>
      <c r="F1166" s="85"/>
      <c r="G1166" s="86"/>
      <c r="H1166" s="86"/>
      <c r="I1166" s="86">
        <f t="shared" si="1"/>
        <v>0</v>
      </c>
      <c r="J1166" s="86"/>
      <c r="K1166" s="22"/>
    </row>
    <row r="1167" ht="22.5" customHeight="1">
      <c r="A1167" s="83"/>
      <c r="B1167" s="84"/>
      <c r="C1167" s="85"/>
      <c r="D1167" s="85"/>
      <c r="E1167" s="86"/>
      <c r="F1167" s="85"/>
      <c r="G1167" s="86"/>
      <c r="H1167" s="86"/>
      <c r="I1167" s="86">
        <f t="shared" si="1"/>
        <v>0</v>
      </c>
      <c r="J1167" s="86"/>
      <c r="K1167" s="22"/>
    </row>
    <row r="1168" ht="22.5" customHeight="1">
      <c r="A1168" s="83"/>
      <c r="B1168" s="84"/>
      <c r="C1168" s="85"/>
      <c r="D1168" s="85"/>
      <c r="E1168" s="86"/>
      <c r="F1168" s="85"/>
      <c r="G1168" s="86"/>
      <c r="H1168" s="86"/>
      <c r="I1168" s="86">
        <f t="shared" si="1"/>
        <v>0</v>
      </c>
      <c r="J1168" s="86"/>
      <c r="K1168" s="22"/>
    </row>
    <row r="1169" ht="22.5" customHeight="1">
      <c r="A1169" s="83"/>
      <c r="B1169" s="84"/>
      <c r="C1169" s="85"/>
      <c r="D1169" s="85"/>
      <c r="E1169" s="86"/>
      <c r="F1169" s="85"/>
      <c r="G1169" s="86"/>
      <c r="H1169" s="86"/>
      <c r="I1169" s="86">
        <f t="shared" si="1"/>
        <v>0</v>
      </c>
      <c r="J1169" s="86"/>
      <c r="K1169" s="22"/>
    </row>
    <row r="1170" ht="22.5" customHeight="1">
      <c r="A1170" s="83"/>
      <c r="B1170" s="84"/>
      <c r="C1170" s="85"/>
      <c r="D1170" s="85"/>
      <c r="E1170" s="86"/>
      <c r="F1170" s="85"/>
      <c r="G1170" s="86"/>
      <c r="H1170" s="86"/>
      <c r="I1170" s="86">
        <f t="shared" si="1"/>
        <v>0</v>
      </c>
      <c r="J1170" s="86"/>
      <c r="K1170" s="22"/>
    </row>
    <row r="1171" ht="22.5" customHeight="1">
      <c r="A1171" s="83"/>
      <c r="B1171" s="84"/>
      <c r="C1171" s="85"/>
      <c r="D1171" s="85"/>
      <c r="E1171" s="86"/>
      <c r="F1171" s="85"/>
      <c r="G1171" s="86"/>
      <c r="H1171" s="86"/>
      <c r="I1171" s="86">
        <f t="shared" si="1"/>
        <v>0</v>
      </c>
      <c r="J1171" s="86"/>
      <c r="K1171" s="22"/>
    </row>
    <row r="1172" ht="22.5" customHeight="1">
      <c r="A1172" s="83"/>
      <c r="B1172" s="84"/>
      <c r="C1172" s="85"/>
      <c r="D1172" s="85"/>
      <c r="E1172" s="86"/>
      <c r="F1172" s="85"/>
      <c r="G1172" s="86"/>
      <c r="H1172" s="86"/>
      <c r="I1172" s="86">
        <f t="shared" si="1"/>
        <v>0</v>
      </c>
      <c r="J1172" s="86"/>
      <c r="K1172" s="22"/>
    </row>
    <row r="1173" ht="22.5" customHeight="1">
      <c r="A1173" s="83"/>
      <c r="B1173" s="84"/>
      <c r="C1173" s="85"/>
      <c r="D1173" s="85"/>
      <c r="E1173" s="86"/>
      <c r="F1173" s="85"/>
      <c r="G1173" s="86"/>
      <c r="H1173" s="86"/>
      <c r="I1173" s="86">
        <f t="shared" si="1"/>
        <v>0</v>
      </c>
      <c r="J1173" s="86"/>
      <c r="K1173" s="22"/>
    </row>
    <row r="1174" ht="22.5" customHeight="1">
      <c r="A1174" s="83"/>
      <c r="B1174" s="84"/>
      <c r="C1174" s="85"/>
      <c r="D1174" s="85"/>
      <c r="E1174" s="86"/>
      <c r="F1174" s="85"/>
      <c r="G1174" s="86"/>
      <c r="H1174" s="86"/>
      <c r="I1174" s="86">
        <f t="shared" si="1"/>
        <v>0</v>
      </c>
      <c r="J1174" s="86"/>
      <c r="K1174" s="22"/>
    </row>
    <row r="1175" ht="22.5" customHeight="1">
      <c r="A1175" s="83"/>
      <c r="B1175" s="84"/>
      <c r="C1175" s="85"/>
      <c r="D1175" s="85"/>
      <c r="E1175" s="86"/>
      <c r="F1175" s="85"/>
      <c r="G1175" s="86"/>
      <c r="H1175" s="86"/>
      <c r="I1175" s="86">
        <f t="shared" si="1"/>
        <v>0</v>
      </c>
      <c r="J1175" s="86"/>
      <c r="K1175" s="22"/>
    </row>
    <row r="1176" ht="22.5" customHeight="1">
      <c r="A1176" s="83"/>
      <c r="B1176" s="84"/>
      <c r="C1176" s="85"/>
      <c r="D1176" s="85"/>
      <c r="E1176" s="86"/>
      <c r="F1176" s="85"/>
      <c r="G1176" s="86"/>
      <c r="H1176" s="86"/>
      <c r="I1176" s="86">
        <f t="shared" si="1"/>
        <v>0</v>
      </c>
      <c r="J1176" s="86"/>
      <c r="K1176" s="22"/>
    </row>
    <row r="1177" ht="22.5" customHeight="1">
      <c r="A1177" s="83"/>
      <c r="B1177" s="84"/>
      <c r="C1177" s="85"/>
      <c r="D1177" s="85"/>
      <c r="E1177" s="86"/>
      <c r="F1177" s="85"/>
      <c r="G1177" s="86"/>
      <c r="H1177" s="86"/>
      <c r="I1177" s="86">
        <f t="shared" si="1"/>
        <v>0</v>
      </c>
      <c r="J1177" s="86"/>
      <c r="K1177" s="22"/>
    </row>
    <row r="1178" ht="22.5" customHeight="1">
      <c r="A1178" s="83"/>
      <c r="B1178" s="84"/>
      <c r="C1178" s="85"/>
      <c r="D1178" s="85"/>
      <c r="E1178" s="86"/>
      <c r="F1178" s="85"/>
      <c r="G1178" s="86"/>
      <c r="H1178" s="86"/>
      <c r="I1178" s="86">
        <f t="shared" si="1"/>
        <v>0</v>
      </c>
      <c r="J1178" s="86"/>
      <c r="K1178" s="22"/>
    </row>
    <row r="1179" ht="22.5" customHeight="1">
      <c r="A1179" s="83"/>
      <c r="B1179" s="84"/>
      <c r="C1179" s="85"/>
      <c r="D1179" s="85"/>
      <c r="E1179" s="86"/>
      <c r="F1179" s="85"/>
      <c r="G1179" s="86"/>
      <c r="H1179" s="86"/>
      <c r="I1179" s="86">
        <f t="shared" si="1"/>
        <v>0</v>
      </c>
      <c r="J1179" s="86"/>
      <c r="K1179" s="22"/>
    </row>
    <row r="1180" ht="22.5" customHeight="1">
      <c r="A1180" s="83"/>
      <c r="B1180" s="84"/>
      <c r="C1180" s="85"/>
      <c r="D1180" s="85"/>
      <c r="E1180" s="86"/>
      <c r="F1180" s="85"/>
      <c r="G1180" s="86"/>
      <c r="H1180" s="86"/>
      <c r="I1180" s="86">
        <f t="shared" si="1"/>
        <v>0</v>
      </c>
      <c r="J1180" s="86"/>
      <c r="K1180" s="22"/>
    </row>
    <row r="1181" ht="22.5" customHeight="1">
      <c r="A1181" s="83"/>
      <c r="B1181" s="84"/>
      <c r="C1181" s="85"/>
      <c r="D1181" s="85"/>
      <c r="E1181" s="86"/>
      <c r="F1181" s="85"/>
      <c r="G1181" s="86"/>
      <c r="H1181" s="86"/>
      <c r="I1181" s="86">
        <f t="shared" si="1"/>
        <v>0</v>
      </c>
      <c r="J1181" s="86"/>
      <c r="K1181" s="22"/>
    </row>
    <row r="1182" ht="22.5" customHeight="1">
      <c r="A1182" s="83"/>
      <c r="B1182" s="84"/>
      <c r="C1182" s="85"/>
      <c r="D1182" s="85"/>
      <c r="E1182" s="86"/>
      <c r="F1182" s="85"/>
      <c r="G1182" s="86"/>
      <c r="H1182" s="86"/>
      <c r="I1182" s="86">
        <f t="shared" si="1"/>
        <v>0</v>
      </c>
      <c r="J1182" s="86"/>
      <c r="K1182" s="22"/>
    </row>
    <row r="1183" ht="22.5" customHeight="1">
      <c r="A1183" s="83"/>
      <c r="B1183" s="84"/>
      <c r="C1183" s="85"/>
      <c r="D1183" s="85"/>
      <c r="E1183" s="86"/>
      <c r="F1183" s="85"/>
      <c r="G1183" s="86"/>
      <c r="H1183" s="86"/>
      <c r="I1183" s="86">
        <f t="shared" si="1"/>
        <v>0</v>
      </c>
      <c r="J1183" s="86"/>
      <c r="K1183" s="22"/>
    </row>
    <row r="1184" ht="22.5" customHeight="1">
      <c r="A1184" s="83"/>
      <c r="B1184" s="84"/>
      <c r="C1184" s="85"/>
      <c r="D1184" s="85"/>
      <c r="E1184" s="86"/>
      <c r="F1184" s="85"/>
      <c r="G1184" s="86"/>
      <c r="H1184" s="86"/>
      <c r="I1184" s="86">
        <f t="shared" si="1"/>
        <v>0</v>
      </c>
      <c r="J1184" s="86"/>
      <c r="K1184" s="22"/>
    </row>
    <row r="1185" ht="22.5" customHeight="1">
      <c r="A1185" s="83"/>
      <c r="B1185" s="84"/>
      <c r="C1185" s="85"/>
      <c r="D1185" s="85"/>
      <c r="E1185" s="86"/>
      <c r="F1185" s="85"/>
      <c r="G1185" s="86"/>
      <c r="H1185" s="86"/>
      <c r="I1185" s="86">
        <f t="shared" si="1"/>
        <v>0</v>
      </c>
      <c r="J1185" s="86"/>
      <c r="K1185" s="22"/>
    </row>
    <row r="1186" ht="22.5" customHeight="1">
      <c r="A1186" s="83"/>
      <c r="B1186" s="84"/>
      <c r="C1186" s="85"/>
      <c r="D1186" s="85"/>
      <c r="E1186" s="86"/>
      <c r="F1186" s="85"/>
      <c r="G1186" s="86"/>
      <c r="H1186" s="86"/>
      <c r="I1186" s="86">
        <f t="shared" si="1"/>
        <v>0</v>
      </c>
      <c r="J1186" s="86"/>
      <c r="K1186" s="22"/>
    </row>
    <row r="1187" ht="22.5" customHeight="1">
      <c r="A1187" s="83"/>
      <c r="B1187" s="84"/>
      <c r="C1187" s="85"/>
      <c r="D1187" s="85"/>
      <c r="E1187" s="86"/>
      <c r="F1187" s="85"/>
      <c r="G1187" s="86"/>
      <c r="H1187" s="86"/>
      <c r="I1187" s="86">
        <f t="shared" si="1"/>
        <v>0</v>
      </c>
      <c r="J1187" s="86"/>
      <c r="K1187" s="22"/>
    </row>
    <row r="1188" ht="22.5" customHeight="1">
      <c r="A1188" s="83"/>
      <c r="B1188" s="84"/>
      <c r="C1188" s="85"/>
      <c r="D1188" s="85"/>
      <c r="E1188" s="86"/>
      <c r="F1188" s="85"/>
      <c r="G1188" s="86"/>
      <c r="H1188" s="86"/>
      <c r="I1188" s="86">
        <f t="shared" si="1"/>
        <v>0</v>
      </c>
      <c r="J1188" s="86"/>
      <c r="K1188" s="22"/>
    </row>
    <row r="1189" ht="22.5" customHeight="1">
      <c r="A1189" s="83"/>
      <c r="B1189" s="84"/>
      <c r="C1189" s="85"/>
      <c r="D1189" s="85"/>
      <c r="E1189" s="86"/>
      <c r="F1189" s="85"/>
      <c r="G1189" s="86"/>
      <c r="H1189" s="86"/>
      <c r="I1189" s="86">
        <f t="shared" si="1"/>
        <v>0</v>
      </c>
      <c r="J1189" s="86"/>
      <c r="K1189" s="22"/>
    </row>
    <row r="1190" ht="22.5" customHeight="1">
      <c r="A1190" s="83"/>
      <c r="B1190" s="84"/>
      <c r="C1190" s="85"/>
      <c r="D1190" s="85"/>
      <c r="E1190" s="86"/>
      <c r="F1190" s="85"/>
      <c r="G1190" s="86"/>
      <c r="H1190" s="86"/>
      <c r="I1190" s="86">
        <f t="shared" si="1"/>
        <v>0</v>
      </c>
      <c r="J1190" s="86"/>
      <c r="K1190" s="22"/>
    </row>
    <row r="1191" ht="22.5" customHeight="1">
      <c r="A1191" s="83"/>
      <c r="B1191" s="84"/>
      <c r="C1191" s="85"/>
      <c r="D1191" s="85"/>
      <c r="E1191" s="86"/>
      <c r="F1191" s="85"/>
      <c r="G1191" s="86"/>
      <c r="H1191" s="86"/>
      <c r="I1191" s="86">
        <f t="shared" si="1"/>
        <v>0</v>
      </c>
      <c r="J1191" s="86"/>
      <c r="K1191" s="22"/>
    </row>
    <row r="1192" ht="22.5" customHeight="1">
      <c r="A1192" s="83"/>
      <c r="B1192" s="84"/>
      <c r="C1192" s="85"/>
      <c r="D1192" s="85"/>
      <c r="E1192" s="86"/>
      <c r="F1192" s="85"/>
      <c r="G1192" s="86"/>
      <c r="H1192" s="86"/>
      <c r="I1192" s="86">
        <f t="shared" si="1"/>
        <v>0</v>
      </c>
      <c r="J1192" s="86"/>
      <c r="K1192" s="22"/>
    </row>
    <row r="1193" ht="22.5" customHeight="1">
      <c r="A1193" s="83"/>
      <c r="B1193" s="84"/>
      <c r="C1193" s="85"/>
      <c r="D1193" s="85"/>
      <c r="E1193" s="86"/>
      <c r="F1193" s="85"/>
      <c r="G1193" s="86"/>
      <c r="H1193" s="86"/>
      <c r="I1193" s="86">
        <f t="shared" si="1"/>
        <v>0</v>
      </c>
      <c r="J1193" s="86"/>
      <c r="K1193" s="22"/>
    </row>
    <row r="1194" ht="22.5" customHeight="1">
      <c r="A1194" s="83"/>
      <c r="B1194" s="84"/>
      <c r="C1194" s="85"/>
      <c r="D1194" s="85"/>
      <c r="E1194" s="86"/>
      <c r="F1194" s="85"/>
      <c r="G1194" s="86"/>
      <c r="H1194" s="86"/>
      <c r="I1194" s="86">
        <f t="shared" si="1"/>
        <v>0</v>
      </c>
      <c r="J1194" s="86"/>
      <c r="K1194" s="22"/>
    </row>
    <row r="1195" ht="22.5" customHeight="1">
      <c r="A1195" s="83"/>
      <c r="B1195" s="84"/>
      <c r="C1195" s="85"/>
      <c r="D1195" s="85"/>
      <c r="E1195" s="86"/>
      <c r="F1195" s="85"/>
      <c r="G1195" s="86"/>
      <c r="H1195" s="86"/>
      <c r="I1195" s="86">
        <f t="shared" si="1"/>
        <v>0</v>
      </c>
      <c r="J1195" s="86"/>
      <c r="K1195" s="22"/>
    </row>
    <row r="1196" ht="22.5" customHeight="1">
      <c r="A1196" s="83"/>
      <c r="B1196" s="84"/>
      <c r="C1196" s="85"/>
      <c r="D1196" s="85"/>
      <c r="E1196" s="86"/>
      <c r="F1196" s="85"/>
      <c r="G1196" s="86"/>
      <c r="H1196" s="86"/>
      <c r="I1196" s="86">
        <f t="shared" si="1"/>
        <v>0</v>
      </c>
      <c r="J1196" s="86"/>
      <c r="K1196" s="22"/>
    </row>
    <row r="1197" ht="22.5" customHeight="1">
      <c r="A1197" s="83"/>
      <c r="B1197" s="84"/>
      <c r="C1197" s="85"/>
      <c r="D1197" s="85"/>
      <c r="E1197" s="86"/>
      <c r="F1197" s="85"/>
      <c r="G1197" s="86"/>
      <c r="H1197" s="86"/>
      <c r="I1197" s="86">
        <f t="shared" si="1"/>
        <v>0</v>
      </c>
      <c r="J1197" s="86"/>
      <c r="K1197" s="22"/>
    </row>
    <row r="1198" ht="22.5" customHeight="1">
      <c r="A1198" s="83"/>
      <c r="B1198" s="84"/>
      <c r="C1198" s="85"/>
      <c r="D1198" s="85"/>
      <c r="E1198" s="86"/>
      <c r="F1198" s="85"/>
      <c r="G1198" s="86"/>
      <c r="H1198" s="86"/>
      <c r="I1198" s="86">
        <f t="shared" si="1"/>
        <v>0</v>
      </c>
      <c r="J1198" s="86"/>
      <c r="K1198" s="22"/>
    </row>
    <row r="1199" ht="22.5" customHeight="1">
      <c r="A1199" s="83"/>
      <c r="B1199" s="84"/>
      <c r="C1199" s="85"/>
      <c r="D1199" s="85"/>
      <c r="E1199" s="86"/>
      <c r="F1199" s="85"/>
      <c r="G1199" s="86"/>
      <c r="H1199" s="86"/>
      <c r="I1199" s="86">
        <f t="shared" si="1"/>
        <v>0</v>
      </c>
      <c r="J1199" s="86"/>
      <c r="K1199" s="22"/>
    </row>
    <row r="1200" ht="22.5" customHeight="1">
      <c r="A1200" s="83"/>
      <c r="B1200" s="84"/>
      <c r="C1200" s="85"/>
      <c r="D1200" s="85"/>
      <c r="E1200" s="86"/>
      <c r="F1200" s="85"/>
      <c r="G1200" s="86"/>
      <c r="H1200" s="86"/>
      <c r="I1200" s="86">
        <f t="shared" si="1"/>
        <v>0</v>
      </c>
      <c r="J1200" s="86"/>
      <c r="K1200" s="22"/>
    </row>
    <row r="1201" ht="22.5" customHeight="1">
      <c r="A1201" s="83"/>
      <c r="B1201" s="84"/>
      <c r="C1201" s="85"/>
      <c r="D1201" s="85"/>
      <c r="E1201" s="86"/>
      <c r="F1201" s="85"/>
      <c r="G1201" s="86"/>
      <c r="H1201" s="86"/>
      <c r="I1201" s="86">
        <f t="shared" si="1"/>
        <v>0</v>
      </c>
      <c r="J1201" s="86"/>
      <c r="K1201" s="22"/>
    </row>
    <row r="1202" ht="22.5" customHeight="1">
      <c r="A1202" s="83"/>
      <c r="B1202" s="84"/>
      <c r="C1202" s="85"/>
      <c r="D1202" s="85"/>
      <c r="E1202" s="86"/>
      <c r="F1202" s="85"/>
      <c r="G1202" s="86"/>
      <c r="H1202" s="86"/>
      <c r="I1202" s="86">
        <f t="shared" si="1"/>
        <v>0</v>
      </c>
      <c r="J1202" s="86"/>
      <c r="K1202" s="22"/>
    </row>
    <row r="1203" ht="22.5" customHeight="1">
      <c r="A1203" s="83"/>
      <c r="B1203" s="84"/>
      <c r="C1203" s="85"/>
      <c r="D1203" s="85"/>
      <c r="E1203" s="86"/>
      <c r="F1203" s="85"/>
      <c r="G1203" s="86"/>
      <c r="H1203" s="86"/>
      <c r="I1203" s="86">
        <f t="shared" si="1"/>
        <v>0</v>
      </c>
      <c r="J1203" s="86"/>
      <c r="K1203" s="22"/>
    </row>
    <row r="1204" ht="22.5" customHeight="1">
      <c r="A1204" s="83"/>
      <c r="B1204" s="84"/>
      <c r="C1204" s="85"/>
      <c r="D1204" s="85"/>
      <c r="E1204" s="86"/>
      <c r="F1204" s="85"/>
      <c r="G1204" s="86"/>
      <c r="H1204" s="86"/>
      <c r="I1204" s="86">
        <f t="shared" si="1"/>
        <v>0</v>
      </c>
      <c r="J1204" s="86"/>
      <c r="K1204" s="22"/>
    </row>
    <row r="1205" ht="22.5" customHeight="1">
      <c r="A1205" s="83"/>
      <c r="B1205" s="84"/>
      <c r="C1205" s="85"/>
      <c r="D1205" s="85"/>
      <c r="E1205" s="86"/>
      <c r="F1205" s="85"/>
      <c r="G1205" s="86"/>
      <c r="H1205" s="86"/>
      <c r="I1205" s="86">
        <f t="shared" si="1"/>
        <v>0</v>
      </c>
      <c r="J1205" s="86"/>
      <c r="K1205" s="22"/>
    </row>
    <row r="1206" ht="22.5" customHeight="1">
      <c r="A1206" s="83"/>
      <c r="B1206" s="84"/>
      <c r="C1206" s="85"/>
      <c r="D1206" s="85"/>
      <c r="E1206" s="86"/>
      <c r="F1206" s="85"/>
      <c r="G1206" s="86"/>
      <c r="H1206" s="86"/>
      <c r="I1206" s="86">
        <f t="shared" si="1"/>
        <v>0</v>
      </c>
      <c r="J1206" s="86"/>
      <c r="K1206" s="22"/>
    </row>
    <row r="1207" ht="22.5" customHeight="1">
      <c r="A1207" s="83"/>
      <c r="B1207" s="84"/>
      <c r="C1207" s="85"/>
      <c r="D1207" s="85"/>
      <c r="E1207" s="86"/>
      <c r="F1207" s="85"/>
      <c r="G1207" s="86"/>
      <c r="H1207" s="86"/>
      <c r="I1207" s="86">
        <f t="shared" si="1"/>
        <v>0</v>
      </c>
      <c r="J1207" s="86"/>
      <c r="K1207" s="22"/>
    </row>
    <row r="1208" ht="22.5" customHeight="1">
      <c r="A1208" s="83"/>
      <c r="B1208" s="84"/>
      <c r="C1208" s="85"/>
      <c r="D1208" s="85"/>
      <c r="E1208" s="86"/>
      <c r="F1208" s="85"/>
      <c r="G1208" s="86"/>
      <c r="H1208" s="86"/>
      <c r="I1208" s="86">
        <f t="shared" si="1"/>
        <v>0</v>
      </c>
      <c r="J1208" s="86"/>
      <c r="K1208" s="22"/>
    </row>
    <row r="1209" ht="22.5" customHeight="1">
      <c r="A1209" s="83"/>
      <c r="B1209" s="84"/>
      <c r="C1209" s="85"/>
      <c r="D1209" s="85"/>
      <c r="E1209" s="86"/>
      <c r="F1209" s="85"/>
      <c r="G1209" s="86"/>
      <c r="H1209" s="86"/>
      <c r="I1209" s="86">
        <f t="shared" si="1"/>
        <v>0</v>
      </c>
      <c r="J1209" s="86"/>
      <c r="K1209" s="22"/>
    </row>
    <row r="1210" ht="22.5" customHeight="1">
      <c r="A1210" s="83"/>
      <c r="B1210" s="84"/>
      <c r="C1210" s="85"/>
      <c r="D1210" s="85"/>
      <c r="E1210" s="86"/>
      <c r="F1210" s="85"/>
      <c r="G1210" s="86"/>
      <c r="H1210" s="86"/>
      <c r="I1210" s="86">
        <f t="shared" si="1"/>
        <v>0</v>
      </c>
      <c r="J1210" s="86"/>
      <c r="K1210" s="22"/>
    </row>
    <row r="1211" ht="22.5" customHeight="1">
      <c r="A1211" s="83"/>
      <c r="B1211" s="84"/>
      <c r="C1211" s="85"/>
      <c r="D1211" s="85"/>
      <c r="E1211" s="86"/>
      <c r="F1211" s="85"/>
      <c r="G1211" s="86"/>
      <c r="H1211" s="86"/>
      <c r="I1211" s="86">
        <f t="shared" si="1"/>
        <v>0</v>
      </c>
      <c r="J1211" s="86"/>
      <c r="K1211" s="22"/>
    </row>
    <row r="1212" ht="22.5" customHeight="1">
      <c r="A1212" s="83"/>
      <c r="B1212" s="84"/>
      <c r="C1212" s="85"/>
      <c r="D1212" s="85"/>
      <c r="E1212" s="86"/>
      <c r="F1212" s="85"/>
      <c r="G1212" s="86"/>
      <c r="H1212" s="86"/>
      <c r="I1212" s="86">
        <f t="shared" si="1"/>
        <v>0</v>
      </c>
      <c r="J1212" s="86"/>
      <c r="K1212" s="22"/>
    </row>
    <row r="1213" ht="22.5" customHeight="1">
      <c r="A1213" s="83"/>
      <c r="B1213" s="84"/>
      <c r="C1213" s="85"/>
      <c r="D1213" s="85"/>
      <c r="E1213" s="86"/>
      <c r="F1213" s="85"/>
      <c r="G1213" s="86"/>
      <c r="H1213" s="86"/>
      <c r="I1213" s="86">
        <f t="shared" si="1"/>
        <v>0</v>
      </c>
      <c r="J1213" s="86"/>
      <c r="K1213" s="22"/>
    </row>
    <row r="1214" ht="22.5" customHeight="1">
      <c r="A1214" s="83"/>
      <c r="B1214" s="84"/>
      <c r="C1214" s="85"/>
      <c r="D1214" s="85"/>
      <c r="E1214" s="86"/>
      <c r="F1214" s="85"/>
      <c r="G1214" s="86"/>
      <c r="H1214" s="86"/>
      <c r="I1214" s="86">
        <f t="shared" si="1"/>
        <v>0</v>
      </c>
      <c r="J1214" s="86"/>
      <c r="K1214" s="22"/>
    </row>
    <row r="1215" ht="22.5" customHeight="1">
      <c r="A1215" s="83"/>
      <c r="B1215" s="84"/>
      <c r="C1215" s="85"/>
      <c r="D1215" s="85"/>
      <c r="E1215" s="86"/>
      <c r="F1215" s="85"/>
      <c r="G1215" s="86"/>
      <c r="H1215" s="86"/>
      <c r="I1215" s="86">
        <f t="shared" si="1"/>
        <v>0</v>
      </c>
      <c r="J1215" s="86"/>
      <c r="K1215" s="22"/>
    </row>
    <row r="1216" ht="22.5" customHeight="1">
      <c r="A1216" s="83"/>
      <c r="B1216" s="84"/>
      <c r="C1216" s="85"/>
      <c r="D1216" s="85"/>
      <c r="E1216" s="86"/>
      <c r="F1216" s="85"/>
      <c r="G1216" s="86"/>
      <c r="H1216" s="86"/>
      <c r="I1216" s="86">
        <f t="shared" si="1"/>
        <v>0</v>
      </c>
      <c r="J1216" s="86"/>
      <c r="K1216" s="22"/>
    </row>
    <row r="1217" ht="22.5" customHeight="1">
      <c r="A1217" s="83"/>
      <c r="B1217" s="84"/>
      <c r="C1217" s="85"/>
      <c r="D1217" s="85"/>
      <c r="E1217" s="86"/>
      <c r="F1217" s="85"/>
      <c r="G1217" s="86"/>
      <c r="H1217" s="86"/>
      <c r="I1217" s="86">
        <f t="shared" si="1"/>
        <v>0</v>
      </c>
      <c r="J1217" s="86"/>
      <c r="K1217" s="22"/>
    </row>
    <row r="1218" ht="22.5" customHeight="1">
      <c r="A1218" s="83"/>
      <c r="B1218" s="84"/>
      <c r="C1218" s="85"/>
      <c r="D1218" s="85"/>
      <c r="E1218" s="86"/>
      <c r="F1218" s="85"/>
      <c r="G1218" s="86"/>
      <c r="H1218" s="86"/>
      <c r="I1218" s="86">
        <f t="shared" si="1"/>
        <v>0</v>
      </c>
      <c r="J1218" s="86"/>
      <c r="K1218" s="22"/>
    </row>
    <row r="1219" ht="22.5" customHeight="1">
      <c r="A1219" s="83"/>
      <c r="B1219" s="84"/>
      <c r="C1219" s="85"/>
      <c r="D1219" s="85"/>
      <c r="E1219" s="86"/>
      <c r="F1219" s="85"/>
      <c r="G1219" s="86"/>
      <c r="H1219" s="86"/>
      <c r="I1219" s="86">
        <f t="shared" si="1"/>
        <v>0</v>
      </c>
      <c r="J1219" s="86"/>
      <c r="K1219" s="22"/>
    </row>
    <row r="1220" ht="22.5" customHeight="1">
      <c r="A1220" s="83"/>
      <c r="B1220" s="84"/>
      <c r="C1220" s="85"/>
      <c r="D1220" s="85"/>
      <c r="E1220" s="86"/>
      <c r="F1220" s="85"/>
      <c r="G1220" s="86"/>
      <c r="H1220" s="86"/>
      <c r="I1220" s="86">
        <f t="shared" si="1"/>
        <v>0</v>
      </c>
      <c r="J1220" s="86"/>
      <c r="K1220" s="22"/>
    </row>
    <row r="1221" ht="22.5" customHeight="1">
      <c r="A1221" s="83"/>
      <c r="B1221" s="84"/>
      <c r="C1221" s="85"/>
      <c r="D1221" s="85"/>
      <c r="E1221" s="86"/>
      <c r="F1221" s="85"/>
      <c r="G1221" s="86"/>
      <c r="H1221" s="86"/>
      <c r="I1221" s="86">
        <f t="shared" si="1"/>
        <v>0</v>
      </c>
      <c r="J1221" s="86"/>
      <c r="K1221" s="22"/>
    </row>
    <row r="1222" ht="22.5" customHeight="1">
      <c r="A1222" s="83"/>
      <c r="B1222" s="84"/>
      <c r="C1222" s="85"/>
      <c r="D1222" s="85"/>
      <c r="E1222" s="86"/>
      <c r="F1222" s="85"/>
      <c r="G1222" s="86"/>
      <c r="H1222" s="86"/>
      <c r="I1222" s="86">
        <f t="shared" si="1"/>
        <v>0</v>
      </c>
      <c r="J1222" s="86"/>
      <c r="K1222" s="22"/>
    </row>
    <row r="1223" ht="22.5" customHeight="1">
      <c r="A1223" s="83"/>
      <c r="B1223" s="84"/>
      <c r="C1223" s="85"/>
      <c r="D1223" s="85"/>
      <c r="E1223" s="86"/>
      <c r="F1223" s="85"/>
      <c r="G1223" s="86"/>
      <c r="H1223" s="86"/>
      <c r="I1223" s="86">
        <f t="shared" si="1"/>
        <v>0</v>
      </c>
      <c r="J1223" s="86"/>
      <c r="K1223" s="22"/>
    </row>
    <row r="1224" ht="22.5" customHeight="1">
      <c r="A1224" s="83"/>
      <c r="B1224" s="84"/>
      <c r="C1224" s="85"/>
      <c r="D1224" s="85"/>
      <c r="E1224" s="86"/>
      <c r="F1224" s="85"/>
      <c r="G1224" s="86"/>
      <c r="H1224" s="86"/>
      <c r="I1224" s="86">
        <f t="shared" si="1"/>
        <v>0</v>
      </c>
      <c r="J1224" s="86"/>
      <c r="K1224" s="22"/>
    </row>
    <row r="1225" ht="22.5" customHeight="1">
      <c r="A1225" s="83"/>
      <c r="B1225" s="84"/>
      <c r="C1225" s="85"/>
      <c r="D1225" s="85"/>
      <c r="E1225" s="86"/>
      <c r="F1225" s="85"/>
      <c r="G1225" s="86"/>
      <c r="H1225" s="86"/>
      <c r="I1225" s="86">
        <f t="shared" si="1"/>
        <v>0</v>
      </c>
      <c r="J1225" s="86"/>
      <c r="K1225" s="22"/>
    </row>
    <row r="1226" ht="22.5" customHeight="1">
      <c r="A1226" s="83"/>
      <c r="B1226" s="84"/>
      <c r="C1226" s="85"/>
      <c r="D1226" s="85"/>
      <c r="E1226" s="86"/>
      <c r="F1226" s="85"/>
      <c r="G1226" s="86"/>
      <c r="H1226" s="86"/>
      <c r="I1226" s="86">
        <f t="shared" si="1"/>
        <v>0</v>
      </c>
      <c r="J1226" s="86"/>
      <c r="K1226" s="22"/>
    </row>
    <row r="1227" ht="22.5" customHeight="1">
      <c r="A1227" s="83"/>
      <c r="B1227" s="84"/>
      <c r="C1227" s="85"/>
      <c r="D1227" s="85"/>
      <c r="E1227" s="86"/>
      <c r="F1227" s="85"/>
      <c r="G1227" s="86"/>
      <c r="H1227" s="86"/>
      <c r="I1227" s="86">
        <f t="shared" si="1"/>
        <v>0</v>
      </c>
      <c r="J1227" s="86"/>
      <c r="K1227" s="22"/>
    </row>
    <row r="1228" ht="22.5" customHeight="1">
      <c r="A1228" s="83"/>
      <c r="B1228" s="84"/>
      <c r="C1228" s="85"/>
      <c r="D1228" s="85"/>
      <c r="E1228" s="86"/>
      <c r="F1228" s="85"/>
      <c r="G1228" s="86"/>
      <c r="H1228" s="86"/>
      <c r="I1228" s="86">
        <f t="shared" si="1"/>
        <v>0</v>
      </c>
      <c r="J1228" s="86"/>
      <c r="K1228" s="22"/>
    </row>
    <row r="1229" ht="22.5" customHeight="1">
      <c r="A1229" s="83"/>
      <c r="B1229" s="84"/>
      <c r="C1229" s="85"/>
      <c r="D1229" s="85"/>
      <c r="E1229" s="86"/>
      <c r="F1229" s="85"/>
      <c r="G1229" s="86"/>
      <c r="H1229" s="86"/>
      <c r="I1229" s="86">
        <f t="shared" si="1"/>
        <v>0</v>
      </c>
      <c r="J1229" s="86"/>
      <c r="K1229" s="22"/>
    </row>
    <row r="1230" ht="22.5" customHeight="1">
      <c r="A1230" s="83"/>
      <c r="B1230" s="84"/>
      <c r="C1230" s="85"/>
      <c r="D1230" s="85"/>
      <c r="E1230" s="86"/>
      <c r="F1230" s="85"/>
      <c r="G1230" s="86"/>
      <c r="H1230" s="86"/>
      <c r="I1230" s="86">
        <f t="shared" si="1"/>
        <v>0</v>
      </c>
      <c r="J1230" s="86"/>
      <c r="K1230" s="22"/>
    </row>
    <row r="1231" ht="22.5" customHeight="1">
      <c r="A1231" s="83"/>
      <c r="B1231" s="84"/>
      <c r="C1231" s="85"/>
      <c r="D1231" s="85"/>
      <c r="E1231" s="86"/>
      <c r="F1231" s="85"/>
      <c r="G1231" s="86"/>
      <c r="H1231" s="86"/>
      <c r="I1231" s="86">
        <f t="shared" si="1"/>
        <v>0</v>
      </c>
      <c r="J1231" s="86"/>
      <c r="K1231" s="22"/>
    </row>
    <row r="1232" ht="22.5" customHeight="1">
      <c r="A1232" s="83"/>
      <c r="B1232" s="84"/>
      <c r="C1232" s="85"/>
      <c r="D1232" s="85"/>
      <c r="E1232" s="86"/>
      <c r="F1232" s="85"/>
      <c r="G1232" s="86"/>
      <c r="H1232" s="86"/>
      <c r="I1232" s="86">
        <f t="shared" si="1"/>
        <v>0</v>
      </c>
      <c r="J1232" s="86"/>
      <c r="K1232" s="22"/>
    </row>
    <row r="1233" ht="22.5" customHeight="1">
      <c r="A1233" s="83"/>
      <c r="B1233" s="84"/>
      <c r="C1233" s="85"/>
      <c r="D1233" s="85"/>
      <c r="E1233" s="86"/>
      <c r="F1233" s="85"/>
      <c r="G1233" s="86"/>
      <c r="H1233" s="86"/>
      <c r="I1233" s="86">
        <f t="shared" si="1"/>
        <v>0</v>
      </c>
      <c r="J1233" s="86"/>
      <c r="K1233" s="22"/>
    </row>
    <row r="1234" ht="22.5" customHeight="1">
      <c r="A1234" s="83"/>
      <c r="B1234" s="84"/>
      <c r="C1234" s="85"/>
      <c r="D1234" s="85"/>
      <c r="E1234" s="86"/>
      <c r="F1234" s="85"/>
      <c r="G1234" s="86"/>
      <c r="H1234" s="86"/>
      <c r="I1234" s="86">
        <f t="shared" si="1"/>
        <v>0</v>
      </c>
      <c r="J1234" s="86"/>
      <c r="K1234" s="22"/>
    </row>
    <row r="1235" ht="22.5" customHeight="1">
      <c r="A1235" s="83"/>
      <c r="B1235" s="84"/>
      <c r="C1235" s="85"/>
      <c r="D1235" s="85"/>
      <c r="E1235" s="86"/>
      <c r="F1235" s="85"/>
      <c r="G1235" s="86"/>
      <c r="H1235" s="86"/>
      <c r="I1235" s="86">
        <f t="shared" si="1"/>
        <v>0</v>
      </c>
      <c r="J1235" s="86"/>
      <c r="K1235" s="22"/>
    </row>
    <row r="1236" ht="22.5" customHeight="1">
      <c r="A1236" s="83"/>
      <c r="B1236" s="84"/>
      <c r="C1236" s="85"/>
      <c r="D1236" s="85"/>
      <c r="E1236" s="86"/>
      <c r="F1236" s="85"/>
      <c r="G1236" s="86"/>
      <c r="H1236" s="86"/>
      <c r="I1236" s="86">
        <f t="shared" si="1"/>
        <v>0</v>
      </c>
      <c r="J1236" s="86"/>
      <c r="K1236" s="22"/>
    </row>
    <row r="1237" ht="22.5" customHeight="1">
      <c r="A1237" s="83"/>
      <c r="B1237" s="84"/>
      <c r="C1237" s="85"/>
      <c r="D1237" s="85"/>
      <c r="E1237" s="86"/>
      <c r="F1237" s="85"/>
      <c r="G1237" s="86"/>
      <c r="H1237" s="86"/>
      <c r="I1237" s="86">
        <f t="shared" si="1"/>
        <v>0</v>
      </c>
      <c r="J1237" s="86"/>
      <c r="K1237" s="22"/>
    </row>
    <row r="1238" ht="22.5" customHeight="1">
      <c r="A1238" s="83"/>
      <c r="B1238" s="84"/>
      <c r="C1238" s="85"/>
      <c r="D1238" s="85"/>
      <c r="E1238" s="86"/>
      <c r="F1238" s="85"/>
      <c r="G1238" s="86"/>
      <c r="H1238" s="86"/>
      <c r="I1238" s="86">
        <f t="shared" si="1"/>
        <v>0</v>
      </c>
      <c r="J1238" s="86"/>
      <c r="K1238" s="22"/>
    </row>
    <row r="1239" ht="22.5" customHeight="1">
      <c r="A1239" s="83"/>
      <c r="B1239" s="84"/>
      <c r="C1239" s="85"/>
      <c r="D1239" s="85"/>
      <c r="E1239" s="86"/>
      <c r="F1239" s="85"/>
      <c r="G1239" s="86"/>
      <c r="H1239" s="86"/>
      <c r="I1239" s="86">
        <f t="shared" si="1"/>
        <v>0</v>
      </c>
      <c r="J1239" s="86"/>
      <c r="K1239" s="22"/>
    </row>
    <row r="1240" ht="22.5" customHeight="1">
      <c r="A1240" s="83"/>
      <c r="B1240" s="84"/>
      <c r="C1240" s="85"/>
      <c r="D1240" s="85"/>
      <c r="E1240" s="86"/>
      <c r="F1240" s="85"/>
      <c r="G1240" s="86"/>
      <c r="H1240" s="86"/>
      <c r="I1240" s="86">
        <f t="shared" si="1"/>
        <v>0</v>
      </c>
      <c r="J1240" s="86"/>
      <c r="K1240" s="22"/>
    </row>
    <row r="1241" ht="22.5" customHeight="1">
      <c r="A1241" s="83"/>
      <c r="B1241" s="84"/>
      <c r="C1241" s="85"/>
      <c r="D1241" s="85"/>
      <c r="E1241" s="86"/>
      <c r="F1241" s="85"/>
      <c r="G1241" s="86"/>
      <c r="H1241" s="86"/>
      <c r="I1241" s="86">
        <f t="shared" si="1"/>
        <v>0</v>
      </c>
      <c r="J1241" s="86"/>
      <c r="K1241" s="22"/>
    </row>
    <row r="1242" ht="22.5" customHeight="1">
      <c r="A1242" s="83"/>
      <c r="B1242" s="84"/>
      <c r="C1242" s="85"/>
      <c r="D1242" s="85"/>
      <c r="E1242" s="86"/>
      <c r="F1242" s="85"/>
      <c r="G1242" s="86"/>
      <c r="H1242" s="86"/>
      <c r="I1242" s="86">
        <f t="shared" si="1"/>
        <v>0</v>
      </c>
      <c r="J1242" s="86"/>
      <c r="K1242" s="22"/>
    </row>
    <row r="1243" ht="22.5" customHeight="1">
      <c r="A1243" s="83"/>
      <c r="B1243" s="84"/>
      <c r="C1243" s="85"/>
      <c r="D1243" s="85"/>
      <c r="E1243" s="86"/>
      <c r="F1243" s="85"/>
      <c r="G1243" s="86"/>
      <c r="H1243" s="86"/>
      <c r="I1243" s="86">
        <f t="shared" si="1"/>
        <v>0</v>
      </c>
      <c r="J1243" s="86"/>
      <c r="K1243" s="22"/>
    </row>
    <row r="1244" ht="22.5" customHeight="1">
      <c r="A1244" s="83"/>
      <c r="B1244" s="84"/>
      <c r="C1244" s="85"/>
      <c r="D1244" s="85"/>
      <c r="E1244" s="86"/>
      <c r="F1244" s="85"/>
      <c r="G1244" s="86"/>
      <c r="H1244" s="86"/>
      <c r="I1244" s="86">
        <f t="shared" si="1"/>
        <v>0</v>
      </c>
      <c r="J1244" s="86"/>
      <c r="K1244" s="22"/>
    </row>
    <row r="1245" ht="22.5" customHeight="1">
      <c r="A1245" s="83"/>
      <c r="B1245" s="84"/>
      <c r="C1245" s="85"/>
      <c r="D1245" s="85"/>
      <c r="E1245" s="86"/>
      <c r="F1245" s="85"/>
      <c r="G1245" s="86"/>
      <c r="H1245" s="86"/>
      <c r="I1245" s="86">
        <f t="shared" si="1"/>
        <v>0</v>
      </c>
      <c r="J1245" s="86"/>
      <c r="K1245" s="22"/>
    </row>
    <row r="1246" ht="22.5" customHeight="1">
      <c r="A1246" s="83"/>
      <c r="B1246" s="84"/>
      <c r="C1246" s="85"/>
      <c r="D1246" s="85"/>
      <c r="E1246" s="86"/>
      <c r="F1246" s="85"/>
      <c r="G1246" s="86"/>
      <c r="H1246" s="86"/>
      <c r="I1246" s="86">
        <f t="shared" si="1"/>
        <v>0</v>
      </c>
      <c r="J1246" s="86"/>
      <c r="K1246" s="22"/>
    </row>
    <row r="1247" ht="22.5" customHeight="1">
      <c r="A1247" s="83"/>
      <c r="B1247" s="84"/>
      <c r="C1247" s="85"/>
      <c r="D1247" s="85"/>
      <c r="E1247" s="86"/>
      <c r="F1247" s="85"/>
      <c r="G1247" s="86"/>
      <c r="H1247" s="86"/>
      <c r="I1247" s="86">
        <f t="shared" si="1"/>
        <v>0</v>
      </c>
      <c r="J1247" s="86"/>
      <c r="K1247" s="22"/>
    </row>
    <row r="1248" ht="22.5" customHeight="1">
      <c r="A1248" s="83"/>
      <c r="B1248" s="84"/>
      <c r="C1248" s="85"/>
      <c r="D1248" s="85"/>
      <c r="E1248" s="86"/>
      <c r="F1248" s="85"/>
      <c r="G1248" s="86"/>
      <c r="H1248" s="86"/>
      <c r="I1248" s="86">
        <f t="shared" si="1"/>
        <v>0</v>
      </c>
      <c r="J1248" s="86"/>
      <c r="K1248" s="22"/>
    </row>
    <row r="1249" ht="22.5" customHeight="1">
      <c r="A1249" s="83"/>
      <c r="B1249" s="84"/>
      <c r="C1249" s="85"/>
      <c r="D1249" s="85"/>
      <c r="E1249" s="86"/>
      <c r="F1249" s="85"/>
      <c r="G1249" s="86"/>
      <c r="H1249" s="86"/>
      <c r="I1249" s="86">
        <f t="shared" si="1"/>
        <v>0</v>
      </c>
      <c r="J1249" s="86"/>
      <c r="K1249" s="22"/>
    </row>
    <row r="1250" ht="22.5" customHeight="1">
      <c r="A1250" s="83"/>
      <c r="B1250" s="84"/>
      <c r="C1250" s="85"/>
      <c r="D1250" s="85"/>
      <c r="E1250" s="86"/>
      <c r="F1250" s="85"/>
      <c r="G1250" s="86"/>
      <c r="H1250" s="86"/>
      <c r="I1250" s="86">
        <f t="shared" si="1"/>
        <v>0</v>
      </c>
      <c r="J1250" s="86"/>
      <c r="K1250" s="22"/>
    </row>
    <row r="1251" ht="22.5" customHeight="1">
      <c r="A1251" s="83"/>
      <c r="B1251" s="84"/>
      <c r="C1251" s="85"/>
      <c r="D1251" s="85"/>
      <c r="E1251" s="86"/>
      <c r="F1251" s="85"/>
      <c r="G1251" s="86"/>
      <c r="H1251" s="86"/>
      <c r="I1251" s="86">
        <f t="shared" si="1"/>
        <v>0</v>
      </c>
      <c r="J1251" s="86"/>
      <c r="K1251" s="22"/>
    </row>
    <row r="1252" ht="22.5" customHeight="1">
      <c r="A1252" s="83"/>
      <c r="B1252" s="84"/>
      <c r="C1252" s="85"/>
      <c r="D1252" s="85"/>
      <c r="E1252" s="86"/>
      <c r="F1252" s="85"/>
      <c r="G1252" s="86"/>
      <c r="H1252" s="86"/>
      <c r="I1252" s="86">
        <f t="shared" si="1"/>
        <v>0</v>
      </c>
      <c r="J1252" s="86"/>
      <c r="K1252" s="22"/>
    </row>
    <row r="1253" ht="22.5" customHeight="1">
      <c r="A1253" s="83"/>
      <c r="B1253" s="84"/>
      <c r="C1253" s="85"/>
      <c r="D1253" s="85"/>
      <c r="E1253" s="86"/>
      <c r="F1253" s="85"/>
      <c r="G1253" s="86"/>
      <c r="H1253" s="86"/>
      <c r="I1253" s="86">
        <f t="shared" si="1"/>
        <v>0</v>
      </c>
      <c r="J1253" s="86"/>
      <c r="K1253" s="22"/>
    </row>
    <row r="1254" ht="22.5" customHeight="1">
      <c r="A1254" s="83"/>
      <c r="B1254" s="84"/>
      <c r="C1254" s="85"/>
      <c r="D1254" s="85"/>
      <c r="E1254" s="86"/>
      <c r="F1254" s="85"/>
      <c r="G1254" s="86"/>
      <c r="H1254" s="86"/>
      <c r="I1254" s="86">
        <f t="shared" si="1"/>
        <v>0</v>
      </c>
      <c r="J1254" s="86"/>
      <c r="K1254" s="22"/>
    </row>
    <row r="1255" ht="22.5" customHeight="1">
      <c r="A1255" s="83"/>
      <c r="B1255" s="84"/>
      <c r="C1255" s="85"/>
      <c r="D1255" s="85"/>
      <c r="E1255" s="86"/>
      <c r="F1255" s="85"/>
      <c r="G1255" s="86"/>
      <c r="H1255" s="86"/>
      <c r="I1255" s="86">
        <f t="shared" si="1"/>
        <v>0</v>
      </c>
      <c r="J1255" s="86"/>
      <c r="K1255" s="22"/>
    </row>
    <row r="1256" ht="22.5" customHeight="1">
      <c r="A1256" s="83"/>
      <c r="B1256" s="84"/>
      <c r="C1256" s="85"/>
      <c r="D1256" s="85"/>
      <c r="E1256" s="86"/>
      <c r="F1256" s="85"/>
      <c r="G1256" s="86"/>
      <c r="H1256" s="86"/>
      <c r="I1256" s="86">
        <f t="shared" si="1"/>
        <v>0</v>
      </c>
      <c r="J1256" s="86"/>
      <c r="K1256" s="22"/>
    </row>
    <row r="1257" ht="22.5" customHeight="1">
      <c r="A1257" s="83"/>
      <c r="B1257" s="84"/>
      <c r="C1257" s="85"/>
      <c r="D1257" s="85"/>
      <c r="E1257" s="86"/>
      <c r="F1257" s="85"/>
      <c r="G1257" s="86"/>
      <c r="H1257" s="86"/>
      <c r="I1257" s="86">
        <f t="shared" si="1"/>
        <v>0</v>
      </c>
      <c r="J1257" s="86"/>
      <c r="K1257" s="22"/>
    </row>
    <row r="1258" ht="22.5" customHeight="1">
      <c r="A1258" s="83"/>
      <c r="B1258" s="84"/>
      <c r="C1258" s="85"/>
      <c r="D1258" s="85"/>
      <c r="E1258" s="86"/>
      <c r="F1258" s="85"/>
      <c r="G1258" s="86"/>
      <c r="H1258" s="86"/>
      <c r="I1258" s="86">
        <f t="shared" si="1"/>
        <v>0</v>
      </c>
      <c r="J1258" s="86"/>
      <c r="K1258" s="22"/>
    </row>
    <row r="1259" ht="22.5" customHeight="1">
      <c r="A1259" s="83"/>
      <c r="B1259" s="84"/>
      <c r="C1259" s="85"/>
      <c r="D1259" s="85"/>
      <c r="E1259" s="86"/>
      <c r="F1259" s="85"/>
      <c r="G1259" s="86"/>
      <c r="H1259" s="86"/>
      <c r="I1259" s="86">
        <f t="shared" si="1"/>
        <v>0</v>
      </c>
      <c r="J1259" s="86"/>
      <c r="K1259" s="22"/>
    </row>
    <row r="1260" ht="22.5" customHeight="1">
      <c r="A1260" s="83"/>
      <c r="B1260" s="84"/>
      <c r="C1260" s="85"/>
      <c r="D1260" s="85"/>
      <c r="E1260" s="86"/>
      <c r="F1260" s="85"/>
      <c r="G1260" s="86"/>
      <c r="H1260" s="86"/>
      <c r="I1260" s="86">
        <f t="shared" si="1"/>
        <v>0</v>
      </c>
      <c r="J1260" s="86"/>
      <c r="K1260" s="22"/>
    </row>
    <row r="1261" ht="22.5" customHeight="1">
      <c r="A1261" s="83"/>
      <c r="B1261" s="84"/>
      <c r="C1261" s="85"/>
      <c r="D1261" s="85"/>
      <c r="E1261" s="86"/>
      <c r="F1261" s="85"/>
      <c r="G1261" s="86"/>
      <c r="H1261" s="86"/>
      <c r="I1261" s="86">
        <f t="shared" si="1"/>
        <v>0</v>
      </c>
      <c r="J1261" s="86"/>
      <c r="K1261" s="22"/>
    </row>
    <row r="1262" ht="22.5" customHeight="1">
      <c r="A1262" s="83"/>
      <c r="B1262" s="84"/>
      <c r="C1262" s="85"/>
      <c r="D1262" s="85"/>
      <c r="E1262" s="86"/>
      <c r="F1262" s="85"/>
      <c r="G1262" s="86"/>
      <c r="H1262" s="86"/>
      <c r="I1262" s="86">
        <f t="shared" si="1"/>
        <v>0</v>
      </c>
      <c r="J1262" s="86"/>
      <c r="K1262" s="22"/>
    </row>
    <row r="1263" ht="22.5" customHeight="1">
      <c r="A1263" s="83"/>
      <c r="B1263" s="84"/>
      <c r="C1263" s="85"/>
      <c r="D1263" s="85"/>
      <c r="E1263" s="86"/>
      <c r="F1263" s="85"/>
      <c r="G1263" s="86"/>
      <c r="H1263" s="86"/>
      <c r="I1263" s="86">
        <f t="shared" si="1"/>
        <v>0</v>
      </c>
      <c r="J1263" s="86"/>
      <c r="K1263" s="22"/>
    </row>
    <row r="1264" ht="22.5" customHeight="1">
      <c r="A1264" s="83"/>
      <c r="B1264" s="84"/>
      <c r="C1264" s="85"/>
      <c r="D1264" s="85"/>
      <c r="E1264" s="86"/>
      <c r="F1264" s="85"/>
      <c r="G1264" s="86"/>
      <c r="H1264" s="86"/>
      <c r="I1264" s="86">
        <f t="shared" si="1"/>
        <v>0</v>
      </c>
      <c r="J1264" s="86"/>
      <c r="K1264" s="22"/>
    </row>
    <row r="1265" ht="22.5" customHeight="1">
      <c r="A1265" s="83"/>
      <c r="B1265" s="84"/>
      <c r="C1265" s="85"/>
      <c r="D1265" s="85"/>
      <c r="E1265" s="86"/>
      <c r="F1265" s="85"/>
      <c r="G1265" s="86"/>
      <c r="H1265" s="86"/>
      <c r="I1265" s="86">
        <f t="shared" si="1"/>
        <v>0</v>
      </c>
      <c r="J1265" s="86"/>
      <c r="K1265" s="22"/>
    </row>
    <row r="1266" ht="22.5" customHeight="1">
      <c r="A1266" s="83"/>
      <c r="B1266" s="84"/>
      <c r="C1266" s="85"/>
      <c r="D1266" s="85"/>
      <c r="E1266" s="86"/>
      <c r="F1266" s="85"/>
      <c r="G1266" s="86"/>
      <c r="H1266" s="86"/>
      <c r="I1266" s="86">
        <f t="shared" si="1"/>
        <v>0</v>
      </c>
      <c r="J1266" s="86"/>
      <c r="K1266" s="22"/>
    </row>
    <row r="1267" ht="22.5" customHeight="1">
      <c r="A1267" s="83"/>
      <c r="B1267" s="84"/>
      <c r="C1267" s="85"/>
      <c r="D1267" s="85"/>
      <c r="E1267" s="86"/>
      <c r="F1267" s="85"/>
      <c r="G1267" s="86"/>
      <c r="H1267" s="86"/>
      <c r="I1267" s="86">
        <f t="shared" si="1"/>
        <v>0</v>
      </c>
      <c r="J1267" s="86"/>
      <c r="K1267" s="22"/>
    </row>
    <row r="1268" ht="22.5" customHeight="1">
      <c r="A1268" s="83"/>
      <c r="B1268" s="84"/>
      <c r="C1268" s="85"/>
      <c r="D1268" s="85"/>
      <c r="E1268" s="86"/>
      <c r="F1268" s="85"/>
      <c r="G1268" s="86"/>
      <c r="H1268" s="86"/>
      <c r="I1268" s="86">
        <f t="shared" si="1"/>
        <v>0</v>
      </c>
      <c r="J1268" s="86"/>
      <c r="K1268" s="22"/>
    </row>
    <row r="1269" ht="22.5" customHeight="1">
      <c r="A1269" s="83"/>
      <c r="B1269" s="84"/>
      <c r="C1269" s="85"/>
      <c r="D1269" s="85"/>
      <c r="E1269" s="86"/>
      <c r="F1269" s="85"/>
      <c r="G1269" s="86"/>
      <c r="H1269" s="86"/>
      <c r="I1269" s="86">
        <f t="shared" si="1"/>
        <v>0</v>
      </c>
      <c r="J1269" s="86"/>
      <c r="K1269" s="22"/>
    </row>
    <row r="1270" ht="22.5" customHeight="1">
      <c r="A1270" s="83"/>
      <c r="B1270" s="84"/>
      <c r="C1270" s="85"/>
      <c r="D1270" s="85"/>
      <c r="E1270" s="86"/>
      <c r="F1270" s="85"/>
      <c r="G1270" s="86"/>
      <c r="H1270" s="86"/>
      <c r="I1270" s="86">
        <f t="shared" si="1"/>
        <v>0</v>
      </c>
      <c r="J1270" s="86"/>
      <c r="K1270" s="22"/>
    </row>
    <row r="1271" ht="22.5" customHeight="1">
      <c r="A1271" s="83"/>
      <c r="B1271" s="84"/>
      <c r="C1271" s="85"/>
      <c r="D1271" s="85"/>
      <c r="E1271" s="86"/>
      <c r="F1271" s="85"/>
      <c r="G1271" s="86"/>
      <c r="H1271" s="86"/>
      <c r="I1271" s="86">
        <f t="shared" si="1"/>
        <v>0</v>
      </c>
      <c r="J1271" s="86"/>
      <c r="K1271" s="22"/>
    </row>
    <row r="1272" ht="22.5" customHeight="1">
      <c r="A1272" s="83"/>
      <c r="B1272" s="84"/>
      <c r="C1272" s="85"/>
      <c r="D1272" s="85"/>
      <c r="E1272" s="86"/>
      <c r="F1272" s="85"/>
      <c r="G1272" s="86"/>
      <c r="H1272" s="86"/>
      <c r="I1272" s="86">
        <f t="shared" si="1"/>
        <v>0</v>
      </c>
      <c r="J1272" s="86"/>
      <c r="K1272" s="22"/>
    </row>
    <row r="1273" ht="22.5" customHeight="1">
      <c r="A1273" s="83"/>
      <c r="B1273" s="84"/>
      <c r="C1273" s="85"/>
      <c r="D1273" s="85"/>
      <c r="E1273" s="86"/>
      <c r="F1273" s="85"/>
      <c r="G1273" s="86"/>
      <c r="H1273" s="86"/>
      <c r="I1273" s="86">
        <f t="shared" si="1"/>
        <v>0</v>
      </c>
      <c r="J1273" s="86"/>
      <c r="K1273" s="22"/>
    </row>
    <row r="1274" ht="22.5" customHeight="1">
      <c r="A1274" s="83"/>
      <c r="B1274" s="84"/>
      <c r="C1274" s="85"/>
      <c r="D1274" s="85"/>
      <c r="E1274" s="86"/>
      <c r="F1274" s="85"/>
      <c r="G1274" s="86"/>
      <c r="H1274" s="86"/>
      <c r="I1274" s="86">
        <f t="shared" si="1"/>
        <v>0</v>
      </c>
      <c r="J1274" s="86"/>
      <c r="K1274" s="22"/>
    </row>
    <row r="1275" ht="22.5" customHeight="1">
      <c r="A1275" s="83"/>
      <c r="B1275" s="84"/>
      <c r="C1275" s="85"/>
      <c r="D1275" s="85"/>
      <c r="E1275" s="86"/>
      <c r="F1275" s="85"/>
      <c r="G1275" s="86"/>
      <c r="H1275" s="86"/>
      <c r="I1275" s="86">
        <f t="shared" si="1"/>
        <v>0</v>
      </c>
      <c r="J1275" s="86"/>
      <c r="K1275" s="22"/>
    </row>
    <row r="1276" ht="22.5" customHeight="1">
      <c r="A1276" s="83"/>
      <c r="B1276" s="84"/>
      <c r="C1276" s="85"/>
      <c r="D1276" s="85"/>
      <c r="E1276" s="86"/>
      <c r="F1276" s="85"/>
      <c r="G1276" s="86"/>
      <c r="H1276" s="86"/>
      <c r="I1276" s="86">
        <f t="shared" si="1"/>
        <v>0</v>
      </c>
      <c r="J1276" s="86"/>
      <c r="K1276" s="22"/>
    </row>
    <row r="1277" ht="22.5" customHeight="1">
      <c r="A1277" s="83"/>
      <c r="B1277" s="84"/>
      <c r="C1277" s="85"/>
      <c r="D1277" s="85"/>
      <c r="E1277" s="86"/>
      <c r="F1277" s="85"/>
      <c r="G1277" s="86"/>
      <c r="H1277" s="86"/>
      <c r="I1277" s="86">
        <f t="shared" si="1"/>
        <v>0</v>
      </c>
      <c r="J1277" s="86"/>
      <c r="K1277" s="22"/>
    </row>
    <row r="1278" ht="22.5" customHeight="1">
      <c r="A1278" s="83"/>
      <c r="B1278" s="84"/>
      <c r="C1278" s="85"/>
      <c r="D1278" s="85"/>
      <c r="E1278" s="86"/>
      <c r="F1278" s="85"/>
      <c r="G1278" s="86"/>
      <c r="H1278" s="86"/>
      <c r="I1278" s="86">
        <f t="shared" si="1"/>
        <v>0</v>
      </c>
      <c r="J1278" s="86"/>
      <c r="K1278" s="22"/>
    </row>
    <row r="1279" ht="22.5" customHeight="1">
      <c r="A1279" s="83"/>
      <c r="B1279" s="84"/>
      <c r="C1279" s="85"/>
      <c r="D1279" s="85"/>
      <c r="E1279" s="86"/>
      <c r="F1279" s="85"/>
      <c r="G1279" s="86"/>
      <c r="H1279" s="86"/>
      <c r="I1279" s="86">
        <f t="shared" si="1"/>
        <v>0</v>
      </c>
      <c r="J1279" s="86"/>
      <c r="K1279" s="22"/>
    </row>
    <row r="1280" ht="22.5" customHeight="1">
      <c r="A1280" s="83"/>
      <c r="B1280" s="84"/>
      <c r="C1280" s="85"/>
      <c r="D1280" s="85"/>
      <c r="E1280" s="86"/>
      <c r="F1280" s="85"/>
      <c r="G1280" s="86"/>
      <c r="H1280" s="86"/>
      <c r="I1280" s="86">
        <f t="shared" si="1"/>
        <v>0</v>
      </c>
      <c r="J1280" s="86"/>
      <c r="K1280" s="22"/>
    </row>
    <row r="1281" ht="22.5" customHeight="1">
      <c r="A1281" s="83"/>
      <c r="B1281" s="84"/>
      <c r="C1281" s="85"/>
      <c r="D1281" s="85"/>
      <c r="E1281" s="86"/>
      <c r="F1281" s="85"/>
      <c r="G1281" s="86"/>
      <c r="H1281" s="86"/>
      <c r="I1281" s="86">
        <f t="shared" si="1"/>
        <v>0</v>
      </c>
      <c r="J1281" s="86"/>
      <c r="K1281" s="22"/>
    </row>
    <row r="1282" ht="22.5" customHeight="1">
      <c r="A1282" s="83"/>
      <c r="B1282" s="84"/>
      <c r="C1282" s="85"/>
      <c r="D1282" s="85"/>
      <c r="E1282" s="86"/>
      <c r="F1282" s="85"/>
      <c r="G1282" s="86"/>
      <c r="H1282" s="86"/>
      <c r="I1282" s="86">
        <f t="shared" si="1"/>
        <v>0</v>
      </c>
      <c r="J1282" s="86"/>
      <c r="K1282" s="22"/>
    </row>
    <row r="1283" ht="22.5" customHeight="1">
      <c r="A1283" s="83"/>
      <c r="B1283" s="84"/>
      <c r="C1283" s="85"/>
      <c r="D1283" s="85"/>
      <c r="E1283" s="86"/>
      <c r="F1283" s="85"/>
      <c r="G1283" s="86"/>
      <c r="H1283" s="86"/>
      <c r="I1283" s="86">
        <f t="shared" si="1"/>
        <v>0</v>
      </c>
      <c r="J1283" s="86"/>
      <c r="K1283" s="22"/>
    </row>
    <row r="1284" ht="22.5" customHeight="1">
      <c r="A1284" s="83"/>
      <c r="B1284" s="84"/>
      <c r="C1284" s="85"/>
      <c r="D1284" s="85"/>
      <c r="E1284" s="86"/>
      <c r="F1284" s="85"/>
      <c r="G1284" s="86"/>
      <c r="H1284" s="86"/>
      <c r="I1284" s="86">
        <f t="shared" si="1"/>
        <v>0</v>
      </c>
      <c r="J1284" s="86"/>
      <c r="K1284" s="22"/>
    </row>
    <row r="1285" ht="22.5" customHeight="1">
      <c r="A1285" s="83"/>
      <c r="B1285" s="84"/>
      <c r="C1285" s="85"/>
      <c r="D1285" s="85"/>
      <c r="E1285" s="86"/>
      <c r="F1285" s="85"/>
      <c r="G1285" s="86"/>
      <c r="H1285" s="86"/>
      <c r="I1285" s="86">
        <f t="shared" si="1"/>
        <v>0</v>
      </c>
      <c r="J1285" s="86"/>
      <c r="K1285" s="22"/>
    </row>
    <row r="1286" ht="22.5" customHeight="1">
      <c r="A1286" s="83"/>
      <c r="B1286" s="84"/>
      <c r="C1286" s="85"/>
      <c r="D1286" s="85"/>
      <c r="E1286" s="86"/>
      <c r="F1286" s="85"/>
      <c r="G1286" s="86"/>
      <c r="H1286" s="86"/>
      <c r="I1286" s="86">
        <f t="shared" si="1"/>
        <v>0</v>
      </c>
      <c r="J1286" s="86"/>
      <c r="K1286" s="22"/>
    </row>
    <row r="1287" ht="22.5" customHeight="1">
      <c r="A1287" s="83"/>
      <c r="B1287" s="84"/>
      <c r="C1287" s="85"/>
      <c r="D1287" s="85"/>
      <c r="E1287" s="86"/>
      <c r="F1287" s="85"/>
      <c r="G1287" s="86"/>
      <c r="H1287" s="86"/>
      <c r="I1287" s="86">
        <f t="shared" si="1"/>
        <v>0</v>
      </c>
      <c r="J1287" s="86"/>
      <c r="K1287" s="22"/>
    </row>
    <row r="1288" ht="22.5" customHeight="1">
      <c r="A1288" s="83"/>
      <c r="B1288" s="84"/>
      <c r="C1288" s="85"/>
      <c r="D1288" s="85"/>
      <c r="E1288" s="86"/>
      <c r="F1288" s="85"/>
      <c r="G1288" s="86"/>
      <c r="H1288" s="86"/>
      <c r="I1288" s="86">
        <f t="shared" si="1"/>
        <v>0</v>
      </c>
      <c r="J1288" s="86"/>
      <c r="K1288" s="22"/>
    </row>
    <row r="1289" ht="22.5" customHeight="1">
      <c r="A1289" s="83"/>
      <c r="B1289" s="84"/>
      <c r="C1289" s="85"/>
      <c r="D1289" s="85"/>
      <c r="E1289" s="86"/>
      <c r="F1289" s="85"/>
      <c r="G1289" s="86"/>
      <c r="H1289" s="86"/>
      <c r="I1289" s="86">
        <f t="shared" si="1"/>
        <v>0</v>
      </c>
      <c r="J1289" s="86"/>
      <c r="K1289" s="22"/>
    </row>
    <row r="1290" ht="22.5" customHeight="1">
      <c r="A1290" s="83"/>
      <c r="B1290" s="84"/>
      <c r="C1290" s="85"/>
      <c r="D1290" s="85"/>
      <c r="E1290" s="86"/>
      <c r="F1290" s="85"/>
      <c r="G1290" s="86"/>
      <c r="H1290" s="86"/>
      <c r="I1290" s="86">
        <f t="shared" si="1"/>
        <v>0</v>
      </c>
      <c r="J1290" s="86"/>
      <c r="K1290" s="22"/>
    </row>
    <row r="1291" ht="22.5" customHeight="1">
      <c r="A1291" s="83"/>
      <c r="B1291" s="84"/>
      <c r="C1291" s="85"/>
      <c r="D1291" s="85"/>
      <c r="E1291" s="86"/>
      <c r="F1291" s="85"/>
      <c r="G1291" s="86"/>
      <c r="H1291" s="86"/>
      <c r="I1291" s="86">
        <f t="shared" si="1"/>
        <v>0</v>
      </c>
      <c r="J1291" s="86"/>
      <c r="K1291" s="22"/>
    </row>
    <row r="1292" ht="22.5" customHeight="1">
      <c r="A1292" s="83"/>
      <c r="B1292" s="84"/>
      <c r="C1292" s="85"/>
      <c r="D1292" s="85"/>
      <c r="E1292" s="86"/>
      <c r="F1292" s="85"/>
      <c r="G1292" s="86"/>
      <c r="H1292" s="86"/>
      <c r="I1292" s="86">
        <f t="shared" si="1"/>
        <v>0</v>
      </c>
      <c r="J1292" s="86"/>
      <c r="K1292" s="22"/>
    </row>
    <row r="1293" ht="22.5" customHeight="1">
      <c r="A1293" s="83"/>
      <c r="B1293" s="84"/>
      <c r="C1293" s="85"/>
      <c r="D1293" s="85"/>
      <c r="E1293" s="86"/>
      <c r="F1293" s="85"/>
      <c r="G1293" s="86"/>
      <c r="H1293" s="86"/>
      <c r="I1293" s="86">
        <f t="shared" si="1"/>
        <v>0</v>
      </c>
      <c r="J1293" s="86"/>
      <c r="K1293" s="22"/>
    </row>
    <row r="1294" ht="22.5" customHeight="1">
      <c r="A1294" s="83"/>
      <c r="B1294" s="84"/>
      <c r="C1294" s="85"/>
      <c r="D1294" s="85"/>
      <c r="E1294" s="86"/>
      <c r="F1294" s="85"/>
      <c r="G1294" s="86"/>
      <c r="H1294" s="86"/>
      <c r="I1294" s="86">
        <f t="shared" si="1"/>
        <v>0</v>
      </c>
      <c r="J1294" s="86"/>
      <c r="K1294" s="22"/>
    </row>
    <row r="1295" ht="22.5" customHeight="1">
      <c r="A1295" s="83"/>
      <c r="B1295" s="84"/>
      <c r="C1295" s="85"/>
      <c r="D1295" s="85"/>
      <c r="E1295" s="86"/>
      <c r="F1295" s="85"/>
      <c r="G1295" s="86"/>
      <c r="H1295" s="86"/>
      <c r="I1295" s="86">
        <f t="shared" si="1"/>
        <v>0</v>
      </c>
      <c r="J1295" s="86"/>
      <c r="K1295" s="22"/>
    </row>
    <row r="1296" ht="22.5" customHeight="1">
      <c r="A1296" s="83"/>
      <c r="B1296" s="84"/>
      <c r="C1296" s="85"/>
      <c r="D1296" s="85"/>
      <c r="E1296" s="86"/>
      <c r="F1296" s="85"/>
      <c r="G1296" s="86"/>
      <c r="H1296" s="86"/>
      <c r="I1296" s="86">
        <f t="shared" si="1"/>
        <v>0</v>
      </c>
      <c r="J1296" s="86"/>
      <c r="K1296" s="22"/>
    </row>
    <row r="1297" ht="22.5" customHeight="1">
      <c r="A1297" s="83"/>
      <c r="B1297" s="84"/>
      <c r="C1297" s="85"/>
      <c r="D1297" s="85"/>
      <c r="E1297" s="86"/>
      <c r="F1297" s="85"/>
      <c r="G1297" s="86"/>
      <c r="H1297" s="86"/>
      <c r="I1297" s="86">
        <f t="shared" si="1"/>
        <v>0</v>
      </c>
      <c r="J1297" s="86"/>
      <c r="K1297" s="22"/>
    </row>
    <row r="1298" ht="22.5" customHeight="1">
      <c r="A1298" s="83"/>
      <c r="B1298" s="84"/>
      <c r="C1298" s="85"/>
      <c r="D1298" s="85"/>
      <c r="E1298" s="86"/>
      <c r="F1298" s="85"/>
      <c r="G1298" s="86"/>
      <c r="H1298" s="86"/>
      <c r="I1298" s="86">
        <f t="shared" si="1"/>
        <v>0</v>
      </c>
      <c r="J1298" s="86"/>
      <c r="K1298" s="22"/>
    </row>
    <row r="1299" ht="22.5" customHeight="1">
      <c r="A1299" s="83"/>
      <c r="B1299" s="84"/>
      <c r="C1299" s="85"/>
      <c r="D1299" s="85"/>
      <c r="E1299" s="86"/>
      <c r="F1299" s="85"/>
      <c r="G1299" s="86"/>
      <c r="H1299" s="86"/>
      <c r="I1299" s="86">
        <f t="shared" si="1"/>
        <v>0</v>
      </c>
      <c r="J1299" s="86"/>
      <c r="K1299" s="22"/>
    </row>
    <row r="1300" ht="22.5" customHeight="1">
      <c r="A1300" s="83"/>
      <c r="B1300" s="84"/>
      <c r="C1300" s="85"/>
      <c r="D1300" s="85"/>
      <c r="E1300" s="86"/>
      <c r="F1300" s="85"/>
      <c r="G1300" s="86"/>
      <c r="H1300" s="86"/>
      <c r="I1300" s="86">
        <f t="shared" si="1"/>
        <v>0</v>
      </c>
      <c r="J1300" s="86"/>
      <c r="K1300" s="22"/>
    </row>
    <row r="1301" ht="22.5" customHeight="1">
      <c r="A1301" s="83"/>
      <c r="B1301" s="84"/>
      <c r="C1301" s="85"/>
      <c r="D1301" s="85"/>
      <c r="E1301" s="86"/>
      <c r="F1301" s="85"/>
      <c r="G1301" s="86"/>
      <c r="H1301" s="86"/>
      <c r="I1301" s="86">
        <f t="shared" si="1"/>
        <v>0</v>
      </c>
      <c r="J1301" s="86"/>
      <c r="K1301" s="22"/>
    </row>
    <row r="1302" ht="22.5" customHeight="1">
      <c r="A1302" s="83"/>
      <c r="B1302" s="84"/>
      <c r="C1302" s="85"/>
      <c r="D1302" s="85"/>
      <c r="E1302" s="86"/>
      <c r="F1302" s="85"/>
      <c r="G1302" s="86"/>
      <c r="H1302" s="86"/>
      <c r="I1302" s="86">
        <f t="shared" si="1"/>
        <v>0</v>
      </c>
      <c r="J1302" s="86"/>
      <c r="K1302" s="22"/>
    </row>
    <row r="1303" ht="22.5" customHeight="1">
      <c r="A1303" s="83"/>
      <c r="B1303" s="84"/>
      <c r="C1303" s="85"/>
      <c r="D1303" s="85"/>
      <c r="E1303" s="86"/>
      <c r="F1303" s="85"/>
      <c r="G1303" s="86"/>
      <c r="H1303" s="86"/>
      <c r="I1303" s="86">
        <f t="shared" si="1"/>
        <v>0</v>
      </c>
      <c r="J1303" s="86"/>
      <c r="K1303" s="22"/>
    </row>
    <row r="1304" ht="22.5" customHeight="1">
      <c r="A1304" s="83"/>
      <c r="B1304" s="84"/>
      <c r="C1304" s="85"/>
      <c r="D1304" s="85"/>
      <c r="E1304" s="86"/>
      <c r="F1304" s="85"/>
      <c r="G1304" s="86"/>
      <c r="H1304" s="86"/>
      <c r="I1304" s="86">
        <f t="shared" si="1"/>
        <v>0</v>
      </c>
      <c r="J1304" s="86"/>
      <c r="K1304" s="22"/>
    </row>
    <row r="1305" ht="22.5" customHeight="1">
      <c r="A1305" s="83"/>
      <c r="B1305" s="84"/>
      <c r="C1305" s="85"/>
      <c r="D1305" s="85"/>
      <c r="E1305" s="86"/>
      <c r="F1305" s="85"/>
      <c r="G1305" s="86"/>
      <c r="H1305" s="86"/>
      <c r="I1305" s="86">
        <f t="shared" si="1"/>
        <v>0</v>
      </c>
      <c r="J1305" s="86"/>
      <c r="K1305" s="22"/>
    </row>
    <row r="1306" ht="22.5" customHeight="1">
      <c r="A1306" s="83"/>
      <c r="B1306" s="84"/>
      <c r="C1306" s="85"/>
      <c r="D1306" s="85"/>
      <c r="E1306" s="86"/>
      <c r="F1306" s="85"/>
      <c r="G1306" s="86"/>
      <c r="H1306" s="86"/>
      <c r="I1306" s="86">
        <f t="shared" si="1"/>
        <v>0</v>
      </c>
      <c r="J1306" s="86"/>
      <c r="K1306" s="22"/>
    </row>
    <row r="1307" ht="22.5" customHeight="1">
      <c r="A1307" s="83"/>
      <c r="B1307" s="84"/>
      <c r="C1307" s="85"/>
      <c r="D1307" s="85"/>
      <c r="E1307" s="86"/>
      <c r="F1307" s="85"/>
      <c r="G1307" s="86"/>
      <c r="H1307" s="86"/>
      <c r="I1307" s="86">
        <f t="shared" si="1"/>
        <v>0</v>
      </c>
      <c r="J1307" s="86"/>
      <c r="K1307" s="22"/>
    </row>
    <row r="1308" ht="22.5" customHeight="1">
      <c r="A1308" s="83"/>
      <c r="B1308" s="84"/>
      <c r="C1308" s="85"/>
      <c r="D1308" s="85"/>
      <c r="E1308" s="86"/>
      <c r="F1308" s="85"/>
      <c r="G1308" s="86"/>
      <c r="H1308" s="86"/>
      <c r="I1308" s="86">
        <f t="shared" si="1"/>
        <v>0</v>
      </c>
      <c r="J1308" s="86"/>
      <c r="K1308" s="22"/>
    </row>
    <row r="1309" ht="22.5" customHeight="1">
      <c r="A1309" s="83"/>
      <c r="B1309" s="84"/>
      <c r="C1309" s="85"/>
      <c r="D1309" s="85"/>
      <c r="E1309" s="86"/>
      <c r="F1309" s="85"/>
      <c r="G1309" s="86"/>
      <c r="H1309" s="86"/>
      <c r="I1309" s="86">
        <f t="shared" si="1"/>
        <v>0</v>
      </c>
      <c r="J1309" s="86"/>
      <c r="K1309" s="22"/>
    </row>
    <row r="1310" ht="22.5" customHeight="1">
      <c r="A1310" s="83"/>
      <c r="B1310" s="84"/>
      <c r="C1310" s="85"/>
      <c r="D1310" s="85"/>
      <c r="E1310" s="86"/>
      <c r="F1310" s="85"/>
      <c r="G1310" s="86"/>
      <c r="H1310" s="86"/>
      <c r="I1310" s="86">
        <f t="shared" si="1"/>
        <v>0</v>
      </c>
      <c r="J1310" s="86"/>
      <c r="K1310" s="22"/>
    </row>
    <row r="1311" ht="22.5" customHeight="1">
      <c r="A1311" s="83"/>
      <c r="B1311" s="84"/>
      <c r="C1311" s="85"/>
      <c r="D1311" s="85"/>
      <c r="E1311" s="86"/>
      <c r="F1311" s="85"/>
      <c r="G1311" s="86"/>
      <c r="H1311" s="86"/>
      <c r="I1311" s="86">
        <f t="shared" si="1"/>
        <v>0</v>
      </c>
      <c r="J1311" s="86"/>
      <c r="K1311" s="22"/>
    </row>
    <row r="1312" ht="22.5" customHeight="1">
      <c r="A1312" s="83"/>
      <c r="B1312" s="84"/>
      <c r="C1312" s="85"/>
      <c r="D1312" s="85"/>
      <c r="E1312" s="86"/>
      <c r="F1312" s="85"/>
      <c r="G1312" s="86"/>
      <c r="H1312" s="86"/>
      <c r="I1312" s="86">
        <f t="shared" si="1"/>
        <v>0</v>
      </c>
      <c r="J1312" s="86"/>
      <c r="K1312" s="22"/>
    </row>
    <row r="1313" ht="22.5" customHeight="1">
      <c r="A1313" s="83"/>
      <c r="B1313" s="84"/>
      <c r="C1313" s="85"/>
      <c r="D1313" s="85"/>
      <c r="E1313" s="86"/>
      <c r="F1313" s="85"/>
      <c r="G1313" s="86"/>
      <c r="H1313" s="86"/>
      <c r="I1313" s="86">
        <f t="shared" si="1"/>
        <v>0</v>
      </c>
      <c r="J1313" s="86"/>
      <c r="K1313" s="22"/>
    </row>
    <row r="1314" ht="22.5" customHeight="1">
      <c r="A1314" s="83"/>
      <c r="B1314" s="84"/>
      <c r="C1314" s="85"/>
      <c r="D1314" s="85"/>
      <c r="E1314" s="86"/>
      <c r="F1314" s="85"/>
      <c r="G1314" s="86"/>
      <c r="H1314" s="86"/>
      <c r="I1314" s="86">
        <f t="shared" si="1"/>
        <v>0</v>
      </c>
      <c r="J1314" s="86"/>
      <c r="K1314" s="22"/>
    </row>
    <row r="1315" ht="22.5" customHeight="1">
      <c r="A1315" s="83"/>
      <c r="B1315" s="84"/>
      <c r="C1315" s="85"/>
      <c r="D1315" s="85"/>
      <c r="E1315" s="86"/>
      <c r="F1315" s="85"/>
      <c r="G1315" s="86"/>
      <c r="H1315" s="86"/>
      <c r="I1315" s="86">
        <f t="shared" si="1"/>
        <v>0</v>
      </c>
      <c r="J1315" s="86"/>
      <c r="K1315" s="22"/>
    </row>
    <row r="1316" ht="22.5" customHeight="1">
      <c r="A1316" s="83"/>
      <c r="B1316" s="84"/>
      <c r="C1316" s="85"/>
      <c r="D1316" s="85"/>
      <c r="E1316" s="86"/>
      <c r="F1316" s="85"/>
      <c r="G1316" s="86"/>
      <c r="H1316" s="86"/>
      <c r="I1316" s="86">
        <f t="shared" si="1"/>
        <v>0</v>
      </c>
      <c r="J1316" s="86"/>
      <c r="K1316" s="22"/>
    </row>
    <row r="1317" ht="22.5" customHeight="1">
      <c r="A1317" s="83"/>
      <c r="B1317" s="84"/>
      <c r="C1317" s="85"/>
      <c r="D1317" s="85"/>
      <c r="E1317" s="86"/>
      <c r="F1317" s="85"/>
      <c r="G1317" s="86"/>
      <c r="H1317" s="86"/>
      <c r="I1317" s="86">
        <f t="shared" si="1"/>
        <v>0</v>
      </c>
      <c r="J1317" s="86"/>
      <c r="K1317" s="22"/>
    </row>
    <row r="1318" ht="22.5" customHeight="1">
      <c r="A1318" s="83"/>
      <c r="B1318" s="84"/>
      <c r="C1318" s="85"/>
      <c r="D1318" s="85"/>
      <c r="E1318" s="86"/>
      <c r="F1318" s="85"/>
      <c r="G1318" s="86"/>
      <c r="H1318" s="86"/>
      <c r="I1318" s="86">
        <f t="shared" si="1"/>
        <v>0</v>
      </c>
      <c r="J1318" s="86"/>
      <c r="K1318" s="22"/>
    </row>
    <row r="1319" ht="22.5" customHeight="1">
      <c r="A1319" s="83"/>
      <c r="B1319" s="84"/>
      <c r="C1319" s="85"/>
      <c r="D1319" s="85"/>
      <c r="E1319" s="86"/>
      <c r="F1319" s="85"/>
      <c r="G1319" s="86"/>
      <c r="H1319" s="86"/>
      <c r="I1319" s="86">
        <f t="shared" si="1"/>
        <v>0</v>
      </c>
      <c r="J1319" s="86"/>
      <c r="K1319" s="22"/>
    </row>
    <row r="1320" ht="22.5" customHeight="1">
      <c r="A1320" s="83"/>
      <c r="B1320" s="84"/>
      <c r="C1320" s="85"/>
      <c r="D1320" s="85"/>
      <c r="E1320" s="86"/>
      <c r="F1320" s="85"/>
      <c r="G1320" s="86"/>
      <c r="H1320" s="86"/>
      <c r="I1320" s="86">
        <f t="shared" si="1"/>
        <v>0</v>
      </c>
      <c r="J1320" s="86"/>
      <c r="K1320" s="22"/>
    </row>
    <row r="1321" ht="22.5" customHeight="1">
      <c r="A1321" s="83"/>
      <c r="B1321" s="84"/>
      <c r="C1321" s="85"/>
      <c r="D1321" s="85"/>
      <c r="E1321" s="86"/>
      <c r="F1321" s="85"/>
      <c r="G1321" s="86"/>
      <c r="H1321" s="86"/>
      <c r="I1321" s="86">
        <f t="shared" si="1"/>
        <v>0</v>
      </c>
      <c r="J1321" s="86"/>
      <c r="K1321" s="22"/>
    </row>
    <row r="1322" ht="22.5" customHeight="1">
      <c r="A1322" s="83"/>
      <c r="B1322" s="84"/>
      <c r="C1322" s="85"/>
      <c r="D1322" s="85"/>
      <c r="E1322" s="86"/>
      <c r="F1322" s="85"/>
      <c r="G1322" s="86"/>
      <c r="H1322" s="86"/>
      <c r="I1322" s="86">
        <f t="shared" si="1"/>
        <v>0</v>
      </c>
      <c r="J1322" s="86"/>
      <c r="K1322" s="22"/>
    </row>
    <row r="1323" ht="22.5" customHeight="1">
      <c r="A1323" s="83"/>
      <c r="B1323" s="84"/>
      <c r="C1323" s="85"/>
      <c r="D1323" s="85"/>
      <c r="E1323" s="86"/>
      <c r="F1323" s="85"/>
      <c r="G1323" s="86"/>
      <c r="H1323" s="86"/>
      <c r="I1323" s="86">
        <f t="shared" si="1"/>
        <v>0</v>
      </c>
      <c r="J1323" s="86"/>
      <c r="K1323" s="22"/>
    </row>
    <row r="1324" ht="22.5" customHeight="1">
      <c r="A1324" s="83"/>
      <c r="B1324" s="84"/>
      <c r="C1324" s="85"/>
      <c r="D1324" s="85"/>
      <c r="E1324" s="86"/>
      <c r="F1324" s="85"/>
      <c r="G1324" s="86"/>
      <c r="H1324" s="86"/>
      <c r="I1324" s="86">
        <f t="shared" si="1"/>
        <v>0</v>
      </c>
      <c r="J1324" s="86"/>
      <c r="K1324" s="22"/>
    </row>
    <row r="1325" ht="22.5" customHeight="1">
      <c r="A1325" s="83"/>
      <c r="B1325" s="84"/>
      <c r="C1325" s="85"/>
      <c r="D1325" s="85"/>
      <c r="E1325" s="86"/>
      <c r="F1325" s="85"/>
      <c r="G1325" s="86"/>
      <c r="H1325" s="86"/>
      <c r="I1325" s="86">
        <f t="shared" si="1"/>
        <v>0</v>
      </c>
      <c r="J1325" s="86"/>
      <c r="K1325" s="22"/>
    </row>
    <row r="1326" ht="22.5" customHeight="1">
      <c r="A1326" s="83"/>
      <c r="B1326" s="84"/>
      <c r="C1326" s="85"/>
      <c r="D1326" s="85"/>
      <c r="E1326" s="86"/>
      <c r="F1326" s="85"/>
      <c r="G1326" s="86"/>
      <c r="H1326" s="86"/>
      <c r="I1326" s="86">
        <f t="shared" si="1"/>
        <v>0</v>
      </c>
      <c r="J1326" s="86"/>
      <c r="K1326" s="22"/>
    </row>
    <row r="1327" ht="22.5" customHeight="1">
      <c r="A1327" s="83"/>
      <c r="B1327" s="84"/>
      <c r="C1327" s="85"/>
      <c r="D1327" s="85"/>
      <c r="E1327" s="86"/>
      <c r="F1327" s="85"/>
      <c r="G1327" s="86"/>
      <c r="H1327" s="86"/>
      <c r="I1327" s="86">
        <f t="shared" si="1"/>
        <v>0</v>
      </c>
      <c r="J1327" s="86"/>
      <c r="K1327" s="22"/>
    </row>
    <row r="1328" ht="22.5" customHeight="1">
      <c r="A1328" s="83"/>
      <c r="B1328" s="84"/>
      <c r="C1328" s="85"/>
      <c r="D1328" s="85"/>
      <c r="E1328" s="86"/>
      <c r="F1328" s="85"/>
      <c r="G1328" s="86"/>
      <c r="H1328" s="86"/>
      <c r="I1328" s="86">
        <f t="shared" si="1"/>
        <v>0</v>
      </c>
      <c r="J1328" s="86"/>
      <c r="K1328" s="22"/>
    </row>
    <row r="1329" ht="22.5" customHeight="1">
      <c r="A1329" s="83"/>
      <c r="B1329" s="84"/>
      <c r="C1329" s="85"/>
      <c r="D1329" s="85"/>
      <c r="E1329" s="86"/>
      <c r="F1329" s="85"/>
      <c r="G1329" s="86"/>
      <c r="H1329" s="86"/>
      <c r="I1329" s="86">
        <f t="shared" si="1"/>
        <v>0</v>
      </c>
      <c r="J1329" s="86"/>
      <c r="K1329" s="22"/>
    </row>
    <row r="1330" ht="22.5" customHeight="1">
      <c r="A1330" s="83"/>
      <c r="B1330" s="84"/>
      <c r="C1330" s="85"/>
      <c r="D1330" s="85"/>
      <c r="E1330" s="86"/>
      <c r="F1330" s="85"/>
      <c r="G1330" s="86"/>
      <c r="H1330" s="86"/>
      <c r="I1330" s="86">
        <f t="shared" si="1"/>
        <v>0</v>
      </c>
      <c r="J1330" s="86"/>
      <c r="K1330" s="22"/>
    </row>
    <row r="1331" ht="22.5" customHeight="1">
      <c r="A1331" s="83"/>
      <c r="B1331" s="84"/>
      <c r="C1331" s="85"/>
      <c r="D1331" s="85"/>
      <c r="E1331" s="86"/>
      <c r="F1331" s="85"/>
      <c r="G1331" s="86"/>
      <c r="H1331" s="86"/>
      <c r="I1331" s="86">
        <f t="shared" si="1"/>
        <v>0</v>
      </c>
      <c r="J1331" s="86"/>
      <c r="K1331" s="22"/>
    </row>
    <row r="1332" ht="22.5" customHeight="1">
      <c r="A1332" s="83"/>
      <c r="B1332" s="84"/>
      <c r="C1332" s="85"/>
      <c r="D1332" s="85"/>
      <c r="E1332" s="86"/>
      <c r="F1332" s="85"/>
      <c r="G1332" s="86"/>
      <c r="H1332" s="86"/>
      <c r="I1332" s="86">
        <f t="shared" si="1"/>
        <v>0</v>
      </c>
      <c r="J1332" s="86"/>
      <c r="K1332" s="22"/>
    </row>
    <row r="1333" ht="22.5" customHeight="1">
      <c r="A1333" s="83"/>
      <c r="B1333" s="84"/>
      <c r="C1333" s="85"/>
      <c r="D1333" s="85"/>
      <c r="E1333" s="86"/>
      <c r="F1333" s="85"/>
      <c r="G1333" s="86"/>
      <c r="H1333" s="86"/>
      <c r="I1333" s="86">
        <f t="shared" si="1"/>
        <v>0</v>
      </c>
      <c r="J1333" s="86"/>
      <c r="K1333" s="22"/>
    </row>
    <row r="1334" ht="22.5" customHeight="1">
      <c r="A1334" s="83"/>
      <c r="B1334" s="84"/>
      <c r="C1334" s="85"/>
      <c r="D1334" s="85"/>
      <c r="E1334" s="86"/>
      <c r="F1334" s="85"/>
      <c r="G1334" s="86"/>
      <c r="H1334" s="86"/>
      <c r="I1334" s="86">
        <f t="shared" si="1"/>
        <v>0</v>
      </c>
      <c r="J1334" s="86"/>
      <c r="K1334" s="22"/>
    </row>
    <row r="1335" ht="22.5" customHeight="1">
      <c r="A1335" s="83"/>
      <c r="B1335" s="84"/>
      <c r="C1335" s="85"/>
      <c r="D1335" s="85"/>
      <c r="E1335" s="86"/>
      <c r="F1335" s="85"/>
      <c r="G1335" s="86"/>
      <c r="H1335" s="86"/>
      <c r="I1335" s="86">
        <f t="shared" si="1"/>
        <v>0</v>
      </c>
      <c r="J1335" s="86"/>
      <c r="K1335" s="22"/>
    </row>
    <row r="1336" ht="22.5" customHeight="1">
      <c r="A1336" s="83"/>
      <c r="B1336" s="84"/>
      <c r="C1336" s="85"/>
      <c r="D1336" s="85"/>
      <c r="E1336" s="86"/>
      <c r="F1336" s="85"/>
      <c r="G1336" s="86"/>
      <c r="H1336" s="86"/>
      <c r="I1336" s="86">
        <f t="shared" si="1"/>
        <v>0</v>
      </c>
      <c r="J1336" s="86"/>
      <c r="K1336" s="22"/>
    </row>
    <row r="1337" ht="22.5" customHeight="1">
      <c r="A1337" s="83"/>
      <c r="B1337" s="84"/>
      <c r="C1337" s="85"/>
      <c r="D1337" s="85"/>
      <c r="E1337" s="86"/>
      <c r="F1337" s="85"/>
      <c r="G1337" s="86"/>
      <c r="H1337" s="86"/>
      <c r="I1337" s="86">
        <f t="shared" si="1"/>
        <v>0</v>
      </c>
      <c r="J1337" s="86"/>
      <c r="K1337" s="22"/>
    </row>
    <row r="1338" ht="22.5" customHeight="1">
      <c r="A1338" s="83"/>
      <c r="B1338" s="84"/>
      <c r="C1338" s="85"/>
      <c r="D1338" s="85"/>
      <c r="E1338" s="86"/>
      <c r="F1338" s="85"/>
      <c r="G1338" s="86"/>
      <c r="H1338" s="86"/>
      <c r="I1338" s="86">
        <f t="shared" si="1"/>
        <v>0</v>
      </c>
      <c r="J1338" s="86"/>
      <c r="K1338" s="22"/>
    </row>
    <row r="1339" ht="22.5" customHeight="1">
      <c r="A1339" s="83"/>
      <c r="B1339" s="84"/>
      <c r="C1339" s="85"/>
      <c r="D1339" s="85"/>
      <c r="E1339" s="86"/>
      <c r="F1339" s="85"/>
      <c r="G1339" s="86"/>
      <c r="H1339" s="86"/>
      <c r="I1339" s="86">
        <f t="shared" si="1"/>
        <v>0</v>
      </c>
      <c r="J1339" s="86"/>
      <c r="K1339" s="22"/>
    </row>
    <row r="1340" ht="22.5" customHeight="1">
      <c r="A1340" s="83"/>
      <c r="B1340" s="84"/>
      <c r="C1340" s="85"/>
      <c r="D1340" s="85"/>
      <c r="E1340" s="86"/>
      <c r="F1340" s="85"/>
      <c r="G1340" s="86"/>
      <c r="H1340" s="86"/>
      <c r="I1340" s="86">
        <f t="shared" si="1"/>
        <v>0</v>
      </c>
      <c r="J1340" s="86"/>
      <c r="K1340" s="22"/>
    </row>
    <row r="1341" ht="22.5" customHeight="1">
      <c r="A1341" s="83"/>
      <c r="B1341" s="84"/>
      <c r="C1341" s="85"/>
      <c r="D1341" s="85"/>
      <c r="E1341" s="86"/>
      <c r="F1341" s="85"/>
      <c r="G1341" s="86"/>
      <c r="H1341" s="86"/>
      <c r="I1341" s="86">
        <f t="shared" si="1"/>
        <v>0</v>
      </c>
      <c r="J1341" s="86"/>
      <c r="K1341" s="22"/>
    </row>
    <row r="1342" ht="22.5" customHeight="1">
      <c r="A1342" s="83"/>
      <c r="B1342" s="84"/>
      <c r="C1342" s="85"/>
      <c r="D1342" s="85"/>
      <c r="E1342" s="86"/>
      <c r="F1342" s="85"/>
      <c r="G1342" s="86"/>
      <c r="H1342" s="86"/>
      <c r="I1342" s="86">
        <f t="shared" si="1"/>
        <v>0</v>
      </c>
      <c r="J1342" s="86"/>
      <c r="K1342" s="22"/>
    </row>
    <row r="1343" ht="22.5" customHeight="1">
      <c r="A1343" s="83"/>
      <c r="B1343" s="84"/>
      <c r="C1343" s="85"/>
      <c r="D1343" s="85"/>
      <c r="E1343" s="86"/>
      <c r="F1343" s="85"/>
      <c r="G1343" s="86"/>
      <c r="H1343" s="86"/>
      <c r="I1343" s="86">
        <f t="shared" si="1"/>
        <v>0</v>
      </c>
      <c r="J1343" s="86"/>
      <c r="K1343" s="22"/>
    </row>
    <row r="1344" ht="22.5" customHeight="1">
      <c r="A1344" s="83"/>
      <c r="B1344" s="84"/>
      <c r="C1344" s="85"/>
      <c r="D1344" s="85"/>
      <c r="E1344" s="86"/>
      <c r="F1344" s="85"/>
      <c r="G1344" s="86"/>
      <c r="H1344" s="86"/>
      <c r="I1344" s="86">
        <f t="shared" si="1"/>
        <v>0</v>
      </c>
      <c r="J1344" s="86"/>
      <c r="K1344" s="22"/>
    </row>
    <row r="1345" ht="22.5" customHeight="1">
      <c r="A1345" s="83"/>
      <c r="B1345" s="84"/>
      <c r="C1345" s="85"/>
      <c r="D1345" s="85"/>
      <c r="E1345" s="86"/>
      <c r="F1345" s="85"/>
      <c r="G1345" s="86"/>
      <c r="H1345" s="86"/>
      <c r="I1345" s="86">
        <f t="shared" si="1"/>
        <v>0</v>
      </c>
      <c r="J1345" s="86"/>
      <c r="K1345" s="22"/>
    </row>
    <row r="1346" ht="22.5" customHeight="1">
      <c r="A1346" s="83"/>
      <c r="B1346" s="84"/>
      <c r="C1346" s="85"/>
      <c r="D1346" s="85"/>
      <c r="E1346" s="86"/>
      <c r="F1346" s="85"/>
      <c r="G1346" s="86"/>
      <c r="H1346" s="86"/>
      <c r="I1346" s="86">
        <f t="shared" si="1"/>
        <v>0</v>
      </c>
      <c r="J1346" s="86"/>
      <c r="K1346" s="22"/>
    </row>
    <row r="1347" ht="22.5" customHeight="1">
      <c r="A1347" s="83"/>
      <c r="B1347" s="84"/>
      <c r="C1347" s="85"/>
      <c r="D1347" s="85"/>
      <c r="E1347" s="86"/>
      <c r="F1347" s="85"/>
      <c r="G1347" s="86"/>
      <c r="H1347" s="86"/>
      <c r="I1347" s="86">
        <f t="shared" si="1"/>
        <v>0</v>
      </c>
      <c r="J1347" s="86"/>
      <c r="K1347" s="22"/>
    </row>
    <row r="1348" ht="22.5" customHeight="1">
      <c r="A1348" s="83"/>
      <c r="B1348" s="84"/>
      <c r="C1348" s="85"/>
      <c r="D1348" s="85"/>
      <c r="E1348" s="86"/>
      <c r="F1348" s="85"/>
      <c r="G1348" s="86"/>
      <c r="H1348" s="86"/>
      <c r="I1348" s="86">
        <f t="shared" si="1"/>
        <v>0</v>
      </c>
      <c r="J1348" s="86"/>
      <c r="K1348" s="22"/>
    </row>
    <row r="1349" ht="22.5" customHeight="1">
      <c r="A1349" s="83"/>
      <c r="B1349" s="84"/>
      <c r="C1349" s="85"/>
      <c r="D1349" s="85"/>
      <c r="E1349" s="86"/>
      <c r="F1349" s="85"/>
      <c r="G1349" s="86"/>
      <c r="H1349" s="86"/>
      <c r="I1349" s="86">
        <f t="shared" si="1"/>
        <v>0</v>
      </c>
      <c r="J1349" s="86"/>
      <c r="K1349" s="22"/>
    </row>
    <row r="1350" ht="22.5" customHeight="1">
      <c r="A1350" s="83"/>
      <c r="B1350" s="84"/>
      <c r="C1350" s="85"/>
      <c r="D1350" s="85"/>
      <c r="E1350" s="86"/>
      <c r="F1350" s="85"/>
      <c r="G1350" s="86"/>
      <c r="H1350" s="86"/>
      <c r="I1350" s="86">
        <f t="shared" si="1"/>
        <v>0</v>
      </c>
      <c r="J1350" s="86"/>
      <c r="K1350" s="22"/>
    </row>
    <row r="1351" ht="22.5" customHeight="1">
      <c r="A1351" s="83"/>
      <c r="B1351" s="84"/>
      <c r="C1351" s="85"/>
      <c r="D1351" s="85"/>
      <c r="E1351" s="86"/>
      <c r="F1351" s="85"/>
      <c r="G1351" s="86"/>
      <c r="H1351" s="86"/>
      <c r="I1351" s="86">
        <f t="shared" si="1"/>
        <v>0</v>
      </c>
      <c r="J1351" s="86"/>
      <c r="K1351" s="22"/>
    </row>
    <row r="1352" ht="22.5" customHeight="1">
      <c r="A1352" s="83"/>
      <c r="B1352" s="84"/>
      <c r="C1352" s="85"/>
      <c r="D1352" s="85"/>
      <c r="E1352" s="86"/>
      <c r="F1352" s="85"/>
      <c r="G1352" s="86"/>
      <c r="H1352" s="86"/>
      <c r="I1352" s="86">
        <f t="shared" si="1"/>
        <v>0</v>
      </c>
      <c r="J1352" s="86"/>
      <c r="K1352" s="22"/>
    </row>
    <row r="1353" ht="22.5" customHeight="1">
      <c r="A1353" s="83"/>
      <c r="B1353" s="84"/>
      <c r="C1353" s="85"/>
      <c r="D1353" s="85"/>
      <c r="E1353" s="86"/>
      <c r="F1353" s="85"/>
      <c r="G1353" s="86"/>
      <c r="H1353" s="86"/>
      <c r="I1353" s="86">
        <f t="shared" si="1"/>
        <v>0</v>
      </c>
      <c r="J1353" s="86"/>
      <c r="K1353" s="22"/>
    </row>
    <row r="1354" ht="22.5" customHeight="1">
      <c r="A1354" s="83"/>
      <c r="B1354" s="84"/>
      <c r="C1354" s="85"/>
      <c r="D1354" s="85"/>
      <c r="E1354" s="86"/>
      <c r="F1354" s="85"/>
      <c r="G1354" s="86"/>
      <c r="H1354" s="86"/>
      <c r="I1354" s="86">
        <f t="shared" si="1"/>
        <v>0</v>
      </c>
      <c r="J1354" s="86"/>
      <c r="K1354" s="22"/>
    </row>
    <row r="1355" ht="22.5" customHeight="1">
      <c r="A1355" s="83"/>
      <c r="B1355" s="84"/>
      <c r="C1355" s="85"/>
      <c r="D1355" s="85"/>
      <c r="E1355" s="86"/>
      <c r="F1355" s="85"/>
      <c r="G1355" s="86"/>
      <c r="H1355" s="86"/>
      <c r="I1355" s="86">
        <f t="shared" si="1"/>
        <v>0</v>
      </c>
      <c r="J1355" s="86"/>
      <c r="K1355" s="22"/>
    </row>
    <row r="1356" ht="22.5" customHeight="1">
      <c r="A1356" s="83"/>
      <c r="B1356" s="84"/>
      <c r="C1356" s="85"/>
      <c r="D1356" s="85"/>
      <c r="E1356" s="86"/>
      <c r="F1356" s="85"/>
      <c r="G1356" s="86"/>
      <c r="H1356" s="86"/>
      <c r="I1356" s="86">
        <f t="shared" si="1"/>
        <v>0</v>
      </c>
      <c r="J1356" s="86"/>
      <c r="K1356" s="22"/>
    </row>
    <row r="1357" ht="22.5" customHeight="1">
      <c r="A1357" s="83"/>
      <c r="B1357" s="84"/>
      <c r="C1357" s="85"/>
      <c r="D1357" s="85"/>
      <c r="E1357" s="86"/>
      <c r="F1357" s="85"/>
      <c r="G1357" s="86"/>
      <c r="H1357" s="86"/>
      <c r="I1357" s="86">
        <f t="shared" si="1"/>
        <v>0</v>
      </c>
      <c r="J1357" s="86"/>
      <c r="K1357" s="22"/>
    </row>
    <row r="1358" ht="22.5" customHeight="1">
      <c r="A1358" s="83"/>
      <c r="B1358" s="84"/>
      <c r="C1358" s="85"/>
      <c r="D1358" s="85"/>
      <c r="E1358" s="86"/>
      <c r="F1358" s="85"/>
      <c r="G1358" s="86"/>
      <c r="H1358" s="86"/>
      <c r="I1358" s="86">
        <f t="shared" si="1"/>
        <v>0</v>
      </c>
      <c r="J1358" s="86"/>
      <c r="K1358" s="22"/>
    </row>
    <row r="1359" ht="22.5" customHeight="1">
      <c r="A1359" s="83"/>
      <c r="B1359" s="84"/>
      <c r="C1359" s="85"/>
      <c r="D1359" s="85"/>
      <c r="E1359" s="86"/>
      <c r="F1359" s="85"/>
      <c r="G1359" s="86"/>
      <c r="H1359" s="86"/>
      <c r="I1359" s="86">
        <f t="shared" si="1"/>
        <v>0</v>
      </c>
      <c r="J1359" s="86"/>
      <c r="K1359" s="22"/>
    </row>
    <row r="1360" ht="22.5" customHeight="1">
      <c r="A1360" s="83"/>
      <c r="B1360" s="84"/>
      <c r="C1360" s="85"/>
      <c r="D1360" s="85"/>
      <c r="E1360" s="86"/>
      <c r="F1360" s="85"/>
      <c r="G1360" s="86"/>
      <c r="H1360" s="86"/>
      <c r="I1360" s="86">
        <f t="shared" si="1"/>
        <v>0</v>
      </c>
      <c r="J1360" s="86"/>
      <c r="K1360" s="22"/>
    </row>
    <row r="1361" ht="22.5" customHeight="1">
      <c r="A1361" s="83"/>
      <c r="B1361" s="84"/>
      <c r="C1361" s="85"/>
      <c r="D1361" s="85"/>
      <c r="E1361" s="86"/>
      <c r="F1361" s="85"/>
      <c r="G1361" s="86"/>
      <c r="H1361" s="86"/>
      <c r="I1361" s="86">
        <f t="shared" si="1"/>
        <v>0</v>
      </c>
      <c r="J1361" s="86"/>
      <c r="K1361" s="22"/>
    </row>
    <row r="1362" ht="22.5" customHeight="1">
      <c r="A1362" s="83"/>
      <c r="B1362" s="84"/>
      <c r="C1362" s="85"/>
      <c r="D1362" s="85"/>
      <c r="E1362" s="86"/>
      <c r="F1362" s="85"/>
      <c r="G1362" s="86"/>
      <c r="H1362" s="86"/>
      <c r="I1362" s="86">
        <f t="shared" si="1"/>
        <v>0</v>
      </c>
      <c r="J1362" s="86"/>
      <c r="K1362" s="22"/>
    </row>
    <row r="1363" ht="22.5" customHeight="1">
      <c r="A1363" s="83"/>
      <c r="B1363" s="84"/>
      <c r="C1363" s="85"/>
      <c r="D1363" s="85"/>
      <c r="E1363" s="86"/>
      <c r="F1363" s="85"/>
      <c r="G1363" s="86"/>
      <c r="H1363" s="86"/>
      <c r="I1363" s="86">
        <f t="shared" si="1"/>
        <v>0</v>
      </c>
      <c r="J1363" s="86"/>
      <c r="K1363" s="22"/>
    </row>
    <row r="1364" ht="22.5" customHeight="1">
      <c r="A1364" s="83"/>
      <c r="B1364" s="84"/>
      <c r="C1364" s="85"/>
      <c r="D1364" s="85"/>
      <c r="E1364" s="86"/>
      <c r="F1364" s="85"/>
      <c r="G1364" s="86"/>
      <c r="H1364" s="86"/>
      <c r="I1364" s="86">
        <f t="shared" si="1"/>
        <v>0</v>
      </c>
      <c r="J1364" s="86"/>
      <c r="K1364" s="22"/>
    </row>
    <row r="1365" ht="22.5" customHeight="1">
      <c r="A1365" s="83"/>
      <c r="B1365" s="84"/>
      <c r="C1365" s="85"/>
      <c r="D1365" s="85"/>
      <c r="E1365" s="86"/>
      <c r="F1365" s="85"/>
      <c r="G1365" s="86"/>
      <c r="H1365" s="86"/>
      <c r="I1365" s="86">
        <f t="shared" si="1"/>
        <v>0</v>
      </c>
      <c r="J1365" s="86"/>
      <c r="K1365" s="22"/>
    </row>
    <row r="1366" ht="22.5" customHeight="1">
      <c r="A1366" s="83"/>
      <c r="B1366" s="84"/>
      <c r="C1366" s="85"/>
      <c r="D1366" s="85"/>
      <c r="E1366" s="86"/>
      <c r="F1366" s="85"/>
      <c r="G1366" s="86"/>
      <c r="H1366" s="86"/>
      <c r="I1366" s="86">
        <f t="shared" si="1"/>
        <v>0</v>
      </c>
      <c r="J1366" s="86"/>
      <c r="K1366" s="22"/>
    </row>
    <row r="1367" ht="22.5" customHeight="1">
      <c r="A1367" s="83"/>
      <c r="B1367" s="84"/>
      <c r="C1367" s="85"/>
      <c r="D1367" s="85"/>
      <c r="E1367" s="86"/>
      <c r="F1367" s="85"/>
      <c r="G1367" s="86"/>
      <c r="H1367" s="86"/>
      <c r="I1367" s="86">
        <f t="shared" si="1"/>
        <v>0</v>
      </c>
      <c r="J1367" s="86"/>
      <c r="K1367" s="22"/>
    </row>
    <row r="1368" ht="22.5" customHeight="1">
      <c r="A1368" s="83"/>
      <c r="B1368" s="84"/>
      <c r="C1368" s="85"/>
      <c r="D1368" s="85"/>
      <c r="E1368" s="86"/>
      <c r="F1368" s="85"/>
      <c r="G1368" s="86"/>
      <c r="H1368" s="86"/>
      <c r="I1368" s="86">
        <f t="shared" si="1"/>
        <v>0</v>
      </c>
      <c r="J1368" s="86"/>
      <c r="K1368" s="22"/>
    </row>
    <row r="1369" ht="22.5" customHeight="1">
      <c r="A1369" s="83"/>
      <c r="B1369" s="84"/>
      <c r="C1369" s="85"/>
      <c r="D1369" s="85"/>
      <c r="E1369" s="86"/>
      <c r="F1369" s="85"/>
      <c r="G1369" s="86"/>
      <c r="H1369" s="86"/>
      <c r="I1369" s="86">
        <f t="shared" si="1"/>
        <v>0</v>
      </c>
      <c r="J1369" s="86"/>
      <c r="K1369" s="22"/>
    </row>
    <row r="1370" ht="22.5" customHeight="1">
      <c r="A1370" s="83"/>
      <c r="B1370" s="84"/>
      <c r="C1370" s="85"/>
      <c r="D1370" s="85"/>
      <c r="E1370" s="86"/>
      <c r="F1370" s="85"/>
      <c r="G1370" s="86"/>
      <c r="H1370" s="86"/>
      <c r="I1370" s="86">
        <f t="shared" si="1"/>
        <v>0</v>
      </c>
      <c r="J1370" s="86"/>
      <c r="K1370" s="22"/>
    </row>
    <row r="1371" ht="22.5" customHeight="1">
      <c r="A1371" s="83"/>
      <c r="B1371" s="84"/>
      <c r="C1371" s="85"/>
      <c r="D1371" s="85"/>
      <c r="E1371" s="86"/>
      <c r="F1371" s="85"/>
      <c r="G1371" s="86"/>
      <c r="H1371" s="86"/>
      <c r="I1371" s="86">
        <f t="shared" si="1"/>
        <v>0</v>
      </c>
      <c r="J1371" s="86"/>
      <c r="K1371" s="22"/>
    </row>
    <row r="1372" ht="22.5" customHeight="1">
      <c r="A1372" s="83"/>
      <c r="B1372" s="84"/>
      <c r="C1372" s="85"/>
      <c r="D1372" s="85"/>
      <c r="E1372" s="86"/>
      <c r="F1372" s="85"/>
      <c r="G1372" s="86"/>
      <c r="H1372" s="86"/>
      <c r="I1372" s="86">
        <f t="shared" si="1"/>
        <v>0</v>
      </c>
      <c r="J1372" s="86"/>
      <c r="K1372" s="22"/>
    </row>
    <row r="1373" ht="22.5" customHeight="1">
      <c r="A1373" s="83"/>
      <c r="B1373" s="84"/>
      <c r="C1373" s="85"/>
      <c r="D1373" s="85"/>
      <c r="E1373" s="86"/>
      <c r="F1373" s="85"/>
      <c r="G1373" s="86"/>
      <c r="H1373" s="86"/>
      <c r="I1373" s="86">
        <f t="shared" si="1"/>
        <v>0</v>
      </c>
      <c r="J1373" s="86"/>
      <c r="K1373" s="22"/>
    </row>
    <row r="1374" ht="22.5" customHeight="1">
      <c r="A1374" s="83"/>
      <c r="B1374" s="84"/>
      <c r="C1374" s="85"/>
      <c r="D1374" s="85"/>
      <c r="E1374" s="86"/>
      <c r="F1374" s="85"/>
      <c r="G1374" s="86"/>
      <c r="H1374" s="86"/>
      <c r="I1374" s="86">
        <f t="shared" si="1"/>
        <v>0</v>
      </c>
      <c r="J1374" s="86"/>
      <c r="K1374" s="22"/>
    </row>
    <row r="1375" ht="22.5" customHeight="1">
      <c r="A1375" s="83"/>
      <c r="B1375" s="84"/>
      <c r="C1375" s="85"/>
      <c r="D1375" s="85"/>
      <c r="E1375" s="86"/>
      <c r="F1375" s="85"/>
      <c r="G1375" s="86"/>
      <c r="H1375" s="86"/>
      <c r="I1375" s="86">
        <f t="shared" si="1"/>
        <v>0</v>
      </c>
      <c r="J1375" s="86"/>
      <c r="K1375" s="22"/>
    </row>
    <row r="1376" ht="22.5" customHeight="1">
      <c r="A1376" s="83"/>
      <c r="B1376" s="84"/>
      <c r="C1376" s="85"/>
      <c r="D1376" s="85"/>
      <c r="E1376" s="86"/>
      <c r="F1376" s="85"/>
      <c r="G1376" s="86"/>
      <c r="H1376" s="86"/>
      <c r="I1376" s="86">
        <f t="shared" si="1"/>
        <v>0</v>
      </c>
      <c r="J1376" s="86"/>
      <c r="K1376" s="22"/>
    </row>
    <row r="1377" ht="22.5" customHeight="1">
      <c r="A1377" s="83"/>
      <c r="B1377" s="84"/>
      <c r="C1377" s="85"/>
      <c r="D1377" s="85"/>
      <c r="E1377" s="86"/>
      <c r="F1377" s="85"/>
      <c r="G1377" s="86"/>
      <c r="H1377" s="86"/>
      <c r="I1377" s="86">
        <f t="shared" si="1"/>
        <v>0</v>
      </c>
      <c r="J1377" s="86"/>
      <c r="K1377" s="22"/>
    </row>
    <row r="1378" ht="22.5" customHeight="1">
      <c r="A1378" s="83"/>
      <c r="B1378" s="84"/>
      <c r="C1378" s="85"/>
      <c r="D1378" s="85"/>
      <c r="E1378" s="86"/>
      <c r="F1378" s="85"/>
      <c r="G1378" s="86"/>
      <c r="H1378" s="86"/>
      <c r="I1378" s="86">
        <f t="shared" si="1"/>
        <v>0</v>
      </c>
      <c r="J1378" s="86"/>
      <c r="K1378" s="22"/>
    </row>
    <row r="1379" ht="22.5" customHeight="1">
      <c r="A1379" s="83"/>
      <c r="B1379" s="84"/>
      <c r="C1379" s="85"/>
      <c r="D1379" s="85"/>
      <c r="E1379" s="86"/>
      <c r="F1379" s="85"/>
      <c r="G1379" s="86"/>
      <c r="H1379" s="86"/>
      <c r="I1379" s="86">
        <f t="shared" si="1"/>
        <v>0</v>
      </c>
      <c r="J1379" s="86"/>
      <c r="K1379" s="22"/>
    </row>
    <row r="1380" ht="22.5" customHeight="1">
      <c r="A1380" s="83"/>
      <c r="B1380" s="84"/>
      <c r="C1380" s="85"/>
      <c r="D1380" s="85"/>
      <c r="E1380" s="86"/>
      <c r="F1380" s="85"/>
      <c r="G1380" s="86"/>
      <c r="H1380" s="86"/>
      <c r="I1380" s="86">
        <f t="shared" si="1"/>
        <v>0</v>
      </c>
      <c r="J1380" s="86"/>
      <c r="K1380" s="22"/>
    </row>
    <row r="1381" ht="22.5" customHeight="1">
      <c r="A1381" s="83"/>
      <c r="B1381" s="84"/>
      <c r="C1381" s="85"/>
      <c r="D1381" s="85"/>
      <c r="E1381" s="86"/>
      <c r="F1381" s="85"/>
      <c r="G1381" s="86"/>
      <c r="H1381" s="86"/>
      <c r="I1381" s="86">
        <f t="shared" si="1"/>
        <v>0</v>
      </c>
      <c r="J1381" s="86"/>
      <c r="K1381" s="22"/>
    </row>
    <row r="1382" ht="22.5" customHeight="1">
      <c r="A1382" s="83"/>
      <c r="B1382" s="84"/>
      <c r="C1382" s="85"/>
      <c r="D1382" s="85"/>
      <c r="E1382" s="86"/>
      <c r="F1382" s="85"/>
      <c r="G1382" s="86"/>
      <c r="H1382" s="86"/>
      <c r="I1382" s="86">
        <f t="shared" si="1"/>
        <v>0</v>
      </c>
      <c r="J1382" s="86"/>
      <c r="K1382" s="22"/>
    </row>
    <row r="1383" ht="22.5" customHeight="1">
      <c r="A1383" s="83"/>
      <c r="B1383" s="84"/>
      <c r="C1383" s="85"/>
      <c r="D1383" s="85"/>
      <c r="E1383" s="86"/>
      <c r="F1383" s="85"/>
      <c r="G1383" s="86"/>
      <c r="H1383" s="86"/>
      <c r="I1383" s="86">
        <f t="shared" si="1"/>
        <v>0</v>
      </c>
      <c r="J1383" s="86"/>
      <c r="K1383" s="22"/>
    </row>
    <row r="1384" ht="22.5" customHeight="1">
      <c r="A1384" s="83"/>
      <c r="B1384" s="84"/>
      <c r="C1384" s="85"/>
      <c r="D1384" s="85"/>
      <c r="E1384" s="86"/>
      <c r="F1384" s="85"/>
      <c r="G1384" s="86"/>
      <c r="H1384" s="86"/>
      <c r="I1384" s="86">
        <f t="shared" si="1"/>
        <v>0</v>
      </c>
      <c r="J1384" s="86"/>
      <c r="K1384" s="22"/>
    </row>
    <row r="1385" ht="22.5" customHeight="1">
      <c r="A1385" s="83"/>
      <c r="B1385" s="84"/>
      <c r="C1385" s="85"/>
      <c r="D1385" s="85"/>
      <c r="E1385" s="86"/>
      <c r="F1385" s="85"/>
      <c r="G1385" s="86"/>
      <c r="H1385" s="86"/>
      <c r="I1385" s="86">
        <f t="shared" si="1"/>
        <v>0</v>
      </c>
      <c r="J1385" s="86"/>
      <c r="K1385" s="22"/>
    </row>
    <row r="1386" ht="22.5" customHeight="1">
      <c r="A1386" s="83"/>
      <c r="B1386" s="84"/>
      <c r="C1386" s="85"/>
      <c r="D1386" s="85"/>
      <c r="E1386" s="86"/>
      <c r="F1386" s="85"/>
      <c r="G1386" s="86"/>
      <c r="H1386" s="86"/>
      <c r="I1386" s="86">
        <f t="shared" si="1"/>
        <v>0</v>
      </c>
      <c r="J1386" s="86"/>
      <c r="K1386" s="22"/>
    </row>
    <row r="1387" ht="22.5" customHeight="1">
      <c r="A1387" s="83"/>
      <c r="B1387" s="84"/>
      <c r="C1387" s="85"/>
      <c r="D1387" s="85"/>
      <c r="E1387" s="86"/>
      <c r="F1387" s="85"/>
      <c r="G1387" s="86"/>
      <c r="H1387" s="86"/>
      <c r="I1387" s="86">
        <f t="shared" si="1"/>
        <v>0</v>
      </c>
      <c r="J1387" s="86"/>
      <c r="K1387" s="22"/>
    </row>
    <row r="1388" ht="22.5" customHeight="1">
      <c r="A1388" s="83"/>
      <c r="B1388" s="84"/>
      <c r="C1388" s="85"/>
      <c r="D1388" s="85"/>
      <c r="E1388" s="86"/>
      <c r="F1388" s="85"/>
      <c r="G1388" s="86"/>
      <c r="H1388" s="86"/>
      <c r="I1388" s="86">
        <f t="shared" si="1"/>
        <v>0</v>
      </c>
      <c r="J1388" s="86"/>
      <c r="K1388" s="22"/>
    </row>
    <row r="1389" ht="22.5" customHeight="1">
      <c r="A1389" s="83"/>
      <c r="B1389" s="84"/>
      <c r="C1389" s="85"/>
      <c r="D1389" s="85"/>
      <c r="E1389" s="86"/>
      <c r="F1389" s="85"/>
      <c r="G1389" s="86"/>
      <c r="H1389" s="86"/>
      <c r="I1389" s="86">
        <f t="shared" si="1"/>
        <v>0</v>
      </c>
      <c r="J1389" s="86"/>
      <c r="K1389" s="22"/>
    </row>
    <row r="1390" ht="22.5" customHeight="1">
      <c r="A1390" s="83"/>
      <c r="B1390" s="84"/>
      <c r="C1390" s="85"/>
      <c r="D1390" s="85"/>
      <c r="E1390" s="86"/>
      <c r="F1390" s="85"/>
      <c r="G1390" s="86"/>
      <c r="H1390" s="86"/>
      <c r="I1390" s="86">
        <f t="shared" si="1"/>
        <v>0</v>
      </c>
      <c r="J1390" s="86"/>
      <c r="K1390" s="22"/>
    </row>
    <row r="1391" ht="22.5" customHeight="1">
      <c r="A1391" s="83"/>
      <c r="B1391" s="84"/>
      <c r="C1391" s="85"/>
      <c r="D1391" s="85"/>
      <c r="E1391" s="86"/>
      <c r="F1391" s="85"/>
      <c r="G1391" s="86"/>
      <c r="H1391" s="86"/>
      <c r="I1391" s="86">
        <f t="shared" si="1"/>
        <v>0</v>
      </c>
      <c r="J1391" s="86"/>
      <c r="K1391" s="22"/>
    </row>
    <row r="1392" ht="22.5" customHeight="1">
      <c r="A1392" s="83"/>
      <c r="B1392" s="84"/>
      <c r="C1392" s="85"/>
      <c r="D1392" s="85"/>
      <c r="E1392" s="86"/>
      <c r="F1392" s="85"/>
      <c r="G1392" s="86"/>
      <c r="H1392" s="86"/>
      <c r="I1392" s="86">
        <f t="shared" si="1"/>
        <v>0</v>
      </c>
      <c r="J1392" s="86"/>
      <c r="K1392" s="22"/>
    </row>
    <row r="1393" ht="22.5" customHeight="1">
      <c r="A1393" s="83"/>
      <c r="B1393" s="84"/>
      <c r="C1393" s="85"/>
      <c r="D1393" s="85"/>
      <c r="E1393" s="86"/>
      <c r="F1393" s="85"/>
      <c r="G1393" s="86"/>
      <c r="H1393" s="86"/>
      <c r="I1393" s="86">
        <f t="shared" si="1"/>
        <v>0</v>
      </c>
      <c r="J1393" s="86"/>
      <c r="K1393" s="22"/>
    </row>
    <row r="1394" ht="22.5" customHeight="1">
      <c r="A1394" s="83"/>
      <c r="B1394" s="84"/>
      <c r="C1394" s="85"/>
      <c r="D1394" s="85"/>
      <c r="E1394" s="86"/>
      <c r="F1394" s="85"/>
      <c r="G1394" s="86"/>
      <c r="H1394" s="86"/>
      <c r="I1394" s="86">
        <f t="shared" si="1"/>
        <v>0</v>
      </c>
      <c r="J1394" s="86"/>
      <c r="K1394" s="22"/>
    </row>
    <row r="1395" ht="22.5" customHeight="1">
      <c r="A1395" s="83"/>
      <c r="B1395" s="84"/>
      <c r="C1395" s="85"/>
      <c r="D1395" s="85"/>
      <c r="E1395" s="86"/>
      <c r="F1395" s="85"/>
      <c r="G1395" s="86"/>
      <c r="H1395" s="86"/>
      <c r="I1395" s="86">
        <f t="shared" si="1"/>
        <v>0</v>
      </c>
      <c r="J1395" s="86"/>
      <c r="K1395" s="22"/>
    </row>
    <row r="1396" ht="22.5" customHeight="1">
      <c r="A1396" s="83"/>
      <c r="B1396" s="84"/>
      <c r="C1396" s="85"/>
      <c r="D1396" s="85"/>
      <c r="E1396" s="86"/>
      <c r="F1396" s="85"/>
      <c r="G1396" s="86"/>
      <c r="H1396" s="86"/>
      <c r="I1396" s="86">
        <f t="shared" si="1"/>
        <v>0</v>
      </c>
      <c r="J1396" s="86"/>
      <c r="K1396" s="22"/>
    </row>
    <row r="1397" ht="22.5" customHeight="1">
      <c r="A1397" s="83"/>
      <c r="B1397" s="84"/>
      <c r="C1397" s="85"/>
      <c r="D1397" s="85"/>
      <c r="E1397" s="86"/>
      <c r="F1397" s="85"/>
      <c r="G1397" s="86"/>
      <c r="H1397" s="86"/>
      <c r="I1397" s="86">
        <f t="shared" si="1"/>
        <v>0</v>
      </c>
      <c r="J1397" s="86"/>
      <c r="K1397" s="22"/>
    </row>
    <row r="1398" ht="22.5" customHeight="1">
      <c r="A1398" s="83"/>
      <c r="B1398" s="84"/>
      <c r="C1398" s="85"/>
      <c r="D1398" s="85"/>
      <c r="E1398" s="86"/>
      <c r="F1398" s="85"/>
      <c r="G1398" s="86"/>
      <c r="H1398" s="86"/>
      <c r="I1398" s="86">
        <f t="shared" si="1"/>
        <v>0</v>
      </c>
      <c r="J1398" s="86"/>
      <c r="K1398" s="22"/>
    </row>
    <row r="1399" ht="22.5" customHeight="1">
      <c r="A1399" s="83"/>
      <c r="B1399" s="84"/>
      <c r="C1399" s="85"/>
      <c r="D1399" s="85"/>
      <c r="E1399" s="86"/>
      <c r="F1399" s="85"/>
      <c r="G1399" s="86"/>
      <c r="H1399" s="86"/>
      <c r="I1399" s="86">
        <f t="shared" si="1"/>
        <v>0</v>
      </c>
      <c r="J1399" s="86"/>
      <c r="K1399" s="22"/>
    </row>
    <row r="1400" ht="22.5" customHeight="1">
      <c r="A1400" s="83"/>
      <c r="B1400" s="84"/>
      <c r="C1400" s="85"/>
      <c r="D1400" s="85"/>
      <c r="E1400" s="86"/>
      <c r="F1400" s="85"/>
      <c r="G1400" s="86"/>
      <c r="H1400" s="86"/>
      <c r="I1400" s="86">
        <f t="shared" si="1"/>
        <v>0</v>
      </c>
      <c r="J1400" s="86"/>
      <c r="K1400" s="22"/>
    </row>
    <row r="1401" ht="22.5" customHeight="1">
      <c r="A1401" s="83"/>
      <c r="B1401" s="84"/>
      <c r="C1401" s="85"/>
      <c r="D1401" s="85"/>
      <c r="E1401" s="86"/>
      <c r="F1401" s="85"/>
      <c r="G1401" s="86"/>
      <c r="H1401" s="86"/>
      <c r="I1401" s="86">
        <f t="shared" si="1"/>
        <v>0</v>
      </c>
      <c r="J1401" s="86"/>
      <c r="K1401" s="22"/>
    </row>
    <row r="1402" ht="22.5" customHeight="1">
      <c r="A1402" s="83"/>
      <c r="B1402" s="84"/>
      <c r="C1402" s="85"/>
      <c r="D1402" s="85"/>
      <c r="E1402" s="86"/>
      <c r="F1402" s="85"/>
      <c r="G1402" s="86"/>
      <c r="H1402" s="86"/>
      <c r="I1402" s="86">
        <f t="shared" si="1"/>
        <v>0</v>
      </c>
      <c r="J1402" s="86"/>
      <c r="K1402" s="22"/>
    </row>
    <row r="1403" ht="22.5" customHeight="1">
      <c r="A1403" s="83"/>
      <c r="B1403" s="84"/>
      <c r="C1403" s="85"/>
      <c r="D1403" s="85"/>
      <c r="E1403" s="86"/>
      <c r="F1403" s="85"/>
      <c r="G1403" s="86"/>
      <c r="H1403" s="86"/>
      <c r="I1403" s="86">
        <f t="shared" si="1"/>
        <v>0</v>
      </c>
      <c r="J1403" s="86"/>
      <c r="K1403" s="22"/>
    </row>
    <row r="1404" ht="22.5" customHeight="1">
      <c r="A1404" s="83"/>
      <c r="B1404" s="84"/>
      <c r="C1404" s="85"/>
      <c r="D1404" s="85"/>
      <c r="E1404" s="86"/>
      <c r="F1404" s="85"/>
      <c r="G1404" s="86"/>
      <c r="H1404" s="86"/>
      <c r="I1404" s="86">
        <f t="shared" si="1"/>
        <v>0</v>
      </c>
      <c r="J1404" s="86"/>
      <c r="K1404" s="22"/>
    </row>
    <row r="1405" ht="22.5" customHeight="1">
      <c r="A1405" s="83"/>
      <c r="B1405" s="84"/>
      <c r="C1405" s="85"/>
      <c r="D1405" s="85"/>
      <c r="E1405" s="86"/>
      <c r="F1405" s="85"/>
      <c r="G1405" s="86"/>
      <c r="H1405" s="86"/>
      <c r="I1405" s="86">
        <f t="shared" si="1"/>
        <v>0</v>
      </c>
      <c r="J1405" s="86"/>
      <c r="K1405" s="22"/>
    </row>
    <row r="1406" ht="22.5" customHeight="1">
      <c r="A1406" s="83"/>
      <c r="B1406" s="84"/>
      <c r="C1406" s="85"/>
      <c r="D1406" s="85"/>
      <c r="E1406" s="86"/>
      <c r="F1406" s="85"/>
      <c r="G1406" s="86"/>
      <c r="H1406" s="86"/>
      <c r="I1406" s="86">
        <f t="shared" si="1"/>
        <v>0</v>
      </c>
      <c r="J1406" s="86"/>
      <c r="K1406" s="22"/>
    </row>
    <row r="1407" ht="22.5" customHeight="1">
      <c r="A1407" s="83"/>
      <c r="B1407" s="84"/>
      <c r="C1407" s="85"/>
      <c r="D1407" s="85"/>
      <c r="E1407" s="86"/>
      <c r="F1407" s="85"/>
      <c r="G1407" s="86"/>
      <c r="H1407" s="86"/>
      <c r="I1407" s="86">
        <f t="shared" si="1"/>
        <v>0</v>
      </c>
      <c r="J1407" s="86"/>
      <c r="K1407" s="22"/>
    </row>
    <row r="1408" ht="22.5" customHeight="1">
      <c r="A1408" s="83"/>
      <c r="B1408" s="84"/>
      <c r="C1408" s="85"/>
      <c r="D1408" s="85"/>
      <c r="E1408" s="86"/>
      <c r="F1408" s="85"/>
      <c r="G1408" s="86"/>
      <c r="H1408" s="86"/>
      <c r="I1408" s="86">
        <f t="shared" si="1"/>
        <v>0</v>
      </c>
      <c r="J1408" s="86"/>
      <c r="K1408" s="22"/>
    </row>
    <row r="1409" ht="22.5" customHeight="1">
      <c r="A1409" s="83"/>
      <c r="B1409" s="84"/>
      <c r="C1409" s="85"/>
      <c r="D1409" s="85"/>
      <c r="E1409" s="86"/>
      <c r="F1409" s="85"/>
      <c r="G1409" s="86"/>
      <c r="H1409" s="86"/>
      <c r="I1409" s="86">
        <f t="shared" si="1"/>
        <v>0</v>
      </c>
      <c r="J1409" s="86"/>
      <c r="K1409" s="22"/>
    </row>
    <row r="1410" ht="22.5" customHeight="1">
      <c r="A1410" s="83"/>
      <c r="B1410" s="84"/>
      <c r="C1410" s="85"/>
      <c r="D1410" s="85"/>
      <c r="E1410" s="86"/>
      <c r="F1410" s="85"/>
      <c r="G1410" s="86"/>
      <c r="H1410" s="86"/>
      <c r="I1410" s="86">
        <f t="shared" si="1"/>
        <v>0</v>
      </c>
      <c r="J1410" s="86"/>
      <c r="K1410" s="22"/>
    </row>
    <row r="1411" ht="22.5" customHeight="1">
      <c r="A1411" s="83"/>
      <c r="B1411" s="84"/>
      <c r="C1411" s="85"/>
      <c r="D1411" s="85"/>
      <c r="E1411" s="86"/>
      <c r="F1411" s="85"/>
      <c r="G1411" s="86"/>
      <c r="H1411" s="86"/>
      <c r="I1411" s="86">
        <f t="shared" si="1"/>
        <v>0</v>
      </c>
      <c r="J1411" s="86"/>
      <c r="K1411" s="22"/>
    </row>
    <row r="1412" ht="22.5" customHeight="1">
      <c r="A1412" s="83"/>
      <c r="B1412" s="84"/>
      <c r="C1412" s="85"/>
      <c r="D1412" s="85"/>
      <c r="E1412" s="86"/>
      <c r="F1412" s="85"/>
      <c r="G1412" s="86"/>
      <c r="H1412" s="86"/>
      <c r="I1412" s="86">
        <f t="shared" si="1"/>
        <v>0</v>
      </c>
      <c r="J1412" s="86"/>
      <c r="K1412" s="22"/>
    </row>
    <row r="1413" ht="22.5" customHeight="1">
      <c r="A1413" s="83"/>
      <c r="B1413" s="84"/>
      <c r="C1413" s="85"/>
      <c r="D1413" s="85"/>
      <c r="E1413" s="86"/>
      <c r="F1413" s="85"/>
      <c r="G1413" s="86"/>
      <c r="H1413" s="86"/>
      <c r="I1413" s="86">
        <f t="shared" si="1"/>
        <v>0</v>
      </c>
      <c r="J1413" s="86"/>
      <c r="K1413" s="22"/>
    </row>
    <row r="1414" ht="22.5" customHeight="1">
      <c r="A1414" s="83"/>
      <c r="B1414" s="84"/>
      <c r="C1414" s="85"/>
      <c r="D1414" s="85"/>
      <c r="E1414" s="86"/>
      <c r="F1414" s="85"/>
      <c r="G1414" s="86"/>
      <c r="H1414" s="86"/>
      <c r="I1414" s="86">
        <f t="shared" si="1"/>
        <v>0</v>
      </c>
      <c r="J1414" s="86"/>
      <c r="K1414" s="22"/>
    </row>
    <row r="1415" ht="22.5" customHeight="1">
      <c r="A1415" s="83"/>
      <c r="B1415" s="84"/>
      <c r="C1415" s="85"/>
      <c r="D1415" s="85"/>
      <c r="E1415" s="86"/>
      <c r="F1415" s="85"/>
      <c r="G1415" s="86"/>
      <c r="H1415" s="86"/>
      <c r="I1415" s="86">
        <f t="shared" si="1"/>
        <v>0</v>
      </c>
      <c r="J1415" s="86"/>
      <c r="K1415" s="22"/>
    </row>
    <row r="1416" ht="22.5" customHeight="1">
      <c r="A1416" s="83"/>
      <c r="B1416" s="84"/>
      <c r="C1416" s="85"/>
      <c r="D1416" s="85"/>
      <c r="E1416" s="86"/>
      <c r="F1416" s="85"/>
      <c r="G1416" s="86"/>
      <c r="H1416" s="86"/>
      <c r="I1416" s="86">
        <f t="shared" si="1"/>
        <v>0</v>
      </c>
      <c r="J1416" s="86"/>
      <c r="K1416" s="22"/>
    </row>
    <row r="1417" ht="22.5" customHeight="1">
      <c r="A1417" s="83"/>
      <c r="B1417" s="84"/>
      <c r="C1417" s="85"/>
      <c r="D1417" s="85"/>
      <c r="E1417" s="86"/>
      <c r="F1417" s="85"/>
      <c r="G1417" s="86"/>
      <c r="H1417" s="86"/>
      <c r="I1417" s="86">
        <f t="shared" si="1"/>
        <v>0</v>
      </c>
      <c r="J1417" s="86"/>
      <c r="K1417" s="22"/>
    </row>
    <row r="1418" ht="22.5" customHeight="1">
      <c r="A1418" s="83"/>
      <c r="B1418" s="84"/>
      <c r="C1418" s="85"/>
      <c r="D1418" s="85"/>
      <c r="E1418" s="86"/>
      <c r="F1418" s="85"/>
      <c r="G1418" s="86"/>
      <c r="H1418" s="86"/>
      <c r="I1418" s="86">
        <f t="shared" si="1"/>
        <v>0</v>
      </c>
      <c r="J1418" s="86"/>
      <c r="K1418" s="22"/>
    </row>
    <row r="1419" ht="22.5" customHeight="1">
      <c r="A1419" s="83"/>
      <c r="B1419" s="84"/>
      <c r="C1419" s="85"/>
      <c r="D1419" s="85"/>
      <c r="E1419" s="86"/>
      <c r="F1419" s="85"/>
      <c r="G1419" s="86"/>
      <c r="H1419" s="86"/>
      <c r="I1419" s="86">
        <f t="shared" si="1"/>
        <v>0</v>
      </c>
      <c r="J1419" s="86"/>
      <c r="K1419" s="22"/>
    </row>
    <row r="1420" ht="22.5" customHeight="1">
      <c r="A1420" s="83"/>
      <c r="B1420" s="84"/>
      <c r="C1420" s="85"/>
      <c r="D1420" s="85"/>
      <c r="E1420" s="86"/>
      <c r="F1420" s="85"/>
      <c r="G1420" s="86"/>
      <c r="H1420" s="86"/>
      <c r="I1420" s="86">
        <f t="shared" si="1"/>
        <v>0</v>
      </c>
      <c r="J1420" s="86"/>
      <c r="K1420" s="22"/>
    </row>
    <row r="1421" ht="22.5" customHeight="1">
      <c r="A1421" s="83"/>
      <c r="B1421" s="84"/>
      <c r="C1421" s="85"/>
      <c r="D1421" s="85"/>
      <c r="E1421" s="86"/>
      <c r="F1421" s="85"/>
      <c r="G1421" s="86"/>
      <c r="H1421" s="86"/>
      <c r="I1421" s="86">
        <f t="shared" si="1"/>
        <v>0</v>
      </c>
      <c r="J1421" s="86"/>
      <c r="K1421" s="22"/>
    </row>
    <row r="1422" ht="22.5" customHeight="1">
      <c r="A1422" s="83"/>
      <c r="B1422" s="84"/>
      <c r="C1422" s="85"/>
      <c r="D1422" s="85"/>
      <c r="E1422" s="86"/>
      <c r="F1422" s="85"/>
      <c r="G1422" s="86"/>
      <c r="H1422" s="86"/>
      <c r="I1422" s="86">
        <f t="shared" si="1"/>
        <v>0</v>
      </c>
      <c r="J1422" s="86"/>
      <c r="K1422" s="22"/>
    </row>
    <row r="1423" ht="22.5" customHeight="1">
      <c r="A1423" s="83"/>
      <c r="B1423" s="84"/>
      <c r="C1423" s="85"/>
      <c r="D1423" s="85"/>
      <c r="E1423" s="86"/>
      <c r="F1423" s="85"/>
      <c r="G1423" s="86"/>
      <c r="H1423" s="86"/>
      <c r="I1423" s="86">
        <f t="shared" si="1"/>
        <v>0</v>
      </c>
      <c r="J1423" s="86"/>
      <c r="K1423" s="22"/>
    </row>
    <row r="1424" ht="22.5" customHeight="1">
      <c r="A1424" s="83"/>
      <c r="B1424" s="84"/>
      <c r="C1424" s="85"/>
      <c r="D1424" s="85"/>
      <c r="E1424" s="86"/>
      <c r="F1424" s="85"/>
      <c r="G1424" s="86"/>
      <c r="H1424" s="86"/>
      <c r="I1424" s="86">
        <f t="shared" si="1"/>
        <v>0</v>
      </c>
      <c r="J1424" s="86"/>
      <c r="K1424" s="22"/>
    </row>
    <row r="1425" ht="22.5" customHeight="1">
      <c r="A1425" s="83"/>
      <c r="B1425" s="84"/>
      <c r="C1425" s="85"/>
      <c r="D1425" s="85"/>
      <c r="E1425" s="86"/>
      <c r="F1425" s="85"/>
      <c r="G1425" s="86"/>
      <c r="H1425" s="86"/>
      <c r="I1425" s="86">
        <f t="shared" si="1"/>
        <v>0</v>
      </c>
      <c r="J1425" s="86"/>
      <c r="K1425" s="22"/>
    </row>
    <row r="1426" ht="22.5" customHeight="1">
      <c r="A1426" s="83"/>
      <c r="B1426" s="84"/>
      <c r="C1426" s="85"/>
      <c r="D1426" s="85"/>
      <c r="E1426" s="86"/>
      <c r="F1426" s="85"/>
      <c r="G1426" s="86"/>
      <c r="H1426" s="86"/>
      <c r="I1426" s="86">
        <f t="shared" si="1"/>
        <v>0</v>
      </c>
      <c r="J1426" s="86"/>
      <c r="K1426" s="22"/>
    </row>
    <row r="1427" ht="22.5" customHeight="1">
      <c r="A1427" s="83"/>
      <c r="B1427" s="84"/>
      <c r="C1427" s="85"/>
      <c r="D1427" s="85"/>
      <c r="E1427" s="86"/>
      <c r="F1427" s="85"/>
      <c r="G1427" s="86"/>
      <c r="H1427" s="86"/>
      <c r="I1427" s="86">
        <f t="shared" si="1"/>
        <v>0</v>
      </c>
      <c r="J1427" s="86"/>
      <c r="K1427" s="22"/>
    </row>
    <row r="1428" ht="22.5" customHeight="1">
      <c r="A1428" s="83"/>
      <c r="B1428" s="84"/>
      <c r="C1428" s="85"/>
      <c r="D1428" s="85"/>
      <c r="E1428" s="86"/>
      <c r="F1428" s="85"/>
      <c r="G1428" s="86"/>
      <c r="H1428" s="86"/>
      <c r="I1428" s="86">
        <f t="shared" si="1"/>
        <v>0</v>
      </c>
      <c r="J1428" s="86"/>
      <c r="K1428" s="22"/>
    </row>
    <row r="1429" ht="22.5" customHeight="1">
      <c r="A1429" s="83"/>
      <c r="B1429" s="84"/>
      <c r="C1429" s="85"/>
      <c r="D1429" s="85"/>
      <c r="E1429" s="86"/>
      <c r="F1429" s="85"/>
      <c r="G1429" s="86"/>
      <c r="H1429" s="86"/>
      <c r="I1429" s="86">
        <f t="shared" si="1"/>
        <v>0</v>
      </c>
      <c r="J1429" s="86"/>
      <c r="K1429" s="22"/>
    </row>
    <row r="1430" ht="22.5" customHeight="1">
      <c r="A1430" s="83"/>
      <c r="B1430" s="84"/>
      <c r="C1430" s="85"/>
      <c r="D1430" s="85"/>
      <c r="E1430" s="86"/>
      <c r="F1430" s="85"/>
      <c r="G1430" s="86"/>
      <c r="H1430" s="86"/>
      <c r="I1430" s="86">
        <f t="shared" si="1"/>
        <v>0</v>
      </c>
      <c r="J1430" s="86"/>
      <c r="K1430" s="22"/>
    </row>
    <row r="1431" ht="22.5" customHeight="1">
      <c r="A1431" s="83"/>
      <c r="B1431" s="84"/>
      <c r="C1431" s="85"/>
      <c r="D1431" s="85"/>
      <c r="E1431" s="86"/>
      <c r="F1431" s="85"/>
      <c r="G1431" s="86"/>
      <c r="H1431" s="86"/>
      <c r="I1431" s="86">
        <f t="shared" si="1"/>
        <v>0</v>
      </c>
      <c r="J1431" s="86"/>
      <c r="K1431" s="22"/>
    </row>
    <row r="1432" ht="22.5" customHeight="1">
      <c r="A1432" s="83"/>
      <c r="B1432" s="84"/>
      <c r="C1432" s="85"/>
      <c r="D1432" s="85"/>
      <c r="E1432" s="86"/>
      <c r="F1432" s="85"/>
      <c r="G1432" s="86"/>
      <c r="H1432" s="86"/>
      <c r="I1432" s="86">
        <f t="shared" si="1"/>
        <v>0</v>
      </c>
      <c r="J1432" s="86"/>
      <c r="K1432" s="22"/>
    </row>
    <row r="1433" ht="22.5" customHeight="1">
      <c r="A1433" s="83"/>
      <c r="B1433" s="84"/>
      <c r="C1433" s="85"/>
      <c r="D1433" s="85"/>
      <c r="E1433" s="86"/>
      <c r="F1433" s="85"/>
      <c r="G1433" s="86"/>
      <c r="H1433" s="86"/>
      <c r="I1433" s="86">
        <f t="shared" si="1"/>
        <v>0</v>
      </c>
      <c r="J1433" s="86"/>
      <c r="K1433" s="22"/>
    </row>
    <row r="1434" ht="22.5" customHeight="1">
      <c r="A1434" s="83"/>
      <c r="B1434" s="84"/>
      <c r="C1434" s="85"/>
      <c r="D1434" s="85"/>
      <c r="E1434" s="86"/>
      <c r="F1434" s="85"/>
      <c r="G1434" s="86"/>
      <c r="H1434" s="86"/>
      <c r="I1434" s="86">
        <f t="shared" si="1"/>
        <v>0</v>
      </c>
      <c r="J1434" s="86"/>
      <c r="K1434" s="22"/>
    </row>
    <row r="1435" ht="22.5" customHeight="1">
      <c r="A1435" s="83"/>
      <c r="B1435" s="84"/>
      <c r="C1435" s="85"/>
      <c r="D1435" s="85"/>
      <c r="E1435" s="86"/>
      <c r="F1435" s="85"/>
      <c r="G1435" s="86"/>
      <c r="H1435" s="86"/>
      <c r="I1435" s="86">
        <f t="shared" si="1"/>
        <v>0</v>
      </c>
      <c r="J1435" s="86"/>
      <c r="K1435" s="22"/>
    </row>
    <row r="1436" ht="22.5" customHeight="1">
      <c r="A1436" s="83"/>
      <c r="B1436" s="84"/>
      <c r="C1436" s="85"/>
      <c r="D1436" s="85"/>
      <c r="E1436" s="86"/>
      <c r="F1436" s="85"/>
      <c r="G1436" s="86"/>
      <c r="H1436" s="86"/>
      <c r="I1436" s="86">
        <f t="shared" si="1"/>
        <v>0</v>
      </c>
      <c r="J1436" s="86"/>
      <c r="K1436" s="22"/>
    </row>
    <row r="1437" ht="22.5" customHeight="1">
      <c r="A1437" s="83"/>
      <c r="B1437" s="84"/>
      <c r="C1437" s="85"/>
      <c r="D1437" s="85"/>
      <c r="E1437" s="86"/>
      <c r="F1437" s="85"/>
      <c r="G1437" s="86"/>
      <c r="H1437" s="86"/>
      <c r="I1437" s="86">
        <f t="shared" si="1"/>
        <v>0</v>
      </c>
      <c r="J1437" s="86"/>
      <c r="K1437" s="22"/>
    </row>
    <row r="1438" ht="22.5" customHeight="1">
      <c r="A1438" s="83"/>
      <c r="B1438" s="84"/>
      <c r="C1438" s="85"/>
      <c r="D1438" s="85"/>
      <c r="E1438" s="86"/>
      <c r="F1438" s="85"/>
      <c r="G1438" s="86"/>
      <c r="H1438" s="86"/>
      <c r="I1438" s="86">
        <f t="shared" si="1"/>
        <v>0</v>
      </c>
      <c r="J1438" s="86"/>
      <c r="K1438" s="22"/>
    </row>
    <row r="1439" ht="22.5" customHeight="1">
      <c r="A1439" s="83"/>
      <c r="B1439" s="84"/>
      <c r="C1439" s="85"/>
      <c r="D1439" s="85"/>
      <c r="E1439" s="86"/>
      <c r="F1439" s="85"/>
      <c r="G1439" s="86"/>
      <c r="H1439" s="86"/>
      <c r="I1439" s="86">
        <f t="shared" si="1"/>
        <v>0</v>
      </c>
      <c r="J1439" s="86"/>
      <c r="K1439" s="22"/>
    </row>
    <row r="1440" ht="22.5" customHeight="1">
      <c r="A1440" s="83"/>
      <c r="B1440" s="84"/>
      <c r="C1440" s="85"/>
      <c r="D1440" s="85"/>
      <c r="E1440" s="86"/>
      <c r="F1440" s="85"/>
      <c r="G1440" s="86"/>
      <c r="H1440" s="86"/>
      <c r="I1440" s="86">
        <f t="shared" si="1"/>
        <v>0</v>
      </c>
      <c r="J1440" s="86"/>
      <c r="K1440" s="22"/>
    </row>
    <row r="1441" ht="22.5" customHeight="1">
      <c r="A1441" s="83"/>
      <c r="B1441" s="84"/>
      <c r="C1441" s="85"/>
      <c r="D1441" s="85"/>
      <c r="E1441" s="86"/>
      <c r="F1441" s="85"/>
      <c r="G1441" s="86"/>
      <c r="H1441" s="86"/>
      <c r="I1441" s="86">
        <f t="shared" si="1"/>
        <v>0</v>
      </c>
      <c r="J1441" s="86"/>
      <c r="K1441" s="22"/>
    </row>
    <row r="1442" ht="22.5" customHeight="1">
      <c r="A1442" s="83"/>
      <c r="B1442" s="84"/>
      <c r="C1442" s="85"/>
      <c r="D1442" s="85"/>
      <c r="E1442" s="86"/>
      <c r="F1442" s="85"/>
      <c r="G1442" s="86"/>
      <c r="H1442" s="86"/>
      <c r="I1442" s="86">
        <f t="shared" si="1"/>
        <v>0</v>
      </c>
      <c r="J1442" s="86"/>
      <c r="K1442" s="22"/>
    </row>
    <row r="1443" ht="22.5" customHeight="1">
      <c r="A1443" s="83"/>
      <c r="B1443" s="84"/>
      <c r="C1443" s="85"/>
      <c r="D1443" s="85"/>
      <c r="E1443" s="86"/>
      <c r="F1443" s="85"/>
      <c r="G1443" s="86"/>
      <c r="H1443" s="86"/>
      <c r="I1443" s="86">
        <f t="shared" si="1"/>
        <v>0</v>
      </c>
      <c r="J1443" s="86"/>
      <c r="K1443" s="22"/>
    </row>
    <row r="1444" ht="22.5" customHeight="1">
      <c r="A1444" s="83"/>
      <c r="B1444" s="84"/>
      <c r="C1444" s="85"/>
      <c r="D1444" s="85"/>
      <c r="E1444" s="86"/>
      <c r="F1444" s="85"/>
      <c r="G1444" s="86"/>
      <c r="H1444" s="86"/>
      <c r="I1444" s="86">
        <f t="shared" si="1"/>
        <v>0</v>
      </c>
      <c r="J1444" s="86"/>
      <c r="K1444" s="22"/>
    </row>
    <row r="1445" ht="22.5" customHeight="1">
      <c r="A1445" s="83"/>
      <c r="B1445" s="84"/>
      <c r="C1445" s="85"/>
      <c r="D1445" s="85"/>
      <c r="E1445" s="86"/>
      <c r="F1445" s="85"/>
      <c r="G1445" s="86"/>
      <c r="H1445" s="86"/>
      <c r="I1445" s="86">
        <f t="shared" si="1"/>
        <v>0</v>
      </c>
      <c r="J1445" s="86"/>
      <c r="K1445" s="22"/>
    </row>
    <row r="1446" ht="22.5" customHeight="1">
      <c r="A1446" s="83"/>
      <c r="B1446" s="84"/>
      <c r="C1446" s="85"/>
      <c r="D1446" s="85"/>
      <c r="E1446" s="86"/>
      <c r="F1446" s="85"/>
      <c r="G1446" s="86"/>
      <c r="H1446" s="86"/>
      <c r="I1446" s="86">
        <f t="shared" si="1"/>
        <v>0</v>
      </c>
      <c r="J1446" s="86"/>
      <c r="K1446" s="22"/>
    </row>
    <row r="1447" ht="22.5" customHeight="1">
      <c r="A1447" s="83"/>
      <c r="B1447" s="84"/>
      <c r="C1447" s="85"/>
      <c r="D1447" s="85"/>
      <c r="E1447" s="86"/>
      <c r="F1447" s="85"/>
      <c r="G1447" s="86"/>
      <c r="H1447" s="86"/>
      <c r="I1447" s="86">
        <f t="shared" si="1"/>
        <v>0</v>
      </c>
      <c r="J1447" s="86"/>
      <c r="K1447" s="22"/>
    </row>
    <row r="1448" ht="22.5" customHeight="1">
      <c r="A1448" s="83"/>
      <c r="B1448" s="84"/>
      <c r="C1448" s="85"/>
      <c r="D1448" s="85"/>
      <c r="E1448" s="86"/>
      <c r="F1448" s="85"/>
      <c r="G1448" s="86"/>
      <c r="H1448" s="86"/>
      <c r="I1448" s="86">
        <f t="shared" si="1"/>
        <v>0</v>
      </c>
      <c r="J1448" s="86"/>
      <c r="K1448" s="22"/>
    </row>
    <row r="1449" ht="22.5" customHeight="1">
      <c r="A1449" s="83"/>
      <c r="B1449" s="84"/>
      <c r="C1449" s="85"/>
      <c r="D1449" s="85"/>
      <c r="E1449" s="86"/>
      <c r="F1449" s="85"/>
      <c r="G1449" s="86"/>
      <c r="H1449" s="86"/>
      <c r="I1449" s="86">
        <f t="shared" si="1"/>
        <v>0</v>
      </c>
      <c r="J1449" s="86"/>
      <c r="K1449" s="22"/>
    </row>
    <row r="1450" ht="22.5" customHeight="1">
      <c r="A1450" s="83"/>
      <c r="B1450" s="84"/>
      <c r="C1450" s="85"/>
      <c r="D1450" s="85"/>
      <c r="E1450" s="86"/>
      <c r="F1450" s="85"/>
      <c r="G1450" s="86"/>
      <c r="H1450" s="86"/>
      <c r="I1450" s="86">
        <f t="shared" si="1"/>
        <v>0</v>
      </c>
      <c r="J1450" s="86"/>
      <c r="K1450" s="22"/>
    </row>
    <row r="1451" ht="22.5" customHeight="1">
      <c r="A1451" s="83"/>
      <c r="B1451" s="84"/>
      <c r="C1451" s="85"/>
      <c r="D1451" s="85"/>
      <c r="E1451" s="86"/>
      <c r="F1451" s="85"/>
      <c r="G1451" s="86"/>
      <c r="H1451" s="86"/>
      <c r="I1451" s="86">
        <f t="shared" si="1"/>
        <v>0</v>
      </c>
      <c r="J1451" s="86"/>
      <c r="K1451" s="22"/>
    </row>
    <row r="1452" ht="22.5" customHeight="1">
      <c r="A1452" s="83"/>
      <c r="B1452" s="84"/>
      <c r="C1452" s="85"/>
      <c r="D1452" s="85"/>
      <c r="E1452" s="86"/>
      <c r="F1452" s="85"/>
      <c r="G1452" s="86"/>
      <c r="H1452" s="86"/>
      <c r="I1452" s="86">
        <f t="shared" si="1"/>
        <v>0</v>
      </c>
      <c r="J1452" s="86"/>
      <c r="K1452" s="22"/>
    </row>
    <row r="1453" ht="22.5" customHeight="1">
      <c r="A1453" s="83"/>
      <c r="B1453" s="84"/>
      <c r="C1453" s="85"/>
      <c r="D1453" s="85"/>
      <c r="E1453" s="86"/>
      <c r="F1453" s="85"/>
      <c r="G1453" s="86"/>
      <c r="H1453" s="86"/>
      <c r="I1453" s="86">
        <f t="shared" si="1"/>
        <v>0</v>
      </c>
      <c r="J1453" s="86"/>
      <c r="K1453" s="22"/>
    </row>
    <row r="1454" ht="22.5" customHeight="1">
      <c r="A1454" s="83"/>
      <c r="B1454" s="84"/>
      <c r="C1454" s="85"/>
      <c r="D1454" s="85"/>
      <c r="E1454" s="86"/>
      <c r="F1454" s="85"/>
      <c r="G1454" s="86"/>
      <c r="H1454" s="86"/>
      <c r="I1454" s="86">
        <f t="shared" si="1"/>
        <v>0</v>
      </c>
      <c r="J1454" s="86"/>
      <c r="K1454" s="22"/>
    </row>
    <row r="1455" ht="22.5" customHeight="1">
      <c r="A1455" s="83"/>
      <c r="B1455" s="84"/>
      <c r="C1455" s="85"/>
      <c r="D1455" s="85"/>
      <c r="E1455" s="86"/>
      <c r="F1455" s="85"/>
      <c r="G1455" s="86"/>
      <c r="H1455" s="86"/>
      <c r="I1455" s="86">
        <f t="shared" si="1"/>
        <v>0</v>
      </c>
      <c r="J1455" s="86"/>
      <c r="K1455" s="22"/>
    </row>
    <row r="1456" ht="22.5" customHeight="1">
      <c r="A1456" s="83"/>
      <c r="B1456" s="84"/>
      <c r="C1456" s="85"/>
      <c r="D1456" s="85"/>
      <c r="E1456" s="86"/>
      <c r="F1456" s="85"/>
      <c r="G1456" s="86"/>
      <c r="H1456" s="86"/>
      <c r="I1456" s="86">
        <f t="shared" si="1"/>
        <v>0</v>
      </c>
      <c r="J1456" s="86"/>
      <c r="K1456" s="22"/>
    </row>
    <row r="1457" ht="22.5" customHeight="1">
      <c r="A1457" s="83"/>
      <c r="B1457" s="84"/>
      <c r="C1457" s="85"/>
      <c r="D1457" s="85"/>
      <c r="E1457" s="86"/>
      <c r="F1457" s="85"/>
      <c r="G1457" s="86"/>
      <c r="H1457" s="86"/>
      <c r="I1457" s="86">
        <f t="shared" si="1"/>
        <v>0</v>
      </c>
      <c r="J1457" s="86"/>
      <c r="K1457" s="22"/>
    </row>
    <row r="1458" ht="22.5" customHeight="1">
      <c r="A1458" s="83"/>
      <c r="B1458" s="84"/>
      <c r="C1458" s="85"/>
      <c r="D1458" s="85"/>
      <c r="E1458" s="86"/>
      <c r="F1458" s="85"/>
      <c r="G1458" s="86"/>
      <c r="H1458" s="86"/>
      <c r="I1458" s="86">
        <f t="shared" si="1"/>
        <v>0</v>
      </c>
      <c r="J1458" s="86"/>
      <c r="K1458" s="22"/>
    </row>
    <row r="1459" ht="22.5" customHeight="1">
      <c r="A1459" s="83"/>
      <c r="B1459" s="84"/>
      <c r="C1459" s="85"/>
      <c r="D1459" s="85"/>
      <c r="E1459" s="86"/>
      <c r="F1459" s="85"/>
      <c r="G1459" s="86"/>
      <c r="H1459" s="86"/>
      <c r="I1459" s="86">
        <f t="shared" si="1"/>
        <v>0</v>
      </c>
      <c r="J1459" s="86"/>
      <c r="K1459" s="22"/>
    </row>
    <row r="1460" ht="22.5" customHeight="1">
      <c r="A1460" s="83"/>
      <c r="B1460" s="84"/>
      <c r="C1460" s="85"/>
      <c r="D1460" s="85"/>
      <c r="E1460" s="86"/>
      <c r="F1460" s="85"/>
      <c r="G1460" s="86"/>
      <c r="H1460" s="86"/>
      <c r="I1460" s="86">
        <f t="shared" si="1"/>
        <v>0</v>
      </c>
      <c r="J1460" s="86"/>
      <c r="K1460" s="22"/>
    </row>
    <row r="1461" ht="22.5" customHeight="1">
      <c r="A1461" s="83"/>
      <c r="B1461" s="84"/>
      <c r="C1461" s="85"/>
      <c r="D1461" s="85"/>
      <c r="E1461" s="86"/>
      <c r="F1461" s="85"/>
      <c r="G1461" s="86"/>
      <c r="H1461" s="86"/>
      <c r="I1461" s="86">
        <f t="shared" si="1"/>
        <v>0</v>
      </c>
      <c r="J1461" s="86"/>
      <c r="K1461" s="22"/>
    </row>
    <row r="1462" ht="22.5" customHeight="1">
      <c r="A1462" s="83"/>
      <c r="B1462" s="84"/>
      <c r="C1462" s="85"/>
      <c r="D1462" s="85"/>
      <c r="E1462" s="86"/>
      <c r="F1462" s="85"/>
      <c r="G1462" s="86"/>
      <c r="H1462" s="86"/>
      <c r="I1462" s="86">
        <f t="shared" si="1"/>
        <v>0</v>
      </c>
      <c r="J1462" s="86"/>
      <c r="K1462" s="22"/>
    </row>
    <row r="1463" ht="22.5" customHeight="1">
      <c r="A1463" s="83"/>
      <c r="B1463" s="84"/>
      <c r="C1463" s="85"/>
      <c r="D1463" s="85"/>
      <c r="E1463" s="86"/>
      <c r="F1463" s="85"/>
      <c r="G1463" s="86"/>
      <c r="H1463" s="86"/>
      <c r="I1463" s="86">
        <f t="shared" si="1"/>
        <v>0</v>
      </c>
      <c r="J1463" s="86"/>
      <c r="K1463" s="22"/>
    </row>
    <row r="1464" ht="22.5" customHeight="1">
      <c r="A1464" s="83"/>
      <c r="B1464" s="84"/>
      <c r="C1464" s="85"/>
      <c r="D1464" s="85"/>
      <c r="E1464" s="86"/>
      <c r="F1464" s="85"/>
      <c r="G1464" s="86"/>
      <c r="H1464" s="86"/>
      <c r="I1464" s="86">
        <f t="shared" si="1"/>
        <v>0</v>
      </c>
      <c r="J1464" s="86"/>
      <c r="K1464" s="22"/>
    </row>
    <row r="1465" ht="22.5" customHeight="1">
      <c r="A1465" s="83"/>
      <c r="B1465" s="84"/>
      <c r="C1465" s="85"/>
      <c r="D1465" s="85"/>
      <c r="E1465" s="86"/>
      <c r="F1465" s="85"/>
      <c r="G1465" s="86"/>
      <c r="H1465" s="86"/>
      <c r="I1465" s="86">
        <f t="shared" si="1"/>
        <v>0</v>
      </c>
      <c r="J1465" s="86"/>
      <c r="K1465" s="22"/>
    </row>
    <row r="1466" ht="22.5" customHeight="1">
      <c r="A1466" s="83"/>
      <c r="B1466" s="84"/>
      <c r="C1466" s="85"/>
      <c r="D1466" s="85"/>
      <c r="E1466" s="86"/>
      <c r="F1466" s="85"/>
      <c r="G1466" s="86"/>
      <c r="H1466" s="86"/>
      <c r="I1466" s="86">
        <f t="shared" si="1"/>
        <v>0</v>
      </c>
      <c r="J1466" s="86"/>
      <c r="K1466" s="22"/>
    </row>
    <row r="1467" ht="22.5" customHeight="1">
      <c r="A1467" s="83"/>
      <c r="B1467" s="84"/>
      <c r="C1467" s="85"/>
      <c r="D1467" s="85"/>
      <c r="E1467" s="86"/>
      <c r="F1467" s="85"/>
      <c r="G1467" s="86"/>
      <c r="H1467" s="86"/>
      <c r="I1467" s="86">
        <f t="shared" si="1"/>
        <v>0</v>
      </c>
      <c r="J1467" s="86"/>
      <c r="K1467" s="22"/>
    </row>
    <row r="1468" ht="22.5" customHeight="1">
      <c r="A1468" s="83"/>
      <c r="B1468" s="84"/>
      <c r="C1468" s="85"/>
      <c r="D1468" s="85"/>
      <c r="E1468" s="86"/>
      <c r="F1468" s="85"/>
      <c r="G1468" s="86"/>
      <c r="H1468" s="86"/>
      <c r="I1468" s="86">
        <f t="shared" si="1"/>
        <v>0</v>
      </c>
      <c r="J1468" s="86"/>
      <c r="K1468" s="22"/>
    </row>
    <row r="1469" ht="22.5" customHeight="1">
      <c r="A1469" s="83"/>
      <c r="B1469" s="84"/>
      <c r="C1469" s="85"/>
      <c r="D1469" s="85"/>
      <c r="E1469" s="86"/>
      <c r="F1469" s="85"/>
      <c r="G1469" s="86"/>
      <c r="H1469" s="86"/>
      <c r="I1469" s="86">
        <f t="shared" si="1"/>
        <v>0</v>
      </c>
      <c r="J1469" s="86"/>
      <c r="K1469" s="22"/>
    </row>
    <row r="1470" ht="22.5" customHeight="1">
      <c r="A1470" s="83"/>
      <c r="B1470" s="84"/>
      <c r="C1470" s="85"/>
      <c r="D1470" s="85"/>
      <c r="E1470" s="86"/>
      <c r="F1470" s="85"/>
      <c r="G1470" s="86"/>
      <c r="H1470" s="86"/>
      <c r="I1470" s="86">
        <f t="shared" si="1"/>
        <v>0</v>
      </c>
      <c r="J1470" s="86"/>
      <c r="K1470" s="22"/>
    </row>
    <row r="1471" ht="22.5" customHeight="1">
      <c r="A1471" s="83"/>
      <c r="B1471" s="84"/>
      <c r="C1471" s="85"/>
      <c r="D1471" s="85"/>
      <c r="E1471" s="86"/>
      <c r="F1471" s="85"/>
      <c r="G1471" s="86"/>
      <c r="H1471" s="86"/>
      <c r="I1471" s="86">
        <f t="shared" si="1"/>
        <v>0</v>
      </c>
      <c r="J1471" s="86"/>
      <c r="K1471" s="22"/>
    </row>
    <row r="1472" ht="22.5" customHeight="1">
      <c r="A1472" s="83"/>
      <c r="B1472" s="84"/>
      <c r="C1472" s="85"/>
      <c r="D1472" s="85"/>
      <c r="E1472" s="86"/>
      <c r="F1472" s="85"/>
      <c r="G1472" s="86"/>
      <c r="H1472" s="86"/>
      <c r="I1472" s="86">
        <f t="shared" si="1"/>
        <v>0</v>
      </c>
      <c r="J1472" s="86"/>
      <c r="K1472" s="22"/>
    </row>
    <row r="1473" ht="22.5" customHeight="1">
      <c r="A1473" s="83"/>
      <c r="B1473" s="84"/>
      <c r="C1473" s="85"/>
      <c r="D1473" s="85"/>
      <c r="E1473" s="86"/>
      <c r="F1473" s="85"/>
      <c r="G1473" s="86"/>
      <c r="H1473" s="86"/>
      <c r="I1473" s="86">
        <f t="shared" si="1"/>
        <v>0</v>
      </c>
      <c r="J1473" s="86"/>
      <c r="K1473" s="22"/>
    </row>
    <row r="1474" ht="22.5" customHeight="1">
      <c r="A1474" s="83"/>
      <c r="B1474" s="84"/>
      <c r="C1474" s="85"/>
      <c r="D1474" s="85"/>
      <c r="E1474" s="86"/>
      <c r="F1474" s="85"/>
      <c r="G1474" s="86"/>
      <c r="H1474" s="86"/>
      <c r="I1474" s="86">
        <f t="shared" si="1"/>
        <v>0</v>
      </c>
      <c r="J1474" s="86"/>
      <c r="K1474" s="22"/>
    </row>
    <row r="1475" ht="22.5" customHeight="1">
      <c r="A1475" s="83"/>
      <c r="B1475" s="84"/>
      <c r="C1475" s="85"/>
      <c r="D1475" s="85"/>
      <c r="E1475" s="86"/>
      <c r="F1475" s="85"/>
      <c r="G1475" s="86"/>
      <c r="H1475" s="86"/>
      <c r="I1475" s="86">
        <f t="shared" si="1"/>
        <v>0</v>
      </c>
      <c r="J1475" s="86"/>
      <c r="K1475" s="22"/>
    </row>
    <row r="1476" ht="22.5" customHeight="1">
      <c r="A1476" s="83"/>
      <c r="B1476" s="84"/>
      <c r="C1476" s="85"/>
      <c r="D1476" s="85"/>
      <c r="E1476" s="86"/>
      <c r="F1476" s="85"/>
      <c r="G1476" s="86"/>
      <c r="H1476" s="86"/>
      <c r="I1476" s="86">
        <f t="shared" si="1"/>
        <v>0</v>
      </c>
      <c r="J1476" s="86"/>
      <c r="K1476" s="22"/>
    </row>
    <row r="1477" ht="22.5" customHeight="1">
      <c r="A1477" s="83"/>
      <c r="B1477" s="84"/>
      <c r="C1477" s="85"/>
      <c r="D1477" s="85"/>
      <c r="E1477" s="86"/>
      <c r="F1477" s="85"/>
      <c r="G1477" s="86"/>
      <c r="H1477" s="86"/>
      <c r="I1477" s="86">
        <f t="shared" si="1"/>
        <v>0</v>
      </c>
      <c r="J1477" s="86"/>
      <c r="K1477" s="22"/>
    </row>
    <row r="1478" ht="22.5" customHeight="1">
      <c r="A1478" s="83"/>
      <c r="B1478" s="84"/>
      <c r="C1478" s="85"/>
      <c r="D1478" s="85"/>
      <c r="E1478" s="86"/>
      <c r="F1478" s="85"/>
      <c r="G1478" s="86"/>
      <c r="H1478" s="86"/>
      <c r="I1478" s="86">
        <f t="shared" si="1"/>
        <v>0</v>
      </c>
      <c r="J1478" s="86"/>
      <c r="K1478" s="22"/>
    </row>
    <row r="1479" ht="22.5" customHeight="1">
      <c r="A1479" s="83"/>
      <c r="B1479" s="84"/>
      <c r="C1479" s="85"/>
      <c r="D1479" s="85"/>
      <c r="E1479" s="86"/>
      <c r="F1479" s="85"/>
      <c r="G1479" s="86"/>
      <c r="H1479" s="86"/>
      <c r="I1479" s="86">
        <f t="shared" si="1"/>
        <v>0</v>
      </c>
      <c r="J1479" s="86"/>
      <c r="K1479" s="22"/>
    </row>
    <row r="1480" ht="22.5" customHeight="1">
      <c r="A1480" s="83"/>
      <c r="B1480" s="84"/>
      <c r="C1480" s="85"/>
      <c r="D1480" s="85"/>
      <c r="E1480" s="86"/>
      <c r="F1480" s="85"/>
      <c r="G1480" s="86"/>
      <c r="H1480" s="86"/>
      <c r="I1480" s="86">
        <f t="shared" si="1"/>
        <v>0</v>
      </c>
      <c r="J1480" s="86"/>
      <c r="K1480" s="22"/>
    </row>
    <row r="1481" ht="22.5" customHeight="1">
      <c r="A1481" s="83"/>
      <c r="B1481" s="84"/>
      <c r="C1481" s="85"/>
      <c r="D1481" s="85"/>
      <c r="E1481" s="86"/>
      <c r="F1481" s="85"/>
      <c r="G1481" s="86"/>
      <c r="H1481" s="86"/>
      <c r="I1481" s="86">
        <f t="shared" si="1"/>
        <v>0</v>
      </c>
      <c r="J1481" s="86"/>
      <c r="K1481" s="22"/>
    </row>
    <row r="1482" ht="22.5" customHeight="1">
      <c r="A1482" s="83"/>
      <c r="B1482" s="84"/>
      <c r="C1482" s="85"/>
      <c r="D1482" s="85"/>
      <c r="E1482" s="86"/>
      <c r="F1482" s="85"/>
      <c r="G1482" s="86"/>
      <c r="H1482" s="86"/>
      <c r="I1482" s="86">
        <f t="shared" si="1"/>
        <v>0</v>
      </c>
      <c r="J1482" s="86"/>
      <c r="K1482" s="22"/>
    </row>
    <row r="1483" ht="22.5" customHeight="1">
      <c r="A1483" s="83"/>
      <c r="B1483" s="84"/>
      <c r="C1483" s="85"/>
      <c r="D1483" s="85"/>
      <c r="E1483" s="86"/>
      <c r="F1483" s="85"/>
      <c r="G1483" s="86"/>
      <c r="H1483" s="86"/>
      <c r="I1483" s="86">
        <f t="shared" si="1"/>
        <v>0</v>
      </c>
      <c r="J1483" s="86"/>
      <c r="K1483" s="22"/>
    </row>
    <row r="1484" ht="22.5" customHeight="1">
      <c r="A1484" s="83"/>
      <c r="B1484" s="84"/>
      <c r="C1484" s="85"/>
      <c r="D1484" s="85"/>
      <c r="E1484" s="86"/>
      <c r="F1484" s="85"/>
      <c r="G1484" s="86"/>
      <c r="H1484" s="86"/>
      <c r="I1484" s="86">
        <f t="shared" si="1"/>
        <v>0</v>
      </c>
      <c r="J1484" s="86"/>
      <c r="K1484" s="22"/>
    </row>
    <row r="1485" ht="22.5" customHeight="1">
      <c r="A1485" s="83"/>
      <c r="B1485" s="84"/>
      <c r="C1485" s="85"/>
      <c r="D1485" s="85"/>
      <c r="E1485" s="86"/>
      <c r="F1485" s="85"/>
      <c r="G1485" s="86"/>
      <c r="H1485" s="86"/>
      <c r="I1485" s="86">
        <f t="shared" si="1"/>
        <v>0</v>
      </c>
      <c r="J1485" s="86"/>
      <c r="K1485" s="22"/>
    </row>
    <row r="1486" ht="22.5" customHeight="1">
      <c r="A1486" s="83"/>
      <c r="B1486" s="84"/>
      <c r="C1486" s="85"/>
      <c r="D1486" s="85"/>
      <c r="E1486" s="86"/>
      <c r="F1486" s="85"/>
      <c r="G1486" s="86"/>
      <c r="H1486" s="86"/>
      <c r="I1486" s="86">
        <f t="shared" si="1"/>
        <v>0</v>
      </c>
      <c r="J1486" s="86"/>
      <c r="K1486" s="22"/>
    </row>
    <row r="1487" ht="22.5" customHeight="1">
      <c r="A1487" s="83"/>
      <c r="B1487" s="84"/>
      <c r="C1487" s="85"/>
      <c r="D1487" s="85"/>
      <c r="E1487" s="86"/>
      <c r="F1487" s="85"/>
      <c r="G1487" s="86"/>
      <c r="H1487" s="86"/>
      <c r="I1487" s="86">
        <f t="shared" si="1"/>
        <v>0</v>
      </c>
      <c r="J1487" s="86"/>
      <c r="K1487" s="22"/>
    </row>
    <row r="1488" ht="22.5" customHeight="1">
      <c r="A1488" s="83"/>
      <c r="B1488" s="84"/>
      <c r="C1488" s="85"/>
      <c r="D1488" s="85"/>
      <c r="E1488" s="86"/>
      <c r="F1488" s="85"/>
      <c r="G1488" s="86"/>
      <c r="H1488" s="86"/>
      <c r="I1488" s="86">
        <f t="shared" si="1"/>
        <v>0</v>
      </c>
      <c r="J1488" s="86"/>
      <c r="K1488" s="22"/>
    </row>
    <row r="1489" ht="22.5" customHeight="1">
      <c r="A1489" s="83"/>
      <c r="B1489" s="84"/>
      <c r="C1489" s="85"/>
      <c r="D1489" s="85"/>
      <c r="E1489" s="86"/>
      <c r="F1489" s="85"/>
      <c r="G1489" s="86"/>
      <c r="H1489" s="86"/>
      <c r="I1489" s="86">
        <f t="shared" si="1"/>
        <v>0</v>
      </c>
      <c r="J1489" s="86"/>
      <c r="K1489" s="22"/>
    </row>
    <row r="1490" ht="22.5" customHeight="1">
      <c r="A1490" s="83"/>
      <c r="B1490" s="84"/>
      <c r="C1490" s="85"/>
      <c r="D1490" s="85"/>
      <c r="E1490" s="86"/>
      <c r="F1490" s="85"/>
      <c r="G1490" s="86"/>
      <c r="H1490" s="86"/>
      <c r="I1490" s="86">
        <f t="shared" si="1"/>
        <v>0</v>
      </c>
      <c r="J1490" s="86"/>
      <c r="K1490" s="22"/>
    </row>
    <row r="1491" ht="22.5" customHeight="1">
      <c r="A1491" s="83"/>
      <c r="B1491" s="84"/>
      <c r="C1491" s="85"/>
      <c r="D1491" s="85"/>
      <c r="E1491" s="86"/>
      <c r="F1491" s="85"/>
      <c r="G1491" s="86"/>
      <c r="H1491" s="86"/>
      <c r="I1491" s="86">
        <f t="shared" si="1"/>
        <v>0</v>
      </c>
      <c r="J1491" s="86"/>
      <c r="K1491" s="22"/>
    </row>
    <row r="1492" ht="22.5" customHeight="1">
      <c r="A1492" s="83"/>
      <c r="B1492" s="84"/>
      <c r="C1492" s="85"/>
      <c r="D1492" s="85"/>
      <c r="E1492" s="86"/>
      <c r="F1492" s="85"/>
      <c r="G1492" s="86"/>
      <c r="H1492" s="86"/>
      <c r="I1492" s="86">
        <f t="shared" si="1"/>
        <v>0</v>
      </c>
      <c r="J1492" s="86"/>
      <c r="K1492" s="22"/>
    </row>
    <row r="1493" ht="22.5" customHeight="1">
      <c r="A1493" s="83"/>
      <c r="B1493" s="84"/>
      <c r="C1493" s="85"/>
      <c r="D1493" s="85"/>
      <c r="E1493" s="86"/>
      <c r="F1493" s="85"/>
      <c r="G1493" s="86"/>
      <c r="H1493" s="86"/>
      <c r="I1493" s="86">
        <f t="shared" si="1"/>
        <v>0</v>
      </c>
      <c r="J1493" s="86"/>
      <c r="K1493" s="22"/>
    </row>
    <row r="1494" ht="22.5" customHeight="1">
      <c r="A1494" s="83"/>
      <c r="B1494" s="84"/>
      <c r="C1494" s="85"/>
      <c r="D1494" s="85"/>
      <c r="E1494" s="86"/>
      <c r="F1494" s="85"/>
      <c r="G1494" s="86"/>
      <c r="H1494" s="86"/>
      <c r="I1494" s="86">
        <f t="shared" si="1"/>
        <v>0</v>
      </c>
      <c r="J1494" s="86"/>
      <c r="K1494" s="22"/>
    </row>
    <row r="1495" ht="22.5" customHeight="1">
      <c r="A1495" s="83"/>
      <c r="B1495" s="84"/>
      <c r="C1495" s="85"/>
      <c r="D1495" s="85"/>
      <c r="E1495" s="86"/>
      <c r="F1495" s="85"/>
      <c r="G1495" s="86"/>
      <c r="H1495" s="86"/>
      <c r="I1495" s="86">
        <f t="shared" si="1"/>
        <v>0</v>
      </c>
      <c r="J1495" s="86"/>
      <c r="K1495" s="22"/>
    </row>
    <row r="1496" ht="22.5" customHeight="1">
      <c r="A1496" s="83"/>
      <c r="B1496" s="84"/>
      <c r="C1496" s="85"/>
      <c r="D1496" s="85"/>
      <c r="E1496" s="86"/>
      <c r="F1496" s="85"/>
      <c r="G1496" s="86"/>
      <c r="H1496" s="86"/>
      <c r="I1496" s="86">
        <f t="shared" si="1"/>
        <v>0</v>
      </c>
      <c r="J1496" s="86"/>
      <c r="K1496" s="22"/>
    </row>
    <row r="1497" ht="22.5" customHeight="1">
      <c r="A1497" s="83"/>
      <c r="B1497" s="84"/>
      <c r="C1497" s="85"/>
      <c r="D1497" s="85"/>
      <c r="E1497" s="86"/>
      <c r="F1497" s="85"/>
      <c r="G1497" s="86"/>
      <c r="H1497" s="86"/>
      <c r="I1497" s="86">
        <f t="shared" si="1"/>
        <v>0</v>
      </c>
      <c r="J1497" s="86"/>
      <c r="K1497" s="22"/>
    </row>
    <row r="1498" ht="22.5" customHeight="1">
      <c r="A1498" s="83"/>
      <c r="B1498" s="84"/>
      <c r="C1498" s="85"/>
      <c r="D1498" s="85"/>
      <c r="E1498" s="86"/>
      <c r="F1498" s="85"/>
      <c r="G1498" s="86"/>
      <c r="H1498" s="86"/>
      <c r="I1498" s="86">
        <f t="shared" si="1"/>
        <v>0</v>
      </c>
      <c r="J1498" s="86"/>
      <c r="K1498" s="22"/>
    </row>
    <row r="1499" ht="22.5" customHeight="1">
      <c r="A1499" s="83"/>
      <c r="B1499" s="84"/>
      <c r="C1499" s="85"/>
      <c r="D1499" s="85"/>
      <c r="E1499" s="86"/>
      <c r="F1499" s="85"/>
      <c r="G1499" s="86"/>
      <c r="H1499" s="86"/>
      <c r="I1499" s="86">
        <f t="shared" si="1"/>
        <v>0</v>
      </c>
      <c r="J1499" s="86"/>
      <c r="K1499" s="22"/>
    </row>
    <row r="1500" ht="22.5" customHeight="1">
      <c r="A1500" s="83"/>
      <c r="B1500" s="84"/>
      <c r="C1500" s="85"/>
      <c r="D1500" s="85"/>
      <c r="E1500" s="86"/>
      <c r="F1500" s="85"/>
      <c r="G1500" s="86"/>
      <c r="H1500" s="86"/>
      <c r="I1500" s="86">
        <f t="shared" si="1"/>
        <v>0</v>
      </c>
      <c r="J1500" s="86"/>
      <c r="K1500" s="22"/>
    </row>
    <row r="1501" ht="22.5" customHeight="1">
      <c r="A1501" s="83"/>
      <c r="B1501" s="84"/>
      <c r="C1501" s="85"/>
      <c r="D1501" s="85"/>
      <c r="E1501" s="86"/>
      <c r="F1501" s="85"/>
      <c r="G1501" s="86"/>
      <c r="H1501" s="86"/>
      <c r="I1501" s="86">
        <f t="shared" si="1"/>
        <v>0</v>
      </c>
      <c r="J1501" s="86"/>
      <c r="K1501" s="22"/>
    </row>
    <row r="1502" ht="22.5" customHeight="1">
      <c r="A1502" s="83"/>
      <c r="B1502" s="84"/>
      <c r="C1502" s="85"/>
      <c r="D1502" s="85"/>
      <c r="E1502" s="86"/>
      <c r="F1502" s="85"/>
      <c r="G1502" s="86"/>
      <c r="H1502" s="86"/>
      <c r="I1502" s="86">
        <f t="shared" si="1"/>
        <v>0</v>
      </c>
      <c r="J1502" s="86"/>
      <c r="K1502" s="22"/>
    </row>
    <row r="1503" ht="22.5" customHeight="1">
      <c r="A1503" s="83"/>
      <c r="B1503" s="84"/>
      <c r="C1503" s="85"/>
      <c r="D1503" s="85"/>
      <c r="E1503" s="86"/>
      <c r="F1503" s="85"/>
      <c r="G1503" s="86"/>
      <c r="H1503" s="86"/>
      <c r="I1503" s="86">
        <f t="shared" si="1"/>
        <v>0</v>
      </c>
      <c r="J1503" s="86"/>
      <c r="K1503" s="22"/>
    </row>
    <row r="1504" ht="22.5" customHeight="1">
      <c r="A1504" s="83"/>
      <c r="B1504" s="84"/>
      <c r="C1504" s="85"/>
      <c r="D1504" s="85"/>
      <c r="E1504" s="86"/>
      <c r="F1504" s="85"/>
      <c r="G1504" s="86"/>
      <c r="H1504" s="86"/>
      <c r="I1504" s="86">
        <f t="shared" si="1"/>
        <v>0</v>
      </c>
      <c r="J1504" s="86"/>
      <c r="K1504" s="22"/>
    </row>
    <row r="1505" ht="22.5" customHeight="1">
      <c r="A1505" s="83"/>
      <c r="B1505" s="84"/>
      <c r="C1505" s="85"/>
      <c r="D1505" s="85"/>
      <c r="E1505" s="86"/>
      <c r="F1505" s="85"/>
      <c r="G1505" s="86"/>
      <c r="H1505" s="86"/>
      <c r="I1505" s="86">
        <f t="shared" si="1"/>
        <v>0</v>
      </c>
      <c r="J1505" s="86"/>
      <c r="K1505" s="22"/>
    </row>
    <row r="1506" ht="22.5" customHeight="1">
      <c r="A1506" s="83"/>
      <c r="B1506" s="84"/>
      <c r="C1506" s="85"/>
      <c r="D1506" s="85"/>
      <c r="E1506" s="86"/>
      <c r="F1506" s="85"/>
      <c r="G1506" s="86"/>
      <c r="H1506" s="86"/>
      <c r="I1506" s="86">
        <f t="shared" si="1"/>
        <v>0</v>
      </c>
      <c r="J1506" s="86"/>
      <c r="K1506" s="22"/>
    </row>
    <row r="1507" ht="22.5" customHeight="1">
      <c r="A1507" s="83"/>
      <c r="B1507" s="84"/>
      <c r="C1507" s="85"/>
      <c r="D1507" s="85"/>
      <c r="E1507" s="86"/>
      <c r="F1507" s="85"/>
      <c r="G1507" s="86"/>
      <c r="H1507" s="86"/>
      <c r="I1507" s="86">
        <f t="shared" si="1"/>
        <v>0</v>
      </c>
      <c r="J1507" s="86"/>
      <c r="K1507" s="22"/>
    </row>
    <row r="1508" ht="22.5" customHeight="1">
      <c r="A1508" s="83"/>
      <c r="B1508" s="84"/>
      <c r="C1508" s="85"/>
      <c r="D1508" s="85"/>
      <c r="E1508" s="86"/>
      <c r="F1508" s="85"/>
      <c r="G1508" s="86"/>
      <c r="H1508" s="86"/>
      <c r="I1508" s="86">
        <f t="shared" si="1"/>
        <v>0</v>
      </c>
      <c r="J1508" s="86"/>
      <c r="K1508" s="22"/>
    </row>
    <row r="1509" ht="22.5" customHeight="1">
      <c r="A1509" s="83"/>
      <c r="B1509" s="84"/>
      <c r="C1509" s="85"/>
      <c r="D1509" s="85"/>
      <c r="E1509" s="86"/>
      <c r="F1509" s="85"/>
      <c r="G1509" s="86"/>
      <c r="H1509" s="86"/>
      <c r="I1509" s="86">
        <f t="shared" si="1"/>
        <v>0</v>
      </c>
      <c r="J1509" s="86"/>
      <c r="K1509" s="22"/>
    </row>
    <row r="1510" ht="22.5" customHeight="1">
      <c r="A1510" s="83"/>
      <c r="B1510" s="84"/>
      <c r="C1510" s="85"/>
      <c r="D1510" s="85"/>
      <c r="E1510" s="86"/>
      <c r="F1510" s="85"/>
      <c r="G1510" s="86"/>
      <c r="H1510" s="86"/>
      <c r="I1510" s="86">
        <f t="shared" si="1"/>
        <v>0</v>
      </c>
      <c r="J1510" s="86"/>
      <c r="K1510" s="22"/>
    </row>
    <row r="1511" ht="22.5" customHeight="1">
      <c r="A1511" s="83"/>
      <c r="B1511" s="84"/>
      <c r="C1511" s="85"/>
      <c r="D1511" s="85"/>
      <c r="E1511" s="86"/>
      <c r="F1511" s="85"/>
      <c r="G1511" s="86"/>
      <c r="H1511" s="86"/>
      <c r="I1511" s="86">
        <f t="shared" si="1"/>
        <v>0</v>
      </c>
      <c r="J1511" s="86"/>
      <c r="K1511" s="22"/>
    </row>
    <row r="1512" ht="22.5" customHeight="1">
      <c r="A1512" s="83"/>
      <c r="B1512" s="84"/>
      <c r="C1512" s="85"/>
      <c r="D1512" s="85"/>
      <c r="E1512" s="86"/>
      <c r="F1512" s="85"/>
      <c r="G1512" s="86"/>
      <c r="H1512" s="86"/>
      <c r="I1512" s="86">
        <f t="shared" si="1"/>
        <v>0</v>
      </c>
      <c r="J1512" s="86"/>
      <c r="K1512" s="22"/>
    </row>
    <row r="1513" ht="22.5" customHeight="1">
      <c r="A1513" s="83"/>
      <c r="B1513" s="84"/>
      <c r="C1513" s="85"/>
      <c r="D1513" s="85"/>
      <c r="E1513" s="86"/>
      <c r="F1513" s="85"/>
      <c r="G1513" s="86"/>
      <c r="H1513" s="86"/>
      <c r="I1513" s="86">
        <f t="shared" si="1"/>
        <v>0</v>
      </c>
      <c r="J1513" s="86"/>
      <c r="K1513" s="22"/>
    </row>
    <row r="1514" ht="22.5" customHeight="1">
      <c r="A1514" s="83"/>
      <c r="B1514" s="84"/>
      <c r="C1514" s="85"/>
      <c r="D1514" s="85"/>
      <c r="E1514" s="86"/>
      <c r="F1514" s="85"/>
      <c r="G1514" s="86"/>
      <c r="H1514" s="86"/>
      <c r="I1514" s="86">
        <f t="shared" si="1"/>
        <v>0</v>
      </c>
      <c r="J1514" s="86"/>
      <c r="K1514" s="22"/>
    </row>
    <row r="1515" ht="22.5" customHeight="1">
      <c r="A1515" s="83"/>
      <c r="B1515" s="84"/>
      <c r="C1515" s="85"/>
      <c r="D1515" s="85"/>
      <c r="E1515" s="86"/>
      <c r="F1515" s="85"/>
      <c r="G1515" s="86"/>
      <c r="H1515" s="86"/>
      <c r="I1515" s="86">
        <f t="shared" si="1"/>
        <v>0</v>
      </c>
      <c r="J1515" s="86"/>
      <c r="K1515" s="22"/>
    </row>
    <row r="1516" ht="22.5" customHeight="1">
      <c r="A1516" s="83"/>
      <c r="B1516" s="84"/>
      <c r="C1516" s="85"/>
      <c r="D1516" s="85"/>
      <c r="E1516" s="86"/>
      <c r="F1516" s="85"/>
      <c r="G1516" s="86"/>
      <c r="H1516" s="86"/>
      <c r="I1516" s="86">
        <f t="shared" si="1"/>
        <v>0</v>
      </c>
      <c r="J1516" s="86"/>
      <c r="K1516" s="22"/>
    </row>
    <row r="1517" ht="22.5" customHeight="1">
      <c r="A1517" s="83"/>
      <c r="B1517" s="84"/>
      <c r="C1517" s="85"/>
      <c r="D1517" s="85"/>
      <c r="E1517" s="86"/>
      <c r="F1517" s="85"/>
      <c r="G1517" s="86"/>
      <c r="H1517" s="86"/>
      <c r="I1517" s="86">
        <f t="shared" si="1"/>
        <v>0</v>
      </c>
      <c r="J1517" s="86"/>
      <c r="K1517" s="22"/>
    </row>
    <row r="1518" ht="22.5" customHeight="1">
      <c r="A1518" s="83"/>
      <c r="B1518" s="84"/>
      <c r="C1518" s="85"/>
      <c r="D1518" s="85"/>
      <c r="E1518" s="86"/>
      <c r="F1518" s="85"/>
      <c r="G1518" s="86"/>
      <c r="H1518" s="86"/>
      <c r="I1518" s="86">
        <f t="shared" si="1"/>
        <v>0</v>
      </c>
      <c r="J1518" s="86"/>
      <c r="K1518" s="22"/>
    </row>
    <row r="1519" ht="22.5" customHeight="1">
      <c r="A1519" s="83"/>
      <c r="B1519" s="84"/>
      <c r="C1519" s="85"/>
      <c r="D1519" s="85"/>
      <c r="E1519" s="86"/>
      <c r="F1519" s="85"/>
      <c r="G1519" s="86"/>
      <c r="H1519" s="86"/>
      <c r="I1519" s="86">
        <f t="shared" si="1"/>
        <v>0</v>
      </c>
      <c r="J1519" s="86"/>
      <c r="K1519" s="22"/>
    </row>
    <row r="1520" ht="22.5" customHeight="1">
      <c r="A1520" s="83"/>
      <c r="B1520" s="84"/>
      <c r="C1520" s="85"/>
      <c r="D1520" s="85"/>
      <c r="E1520" s="86"/>
      <c r="F1520" s="85"/>
      <c r="G1520" s="86"/>
      <c r="H1520" s="86"/>
      <c r="I1520" s="86">
        <f t="shared" si="1"/>
        <v>0</v>
      </c>
      <c r="J1520" s="86"/>
      <c r="K1520" s="22"/>
    </row>
    <row r="1521" ht="22.5" customHeight="1">
      <c r="A1521" s="83"/>
      <c r="B1521" s="84"/>
      <c r="C1521" s="85"/>
      <c r="D1521" s="85"/>
      <c r="E1521" s="86"/>
      <c r="F1521" s="85"/>
      <c r="G1521" s="86"/>
      <c r="H1521" s="86"/>
      <c r="I1521" s="86">
        <f t="shared" si="1"/>
        <v>0</v>
      </c>
      <c r="J1521" s="86"/>
      <c r="K1521" s="22"/>
    </row>
    <row r="1522" ht="22.5" customHeight="1">
      <c r="A1522" s="83"/>
      <c r="B1522" s="84"/>
      <c r="C1522" s="85"/>
      <c r="D1522" s="85"/>
      <c r="E1522" s="86"/>
      <c r="F1522" s="85"/>
      <c r="G1522" s="86"/>
      <c r="H1522" s="86"/>
      <c r="I1522" s="86">
        <f t="shared" si="1"/>
        <v>0</v>
      </c>
      <c r="J1522" s="86"/>
      <c r="K1522" s="22"/>
    </row>
    <row r="1523" ht="22.5" customHeight="1">
      <c r="A1523" s="83"/>
      <c r="B1523" s="84"/>
      <c r="C1523" s="85"/>
      <c r="D1523" s="85"/>
      <c r="E1523" s="86"/>
      <c r="F1523" s="85"/>
      <c r="G1523" s="86"/>
      <c r="H1523" s="86"/>
      <c r="I1523" s="86">
        <f t="shared" si="1"/>
        <v>0</v>
      </c>
      <c r="J1523" s="86"/>
      <c r="K1523" s="22"/>
    </row>
    <row r="1524" ht="22.5" customHeight="1">
      <c r="A1524" s="83"/>
      <c r="B1524" s="84"/>
      <c r="C1524" s="85"/>
      <c r="D1524" s="85"/>
      <c r="E1524" s="86"/>
      <c r="F1524" s="85"/>
      <c r="G1524" s="86"/>
      <c r="H1524" s="86"/>
      <c r="I1524" s="86">
        <f t="shared" si="1"/>
        <v>0</v>
      </c>
      <c r="J1524" s="86"/>
      <c r="K1524" s="22"/>
    </row>
    <row r="1525" ht="22.5" customHeight="1">
      <c r="A1525" s="83"/>
      <c r="B1525" s="84"/>
      <c r="C1525" s="85"/>
      <c r="D1525" s="85"/>
      <c r="E1525" s="86"/>
      <c r="F1525" s="85"/>
      <c r="G1525" s="86"/>
      <c r="H1525" s="86"/>
      <c r="I1525" s="86">
        <f t="shared" si="1"/>
        <v>0</v>
      </c>
      <c r="J1525" s="86"/>
      <c r="K1525" s="22"/>
    </row>
    <row r="1526" ht="22.5" customHeight="1">
      <c r="A1526" s="83"/>
      <c r="B1526" s="84"/>
      <c r="C1526" s="85"/>
      <c r="D1526" s="85"/>
      <c r="E1526" s="86"/>
      <c r="F1526" s="85"/>
      <c r="G1526" s="86"/>
      <c r="H1526" s="86"/>
      <c r="I1526" s="86">
        <f t="shared" si="1"/>
        <v>0</v>
      </c>
      <c r="J1526" s="86"/>
      <c r="K1526" s="22"/>
    </row>
    <row r="1527" ht="22.5" customHeight="1">
      <c r="A1527" s="83"/>
      <c r="B1527" s="84"/>
      <c r="C1527" s="85"/>
      <c r="D1527" s="85"/>
      <c r="E1527" s="86"/>
      <c r="F1527" s="85"/>
      <c r="G1527" s="86"/>
      <c r="H1527" s="86"/>
      <c r="I1527" s="86">
        <f t="shared" si="1"/>
        <v>0</v>
      </c>
      <c r="J1527" s="86"/>
      <c r="K1527" s="22"/>
    </row>
    <row r="1528" ht="22.5" customHeight="1">
      <c r="A1528" s="83"/>
      <c r="B1528" s="84"/>
      <c r="C1528" s="85"/>
      <c r="D1528" s="85"/>
      <c r="E1528" s="86"/>
      <c r="F1528" s="85"/>
      <c r="G1528" s="86"/>
      <c r="H1528" s="86"/>
      <c r="I1528" s="86">
        <f t="shared" si="1"/>
        <v>0</v>
      </c>
      <c r="J1528" s="86"/>
      <c r="K1528" s="22"/>
    </row>
    <row r="1529" ht="22.5" customHeight="1">
      <c r="A1529" s="83"/>
      <c r="B1529" s="84"/>
      <c r="C1529" s="85"/>
      <c r="D1529" s="85"/>
      <c r="E1529" s="86"/>
      <c r="F1529" s="85"/>
      <c r="G1529" s="86"/>
      <c r="H1529" s="86"/>
      <c r="I1529" s="86">
        <f t="shared" si="1"/>
        <v>0</v>
      </c>
      <c r="J1529" s="86"/>
      <c r="K1529" s="22"/>
    </row>
    <row r="1530" ht="22.5" customHeight="1">
      <c r="A1530" s="83"/>
      <c r="B1530" s="84"/>
      <c r="C1530" s="85"/>
      <c r="D1530" s="85"/>
      <c r="E1530" s="86"/>
      <c r="F1530" s="85"/>
      <c r="G1530" s="86"/>
      <c r="H1530" s="86"/>
      <c r="I1530" s="86">
        <f t="shared" si="1"/>
        <v>0</v>
      </c>
      <c r="J1530" s="86"/>
      <c r="K1530" s="22"/>
    </row>
    <row r="1531" ht="22.5" customHeight="1">
      <c r="A1531" s="83"/>
      <c r="B1531" s="84"/>
      <c r="C1531" s="85"/>
      <c r="D1531" s="85"/>
      <c r="E1531" s="86"/>
      <c r="F1531" s="85"/>
      <c r="G1531" s="86"/>
      <c r="H1531" s="86"/>
      <c r="I1531" s="86">
        <f t="shared" si="1"/>
        <v>0</v>
      </c>
      <c r="J1531" s="86"/>
      <c r="K1531" s="22"/>
    </row>
    <row r="1532" ht="22.5" customHeight="1">
      <c r="A1532" s="83"/>
      <c r="B1532" s="84"/>
      <c r="C1532" s="85"/>
      <c r="D1532" s="85"/>
      <c r="E1532" s="86"/>
      <c r="F1532" s="85"/>
      <c r="G1532" s="86"/>
      <c r="H1532" s="86"/>
      <c r="I1532" s="86">
        <f t="shared" si="1"/>
        <v>0</v>
      </c>
      <c r="J1532" s="86"/>
      <c r="K1532" s="22"/>
    </row>
    <row r="1533" ht="22.5" customHeight="1">
      <c r="A1533" s="83"/>
      <c r="B1533" s="84"/>
      <c r="C1533" s="85"/>
      <c r="D1533" s="85"/>
      <c r="E1533" s="86"/>
      <c r="F1533" s="85"/>
      <c r="G1533" s="86"/>
      <c r="H1533" s="86"/>
      <c r="I1533" s="86">
        <f t="shared" si="1"/>
        <v>0</v>
      </c>
      <c r="J1533" s="86"/>
      <c r="K1533" s="22"/>
    </row>
    <row r="1534" ht="22.5" customHeight="1">
      <c r="A1534" s="83"/>
      <c r="B1534" s="84"/>
      <c r="C1534" s="85"/>
      <c r="D1534" s="85"/>
      <c r="E1534" s="86"/>
      <c r="F1534" s="85"/>
      <c r="G1534" s="86"/>
      <c r="H1534" s="86"/>
      <c r="I1534" s="86">
        <f t="shared" si="1"/>
        <v>0</v>
      </c>
      <c r="J1534" s="86"/>
      <c r="K1534" s="22"/>
    </row>
    <row r="1535" ht="22.5" customHeight="1">
      <c r="A1535" s="83"/>
      <c r="B1535" s="84"/>
      <c r="C1535" s="85"/>
      <c r="D1535" s="85"/>
      <c r="E1535" s="86"/>
      <c r="F1535" s="85"/>
      <c r="G1535" s="86"/>
      <c r="H1535" s="86"/>
      <c r="I1535" s="86">
        <f t="shared" si="1"/>
        <v>0</v>
      </c>
      <c r="J1535" s="86"/>
      <c r="K1535" s="22"/>
    </row>
    <row r="1536" ht="22.5" customHeight="1">
      <c r="A1536" s="83"/>
      <c r="B1536" s="84"/>
      <c r="C1536" s="85"/>
      <c r="D1536" s="85"/>
      <c r="E1536" s="86"/>
      <c r="F1536" s="85"/>
      <c r="G1536" s="86"/>
      <c r="H1536" s="86"/>
      <c r="I1536" s="86">
        <f t="shared" si="1"/>
        <v>0</v>
      </c>
      <c r="J1536" s="86"/>
      <c r="K1536" s="22"/>
    </row>
    <row r="1537" ht="22.5" customHeight="1">
      <c r="A1537" s="83"/>
      <c r="B1537" s="84"/>
      <c r="C1537" s="85"/>
      <c r="D1537" s="85"/>
      <c r="E1537" s="86"/>
      <c r="F1537" s="85"/>
      <c r="G1537" s="86"/>
      <c r="H1537" s="86"/>
      <c r="I1537" s="86">
        <f t="shared" si="1"/>
        <v>0</v>
      </c>
      <c r="J1537" s="86"/>
      <c r="K1537" s="22"/>
    </row>
    <row r="1538" ht="22.5" customHeight="1">
      <c r="A1538" s="83"/>
      <c r="B1538" s="84"/>
      <c r="C1538" s="85"/>
      <c r="D1538" s="85"/>
      <c r="E1538" s="86"/>
      <c r="F1538" s="85"/>
      <c r="G1538" s="86"/>
      <c r="H1538" s="86"/>
      <c r="I1538" s="86">
        <f t="shared" si="1"/>
        <v>0</v>
      </c>
      <c r="J1538" s="86"/>
      <c r="K1538" s="22"/>
    </row>
    <row r="1539" ht="22.5" customHeight="1">
      <c r="A1539" s="83"/>
      <c r="B1539" s="84"/>
      <c r="C1539" s="85"/>
      <c r="D1539" s="85"/>
      <c r="E1539" s="86"/>
      <c r="F1539" s="85"/>
      <c r="G1539" s="86"/>
      <c r="H1539" s="86"/>
      <c r="I1539" s="86">
        <f t="shared" si="1"/>
        <v>0</v>
      </c>
      <c r="J1539" s="86"/>
      <c r="K1539" s="22"/>
    </row>
    <row r="1540" ht="22.5" customHeight="1">
      <c r="A1540" s="83"/>
      <c r="B1540" s="84"/>
      <c r="C1540" s="85"/>
      <c r="D1540" s="85"/>
      <c r="E1540" s="86"/>
      <c r="F1540" s="85"/>
      <c r="G1540" s="86"/>
      <c r="H1540" s="86"/>
      <c r="I1540" s="86">
        <f t="shared" si="1"/>
        <v>0</v>
      </c>
      <c r="J1540" s="86"/>
      <c r="K1540" s="22"/>
    </row>
    <row r="1541" ht="22.5" customHeight="1">
      <c r="A1541" s="83"/>
      <c r="B1541" s="84"/>
      <c r="C1541" s="85"/>
      <c r="D1541" s="85"/>
      <c r="E1541" s="86"/>
      <c r="F1541" s="85"/>
      <c r="G1541" s="86"/>
      <c r="H1541" s="86"/>
      <c r="I1541" s="86">
        <f t="shared" si="1"/>
        <v>0</v>
      </c>
      <c r="J1541" s="86"/>
      <c r="K1541" s="22"/>
    </row>
    <row r="1542" ht="22.5" customHeight="1">
      <c r="A1542" s="83"/>
      <c r="B1542" s="84"/>
      <c r="C1542" s="85"/>
      <c r="D1542" s="85"/>
      <c r="E1542" s="86"/>
      <c r="F1542" s="85"/>
      <c r="G1542" s="86"/>
      <c r="H1542" s="86"/>
      <c r="I1542" s="86">
        <f t="shared" si="1"/>
        <v>0</v>
      </c>
      <c r="J1542" s="86"/>
      <c r="K1542" s="22"/>
    </row>
    <row r="1543" ht="22.5" customHeight="1">
      <c r="A1543" s="83"/>
      <c r="B1543" s="84"/>
      <c r="C1543" s="85"/>
      <c r="D1543" s="85"/>
      <c r="E1543" s="86"/>
      <c r="F1543" s="85"/>
      <c r="G1543" s="86"/>
      <c r="H1543" s="86"/>
      <c r="I1543" s="86">
        <f t="shared" si="1"/>
        <v>0</v>
      </c>
      <c r="J1543" s="86"/>
      <c r="K1543" s="22"/>
    </row>
    <row r="1544" ht="22.5" customHeight="1">
      <c r="A1544" s="83"/>
      <c r="B1544" s="84"/>
      <c r="C1544" s="85"/>
      <c r="D1544" s="85"/>
      <c r="E1544" s="86"/>
      <c r="F1544" s="85"/>
      <c r="G1544" s="86"/>
      <c r="H1544" s="86"/>
      <c r="I1544" s="86">
        <f t="shared" si="1"/>
        <v>0</v>
      </c>
      <c r="J1544" s="86"/>
      <c r="K1544" s="22"/>
    </row>
    <row r="1545" ht="22.5" customHeight="1">
      <c r="A1545" s="83"/>
      <c r="B1545" s="84"/>
      <c r="C1545" s="85"/>
      <c r="D1545" s="85"/>
      <c r="E1545" s="86"/>
      <c r="F1545" s="85"/>
      <c r="G1545" s="86"/>
      <c r="H1545" s="86"/>
      <c r="I1545" s="86">
        <f t="shared" si="1"/>
        <v>0</v>
      </c>
      <c r="J1545" s="86"/>
      <c r="K1545" s="22"/>
    </row>
    <row r="1546" ht="22.5" customHeight="1">
      <c r="A1546" s="83"/>
      <c r="B1546" s="84"/>
      <c r="C1546" s="85"/>
      <c r="D1546" s="85"/>
      <c r="E1546" s="86"/>
      <c r="F1546" s="85"/>
      <c r="G1546" s="86"/>
      <c r="H1546" s="86"/>
      <c r="I1546" s="86">
        <f t="shared" si="1"/>
        <v>0</v>
      </c>
      <c r="J1546" s="86"/>
      <c r="K1546" s="22"/>
    </row>
    <row r="1547" ht="22.5" customHeight="1">
      <c r="A1547" s="83"/>
      <c r="B1547" s="84"/>
      <c r="C1547" s="85"/>
      <c r="D1547" s="85"/>
      <c r="E1547" s="86"/>
      <c r="F1547" s="85"/>
      <c r="G1547" s="86"/>
      <c r="H1547" s="86"/>
      <c r="I1547" s="86">
        <f t="shared" si="1"/>
        <v>0</v>
      </c>
      <c r="J1547" s="86"/>
      <c r="K1547" s="22"/>
    </row>
    <row r="1548" ht="22.5" customHeight="1">
      <c r="A1548" s="83"/>
      <c r="B1548" s="84"/>
      <c r="C1548" s="85"/>
      <c r="D1548" s="85"/>
      <c r="E1548" s="86"/>
      <c r="F1548" s="85"/>
      <c r="G1548" s="86"/>
      <c r="H1548" s="86"/>
      <c r="I1548" s="86">
        <f t="shared" si="1"/>
        <v>0</v>
      </c>
      <c r="J1548" s="86"/>
      <c r="K1548" s="22"/>
    </row>
    <row r="1549" ht="22.5" customHeight="1">
      <c r="A1549" s="83"/>
      <c r="B1549" s="84"/>
      <c r="C1549" s="85"/>
      <c r="D1549" s="85"/>
      <c r="E1549" s="86"/>
      <c r="F1549" s="85"/>
      <c r="G1549" s="86"/>
      <c r="H1549" s="86"/>
      <c r="I1549" s="86">
        <f t="shared" si="1"/>
        <v>0</v>
      </c>
      <c r="J1549" s="86"/>
      <c r="K1549" s="22"/>
    </row>
    <row r="1550" ht="22.5" customHeight="1">
      <c r="A1550" s="83"/>
      <c r="B1550" s="84"/>
      <c r="C1550" s="85"/>
      <c r="D1550" s="85"/>
      <c r="E1550" s="86"/>
      <c r="F1550" s="85"/>
      <c r="G1550" s="86"/>
      <c r="H1550" s="86"/>
      <c r="I1550" s="86">
        <f t="shared" si="1"/>
        <v>0</v>
      </c>
      <c r="J1550" s="86"/>
      <c r="K1550" s="22"/>
    </row>
    <row r="1551" ht="22.5" customHeight="1">
      <c r="A1551" s="83"/>
      <c r="B1551" s="84"/>
      <c r="C1551" s="85"/>
      <c r="D1551" s="85"/>
      <c r="E1551" s="86"/>
      <c r="F1551" s="85"/>
      <c r="G1551" s="86"/>
      <c r="H1551" s="86"/>
      <c r="I1551" s="86">
        <f t="shared" si="1"/>
        <v>0</v>
      </c>
      <c r="J1551" s="86"/>
      <c r="K1551" s="22"/>
    </row>
    <row r="1552" ht="22.5" customHeight="1">
      <c r="A1552" s="83"/>
      <c r="B1552" s="84"/>
      <c r="C1552" s="85"/>
      <c r="D1552" s="85"/>
      <c r="E1552" s="86"/>
      <c r="F1552" s="85"/>
      <c r="G1552" s="86"/>
      <c r="H1552" s="86"/>
      <c r="I1552" s="86">
        <f t="shared" si="1"/>
        <v>0</v>
      </c>
      <c r="J1552" s="86"/>
      <c r="K1552" s="22"/>
    </row>
    <row r="1553" ht="22.5" customHeight="1">
      <c r="A1553" s="83"/>
      <c r="B1553" s="84"/>
      <c r="C1553" s="85"/>
      <c r="D1553" s="85"/>
      <c r="E1553" s="86"/>
      <c r="F1553" s="85"/>
      <c r="G1553" s="86"/>
      <c r="H1553" s="86"/>
      <c r="I1553" s="86">
        <f t="shared" si="1"/>
        <v>0</v>
      </c>
      <c r="J1553" s="86"/>
      <c r="K1553" s="22"/>
    </row>
    <row r="1554" ht="22.5" customHeight="1">
      <c r="A1554" s="83"/>
      <c r="B1554" s="84"/>
      <c r="C1554" s="85"/>
      <c r="D1554" s="85"/>
      <c r="E1554" s="86"/>
      <c r="F1554" s="85"/>
      <c r="G1554" s="86"/>
      <c r="H1554" s="86"/>
      <c r="I1554" s="86">
        <f t="shared" si="1"/>
        <v>0</v>
      </c>
      <c r="J1554" s="86"/>
      <c r="K1554" s="22"/>
    </row>
    <row r="1555" ht="22.5" customHeight="1">
      <c r="A1555" s="83"/>
      <c r="B1555" s="84"/>
      <c r="C1555" s="85"/>
      <c r="D1555" s="85"/>
      <c r="E1555" s="86"/>
      <c r="F1555" s="85"/>
      <c r="G1555" s="86"/>
      <c r="H1555" s="86"/>
      <c r="I1555" s="86">
        <f t="shared" si="1"/>
        <v>0</v>
      </c>
      <c r="J1555" s="86"/>
      <c r="K1555" s="22"/>
    </row>
    <row r="1556" ht="22.5" customHeight="1">
      <c r="A1556" s="83"/>
      <c r="B1556" s="84"/>
      <c r="C1556" s="85"/>
      <c r="D1556" s="85"/>
      <c r="E1556" s="86"/>
      <c r="F1556" s="85"/>
      <c r="G1556" s="86"/>
      <c r="H1556" s="86"/>
      <c r="I1556" s="86">
        <f t="shared" si="1"/>
        <v>0</v>
      </c>
      <c r="J1556" s="86"/>
      <c r="K1556" s="22"/>
    </row>
    <row r="1557" ht="22.5" customHeight="1">
      <c r="A1557" s="83"/>
      <c r="B1557" s="84"/>
      <c r="C1557" s="85"/>
      <c r="D1557" s="85"/>
      <c r="E1557" s="86"/>
      <c r="F1557" s="85"/>
      <c r="G1557" s="86"/>
      <c r="H1557" s="86"/>
      <c r="I1557" s="86">
        <f t="shared" si="1"/>
        <v>0</v>
      </c>
      <c r="J1557" s="86"/>
      <c r="K1557" s="22"/>
    </row>
    <row r="1558" ht="22.5" customHeight="1">
      <c r="A1558" s="83"/>
      <c r="B1558" s="84"/>
      <c r="C1558" s="85"/>
      <c r="D1558" s="85"/>
      <c r="E1558" s="86"/>
      <c r="F1558" s="85"/>
      <c r="G1558" s="86"/>
      <c r="H1558" s="86"/>
      <c r="I1558" s="86">
        <f t="shared" si="1"/>
        <v>0</v>
      </c>
      <c r="J1558" s="86"/>
      <c r="K1558" s="22"/>
    </row>
    <row r="1559" ht="22.5" customHeight="1">
      <c r="A1559" s="83"/>
      <c r="B1559" s="84"/>
      <c r="C1559" s="85"/>
      <c r="D1559" s="85"/>
      <c r="E1559" s="86"/>
      <c r="F1559" s="85"/>
      <c r="G1559" s="86"/>
      <c r="H1559" s="86"/>
      <c r="I1559" s="86">
        <f t="shared" si="1"/>
        <v>0</v>
      </c>
      <c r="J1559" s="86"/>
      <c r="K1559" s="22"/>
    </row>
    <row r="1560" ht="22.5" customHeight="1">
      <c r="A1560" s="83"/>
      <c r="B1560" s="84"/>
      <c r="C1560" s="85"/>
      <c r="D1560" s="85"/>
      <c r="E1560" s="86"/>
      <c r="F1560" s="85"/>
      <c r="G1560" s="86"/>
      <c r="H1560" s="86"/>
      <c r="I1560" s="86">
        <f t="shared" si="1"/>
        <v>0</v>
      </c>
      <c r="J1560" s="86"/>
      <c r="K1560" s="22"/>
    </row>
    <row r="1561" ht="22.5" customHeight="1">
      <c r="A1561" s="83"/>
      <c r="B1561" s="84"/>
      <c r="C1561" s="85"/>
      <c r="D1561" s="85"/>
      <c r="E1561" s="86"/>
      <c r="F1561" s="85"/>
      <c r="G1561" s="86"/>
      <c r="H1561" s="86"/>
      <c r="I1561" s="86">
        <f t="shared" si="1"/>
        <v>0</v>
      </c>
      <c r="J1561" s="86"/>
      <c r="K1561" s="22"/>
    </row>
    <row r="1562" ht="22.5" customHeight="1">
      <c r="A1562" s="83"/>
      <c r="B1562" s="84"/>
      <c r="C1562" s="85"/>
      <c r="D1562" s="85"/>
      <c r="E1562" s="86"/>
      <c r="F1562" s="85"/>
      <c r="G1562" s="86"/>
      <c r="H1562" s="86"/>
      <c r="I1562" s="86">
        <f t="shared" si="1"/>
        <v>0</v>
      </c>
      <c r="J1562" s="86"/>
      <c r="K1562" s="22"/>
    </row>
    <row r="1563" ht="22.5" customHeight="1">
      <c r="A1563" s="83"/>
      <c r="B1563" s="84"/>
      <c r="C1563" s="85"/>
      <c r="D1563" s="85"/>
      <c r="E1563" s="86"/>
      <c r="F1563" s="85"/>
      <c r="G1563" s="86"/>
      <c r="H1563" s="86"/>
      <c r="I1563" s="86">
        <f t="shared" si="1"/>
        <v>0</v>
      </c>
      <c r="J1563" s="86"/>
      <c r="K1563" s="22"/>
    </row>
    <row r="1564" ht="22.5" customHeight="1">
      <c r="A1564" s="83"/>
      <c r="B1564" s="84"/>
      <c r="C1564" s="85"/>
      <c r="D1564" s="85"/>
      <c r="E1564" s="86"/>
      <c r="F1564" s="85"/>
      <c r="G1564" s="86"/>
      <c r="H1564" s="86"/>
      <c r="I1564" s="86">
        <f t="shared" si="1"/>
        <v>0</v>
      </c>
      <c r="J1564" s="86"/>
      <c r="K1564" s="22"/>
    </row>
    <row r="1565" ht="22.5" customHeight="1">
      <c r="A1565" s="83"/>
      <c r="B1565" s="84"/>
      <c r="C1565" s="85"/>
      <c r="D1565" s="85"/>
      <c r="E1565" s="86"/>
      <c r="F1565" s="85"/>
      <c r="G1565" s="86"/>
      <c r="H1565" s="86"/>
      <c r="I1565" s="86">
        <f t="shared" si="1"/>
        <v>0</v>
      </c>
      <c r="J1565" s="86"/>
      <c r="K1565" s="22"/>
    </row>
    <row r="1566" ht="22.5" customHeight="1">
      <c r="A1566" s="83"/>
      <c r="B1566" s="84"/>
      <c r="C1566" s="85"/>
      <c r="D1566" s="85"/>
      <c r="E1566" s="86"/>
      <c r="F1566" s="85"/>
      <c r="G1566" s="86"/>
      <c r="H1566" s="86"/>
      <c r="I1566" s="86">
        <f t="shared" si="1"/>
        <v>0</v>
      </c>
      <c r="J1566" s="86"/>
      <c r="K1566" s="22"/>
    </row>
    <row r="1567" ht="22.5" customHeight="1">
      <c r="A1567" s="83"/>
      <c r="B1567" s="84"/>
      <c r="C1567" s="85"/>
      <c r="D1567" s="85"/>
      <c r="E1567" s="86"/>
      <c r="F1567" s="85"/>
      <c r="G1567" s="86"/>
      <c r="H1567" s="86"/>
      <c r="I1567" s="86">
        <f t="shared" si="1"/>
        <v>0</v>
      </c>
      <c r="J1567" s="86"/>
      <c r="K1567" s="22"/>
    </row>
    <row r="1568" ht="22.5" customHeight="1">
      <c r="A1568" s="83"/>
      <c r="B1568" s="84"/>
      <c r="C1568" s="85"/>
      <c r="D1568" s="85"/>
      <c r="E1568" s="86"/>
      <c r="F1568" s="85"/>
      <c r="G1568" s="86"/>
      <c r="H1568" s="86"/>
      <c r="I1568" s="86">
        <f t="shared" si="1"/>
        <v>0</v>
      </c>
      <c r="J1568" s="86"/>
      <c r="K1568" s="22"/>
    </row>
    <row r="1569" ht="22.5" customHeight="1">
      <c r="A1569" s="83"/>
      <c r="B1569" s="84"/>
      <c r="C1569" s="85"/>
      <c r="D1569" s="85"/>
      <c r="E1569" s="86"/>
      <c r="F1569" s="85"/>
      <c r="G1569" s="86"/>
      <c r="H1569" s="86"/>
      <c r="I1569" s="86">
        <f t="shared" si="1"/>
        <v>0</v>
      </c>
      <c r="J1569" s="86"/>
      <c r="K1569" s="22"/>
    </row>
    <row r="1570" ht="22.5" customHeight="1">
      <c r="A1570" s="83"/>
      <c r="B1570" s="84"/>
      <c r="C1570" s="85"/>
      <c r="D1570" s="85"/>
      <c r="E1570" s="86"/>
      <c r="F1570" s="85"/>
      <c r="G1570" s="86"/>
      <c r="H1570" s="86"/>
      <c r="I1570" s="86">
        <f t="shared" si="1"/>
        <v>0</v>
      </c>
      <c r="J1570" s="86"/>
      <c r="K1570" s="22"/>
    </row>
    <row r="1571" ht="22.5" customHeight="1">
      <c r="A1571" s="83"/>
      <c r="B1571" s="84"/>
      <c r="C1571" s="85"/>
      <c r="D1571" s="85"/>
      <c r="E1571" s="86"/>
      <c r="F1571" s="85"/>
      <c r="G1571" s="86"/>
      <c r="H1571" s="86"/>
      <c r="I1571" s="86">
        <f t="shared" si="1"/>
        <v>0</v>
      </c>
      <c r="J1571" s="86"/>
      <c r="K1571" s="22"/>
    </row>
    <row r="1572" ht="22.5" customHeight="1">
      <c r="A1572" s="83"/>
      <c r="B1572" s="84"/>
      <c r="C1572" s="85"/>
      <c r="D1572" s="85"/>
      <c r="E1572" s="86"/>
      <c r="F1572" s="85"/>
      <c r="G1572" s="86"/>
      <c r="H1572" s="86"/>
      <c r="I1572" s="86">
        <f t="shared" si="1"/>
        <v>0</v>
      </c>
      <c r="J1572" s="86"/>
      <c r="K1572" s="22"/>
    </row>
    <row r="1573" ht="22.5" customHeight="1">
      <c r="A1573" s="83"/>
      <c r="B1573" s="84"/>
      <c r="C1573" s="85"/>
      <c r="D1573" s="85"/>
      <c r="E1573" s="86"/>
      <c r="F1573" s="85"/>
      <c r="G1573" s="86"/>
      <c r="H1573" s="86"/>
      <c r="I1573" s="86">
        <f t="shared" si="1"/>
        <v>0</v>
      </c>
      <c r="J1573" s="86"/>
      <c r="K1573" s="22"/>
    </row>
    <row r="1574" ht="22.5" customHeight="1">
      <c r="A1574" s="83"/>
      <c r="B1574" s="84"/>
      <c r="C1574" s="85"/>
      <c r="D1574" s="85"/>
      <c r="E1574" s="86"/>
      <c r="F1574" s="85"/>
      <c r="G1574" s="86"/>
      <c r="H1574" s="86"/>
      <c r="I1574" s="86">
        <f t="shared" si="1"/>
        <v>0</v>
      </c>
      <c r="J1574" s="86"/>
      <c r="K1574" s="22"/>
    </row>
    <row r="1575" ht="22.5" customHeight="1">
      <c r="A1575" s="83"/>
      <c r="B1575" s="84"/>
      <c r="C1575" s="85"/>
      <c r="D1575" s="85"/>
      <c r="E1575" s="86"/>
      <c r="F1575" s="85"/>
      <c r="G1575" s="86"/>
      <c r="H1575" s="86"/>
      <c r="I1575" s="86">
        <f t="shared" si="1"/>
        <v>0</v>
      </c>
      <c r="J1575" s="86"/>
      <c r="K1575" s="22"/>
    </row>
    <row r="1576" ht="22.5" customHeight="1">
      <c r="A1576" s="83"/>
      <c r="B1576" s="84"/>
      <c r="C1576" s="85"/>
      <c r="D1576" s="85"/>
      <c r="E1576" s="86"/>
      <c r="F1576" s="85"/>
      <c r="G1576" s="86"/>
      <c r="H1576" s="86"/>
      <c r="I1576" s="86">
        <f t="shared" si="1"/>
        <v>0</v>
      </c>
      <c r="J1576" s="86"/>
      <c r="K1576" s="22"/>
    </row>
    <row r="1577" ht="22.5" customHeight="1">
      <c r="A1577" s="83"/>
      <c r="B1577" s="84"/>
      <c r="C1577" s="85"/>
      <c r="D1577" s="85"/>
      <c r="E1577" s="86"/>
      <c r="F1577" s="85"/>
      <c r="G1577" s="86"/>
      <c r="H1577" s="86"/>
      <c r="I1577" s="86">
        <f t="shared" si="1"/>
        <v>0</v>
      </c>
      <c r="J1577" s="86"/>
      <c r="K1577" s="22"/>
    </row>
    <row r="1578" ht="22.5" customHeight="1">
      <c r="A1578" s="83"/>
      <c r="B1578" s="84"/>
      <c r="C1578" s="85"/>
      <c r="D1578" s="85"/>
      <c r="E1578" s="86"/>
      <c r="F1578" s="85"/>
      <c r="G1578" s="86"/>
      <c r="H1578" s="86"/>
      <c r="I1578" s="86">
        <f t="shared" si="1"/>
        <v>0</v>
      </c>
      <c r="J1578" s="86"/>
      <c r="K1578" s="22"/>
    </row>
    <row r="1579" ht="22.5" customHeight="1">
      <c r="A1579" s="83"/>
      <c r="B1579" s="84"/>
      <c r="C1579" s="85"/>
      <c r="D1579" s="85"/>
      <c r="E1579" s="86"/>
      <c r="F1579" s="85"/>
      <c r="G1579" s="86"/>
      <c r="H1579" s="86"/>
      <c r="I1579" s="86">
        <f t="shared" si="1"/>
        <v>0</v>
      </c>
      <c r="J1579" s="86"/>
      <c r="K1579" s="22"/>
    </row>
    <row r="1580" ht="22.5" customHeight="1">
      <c r="A1580" s="83"/>
      <c r="B1580" s="84"/>
      <c r="C1580" s="85"/>
      <c r="D1580" s="85"/>
      <c r="E1580" s="86"/>
      <c r="F1580" s="85"/>
      <c r="G1580" s="86"/>
      <c r="H1580" s="86"/>
      <c r="I1580" s="86">
        <f t="shared" si="1"/>
        <v>0</v>
      </c>
      <c r="J1580" s="86"/>
      <c r="K1580" s="22"/>
    </row>
    <row r="1581" ht="22.5" customHeight="1">
      <c r="A1581" s="83"/>
      <c r="B1581" s="84"/>
      <c r="C1581" s="85"/>
      <c r="D1581" s="85"/>
      <c r="E1581" s="86"/>
      <c r="F1581" s="85"/>
      <c r="G1581" s="86"/>
      <c r="H1581" s="86"/>
      <c r="I1581" s="86">
        <f t="shared" si="1"/>
        <v>0</v>
      </c>
      <c r="J1581" s="86"/>
      <c r="K1581" s="22"/>
    </row>
    <row r="1582" ht="22.5" customHeight="1">
      <c r="A1582" s="83"/>
      <c r="B1582" s="84"/>
      <c r="C1582" s="85"/>
      <c r="D1582" s="85"/>
      <c r="E1582" s="86"/>
      <c r="F1582" s="85"/>
      <c r="G1582" s="86"/>
      <c r="H1582" s="86"/>
      <c r="I1582" s="86">
        <f t="shared" si="1"/>
        <v>0</v>
      </c>
      <c r="J1582" s="86"/>
      <c r="K1582" s="22"/>
    </row>
    <row r="1583" ht="22.5" customHeight="1">
      <c r="A1583" s="83"/>
      <c r="B1583" s="84"/>
      <c r="C1583" s="85"/>
      <c r="D1583" s="85"/>
      <c r="E1583" s="86"/>
      <c r="F1583" s="85"/>
      <c r="G1583" s="86"/>
      <c r="H1583" s="86"/>
      <c r="I1583" s="86">
        <f t="shared" si="1"/>
        <v>0</v>
      </c>
      <c r="J1583" s="86"/>
      <c r="K1583" s="22"/>
    </row>
    <row r="1584" ht="22.5" customHeight="1">
      <c r="A1584" s="83"/>
      <c r="B1584" s="84"/>
      <c r="C1584" s="85"/>
      <c r="D1584" s="85"/>
      <c r="E1584" s="86"/>
      <c r="F1584" s="85"/>
      <c r="G1584" s="86"/>
      <c r="H1584" s="86"/>
      <c r="I1584" s="86">
        <f t="shared" si="1"/>
        <v>0</v>
      </c>
      <c r="J1584" s="86"/>
      <c r="K1584" s="22"/>
    </row>
    <row r="1585" ht="22.5" customHeight="1">
      <c r="A1585" s="83"/>
      <c r="B1585" s="84"/>
      <c r="C1585" s="85"/>
      <c r="D1585" s="85"/>
      <c r="E1585" s="86"/>
      <c r="F1585" s="85"/>
      <c r="G1585" s="86"/>
      <c r="H1585" s="86"/>
      <c r="I1585" s="86">
        <f t="shared" si="1"/>
        <v>0</v>
      </c>
      <c r="J1585" s="86"/>
      <c r="K1585" s="22"/>
    </row>
    <row r="1586" ht="22.5" customHeight="1">
      <c r="A1586" s="83"/>
      <c r="B1586" s="84"/>
      <c r="C1586" s="85"/>
      <c r="D1586" s="85"/>
      <c r="E1586" s="86"/>
      <c r="F1586" s="85"/>
      <c r="G1586" s="86"/>
      <c r="H1586" s="86"/>
      <c r="I1586" s="86">
        <f t="shared" si="1"/>
        <v>0</v>
      </c>
      <c r="J1586" s="86"/>
      <c r="K1586" s="22"/>
    </row>
    <row r="1587" ht="22.5" customHeight="1">
      <c r="A1587" s="83"/>
      <c r="B1587" s="84"/>
      <c r="C1587" s="85"/>
      <c r="D1587" s="85"/>
      <c r="E1587" s="86"/>
      <c r="F1587" s="85"/>
      <c r="G1587" s="86"/>
      <c r="H1587" s="86"/>
      <c r="I1587" s="86">
        <f t="shared" si="1"/>
        <v>0</v>
      </c>
      <c r="J1587" s="86"/>
      <c r="K1587" s="22"/>
    </row>
    <row r="1588" ht="22.5" customHeight="1">
      <c r="A1588" s="83"/>
      <c r="B1588" s="84"/>
      <c r="C1588" s="85"/>
      <c r="D1588" s="85"/>
      <c r="E1588" s="86"/>
      <c r="F1588" s="85"/>
      <c r="G1588" s="86"/>
      <c r="H1588" s="86"/>
      <c r="I1588" s="86">
        <f t="shared" si="1"/>
        <v>0</v>
      </c>
      <c r="J1588" s="86"/>
      <c r="K1588" s="22"/>
    </row>
    <row r="1589" ht="22.5" customHeight="1">
      <c r="A1589" s="83"/>
      <c r="B1589" s="84"/>
      <c r="C1589" s="85"/>
      <c r="D1589" s="85"/>
      <c r="E1589" s="86"/>
      <c r="F1589" s="85"/>
      <c r="G1589" s="86"/>
      <c r="H1589" s="86"/>
      <c r="I1589" s="86">
        <f t="shared" si="1"/>
        <v>0</v>
      </c>
      <c r="J1589" s="86"/>
      <c r="K1589" s="22"/>
    </row>
    <row r="1590" ht="22.5" customHeight="1">
      <c r="A1590" s="83"/>
      <c r="B1590" s="84"/>
      <c r="C1590" s="85"/>
      <c r="D1590" s="85"/>
      <c r="E1590" s="86"/>
      <c r="F1590" s="85"/>
      <c r="G1590" s="86"/>
      <c r="H1590" s="86"/>
      <c r="I1590" s="86">
        <f t="shared" si="1"/>
        <v>0</v>
      </c>
      <c r="J1590" s="86"/>
      <c r="K1590" s="22"/>
    </row>
    <row r="1591" ht="22.5" customHeight="1">
      <c r="A1591" s="83"/>
      <c r="B1591" s="84"/>
      <c r="C1591" s="85"/>
      <c r="D1591" s="85"/>
      <c r="E1591" s="86"/>
      <c r="F1591" s="85"/>
      <c r="G1591" s="86"/>
      <c r="H1591" s="86"/>
      <c r="I1591" s="86">
        <f t="shared" si="1"/>
        <v>0</v>
      </c>
      <c r="J1591" s="86"/>
      <c r="K1591" s="22"/>
    </row>
    <row r="1592" ht="22.5" customHeight="1">
      <c r="A1592" s="83"/>
      <c r="B1592" s="84"/>
      <c r="C1592" s="85"/>
      <c r="D1592" s="85"/>
      <c r="E1592" s="86"/>
      <c r="F1592" s="85"/>
      <c r="G1592" s="86"/>
      <c r="H1592" s="86"/>
      <c r="I1592" s="86">
        <f t="shared" si="1"/>
        <v>0</v>
      </c>
      <c r="J1592" s="86"/>
      <c r="K1592" s="22"/>
    </row>
    <row r="1593" ht="22.5" customHeight="1">
      <c r="A1593" s="83"/>
      <c r="B1593" s="84"/>
      <c r="C1593" s="85"/>
      <c r="D1593" s="85"/>
      <c r="E1593" s="86"/>
      <c r="F1593" s="85"/>
      <c r="G1593" s="86"/>
      <c r="H1593" s="86"/>
      <c r="I1593" s="86">
        <f t="shared" si="1"/>
        <v>0</v>
      </c>
      <c r="J1593" s="86"/>
      <c r="K1593" s="22"/>
    </row>
    <row r="1594" ht="22.5" customHeight="1">
      <c r="A1594" s="83"/>
      <c r="B1594" s="84"/>
      <c r="C1594" s="85"/>
      <c r="D1594" s="85"/>
      <c r="E1594" s="86"/>
      <c r="F1594" s="85"/>
      <c r="G1594" s="86"/>
      <c r="H1594" s="86"/>
      <c r="I1594" s="86">
        <f t="shared" si="1"/>
        <v>0</v>
      </c>
      <c r="J1594" s="86"/>
      <c r="K1594" s="22"/>
    </row>
    <row r="1595" ht="22.5" customHeight="1">
      <c r="A1595" s="83"/>
      <c r="B1595" s="84"/>
      <c r="C1595" s="85"/>
      <c r="D1595" s="85"/>
      <c r="E1595" s="86"/>
      <c r="F1595" s="85"/>
      <c r="G1595" s="86"/>
      <c r="H1595" s="86"/>
      <c r="I1595" s="86">
        <f t="shared" si="1"/>
        <v>0</v>
      </c>
      <c r="J1595" s="86"/>
      <c r="K1595" s="22"/>
    </row>
    <row r="1596" ht="22.5" customHeight="1">
      <c r="A1596" s="83"/>
      <c r="B1596" s="84"/>
      <c r="C1596" s="85"/>
      <c r="D1596" s="85"/>
      <c r="E1596" s="86"/>
      <c r="F1596" s="85"/>
      <c r="G1596" s="86"/>
      <c r="H1596" s="86"/>
      <c r="I1596" s="86">
        <f t="shared" si="1"/>
        <v>0</v>
      </c>
      <c r="J1596" s="86"/>
      <c r="K1596" s="22"/>
    </row>
    <row r="1597" ht="22.5" customHeight="1">
      <c r="A1597" s="83"/>
      <c r="B1597" s="84"/>
      <c r="C1597" s="85"/>
      <c r="D1597" s="85"/>
      <c r="E1597" s="86"/>
      <c r="F1597" s="85"/>
      <c r="G1597" s="86"/>
      <c r="H1597" s="86"/>
      <c r="I1597" s="86">
        <f t="shared" si="1"/>
        <v>0</v>
      </c>
      <c r="J1597" s="86"/>
      <c r="K1597" s="22"/>
    </row>
    <row r="1598" ht="22.5" customHeight="1">
      <c r="A1598" s="83"/>
      <c r="B1598" s="84"/>
      <c r="C1598" s="85"/>
      <c r="D1598" s="85"/>
      <c r="E1598" s="86"/>
      <c r="F1598" s="85"/>
      <c r="G1598" s="86"/>
      <c r="H1598" s="86"/>
      <c r="I1598" s="86">
        <f t="shared" si="1"/>
        <v>0</v>
      </c>
      <c r="J1598" s="86"/>
      <c r="K1598" s="22"/>
    </row>
    <row r="1599" ht="22.5" customHeight="1">
      <c r="A1599" s="83"/>
      <c r="B1599" s="84"/>
      <c r="C1599" s="85"/>
      <c r="D1599" s="85"/>
      <c r="E1599" s="86"/>
      <c r="F1599" s="85"/>
      <c r="G1599" s="86"/>
      <c r="H1599" s="86"/>
      <c r="I1599" s="86">
        <f t="shared" si="1"/>
        <v>0</v>
      </c>
      <c r="J1599" s="86"/>
      <c r="K1599" s="22"/>
    </row>
    <row r="1600" ht="22.5" customHeight="1">
      <c r="A1600" s="83"/>
      <c r="B1600" s="84"/>
      <c r="C1600" s="85"/>
      <c r="D1600" s="85"/>
      <c r="E1600" s="86"/>
      <c r="F1600" s="85"/>
      <c r="G1600" s="86"/>
      <c r="H1600" s="86"/>
      <c r="I1600" s="86">
        <f t="shared" si="1"/>
        <v>0</v>
      </c>
      <c r="J1600" s="86"/>
      <c r="K1600" s="22"/>
    </row>
    <row r="1601" ht="22.5" customHeight="1">
      <c r="A1601" s="83"/>
      <c r="B1601" s="84"/>
      <c r="C1601" s="85"/>
      <c r="D1601" s="85"/>
      <c r="E1601" s="86"/>
      <c r="F1601" s="85"/>
      <c r="G1601" s="86"/>
      <c r="H1601" s="86"/>
      <c r="I1601" s="86">
        <f t="shared" si="1"/>
        <v>0</v>
      </c>
      <c r="J1601" s="86"/>
      <c r="K1601" s="22"/>
    </row>
    <row r="1602" ht="22.5" customHeight="1">
      <c r="A1602" s="83"/>
      <c r="B1602" s="84"/>
      <c r="C1602" s="85"/>
      <c r="D1602" s="85"/>
      <c r="E1602" s="86"/>
      <c r="F1602" s="85"/>
      <c r="G1602" s="86"/>
      <c r="H1602" s="86"/>
      <c r="I1602" s="86">
        <f t="shared" si="1"/>
        <v>0</v>
      </c>
      <c r="J1602" s="86"/>
      <c r="K1602" s="22"/>
    </row>
    <row r="1603" ht="22.5" customHeight="1">
      <c r="A1603" s="83"/>
      <c r="B1603" s="84"/>
      <c r="C1603" s="85"/>
      <c r="D1603" s="85"/>
      <c r="E1603" s="86"/>
      <c r="F1603" s="85"/>
      <c r="G1603" s="86"/>
      <c r="H1603" s="86"/>
      <c r="I1603" s="86">
        <f t="shared" si="1"/>
        <v>0</v>
      </c>
      <c r="J1603" s="86"/>
      <c r="K1603" s="22"/>
    </row>
    <row r="1604" ht="22.5" customHeight="1">
      <c r="A1604" s="83"/>
      <c r="B1604" s="84"/>
      <c r="C1604" s="85"/>
      <c r="D1604" s="85"/>
      <c r="E1604" s="86"/>
      <c r="F1604" s="85"/>
      <c r="G1604" s="86"/>
      <c r="H1604" s="86"/>
      <c r="I1604" s="86">
        <f t="shared" si="1"/>
        <v>0</v>
      </c>
      <c r="J1604" s="86"/>
      <c r="K1604" s="22"/>
    </row>
    <row r="1605" ht="22.5" customHeight="1">
      <c r="A1605" s="83"/>
      <c r="B1605" s="84"/>
      <c r="C1605" s="85"/>
      <c r="D1605" s="85"/>
      <c r="E1605" s="86"/>
      <c r="F1605" s="85"/>
      <c r="G1605" s="86"/>
      <c r="H1605" s="86"/>
      <c r="I1605" s="86">
        <f t="shared" si="1"/>
        <v>0</v>
      </c>
      <c r="J1605" s="86"/>
      <c r="K1605" s="22"/>
    </row>
    <row r="1606" ht="22.5" customHeight="1">
      <c r="A1606" s="83"/>
      <c r="B1606" s="84"/>
      <c r="C1606" s="85"/>
      <c r="D1606" s="85"/>
      <c r="E1606" s="86"/>
      <c r="F1606" s="85"/>
      <c r="G1606" s="86"/>
      <c r="H1606" s="86"/>
      <c r="I1606" s="86">
        <f t="shared" si="1"/>
        <v>0</v>
      </c>
      <c r="J1606" s="86"/>
      <c r="K1606" s="22"/>
    </row>
    <row r="1607" ht="22.5" customHeight="1">
      <c r="A1607" s="83"/>
      <c r="B1607" s="84"/>
      <c r="C1607" s="85"/>
      <c r="D1607" s="85"/>
      <c r="E1607" s="86"/>
      <c r="F1607" s="85"/>
      <c r="G1607" s="86"/>
      <c r="H1607" s="86"/>
      <c r="I1607" s="86">
        <f t="shared" si="1"/>
        <v>0</v>
      </c>
      <c r="J1607" s="86"/>
      <c r="K1607" s="22"/>
    </row>
    <row r="1608" ht="22.5" customHeight="1">
      <c r="A1608" s="83"/>
      <c r="B1608" s="84"/>
      <c r="C1608" s="85"/>
      <c r="D1608" s="85"/>
      <c r="E1608" s="86"/>
      <c r="F1608" s="85"/>
      <c r="G1608" s="86"/>
      <c r="H1608" s="86"/>
      <c r="I1608" s="86">
        <f t="shared" si="1"/>
        <v>0</v>
      </c>
      <c r="J1608" s="86"/>
      <c r="K1608" s="22"/>
    </row>
    <row r="1609" ht="22.5" customHeight="1">
      <c r="A1609" s="83"/>
      <c r="B1609" s="84"/>
      <c r="C1609" s="85"/>
      <c r="D1609" s="85"/>
      <c r="E1609" s="86"/>
      <c r="F1609" s="85"/>
      <c r="G1609" s="86"/>
      <c r="H1609" s="86"/>
      <c r="I1609" s="86">
        <f t="shared" si="1"/>
        <v>0</v>
      </c>
      <c r="J1609" s="86"/>
      <c r="K1609" s="22"/>
    </row>
    <row r="1610" ht="22.5" customHeight="1">
      <c r="A1610" s="83"/>
      <c r="B1610" s="84"/>
      <c r="C1610" s="85"/>
      <c r="D1610" s="85"/>
      <c r="E1610" s="86"/>
      <c r="F1610" s="85"/>
      <c r="G1610" s="86"/>
      <c r="H1610" s="86"/>
      <c r="I1610" s="86">
        <f t="shared" si="1"/>
        <v>0</v>
      </c>
      <c r="J1610" s="86"/>
      <c r="K1610" s="22"/>
    </row>
    <row r="1611" ht="22.5" customHeight="1">
      <c r="A1611" s="83"/>
      <c r="B1611" s="84"/>
      <c r="C1611" s="85"/>
      <c r="D1611" s="85"/>
      <c r="E1611" s="86"/>
      <c r="F1611" s="85"/>
      <c r="G1611" s="86"/>
      <c r="H1611" s="86"/>
      <c r="I1611" s="86">
        <f t="shared" si="1"/>
        <v>0</v>
      </c>
      <c r="J1611" s="86"/>
      <c r="K1611" s="22"/>
    </row>
    <row r="1612" ht="22.5" customHeight="1">
      <c r="A1612" s="83"/>
      <c r="B1612" s="84"/>
      <c r="C1612" s="85"/>
      <c r="D1612" s="85"/>
      <c r="E1612" s="86"/>
      <c r="F1612" s="85"/>
      <c r="G1612" s="86"/>
      <c r="H1612" s="86"/>
      <c r="I1612" s="86">
        <f t="shared" si="1"/>
        <v>0</v>
      </c>
      <c r="J1612" s="86"/>
      <c r="K1612" s="22"/>
    </row>
    <row r="1613" ht="22.5" customHeight="1">
      <c r="A1613" s="83"/>
      <c r="B1613" s="84"/>
      <c r="C1613" s="85"/>
      <c r="D1613" s="85"/>
      <c r="E1613" s="86"/>
      <c r="F1613" s="85"/>
      <c r="G1613" s="86"/>
      <c r="H1613" s="86"/>
      <c r="I1613" s="86">
        <f t="shared" si="1"/>
        <v>0</v>
      </c>
      <c r="J1613" s="86"/>
      <c r="K1613" s="22"/>
    </row>
    <row r="1614" ht="22.5" customHeight="1">
      <c r="A1614" s="83"/>
      <c r="B1614" s="84"/>
      <c r="C1614" s="85"/>
      <c r="D1614" s="85"/>
      <c r="E1614" s="86"/>
      <c r="F1614" s="85"/>
      <c r="G1614" s="86"/>
      <c r="H1614" s="86"/>
      <c r="I1614" s="86">
        <f t="shared" si="1"/>
        <v>0</v>
      </c>
      <c r="J1614" s="86"/>
      <c r="K1614" s="22"/>
    </row>
    <row r="1615" ht="22.5" customHeight="1">
      <c r="A1615" s="83"/>
      <c r="B1615" s="84"/>
      <c r="C1615" s="85"/>
      <c r="D1615" s="85"/>
      <c r="E1615" s="86"/>
      <c r="F1615" s="85"/>
      <c r="G1615" s="86"/>
      <c r="H1615" s="86"/>
      <c r="I1615" s="86">
        <f t="shared" si="1"/>
        <v>0</v>
      </c>
      <c r="J1615" s="86"/>
      <c r="K1615" s="22"/>
    </row>
    <row r="1616" ht="22.5" customHeight="1">
      <c r="A1616" s="83"/>
      <c r="B1616" s="84"/>
      <c r="C1616" s="85"/>
      <c r="D1616" s="85"/>
      <c r="E1616" s="86"/>
      <c r="F1616" s="85"/>
      <c r="G1616" s="86"/>
      <c r="H1616" s="86"/>
      <c r="I1616" s="86">
        <f t="shared" si="1"/>
        <v>0</v>
      </c>
      <c r="J1616" s="86"/>
      <c r="K1616" s="22"/>
    </row>
    <row r="1617" ht="22.5" customHeight="1">
      <c r="A1617" s="83"/>
      <c r="B1617" s="84"/>
      <c r="C1617" s="85"/>
      <c r="D1617" s="85"/>
      <c r="E1617" s="86"/>
      <c r="F1617" s="85"/>
      <c r="G1617" s="86"/>
      <c r="H1617" s="86"/>
      <c r="I1617" s="86">
        <f t="shared" si="1"/>
        <v>0</v>
      </c>
      <c r="J1617" s="86"/>
      <c r="K1617" s="22"/>
    </row>
    <row r="1618" ht="22.5" customHeight="1">
      <c r="A1618" s="83"/>
      <c r="B1618" s="84"/>
      <c r="C1618" s="85"/>
      <c r="D1618" s="85"/>
      <c r="E1618" s="86"/>
      <c r="F1618" s="85"/>
      <c r="G1618" s="86"/>
      <c r="H1618" s="86"/>
      <c r="I1618" s="86">
        <f t="shared" si="1"/>
        <v>0</v>
      </c>
      <c r="J1618" s="86"/>
      <c r="K1618" s="22"/>
    </row>
    <row r="1619" ht="22.5" customHeight="1">
      <c r="A1619" s="83"/>
      <c r="B1619" s="84"/>
      <c r="C1619" s="85"/>
      <c r="D1619" s="85"/>
      <c r="E1619" s="86"/>
      <c r="F1619" s="85"/>
      <c r="G1619" s="86"/>
      <c r="H1619" s="86"/>
      <c r="I1619" s="86">
        <f t="shared" si="1"/>
        <v>0</v>
      </c>
      <c r="J1619" s="86"/>
      <c r="K1619" s="22"/>
    </row>
    <row r="1620" ht="22.5" customHeight="1">
      <c r="A1620" s="83"/>
      <c r="B1620" s="84"/>
      <c r="C1620" s="85"/>
      <c r="D1620" s="85"/>
      <c r="E1620" s="86"/>
      <c r="F1620" s="85"/>
      <c r="G1620" s="86"/>
      <c r="H1620" s="86"/>
      <c r="I1620" s="86">
        <f t="shared" si="1"/>
        <v>0</v>
      </c>
      <c r="J1620" s="86"/>
      <c r="K1620" s="22"/>
    </row>
    <row r="1621" ht="22.5" customHeight="1">
      <c r="A1621" s="83"/>
      <c r="B1621" s="84"/>
      <c r="C1621" s="85"/>
      <c r="D1621" s="85"/>
      <c r="E1621" s="86"/>
      <c r="F1621" s="85"/>
      <c r="G1621" s="86"/>
      <c r="H1621" s="86"/>
      <c r="I1621" s="86">
        <f t="shared" si="1"/>
        <v>0</v>
      </c>
      <c r="J1621" s="86"/>
      <c r="K1621" s="22"/>
    </row>
    <row r="1622" ht="22.5" customHeight="1">
      <c r="A1622" s="83"/>
      <c r="B1622" s="84"/>
      <c r="C1622" s="85"/>
      <c r="D1622" s="85"/>
      <c r="E1622" s="86"/>
      <c r="F1622" s="85"/>
      <c r="G1622" s="86"/>
      <c r="H1622" s="86"/>
      <c r="I1622" s="86">
        <f t="shared" si="1"/>
        <v>0</v>
      </c>
      <c r="J1622" s="86"/>
      <c r="K1622" s="22"/>
    </row>
    <row r="1623" ht="22.5" customHeight="1">
      <c r="A1623" s="83"/>
      <c r="B1623" s="84"/>
      <c r="C1623" s="85"/>
      <c r="D1623" s="85"/>
      <c r="E1623" s="86"/>
      <c r="F1623" s="85"/>
      <c r="G1623" s="86"/>
      <c r="H1623" s="86"/>
      <c r="I1623" s="86">
        <f t="shared" si="1"/>
        <v>0</v>
      </c>
      <c r="J1623" s="86"/>
      <c r="K1623" s="22"/>
    </row>
    <row r="1624" ht="22.5" customHeight="1">
      <c r="A1624" s="83"/>
      <c r="B1624" s="84"/>
      <c r="C1624" s="85"/>
      <c r="D1624" s="85"/>
      <c r="E1624" s="86"/>
      <c r="F1624" s="85"/>
      <c r="G1624" s="86"/>
      <c r="H1624" s="86"/>
      <c r="I1624" s="86">
        <f t="shared" si="1"/>
        <v>0</v>
      </c>
      <c r="J1624" s="86"/>
      <c r="K1624" s="22"/>
    </row>
    <row r="1625" ht="22.5" customHeight="1">
      <c r="A1625" s="83"/>
      <c r="B1625" s="84"/>
      <c r="C1625" s="85"/>
      <c r="D1625" s="85"/>
      <c r="E1625" s="86"/>
      <c r="F1625" s="85"/>
      <c r="G1625" s="86"/>
      <c r="H1625" s="86"/>
      <c r="I1625" s="86">
        <f t="shared" si="1"/>
        <v>0</v>
      </c>
      <c r="J1625" s="86"/>
      <c r="K1625" s="22"/>
    </row>
    <row r="1626" ht="22.5" customHeight="1">
      <c r="A1626" s="83"/>
      <c r="B1626" s="84"/>
      <c r="C1626" s="85"/>
      <c r="D1626" s="85"/>
      <c r="E1626" s="86"/>
      <c r="F1626" s="85"/>
      <c r="G1626" s="86"/>
      <c r="H1626" s="86"/>
      <c r="I1626" s="86">
        <f t="shared" si="1"/>
        <v>0</v>
      </c>
      <c r="J1626" s="86"/>
      <c r="K1626" s="22"/>
    </row>
    <row r="1627" ht="22.5" customHeight="1">
      <c r="A1627" s="83"/>
      <c r="B1627" s="84"/>
      <c r="C1627" s="85"/>
      <c r="D1627" s="85"/>
      <c r="E1627" s="86"/>
      <c r="F1627" s="85"/>
      <c r="G1627" s="86"/>
      <c r="H1627" s="86"/>
      <c r="I1627" s="86">
        <f t="shared" si="1"/>
        <v>0</v>
      </c>
      <c r="J1627" s="86"/>
      <c r="K1627" s="22"/>
    </row>
    <row r="1628" ht="22.5" customHeight="1">
      <c r="A1628" s="83"/>
      <c r="B1628" s="84"/>
      <c r="C1628" s="85"/>
      <c r="D1628" s="85"/>
      <c r="E1628" s="86"/>
      <c r="F1628" s="85"/>
      <c r="G1628" s="86"/>
      <c r="H1628" s="86"/>
      <c r="I1628" s="86">
        <f t="shared" si="1"/>
        <v>0</v>
      </c>
      <c r="J1628" s="86"/>
      <c r="K1628" s="22"/>
    </row>
    <row r="1629" ht="22.5" customHeight="1">
      <c r="A1629" s="83"/>
      <c r="B1629" s="84"/>
      <c r="C1629" s="85"/>
      <c r="D1629" s="85"/>
      <c r="E1629" s="86"/>
      <c r="F1629" s="85"/>
      <c r="G1629" s="86"/>
      <c r="H1629" s="86"/>
      <c r="I1629" s="86">
        <f t="shared" si="1"/>
        <v>0</v>
      </c>
      <c r="J1629" s="86"/>
      <c r="K1629" s="22"/>
    </row>
    <row r="1630" ht="22.5" customHeight="1">
      <c r="A1630" s="83"/>
      <c r="B1630" s="84"/>
      <c r="C1630" s="85"/>
      <c r="D1630" s="85"/>
      <c r="E1630" s="86"/>
      <c r="F1630" s="85"/>
      <c r="G1630" s="86"/>
      <c r="H1630" s="86"/>
      <c r="I1630" s="86">
        <f t="shared" si="1"/>
        <v>0</v>
      </c>
      <c r="J1630" s="86"/>
      <c r="K1630" s="22"/>
    </row>
    <row r="1631" ht="22.5" customHeight="1">
      <c r="A1631" s="83"/>
      <c r="B1631" s="84"/>
      <c r="C1631" s="85"/>
      <c r="D1631" s="85"/>
      <c r="E1631" s="86"/>
      <c r="F1631" s="85"/>
      <c r="G1631" s="86"/>
      <c r="H1631" s="86"/>
      <c r="I1631" s="86">
        <f t="shared" si="1"/>
        <v>0</v>
      </c>
      <c r="J1631" s="86"/>
      <c r="K1631" s="22"/>
    </row>
    <row r="1632" ht="22.5" customHeight="1">
      <c r="A1632" s="83"/>
      <c r="B1632" s="84"/>
      <c r="C1632" s="85"/>
      <c r="D1632" s="85"/>
      <c r="E1632" s="86"/>
      <c r="F1632" s="85"/>
      <c r="G1632" s="86"/>
      <c r="H1632" s="86"/>
      <c r="I1632" s="86">
        <f t="shared" si="1"/>
        <v>0</v>
      </c>
      <c r="J1632" s="86"/>
      <c r="K1632" s="22"/>
    </row>
    <row r="1633" ht="22.5" customHeight="1">
      <c r="A1633" s="83"/>
      <c r="B1633" s="84"/>
      <c r="C1633" s="85"/>
      <c r="D1633" s="85"/>
      <c r="E1633" s="86"/>
      <c r="F1633" s="85"/>
      <c r="G1633" s="86"/>
      <c r="H1633" s="86"/>
      <c r="I1633" s="86">
        <f t="shared" si="1"/>
        <v>0</v>
      </c>
      <c r="J1633" s="86"/>
      <c r="K1633" s="22"/>
    </row>
    <row r="1634" ht="22.5" customHeight="1">
      <c r="A1634" s="83"/>
      <c r="B1634" s="84"/>
      <c r="C1634" s="85"/>
      <c r="D1634" s="85"/>
      <c r="E1634" s="86"/>
      <c r="F1634" s="85"/>
      <c r="G1634" s="86"/>
      <c r="H1634" s="86"/>
      <c r="I1634" s="86">
        <f t="shared" si="1"/>
        <v>0</v>
      </c>
      <c r="J1634" s="86"/>
      <c r="K1634" s="22"/>
    </row>
    <row r="1635" ht="22.5" customHeight="1">
      <c r="A1635" s="83"/>
      <c r="B1635" s="84"/>
      <c r="C1635" s="85"/>
      <c r="D1635" s="85"/>
      <c r="E1635" s="86"/>
      <c r="F1635" s="85"/>
      <c r="G1635" s="86"/>
      <c r="H1635" s="86"/>
      <c r="I1635" s="86">
        <f t="shared" si="1"/>
        <v>0</v>
      </c>
      <c r="J1635" s="86"/>
      <c r="K1635" s="22"/>
    </row>
    <row r="1636" ht="22.5" customHeight="1">
      <c r="A1636" s="83"/>
      <c r="B1636" s="84"/>
      <c r="C1636" s="85"/>
      <c r="D1636" s="85"/>
      <c r="E1636" s="86"/>
      <c r="F1636" s="85"/>
      <c r="G1636" s="86"/>
      <c r="H1636" s="86"/>
      <c r="I1636" s="86">
        <f t="shared" si="1"/>
        <v>0</v>
      </c>
      <c r="J1636" s="86"/>
      <c r="K1636" s="22"/>
    </row>
    <row r="1637" ht="22.5" customHeight="1">
      <c r="A1637" s="83"/>
      <c r="B1637" s="84"/>
      <c r="C1637" s="85"/>
      <c r="D1637" s="85"/>
      <c r="E1637" s="86"/>
      <c r="F1637" s="85"/>
      <c r="G1637" s="86"/>
      <c r="H1637" s="86"/>
      <c r="I1637" s="86">
        <f t="shared" si="1"/>
        <v>0</v>
      </c>
      <c r="J1637" s="86"/>
      <c r="K1637" s="22"/>
    </row>
    <row r="1638" ht="22.5" customHeight="1">
      <c r="A1638" s="83"/>
      <c r="B1638" s="84"/>
      <c r="C1638" s="85"/>
      <c r="D1638" s="85"/>
      <c r="E1638" s="86"/>
      <c r="F1638" s="85"/>
      <c r="G1638" s="86"/>
      <c r="H1638" s="86"/>
      <c r="I1638" s="86">
        <f t="shared" si="1"/>
        <v>0</v>
      </c>
      <c r="J1638" s="86"/>
      <c r="K1638" s="22"/>
    </row>
    <row r="1639" ht="22.5" customHeight="1">
      <c r="A1639" s="83"/>
      <c r="B1639" s="84"/>
      <c r="C1639" s="85"/>
      <c r="D1639" s="85"/>
      <c r="E1639" s="86"/>
      <c r="F1639" s="85"/>
      <c r="G1639" s="86"/>
      <c r="H1639" s="86"/>
      <c r="I1639" s="86">
        <f t="shared" si="1"/>
        <v>0</v>
      </c>
      <c r="J1639" s="86"/>
      <c r="K1639" s="22"/>
    </row>
    <row r="1640" ht="22.5" customHeight="1">
      <c r="A1640" s="83"/>
      <c r="B1640" s="84"/>
      <c r="C1640" s="85"/>
      <c r="D1640" s="85"/>
      <c r="E1640" s="86"/>
      <c r="F1640" s="85"/>
      <c r="G1640" s="86"/>
      <c r="H1640" s="86"/>
      <c r="I1640" s="86">
        <f t="shared" si="1"/>
        <v>0</v>
      </c>
      <c r="J1640" s="86"/>
      <c r="K1640" s="22"/>
    </row>
    <row r="1641" ht="22.5" customHeight="1">
      <c r="A1641" s="83"/>
      <c r="B1641" s="84"/>
      <c r="C1641" s="85"/>
      <c r="D1641" s="85"/>
      <c r="E1641" s="86"/>
      <c r="F1641" s="85"/>
      <c r="G1641" s="86"/>
      <c r="H1641" s="86"/>
      <c r="I1641" s="86">
        <f t="shared" si="1"/>
        <v>0</v>
      </c>
      <c r="J1641" s="86"/>
      <c r="K1641" s="22"/>
    </row>
    <row r="1642" ht="22.5" customHeight="1">
      <c r="A1642" s="83"/>
      <c r="B1642" s="84"/>
      <c r="C1642" s="85"/>
      <c r="D1642" s="85"/>
      <c r="E1642" s="86"/>
      <c r="F1642" s="85"/>
      <c r="G1642" s="86"/>
      <c r="H1642" s="86"/>
      <c r="I1642" s="86">
        <f t="shared" si="1"/>
        <v>0</v>
      </c>
      <c r="J1642" s="86"/>
      <c r="K1642" s="22"/>
    </row>
    <row r="1643" ht="22.5" customHeight="1">
      <c r="A1643" s="83"/>
      <c r="B1643" s="84"/>
      <c r="C1643" s="85"/>
      <c r="D1643" s="85"/>
      <c r="E1643" s="86"/>
      <c r="F1643" s="85"/>
      <c r="G1643" s="86"/>
      <c r="H1643" s="86"/>
      <c r="I1643" s="86">
        <f t="shared" si="1"/>
        <v>0</v>
      </c>
      <c r="J1643" s="86"/>
      <c r="K1643" s="22"/>
    </row>
    <row r="1644" ht="22.5" customHeight="1">
      <c r="A1644" s="83"/>
      <c r="B1644" s="84"/>
      <c r="C1644" s="85"/>
      <c r="D1644" s="85"/>
      <c r="E1644" s="86"/>
      <c r="F1644" s="85"/>
      <c r="G1644" s="86"/>
      <c r="H1644" s="86"/>
      <c r="I1644" s="86">
        <f t="shared" si="1"/>
        <v>0</v>
      </c>
      <c r="J1644" s="86"/>
      <c r="K1644" s="22"/>
    </row>
    <row r="1645" ht="22.5" customHeight="1">
      <c r="A1645" s="83"/>
      <c r="B1645" s="84"/>
      <c r="C1645" s="85"/>
      <c r="D1645" s="85"/>
      <c r="E1645" s="86"/>
      <c r="F1645" s="85"/>
      <c r="G1645" s="86"/>
      <c r="H1645" s="86"/>
      <c r="I1645" s="86">
        <f t="shared" si="1"/>
        <v>0</v>
      </c>
      <c r="J1645" s="86"/>
      <c r="K1645" s="22"/>
    </row>
    <row r="1646" ht="22.5" customHeight="1">
      <c r="A1646" s="83"/>
      <c r="B1646" s="84"/>
      <c r="C1646" s="85"/>
      <c r="D1646" s="85"/>
      <c r="E1646" s="86"/>
      <c r="F1646" s="85"/>
      <c r="G1646" s="86"/>
      <c r="H1646" s="86"/>
      <c r="I1646" s="86">
        <f t="shared" si="1"/>
        <v>0</v>
      </c>
      <c r="J1646" s="86"/>
      <c r="K1646" s="22"/>
    </row>
    <row r="1647" ht="22.5" customHeight="1">
      <c r="A1647" s="83"/>
      <c r="B1647" s="84"/>
      <c r="C1647" s="85"/>
      <c r="D1647" s="85"/>
      <c r="E1647" s="86"/>
      <c r="F1647" s="85"/>
      <c r="G1647" s="86"/>
      <c r="H1647" s="86"/>
      <c r="I1647" s="86">
        <f t="shared" si="1"/>
        <v>0</v>
      </c>
      <c r="J1647" s="86"/>
      <c r="K1647" s="22"/>
    </row>
    <row r="1648" ht="22.5" customHeight="1">
      <c r="A1648" s="83"/>
      <c r="B1648" s="84"/>
      <c r="C1648" s="85"/>
      <c r="D1648" s="85"/>
      <c r="E1648" s="86"/>
      <c r="F1648" s="85"/>
      <c r="G1648" s="86"/>
      <c r="H1648" s="86"/>
      <c r="I1648" s="86">
        <f t="shared" si="1"/>
        <v>0</v>
      </c>
      <c r="J1648" s="86"/>
      <c r="K1648" s="22"/>
    </row>
    <row r="1649" ht="22.5" customHeight="1">
      <c r="A1649" s="83"/>
      <c r="B1649" s="84"/>
      <c r="C1649" s="85"/>
      <c r="D1649" s="85"/>
      <c r="E1649" s="86"/>
      <c r="F1649" s="85"/>
      <c r="G1649" s="86"/>
      <c r="H1649" s="86"/>
      <c r="I1649" s="86">
        <f t="shared" si="1"/>
        <v>0</v>
      </c>
      <c r="J1649" s="86"/>
      <c r="K1649" s="22"/>
    </row>
    <row r="1650" ht="22.5" customHeight="1">
      <c r="A1650" s="83"/>
      <c r="B1650" s="84"/>
      <c r="C1650" s="85"/>
      <c r="D1650" s="85"/>
      <c r="E1650" s="86"/>
      <c r="F1650" s="85"/>
      <c r="G1650" s="86"/>
      <c r="H1650" s="86"/>
      <c r="I1650" s="86">
        <f t="shared" si="1"/>
        <v>0</v>
      </c>
      <c r="J1650" s="86"/>
      <c r="K1650" s="22"/>
    </row>
    <row r="1651" ht="22.5" customHeight="1">
      <c r="A1651" s="83"/>
      <c r="B1651" s="84"/>
      <c r="C1651" s="85"/>
      <c r="D1651" s="85"/>
      <c r="E1651" s="86"/>
      <c r="F1651" s="85"/>
      <c r="G1651" s="86"/>
      <c r="H1651" s="86"/>
      <c r="I1651" s="86">
        <f t="shared" si="1"/>
        <v>0</v>
      </c>
      <c r="J1651" s="86"/>
      <c r="K1651" s="22"/>
    </row>
    <row r="1652" ht="22.5" customHeight="1">
      <c r="A1652" s="83"/>
      <c r="B1652" s="84"/>
      <c r="C1652" s="85"/>
      <c r="D1652" s="85"/>
      <c r="E1652" s="86"/>
      <c r="F1652" s="85"/>
      <c r="G1652" s="86"/>
      <c r="H1652" s="86"/>
      <c r="I1652" s="86">
        <f t="shared" si="1"/>
        <v>0</v>
      </c>
      <c r="J1652" s="86"/>
      <c r="K1652" s="22"/>
    </row>
    <row r="1653" ht="22.5" customHeight="1">
      <c r="A1653" s="83"/>
      <c r="B1653" s="84"/>
      <c r="C1653" s="85"/>
      <c r="D1653" s="85"/>
      <c r="E1653" s="86"/>
      <c r="F1653" s="85"/>
      <c r="G1653" s="86"/>
      <c r="H1653" s="86"/>
      <c r="I1653" s="86">
        <f t="shared" si="1"/>
        <v>0</v>
      </c>
      <c r="J1653" s="86"/>
      <c r="K1653" s="22"/>
    </row>
    <row r="1654" ht="22.5" customHeight="1">
      <c r="A1654" s="83"/>
      <c r="B1654" s="84"/>
      <c r="C1654" s="85"/>
      <c r="D1654" s="85"/>
      <c r="E1654" s="86"/>
      <c r="F1654" s="85"/>
      <c r="G1654" s="86"/>
      <c r="H1654" s="86"/>
      <c r="I1654" s="86">
        <f t="shared" si="1"/>
        <v>0</v>
      </c>
      <c r="J1654" s="86"/>
      <c r="K1654" s="22"/>
    </row>
    <row r="1655" ht="22.5" customHeight="1">
      <c r="A1655" s="83"/>
      <c r="B1655" s="84"/>
      <c r="C1655" s="85"/>
      <c r="D1655" s="85"/>
      <c r="E1655" s="86"/>
      <c r="F1655" s="85"/>
      <c r="G1655" s="86"/>
      <c r="H1655" s="86"/>
      <c r="I1655" s="86">
        <f t="shared" si="1"/>
        <v>0</v>
      </c>
      <c r="J1655" s="86"/>
      <c r="K1655" s="22"/>
    </row>
    <row r="1656" ht="22.5" customHeight="1">
      <c r="A1656" s="83"/>
      <c r="B1656" s="84"/>
      <c r="C1656" s="85"/>
      <c r="D1656" s="85"/>
      <c r="E1656" s="86"/>
      <c r="F1656" s="85"/>
      <c r="G1656" s="86"/>
      <c r="H1656" s="86"/>
      <c r="I1656" s="86">
        <f t="shared" si="1"/>
        <v>0</v>
      </c>
      <c r="J1656" s="86"/>
      <c r="K1656" s="22"/>
    </row>
    <row r="1657" ht="22.5" customHeight="1">
      <c r="A1657" s="83"/>
      <c r="B1657" s="84"/>
      <c r="C1657" s="85"/>
      <c r="D1657" s="85"/>
      <c r="E1657" s="86"/>
      <c r="F1657" s="85"/>
      <c r="G1657" s="86"/>
      <c r="H1657" s="86"/>
      <c r="I1657" s="86">
        <f t="shared" si="1"/>
        <v>0</v>
      </c>
      <c r="J1657" s="86"/>
      <c r="K1657" s="22"/>
    </row>
    <row r="1658" ht="22.5" customHeight="1">
      <c r="A1658" s="83"/>
      <c r="B1658" s="84"/>
      <c r="C1658" s="85"/>
      <c r="D1658" s="85"/>
      <c r="E1658" s="86"/>
      <c r="F1658" s="85"/>
      <c r="G1658" s="86"/>
      <c r="H1658" s="86"/>
      <c r="I1658" s="86">
        <f t="shared" si="1"/>
        <v>0</v>
      </c>
      <c r="J1658" s="86"/>
      <c r="K1658" s="22"/>
    </row>
    <row r="1659" ht="22.5" customHeight="1">
      <c r="A1659" s="83"/>
      <c r="B1659" s="84"/>
      <c r="C1659" s="85"/>
      <c r="D1659" s="85"/>
      <c r="E1659" s="86"/>
      <c r="F1659" s="85"/>
      <c r="G1659" s="86"/>
      <c r="H1659" s="86"/>
      <c r="I1659" s="86">
        <f t="shared" si="1"/>
        <v>0</v>
      </c>
      <c r="J1659" s="86"/>
      <c r="K1659" s="22"/>
    </row>
    <row r="1660" ht="22.5" customHeight="1">
      <c r="A1660" s="83"/>
      <c r="B1660" s="84"/>
      <c r="C1660" s="85"/>
      <c r="D1660" s="85"/>
      <c r="E1660" s="86"/>
      <c r="F1660" s="85"/>
      <c r="G1660" s="86"/>
      <c r="H1660" s="86"/>
      <c r="I1660" s="86">
        <f t="shared" si="1"/>
        <v>0</v>
      </c>
      <c r="J1660" s="86"/>
      <c r="K1660" s="22"/>
    </row>
    <row r="1661" ht="22.5" customHeight="1">
      <c r="A1661" s="83"/>
      <c r="B1661" s="84"/>
      <c r="C1661" s="85"/>
      <c r="D1661" s="85"/>
      <c r="E1661" s="86"/>
      <c r="F1661" s="85"/>
      <c r="G1661" s="86"/>
      <c r="H1661" s="86"/>
      <c r="I1661" s="86">
        <f t="shared" si="1"/>
        <v>0</v>
      </c>
      <c r="J1661" s="86"/>
      <c r="K1661" s="22"/>
    </row>
    <row r="1662" ht="22.5" customHeight="1">
      <c r="A1662" s="83"/>
      <c r="B1662" s="84"/>
      <c r="C1662" s="85"/>
      <c r="D1662" s="85"/>
      <c r="E1662" s="86"/>
      <c r="F1662" s="85"/>
      <c r="G1662" s="86"/>
      <c r="H1662" s="86"/>
      <c r="I1662" s="86">
        <f t="shared" si="1"/>
        <v>0</v>
      </c>
      <c r="J1662" s="86"/>
      <c r="K1662" s="22"/>
    </row>
    <row r="1663" ht="22.5" customHeight="1">
      <c r="A1663" s="83"/>
      <c r="B1663" s="84"/>
      <c r="C1663" s="85"/>
      <c r="D1663" s="85"/>
      <c r="E1663" s="86"/>
      <c r="F1663" s="85"/>
      <c r="G1663" s="86"/>
      <c r="H1663" s="86"/>
      <c r="I1663" s="86">
        <f t="shared" si="1"/>
        <v>0</v>
      </c>
      <c r="J1663" s="86"/>
      <c r="K1663" s="22"/>
    </row>
    <row r="1664" ht="22.5" customHeight="1">
      <c r="A1664" s="83"/>
      <c r="B1664" s="84"/>
      <c r="C1664" s="85"/>
      <c r="D1664" s="85"/>
      <c r="E1664" s="86"/>
      <c r="F1664" s="85"/>
      <c r="G1664" s="86"/>
      <c r="H1664" s="86"/>
      <c r="I1664" s="86">
        <f t="shared" si="1"/>
        <v>0</v>
      </c>
      <c r="J1664" s="86"/>
      <c r="K1664" s="22"/>
    </row>
    <row r="1665" ht="22.5" customHeight="1">
      <c r="A1665" s="83"/>
      <c r="B1665" s="84"/>
      <c r="C1665" s="85"/>
      <c r="D1665" s="85"/>
      <c r="E1665" s="86"/>
      <c r="F1665" s="85"/>
      <c r="G1665" s="86"/>
      <c r="H1665" s="86"/>
      <c r="I1665" s="86">
        <f t="shared" si="1"/>
        <v>0</v>
      </c>
      <c r="J1665" s="86"/>
      <c r="K1665" s="22"/>
    </row>
    <row r="1666" ht="22.5" customHeight="1">
      <c r="A1666" s="83"/>
      <c r="B1666" s="84"/>
      <c r="C1666" s="85"/>
      <c r="D1666" s="85"/>
      <c r="E1666" s="86"/>
      <c r="F1666" s="85"/>
      <c r="G1666" s="86"/>
      <c r="H1666" s="86"/>
      <c r="I1666" s="86">
        <f t="shared" si="1"/>
        <v>0</v>
      </c>
      <c r="J1666" s="86"/>
      <c r="K1666" s="22"/>
    </row>
    <row r="1667" ht="22.5" customHeight="1">
      <c r="A1667" s="83"/>
      <c r="B1667" s="84"/>
      <c r="C1667" s="85"/>
      <c r="D1667" s="85"/>
      <c r="E1667" s="86"/>
      <c r="F1667" s="85"/>
      <c r="G1667" s="86"/>
      <c r="H1667" s="86"/>
      <c r="I1667" s="86">
        <f t="shared" si="1"/>
        <v>0</v>
      </c>
      <c r="J1667" s="86"/>
      <c r="K1667" s="22"/>
    </row>
    <row r="1668" ht="22.5" customHeight="1">
      <c r="A1668" s="83"/>
      <c r="B1668" s="84"/>
      <c r="C1668" s="85"/>
      <c r="D1668" s="85"/>
      <c r="E1668" s="86"/>
      <c r="F1668" s="85"/>
      <c r="G1668" s="86"/>
      <c r="H1668" s="86"/>
      <c r="I1668" s="86">
        <f t="shared" si="1"/>
        <v>0</v>
      </c>
      <c r="J1668" s="86"/>
      <c r="K1668" s="22"/>
    </row>
    <row r="1669" ht="22.5" customHeight="1">
      <c r="A1669" s="83"/>
      <c r="B1669" s="84"/>
      <c r="C1669" s="85"/>
      <c r="D1669" s="85"/>
      <c r="E1669" s="86"/>
      <c r="F1669" s="85"/>
      <c r="G1669" s="86"/>
      <c r="H1669" s="86"/>
      <c r="I1669" s="86">
        <f t="shared" si="1"/>
        <v>0</v>
      </c>
      <c r="J1669" s="86"/>
      <c r="K1669" s="22"/>
    </row>
    <row r="1670" ht="22.5" customHeight="1">
      <c r="A1670" s="83"/>
      <c r="B1670" s="84"/>
      <c r="C1670" s="85"/>
      <c r="D1670" s="85"/>
      <c r="E1670" s="86"/>
      <c r="F1670" s="85"/>
      <c r="G1670" s="86"/>
      <c r="H1670" s="86"/>
      <c r="I1670" s="86">
        <f t="shared" si="1"/>
        <v>0</v>
      </c>
      <c r="J1670" s="86"/>
      <c r="K1670" s="22"/>
    </row>
    <row r="1671" ht="22.5" customHeight="1">
      <c r="A1671" s="83"/>
      <c r="B1671" s="84"/>
      <c r="C1671" s="85"/>
      <c r="D1671" s="85"/>
      <c r="E1671" s="86"/>
      <c r="F1671" s="85"/>
      <c r="G1671" s="86"/>
      <c r="H1671" s="86"/>
      <c r="I1671" s="86">
        <f t="shared" si="1"/>
        <v>0</v>
      </c>
      <c r="J1671" s="86"/>
      <c r="K1671" s="22"/>
    </row>
    <row r="1672" ht="22.5" customHeight="1">
      <c r="A1672" s="83"/>
      <c r="B1672" s="84"/>
      <c r="C1672" s="85"/>
      <c r="D1672" s="85"/>
      <c r="E1672" s="86"/>
      <c r="F1672" s="85"/>
      <c r="G1672" s="86"/>
      <c r="H1672" s="86"/>
      <c r="I1672" s="86">
        <f t="shared" si="1"/>
        <v>0</v>
      </c>
      <c r="J1672" s="86"/>
      <c r="K1672" s="22"/>
    </row>
    <row r="1673" ht="22.5" customHeight="1">
      <c r="A1673" s="83"/>
      <c r="B1673" s="84"/>
      <c r="C1673" s="85"/>
      <c r="D1673" s="85"/>
      <c r="E1673" s="86"/>
      <c r="F1673" s="85"/>
      <c r="G1673" s="86"/>
      <c r="H1673" s="86"/>
      <c r="I1673" s="86">
        <f t="shared" si="1"/>
        <v>0</v>
      </c>
      <c r="J1673" s="86"/>
      <c r="K1673" s="22"/>
    </row>
    <row r="1674" ht="22.5" customHeight="1">
      <c r="A1674" s="83"/>
      <c r="B1674" s="84"/>
      <c r="C1674" s="85"/>
      <c r="D1674" s="85"/>
      <c r="E1674" s="86"/>
      <c r="F1674" s="85"/>
      <c r="G1674" s="86"/>
      <c r="H1674" s="86"/>
      <c r="I1674" s="86">
        <f t="shared" si="1"/>
        <v>0</v>
      </c>
      <c r="J1674" s="86"/>
      <c r="K1674" s="22"/>
    </row>
    <row r="1675" ht="22.5" customHeight="1">
      <c r="A1675" s="83"/>
      <c r="B1675" s="84"/>
      <c r="C1675" s="85"/>
      <c r="D1675" s="85"/>
      <c r="E1675" s="86"/>
      <c r="F1675" s="85"/>
      <c r="G1675" s="86"/>
      <c r="H1675" s="86"/>
      <c r="I1675" s="86">
        <f t="shared" si="1"/>
        <v>0</v>
      </c>
      <c r="J1675" s="86"/>
      <c r="K1675" s="22"/>
    </row>
    <row r="1676" ht="22.5" customHeight="1">
      <c r="A1676" s="83"/>
      <c r="B1676" s="84"/>
      <c r="C1676" s="85"/>
      <c r="D1676" s="85"/>
      <c r="E1676" s="86"/>
      <c r="F1676" s="85"/>
      <c r="G1676" s="86"/>
      <c r="H1676" s="86"/>
      <c r="I1676" s="86">
        <f t="shared" si="1"/>
        <v>0</v>
      </c>
      <c r="J1676" s="86"/>
      <c r="K1676" s="22"/>
    </row>
    <row r="1677" ht="22.5" customHeight="1">
      <c r="A1677" s="83"/>
      <c r="B1677" s="84"/>
      <c r="C1677" s="85"/>
      <c r="D1677" s="85"/>
      <c r="E1677" s="86"/>
      <c r="F1677" s="85"/>
      <c r="G1677" s="86"/>
      <c r="H1677" s="86"/>
      <c r="I1677" s="86">
        <f t="shared" si="1"/>
        <v>0</v>
      </c>
      <c r="J1677" s="86"/>
      <c r="K1677" s="22"/>
    </row>
    <row r="1678" ht="22.5" customHeight="1">
      <c r="A1678" s="83"/>
      <c r="B1678" s="84"/>
      <c r="C1678" s="85"/>
      <c r="D1678" s="85"/>
      <c r="E1678" s="86"/>
      <c r="F1678" s="85"/>
      <c r="G1678" s="86"/>
      <c r="H1678" s="86"/>
      <c r="I1678" s="86">
        <f t="shared" si="1"/>
        <v>0</v>
      </c>
      <c r="J1678" s="86"/>
      <c r="K1678" s="22"/>
    </row>
    <row r="1679" ht="22.5" customHeight="1">
      <c r="A1679" s="83"/>
      <c r="B1679" s="84"/>
      <c r="C1679" s="85"/>
      <c r="D1679" s="85"/>
      <c r="E1679" s="86"/>
      <c r="F1679" s="85"/>
      <c r="G1679" s="86"/>
      <c r="H1679" s="86"/>
      <c r="I1679" s="86">
        <f t="shared" si="1"/>
        <v>0</v>
      </c>
      <c r="J1679" s="86"/>
      <c r="K1679" s="22"/>
    </row>
    <row r="1680" ht="22.5" customHeight="1">
      <c r="A1680" s="83"/>
      <c r="B1680" s="84"/>
      <c r="C1680" s="85"/>
      <c r="D1680" s="85"/>
      <c r="E1680" s="86"/>
      <c r="F1680" s="85"/>
      <c r="G1680" s="86"/>
      <c r="H1680" s="86"/>
      <c r="I1680" s="86">
        <f t="shared" si="1"/>
        <v>0</v>
      </c>
      <c r="J1680" s="86"/>
      <c r="K1680" s="22"/>
    </row>
    <row r="1681" ht="22.5" customHeight="1">
      <c r="A1681" s="83"/>
      <c r="B1681" s="84"/>
      <c r="C1681" s="85"/>
      <c r="D1681" s="85"/>
      <c r="E1681" s="86"/>
      <c r="F1681" s="85"/>
      <c r="G1681" s="86"/>
      <c r="H1681" s="86"/>
      <c r="I1681" s="86">
        <f t="shared" si="1"/>
        <v>0</v>
      </c>
      <c r="J1681" s="86"/>
      <c r="K1681" s="22"/>
    </row>
    <row r="1682" ht="22.5" customHeight="1">
      <c r="A1682" s="83"/>
      <c r="B1682" s="84"/>
      <c r="C1682" s="85"/>
      <c r="D1682" s="85"/>
      <c r="E1682" s="86"/>
      <c r="F1682" s="85"/>
      <c r="G1682" s="86"/>
      <c r="H1682" s="86"/>
      <c r="I1682" s="86">
        <f t="shared" si="1"/>
        <v>0</v>
      </c>
      <c r="J1682" s="86"/>
      <c r="K1682" s="22"/>
    </row>
    <row r="1683" ht="22.5" customHeight="1">
      <c r="A1683" s="83"/>
      <c r="B1683" s="84"/>
      <c r="C1683" s="85"/>
      <c r="D1683" s="85"/>
      <c r="E1683" s="86"/>
      <c r="F1683" s="85"/>
      <c r="G1683" s="86"/>
      <c r="H1683" s="86"/>
      <c r="I1683" s="86">
        <f t="shared" si="1"/>
        <v>0</v>
      </c>
      <c r="J1683" s="86"/>
      <c r="K1683" s="22"/>
    </row>
    <row r="1684" ht="22.5" customHeight="1">
      <c r="A1684" s="83"/>
      <c r="B1684" s="84"/>
      <c r="C1684" s="85"/>
      <c r="D1684" s="85"/>
      <c r="E1684" s="86"/>
      <c r="F1684" s="85"/>
      <c r="G1684" s="86"/>
      <c r="H1684" s="86"/>
      <c r="I1684" s="86">
        <f t="shared" si="1"/>
        <v>0</v>
      </c>
      <c r="J1684" s="86"/>
      <c r="K1684" s="22"/>
    </row>
    <row r="1685" ht="22.5" customHeight="1">
      <c r="A1685" s="83"/>
      <c r="B1685" s="84"/>
      <c r="C1685" s="85"/>
      <c r="D1685" s="85"/>
      <c r="E1685" s="86"/>
      <c r="F1685" s="85"/>
      <c r="G1685" s="86"/>
      <c r="H1685" s="86"/>
      <c r="I1685" s="86">
        <f t="shared" si="1"/>
        <v>0</v>
      </c>
      <c r="J1685" s="86"/>
      <c r="K1685" s="22"/>
    </row>
    <row r="1686" ht="22.5" customHeight="1">
      <c r="A1686" s="83"/>
      <c r="B1686" s="84"/>
      <c r="C1686" s="85"/>
      <c r="D1686" s="85"/>
      <c r="E1686" s="86"/>
      <c r="F1686" s="85"/>
      <c r="G1686" s="86"/>
      <c r="H1686" s="86"/>
      <c r="I1686" s="86">
        <f t="shared" si="1"/>
        <v>0</v>
      </c>
      <c r="J1686" s="86"/>
      <c r="K1686" s="22"/>
    </row>
    <row r="1687" ht="22.5" customHeight="1">
      <c r="A1687" s="83"/>
      <c r="B1687" s="84"/>
      <c r="C1687" s="85"/>
      <c r="D1687" s="85"/>
      <c r="E1687" s="86"/>
      <c r="F1687" s="85"/>
      <c r="G1687" s="86"/>
      <c r="H1687" s="86"/>
      <c r="I1687" s="86">
        <f t="shared" si="1"/>
        <v>0</v>
      </c>
      <c r="J1687" s="86"/>
      <c r="K1687" s="22"/>
    </row>
    <row r="1688" ht="22.5" customHeight="1">
      <c r="A1688" s="83"/>
      <c r="B1688" s="84"/>
      <c r="C1688" s="85"/>
      <c r="D1688" s="85"/>
      <c r="E1688" s="86"/>
      <c r="F1688" s="85"/>
      <c r="G1688" s="86"/>
      <c r="H1688" s="86"/>
      <c r="I1688" s="86">
        <f t="shared" si="1"/>
        <v>0</v>
      </c>
      <c r="J1688" s="86"/>
      <c r="K1688" s="22"/>
    </row>
    <row r="1689" ht="22.5" customHeight="1">
      <c r="A1689" s="83"/>
      <c r="B1689" s="84"/>
      <c r="C1689" s="85"/>
      <c r="D1689" s="85"/>
      <c r="E1689" s="86"/>
      <c r="F1689" s="85"/>
      <c r="G1689" s="86"/>
      <c r="H1689" s="86"/>
      <c r="I1689" s="86">
        <f t="shared" si="1"/>
        <v>0</v>
      </c>
      <c r="J1689" s="86"/>
      <c r="K1689" s="22"/>
    </row>
    <row r="1690" ht="22.5" customHeight="1">
      <c r="A1690" s="83"/>
      <c r="B1690" s="84"/>
      <c r="C1690" s="85"/>
      <c r="D1690" s="85"/>
      <c r="E1690" s="86"/>
      <c r="F1690" s="85"/>
      <c r="G1690" s="86"/>
      <c r="H1690" s="86"/>
      <c r="I1690" s="86">
        <f t="shared" si="1"/>
        <v>0</v>
      </c>
      <c r="J1690" s="86"/>
      <c r="K1690" s="22"/>
    </row>
    <row r="1691" ht="22.5" customHeight="1">
      <c r="A1691" s="83"/>
      <c r="B1691" s="84"/>
      <c r="C1691" s="85"/>
      <c r="D1691" s="85"/>
      <c r="E1691" s="86"/>
      <c r="F1691" s="85"/>
      <c r="G1691" s="86"/>
      <c r="H1691" s="86"/>
      <c r="I1691" s="86">
        <f t="shared" si="1"/>
        <v>0</v>
      </c>
      <c r="J1691" s="86"/>
      <c r="K1691" s="22"/>
    </row>
    <row r="1692" ht="22.5" customHeight="1">
      <c r="A1692" s="83"/>
      <c r="B1692" s="84"/>
      <c r="C1692" s="85"/>
      <c r="D1692" s="85"/>
      <c r="E1692" s="86"/>
      <c r="F1692" s="85"/>
      <c r="G1692" s="86"/>
      <c r="H1692" s="86"/>
      <c r="I1692" s="86">
        <f t="shared" si="1"/>
        <v>0</v>
      </c>
      <c r="J1692" s="86"/>
      <c r="K1692" s="22"/>
    </row>
    <row r="1693" ht="22.5" customHeight="1">
      <c r="A1693" s="83"/>
      <c r="B1693" s="84"/>
      <c r="C1693" s="85"/>
      <c r="D1693" s="85"/>
      <c r="E1693" s="86"/>
      <c r="F1693" s="85"/>
      <c r="G1693" s="86"/>
      <c r="H1693" s="86"/>
      <c r="I1693" s="86">
        <f t="shared" si="1"/>
        <v>0</v>
      </c>
      <c r="J1693" s="86"/>
      <c r="K1693" s="22"/>
    </row>
    <row r="1694" ht="22.5" customHeight="1">
      <c r="A1694" s="83"/>
      <c r="B1694" s="84"/>
      <c r="C1694" s="85"/>
      <c r="D1694" s="85"/>
      <c r="E1694" s="86"/>
      <c r="F1694" s="85"/>
      <c r="G1694" s="86"/>
      <c r="H1694" s="86"/>
      <c r="I1694" s="86">
        <f t="shared" si="1"/>
        <v>0</v>
      </c>
      <c r="J1694" s="86"/>
      <c r="K1694" s="22"/>
    </row>
    <row r="1695" ht="22.5" customHeight="1">
      <c r="A1695" s="83"/>
      <c r="B1695" s="84"/>
      <c r="C1695" s="85"/>
      <c r="D1695" s="85"/>
      <c r="E1695" s="86"/>
      <c r="F1695" s="85"/>
      <c r="G1695" s="86"/>
      <c r="H1695" s="86"/>
      <c r="I1695" s="86">
        <f t="shared" si="1"/>
        <v>0</v>
      </c>
      <c r="J1695" s="86"/>
      <c r="K1695" s="22"/>
    </row>
    <row r="1696" ht="22.5" customHeight="1">
      <c r="A1696" s="83"/>
      <c r="B1696" s="84"/>
      <c r="C1696" s="85"/>
      <c r="D1696" s="85"/>
      <c r="E1696" s="86"/>
      <c r="F1696" s="85"/>
      <c r="G1696" s="86"/>
      <c r="H1696" s="86"/>
      <c r="I1696" s="86">
        <f t="shared" si="1"/>
        <v>0</v>
      </c>
      <c r="J1696" s="86"/>
      <c r="K1696" s="22"/>
    </row>
    <row r="1697" ht="22.5" customHeight="1">
      <c r="A1697" s="83"/>
      <c r="B1697" s="84"/>
      <c r="C1697" s="85"/>
      <c r="D1697" s="85"/>
      <c r="E1697" s="86"/>
      <c r="F1697" s="85"/>
      <c r="G1697" s="86"/>
      <c r="H1697" s="86"/>
      <c r="I1697" s="86">
        <f t="shared" si="1"/>
        <v>0</v>
      </c>
      <c r="J1697" s="86"/>
      <c r="K1697" s="22"/>
    </row>
    <row r="1698" ht="22.5" customHeight="1">
      <c r="A1698" s="83"/>
      <c r="B1698" s="84"/>
      <c r="C1698" s="85"/>
      <c r="D1698" s="85"/>
      <c r="E1698" s="86"/>
      <c r="F1698" s="85"/>
      <c r="G1698" s="86"/>
      <c r="H1698" s="86"/>
      <c r="I1698" s="86">
        <f t="shared" si="1"/>
        <v>0</v>
      </c>
      <c r="J1698" s="86"/>
      <c r="K1698" s="22"/>
    </row>
    <row r="1699" ht="22.5" customHeight="1">
      <c r="A1699" s="83"/>
      <c r="B1699" s="84"/>
      <c r="C1699" s="85"/>
      <c r="D1699" s="85"/>
      <c r="E1699" s="86"/>
      <c r="F1699" s="85"/>
      <c r="G1699" s="86"/>
      <c r="H1699" s="86"/>
      <c r="I1699" s="86">
        <f t="shared" si="1"/>
        <v>0</v>
      </c>
      <c r="J1699" s="86"/>
      <c r="K1699" s="22"/>
    </row>
    <row r="1700" ht="22.5" customHeight="1">
      <c r="A1700" s="83"/>
      <c r="B1700" s="84"/>
      <c r="C1700" s="85"/>
      <c r="D1700" s="85"/>
      <c r="E1700" s="86"/>
      <c r="F1700" s="85"/>
      <c r="G1700" s="86"/>
      <c r="H1700" s="86"/>
      <c r="I1700" s="86">
        <f t="shared" si="1"/>
        <v>0</v>
      </c>
      <c r="J1700" s="86"/>
      <c r="K1700" s="22"/>
    </row>
    <row r="1701" ht="22.5" customHeight="1">
      <c r="A1701" s="83"/>
      <c r="B1701" s="84"/>
      <c r="C1701" s="85"/>
      <c r="D1701" s="85"/>
      <c r="E1701" s="86"/>
      <c r="F1701" s="85"/>
      <c r="G1701" s="86"/>
      <c r="H1701" s="86"/>
      <c r="I1701" s="86">
        <f t="shared" si="1"/>
        <v>0</v>
      </c>
      <c r="J1701" s="86"/>
      <c r="K1701" s="22"/>
    </row>
    <row r="1702" ht="22.5" customHeight="1">
      <c r="A1702" s="83"/>
      <c r="B1702" s="84"/>
      <c r="C1702" s="85"/>
      <c r="D1702" s="85"/>
      <c r="E1702" s="86"/>
      <c r="F1702" s="85"/>
      <c r="G1702" s="86"/>
      <c r="H1702" s="86"/>
      <c r="I1702" s="86">
        <f t="shared" si="1"/>
        <v>0</v>
      </c>
      <c r="J1702" s="86"/>
      <c r="K1702" s="22"/>
    </row>
    <row r="1703" ht="22.5" customHeight="1">
      <c r="A1703" s="83"/>
      <c r="B1703" s="84"/>
      <c r="C1703" s="85"/>
      <c r="D1703" s="85"/>
      <c r="E1703" s="86"/>
      <c r="F1703" s="85"/>
      <c r="G1703" s="86"/>
      <c r="H1703" s="86"/>
      <c r="I1703" s="86">
        <f t="shared" si="1"/>
        <v>0</v>
      </c>
      <c r="J1703" s="86"/>
      <c r="K1703" s="22"/>
    </row>
    <row r="1704" ht="22.5" customHeight="1">
      <c r="A1704" s="83"/>
      <c r="B1704" s="84"/>
      <c r="C1704" s="85"/>
      <c r="D1704" s="85"/>
      <c r="E1704" s="86"/>
      <c r="F1704" s="85"/>
      <c r="G1704" s="86"/>
      <c r="H1704" s="86"/>
      <c r="I1704" s="86">
        <f t="shared" si="1"/>
        <v>0</v>
      </c>
      <c r="J1704" s="86"/>
      <c r="K1704" s="22"/>
    </row>
    <row r="1705" ht="22.5" customHeight="1">
      <c r="A1705" s="83"/>
      <c r="B1705" s="84"/>
      <c r="C1705" s="85"/>
      <c r="D1705" s="85"/>
      <c r="E1705" s="86"/>
      <c r="F1705" s="85"/>
      <c r="G1705" s="86"/>
      <c r="H1705" s="86"/>
      <c r="I1705" s="86">
        <f t="shared" si="1"/>
        <v>0</v>
      </c>
      <c r="J1705" s="86"/>
      <c r="K1705" s="22"/>
    </row>
    <row r="1706" ht="22.5" customHeight="1">
      <c r="A1706" s="83"/>
      <c r="B1706" s="84"/>
      <c r="C1706" s="85"/>
      <c r="D1706" s="85"/>
      <c r="E1706" s="86"/>
      <c r="F1706" s="85"/>
      <c r="G1706" s="86"/>
      <c r="H1706" s="86"/>
      <c r="I1706" s="86">
        <f t="shared" si="1"/>
        <v>0</v>
      </c>
      <c r="J1706" s="86"/>
      <c r="K1706" s="22"/>
    </row>
    <row r="1707" ht="22.5" customHeight="1">
      <c r="A1707" s="83"/>
      <c r="B1707" s="84"/>
      <c r="C1707" s="85"/>
      <c r="D1707" s="85"/>
      <c r="E1707" s="86"/>
      <c r="F1707" s="85"/>
      <c r="G1707" s="86"/>
      <c r="H1707" s="86"/>
      <c r="I1707" s="86">
        <f t="shared" si="1"/>
        <v>0</v>
      </c>
      <c r="J1707" s="86"/>
      <c r="K1707" s="22"/>
    </row>
    <row r="1708" ht="22.5" customHeight="1">
      <c r="A1708" s="83"/>
      <c r="B1708" s="84"/>
      <c r="C1708" s="85"/>
      <c r="D1708" s="85"/>
      <c r="E1708" s="86"/>
      <c r="F1708" s="85"/>
      <c r="G1708" s="86"/>
      <c r="H1708" s="86"/>
      <c r="I1708" s="86">
        <f t="shared" si="1"/>
        <v>0</v>
      </c>
      <c r="J1708" s="86"/>
      <c r="K1708" s="22"/>
    </row>
    <row r="1709" ht="22.5" customHeight="1">
      <c r="A1709" s="83"/>
      <c r="B1709" s="84"/>
      <c r="C1709" s="85"/>
      <c r="D1709" s="85"/>
      <c r="E1709" s="86"/>
      <c r="F1709" s="85"/>
      <c r="G1709" s="86"/>
      <c r="H1709" s="86"/>
      <c r="I1709" s="86">
        <f t="shared" si="1"/>
        <v>0</v>
      </c>
      <c r="J1709" s="86"/>
      <c r="K1709" s="22"/>
    </row>
    <row r="1710" ht="22.5" customHeight="1">
      <c r="A1710" s="83"/>
      <c r="B1710" s="84"/>
      <c r="C1710" s="85"/>
      <c r="D1710" s="85"/>
      <c r="E1710" s="86"/>
      <c r="F1710" s="85"/>
      <c r="G1710" s="86"/>
      <c r="H1710" s="86"/>
      <c r="I1710" s="86">
        <f t="shared" si="1"/>
        <v>0</v>
      </c>
      <c r="J1710" s="86"/>
      <c r="K1710" s="22"/>
    </row>
    <row r="1711" ht="22.5" customHeight="1">
      <c r="A1711" s="83"/>
      <c r="B1711" s="84"/>
      <c r="C1711" s="85"/>
      <c r="D1711" s="85"/>
      <c r="E1711" s="86"/>
      <c r="F1711" s="85"/>
      <c r="G1711" s="86"/>
      <c r="H1711" s="86"/>
      <c r="I1711" s="86">
        <f t="shared" si="1"/>
        <v>0</v>
      </c>
      <c r="J1711" s="86"/>
      <c r="K1711" s="22"/>
    </row>
    <row r="1712" ht="22.5" customHeight="1">
      <c r="A1712" s="83"/>
      <c r="B1712" s="84"/>
      <c r="C1712" s="85"/>
      <c r="D1712" s="85"/>
      <c r="E1712" s="86"/>
      <c r="F1712" s="85"/>
      <c r="G1712" s="86"/>
      <c r="H1712" s="86"/>
      <c r="I1712" s="86">
        <f t="shared" si="1"/>
        <v>0</v>
      </c>
      <c r="J1712" s="86"/>
      <c r="K1712" s="22"/>
    </row>
    <row r="1713" ht="22.5" customHeight="1">
      <c r="A1713" s="83"/>
      <c r="B1713" s="84"/>
      <c r="C1713" s="85"/>
      <c r="D1713" s="85"/>
      <c r="E1713" s="86"/>
      <c r="F1713" s="85"/>
      <c r="G1713" s="86"/>
      <c r="H1713" s="86"/>
      <c r="I1713" s="86">
        <f t="shared" si="1"/>
        <v>0</v>
      </c>
      <c r="J1713" s="86"/>
      <c r="K1713" s="22"/>
    </row>
    <row r="1714" ht="22.5" customHeight="1">
      <c r="A1714" s="83"/>
      <c r="B1714" s="84"/>
      <c r="C1714" s="85"/>
      <c r="D1714" s="85"/>
      <c r="E1714" s="86"/>
      <c r="F1714" s="85"/>
      <c r="G1714" s="86"/>
      <c r="H1714" s="86"/>
      <c r="I1714" s="86">
        <f t="shared" si="1"/>
        <v>0</v>
      </c>
      <c r="J1714" s="86"/>
      <c r="K1714" s="22"/>
    </row>
    <row r="1715" ht="22.5" customHeight="1">
      <c r="A1715" s="83"/>
      <c r="B1715" s="84"/>
      <c r="C1715" s="85"/>
      <c r="D1715" s="85"/>
      <c r="E1715" s="86"/>
      <c r="F1715" s="85"/>
      <c r="G1715" s="86"/>
      <c r="H1715" s="86"/>
      <c r="I1715" s="86">
        <f t="shared" si="1"/>
        <v>0</v>
      </c>
      <c r="J1715" s="86"/>
      <c r="K1715" s="22"/>
    </row>
    <row r="1716" ht="22.5" customHeight="1">
      <c r="A1716" s="83"/>
      <c r="B1716" s="84"/>
      <c r="C1716" s="85"/>
      <c r="D1716" s="85"/>
      <c r="E1716" s="86"/>
      <c r="F1716" s="85"/>
      <c r="G1716" s="86"/>
      <c r="H1716" s="86"/>
      <c r="I1716" s="86">
        <f t="shared" si="1"/>
        <v>0</v>
      </c>
      <c r="J1716" s="86"/>
      <c r="K1716" s="22"/>
    </row>
    <row r="1717" ht="22.5" customHeight="1">
      <c r="A1717" s="83"/>
      <c r="B1717" s="84"/>
      <c r="C1717" s="85"/>
      <c r="D1717" s="85"/>
      <c r="E1717" s="86"/>
      <c r="F1717" s="85"/>
      <c r="G1717" s="86"/>
      <c r="H1717" s="86"/>
      <c r="I1717" s="86">
        <f t="shared" si="1"/>
        <v>0</v>
      </c>
      <c r="J1717" s="86"/>
      <c r="K1717" s="22"/>
    </row>
    <row r="1718" ht="22.5" customHeight="1">
      <c r="A1718" s="83"/>
      <c r="B1718" s="84"/>
      <c r="C1718" s="85"/>
      <c r="D1718" s="85"/>
      <c r="E1718" s="86"/>
      <c r="F1718" s="85"/>
      <c r="G1718" s="86"/>
      <c r="H1718" s="86"/>
      <c r="I1718" s="86">
        <f t="shared" si="1"/>
        <v>0</v>
      </c>
      <c r="J1718" s="86"/>
      <c r="K1718" s="22"/>
    </row>
    <row r="1719" ht="22.5" customHeight="1">
      <c r="A1719" s="83"/>
      <c r="B1719" s="84"/>
      <c r="C1719" s="85"/>
      <c r="D1719" s="85"/>
      <c r="E1719" s="86"/>
      <c r="F1719" s="85"/>
      <c r="G1719" s="86"/>
      <c r="H1719" s="86"/>
      <c r="I1719" s="86">
        <f t="shared" si="1"/>
        <v>0</v>
      </c>
      <c r="J1719" s="86"/>
      <c r="K1719" s="22"/>
    </row>
    <row r="1720" ht="22.5" customHeight="1">
      <c r="A1720" s="83"/>
      <c r="B1720" s="84"/>
      <c r="C1720" s="85"/>
      <c r="D1720" s="85"/>
      <c r="E1720" s="86"/>
      <c r="F1720" s="85"/>
      <c r="G1720" s="86"/>
      <c r="H1720" s="86"/>
      <c r="I1720" s="86">
        <f t="shared" si="1"/>
        <v>0</v>
      </c>
      <c r="J1720" s="86"/>
      <c r="K1720" s="22"/>
    </row>
    <row r="1721" ht="22.5" customHeight="1">
      <c r="A1721" s="83"/>
      <c r="B1721" s="84"/>
      <c r="C1721" s="85"/>
      <c r="D1721" s="85"/>
      <c r="E1721" s="86"/>
      <c r="F1721" s="85"/>
      <c r="G1721" s="86"/>
      <c r="H1721" s="86"/>
      <c r="I1721" s="86">
        <f t="shared" si="1"/>
        <v>0</v>
      </c>
      <c r="J1721" s="86"/>
      <c r="K1721" s="22"/>
    </row>
    <row r="1722" ht="22.5" customHeight="1">
      <c r="A1722" s="83"/>
      <c r="B1722" s="84"/>
      <c r="C1722" s="85"/>
      <c r="D1722" s="85"/>
      <c r="E1722" s="86"/>
      <c r="F1722" s="85"/>
      <c r="G1722" s="86"/>
      <c r="H1722" s="86"/>
      <c r="I1722" s="86">
        <f t="shared" si="1"/>
        <v>0</v>
      </c>
      <c r="J1722" s="86"/>
      <c r="K1722" s="22"/>
    </row>
    <row r="1723" ht="22.5" customHeight="1">
      <c r="A1723" s="83"/>
      <c r="B1723" s="84"/>
      <c r="C1723" s="85"/>
      <c r="D1723" s="85"/>
      <c r="E1723" s="86"/>
      <c r="F1723" s="85"/>
      <c r="G1723" s="86"/>
      <c r="H1723" s="86"/>
      <c r="I1723" s="86">
        <f t="shared" si="1"/>
        <v>0</v>
      </c>
      <c r="J1723" s="86"/>
      <c r="K1723" s="22"/>
    </row>
    <row r="1724" ht="22.5" customHeight="1">
      <c r="A1724" s="83"/>
      <c r="B1724" s="84"/>
      <c r="C1724" s="85"/>
      <c r="D1724" s="85"/>
      <c r="E1724" s="86"/>
      <c r="F1724" s="85"/>
      <c r="G1724" s="86"/>
      <c r="H1724" s="86"/>
      <c r="I1724" s="86">
        <f t="shared" si="1"/>
        <v>0</v>
      </c>
      <c r="J1724" s="86"/>
      <c r="K1724" s="22"/>
    </row>
    <row r="1725" ht="22.5" customHeight="1">
      <c r="A1725" s="83"/>
      <c r="B1725" s="84"/>
      <c r="C1725" s="85"/>
      <c r="D1725" s="85"/>
      <c r="E1725" s="86"/>
      <c r="F1725" s="85"/>
      <c r="G1725" s="86"/>
      <c r="H1725" s="86"/>
      <c r="I1725" s="86">
        <f t="shared" si="1"/>
        <v>0</v>
      </c>
      <c r="J1725" s="86"/>
      <c r="K1725" s="22"/>
    </row>
    <row r="1726" ht="22.5" customHeight="1">
      <c r="A1726" s="83"/>
      <c r="B1726" s="84"/>
      <c r="C1726" s="85"/>
      <c r="D1726" s="85"/>
      <c r="E1726" s="86"/>
      <c r="F1726" s="85"/>
      <c r="G1726" s="86"/>
      <c r="H1726" s="86"/>
      <c r="I1726" s="86">
        <f t="shared" si="1"/>
        <v>0</v>
      </c>
      <c r="J1726" s="86"/>
      <c r="K1726" s="22"/>
    </row>
    <row r="1727" ht="22.5" customHeight="1">
      <c r="A1727" s="83"/>
      <c r="B1727" s="84"/>
      <c r="C1727" s="85"/>
      <c r="D1727" s="85"/>
      <c r="E1727" s="86"/>
      <c r="F1727" s="85"/>
      <c r="G1727" s="86"/>
      <c r="H1727" s="86"/>
      <c r="I1727" s="86">
        <f t="shared" si="1"/>
        <v>0</v>
      </c>
      <c r="J1727" s="86"/>
      <c r="K1727" s="22"/>
    </row>
    <row r="1728" ht="22.5" customHeight="1">
      <c r="A1728" s="83"/>
      <c r="B1728" s="84"/>
      <c r="C1728" s="85"/>
      <c r="D1728" s="85"/>
      <c r="E1728" s="86"/>
      <c r="F1728" s="85"/>
      <c r="G1728" s="86"/>
      <c r="H1728" s="86"/>
      <c r="I1728" s="86">
        <f t="shared" si="1"/>
        <v>0</v>
      </c>
      <c r="J1728" s="86"/>
      <c r="K1728" s="22"/>
    </row>
    <row r="1729" ht="22.5" customHeight="1">
      <c r="A1729" s="83"/>
      <c r="B1729" s="84"/>
      <c r="C1729" s="85"/>
      <c r="D1729" s="85"/>
      <c r="E1729" s="86"/>
      <c r="F1729" s="85"/>
      <c r="G1729" s="86"/>
      <c r="H1729" s="86"/>
      <c r="I1729" s="86">
        <f t="shared" si="1"/>
        <v>0</v>
      </c>
      <c r="J1729" s="86"/>
      <c r="K1729" s="22"/>
    </row>
    <row r="1730" ht="22.5" customHeight="1">
      <c r="A1730" s="83"/>
      <c r="B1730" s="84"/>
      <c r="C1730" s="85"/>
      <c r="D1730" s="85"/>
      <c r="E1730" s="86"/>
      <c r="F1730" s="85"/>
      <c r="G1730" s="86"/>
      <c r="H1730" s="86"/>
      <c r="I1730" s="86">
        <f t="shared" si="1"/>
        <v>0</v>
      </c>
      <c r="J1730" s="86"/>
      <c r="K1730" s="22"/>
    </row>
    <row r="1731" ht="22.5" customHeight="1">
      <c r="A1731" s="83"/>
      <c r="B1731" s="84"/>
      <c r="C1731" s="85"/>
      <c r="D1731" s="85"/>
      <c r="E1731" s="86"/>
      <c r="F1731" s="85"/>
      <c r="G1731" s="86"/>
      <c r="H1731" s="86"/>
      <c r="I1731" s="86">
        <f t="shared" si="1"/>
        <v>0</v>
      </c>
      <c r="J1731" s="86"/>
      <c r="K1731" s="22"/>
    </row>
    <row r="1732" ht="22.5" customHeight="1">
      <c r="A1732" s="83"/>
      <c r="B1732" s="84"/>
      <c r="C1732" s="85"/>
      <c r="D1732" s="85"/>
      <c r="E1732" s="86"/>
      <c r="F1732" s="85"/>
      <c r="G1732" s="86"/>
      <c r="H1732" s="86"/>
      <c r="I1732" s="86">
        <f t="shared" si="1"/>
        <v>0</v>
      </c>
      <c r="J1732" s="86"/>
      <c r="K1732" s="22"/>
    </row>
    <row r="1733" ht="22.5" customHeight="1">
      <c r="A1733" s="83"/>
      <c r="B1733" s="84"/>
      <c r="C1733" s="85"/>
      <c r="D1733" s="85"/>
      <c r="E1733" s="86"/>
      <c r="F1733" s="85"/>
      <c r="G1733" s="86"/>
      <c r="H1733" s="86"/>
      <c r="I1733" s="86">
        <f t="shared" si="1"/>
        <v>0</v>
      </c>
      <c r="J1733" s="86"/>
      <c r="K1733" s="22"/>
    </row>
    <row r="1734" ht="22.5" customHeight="1">
      <c r="A1734" s="83"/>
      <c r="B1734" s="84"/>
      <c r="C1734" s="85"/>
      <c r="D1734" s="85"/>
      <c r="E1734" s="86"/>
      <c r="F1734" s="85"/>
      <c r="G1734" s="86"/>
      <c r="H1734" s="86"/>
      <c r="I1734" s="86">
        <f t="shared" si="1"/>
        <v>0</v>
      </c>
      <c r="J1734" s="86"/>
      <c r="K1734" s="22"/>
    </row>
    <row r="1735" ht="22.5" customHeight="1">
      <c r="A1735" s="83"/>
      <c r="B1735" s="84"/>
      <c r="C1735" s="85"/>
      <c r="D1735" s="85"/>
      <c r="E1735" s="86"/>
      <c r="F1735" s="85"/>
      <c r="G1735" s="86"/>
      <c r="H1735" s="86"/>
      <c r="I1735" s="86">
        <f t="shared" si="1"/>
        <v>0</v>
      </c>
      <c r="J1735" s="86"/>
      <c r="K1735" s="22"/>
    </row>
    <row r="1736" ht="22.5" customHeight="1">
      <c r="A1736" s="83"/>
      <c r="B1736" s="84"/>
      <c r="C1736" s="85"/>
      <c r="D1736" s="85"/>
      <c r="E1736" s="86"/>
      <c r="F1736" s="85"/>
      <c r="G1736" s="86"/>
      <c r="H1736" s="86"/>
      <c r="I1736" s="86">
        <f t="shared" si="1"/>
        <v>0</v>
      </c>
      <c r="J1736" s="86"/>
      <c r="K1736" s="22"/>
    </row>
    <row r="1737" ht="22.5" customHeight="1">
      <c r="A1737" s="83"/>
      <c r="B1737" s="84"/>
      <c r="C1737" s="85"/>
      <c r="D1737" s="85"/>
      <c r="E1737" s="86"/>
      <c r="F1737" s="85"/>
      <c r="G1737" s="86"/>
      <c r="H1737" s="86"/>
      <c r="I1737" s="86">
        <f t="shared" si="1"/>
        <v>0</v>
      </c>
      <c r="J1737" s="86"/>
      <c r="K1737" s="22"/>
    </row>
    <row r="1738" ht="22.5" customHeight="1">
      <c r="A1738" s="83"/>
      <c r="B1738" s="84"/>
      <c r="C1738" s="85"/>
      <c r="D1738" s="85"/>
      <c r="E1738" s="86"/>
      <c r="F1738" s="85"/>
      <c r="G1738" s="86"/>
      <c r="H1738" s="86"/>
      <c r="I1738" s="86">
        <f t="shared" si="1"/>
        <v>0</v>
      </c>
      <c r="J1738" s="86"/>
      <c r="K1738" s="22"/>
    </row>
    <row r="1739" ht="22.5" customHeight="1">
      <c r="A1739" s="83"/>
      <c r="B1739" s="84"/>
      <c r="C1739" s="85"/>
      <c r="D1739" s="85"/>
      <c r="E1739" s="86"/>
      <c r="F1739" s="85"/>
      <c r="G1739" s="86"/>
      <c r="H1739" s="86"/>
      <c r="I1739" s="86">
        <f t="shared" si="1"/>
        <v>0</v>
      </c>
      <c r="J1739" s="86"/>
      <c r="K1739" s="22"/>
    </row>
    <row r="1740" ht="22.5" customHeight="1">
      <c r="A1740" s="83"/>
      <c r="B1740" s="84"/>
      <c r="C1740" s="85"/>
      <c r="D1740" s="85"/>
      <c r="E1740" s="86"/>
      <c r="F1740" s="85"/>
      <c r="G1740" s="86"/>
      <c r="H1740" s="86"/>
      <c r="I1740" s="86">
        <f t="shared" si="1"/>
        <v>0</v>
      </c>
      <c r="J1740" s="86"/>
      <c r="K1740" s="22"/>
    </row>
    <row r="1741" ht="22.5" customHeight="1">
      <c r="A1741" s="83"/>
      <c r="B1741" s="84"/>
      <c r="C1741" s="85"/>
      <c r="D1741" s="85"/>
      <c r="E1741" s="86"/>
      <c r="F1741" s="85"/>
      <c r="G1741" s="86"/>
      <c r="H1741" s="86"/>
      <c r="I1741" s="86">
        <f t="shared" si="1"/>
        <v>0</v>
      </c>
      <c r="J1741" s="86"/>
      <c r="K1741" s="22"/>
    </row>
    <row r="1742" ht="22.5" customHeight="1">
      <c r="A1742" s="83"/>
      <c r="B1742" s="84"/>
      <c r="C1742" s="85"/>
      <c r="D1742" s="85"/>
      <c r="E1742" s="86"/>
      <c r="F1742" s="85"/>
      <c r="G1742" s="86"/>
      <c r="H1742" s="86"/>
      <c r="I1742" s="86">
        <f t="shared" si="1"/>
        <v>0</v>
      </c>
      <c r="J1742" s="86"/>
      <c r="K1742" s="22"/>
    </row>
    <row r="1743" ht="22.5" customHeight="1">
      <c r="A1743" s="83"/>
      <c r="B1743" s="84"/>
      <c r="C1743" s="85"/>
      <c r="D1743" s="85"/>
      <c r="E1743" s="86"/>
      <c r="F1743" s="85"/>
      <c r="G1743" s="86"/>
      <c r="H1743" s="86"/>
      <c r="I1743" s="86">
        <f t="shared" si="1"/>
        <v>0</v>
      </c>
      <c r="J1743" s="86"/>
      <c r="K1743" s="22"/>
    </row>
    <row r="1744" ht="22.5" customHeight="1">
      <c r="A1744" s="83"/>
      <c r="B1744" s="84"/>
      <c r="C1744" s="85"/>
      <c r="D1744" s="85"/>
      <c r="E1744" s="86"/>
      <c r="F1744" s="85"/>
      <c r="G1744" s="86"/>
      <c r="H1744" s="86"/>
      <c r="I1744" s="86">
        <f t="shared" si="1"/>
        <v>0</v>
      </c>
      <c r="J1744" s="86"/>
      <c r="K1744" s="22"/>
    </row>
    <row r="1745" ht="22.5" customHeight="1">
      <c r="A1745" s="83"/>
      <c r="B1745" s="84"/>
      <c r="C1745" s="85"/>
      <c r="D1745" s="85"/>
      <c r="E1745" s="86"/>
      <c r="F1745" s="85"/>
      <c r="G1745" s="86"/>
      <c r="H1745" s="86"/>
      <c r="I1745" s="86">
        <f t="shared" si="1"/>
        <v>0</v>
      </c>
      <c r="J1745" s="86"/>
      <c r="K1745" s="22"/>
    </row>
    <row r="1746" ht="22.5" customHeight="1">
      <c r="A1746" s="83"/>
      <c r="B1746" s="84"/>
      <c r="C1746" s="85"/>
      <c r="D1746" s="85"/>
      <c r="E1746" s="86"/>
      <c r="F1746" s="85"/>
      <c r="G1746" s="86"/>
      <c r="H1746" s="86"/>
      <c r="I1746" s="86">
        <f t="shared" si="1"/>
        <v>0</v>
      </c>
      <c r="J1746" s="86"/>
      <c r="K1746" s="22"/>
    </row>
    <row r="1747" ht="22.5" customHeight="1">
      <c r="A1747" s="83"/>
      <c r="B1747" s="84"/>
      <c r="C1747" s="85"/>
      <c r="D1747" s="85"/>
      <c r="E1747" s="86"/>
      <c r="F1747" s="85"/>
      <c r="G1747" s="86"/>
      <c r="H1747" s="86"/>
      <c r="I1747" s="86">
        <f t="shared" si="1"/>
        <v>0</v>
      </c>
      <c r="J1747" s="86"/>
      <c r="K1747" s="22"/>
    </row>
    <row r="1748" ht="22.5" customHeight="1">
      <c r="A1748" s="83"/>
      <c r="B1748" s="84"/>
      <c r="C1748" s="85"/>
      <c r="D1748" s="85"/>
      <c r="E1748" s="86"/>
      <c r="F1748" s="85"/>
      <c r="G1748" s="86"/>
      <c r="H1748" s="86"/>
      <c r="I1748" s="86">
        <f t="shared" si="1"/>
        <v>0</v>
      </c>
      <c r="J1748" s="86"/>
      <c r="K1748" s="22"/>
    </row>
    <row r="1749" ht="22.5" customHeight="1">
      <c r="A1749" s="83"/>
      <c r="B1749" s="84"/>
      <c r="C1749" s="85"/>
      <c r="D1749" s="85"/>
      <c r="E1749" s="86"/>
      <c r="F1749" s="85"/>
      <c r="G1749" s="86"/>
      <c r="H1749" s="86"/>
      <c r="I1749" s="86">
        <f t="shared" si="1"/>
        <v>0</v>
      </c>
      <c r="J1749" s="86"/>
      <c r="K1749" s="22"/>
    </row>
    <row r="1750" ht="22.5" customHeight="1">
      <c r="A1750" s="83"/>
      <c r="B1750" s="84"/>
      <c r="C1750" s="85"/>
      <c r="D1750" s="85"/>
      <c r="E1750" s="86"/>
      <c r="F1750" s="85"/>
      <c r="G1750" s="86"/>
      <c r="H1750" s="86"/>
      <c r="I1750" s="86">
        <f t="shared" si="1"/>
        <v>0</v>
      </c>
      <c r="J1750" s="86"/>
      <c r="K1750" s="22"/>
    </row>
    <row r="1751" ht="22.5" customHeight="1">
      <c r="A1751" s="83"/>
      <c r="B1751" s="84"/>
      <c r="C1751" s="85"/>
      <c r="D1751" s="85"/>
      <c r="E1751" s="86"/>
      <c r="F1751" s="85"/>
      <c r="G1751" s="86"/>
      <c r="H1751" s="86"/>
      <c r="I1751" s="86">
        <f t="shared" si="1"/>
        <v>0</v>
      </c>
      <c r="J1751" s="86"/>
      <c r="K1751" s="22"/>
    </row>
    <row r="1752" ht="22.5" customHeight="1">
      <c r="A1752" s="83"/>
      <c r="B1752" s="84"/>
      <c r="C1752" s="85"/>
      <c r="D1752" s="85"/>
      <c r="E1752" s="86"/>
      <c r="F1752" s="85"/>
      <c r="G1752" s="86"/>
      <c r="H1752" s="86"/>
      <c r="I1752" s="86">
        <f t="shared" si="1"/>
        <v>0</v>
      </c>
      <c r="J1752" s="86"/>
      <c r="K1752" s="22"/>
    </row>
    <row r="1753" ht="22.5" customHeight="1">
      <c r="A1753" s="83"/>
      <c r="B1753" s="84"/>
      <c r="C1753" s="85"/>
      <c r="D1753" s="85"/>
      <c r="E1753" s="86"/>
      <c r="F1753" s="85"/>
      <c r="G1753" s="86"/>
      <c r="H1753" s="86"/>
      <c r="I1753" s="86">
        <f t="shared" si="1"/>
        <v>0</v>
      </c>
      <c r="J1753" s="86"/>
      <c r="K1753" s="22"/>
    </row>
    <row r="1754" ht="22.5" customHeight="1">
      <c r="A1754" s="83"/>
      <c r="B1754" s="84"/>
      <c r="C1754" s="85"/>
      <c r="D1754" s="85"/>
      <c r="E1754" s="86"/>
      <c r="F1754" s="85"/>
      <c r="G1754" s="86"/>
      <c r="H1754" s="86"/>
      <c r="I1754" s="86">
        <f t="shared" si="1"/>
        <v>0</v>
      </c>
      <c r="J1754" s="86"/>
      <c r="K1754" s="22"/>
    </row>
    <row r="1755" ht="22.5" customHeight="1">
      <c r="A1755" s="83"/>
      <c r="B1755" s="84"/>
      <c r="C1755" s="85"/>
      <c r="D1755" s="85"/>
      <c r="E1755" s="86"/>
      <c r="F1755" s="85"/>
      <c r="G1755" s="86"/>
      <c r="H1755" s="86"/>
      <c r="I1755" s="86">
        <f t="shared" si="1"/>
        <v>0</v>
      </c>
      <c r="J1755" s="86"/>
      <c r="K1755" s="22"/>
    </row>
    <row r="1756" ht="22.5" customHeight="1">
      <c r="A1756" s="83"/>
      <c r="B1756" s="84"/>
      <c r="C1756" s="85"/>
      <c r="D1756" s="85"/>
      <c r="E1756" s="86"/>
      <c r="F1756" s="85"/>
      <c r="G1756" s="86"/>
      <c r="H1756" s="86"/>
      <c r="I1756" s="86">
        <f t="shared" si="1"/>
        <v>0</v>
      </c>
      <c r="J1756" s="86"/>
      <c r="K1756" s="22"/>
    </row>
    <row r="1757" ht="22.5" customHeight="1">
      <c r="A1757" s="83"/>
      <c r="B1757" s="84"/>
      <c r="C1757" s="85"/>
      <c r="D1757" s="85"/>
      <c r="E1757" s="86"/>
      <c r="F1757" s="85"/>
      <c r="G1757" s="86"/>
      <c r="H1757" s="86"/>
      <c r="I1757" s="86">
        <f t="shared" si="1"/>
        <v>0</v>
      </c>
      <c r="J1757" s="86"/>
      <c r="K1757" s="22"/>
    </row>
    <row r="1758" ht="22.5" customHeight="1">
      <c r="A1758" s="83"/>
      <c r="B1758" s="84"/>
      <c r="C1758" s="85"/>
      <c r="D1758" s="85"/>
      <c r="E1758" s="86"/>
      <c r="F1758" s="85"/>
      <c r="G1758" s="86"/>
      <c r="H1758" s="86"/>
      <c r="I1758" s="86">
        <f t="shared" si="1"/>
        <v>0</v>
      </c>
      <c r="J1758" s="86"/>
      <c r="K1758" s="22"/>
    </row>
    <row r="1759" ht="22.5" customHeight="1">
      <c r="A1759" s="83"/>
      <c r="B1759" s="84"/>
      <c r="C1759" s="85"/>
      <c r="D1759" s="85"/>
      <c r="E1759" s="86"/>
      <c r="F1759" s="85"/>
      <c r="G1759" s="86"/>
      <c r="H1759" s="86"/>
      <c r="I1759" s="86">
        <f t="shared" si="1"/>
        <v>0</v>
      </c>
      <c r="J1759" s="86"/>
      <c r="K1759" s="22"/>
    </row>
    <row r="1760" ht="22.5" customHeight="1">
      <c r="A1760" s="83"/>
      <c r="B1760" s="84"/>
      <c r="C1760" s="85"/>
      <c r="D1760" s="85"/>
      <c r="E1760" s="86"/>
      <c r="F1760" s="85"/>
      <c r="G1760" s="86"/>
      <c r="H1760" s="86"/>
      <c r="I1760" s="86">
        <f t="shared" si="1"/>
        <v>0</v>
      </c>
      <c r="J1760" s="86"/>
      <c r="K1760" s="22"/>
    </row>
    <row r="1761" ht="22.5" customHeight="1">
      <c r="A1761" s="83"/>
      <c r="B1761" s="84"/>
      <c r="C1761" s="85"/>
      <c r="D1761" s="85"/>
      <c r="E1761" s="86"/>
      <c r="F1761" s="85"/>
      <c r="G1761" s="86"/>
      <c r="H1761" s="86"/>
      <c r="I1761" s="86">
        <f t="shared" si="1"/>
        <v>0</v>
      </c>
      <c r="J1761" s="86"/>
      <c r="K1761" s="22"/>
    </row>
    <row r="1762" ht="22.5" customHeight="1">
      <c r="A1762" s="83"/>
      <c r="B1762" s="84"/>
      <c r="C1762" s="85"/>
      <c r="D1762" s="85"/>
      <c r="E1762" s="86"/>
      <c r="F1762" s="85"/>
      <c r="G1762" s="86"/>
      <c r="H1762" s="86"/>
      <c r="I1762" s="86">
        <f t="shared" si="1"/>
        <v>0</v>
      </c>
      <c r="J1762" s="86"/>
      <c r="K1762" s="22"/>
    </row>
    <row r="1763" ht="22.5" customHeight="1">
      <c r="A1763" s="83"/>
      <c r="B1763" s="84"/>
      <c r="C1763" s="85"/>
      <c r="D1763" s="85"/>
      <c r="E1763" s="86"/>
      <c r="F1763" s="85"/>
      <c r="G1763" s="86"/>
      <c r="H1763" s="86"/>
      <c r="I1763" s="86">
        <f t="shared" si="1"/>
        <v>0</v>
      </c>
      <c r="J1763" s="86"/>
      <c r="K1763" s="22"/>
    </row>
    <row r="1764" ht="22.5" customHeight="1">
      <c r="A1764" s="83"/>
      <c r="B1764" s="84"/>
      <c r="C1764" s="85"/>
      <c r="D1764" s="85"/>
      <c r="E1764" s="86"/>
      <c r="F1764" s="85"/>
      <c r="G1764" s="86"/>
      <c r="H1764" s="86"/>
      <c r="I1764" s="86">
        <f t="shared" si="1"/>
        <v>0</v>
      </c>
      <c r="J1764" s="86"/>
      <c r="K1764" s="22"/>
    </row>
    <row r="1765" ht="22.5" customHeight="1">
      <c r="A1765" s="83"/>
      <c r="B1765" s="84"/>
      <c r="C1765" s="85"/>
      <c r="D1765" s="85"/>
      <c r="E1765" s="86"/>
      <c r="F1765" s="85"/>
      <c r="G1765" s="86"/>
      <c r="H1765" s="86"/>
      <c r="I1765" s="86">
        <f t="shared" si="1"/>
        <v>0</v>
      </c>
      <c r="J1765" s="86"/>
      <c r="K1765" s="22"/>
    </row>
    <row r="1766" ht="22.5" customHeight="1">
      <c r="A1766" s="83"/>
      <c r="B1766" s="84"/>
      <c r="C1766" s="85"/>
      <c r="D1766" s="85"/>
      <c r="E1766" s="86"/>
      <c r="F1766" s="85"/>
      <c r="G1766" s="86"/>
      <c r="H1766" s="86"/>
      <c r="I1766" s="86">
        <f t="shared" si="1"/>
        <v>0</v>
      </c>
      <c r="J1766" s="86"/>
      <c r="K1766" s="22"/>
    </row>
    <row r="1767" ht="22.5" customHeight="1">
      <c r="A1767" s="83"/>
      <c r="B1767" s="84"/>
      <c r="C1767" s="85"/>
      <c r="D1767" s="85"/>
      <c r="E1767" s="86"/>
      <c r="F1767" s="85"/>
      <c r="G1767" s="86"/>
      <c r="H1767" s="86"/>
      <c r="I1767" s="86">
        <f t="shared" si="1"/>
        <v>0</v>
      </c>
      <c r="J1767" s="86"/>
      <c r="K1767" s="22"/>
    </row>
    <row r="1768" ht="22.5" customHeight="1">
      <c r="A1768" s="83"/>
      <c r="B1768" s="84"/>
      <c r="C1768" s="85"/>
      <c r="D1768" s="85"/>
      <c r="E1768" s="86"/>
      <c r="F1768" s="85"/>
      <c r="G1768" s="86"/>
      <c r="H1768" s="86"/>
      <c r="I1768" s="86">
        <f t="shared" si="1"/>
        <v>0</v>
      </c>
      <c r="J1768" s="86"/>
      <c r="K1768" s="22"/>
    </row>
    <row r="1769" ht="22.5" customHeight="1">
      <c r="A1769" s="83"/>
      <c r="B1769" s="84"/>
      <c r="C1769" s="85"/>
      <c r="D1769" s="85"/>
      <c r="E1769" s="86"/>
      <c r="F1769" s="85"/>
      <c r="G1769" s="86"/>
      <c r="H1769" s="86"/>
      <c r="I1769" s="86">
        <f t="shared" si="1"/>
        <v>0</v>
      </c>
      <c r="J1769" s="86"/>
      <c r="K1769" s="22"/>
    </row>
    <row r="1770" ht="22.5" customHeight="1">
      <c r="A1770" s="83"/>
      <c r="B1770" s="84"/>
      <c r="C1770" s="85"/>
      <c r="D1770" s="85"/>
      <c r="E1770" s="86"/>
      <c r="F1770" s="85"/>
      <c r="G1770" s="86"/>
      <c r="H1770" s="86"/>
      <c r="I1770" s="86">
        <f t="shared" si="1"/>
        <v>0</v>
      </c>
      <c r="J1770" s="86"/>
      <c r="K1770" s="22"/>
    </row>
    <row r="1771" ht="22.5" customHeight="1">
      <c r="A1771" s="83"/>
      <c r="B1771" s="84"/>
      <c r="C1771" s="85"/>
      <c r="D1771" s="85"/>
      <c r="E1771" s="86"/>
      <c r="F1771" s="85"/>
      <c r="G1771" s="86"/>
      <c r="H1771" s="86"/>
      <c r="I1771" s="86">
        <f t="shared" si="1"/>
        <v>0</v>
      </c>
      <c r="J1771" s="86"/>
      <c r="K1771" s="22"/>
    </row>
    <row r="1772" ht="22.5" customHeight="1">
      <c r="A1772" s="83"/>
      <c r="B1772" s="84"/>
      <c r="C1772" s="85"/>
      <c r="D1772" s="85"/>
      <c r="E1772" s="86"/>
      <c r="F1772" s="85"/>
      <c r="G1772" s="86"/>
      <c r="H1772" s="86"/>
      <c r="I1772" s="86">
        <f t="shared" si="1"/>
        <v>0</v>
      </c>
      <c r="J1772" s="86"/>
      <c r="K1772" s="22"/>
    </row>
    <row r="1773" ht="22.5" customHeight="1">
      <c r="A1773" s="83"/>
      <c r="B1773" s="84"/>
      <c r="C1773" s="85"/>
      <c r="D1773" s="85"/>
      <c r="E1773" s="86"/>
      <c r="F1773" s="85"/>
      <c r="G1773" s="86"/>
      <c r="H1773" s="86"/>
      <c r="I1773" s="86">
        <f t="shared" si="1"/>
        <v>0</v>
      </c>
      <c r="J1773" s="86"/>
      <c r="K1773" s="22"/>
    </row>
    <row r="1774" ht="22.5" customHeight="1">
      <c r="A1774" s="83"/>
      <c r="B1774" s="84"/>
      <c r="C1774" s="85"/>
      <c r="D1774" s="85"/>
      <c r="E1774" s="86"/>
      <c r="F1774" s="85"/>
      <c r="G1774" s="86"/>
      <c r="H1774" s="86"/>
      <c r="I1774" s="86">
        <f t="shared" si="1"/>
        <v>0</v>
      </c>
      <c r="J1774" s="86"/>
      <c r="K1774" s="22"/>
    </row>
    <row r="1775" ht="22.5" customHeight="1">
      <c r="A1775" s="83"/>
      <c r="B1775" s="84"/>
      <c r="C1775" s="85"/>
      <c r="D1775" s="85"/>
      <c r="E1775" s="86"/>
      <c r="F1775" s="85"/>
      <c r="G1775" s="86"/>
      <c r="H1775" s="86"/>
      <c r="I1775" s="86">
        <f t="shared" si="1"/>
        <v>0</v>
      </c>
      <c r="J1775" s="86"/>
      <c r="K1775" s="22"/>
    </row>
    <row r="1776" ht="22.5" customHeight="1">
      <c r="A1776" s="83"/>
      <c r="B1776" s="84"/>
      <c r="C1776" s="85"/>
      <c r="D1776" s="85"/>
      <c r="E1776" s="86"/>
      <c r="F1776" s="85"/>
      <c r="G1776" s="86"/>
      <c r="H1776" s="86"/>
      <c r="I1776" s="86">
        <f t="shared" si="1"/>
        <v>0</v>
      </c>
      <c r="J1776" s="86"/>
      <c r="K1776" s="22"/>
    </row>
    <row r="1777" ht="22.5" customHeight="1">
      <c r="A1777" s="83"/>
      <c r="B1777" s="84"/>
      <c r="C1777" s="85"/>
      <c r="D1777" s="85"/>
      <c r="E1777" s="86"/>
      <c r="F1777" s="85"/>
      <c r="G1777" s="86"/>
      <c r="H1777" s="86"/>
      <c r="I1777" s="86">
        <f t="shared" si="1"/>
        <v>0</v>
      </c>
      <c r="J1777" s="86"/>
      <c r="K1777" s="22"/>
    </row>
    <row r="1778" ht="22.5" customHeight="1">
      <c r="A1778" s="83"/>
      <c r="B1778" s="84"/>
      <c r="C1778" s="85"/>
      <c r="D1778" s="85"/>
      <c r="E1778" s="86"/>
      <c r="F1778" s="85"/>
      <c r="G1778" s="86"/>
      <c r="H1778" s="86"/>
      <c r="I1778" s="86">
        <f t="shared" si="1"/>
        <v>0</v>
      </c>
      <c r="J1778" s="86"/>
      <c r="K1778" s="22"/>
    </row>
    <row r="1779" ht="22.5" customHeight="1">
      <c r="A1779" s="83"/>
      <c r="B1779" s="84"/>
      <c r="C1779" s="85"/>
      <c r="D1779" s="85"/>
      <c r="E1779" s="86"/>
      <c r="F1779" s="85"/>
      <c r="G1779" s="86"/>
      <c r="H1779" s="86"/>
      <c r="I1779" s="86">
        <f t="shared" si="1"/>
        <v>0</v>
      </c>
      <c r="J1779" s="86"/>
      <c r="K1779" s="22"/>
    </row>
    <row r="1780" ht="22.5" customHeight="1">
      <c r="A1780" s="83"/>
      <c r="B1780" s="84"/>
      <c r="C1780" s="85"/>
      <c r="D1780" s="85"/>
      <c r="E1780" s="86"/>
      <c r="F1780" s="85"/>
      <c r="G1780" s="86"/>
      <c r="H1780" s="86"/>
      <c r="I1780" s="86">
        <f t="shared" si="1"/>
        <v>0</v>
      </c>
      <c r="J1780" s="86"/>
      <c r="K1780" s="22"/>
    </row>
    <row r="1781" ht="22.5" customHeight="1">
      <c r="A1781" s="83"/>
      <c r="B1781" s="84"/>
      <c r="C1781" s="85"/>
      <c r="D1781" s="85"/>
      <c r="E1781" s="86"/>
      <c r="F1781" s="85"/>
      <c r="G1781" s="86"/>
      <c r="H1781" s="86"/>
      <c r="I1781" s="86">
        <f t="shared" si="1"/>
        <v>0</v>
      </c>
      <c r="J1781" s="86"/>
      <c r="K1781" s="22"/>
    </row>
    <row r="1782" ht="22.5" customHeight="1">
      <c r="A1782" s="83"/>
      <c r="B1782" s="84"/>
      <c r="C1782" s="85"/>
      <c r="D1782" s="85"/>
      <c r="E1782" s="86"/>
      <c r="F1782" s="85"/>
      <c r="G1782" s="86"/>
      <c r="H1782" s="86"/>
      <c r="I1782" s="86">
        <f t="shared" si="1"/>
        <v>0</v>
      </c>
      <c r="J1782" s="86"/>
      <c r="K1782" s="22"/>
    </row>
    <row r="1783" ht="22.5" customHeight="1">
      <c r="A1783" s="83"/>
      <c r="B1783" s="84"/>
      <c r="C1783" s="85"/>
      <c r="D1783" s="85"/>
      <c r="E1783" s="86"/>
      <c r="F1783" s="85"/>
      <c r="G1783" s="86"/>
      <c r="H1783" s="86"/>
      <c r="I1783" s="86">
        <f t="shared" si="1"/>
        <v>0</v>
      </c>
      <c r="J1783" s="86"/>
      <c r="K1783" s="22"/>
    </row>
    <row r="1784" ht="22.5" customHeight="1">
      <c r="A1784" s="83"/>
      <c r="B1784" s="84"/>
      <c r="C1784" s="85"/>
      <c r="D1784" s="85"/>
      <c r="E1784" s="86"/>
      <c r="F1784" s="85"/>
      <c r="G1784" s="86"/>
      <c r="H1784" s="86"/>
      <c r="I1784" s="86">
        <f t="shared" si="1"/>
        <v>0</v>
      </c>
      <c r="J1784" s="86"/>
      <c r="K1784" s="22"/>
    </row>
    <row r="1785" ht="22.5" customHeight="1">
      <c r="A1785" s="83"/>
      <c r="B1785" s="84"/>
      <c r="C1785" s="85"/>
      <c r="D1785" s="85"/>
      <c r="E1785" s="86"/>
      <c r="F1785" s="85"/>
      <c r="G1785" s="86"/>
      <c r="H1785" s="86"/>
      <c r="I1785" s="86">
        <f t="shared" si="1"/>
        <v>0</v>
      </c>
      <c r="J1785" s="86"/>
      <c r="K1785" s="22"/>
    </row>
    <row r="1786" ht="22.5" customHeight="1">
      <c r="A1786" s="83"/>
      <c r="B1786" s="84"/>
      <c r="C1786" s="85"/>
      <c r="D1786" s="85"/>
      <c r="E1786" s="86"/>
      <c r="F1786" s="85"/>
      <c r="G1786" s="86"/>
      <c r="H1786" s="86"/>
      <c r="I1786" s="86">
        <f t="shared" si="1"/>
        <v>0</v>
      </c>
      <c r="J1786" s="86"/>
      <c r="K1786" s="22"/>
    </row>
    <row r="1787" ht="22.5" customHeight="1">
      <c r="A1787" s="83"/>
      <c r="B1787" s="84"/>
      <c r="C1787" s="85"/>
      <c r="D1787" s="85"/>
      <c r="E1787" s="86"/>
      <c r="F1787" s="85"/>
      <c r="G1787" s="86"/>
      <c r="H1787" s="86"/>
      <c r="I1787" s="86">
        <f t="shared" si="1"/>
        <v>0</v>
      </c>
      <c r="J1787" s="86"/>
      <c r="K1787" s="22"/>
    </row>
    <row r="1788" ht="22.5" customHeight="1">
      <c r="A1788" s="83"/>
      <c r="B1788" s="84"/>
      <c r="C1788" s="85"/>
      <c r="D1788" s="85"/>
      <c r="E1788" s="86"/>
      <c r="F1788" s="85"/>
      <c r="G1788" s="86"/>
      <c r="H1788" s="86"/>
      <c r="I1788" s="86">
        <f t="shared" si="1"/>
        <v>0</v>
      </c>
      <c r="J1788" s="86"/>
      <c r="K1788" s="22"/>
    </row>
    <row r="1789" ht="22.5" customHeight="1">
      <c r="A1789" s="83"/>
      <c r="B1789" s="84"/>
      <c r="C1789" s="85"/>
      <c r="D1789" s="85"/>
      <c r="E1789" s="86"/>
      <c r="F1789" s="85"/>
      <c r="G1789" s="86"/>
      <c r="H1789" s="86"/>
      <c r="I1789" s="86">
        <f t="shared" si="1"/>
        <v>0</v>
      </c>
      <c r="J1789" s="86"/>
      <c r="K1789" s="22"/>
    </row>
    <row r="1790" ht="22.5" customHeight="1">
      <c r="A1790" s="83"/>
      <c r="B1790" s="84"/>
      <c r="C1790" s="85"/>
      <c r="D1790" s="85"/>
      <c r="E1790" s="86"/>
      <c r="F1790" s="85"/>
      <c r="G1790" s="86"/>
      <c r="H1790" s="86"/>
      <c r="I1790" s="86">
        <f t="shared" si="1"/>
        <v>0</v>
      </c>
      <c r="J1790" s="86"/>
      <c r="K1790" s="22"/>
    </row>
    <row r="1791" ht="22.5" customHeight="1">
      <c r="A1791" s="83"/>
      <c r="B1791" s="84"/>
      <c r="C1791" s="85"/>
      <c r="D1791" s="85"/>
      <c r="E1791" s="86"/>
      <c r="F1791" s="85"/>
      <c r="G1791" s="86"/>
      <c r="H1791" s="86"/>
      <c r="I1791" s="86">
        <f t="shared" si="1"/>
        <v>0</v>
      </c>
      <c r="J1791" s="86"/>
      <c r="K1791" s="22"/>
    </row>
    <row r="1792" ht="22.5" customHeight="1">
      <c r="A1792" s="83"/>
      <c r="B1792" s="84"/>
      <c r="C1792" s="85"/>
      <c r="D1792" s="85"/>
      <c r="E1792" s="86"/>
      <c r="F1792" s="85"/>
      <c r="G1792" s="86"/>
      <c r="H1792" s="86"/>
      <c r="I1792" s="86">
        <f t="shared" si="1"/>
        <v>0</v>
      </c>
      <c r="J1792" s="86"/>
      <c r="K1792" s="22"/>
    </row>
    <row r="1793" ht="22.5" customHeight="1">
      <c r="A1793" s="83"/>
      <c r="B1793" s="84"/>
      <c r="C1793" s="85"/>
      <c r="D1793" s="85"/>
      <c r="E1793" s="86"/>
      <c r="F1793" s="85"/>
      <c r="G1793" s="86"/>
      <c r="H1793" s="86"/>
      <c r="I1793" s="86">
        <f t="shared" si="1"/>
        <v>0</v>
      </c>
      <c r="J1793" s="86"/>
      <c r="K1793" s="22"/>
    </row>
    <row r="1794" ht="22.5" customHeight="1">
      <c r="A1794" s="83"/>
      <c r="B1794" s="84"/>
      <c r="C1794" s="85"/>
      <c r="D1794" s="85"/>
      <c r="E1794" s="86"/>
      <c r="F1794" s="85"/>
      <c r="G1794" s="86"/>
      <c r="H1794" s="86"/>
      <c r="I1794" s="86">
        <f t="shared" si="1"/>
        <v>0</v>
      </c>
      <c r="J1794" s="86"/>
      <c r="K1794" s="22"/>
    </row>
    <row r="1795" ht="22.5" customHeight="1">
      <c r="A1795" s="83"/>
      <c r="B1795" s="84"/>
      <c r="C1795" s="85"/>
      <c r="D1795" s="85"/>
      <c r="E1795" s="86"/>
      <c r="F1795" s="85"/>
      <c r="G1795" s="86"/>
      <c r="H1795" s="86"/>
      <c r="I1795" s="86">
        <f t="shared" si="1"/>
        <v>0</v>
      </c>
      <c r="J1795" s="86"/>
      <c r="K1795" s="22"/>
    </row>
    <row r="1796" ht="22.5" customHeight="1">
      <c r="A1796" s="83"/>
      <c r="B1796" s="84"/>
      <c r="C1796" s="85"/>
      <c r="D1796" s="85"/>
      <c r="E1796" s="86"/>
      <c r="F1796" s="85"/>
      <c r="G1796" s="86"/>
      <c r="H1796" s="86"/>
      <c r="I1796" s="86">
        <f t="shared" si="1"/>
        <v>0</v>
      </c>
      <c r="J1796" s="86"/>
      <c r="K1796" s="22"/>
    </row>
    <row r="1797" ht="22.5" customHeight="1">
      <c r="A1797" s="83"/>
      <c r="B1797" s="84"/>
      <c r="C1797" s="85"/>
      <c r="D1797" s="85"/>
      <c r="E1797" s="86"/>
      <c r="F1797" s="85"/>
      <c r="G1797" s="86"/>
      <c r="H1797" s="86"/>
      <c r="I1797" s="86">
        <f t="shared" si="1"/>
        <v>0</v>
      </c>
      <c r="J1797" s="86"/>
      <c r="K1797" s="22"/>
    </row>
    <row r="1798" ht="22.5" customHeight="1">
      <c r="A1798" s="83"/>
      <c r="B1798" s="84"/>
      <c r="C1798" s="85"/>
      <c r="D1798" s="85"/>
      <c r="E1798" s="86"/>
      <c r="F1798" s="85"/>
      <c r="G1798" s="86"/>
      <c r="H1798" s="86"/>
      <c r="I1798" s="86">
        <f t="shared" si="1"/>
        <v>0</v>
      </c>
      <c r="J1798" s="86"/>
      <c r="K1798" s="22"/>
    </row>
    <row r="1799" ht="22.5" customHeight="1">
      <c r="A1799" s="83"/>
      <c r="B1799" s="84"/>
      <c r="C1799" s="85"/>
      <c r="D1799" s="85"/>
      <c r="E1799" s="86"/>
      <c r="F1799" s="85"/>
      <c r="G1799" s="86"/>
      <c r="H1799" s="86"/>
      <c r="I1799" s="86">
        <f t="shared" si="1"/>
        <v>0</v>
      </c>
      <c r="J1799" s="86"/>
      <c r="K1799" s="22"/>
    </row>
    <row r="1800" ht="22.5" customHeight="1">
      <c r="A1800" s="83"/>
      <c r="B1800" s="84"/>
      <c r="C1800" s="85"/>
      <c r="D1800" s="85"/>
      <c r="E1800" s="86"/>
      <c r="F1800" s="85"/>
      <c r="G1800" s="86"/>
      <c r="H1800" s="86"/>
      <c r="I1800" s="86">
        <f t="shared" si="1"/>
        <v>0</v>
      </c>
      <c r="J1800" s="86"/>
      <c r="K1800" s="22"/>
    </row>
    <row r="1801" ht="22.5" customHeight="1">
      <c r="A1801" s="83"/>
      <c r="B1801" s="84"/>
      <c r="C1801" s="85"/>
      <c r="D1801" s="85"/>
      <c r="E1801" s="86"/>
      <c r="F1801" s="85"/>
      <c r="G1801" s="86"/>
      <c r="H1801" s="86"/>
      <c r="I1801" s="86">
        <f t="shared" si="1"/>
        <v>0</v>
      </c>
      <c r="J1801" s="86"/>
      <c r="K1801" s="22"/>
    </row>
    <row r="1802" ht="22.5" customHeight="1">
      <c r="A1802" s="83"/>
      <c r="B1802" s="84"/>
      <c r="C1802" s="85"/>
      <c r="D1802" s="85"/>
      <c r="E1802" s="86"/>
      <c r="F1802" s="85"/>
      <c r="G1802" s="86"/>
      <c r="H1802" s="86"/>
      <c r="I1802" s="86">
        <f t="shared" si="1"/>
        <v>0</v>
      </c>
      <c r="J1802" s="86"/>
      <c r="K1802" s="22"/>
    </row>
    <row r="1803" ht="22.5" customHeight="1">
      <c r="A1803" s="83"/>
      <c r="B1803" s="84"/>
      <c r="C1803" s="85"/>
      <c r="D1803" s="85"/>
      <c r="E1803" s="86"/>
      <c r="F1803" s="85"/>
      <c r="G1803" s="86"/>
      <c r="H1803" s="86"/>
      <c r="I1803" s="86">
        <f t="shared" si="1"/>
        <v>0</v>
      </c>
      <c r="J1803" s="86"/>
      <c r="K1803" s="22"/>
    </row>
    <row r="1804" ht="22.5" customHeight="1">
      <c r="A1804" s="83"/>
      <c r="B1804" s="84"/>
      <c r="C1804" s="85"/>
      <c r="D1804" s="85"/>
      <c r="E1804" s="86"/>
      <c r="F1804" s="85"/>
      <c r="G1804" s="86"/>
      <c r="H1804" s="86"/>
      <c r="I1804" s="86">
        <f t="shared" si="1"/>
        <v>0</v>
      </c>
      <c r="J1804" s="86"/>
      <c r="K1804" s="22"/>
    </row>
    <row r="1805" ht="22.5" customHeight="1">
      <c r="A1805" s="83"/>
      <c r="B1805" s="84"/>
      <c r="C1805" s="85"/>
      <c r="D1805" s="85"/>
      <c r="E1805" s="86"/>
      <c r="F1805" s="85"/>
      <c r="G1805" s="86"/>
      <c r="H1805" s="86"/>
      <c r="I1805" s="86">
        <f t="shared" si="1"/>
        <v>0</v>
      </c>
      <c r="J1805" s="86"/>
      <c r="K1805" s="22"/>
    </row>
    <row r="1806" ht="22.5" customHeight="1">
      <c r="A1806" s="83"/>
      <c r="B1806" s="84"/>
      <c r="C1806" s="85"/>
      <c r="D1806" s="85"/>
      <c r="E1806" s="86"/>
      <c r="F1806" s="85"/>
      <c r="G1806" s="86"/>
      <c r="H1806" s="86"/>
      <c r="I1806" s="86">
        <f t="shared" si="1"/>
        <v>0</v>
      </c>
      <c r="J1806" s="86"/>
      <c r="K1806" s="22"/>
    </row>
    <row r="1807" ht="22.5" customHeight="1">
      <c r="A1807" s="83"/>
      <c r="B1807" s="84"/>
      <c r="C1807" s="85"/>
      <c r="D1807" s="85"/>
      <c r="E1807" s="86"/>
      <c r="F1807" s="85"/>
      <c r="G1807" s="86"/>
      <c r="H1807" s="86"/>
      <c r="I1807" s="86">
        <f t="shared" si="1"/>
        <v>0</v>
      </c>
      <c r="J1807" s="86"/>
      <c r="K1807" s="22"/>
    </row>
    <row r="1808" ht="22.5" customHeight="1">
      <c r="A1808" s="83"/>
      <c r="B1808" s="84"/>
      <c r="C1808" s="85"/>
      <c r="D1808" s="85"/>
      <c r="E1808" s="86"/>
      <c r="F1808" s="85"/>
      <c r="G1808" s="86"/>
      <c r="H1808" s="86"/>
      <c r="I1808" s="86">
        <f t="shared" si="1"/>
        <v>0</v>
      </c>
      <c r="J1808" s="86"/>
      <c r="K1808" s="22"/>
    </row>
    <row r="1809" ht="22.5" customHeight="1">
      <c r="A1809" s="83"/>
      <c r="B1809" s="84"/>
      <c r="C1809" s="85"/>
      <c r="D1809" s="85"/>
      <c r="E1809" s="86"/>
      <c r="F1809" s="85"/>
      <c r="G1809" s="86"/>
      <c r="H1809" s="86"/>
      <c r="I1809" s="86">
        <f t="shared" si="1"/>
        <v>0</v>
      </c>
      <c r="J1809" s="86"/>
      <c r="K1809" s="22"/>
    </row>
    <row r="1810" ht="22.5" customHeight="1">
      <c r="A1810" s="83"/>
      <c r="B1810" s="84"/>
      <c r="C1810" s="85"/>
      <c r="D1810" s="85"/>
      <c r="E1810" s="86"/>
      <c r="F1810" s="85"/>
      <c r="G1810" s="86"/>
      <c r="H1810" s="86"/>
      <c r="I1810" s="86">
        <f t="shared" si="1"/>
        <v>0</v>
      </c>
      <c r="J1810" s="86"/>
      <c r="K1810" s="22"/>
    </row>
    <row r="1811" ht="22.5" customHeight="1">
      <c r="A1811" s="83"/>
      <c r="B1811" s="84"/>
      <c r="C1811" s="85"/>
      <c r="D1811" s="85"/>
      <c r="E1811" s="86"/>
      <c r="F1811" s="85"/>
      <c r="G1811" s="86"/>
      <c r="H1811" s="86"/>
      <c r="I1811" s="86">
        <f t="shared" si="1"/>
        <v>0</v>
      </c>
      <c r="J1811" s="86"/>
      <c r="K1811" s="22"/>
    </row>
    <row r="1812" ht="22.5" customHeight="1">
      <c r="A1812" s="83"/>
      <c r="B1812" s="84"/>
      <c r="C1812" s="85"/>
      <c r="D1812" s="85"/>
      <c r="E1812" s="86"/>
      <c r="F1812" s="85"/>
      <c r="G1812" s="86"/>
      <c r="H1812" s="86"/>
      <c r="I1812" s="86">
        <f t="shared" si="1"/>
        <v>0</v>
      </c>
      <c r="J1812" s="86"/>
      <c r="K1812" s="22"/>
    </row>
    <row r="1813" ht="22.5" customHeight="1">
      <c r="A1813" s="83"/>
      <c r="B1813" s="84"/>
      <c r="C1813" s="85"/>
      <c r="D1813" s="85"/>
      <c r="E1813" s="86"/>
      <c r="F1813" s="85"/>
      <c r="G1813" s="86"/>
      <c r="H1813" s="86"/>
      <c r="I1813" s="86">
        <f t="shared" si="1"/>
        <v>0</v>
      </c>
      <c r="J1813" s="86"/>
      <c r="K1813" s="22"/>
    </row>
    <row r="1814" ht="22.5" customHeight="1">
      <c r="A1814" s="83"/>
      <c r="B1814" s="84"/>
      <c r="C1814" s="85"/>
      <c r="D1814" s="85"/>
      <c r="E1814" s="86"/>
      <c r="F1814" s="85"/>
      <c r="G1814" s="86"/>
      <c r="H1814" s="86"/>
      <c r="I1814" s="86">
        <f t="shared" si="1"/>
        <v>0</v>
      </c>
      <c r="J1814" s="86"/>
      <c r="K1814" s="22"/>
    </row>
    <row r="1815" ht="22.5" customHeight="1">
      <c r="A1815" s="83"/>
      <c r="B1815" s="84"/>
      <c r="C1815" s="85"/>
      <c r="D1815" s="85"/>
      <c r="E1815" s="86"/>
      <c r="F1815" s="85"/>
      <c r="G1815" s="86"/>
      <c r="H1815" s="86"/>
      <c r="I1815" s="86">
        <f t="shared" si="1"/>
        <v>0</v>
      </c>
      <c r="J1815" s="86"/>
      <c r="K1815" s="22"/>
    </row>
    <row r="1816" ht="22.5" customHeight="1">
      <c r="A1816" s="83"/>
      <c r="B1816" s="84"/>
      <c r="C1816" s="85"/>
      <c r="D1816" s="85"/>
      <c r="E1816" s="86"/>
      <c r="F1816" s="85"/>
      <c r="G1816" s="86"/>
      <c r="H1816" s="86"/>
      <c r="I1816" s="86">
        <f t="shared" si="1"/>
        <v>0</v>
      </c>
      <c r="J1816" s="86"/>
      <c r="K1816" s="22"/>
    </row>
    <row r="1817" ht="22.5" customHeight="1">
      <c r="A1817" s="83"/>
      <c r="B1817" s="84"/>
      <c r="C1817" s="85"/>
      <c r="D1817" s="85"/>
      <c r="E1817" s="86"/>
      <c r="F1817" s="85"/>
      <c r="G1817" s="86"/>
      <c r="H1817" s="86"/>
      <c r="I1817" s="86">
        <f t="shared" si="1"/>
        <v>0</v>
      </c>
      <c r="J1817" s="86"/>
      <c r="K1817" s="22"/>
    </row>
    <row r="1818" ht="22.5" customHeight="1">
      <c r="A1818" s="83"/>
      <c r="B1818" s="84"/>
      <c r="C1818" s="85"/>
      <c r="D1818" s="85"/>
      <c r="E1818" s="86"/>
      <c r="F1818" s="85"/>
      <c r="G1818" s="86"/>
      <c r="H1818" s="86"/>
      <c r="I1818" s="86">
        <f t="shared" si="1"/>
        <v>0</v>
      </c>
      <c r="J1818" s="86"/>
      <c r="K1818" s="22"/>
    </row>
    <row r="1819" ht="22.5" customHeight="1">
      <c r="A1819" s="83"/>
      <c r="B1819" s="84"/>
      <c r="C1819" s="85"/>
      <c r="D1819" s="85"/>
      <c r="E1819" s="86"/>
      <c r="F1819" s="85"/>
      <c r="G1819" s="86"/>
      <c r="H1819" s="86"/>
      <c r="I1819" s="86">
        <f t="shared" si="1"/>
        <v>0</v>
      </c>
      <c r="J1819" s="86"/>
      <c r="K1819" s="22"/>
    </row>
    <row r="1820" ht="22.5" customHeight="1">
      <c r="A1820" s="83"/>
      <c r="B1820" s="84"/>
      <c r="C1820" s="85"/>
      <c r="D1820" s="85"/>
      <c r="E1820" s="86"/>
      <c r="F1820" s="85"/>
      <c r="G1820" s="86"/>
      <c r="H1820" s="86"/>
      <c r="I1820" s="86">
        <f t="shared" si="1"/>
        <v>0</v>
      </c>
      <c r="J1820" s="86"/>
      <c r="K1820" s="22"/>
    </row>
    <row r="1821" ht="22.5" customHeight="1">
      <c r="A1821" s="83"/>
      <c r="B1821" s="84"/>
      <c r="C1821" s="85"/>
      <c r="D1821" s="85"/>
      <c r="E1821" s="86"/>
      <c r="F1821" s="85"/>
      <c r="G1821" s="86"/>
      <c r="H1821" s="86"/>
      <c r="I1821" s="86">
        <f t="shared" si="1"/>
        <v>0</v>
      </c>
      <c r="J1821" s="86"/>
      <c r="K1821" s="22"/>
    </row>
    <row r="1822" ht="22.5" customHeight="1">
      <c r="A1822" s="83"/>
      <c r="B1822" s="84"/>
      <c r="C1822" s="85"/>
      <c r="D1822" s="85"/>
      <c r="E1822" s="86"/>
      <c r="F1822" s="85"/>
      <c r="G1822" s="86"/>
      <c r="H1822" s="86"/>
      <c r="I1822" s="86">
        <f t="shared" si="1"/>
        <v>0</v>
      </c>
      <c r="J1822" s="86"/>
      <c r="K1822" s="22"/>
    </row>
    <row r="1823" ht="22.5" customHeight="1">
      <c r="A1823" s="83"/>
      <c r="B1823" s="84"/>
      <c r="C1823" s="85"/>
      <c r="D1823" s="85"/>
      <c r="E1823" s="86"/>
      <c r="F1823" s="85"/>
      <c r="G1823" s="86"/>
      <c r="H1823" s="86"/>
      <c r="I1823" s="86">
        <f t="shared" si="1"/>
        <v>0</v>
      </c>
      <c r="J1823" s="86"/>
      <c r="K1823" s="22"/>
    </row>
    <row r="1824" ht="22.5" customHeight="1">
      <c r="A1824" s="83"/>
      <c r="B1824" s="84"/>
      <c r="C1824" s="85"/>
      <c r="D1824" s="85"/>
      <c r="E1824" s="86"/>
      <c r="F1824" s="85"/>
      <c r="G1824" s="86"/>
      <c r="H1824" s="86"/>
      <c r="I1824" s="86">
        <f t="shared" si="1"/>
        <v>0</v>
      </c>
      <c r="J1824" s="86"/>
      <c r="K1824" s="22"/>
    </row>
    <row r="1825" ht="22.5" customHeight="1">
      <c r="A1825" s="83"/>
      <c r="B1825" s="84"/>
      <c r="C1825" s="85"/>
      <c r="D1825" s="85"/>
      <c r="E1825" s="86"/>
      <c r="F1825" s="85"/>
      <c r="G1825" s="86"/>
      <c r="H1825" s="86"/>
      <c r="I1825" s="86">
        <f t="shared" si="1"/>
        <v>0</v>
      </c>
      <c r="J1825" s="86"/>
      <c r="K1825" s="22"/>
    </row>
    <row r="1826" ht="22.5" customHeight="1">
      <c r="A1826" s="83"/>
      <c r="B1826" s="84"/>
      <c r="C1826" s="85"/>
      <c r="D1826" s="85"/>
      <c r="E1826" s="86"/>
      <c r="F1826" s="85"/>
      <c r="G1826" s="86"/>
      <c r="H1826" s="86"/>
      <c r="I1826" s="86">
        <f t="shared" si="1"/>
        <v>0</v>
      </c>
      <c r="J1826" s="86"/>
      <c r="K1826" s="22"/>
    </row>
    <row r="1827" ht="22.5" customHeight="1">
      <c r="A1827" s="83"/>
      <c r="B1827" s="84"/>
      <c r="C1827" s="85"/>
      <c r="D1827" s="85"/>
      <c r="E1827" s="86"/>
      <c r="F1827" s="85"/>
      <c r="G1827" s="86"/>
      <c r="H1827" s="86"/>
      <c r="I1827" s="86">
        <f t="shared" si="1"/>
        <v>0</v>
      </c>
      <c r="J1827" s="86"/>
      <c r="K1827" s="22"/>
    </row>
    <row r="1828" ht="22.5" customHeight="1">
      <c r="A1828" s="83"/>
      <c r="B1828" s="84"/>
      <c r="C1828" s="85"/>
      <c r="D1828" s="85"/>
      <c r="E1828" s="86"/>
      <c r="F1828" s="85"/>
      <c r="G1828" s="86"/>
      <c r="H1828" s="86"/>
      <c r="I1828" s="86">
        <f t="shared" si="1"/>
        <v>0</v>
      </c>
      <c r="J1828" s="86"/>
      <c r="K1828" s="22"/>
    </row>
    <row r="1829" ht="22.5" customHeight="1">
      <c r="A1829" s="83"/>
      <c r="B1829" s="84"/>
      <c r="C1829" s="85"/>
      <c r="D1829" s="85"/>
      <c r="E1829" s="86"/>
      <c r="F1829" s="85"/>
      <c r="G1829" s="86"/>
      <c r="H1829" s="86"/>
      <c r="I1829" s="86">
        <f t="shared" si="1"/>
        <v>0</v>
      </c>
      <c r="J1829" s="86"/>
      <c r="K1829" s="22"/>
    </row>
    <row r="1830" ht="22.5" customHeight="1">
      <c r="A1830" s="83"/>
      <c r="B1830" s="84"/>
      <c r="C1830" s="85"/>
      <c r="D1830" s="85"/>
      <c r="E1830" s="86"/>
      <c r="F1830" s="85"/>
      <c r="G1830" s="86"/>
      <c r="H1830" s="86"/>
      <c r="I1830" s="86">
        <f t="shared" si="1"/>
        <v>0</v>
      </c>
      <c r="J1830" s="86"/>
      <c r="K1830" s="22"/>
    </row>
    <row r="1831" ht="22.5" customHeight="1">
      <c r="A1831" s="83"/>
      <c r="B1831" s="84"/>
      <c r="C1831" s="85"/>
      <c r="D1831" s="85"/>
      <c r="E1831" s="86"/>
      <c r="F1831" s="85"/>
      <c r="G1831" s="86"/>
      <c r="H1831" s="86"/>
      <c r="I1831" s="86">
        <f t="shared" si="1"/>
        <v>0</v>
      </c>
      <c r="J1831" s="86"/>
      <c r="K1831" s="22"/>
    </row>
    <row r="1832" ht="22.5" customHeight="1">
      <c r="A1832" s="83"/>
      <c r="B1832" s="84"/>
      <c r="C1832" s="85"/>
      <c r="D1832" s="85"/>
      <c r="E1832" s="86"/>
      <c r="F1832" s="85"/>
      <c r="G1832" s="86"/>
      <c r="H1832" s="86"/>
      <c r="I1832" s="86">
        <f t="shared" si="1"/>
        <v>0</v>
      </c>
      <c r="J1832" s="86"/>
      <c r="K1832" s="22"/>
    </row>
    <row r="1833" ht="22.5" customHeight="1">
      <c r="A1833" s="83"/>
      <c r="B1833" s="84"/>
      <c r="C1833" s="85"/>
      <c r="D1833" s="85"/>
      <c r="E1833" s="86"/>
      <c r="F1833" s="85"/>
      <c r="G1833" s="86"/>
      <c r="H1833" s="86"/>
      <c r="I1833" s="86">
        <f t="shared" si="1"/>
        <v>0</v>
      </c>
      <c r="J1833" s="86"/>
      <c r="K1833" s="22"/>
    </row>
    <row r="1834" ht="22.5" customHeight="1">
      <c r="A1834" s="83"/>
      <c r="B1834" s="84"/>
      <c r="C1834" s="85"/>
      <c r="D1834" s="85"/>
      <c r="E1834" s="86"/>
      <c r="F1834" s="85"/>
      <c r="G1834" s="86"/>
      <c r="H1834" s="86"/>
      <c r="I1834" s="86">
        <f t="shared" si="1"/>
        <v>0</v>
      </c>
      <c r="J1834" s="86"/>
      <c r="K1834" s="22"/>
    </row>
    <row r="1835" ht="22.5" customHeight="1">
      <c r="A1835" s="83"/>
      <c r="B1835" s="84"/>
      <c r="C1835" s="85"/>
      <c r="D1835" s="85"/>
      <c r="E1835" s="86"/>
      <c r="F1835" s="85"/>
      <c r="G1835" s="86"/>
      <c r="H1835" s="86"/>
      <c r="I1835" s="86">
        <f t="shared" si="1"/>
        <v>0</v>
      </c>
      <c r="J1835" s="86"/>
      <c r="K1835" s="22"/>
    </row>
    <row r="1836" ht="22.5" customHeight="1">
      <c r="A1836" s="83"/>
      <c r="B1836" s="84"/>
      <c r="C1836" s="85"/>
      <c r="D1836" s="85"/>
      <c r="E1836" s="86"/>
      <c r="F1836" s="85"/>
      <c r="G1836" s="86"/>
      <c r="H1836" s="86"/>
      <c r="I1836" s="86">
        <f t="shared" si="1"/>
        <v>0</v>
      </c>
      <c r="J1836" s="86"/>
      <c r="K1836" s="22"/>
    </row>
    <row r="1837" ht="22.5" customHeight="1">
      <c r="A1837" s="83"/>
      <c r="B1837" s="84"/>
      <c r="C1837" s="85"/>
      <c r="D1837" s="85"/>
      <c r="E1837" s="86"/>
      <c r="F1837" s="85"/>
      <c r="G1837" s="86"/>
      <c r="H1837" s="86"/>
      <c r="I1837" s="86">
        <f t="shared" si="1"/>
        <v>0</v>
      </c>
      <c r="J1837" s="86"/>
      <c r="K1837" s="22"/>
    </row>
    <row r="1838" ht="22.5" customHeight="1">
      <c r="A1838" s="83"/>
      <c r="B1838" s="84"/>
      <c r="C1838" s="85"/>
      <c r="D1838" s="85"/>
      <c r="E1838" s="86"/>
      <c r="F1838" s="85"/>
      <c r="G1838" s="86"/>
      <c r="H1838" s="86"/>
      <c r="I1838" s="86">
        <f t="shared" si="1"/>
        <v>0</v>
      </c>
      <c r="J1838" s="86"/>
      <c r="K1838" s="22"/>
    </row>
    <row r="1839" ht="22.5" customHeight="1">
      <c r="A1839" s="83"/>
      <c r="B1839" s="84"/>
      <c r="C1839" s="85"/>
      <c r="D1839" s="85"/>
      <c r="E1839" s="86"/>
      <c r="F1839" s="85"/>
      <c r="G1839" s="86"/>
      <c r="H1839" s="86"/>
      <c r="I1839" s="86">
        <f t="shared" si="1"/>
        <v>0</v>
      </c>
      <c r="J1839" s="86"/>
      <c r="K1839" s="22"/>
    </row>
    <row r="1840" ht="22.5" customHeight="1">
      <c r="A1840" s="83"/>
      <c r="B1840" s="84"/>
      <c r="C1840" s="85"/>
      <c r="D1840" s="85"/>
      <c r="E1840" s="86"/>
      <c r="F1840" s="85"/>
      <c r="G1840" s="86"/>
      <c r="H1840" s="86"/>
      <c r="I1840" s="86">
        <f t="shared" si="1"/>
        <v>0</v>
      </c>
      <c r="J1840" s="86"/>
      <c r="K1840" s="22"/>
    </row>
    <row r="1841" ht="22.5" customHeight="1">
      <c r="A1841" s="83"/>
      <c r="B1841" s="84"/>
      <c r="C1841" s="85"/>
      <c r="D1841" s="85"/>
      <c r="E1841" s="86"/>
      <c r="F1841" s="85"/>
      <c r="G1841" s="86"/>
      <c r="H1841" s="86"/>
      <c r="I1841" s="86">
        <f t="shared" si="1"/>
        <v>0</v>
      </c>
      <c r="J1841" s="86"/>
      <c r="K1841" s="22"/>
    </row>
    <row r="1842" ht="22.5" customHeight="1">
      <c r="A1842" s="83"/>
      <c r="B1842" s="84"/>
      <c r="C1842" s="85"/>
      <c r="D1842" s="85"/>
      <c r="E1842" s="86"/>
      <c r="F1842" s="85"/>
      <c r="G1842" s="86"/>
      <c r="H1842" s="86"/>
      <c r="I1842" s="86">
        <f t="shared" si="1"/>
        <v>0</v>
      </c>
      <c r="J1842" s="86"/>
      <c r="K1842" s="22"/>
    </row>
    <row r="1843" ht="22.5" customHeight="1">
      <c r="A1843" s="83"/>
      <c r="B1843" s="84"/>
      <c r="C1843" s="85"/>
      <c r="D1843" s="85"/>
      <c r="E1843" s="86"/>
      <c r="F1843" s="85"/>
      <c r="G1843" s="86"/>
      <c r="H1843" s="86"/>
      <c r="I1843" s="86">
        <f t="shared" si="1"/>
        <v>0</v>
      </c>
      <c r="J1843" s="86"/>
      <c r="K1843" s="22"/>
    </row>
    <row r="1844" ht="22.5" customHeight="1">
      <c r="A1844" s="83"/>
      <c r="B1844" s="84"/>
      <c r="C1844" s="85"/>
      <c r="D1844" s="85"/>
      <c r="E1844" s="86"/>
      <c r="F1844" s="85"/>
      <c r="G1844" s="86"/>
      <c r="H1844" s="86"/>
      <c r="I1844" s="86">
        <f t="shared" si="1"/>
        <v>0</v>
      </c>
      <c r="J1844" s="86"/>
      <c r="K1844" s="22"/>
    </row>
    <row r="1845" ht="22.5" customHeight="1">
      <c r="A1845" s="83"/>
      <c r="B1845" s="84"/>
      <c r="C1845" s="85"/>
      <c r="D1845" s="85"/>
      <c r="E1845" s="86"/>
      <c r="F1845" s="85"/>
      <c r="G1845" s="86"/>
      <c r="H1845" s="86"/>
      <c r="I1845" s="86">
        <f t="shared" si="1"/>
        <v>0</v>
      </c>
      <c r="J1845" s="86"/>
      <c r="K1845" s="22"/>
    </row>
    <row r="1846" ht="22.5" customHeight="1">
      <c r="A1846" s="83"/>
      <c r="B1846" s="84"/>
      <c r="C1846" s="85"/>
      <c r="D1846" s="85"/>
      <c r="E1846" s="86"/>
      <c r="F1846" s="85"/>
      <c r="G1846" s="86"/>
      <c r="H1846" s="86"/>
      <c r="I1846" s="86">
        <f t="shared" si="1"/>
        <v>0</v>
      </c>
      <c r="J1846" s="86"/>
      <c r="K1846" s="22"/>
    </row>
    <row r="1847" ht="22.5" customHeight="1">
      <c r="A1847" s="83"/>
      <c r="B1847" s="84"/>
      <c r="C1847" s="85"/>
      <c r="D1847" s="85"/>
      <c r="E1847" s="86"/>
      <c r="F1847" s="85"/>
      <c r="G1847" s="86"/>
      <c r="H1847" s="86"/>
      <c r="I1847" s="86">
        <f t="shared" si="1"/>
        <v>0</v>
      </c>
      <c r="J1847" s="86"/>
      <c r="K1847" s="22"/>
    </row>
    <row r="1848" ht="22.5" customHeight="1">
      <c r="A1848" s="83"/>
      <c r="B1848" s="84"/>
      <c r="C1848" s="85"/>
      <c r="D1848" s="85"/>
      <c r="E1848" s="86"/>
      <c r="F1848" s="85"/>
      <c r="G1848" s="86"/>
      <c r="H1848" s="86"/>
      <c r="I1848" s="86">
        <f t="shared" si="1"/>
        <v>0</v>
      </c>
      <c r="J1848" s="86"/>
      <c r="K1848" s="22"/>
    </row>
    <row r="1849" ht="22.5" customHeight="1">
      <c r="A1849" s="83"/>
      <c r="B1849" s="84"/>
      <c r="C1849" s="85"/>
      <c r="D1849" s="85"/>
      <c r="E1849" s="86"/>
      <c r="F1849" s="85"/>
      <c r="G1849" s="86"/>
      <c r="H1849" s="86"/>
      <c r="I1849" s="86">
        <f t="shared" si="1"/>
        <v>0</v>
      </c>
      <c r="J1849" s="86"/>
      <c r="K1849" s="22"/>
    </row>
    <row r="1850" ht="22.5" customHeight="1">
      <c r="A1850" s="83"/>
      <c r="B1850" s="84"/>
      <c r="C1850" s="85"/>
      <c r="D1850" s="85"/>
      <c r="E1850" s="86"/>
      <c r="F1850" s="85"/>
      <c r="G1850" s="86"/>
      <c r="H1850" s="86"/>
      <c r="I1850" s="86">
        <f t="shared" si="1"/>
        <v>0</v>
      </c>
      <c r="J1850" s="86"/>
      <c r="K1850" s="22"/>
    </row>
    <row r="1851" ht="22.5" customHeight="1">
      <c r="A1851" s="83"/>
      <c r="B1851" s="84"/>
      <c r="C1851" s="85"/>
      <c r="D1851" s="85"/>
      <c r="E1851" s="86"/>
      <c r="F1851" s="85"/>
      <c r="G1851" s="86"/>
      <c r="H1851" s="86"/>
      <c r="I1851" s="86">
        <f t="shared" si="1"/>
        <v>0</v>
      </c>
      <c r="J1851" s="86"/>
      <c r="K1851" s="22"/>
    </row>
    <row r="1852" ht="22.5" customHeight="1">
      <c r="A1852" s="83"/>
      <c r="B1852" s="84"/>
      <c r="C1852" s="85"/>
      <c r="D1852" s="85"/>
      <c r="E1852" s="86"/>
      <c r="F1852" s="85"/>
      <c r="G1852" s="86"/>
      <c r="H1852" s="86"/>
      <c r="I1852" s="86">
        <f t="shared" si="1"/>
        <v>0</v>
      </c>
      <c r="J1852" s="86"/>
      <c r="K1852" s="22"/>
    </row>
    <row r="1853" ht="22.5" customHeight="1">
      <c r="A1853" s="83"/>
      <c r="B1853" s="84"/>
      <c r="C1853" s="85"/>
      <c r="D1853" s="85"/>
      <c r="E1853" s="86"/>
      <c r="F1853" s="85"/>
      <c r="G1853" s="86"/>
      <c r="H1853" s="86"/>
      <c r="I1853" s="86">
        <f t="shared" si="1"/>
        <v>0</v>
      </c>
      <c r="J1853" s="86"/>
      <c r="K1853" s="22"/>
    </row>
    <row r="1854" ht="22.5" customHeight="1">
      <c r="A1854" s="83"/>
      <c r="B1854" s="84"/>
      <c r="C1854" s="85"/>
      <c r="D1854" s="85"/>
      <c r="E1854" s="86"/>
      <c r="F1854" s="85"/>
      <c r="G1854" s="86"/>
      <c r="H1854" s="86"/>
      <c r="I1854" s="86">
        <f t="shared" si="1"/>
        <v>0</v>
      </c>
      <c r="J1854" s="86"/>
      <c r="K1854" s="22"/>
    </row>
    <row r="1855" ht="22.5" customHeight="1">
      <c r="A1855" s="83"/>
      <c r="B1855" s="84"/>
      <c r="C1855" s="85"/>
      <c r="D1855" s="85"/>
      <c r="E1855" s="86"/>
      <c r="F1855" s="85"/>
      <c r="G1855" s="86"/>
      <c r="H1855" s="86"/>
      <c r="I1855" s="86">
        <f t="shared" si="1"/>
        <v>0</v>
      </c>
      <c r="J1855" s="86"/>
      <c r="K1855" s="22"/>
    </row>
    <row r="1856" ht="22.5" customHeight="1">
      <c r="A1856" s="83"/>
      <c r="B1856" s="84"/>
      <c r="C1856" s="85"/>
      <c r="D1856" s="85"/>
      <c r="E1856" s="86"/>
      <c r="F1856" s="85"/>
      <c r="G1856" s="86"/>
      <c r="H1856" s="86"/>
      <c r="I1856" s="86">
        <f t="shared" si="1"/>
        <v>0</v>
      </c>
      <c r="J1856" s="86"/>
      <c r="K1856" s="22"/>
    </row>
    <row r="1857" ht="22.5" customHeight="1">
      <c r="A1857" s="83"/>
      <c r="B1857" s="84"/>
      <c r="C1857" s="85"/>
      <c r="D1857" s="85"/>
      <c r="E1857" s="86"/>
      <c r="F1857" s="85"/>
      <c r="G1857" s="86"/>
      <c r="H1857" s="86"/>
      <c r="I1857" s="86">
        <f t="shared" si="1"/>
        <v>0</v>
      </c>
      <c r="J1857" s="86"/>
      <c r="K1857" s="22"/>
    </row>
    <row r="1858" ht="22.5" customHeight="1">
      <c r="A1858" s="83"/>
      <c r="B1858" s="84"/>
      <c r="C1858" s="85"/>
      <c r="D1858" s="85"/>
      <c r="E1858" s="86"/>
      <c r="F1858" s="85"/>
      <c r="G1858" s="86"/>
      <c r="H1858" s="86"/>
      <c r="I1858" s="86">
        <f t="shared" si="1"/>
        <v>0</v>
      </c>
      <c r="J1858" s="86"/>
      <c r="K1858" s="22"/>
    </row>
    <row r="1859" ht="22.5" customHeight="1">
      <c r="A1859" s="83"/>
      <c r="B1859" s="84"/>
      <c r="C1859" s="85"/>
      <c r="D1859" s="85"/>
      <c r="E1859" s="86"/>
      <c r="F1859" s="85"/>
      <c r="G1859" s="86"/>
      <c r="H1859" s="86"/>
      <c r="I1859" s="86">
        <f t="shared" si="1"/>
        <v>0</v>
      </c>
      <c r="J1859" s="86"/>
      <c r="K1859" s="22"/>
    </row>
    <row r="1860" ht="22.5" customHeight="1">
      <c r="A1860" s="83"/>
      <c r="B1860" s="84"/>
      <c r="C1860" s="85"/>
      <c r="D1860" s="85"/>
      <c r="E1860" s="86"/>
      <c r="F1860" s="85"/>
      <c r="G1860" s="86"/>
      <c r="H1860" s="86"/>
      <c r="I1860" s="86">
        <f t="shared" si="1"/>
        <v>0</v>
      </c>
      <c r="J1860" s="86"/>
      <c r="K1860" s="22"/>
    </row>
    <row r="1861" ht="22.5" customHeight="1">
      <c r="A1861" s="83"/>
      <c r="B1861" s="84"/>
      <c r="C1861" s="85"/>
      <c r="D1861" s="85"/>
      <c r="E1861" s="86"/>
      <c r="F1861" s="85"/>
      <c r="G1861" s="86"/>
      <c r="H1861" s="86"/>
      <c r="I1861" s="86">
        <f t="shared" si="1"/>
        <v>0</v>
      </c>
      <c r="J1861" s="86"/>
      <c r="K1861" s="22"/>
    </row>
    <row r="1862" ht="22.5" customHeight="1">
      <c r="A1862" s="83"/>
      <c r="B1862" s="84"/>
      <c r="C1862" s="85"/>
      <c r="D1862" s="85"/>
      <c r="E1862" s="86"/>
      <c r="F1862" s="85"/>
      <c r="G1862" s="86"/>
      <c r="H1862" s="86"/>
      <c r="I1862" s="86">
        <f t="shared" si="1"/>
        <v>0</v>
      </c>
      <c r="J1862" s="86"/>
      <c r="K1862" s="22"/>
    </row>
    <row r="1863" ht="22.5" customHeight="1">
      <c r="A1863" s="83"/>
      <c r="B1863" s="84"/>
      <c r="C1863" s="85"/>
      <c r="D1863" s="85"/>
      <c r="E1863" s="86"/>
      <c r="F1863" s="85"/>
      <c r="G1863" s="86"/>
      <c r="H1863" s="86"/>
      <c r="I1863" s="86">
        <f t="shared" si="1"/>
        <v>0</v>
      </c>
      <c r="J1863" s="86"/>
      <c r="K1863" s="22"/>
    </row>
    <row r="1864" ht="22.5" customHeight="1">
      <c r="A1864" s="83"/>
      <c r="B1864" s="84"/>
      <c r="C1864" s="85"/>
      <c r="D1864" s="85"/>
      <c r="E1864" s="86"/>
      <c r="F1864" s="85"/>
      <c r="G1864" s="86"/>
      <c r="H1864" s="86"/>
      <c r="I1864" s="86">
        <f t="shared" si="1"/>
        <v>0</v>
      </c>
      <c r="J1864" s="86"/>
      <c r="K1864" s="22"/>
    </row>
    <row r="1865" ht="22.5" customHeight="1">
      <c r="A1865" s="83"/>
      <c r="B1865" s="84"/>
      <c r="C1865" s="85"/>
      <c r="D1865" s="85"/>
      <c r="E1865" s="86"/>
      <c r="F1865" s="85"/>
      <c r="G1865" s="86"/>
      <c r="H1865" s="86"/>
      <c r="I1865" s="86">
        <f t="shared" si="1"/>
        <v>0</v>
      </c>
      <c r="J1865" s="86"/>
      <c r="K1865" s="22"/>
    </row>
    <row r="1866" ht="22.5" customHeight="1">
      <c r="A1866" s="83"/>
      <c r="B1866" s="84"/>
      <c r="C1866" s="85"/>
      <c r="D1866" s="85"/>
      <c r="E1866" s="86"/>
      <c r="F1866" s="85"/>
      <c r="G1866" s="86"/>
      <c r="H1866" s="86"/>
      <c r="I1866" s="86">
        <f t="shared" si="1"/>
        <v>0</v>
      </c>
      <c r="J1866" s="86"/>
      <c r="K1866" s="22"/>
    </row>
    <row r="1867" ht="22.5" customHeight="1">
      <c r="A1867" s="83"/>
      <c r="B1867" s="84"/>
      <c r="C1867" s="85"/>
      <c r="D1867" s="85"/>
      <c r="E1867" s="86"/>
      <c r="F1867" s="85"/>
      <c r="G1867" s="86"/>
      <c r="H1867" s="86"/>
      <c r="I1867" s="86">
        <f t="shared" si="1"/>
        <v>0</v>
      </c>
      <c r="J1867" s="86"/>
      <c r="K1867" s="22"/>
    </row>
    <row r="1868" ht="22.5" customHeight="1">
      <c r="A1868" s="83"/>
      <c r="B1868" s="84"/>
      <c r="C1868" s="85"/>
      <c r="D1868" s="85"/>
      <c r="E1868" s="86"/>
      <c r="F1868" s="85"/>
      <c r="G1868" s="86"/>
      <c r="H1868" s="86"/>
      <c r="I1868" s="86">
        <f t="shared" si="1"/>
        <v>0</v>
      </c>
      <c r="J1868" s="86"/>
      <c r="K1868" s="22"/>
    </row>
    <row r="1869" ht="22.5" customHeight="1">
      <c r="A1869" s="83"/>
      <c r="B1869" s="84"/>
      <c r="C1869" s="85"/>
      <c r="D1869" s="85"/>
      <c r="E1869" s="86"/>
      <c r="F1869" s="85"/>
      <c r="G1869" s="86"/>
      <c r="H1869" s="86"/>
      <c r="I1869" s="86">
        <f t="shared" si="1"/>
        <v>0</v>
      </c>
      <c r="J1869" s="86"/>
      <c r="K1869" s="22"/>
    </row>
    <row r="1870" ht="22.5" customHeight="1">
      <c r="A1870" s="83"/>
      <c r="B1870" s="84"/>
      <c r="C1870" s="85"/>
      <c r="D1870" s="85"/>
      <c r="E1870" s="86"/>
      <c r="F1870" s="85"/>
      <c r="G1870" s="86"/>
      <c r="H1870" s="86"/>
      <c r="I1870" s="86">
        <f t="shared" si="1"/>
        <v>0</v>
      </c>
      <c r="J1870" s="86"/>
      <c r="K1870" s="22"/>
    </row>
    <row r="1871" ht="22.5" customHeight="1">
      <c r="A1871" s="83"/>
      <c r="B1871" s="84"/>
      <c r="C1871" s="85"/>
      <c r="D1871" s="85"/>
      <c r="E1871" s="86"/>
      <c r="F1871" s="85"/>
      <c r="G1871" s="86"/>
      <c r="H1871" s="86"/>
      <c r="I1871" s="86">
        <f t="shared" si="1"/>
        <v>0</v>
      </c>
      <c r="J1871" s="86"/>
      <c r="K1871" s="22"/>
    </row>
    <row r="1872" ht="22.5" customHeight="1">
      <c r="A1872" s="83"/>
      <c r="B1872" s="84"/>
      <c r="C1872" s="85"/>
      <c r="D1872" s="85"/>
      <c r="E1872" s="86"/>
      <c r="F1872" s="85"/>
      <c r="G1872" s="86"/>
      <c r="H1872" s="86"/>
      <c r="I1872" s="86">
        <f t="shared" si="1"/>
        <v>0</v>
      </c>
      <c r="J1872" s="86"/>
      <c r="K1872" s="22"/>
    </row>
    <row r="1873" ht="22.5" customHeight="1">
      <c r="A1873" s="83"/>
      <c r="B1873" s="84"/>
      <c r="C1873" s="85"/>
      <c r="D1873" s="85"/>
      <c r="E1873" s="86"/>
      <c r="F1873" s="85"/>
      <c r="G1873" s="86"/>
      <c r="H1873" s="86"/>
      <c r="I1873" s="86">
        <f t="shared" si="1"/>
        <v>0</v>
      </c>
      <c r="J1873" s="86"/>
      <c r="K1873" s="22"/>
    </row>
    <row r="1874" ht="22.5" customHeight="1">
      <c r="A1874" s="83"/>
      <c r="B1874" s="84"/>
      <c r="C1874" s="85"/>
      <c r="D1874" s="85"/>
      <c r="E1874" s="86"/>
      <c r="F1874" s="85"/>
      <c r="G1874" s="86"/>
      <c r="H1874" s="86"/>
      <c r="I1874" s="86">
        <f t="shared" si="1"/>
        <v>0</v>
      </c>
      <c r="J1874" s="86"/>
      <c r="K1874" s="22"/>
    </row>
    <row r="1875" ht="22.5" customHeight="1">
      <c r="A1875" s="83"/>
      <c r="B1875" s="84"/>
      <c r="C1875" s="85"/>
      <c r="D1875" s="85"/>
      <c r="E1875" s="86"/>
      <c r="F1875" s="85"/>
      <c r="G1875" s="86"/>
      <c r="H1875" s="86"/>
      <c r="I1875" s="86">
        <f t="shared" si="1"/>
        <v>0</v>
      </c>
      <c r="J1875" s="86"/>
      <c r="K1875" s="22"/>
    </row>
    <row r="1876" ht="22.5" customHeight="1">
      <c r="A1876" s="83"/>
      <c r="B1876" s="84"/>
      <c r="C1876" s="85"/>
      <c r="D1876" s="85"/>
      <c r="E1876" s="86"/>
      <c r="F1876" s="85"/>
      <c r="G1876" s="86"/>
      <c r="H1876" s="86"/>
      <c r="I1876" s="86">
        <f t="shared" si="1"/>
        <v>0</v>
      </c>
      <c r="J1876" s="86"/>
      <c r="K1876" s="22"/>
    </row>
    <row r="1877" ht="22.5" customHeight="1">
      <c r="A1877" s="83"/>
      <c r="B1877" s="84"/>
      <c r="C1877" s="85"/>
      <c r="D1877" s="85"/>
      <c r="E1877" s="86"/>
      <c r="F1877" s="85"/>
      <c r="G1877" s="86"/>
      <c r="H1877" s="86"/>
      <c r="I1877" s="86">
        <f t="shared" si="1"/>
        <v>0</v>
      </c>
      <c r="J1877" s="86"/>
      <c r="K1877" s="22"/>
    </row>
    <row r="1878" ht="22.5" customHeight="1">
      <c r="A1878" s="83"/>
      <c r="B1878" s="84"/>
      <c r="C1878" s="85"/>
      <c r="D1878" s="85"/>
      <c r="E1878" s="86"/>
      <c r="F1878" s="85"/>
      <c r="G1878" s="86"/>
      <c r="H1878" s="86"/>
      <c r="I1878" s="86">
        <f t="shared" si="1"/>
        <v>0</v>
      </c>
      <c r="J1878" s="86"/>
      <c r="K1878" s="22"/>
    </row>
    <row r="1879" ht="22.5" customHeight="1">
      <c r="A1879" s="83"/>
      <c r="B1879" s="84"/>
      <c r="C1879" s="85"/>
      <c r="D1879" s="85"/>
      <c r="E1879" s="86"/>
      <c r="F1879" s="85"/>
      <c r="G1879" s="86"/>
      <c r="H1879" s="86"/>
      <c r="I1879" s="86">
        <f t="shared" si="1"/>
        <v>0</v>
      </c>
      <c r="J1879" s="86"/>
      <c r="K1879" s="22"/>
    </row>
    <row r="1880" ht="22.5" customHeight="1">
      <c r="A1880" s="83"/>
      <c r="B1880" s="84"/>
      <c r="C1880" s="85"/>
      <c r="D1880" s="85"/>
      <c r="E1880" s="86"/>
      <c r="F1880" s="85"/>
      <c r="G1880" s="86"/>
      <c r="H1880" s="86"/>
      <c r="I1880" s="86">
        <f t="shared" si="1"/>
        <v>0</v>
      </c>
      <c r="J1880" s="86"/>
      <c r="K1880" s="22"/>
    </row>
    <row r="1881" ht="22.5" customHeight="1">
      <c r="A1881" s="83"/>
      <c r="B1881" s="84"/>
      <c r="C1881" s="85"/>
      <c r="D1881" s="85"/>
      <c r="E1881" s="86"/>
      <c r="F1881" s="85"/>
      <c r="G1881" s="86"/>
      <c r="H1881" s="86"/>
      <c r="I1881" s="86">
        <f t="shared" si="1"/>
        <v>0</v>
      </c>
      <c r="J1881" s="86"/>
      <c r="K1881" s="22"/>
    </row>
    <row r="1882" ht="22.5" customHeight="1">
      <c r="A1882" s="83"/>
      <c r="B1882" s="84"/>
      <c r="C1882" s="85"/>
      <c r="D1882" s="85"/>
      <c r="E1882" s="86"/>
      <c r="F1882" s="85"/>
      <c r="G1882" s="86"/>
      <c r="H1882" s="86"/>
      <c r="I1882" s="86">
        <f t="shared" si="1"/>
        <v>0</v>
      </c>
      <c r="J1882" s="86"/>
      <c r="K1882" s="22"/>
    </row>
    <row r="1883" ht="22.5" customHeight="1">
      <c r="A1883" s="83"/>
      <c r="B1883" s="84"/>
      <c r="C1883" s="85"/>
      <c r="D1883" s="85"/>
      <c r="E1883" s="86"/>
      <c r="F1883" s="85"/>
      <c r="G1883" s="86"/>
      <c r="H1883" s="86"/>
      <c r="I1883" s="86">
        <f t="shared" si="1"/>
        <v>0</v>
      </c>
      <c r="J1883" s="86"/>
      <c r="K1883" s="22"/>
    </row>
    <row r="1884" ht="22.5" customHeight="1">
      <c r="A1884" s="83"/>
      <c r="B1884" s="84"/>
      <c r="C1884" s="85"/>
      <c r="D1884" s="85"/>
      <c r="E1884" s="86"/>
      <c r="F1884" s="85"/>
      <c r="G1884" s="86"/>
      <c r="H1884" s="86"/>
      <c r="I1884" s="86">
        <f t="shared" si="1"/>
        <v>0</v>
      </c>
      <c r="J1884" s="86"/>
      <c r="K1884" s="22"/>
    </row>
    <row r="1885" ht="22.5" customHeight="1">
      <c r="A1885" s="83"/>
      <c r="B1885" s="84"/>
      <c r="C1885" s="85"/>
      <c r="D1885" s="85"/>
      <c r="E1885" s="86"/>
      <c r="F1885" s="85"/>
      <c r="G1885" s="86"/>
      <c r="H1885" s="86"/>
      <c r="I1885" s="86">
        <f t="shared" si="1"/>
        <v>0</v>
      </c>
      <c r="J1885" s="86"/>
      <c r="K1885" s="22"/>
    </row>
    <row r="1886" ht="22.5" customHeight="1">
      <c r="A1886" s="83"/>
      <c r="B1886" s="84"/>
      <c r="C1886" s="85"/>
      <c r="D1886" s="85"/>
      <c r="E1886" s="86"/>
      <c r="F1886" s="85"/>
      <c r="G1886" s="86"/>
      <c r="H1886" s="86"/>
      <c r="I1886" s="86">
        <f t="shared" si="1"/>
        <v>0</v>
      </c>
      <c r="J1886" s="86"/>
      <c r="K1886" s="22"/>
    </row>
    <row r="1887" ht="22.5" customHeight="1">
      <c r="A1887" s="83"/>
      <c r="B1887" s="84"/>
      <c r="C1887" s="85"/>
      <c r="D1887" s="85"/>
      <c r="E1887" s="86"/>
      <c r="F1887" s="85"/>
      <c r="G1887" s="86"/>
      <c r="H1887" s="86"/>
      <c r="I1887" s="86">
        <f t="shared" si="1"/>
        <v>0</v>
      </c>
      <c r="J1887" s="86"/>
      <c r="K1887" s="22"/>
    </row>
    <row r="1888" ht="22.5" customHeight="1">
      <c r="A1888" s="83"/>
      <c r="B1888" s="84"/>
      <c r="C1888" s="85"/>
      <c r="D1888" s="85"/>
      <c r="E1888" s="86"/>
      <c r="F1888" s="85"/>
      <c r="G1888" s="86"/>
      <c r="H1888" s="86"/>
      <c r="I1888" s="86">
        <f t="shared" si="1"/>
        <v>0</v>
      </c>
      <c r="J1888" s="86"/>
      <c r="K1888" s="22"/>
    </row>
    <row r="1889" ht="22.5" customHeight="1">
      <c r="A1889" s="83"/>
      <c r="B1889" s="84"/>
      <c r="C1889" s="85"/>
      <c r="D1889" s="85"/>
      <c r="E1889" s="86"/>
      <c r="F1889" s="85"/>
      <c r="G1889" s="86"/>
      <c r="H1889" s="86"/>
      <c r="I1889" s="86">
        <f t="shared" si="1"/>
        <v>0</v>
      </c>
      <c r="J1889" s="86"/>
      <c r="K1889" s="22"/>
    </row>
    <row r="1890" ht="22.5" customHeight="1">
      <c r="A1890" s="83"/>
      <c r="B1890" s="84"/>
      <c r="C1890" s="85"/>
      <c r="D1890" s="85"/>
      <c r="E1890" s="86"/>
      <c r="F1890" s="85"/>
      <c r="G1890" s="86"/>
      <c r="H1890" s="86"/>
      <c r="I1890" s="86">
        <f t="shared" si="1"/>
        <v>0</v>
      </c>
      <c r="J1890" s="86"/>
      <c r="K1890" s="22"/>
    </row>
    <row r="1891" ht="22.5" customHeight="1">
      <c r="A1891" s="83"/>
      <c r="B1891" s="84"/>
      <c r="C1891" s="85"/>
      <c r="D1891" s="85"/>
      <c r="E1891" s="86"/>
      <c r="F1891" s="85"/>
      <c r="G1891" s="86"/>
      <c r="H1891" s="86"/>
      <c r="I1891" s="86">
        <f t="shared" si="1"/>
        <v>0</v>
      </c>
      <c r="J1891" s="86"/>
      <c r="K1891" s="22"/>
    </row>
    <row r="1892" ht="22.5" customHeight="1">
      <c r="A1892" s="83"/>
      <c r="B1892" s="84"/>
      <c r="C1892" s="85"/>
      <c r="D1892" s="85"/>
      <c r="E1892" s="86"/>
      <c r="F1892" s="85"/>
      <c r="G1892" s="86"/>
      <c r="H1892" s="86"/>
      <c r="I1892" s="86">
        <f t="shared" si="1"/>
        <v>0</v>
      </c>
      <c r="J1892" s="86"/>
      <c r="K1892" s="22"/>
    </row>
    <row r="1893" ht="22.5" customHeight="1">
      <c r="A1893" s="83"/>
      <c r="B1893" s="84"/>
      <c r="C1893" s="85"/>
      <c r="D1893" s="85"/>
      <c r="E1893" s="86"/>
      <c r="F1893" s="85"/>
      <c r="G1893" s="86"/>
      <c r="H1893" s="86"/>
      <c r="I1893" s="86">
        <f t="shared" si="1"/>
        <v>0</v>
      </c>
      <c r="J1893" s="86"/>
      <c r="K1893" s="22"/>
    </row>
    <row r="1894" ht="22.5" customHeight="1">
      <c r="A1894" s="83"/>
      <c r="B1894" s="84"/>
      <c r="C1894" s="85"/>
      <c r="D1894" s="85"/>
      <c r="E1894" s="86"/>
      <c r="F1894" s="85"/>
      <c r="G1894" s="86"/>
      <c r="H1894" s="86"/>
      <c r="I1894" s="86">
        <f t="shared" si="1"/>
        <v>0</v>
      </c>
      <c r="J1894" s="86"/>
      <c r="K1894" s="22"/>
    </row>
    <row r="1895" ht="22.5" customHeight="1">
      <c r="A1895" s="83"/>
      <c r="B1895" s="84"/>
      <c r="C1895" s="85"/>
      <c r="D1895" s="85"/>
      <c r="E1895" s="86"/>
      <c r="F1895" s="85"/>
      <c r="G1895" s="86"/>
      <c r="H1895" s="86"/>
      <c r="I1895" s="86">
        <f t="shared" si="1"/>
        <v>0</v>
      </c>
      <c r="J1895" s="86"/>
      <c r="K1895" s="22"/>
    </row>
    <row r="1896" ht="22.5" customHeight="1">
      <c r="A1896" s="83"/>
      <c r="B1896" s="84"/>
      <c r="C1896" s="85"/>
      <c r="D1896" s="85"/>
      <c r="E1896" s="86"/>
      <c r="F1896" s="85"/>
      <c r="G1896" s="86"/>
      <c r="H1896" s="86"/>
      <c r="I1896" s="86">
        <f t="shared" si="1"/>
        <v>0</v>
      </c>
      <c r="J1896" s="86"/>
      <c r="K1896" s="22"/>
    </row>
    <row r="1897" ht="22.5" customHeight="1">
      <c r="A1897" s="83"/>
      <c r="B1897" s="84"/>
      <c r="C1897" s="85"/>
      <c r="D1897" s="85"/>
      <c r="E1897" s="86"/>
      <c r="F1897" s="85"/>
      <c r="G1897" s="86"/>
      <c r="H1897" s="86"/>
      <c r="I1897" s="86">
        <f t="shared" si="1"/>
        <v>0</v>
      </c>
      <c r="J1897" s="86"/>
      <c r="K1897" s="22"/>
    </row>
    <row r="1898" ht="22.5" customHeight="1">
      <c r="A1898" s="83"/>
      <c r="B1898" s="84"/>
      <c r="C1898" s="85"/>
      <c r="D1898" s="85"/>
      <c r="E1898" s="86"/>
      <c r="F1898" s="85"/>
      <c r="G1898" s="86"/>
      <c r="H1898" s="86"/>
      <c r="I1898" s="86">
        <f t="shared" si="1"/>
        <v>0</v>
      </c>
      <c r="J1898" s="86"/>
      <c r="K1898" s="22"/>
    </row>
    <row r="1899" ht="22.5" customHeight="1">
      <c r="A1899" s="83"/>
      <c r="B1899" s="84"/>
      <c r="C1899" s="85"/>
      <c r="D1899" s="85"/>
      <c r="E1899" s="86"/>
      <c r="F1899" s="85"/>
      <c r="G1899" s="86"/>
      <c r="H1899" s="86"/>
      <c r="I1899" s="86">
        <f t="shared" si="1"/>
        <v>0</v>
      </c>
      <c r="J1899" s="86"/>
      <c r="K1899" s="22"/>
    </row>
    <row r="1900" ht="22.5" customHeight="1">
      <c r="A1900" s="83"/>
      <c r="B1900" s="84"/>
      <c r="C1900" s="85"/>
      <c r="D1900" s="85"/>
      <c r="E1900" s="86"/>
      <c r="F1900" s="85"/>
      <c r="G1900" s="86"/>
      <c r="H1900" s="86"/>
      <c r="I1900" s="86">
        <f t="shared" si="1"/>
        <v>0</v>
      </c>
      <c r="J1900" s="86"/>
      <c r="K1900" s="22"/>
    </row>
    <row r="1901" ht="22.5" customHeight="1">
      <c r="A1901" s="83"/>
      <c r="B1901" s="84"/>
      <c r="C1901" s="85"/>
      <c r="D1901" s="85"/>
      <c r="E1901" s="86"/>
      <c r="F1901" s="85"/>
      <c r="G1901" s="86"/>
      <c r="H1901" s="86"/>
      <c r="I1901" s="86">
        <f t="shared" si="1"/>
        <v>0</v>
      </c>
      <c r="J1901" s="86"/>
      <c r="K1901" s="22"/>
    </row>
    <row r="1902" ht="22.5" customHeight="1">
      <c r="A1902" s="83"/>
      <c r="B1902" s="84"/>
      <c r="C1902" s="85"/>
      <c r="D1902" s="85"/>
      <c r="E1902" s="86"/>
      <c r="F1902" s="85"/>
      <c r="G1902" s="86"/>
      <c r="H1902" s="86"/>
      <c r="I1902" s="86">
        <f t="shared" si="1"/>
        <v>0</v>
      </c>
      <c r="J1902" s="86"/>
      <c r="K1902" s="22"/>
    </row>
    <row r="1903" ht="22.5" customHeight="1">
      <c r="A1903" s="83"/>
      <c r="B1903" s="84"/>
      <c r="C1903" s="85"/>
      <c r="D1903" s="85"/>
      <c r="E1903" s="86"/>
      <c r="F1903" s="85"/>
      <c r="G1903" s="86"/>
      <c r="H1903" s="86"/>
      <c r="I1903" s="86">
        <f t="shared" si="1"/>
        <v>0</v>
      </c>
      <c r="J1903" s="86"/>
      <c r="K1903" s="22"/>
    </row>
    <row r="1904" ht="22.5" customHeight="1">
      <c r="A1904" s="83"/>
      <c r="B1904" s="84"/>
      <c r="C1904" s="85"/>
      <c r="D1904" s="85"/>
      <c r="E1904" s="86"/>
      <c r="F1904" s="85"/>
      <c r="G1904" s="86"/>
      <c r="H1904" s="86"/>
      <c r="I1904" s="86">
        <f t="shared" si="1"/>
        <v>0</v>
      </c>
      <c r="J1904" s="86"/>
      <c r="K1904" s="22"/>
    </row>
    <row r="1905" ht="22.5" customHeight="1">
      <c r="A1905" s="83"/>
      <c r="B1905" s="84"/>
      <c r="C1905" s="85"/>
      <c r="D1905" s="85"/>
      <c r="E1905" s="86"/>
      <c r="F1905" s="85"/>
      <c r="G1905" s="86"/>
      <c r="H1905" s="86"/>
      <c r="I1905" s="86">
        <f t="shared" si="1"/>
        <v>0</v>
      </c>
      <c r="J1905" s="86"/>
      <c r="K1905" s="22"/>
    </row>
    <row r="1906" ht="22.5" customHeight="1">
      <c r="A1906" s="83"/>
      <c r="B1906" s="84"/>
      <c r="C1906" s="85"/>
      <c r="D1906" s="85"/>
      <c r="E1906" s="86"/>
      <c r="F1906" s="85"/>
      <c r="G1906" s="86"/>
      <c r="H1906" s="86"/>
      <c r="I1906" s="86">
        <f t="shared" si="1"/>
        <v>0</v>
      </c>
      <c r="J1906" s="86"/>
      <c r="K1906" s="22"/>
    </row>
    <row r="1907" ht="22.5" customHeight="1">
      <c r="A1907" s="83"/>
      <c r="B1907" s="84"/>
      <c r="C1907" s="85"/>
      <c r="D1907" s="85"/>
      <c r="E1907" s="86"/>
      <c r="F1907" s="85"/>
      <c r="G1907" s="86"/>
      <c r="H1907" s="86"/>
      <c r="I1907" s="86">
        <f t="shared" si="1"/>
        <v>0</v>
      </c>
      <c r="J1907" s="86"/>
      <c r="K1907" s="22"/>
    </row>
    <row r="1908" ht="22.5" customHeight="1">
      <c r="A1908" s="83"/>
      <c r="B1908" s="84"/>
      <c r="C1908" s="85"/>
      <c r="D1908" s="85"/>
      <c r="E1908" s="86"/>
      <c r="F1908" s="85"/>
      <c r="G1908" s="86"/>
      <c r="H1908" s="86"/>
      <c r="I1908" s="86">
        <f t="shared" si="1"/>
        <v>0</v>
      </c>
      <c r="J1908" s="86"/>
      <c r="K1908" s="22"/>
    </row>
    <row r="1909" ht="22.5" customHeight="1">
      <c r="A1909" s="83"/>
      <c r="B1909" s="84"/>
      <c r="C1909" s="85"/>
      <c r="D1909" s="85"/>
      <c r="E1909" s="86"/>
      <c r="F1909" s="85"/>
      <c r="G1909" s="86"/>
      <c r="H1909" s="86"/>
      <c r="I1909" s="86">
        <f t="shared" si="1"/>
        <v>0</v>
      </c>
      <c r="J1909" s="86"/>
      <c r="K1909" s="22"/>
    </row>
    <row r="1910" ht="22.5" customHeight="1">
      <c r="A1910" s="83"/>
      <c r="B1910" s="84"/>
      <c r="C1910" s="85"/>
      <c r="D1910" s="85"/>
      <c r="E1910" s="86"/>
      <c r="F1910" s="85"/>
      <c r="G1910" s="86"/>
      <c r="H1910" s="86"/>
      <c r="I1910" s="86">
        <f t="shared" si="1"/>
        <v>0</v>
      </c>
      <c r="J1910" s="86"/>
      <c r="K1910" s="22"/>
    </row>
    <row r="1911" ht="22.5" customHeight="1">
      <c r="A1911" s="83"/>
      <c r="B1911" s="84"/>
      <c r="C1911" s="85"/>
      <c r="D1911" s="85"/>
      <c r="E1911" s="86"/>
      <c r="F1911" s="85"/>
      <c r="G1911" s="86"/>
      <c r="H1911" s="86"/>
      <c r="I1911" s="86">
        <f t="shared" si="1"/>
        <v>0</v>
      </c>
      <c r="J1911" s="86"/>
      <c r="K1911" s="22"/>
    </row>
    <row r="1912" ht="22.5" customHeight="1">
      <c r="A1912" s="83"/>
      <c r="B1912" s="84"/>
      <c r="C1912" s="85"/>
      <c r="D1912" s="85"/>
      <c r="E1912" s="86"/>
      <c r="F1912" s="85"/>
      <c r="G1912" s="86"/>
      <c r="H1912" s="86"/>
      <c r="I1912" s="86">
        <f t="shared" si="1"/>
        <v>0</v>
      </c>
      <c r="J1912" s="86"/>
      <c r="K1912" s="22"/>
    </row>
    <row r="1913" ht="22.5" customHeight="1">
      <c r="A1913" s="83"/>
      <c r="B1913" s="84"/>
      <c r="C1913" s="85"/>
      <c r="D1913" s="85"/>
      <c r="E1913" s="86"/>
      <c r="F1913" s="85"/>
      <c r="G1913" s="86"/>
      <c r="H1913" s="86"/>
      <c r="I1913" s="86">
        <f t="shared" si="1"/>
        <v>0</v>
      </c>
      <c r="J1913" s="86"/>
      <c r="K1913" s="22"/>
    </row>
    <row r="1914" ht="22.5" customHeight="1">
      <c r="A1914" s="83"/>
      <c r="B1914" s="84"/>
      <c r="C1914" s="85"/>
      <c r="D1914" s="85"/>
      <c r="E1914" s="86"/>
      <c r="F1914" s="85"/>
      <c r="G1914" s="86"/>
      <c r="H1914" s="86"/>
      <c r="I1914" s="86">
        <f t="shared" si="1"/>
        <v>0</v>
      </c>
      <c r="J1914" s="86"/>
      <c r="K1914" s="22"/>
    </row>
    <row r="1915" ht="22.5" customHeight="1">
      <c r="A1915" s="83"/>
      <c r="B1915" s="84"/>
      <c r="C1915" s="85"/>
      <c r="D1915" s="85"/>
      <c r="E1915" s="86"/>
      <c r="F1915" s="85"/>
      <c r="G1915" s="86"/>
      <c r="H1915" s="86"/>
      <c r="I1915" s="86">
        <f t="shared" si="1"/>
        <v>0</v>
      </c>
      <c r="J1915" s="86"/>
      <c r="K1915" s="22"/>
    </row>
    <row r="1916" ht="22.5" customHeight="1">
      <c r="A1916" s="83"/>
      <c r="B1916" s="84"/>
      <c r="C1916" s="85"/>
      <c r="D1916" s="85"/>
      <c r="E1916" s="86"/>
      <c r="F1916" s="85"/>
      <c r="G1916" s="86"/>
      <c r="H1916" s="86"/>
      <c r="I1916" s="86">
        <f t="shared" si="1"/>
        <v>0</v>
      </c>
      <c r="J1916" s="86"/>
      <c r="K1916" s="22"/>
    </row>
    <row r="1917" ht="22.5" customHeight="1">
      <c r="A1917" s="83"/>
      <c r="B1917" s="84"/>
      <c r="C1917" s="85"/>
      <c r="D1917" s="85"/>
      <c r="E1917" s="86"/>
      <c r="F1917" s="85"/>
      <c r="G1917" s="86"/>
      <c r="H1917" s="86"/>
      <c r="I1917" s="86">
        <f t="shared" si="1"/>
        <v>0</v>
      </c>
      <c r="J1917" s="86"/>
      <c r="K1917" s="22"/>
    </row>
    <row r="1918" ht="22.5" customHeight="1">
      <c r="A1918" s="83"/>
      <c r="B1918" s="84"/>
      <c r="C1918" s="85"/>
      <c r="D1918" s="85"/>
      <c r="E1918" s="86"/>
      <c r="F1918" s="85"/>
      <c r="G1918" s="86"/>
      <c r="H1918" s="86"/>
      <c r="I1918" s="86">
        <f t="shared" si="1"/>
        <v>0</v>
      </c>
      <c r="J1918" s="86"/>
      <c r="K1918" s="22"/>
    </row>
    <row r="1919" ht="22.5" customHeight="1">
      <c r="A1919" s="83"/>
      <c r="B1919" s="84"/>
      <c r="C1919" s="85"/>
      <c r="D1919" s="85"/>
      <c r="E1919" s="86"/>
      <c r="F1919" s="85"/>
      <c r="G1919" s="86"/>
      <c r="H1919" s="86"/>
      <c r="I1919" s="86">
        <f t="shared" si="1"/>
        <v>0</v>
      </c>
      <c r="J1919" s="86"/>
      <c r="K1919" s="22"/>
    </row>
    <row r="1920" ht="22.5" customHeight="1">
      <c r="A1920" s="83"/>
      <c r="B1920" s="84"/>
      <c r="C1920" s="85"/>
      <c r="D1920" s="85"/>
      <c r="E1920" s="86"/>
      <c r="F1920" s="85"/>
      <c r="G1920" s="86"/>
      <c r="H1920" s="86"/>
      <c r="I1920" s="86">
        <f t="shared" si="1"/>
        <v>0</v>
      </c>
      <c r="J1920" s="86"/>
      <c r="K1920" s="22"/>
    </row>
    <row r="1921" ht="22.5" customHeight="1">
      <c r="A1921" s="83"/>
      <c r="B1921" s="84"/>
      <c r="C1921" s="85"/>
      <c r="D1921" s="85"/>
      <c r="E1921" s="86"/>
      <c r="F1921" s="85"/>
      <c r="G1921" s="86"/>
      <c r="H1921" s="86"/>
      <c r="I1921" s="86">
        <f t="shared" si="1"/>
        <v>0</v>
      </c>
      <c r="J1921" s="86"/>
      <c r="K1921" s="22"/>
    </row>
    <row r="1922" ht="22.5" customHeight="1">
      <c r="A1922" s="83"/>
      <c r="B1922" s="84"/>
      <c r="C1922" s="85"/>
      <c r="D1922" s="85"/>
      <c r="E1922" s="86"/>
      <c r="F1922" s="85"/>
      <c r="G1922" s="86"/>
      <c r="H1922" s="86"/>
      <c r="I1922" s="86">
        <f t="shared" si="1"/>
        <v>0</v>
      </c>
      <c r="J1922" s="86"/>
      <c r="K1922" s="22"/>
    </row>
    <row r="1923" ht="22.5" customHeight="1">
      <c r="A1923" s="83"/>
      <c r="B1923" s="84"/>
      <c r="C1923" s="85"/>
      <c r="D1923" s="85"/>
      <c r="E1923" s="86"/>
      <c r="F1923" s="85"/>
      <c r="G1923" s="86"/>
      <c r="H1923" s="86"/>
      <c r="I1923" s="86">
        <f t="shared" si="1"/>
        <v>0</v>
      </c>
      <c r="J1923" s="86"/>
      <c r="K1923" s="22"/>
    </row>
    <row r="1924" ht="22.5" customHeight="1">
      <c r="A1924" s="83"/>
      <c r="B1924" s="84"/>
      <c r="C1924" s="85"/>
      <c r="D1924" s="85"/>
      <c r="E1924" s="86"/>
      <c r="F1924" s="85"/>
      <c r="G1924" s="86"/>
      <c r="H1924" s="86"/>
      <c r="I1924" s="86">
        <f t="shared" si="1"/>
        <v>0</v>
      </c>
      <c r="J1924" s="86"/>
      <c r="K1924" s="22"/>
    </row>
    <row r="1925" ht="22.5" customHeight="1">
      <c r="A1925" s="83"/>
      <c r="B1925" s="84"/>
      <c r="C1925" s="85"/>
      <c r="D1925" s="85"/>
      <c r="E1925" s="86"/>
      <c r="F1925" s="85"/>
      <c r="G1925" s="86"/>
      <c r="H1925" s="86"/>
      <c r="I1925" s="86">
        <f t="shared" si="1"/>
        <v>0</v>
      </c>
      <c r="J1925" s="86"/>
      <c r="K1925" s="22"/>
    </row>
    <row r="1926" ht="22.5" customHeight="1">
      <c r="A1926" s="83"/>
      <c r="B1926" s="84"/>
      <c r="C1926" s="85"/>
      <c r="D1926" s="85"/>
      <c r="E1926" s="86"/>
      <c r="F1926" s="85"/>
      <c r="G1926" s="86"/>
      <c r="H1926" s="86"/>
      <c r="I1926" s="86">
        <f t="shared" si="1"/>
        <v>0</v>
      </c>
      <c r="J1926" s="86"/>
      <c r="K1926" s="22"/>
    </row>
    <row r="1927" ht="22.5" customHeight="1">
      <c r="A1927" s="83"/>
      <c r="B1927" s="84"/>
      <c r="C1927" s="85"/>
      <c r="D1927" s="85"/>
      <c r="E1927" s="86"/>
      <c r="F1927" s="85"/>
      <c r="G1927" s="86"/>
      <c r="H1927" s="86"/>
      <c r="I1927" s="86">
        <f t="shared" si="1"/>
        <v>0</v>
      </c>
      <c r="J1927" s="86"/>
      <c r="K1927" s="22"/>
    </row>
    <row r="1928" ht="22.5" customHeight="1">
      <c r="A1928" s="83"/>
      <c r="B1928" s="84"/>
      <c r="C1928" s="85"/>
      <c r="D1928" s="85"/>
      <c r="E1928" s="86"/>
      <c r="F1928" s="85"/>
      <c r="G1928" s="86"/>
      <c r="H1928" s="86"/>
      <c r="I1928" s="86">
        <f t="shared" si="1"/>
        <v>0</v>
      </c>
      <c r="J1928" s="86"/>
      <c r="K1928" s="22"/>
    </row>
    <row r="1929" ht="22.5" customHeight="1">
      <c r="A1929" s="83"/>
      <c r="B1929" s="84"/>
      <c r="C1929" s="85"/>
      <c r="D1929" s="85"/>
      <c r="E1929" s="86"/>
      <c r="F1929" s="85"/>
      <c r="G1929" s="86"/>
      <c r="H1929" s="86"/>
      <c r="I1929" s="86">
        <f t="shared" si="1"/>
        <v>0</v>
      </c>
      <c r="J1929" s="86"/>
      <c r="K1929" s="22"/>
    </row>
    <row r="1930" ht="22.5" customHeight="1">
      <c r="A1930" s="83"/>
      <c r="B1930" s="84"/>
      <c r="C1930" s="85"/>
      <c r="D1930" s="85"/>
      <c r="E1930" s="86"/>
      <c r="F1930" s="85"/>
      <c r="G1930" s="86"/>
      <c r="H1930" s="86"/>
      <c r="I1930" s="86">
        <f t="shared" si="1"/>
        <v>0</v>
      </c>
      <c r="J1930" s="86"/>
      <c r="K1930" s="22"/>
    </row>
    <row r="1931" ht="22.5" customHeight="1">
      <c r="A1931" s="83"/>
      <c r="B1931" s="84"/>
      <c r="C1931" s="85"/>
      <c r="D1931" s="85"/>
      <c r="E1931" s="86"/>
      <c r="F1931" s="85"/>
      <c r="G1931" s="86"/>
      <c r="H1931" s="86"/>
      <c r="I1931" s="86">
        <f t="shared" si="1"/>
        <v>0</v>
      </c>
      <c r="J1931" s="86"/>
      <c r="K1931" s="22"/>
    </row>
    <row r="1932" ht="22.5" customHeight="1">
      <c r="A1932" s="83"/>
      <c r="B1932" s="84"/>
      <c r="C1932" s="85"/>
      <c r="D1932" s="85"/>
      <c r="E1932" s="86"/>
      <c r="F1932" s="85"/>
      <c r="G1932" s="86"/>
      <c r="H1932" s="86"/>
      <c r="I1932" s="86">
        <f t="shared" si="1"/>
        <v>0</v>
      </c>
      <c r="J1932" s="86"/>
      <c r="K1932" s="22"/>
    </row>
    <row r="1933" ht="22.5" customHeight="1">
      <c r="A1933" s="83"/>
      <c r="B1933" s="84"/>
      <c r="C1933" s="85"/>
      <c r="D1933" s="85"/>
      <c r="E1933" s="86"/>
      <c r="F1933" s="85"/>
      <c r="G1933" s="86"/>
      <c r="H1933" s="86"/>
      <c r="I1933" s="86">
        <f t="shared" si="1"/>
        <v>0</v>
      </c>
      <c r="J1933" s="86"/>
      <c r="K1933" s="22"/>
    </row>
    <row r="1934" ht="22.5" customHeight="1">
      <c r="A1934" s="83"/>
      <c r="B1934" s="84"/>
      <c r="C1934" s="85"/>
      <c r="D1934" s="85"/>
      <c r="E1934" s="86"/>
      <c r="F1934" s="85"/>
      <c r="G1934" s="86"/>
      <c r="H1934" s="86"/>
      <c r="I1934" s="86">
        <f t="shared" si="1"/>
        <v>0</v>
      </c>
      <c r="J1934" s="86"/>
      <c r="K1934" s="22"/>
    </row>
    <row r="1935" ht="22.5" customHeight="1">
      <c r="A1935" s="83"/>
      <c r="B1935" s="84"/>
      <c r="C1935" s="85"/>
      <c r="D1935" s="85"/>
      <c r="E1935" s="86"/>
      <c r="F1935" s="85"/>
      <c r="G1935" s="86"/>
      <c r="H1935" s="86"/>
      <c r="I1935" s="86">
        <f t="shared" si="1"/>
        <v>0</v>
      </c>
      <c r="J1935" s="86"/>
      <c r="K1935" s="22"/>
    </row>
    <row r="1936" ht="22.5" customHeight="1">
      <c r="A1936" s="83"/>
      <c r="B1936" s="84"/>
      <c r="C1936" s="85"/>
      <c r="D1936" s="85"/>
      <c r="E1936" s="86"/>
      <c r="F1936" s="85"/>
      <c r="G1936" s="86"/>
      <c r="H1936" s="86"/>
      <c r="I1936" s="86">
        <f t="shared" si="1"/>
        <v>0</v>
      </c>
      <c r="J1936" s="86"/>
      <c r="K1936" s="22"/>
    </row>
    <row r="1937" ht="22.5" customHeight="1">
      <c r="A1937" s="83"/>
      <c r="B1937" s="84"/>
      <c r="C1937" s="85"/>
      <c r="D1937" s="85"/>
      <c r="E1937" s="86"/>
      <c r="F1937" s="85"/>
      <c r="G1937" s="86"/>
      <c r="H1937" s="86"/>
      <c r="I1937" s="86">
        <f t="shared" si="1"/>
        <v>0</v>
      </c>
      <c r="J1937" s="86"/>
      <c r="K1937" s="22"/>
    </row>
    <row r="1938" ht="22.5" customHeight="1">
      <c r="A1938" s="83"/>
      <c r="B1938" s="84"/>
      <c r="C1938" s="85"/>
      <c r="D1938" s="85"/>
      <c r="E1938" s="86"/>
      <c r="F1938" s="85"/>
      <c r="G1938" s="86"/>
      <c r="H1938" s="86"/>
      <c r="I1938" s="86">
        <f t="shared" si="1"/>
        <v>0</v>
      </c>
      <c r="J1938" s="86"/>
      <c r="K1938" s="22"/>
    </row>
    <row r="1939" ht="22.5" customHeight="1">
      <c r="A1939" s="83"/>
      <c r="B1939" s="84"/>
      <c r="C1939" s="85"/>
      <c r="D1939" s="85"/>
      <c r="E1939" s="86"/>
      <c r="F1939" s="85"/>
      <c r="G1939" s="86"/>
      <c r="H1939" s="86"/>
      <c r="I1939" s="86">
        <f t="shared" si="1"/>
        <v>0</v>
      </c>
      <c r="J1939" s="86"/>
      <c r="K1939" s="22"/>
    </row>
    <row r="1940" ht="22.5" customHeight="1">
      <c r="A1940" s="83"/>
      <c r="B1940" s="84"/>
      <c r="C1940" s="85"/>
      <c r="D1940" s="85"/>
      <c r="E1940" s="86"/>
      <c r="F1940" s="85"/>
      <c r="G1940" s="86"/>
      <c r="H1940" s="86"/>
      <c r="I1940" s="86">
        <f t="shared" si="1"/>
        <v>0</v>
      </c>
      <c r="J1940" s="86"/>
      <c r="K1940" s="22"/>
    </row>
    <row r="1941" ht="22.5" customHeight="1">
      <c r="A1941" s="83"/>
      <c r="B1941" s="84"/>
      <c r="C1941" s="85"/>
      <c r="D1941" s="85"/>
      <c r="E1941" s="86"/>
      <c r="F1941" s="85"/>
      <c r="G1941" s="86"/>
      <c r="H1941" s="86"/>
      <c r="I1941" s="86">
        <f t="shared" si="1"/>
        <v>0</v>
      </c>
      <c r="J1941" s="86"/>
      <c r="K1941" s="22"/>
    </row>
    <row r="1942" ht="22.5" customHeight="1">
      <c r="A1942" s="83"/>
      <c r="B1942" s="84"/>
      <c r="C1942" s="85"/>
      <c r="D1942" s="85"/>
      <c r="E1942" s="86"/>
      <c r="F1942" s="85"/>
      <c r="G1942" s="86"/>
      <c r="H1942" s="86"/>
      <c r="I1942" s="86">
        <f t="shared" si="1"/>
        <v>0</v>
      </c>
      <c r="J1942" s="86"/>
      <c r="K1942" s="22"/>
    </row>
    <row r="1943" ht="22.5" customHeight="1">
      <c r="A1943" s="83"/>
      <c r="B1943" s="84"/>
      <c r="C1943" s="85"/>
      <c r="D1943" s="85"/>
      <c r="E1943" s="86"/>
      <c r="F1943" s="85"/>
      <c r="G1943" s="86"/>
      <c r="H1943" s="86"/>
      <c r="I1943" s="86">
        <f t="shared" si="1"/>
        <v>0</v>
      </c>
      <c r="J1943" s="86"/>
      <c r="K1943" s="22"/>
    </row>
    <row r="1944" ht="22.5" customHeight="1">
      <c r="A1944" s="83"/>
      <c r="B1944" s="84"/>
      <c r="C1944" s="85"/>
      <c r="D1944" s="85"/>
      <c r="E1944" s="86"/>
      <c r="F1944" s="85"/>
      <c r="G1944" s="86"/>
      <c r="H1944" s="86"/>
      <c r="I1944" s="86">
        <f t="shared" si="1"/>
        <v>0</v>
      </c>
      <c r="J1944" s="86"/>
      <c r="K1944" s="22"/>
    </row>
    <row r="1945" ht="22.5" customHeight="1">
      <c r="A1945" s="83"/>
      <c r="B1945" s="84"/>
      <c r="C1945" s="85"/>
      <c r="D1945" s="85"/>
      <c r="E1945" s="86"/>
      <c r="F1945" s="85"/>
      <c r="G1945" s="86"/>
      <c r="H1945" s="86"/>
      <c r="I1945" s="86">
        <f t="shared" si="1"/>
        <v>0</v>
      </c>
      <c r="J1945" s="86"/>
      <c r="K1945" s="22"/>
    </row>
    <row r="1946" ht="22.5" customHeight="1">
      <c r="A1946" s="83"/>
      <c r="B1946" s="84"/>
      <c r="C1946" s="85"/>
      <c r="D1946" s="85"/>
      <c r="E1946" s="86"/>
      <c r="F1946" s="85"/>
      <c r="G1946" s="86"/>
      <c r="H1946" s="86"/>
      <c r="I1946" s="86">
        <f t="shared" si="1"/>
        <v>0</v>
      </c>
      <c r="J1946" s="86"/>
      <c r="K1946" s="22"/>
    </row>
    <row r="1947" ht="22.5" customHeight="1">
      <c r="A1947" s="83"/>
      <c r="B1947" s="84"/>
      <c r="C1947" s="85"/>
      <c r="D1947" s="85"/>
      <c r="E1947" s="86"/>
      <c r="F1947" s="85"/>
      <c r="G1947" s="86"/>
      <c r="H1947" s="86"/>
      <c r="I1947" s="86">
        <f t="shared" si="1"/>
        <v>0</v>
      </c>
      <c r="J1947" s="86"/>
      <c r="K1947" s="22"/>
    </row>
    <row r="1948" ht="22.5" customHeight="1">
      <c r="A1948" s="83"/>
      <c r="B1948" s="84"/>
      <c r="C1948" s="85"/>
      <c r="D1948" s="85"/>
      <c r="E1948" s="86"/>
      <c r="F1948" s="85"/>
      <c r="G1948" s="86"/>
      <c r="H1948" s="86"/>
      <c r="I1948" s="86">
        <f t="shared" si="1"/>
        <v>0</v>
      </c>
      <c r="J1948" s="86"/>
      <c r="K1948" s="22"/>
    </row>
    <row r="1949" ht="22.5" customHeight="1">
      <c r="A1949" s="83"/>
      <c r="B1949" s="84"/>
      <c r="C1949" s="85"/>
      <c r="D1949" s="85"/>
      <c r="E1949" s="86"/>
      <c r="F1949" s="85"/>
      <c r="G1949" s="86"/>
      <c r="H1949" s="86"/>
      <c r="I1949" s="86">
        <f t="shared" si="1"/>
        <v>0</v>
      </c>
      <c r="J1949" s="86"/>
      <c r="K1949" s="22"/>
    </row>
    <row r="1950" ht="22.5" customHeight="1">
      <c r="A1950" s="83"/>
      <c r="B1950" s="84"/>
      <c r="C1950" s="85"/>
      <c r="D1950" s="85"/>
      <c r="E1950" s="86"/>
      <c r="F1950" s="85"/>
      <c r="G1950" s="86"/>
      <c r="H1950" s="86"/>
      <c r="I1950" s="86">
        <f t="shared" si="1"/>
        <v>0</v>
      </c>
      <c r="J1950" s="86"/>
      <c r="K1950" s="22"/>
    </row>
    <row r="1951" ht="22.5" customHeight="1">
      <c r="A1951" s="83"/>
      <c r="B1951" s="84"/>
      <c r="C1951" s="85"/>
      <c r="D1951" s="85"/>
      <c r="E1951" s="86"/>
      <c r="F1951" s="85"/>
      <c r="G1951" s="86"/>
      <c r="H1951" s="86"/>
      <c r="I1951" s="86">
        <f t="shared" si="1"/>
        <v>0</v>
      </c>
      <c r="J1951" s="86"/>
      <c r="K1951" s="22"/>
    </row>
    <row r="1952" ht="22.5" customHeight="1">
      <c r="A1952" s="83"/>
      <c r="B1952" s="84"/>
      <c r="C1952" s="85"/>
      <c r="D1952" s="85"/>
      <c r="E1952" s="86"/>
      <c r="F1952" s="85"/>
      <c r="G1952" s="86"/>
      <c r="H1952" s="86"/>
      <c r="I1952" s="86">
        <f t="shared" si="1"/>
        <v>0</v>
      </c>
      <c r="J1952" s="86"/>
      <c r="K1952" s="22"/>
    </row>
    <row r="1953" ht="22.5" customHeight="1">
      <c r="A1953" s="83"/>
      <c r="B1953" s="84"/>
      <c r="C1953" s="85"/>
      <c r="D1953" s="85"/>
      <c r="E1953" s="86"/>
      <c r="F1953" s="85"/>
      <c r="G1953" s="86"/>
      <c r="H1953" s="86"/>
      <c r="I1953" s="86">
        <f t="shared" si="1"/>
        <v>0</v>
      </c>
      <c r="J1953" s="86"/>
      <c r="K1953" s="22"/>
    </row>
    <row r="1954" ht="22.5" customHeight="1">
      <c r="A1954" s="83"/>
      <c r="B1954" s="84"/>
      <c r="C1954" s="85"/>
      <c r="D1954" s="85"/>
      <c r="E1954" s="86"/>
      <c r="F1954" s="85"/>
      <c r="G1954" s="86"/>
      <c r="H1954" s="86"/>
      <c r="I1954" s="86">
        <f t="shared" si="1"/>
        <v>0</v>
      </c>
      <c r="J1954" s="86"/>
      <c r="K1954" s="22"/>
    </row>
    <row r="1955" ht="22.5" customHeight="1">
      <c r="A1955" s="83"/>
      <c r="B1955" s="84"/>
      <c r="C1955" s="85"/>
      <c r="D1955" s="85"/>
      <c r="E1955" s="86"/>
      <c r="F1955" s="85"/>
      <c r="G1955" s="86"/>
      <c r="H1955" s="86"/>
      <c r="I1955" s="86">
        <f t="shared" si="1"/>
        <v>0</v>
      </c>
      <c r="J1955" s="86"/>
      <c r="K1955" s="22"/>
    </row>
    <row r="1956" ht="22.5" customHeight="1">
      <c r="A1956" s="83"/>
      <c r="B1956" s="84"/>
      <c r="C1956" s="85"/>
      <c r="D1956" s="85"/>
      <c r="E1956" s="86"/>
      <c r="F1956" s="85"/>
      <c r="G1956" s="86"/>
      <c r="H1956" s="86"/>
      <c r="I1956" s="86">
        <f t="shared" si="1"/>
        <v>0</v>
      </c>
      <c r="J1956" s="86"/>
      <c r="K1956" s="22"/>
    </row>
    <row r="1957" ht="22.5" customHeight="1">
      <c r="A1957" s="83"/>
      <c r="B1957" s="84"/>
      <c r="C1957" s="85"/>
      <c r="D1957" s="85"/>
      <c r="E1957" s="86"/>
      <c r="F1957" s="85"/>
      <c r="G1957" s="86"/>
      <c r="H1957" s="86"/>
      <c r="I1957" s="86">
        <f t="shared" si="1"/>
        <v>0</v>
      </c>
      <c r="J1957" s="86"/>
      <c r="K1957" s="22"/>
    </row>
    <row r="1958" ht="22.5" customHeight="1">
      <c r="A1958" s="83"/>
      <c r="B1958" s="84"/>
      <c r="C1958" s="85"/>
      <c r="D1958" s="85"/>
      <c r="E1958" s="86"/>
      <c r="F1958" s="85"/>
      <c r="G1958" s="86"/>
      <c r="H1958" s="86"/>
      <c r="I1958" s="86">
        <f t="shared" si="1"/>
        <v>0</v>
      </c>
      <c r="J1958" s="86"/>
      <c r="K1958" s="22"/>
    </row>
    <row r="1959" ht="22.5" customHeight="1">
      <c r="A1959" s="83"/>
      <c r="B1959" s="84"/>
      <c r="C1959" s="85"/>
      <c r="D1959" s="85"/>
      <c r="E1959" s="86"/>
      <c r="F1959" s="85"/>
      <c r="G1959" s="86"/>
      <c r="H1959" s="86"/>
      <c r="I1959" s="86">
        <f t="shared" si="1"/>
        <v>0</v>
      </c>
      <c r="J1959" s="86"/>
      <c r="K1959" s="22"/>
    </row>
    <row r="1960" ht="22.5" customHeight="1">
      <c r="A1960" s="83"/>
      <c r="B1960" s="84"/>
      <c r="C1960" s="85"/>
      <c r="D1960" s="85"/>
      <c r="E1960" s="86"/>
      <c r="F1960" s="85"/>
      <c r="G1960" s="86"/>
      <c r="H1960" s="86"/>
      <c r="I1960" s="86">
        <f t="shared" si="1"/>
        <v>0</v>
      </c>
      <c r="J1960" s="86"/>
      <c r="K1960" s="22"/>
    </row>
    <row r="1961" ht="22.5" customHeight="1">
      <c r="A1961" s="83"/>
      <c r="B1961" s="84"/>
      <c r="C1961" s="85"/>
      <c r="D1961" s="85"/>
      <c r="E1961" s="86"/>
      <c r="F1961" s="85"/>
      <c r="G1961" s="86"/>
      <c r="H1961" s="86"/>
      <c r="I1961" s="86">
        <f t="shared" si="1"/>
        <v>0</v>
      </c>
      <c r="J1961" s="86"/>
      <c r="K1961" s="22"/>
    </row>
    <row r="1962" ht="22.5" customHeight="1">
      <c r="A1962" s="83"/>
      <c r="B1962" s="84"/>
      <c r="C1962" s="85"/>
      <c r="D1962" s="85"/>
      <c r="E1962" s="86"/>
      <c r="F1962" s="85"/>
      <c r="G1962" s="86"/>
      <c r="H1962" s="86"/>
      <c r="I1962" s="86">
        <f t="shared" si="1"/>
        <v>0</v>
      </c>
      <c r="J1962" s="86"/>
      <c r="K1962" s="22"/>
    </row>
    <row r="1963" ht="22.5" customHeight="1">
      <c r="A1963" s="83"/>
      <c r="B1963" s="84"/>
      <c r="C1963" s="85"/>
      <c r="D1963" s="85"/>
      <c r="E1963" s="86"/>
      <c r="F1963" s="85"/>
      <c r="G1963" s="86"/>
      <c r="H1963" s="86"/>
      <c r="I1963" s="86">
        <f t="shared" si="1"/>
        <v>0</v>
      </c>
      <c r="J1963" s="86"/>
      <c r="K1963" s="22"/>
    </row>
    <row r="1964" ht="22.5" customHeight="1">
      <c r="A1964" s="83"/>
      <c r="B1964" s="84"/>
      <c r="C1964" s="85"/>
      <c r="D1964" s="85"/>
      <c r="E1964" s="86"/>
      <c r="F1964" s="85"/>
      <c r="G1964" s="86"/>
      <c r="H1964" s="86"/>
      <c r="I1964" s="86">
        <f t="shared" si="1"/>
        <v>0</v>
      </c>
      <c r="J1964" s="86"/>
      <c r="K1964" s="22"/>
    </row>
    <row r="1965" ht="22.5" customHeight="1">
      <c r="A1965" s="83"/>
      <c r="B1965" s="84"/>
      <c r="C1965" s="85"/>
      <c r="D1965" s="85"/>
      <c r="E1965" s="86"/>
      <c r="F1965" s="85"/>
      <c r="G1965" s="86"/>
      <c r="H1965" s="86"/>
      <c r="I1965" s="86">
        <f t="shared" si="1"/>
        <v>0</v>
      </c>
      <c r="J1965" s="86"/>
      <c r="K1965" s="22"/>
    </row>
    <row r="1966" ht="22.5" customHeight="1">
      <c r="A1966" s="83"/>
      <c r="B1966" s="84"/>
      <c r="C1966" s="85"/>
      <c r="D1966" s="85"/>
      <c r="E1966" s="86"/>
      <c r="F1966" s="85"/>
      <c r="G1966" s="86"/>
      <c r="H1966" s="86"/>
      <c r="I1966" s="86">
        <f t="shared" si="1"/>
        <v>0</v>
      </c>
      <c r="J1966" s="86"/>
      <c r="K1966" s="22"/>
    </row>
    <row r="1967" ht="22.5" customHeight="1">
      <c r="A1967" s="83"/>
      <c r="B1967" s="84"/>
      <c r="C1967" s="85"/>
      <c r="D1967" s="85"/>
      <c r="E1967" s="86"/>
      <c r="F1967" s="85"/>
      <c r="G1967" s="86"/>
      <c r="H1967" s="86"/>
      <c r="I1967" s="86">
        <f t="shared" si="1"/>
        <v>0</v>
      </c>
      <c r="J1967" s="86"/>
      <c r="K1967" s="22"/>
    </row>
    <row r="1968" ht="22.5" customHeight="1">
      <c r="A1968" s="83"/>
      <c r="B1968" s="84"/>
      <c r="C1968" s="85"/>
      <c r="D1968" s="85"/>
      <c r="E1968" s="86"/>
      <c r="F1968" s="85"/>
      <c r="G1968" s="86"/>
      <c r="H1968" s="86"/>
      <c r="I1968" s="86">
        <f t="shared" si="1"/>
        <v>0</v>
      </c>
      <c r="J1968" s="86"/>
      <c r="K1968" s="22"/>
    </row>
    <row r="1969" ht="22.5" customHeight="1">
      <c r="A1969" s="83"/>
      <c r="B1969" s="84"/>
      <c r="C1969" s="85"/>
      <c r="D1969" s="85"/>
      <c r="E1969" s="86"/>
      <c r="F1969" s="85"/>
      <c r="G1969" s="86"/>
      <c r="H1969" s="86"/>
      <c r="I1969" s="86">
        <f t="shared" si="1"/>
        <v>0</v>
      </c>
      <c r="J1969" s="86"/>
      <c r="K1969" s="22"/>
    </row>
    <row r="1970" ht="22.5" customHeight="1">
      <c r="A1970" s="83"/>
      <c r="B1970" s="84"/>
      <c r="C1970" s="85"/>
      <c r="D1970" s="85"/>
      <c r="E1970" s="86"/>
      <c r="F1970" s="85"/>
      <c r="G1970" s="86"/>
      <c r="H1970" s="86"/>
      <c r="I1970" s="86">
        <f t="shared" si="1"/>
        <v>0</v>
      </c>
      <c r="J1970" s="86"/>
      <c r="K1970" s="22"/>
    </row>
    <row r="1971" ht="22.5" customHeight="1">
      <c r="A1971" s="83"/>
      <c r="B1971" s="84"/>
      <c r="C1971" s="85"/>
      <c r="D1971" s="85"/>
      <c r="E1971" s="86"/>
      <c r="F1971" s="85"/>
      <c r="G1971" s="86"/>
      <c r="H1971" s="86"/>
      <c r="I1971" s="86">
        <f t="shared" si="1"/>
        <v>0</v>
      </c>
      <c r="J1971" s="86"/>
      <c r="K1971" s="22"/>
    </row>
    <row r="1972" ht="22.5" customHeight="1">
      <c r="A1972" s="83"/>
      <c r="B1972" s="84"/>
      <c r="C1972" s="85"/>
      <c r="D1972" s="85"/>
      <c r="E1972" s="86"/>
      <c r="F1972" s="85"/>
      <c r="G1972" s="86"/>
      <c r="H1972" s="86"/>
      <c r="I1972" s="86">
        <f t="shared" si="1"/>
        <v>0</v>
      </c>
      <c r="J1972" s="86"/>
      <c r="K1972" s="22"/>
    </row>
    <row r="1973" ht="22.5" customHeight="1">
      <c r="A1973" s="83"/>
      <c r="B1973" s="84"/>
      <c r="C1973" s="85"/>
      <c r="D1973" s="85"/>
      <c r="E1973" s="86"/>
      <c r="F1973" s="85"/>
      <c r="G1973" s="86"/>
      <c r="H1973" s="86"/>
      <c r="I1973" s="86">
        <f t="shared" si="1"/>
        <v>0</v>
      </c>
      <c r="J1973" s="86"/>
      <c r="K1973" s="22"/>
    </row>
    <row r="1974" ht="22.5" customHeight="1">
      <c r="A1974" s="83"/>
      <c r="B1974" s="84"/>
      <c r="C1974" s="85"/>
      <c r="D1974" s="85"/>
      <c r="E1974" s="86"/>
      <c r="F1974" s="85"/>
      <c r="G1974" s="86"/>
      <c r="H1974" s="86"/>
      <c r="I1974" s="86">
        <f t="shared" si="1"/>
        <v>0</v>
      </c>
      <c r="J1974" s="86"/>
      <c r="K1974" s="22"/>
    </row>
    <row r="1975" ht="22.5" customHeight="1">
      <c r="A1975" s="83"/>
      <c r="B1975" s="84"/>
      <c r="C1975" s="85"/>
      <c r="D1975" s="85"/>
      <c r="E1975" s="86"/>
      <c r="F1975" s="85"/>
      <c r="G1975" s="86"/>
      <c r="H1975" s="86"/>
      <c r="I1975" s="86">
        <f t="shared" si="1"/>
        <v>0</v>
      </c>
      <c r="J1975" s="86"/>
      <c r="K1975" s="22"/>
    </row>
    <row r="1976" ht="22.5" customHeight="1">
      <c r="A1976" s="83"/>
      <c r="B1976" s="84"/>
      <c r="C1976" s="85"/>
      <c r="D1976" s="85"/>
      <c r="E1976" s="86"/>
      <c r="F1976" s="85"/>
      <c r="G1976" s="86"/>
      <c r="H1976" s="86"/>
      <c r="I1976" s="86">
        <f t="shared" si="1"/>
        <v>0</v>
      </c>
      <c r="J1976" s="86"/>
      <c r="K1976" s="22"/>
    </row>
    <row r="1977" ht="22.5" customHeight="1">
      <c r="A1977" s="83"/>
      <c r="B1977" s="84"/>
      <c r="C1977" s="85"/>
      <c r="D1977" s="85"/>
      <c r="E1977" s="86"/>
      <c r="F1977" s="85"/>
      <c r="G1977" s="86"/>
      <c r="H1977" s="86"/>
      <c r="I1977" s="86">
        <f t="shared" si="1"/>
        <v>0</v>
      </c>
      <c r="J1977" s="86"/>
      <c r="K1977" s="22"/>
    </row>
    <row r="1978" ht="22.5" customHeight="1">
      <c r="A1978" s="83"/>
      <c r="B1978" s="84"/>
      <c r="C1978" s="85"/>
      <c r="D1978" s="85"/>
      <c r="E1978" s="86"/>
      <c r="F1978" s="85"/>
      <c r="G1978" s="86"/>
      <c r="H1978" s="86"/>
      <c r="I1978" s="86">
        <f t="shared" si="1"/>
        <v>0</v>
      </c>
      <c r="J1978" s="86"/>
      <c r="K1978" s="22"/>
    </row>
    <row r="1979" ht="22.5" customHeight="1">
      <c r="A1979" s="83"/>
      <c r="B1979" s="84"/>
      <c r="C1979" s="85"/>
      <c r="D1979" s="85"/>
      <c r="E1979" s="86"/>
      <c r="F1979" s="85"/>
      <c r="G1979" s="86"/>
      <c r="H1979" s="86"/>
      <c r="I1979" s="86">
        <f t="shared" si="1"/>
        <v>0</v>
      </c>
      <c r="J1979" s="86"/>
      <c r="K1979" s="22"/>
    </row>
    <row r="1980" ht="22.5" customHeight="1">
      <c r="A1980" s="83"/>
      <c r="B1980" s="84"/>
      <c r="C1980" s="85"/>
      <c r="D1980" s="85"/>
      <c r="E1980" s="86"/>
      <c r="F1980" s="85"/>
      <c r="G1980" s="86"/>
      <c r="H1980" s="86"/>
      <c r="I1980" s="86">
        <f t="shared" si="1"/>
        <v>0</v>
      </c>
      <c r="J1980" s="86"/>
      <c r="K1980" s="22"/>
    </row>
    <row r="1981" ht="22.5" customHeight="1">
      <c r="A1981" s="83"/>
      <c r="B1981" s="84"/>
      <c r="C1981" s="85"/>
      <c r="D1981" s="85"/>
      <c r="E1981" s="86"/>
      <c r="F1981" s="85"/>
      <c r="G1981" s="86"/>
      <c r="H1981" s="86"/>
      <c r="I1981" s="86">
        <f t="shared" si="1"/>
        <v>0</v>
      </c>
      <c r="J1981" s="86"/>
      <c r="K1981" s="22"/>
    </row>
    <row r="1982" ht="22.5" customHeight="1">
      <c r="A1982" s="83"/>
      <c r="B1982" s="84"/>
      <c r="C1982" s="85"/>
      <c r="D1982" s="85"/>
      <c r="E1982" s="86"/>
      <c r="F1982" s="85"/>
      <c r="G1982" s="86"/>
      <c r="H1982" s="86"/>
      <c r="I1982" s="86">
        <f t="shared" si="1"/>
        <v>0</v>
      </c>
      <c r="J1982" s="86"/>
      <c r="K1982" s="22"/>
    </row>
    <row r="1983" ht="22.5" customHeight="1">
      <c r="A1983" s="83"/>
      <c r="B1983" s="84"/>
      <c r="C1983" s="85"/>
      <c r="D1983" s="85"/>
      <c r="E1983" s="86"/>
      <c r="F1983" s="85"/>
      <c r="G1983" s="86"/>
      <c r="H1983" s="86"/>
      <c r="I1983" s="86">
        <f t="shared" si="1"/>
        <v>0</v>
      </c>
      <c r="J1983" s="86"/>
      <c r="K1983" s="22"/>
    </row>
    <row r="1984" ht="22.5" customHeight="1">
      <c r="A1984" s="83"/>
      <c r="B1984" s="84"/>
      <c r="C1984" s="85"/>
      <c r="D1984" s="85"/>
      <c r="E1984" s="86"/>
      <c r="F1984" s="85"/>
      <c r="G1984" s="86"/>
      <c r="H1984" s="86"/>
      <c r="I1984" s="86">
        <f t="shared" si="1"/>
        <v>0</v>
      </c>
      <c r="J1984" s="86"/>
      <c r="K1984" s="22"/>
    </row>
    <row r="1985" ht="22.5" customHeight="1">
      <c r="A1985" s="83"/>
      <c r="B1985" s="84"/>
      <c r="C1985" s="85"/>
      <c r="D1985" s="85"/>
      <c r="E1985" s="86"/>
      <c r="F1985" s="85"/>
      <c r="G1985" s="86"/>
      <c r="H1985" s="86"/>
      <c r="I1985" s="86">
        <f t="shared" si="1"/>
        <v>0</v>
      </c>
      <c r="J1985" s="86"/>
      <c r="K1985" s="22"/>
    </row>
    <row r="1986" ht="22.5" customHeight="1">
      <c r="A1986" s="83"/>
      <c r="B1986" s="84"/>
      <c r="C1986" s="85"/>
      <c r="D1986" s="85"/>
      <c r="E1986" s="86"/>
      <c r="F1986" s="85"/>
      <c r="G1986" s="86"/>
      <c r="H1986" s="86"/>
      <c r="I1986" s="86">
        <f t="shared" si="1"/>
        <v>0</v>
      </c>
      <c r="J1986" s="86"/>
      <c r="K1986" s="22"/>
    </row>
    <row r="1987" ht="22.5" customHeight="1">
      <c r="A1987" s="83"/>
      <c r="B1987" s="84"/>
      <c r="C1987" s="85"/>
      <c r="D1987" s="85"/>
      <c r="E1987" s="86"/>
      <c r="F1987" s="85"/>
      <c r="G1987" s="86"/>
      <c r="H1987" s="86"/>
      <c r="I1987" s="86">
        <f t="shared" si="1"/>
        <v>0</v>
      </c>
      <c r="J1987" s="86"/>
      <c r="K1987" s="22"/>
    </row>
    <row r="1988" ht="22.5" customHeight="1">
      <c r="A1988" s="83"/>
      <c r="B1988" s="84"/>
      <c r="C1988" s="85"/>
      <c r="D1988" s="85"/>
      <c r="E1988" s="86"/>
      <c r="F1988" s="85"/>
      <c r="G1988" s="86"/>
      <c r="H1988" s="86"/>
      <c r="I1988" s="86">
        <f t="shared" si="1"/>
        <v>0</v>
      </c>
      <c r="J1988" s="86"/>
      <c r="K1988" s="22"/>
    </row>
    <row r="1989" ht="22.5" customHeight="1">
      <c r="A1989" s="83"/>
      <c r="B1989" s="84"/>
      <c r="C1989" s="85"/>
      <c r="D1989" s="85"/>
      <c r="E1989" s="86"/>
      <c r="F1989" s="85"/>
      <c r="G1989" s="86"/>
      <c r="H1989" s="86"/>
      <c r="I1989" s="86">
        <f t="shared" si="1"/>
        <v>0</v>
      </c>
      <c r="J1989" s="86"/>
      <c r="K1989" s="22"/>
    </row>
    <row r="1990" ht="22.5" customHeight="1">
      <c r="A1990" s="83"/>
      <c r="B1990" s="84"/>
      <c r="C1990" s="85"/>
      <c r="D1990" s="85"/>
      <c r="E1990" s="86"/>
      <c r="F1990" s="85"/>
      <c r="G1990" s="86"/>
      <c r="H1990" s="86"/>
      <c r="I1990" s="86">
        <f t="shared" si="1"/>
        <v>0</v>
      </c>
      <c r="J1990" s="86"/>
      <c r="K1990" s="22"/>
    </row>
    <row r="1991" ht="22.5" customHeight="1">
      <c r="A1991" s="83"/>
      <c r="B1991" s="84"/>
      <c r="C1991" s="85"/>
      <c r="D1991" s="85"/>
      <c r="E1991" s="86"/>
      <c r="F1991" s="85"/>
      <c r="G1991" s="86"/>
      <c r="H1991" s="86"/>
      <c r="I1991" s="86">
        <f t="shared" si="1"/>
        <v>0</v>
      </c>
      <c r="J1991" s="86"/>
      <c r="K1991" s="22"/>
    </row>
    <row r="1992" ht="22.5" customHeight="1">
      <c r="A1992" s="83"/>
      <c r="B1992" s="84"/>
      <c r="C1992" s="85"/>
      <c r="D1992" s="85"/>
      <c r="E1992" s="86"/>
      <c r="F1992" s="85"/>
      <c r="G1992" s="86"/>
      <c r="H1992" s="86"/>
      <c r="I1992" s="86">
        <f t="shared" si="1"/>
        <v>0</v>
      </c>
      <c r="J1992" s="86"/>
      <c r="K1992" s="22"/>
    </row>
    <row r="1993" ht="22.5" customHeight="1">
      <c r="A1993" s="83"/>
      <c r="B1993" s="84"/>
      <c r="C1993" s="85"/>
      <c r="D1993" s="85"/>
      <c r="E1993" s="86"/>
      <c r="F1993" s="85"/>
      <c r="G1993" s="86"/>
      <c r="H1993" s="86"/>
      <c r="I1993" s="86">
        <f t="shared" si="1"/>
        <v>0</v>
      </c>
      <c r="J1993" s="86"/>
      <c r="K1993" s="22"/>
    </row>
    <row r="1994" ht="22.5" customHeight="1">
      <c r="A1994" s="83"/>
      <c r="B1994" s="84"/>
      <c r="C1994" s="85"/>
      <c r="D1994" s="85"/>
      <c r="E1994" s="86"/>
      <c r="F1994" s="85"/>
      <c r="G1994" s="86"/>
      <c r="H1994" s="86"/>
      <c r="I1994" s="86">
        <f t="shared" si="1"/>
        <v>0</v>
      </c>
      <c r="J1994" s="86"/>
      <c r="K1994" s="22"/>
    </row>
    <row r="1995" ht="22.5" customHeight="1">
      <c r="A1995" s="83"/>
      <c r="B1995" s="84"/>
      <c r="C1995" s="85"/>
      <c r="D1995" s="85"/>
      <c r="E1995" s="86"/>
      <c r="F1995" s="85"/>
      <c r="G1995" s="86"/>
      <c r="H1995" s="86"/>
      <c r="I1995" s="86">
        <f t="shared" si="1"/>
        <v>0</v>
      </c>
      <c r="J1995" s="86"/>
      <c r="K1995" s="22"/>
    </row>
    <row r="1996" ht="22.5" customHeight="1">
      <c r="A1996" s="83"/>
      <c r="B1996" s="84"/>
      <c r="C1996" s="85"/>
      <c r="D1996" s="85"/>
      <c r="E1996" s="86"/>
      <c r="F1996" s="85"/>
      <c r="G1996" s="86"/>
      <c r="H1996" s="86"/>
      <c r="I1996" s="86">
        <f t="shared" si="1"/>
        <v>0</v>
      </c>
      <c r="J1996" s="86"/>
      <c r="K1996" s="22"/>
    </row>
    <row r="1997" ht="22.5" customHeight="1">
      <c r="A1997" s="83"/>
      <c r="B1997" s="84"/>
      <c r="C1997" s="85"/>
      <c r="D1997" s="85"/>
      <c r="E1997" s="86"/>
      <c r="F1997" s="85"/>
      <c r="G1997" s="86"/>
      <c r="H1997" s="86"/>
      <c r="I1997" s="86">
        <f t="shared" si="1"/>
        <v>0</v>
      </c>
      <c r="J1997" s="86"/>
      <c r="K1997" s="22"/>
    </row>
    <row r="1998" ht="22.5" customHeight="1">
      <c r="A1998" s="83"/>
      <c r="B1998" s="84"/>
      <c r="C1998" s="85"/>
      <c r="D1998" s="85"/>
      <c r="E1998" s="86"/>
      <c r="F1998" s="85"/>
      <c r="G1998" s="86"/>
      <c r="H1998" s="86"/>
      <c r="I1998" s="86">
        <f t="shared" si="1"/>
        <v>0</v>
      </c>
      <c r="J1998" s="86"/>
      <c r="K1998" s="22"/>
    </row>
    <row r="1999" ht="22.5" customHeight="1">
      <c r="A1999" s="83"/>
      <c r="B1999" s="84"/>
      <c r="C1999" s="85"/>
      <c r="D1999" s="85"/>
      <c r="E1999" s="86"/>
      <c r="F1999" s="85"/>
      <c r="G1999" s="86"/>
      <c r="H1999" s="86"/>
      <c r="I1999" s="86">
        <f t="shared" si="1"/>
        <v>0</v>
      </c>
      <c r="J1999" s="86"/>
      <c r="K1999" s="22"/>
    </row>
    <row r="2000" ht="22.5" customHeight="1">
      <c r="A2000" s="83"/>
      <c r="B2000" s="84"/>
      <c r="C2000" s="85"/>
      <c r="D2000" s="85"/>
      <c r="E2000" s="86"/>
      <c r="F2000" s="85"/>
      <c r="G2000" s="86"/>
      <c r="H2000" s="86"/>
      <c r="I2000" s="86">
        <f t="shared" si="1"/>
        <v>0</v>
      </c>
      <c r="J2000" s="86"/>
      <c r="K2000" s="22"/>
    </row>
    <row r="2001" ht="22.5" customHeight="1">
      <c r="A2001" s="83"/>
      <c r="B2001" s="84"/>
      <c r="C2001" s="85"/>
      <c r="D2001" s="85"/>
      <c r="E2001" s="86"/>
      <c r="F2001" s="85"/>
      <c r="G2001" s="86"/>
      <c r="H2001" s="86"/>
      <c r="I2001" s="86">
        <f t="shared" si="1"/>
        <v>0</v>
      </c>
      <c r="J2001" s="86"/>
      <c r="K2001" s="22"/>
    </row>
    <row r="2002" ht="22.5" customHeight="1">
      <c r="A2002" s="83"/>
      <c r="B2002" s="84"/>
      <c r="C2002" s="85"/>
      <c r="D2002" s="85"/>
      <c r="E2002" s="86"/>
      <c r="F2002" s="85"/>
      <c r="G2002" s="86"/>
      <c r="H2002" s="86"/>
      <c r="I2002" s="86">
        <f t="shared" si="1"/>
        <v>0</v>
      </c>
      <c r="J2002" s="86"/>
      <c r="K2002" s="22"/>
    </row>
    <row r="2003" ht="22.5" customHeight="1">
      <c r="A2003" s="83"/>
      <c r="B2003" s="84"/>
      <c r="C2003" s="85"/>
      <c r="D2003" s="85"/>
      <c r="E2003" s="86"/>
      <c r="F2003" s="85"/>
      <c r="G2003" s="86"/>
      <c r="H2003" s="86"/>
      <c r="I2003" s="86">
        <f t="shared" si="1"/>
        <v>0</v>
      </c>
      <c r="J2003" s="86"/>
      <c r="K2003" s="22"/>
    </row>
    <row r="2004" ht="22.5" customHeight="1">
      <c r="A2004" s="83"/>
      <c r="B2004" s="84"/>
      <c r="C2004" s="85"/>
      <c r="D2004" s="85"/>
      <c r="E2004" s="86"/>
      <c r="F2004" s="85"/>
      <c r="G2004" s="86"/>
      <c r="H2004" s="86"/>
      <c r="I2004" s="86">
        <f t="shared" si="1"/>
        <v>0</v>
      </c>
      <c r="J2004" s="86"/>
      <c r="K2004" s="22"/>
    </row>
    <row r="2005" ht="22.5" customHeight="1">
      <c r="A2005" s="83"/>
      <c r="B2005" s="84"/>
      <c r="C2005" s="85"/>
      <c r="D2005" s="85"/>
      <c r="E2005" s="86"/>
      <c r="F2005" s="85"/>
      <c r="G2005" s="86"/>
      <c r="H2005" s="86"/>
      <c r="I2005" s="86">
        <f t="shared" si="1"/>
        <v>0</v>
      </c>
      <c r="J2005" s="86"/>
      <c r="K2005" s="22"/>
    </row>
  </sheetData>
  <dataValidations>
    <dataValidation type="list" allowBlank="1" showErrorMessage="1" sqref="D2:D2005">
      <formula1>#REF!</formula1>
    </dataValidation>
    <dataValidation type="list" allowBlank="1" showErrorMessage="1" sqref="C2:C2005">
      <formula1>#REF!</formula1>
    </dataValidation>
    <dataValidation type="custom" allowBlank="1" showDropDown="1" sqref="A2:A2005">
      <formula1>OR(NOT(ISERROR(DATEVALUE(A2))), AND(ISNUMBER(A2), LEFT(CELL("format", A2))="D"))</formula1>
    </dataValidation>
    <dataValidation type="list" allowBlank="1" showErrorMessage="1" sqref="F2:F2005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88"/>
    <col customWidth="1" min="4" max="4" width="19.88"/>
    <col customWidth="1" min="5" max="5" width="19.0"/>
    <col customWidth="1" min="6" max="6" width="16.13"/>
    <col customWidth="1" min="7" max="8" width="18.63"/>
    <col customWidth="1" min="9" max="10" width="20.75"/>
    <col customWidth="1" min="11" max="11" width="13.5"/>
  </cols>
  <sheetData>
    <row r="1" ht="22.5" customHeight="1">
      <c r="A1" s="1" t="s">
        <v>0</v>
      </c>
      <c r="B1" s="1" t="s">
        <v>2</v>
      </c>
      <c r="C1" s="1" t="s">
        <v>4</v>
      </c>
      <c r="D1" s="3" t="s">
        <v>3</v>
      </c>
      <c r="E1" s="1" t="s">
        <v>6</v>
      </c>
      <c r="F1" s="1" t="s">
        <v>5</v>
      </c>
      <c r="G1" s="5" t="s">
        <v>8</v>
      </c>
      <c r="H1" s="1" t="s">
        <v>10</v>
      </c>
      <c r="I1" s="8" t="s">
        <v>11</v>
      </c>
      <c r="J1" s="1" t="s">
        <v>13</v>
      </c>
      <c r="K1" s="1" t="s">
        <v>16</v>
      </c>
      <c r="L1" s="9" t="s">
        <v>18</v>
      </c>
    </row>
    <row r="2" ht="22.5" customHeight="1">
      <c r="A2" s="10">
        <v>45891.0</v>
      </c>
      <c r="B2" s="12" t="s">
        <v>22</v>
      </c>
      <c r="C2" s="13" t="s">
        <v>26</v>
      </c>
      <c r="D2" s="13">
        <v>80.0</v>
      </c>
      <c r="E2" s="15">
        <v>280.0</v>
      </c>
      <c r="F2" s="13" t="s">
        <v>27</v>
      </c>
      <c r="G2" s="17" t="s">
        <v>29</v>
      </c>
      <c r="H2" s="18">
        <v>0.0</v>
      </c>
      <c r="I2" s="20"/>
      <c r="J2" s="20">
        <f t="shared" ref="J2:J995" si="1">(E2*H2)/1000</f>
        <v>0</v>
      </c>
      <c r="K2" s="21"/>
      <c r="L2" s="22"/>
    </row>
    <row r="3" ht="22.5" customHeight="1">
      <c r="A3" s="10">
        <v>45891.0</v>
      </c>
      <c r="B3" s="12" t="s">
        <v>22</v>
      </c>
      <c r="C3" s="13" t="s">
        <v>26</v>
      </c>
      <c r="D3" s="13">
        <v>80.0</v>
      </c>
      <c r="E3" s="15">
        <v>260.0</v>
      </c>
      <c r="F3" s="13" t="s">
        <v>27</v>
      </c>
      <c r="G3" s="17" t="s">
        <v>29</v>
      </c>
      <c r="H3" s="18">
        <v>0.0</v>
      </c>
      <c r="I3" s="20"/>
      <c r="J3" s="20">
        <f t="shared" si="1"/>
        <v>0</v>
      </c>
      <c r="K3" s="21"/>
      <c r="L3" s="22"/>
    </row>
    <row r="4" ht="22.5" customHeight="1">
      <c r="A4" s="10">
        <v>45891.0</v>
      </c>
      <c r="B4" s="12" t="s">
        <v>22</v>
      </c>
      <c r="C4" s="13" t="s">
        <v>26</v>
      </c>
      <c r="D4" s="13">
        <v>80.0</v>
      </c>
      <c r="E4" s="15">
        <v>160.0</v>
      </c>
      <c r="F4" s="13" t="s">
        <v>27</v>
      </c>
      <c r="G4" s="17" t="s">
        <v>29</v>
      </c>
      <c r="H4" s="18">
        <v>0.0</v>
      </c>
      <c r="I4" s="20"/>
      <c r="J4" s="20">
        <f t="shared" si="1"/>
        <v>0</v>
      </c>
      <c r="K4" s="21"/>
      <c r="L4" s="22"/>
    </row>
    <row r="5" ht="22.5" customHeight="1">
      <c r="A5" s="10">
        <v>45891.0</v>
      </c>
      <c r="B5" s="12" t="s">
        <v>22</v>
      </c>
      <c r="C5" s="13" t="s">
        <v>26</v>
      </c>
      <c r="D5" s="13">
        <v>80.0</v>
      </c>
      <c r="E5" s="15">
        <v>140.0</v>
      </c>
      <c r="F5" s="13" t="s">
        <v>27</v>
      </c>
      <c r="G5" s="17" t="s">
        <v>29</v>
      </c>
      <c r="H5" s="18">
        <v>0.0</v>
      </c>
      <c r="I5" s="20"/>
      <c r="J5" s="20">
        <f t="shared" si="1"/>
        <v>0</v>
      </c>
      <c r="K5" s="21"/>
      <c r="L5" s="22"/>
    </row>
    <row r="6" ht="22.5" customHeight="1">
      <c r="A6" s="10">
        <v>45891.0</v>
      </c>
      <c r="B6" s="12" t="s">
        <v>50</v>
      </c>
      <c r="C6" s="13" t="s">
        <v>9</v>
      </c>
      <c r="D6" s="13">
        <v>80.0</v>
      </c>
      <c r="E6" s="15">
        <v>125.0</v>
      </c>
      <c r="F6" s="13" t="s">
        <v>21</v>
      </c>
      <c r="G6" s="24" t="s">
        <v>51</v>
      </c>
      <c r="H6" s="18">
        <v>1015.0</v>
      </c>
      <c r="I6" s="20"/>
      <c r="J6" s="20">
        <f t="shared" si="1"/>
        <v>126.875</v>
      </c>
      <c r="K6" s="21"/>
      <c r="L6" s="22"/>
    </row>
    <row r="7" ht="22.5" customHeight="1">
      <c r="A7" s="10">
        <v>45891.0</v>
      </c>
      <c r="B7" s="12" t="s">
        <v>53</v>
      </c>
      <c r="C7" s="13" t="s">
        <v>9</v>
      </c>
      <c r="D7" s="13">
        <v>80.0</v>
      </c>
      <c r="E7" s="15">
        <v>330.0</v>
      </c>
      <c r="F7" s="13" t="s">
        <v>21</v>
      </c>
      <c r="G7" s="24" t="s">
        <v>51</v>
      </c>
      <c r="H7" s="18">
        <v>1090.0</v>
      </c>
      <c r="I7" s="20"/>
      <c r="J7" s="20">
        <f t="shared" si="1"/>
        <v>359.7</v>
      </c>
      <c r="K7" s="21"/>
      <c r="L7" s="22"/>
    </row>
    <row r="8" ht="22.5" customHeight="1">
      <c r="A8" s="10">
        <v>45891.0</v>
      </c>
      <c r="B8" s="12" t="s">
        <v>58</v>
      </c>
      <c r="C8" s="13" t="s">
        <v>9</v>
      </c>
      <c r="D8" s="13">
        <v>80.0</v>
      </c>
      <c r="E8" s="15">
        <v>330.0</v>
      </c>
      <c r="F8" s="13" t="s">
        <v>21</v>
      </c>
      <c r="G8" s="24" t="s">
        <v>51</v>
      </c>
      <c r="H8" s="18">
        <v>1730.0</v>
      </c>
      <c r="I8" s="20"/>
      <c r="J8" s="20">
        <f t="shared" si="1"/>
        <v>570.9</v>
      </c>
      <c r="K8" s="21"/>
      <c r="L8" s="22"/>
    </row>
    <row r="9" ht="22.5" customHeight="1">
      <c r="A9" s="10">
        <v>45891.0</v>
      </c>
      <c r="B9" s="12" t="s">
        <v>64</v>
      </c>
      <c r="C9" s="13" t="s">
        <v>9</v>
      </c>
      <c r="D9" s="13">
        <v>80.0</v>
      </c>
      <c r="E9" s="15">
        <v>125.0</v>
      </c>
      <c r="F9" s="13" t="s">
        <v>21</v>
      </c>
      <c r="G9" s="24" t="s">
        <v>51</v>
      </c>
      <c r="H9" s="18">
        <v>684.0</v>
      </c>
      <c r="I9" s="20"/>
      <c r="J9" s="20">
        <f t="shared" si="1"/>
        <v>85.5</v>
      </c>
      <c r="K9" s="21"/>
      <c r="L9" s="22"/>
    </row>
    <row r="10" ht="22.5" customHeight="1">
      <c r="A10" s="10">
        <v>45891.0</v>
      </c>
      <c r="B10" s="12" t="s">
        <v>68</v>
      </c>
      <c r="C10" s="13" t="s">
        <v>9</v>
      </c>
      <c r="D10" s="13">
        <v>80.0</v>
      </c>
      <c r="E10" s="15">
        <v>290.0</v>
      </c>
      <c r="F10" s="13" t="s">
        <v>21</v>
      </c>
      <c r="G10" s="24" t="s">
        <v>51</v>
      </c>
      <c r="H10" s="18">
        <v>0.0</v>
      </c>
      <c r="I10" s="20"/>
      <c r="J10" s="20">
        <f t="shared" si="1"/>
        <v>0</v>
      </c>
      <c r="K10" s="21"/>
      <c r="L10" s="22"/>
    </row>
    <row r="11" ht="22.5" customHeight="1">
      <c r="A11" s="10">
        <v>45891.0</v>
      </c>
      <c r="B11" s="12" t="s">
        <v>83</v>
      </c>
      <c r="C11" s="13" t="s">
        <v>9</v>
      </c>
      <c r="D11" s="13">
        <v>80.0</v>
      </c>
      <c r="E11" s="15">
        <v>125.0</v>
      </c>
      <c r="F11" s="13" t="s">
        <v>21</v>
      </c>
      <c r="G11" s="24" t="s">
        <v>51</v>
      </c>
      <c r="H11" s="18">
        <v>1724.0</v>
      </c>
      <c r="I11" s="20"/>
      <c r="J11" s="20">
        <f t="shared" si="1"/>
        <v>215.5</v>
      </c>
      <c r="K11" s="21"/>
      <c r="L11" s="22"/>
    </row>
    <row r="12" ht="22.5" customHeight="1">
      <c r="A12" s="28">
        <v>45892.0</v>
      </c>
      <c r="B12" s="15" t="s">
        <v>84</v>
      </c>
      <c r="C12" s="13" t="s">
        <v>61</v>
      </c>
      <c r="D12" s="13">
        <v>50.0</v>
      </c>
      <c r="E12" s="15">
        <v>165.0</v>
      </c>
      <c r="F12" s="13" t="s">
        <v>25</v>
      </c>
      <c r="G12" s="15" t="s">
        <v>85</v>
      </c>
      <c r="H12" s="15">
        <v>0.0</v>
      </c>
      <c r="I12" s="20"/>
      <c r="J12" s="20">
        <f t="shared" si="1"/>
        <v>0</v>
      </c>
      <c r="K12" s="21"/>
      <c r="L12" s="22"/>
    </row>
    <row r="13" ht="22.5" customHeight="1">
      <c r="A13" s="28">
        <v>45892.0</v>
      </c>
      <c r="B13" s="15" t="s">
        <v>84</v>
      </c>
      <c r="C13" s="13" t="s">
        <v>61</v>
      </c>
      <c r="D13" s="13">
        <v>50.0</v>
      </c>
      <c r="E13" s="15">
        <v>125.0</v>
      </c>
      <c r="F13" s="13" t="s">
        <v>25</v>
      </c>
      <c r="G13" s="15" t="s">
        <v>85</v>
      </c>
      <c r="H13" s="15">
        <v>0.0</v>
      </c>
      <c r="I13" s="20"/>
      <c r="J13" s="20">
        <f t="shared" si="1"/>
        <v>0</v>
      </c>
      <c r="K13" s="21"/>
      <c r="L13" s="22"/>
    </row>
    <row r="14" ht="22.5" customHeight="1">
      <c r="A14" s="28">
        <v>45892.0</v>
      </c>
      <c r="B14" s="12" t="s">
        <v>86</v>
      </c>
      <c r="C14" s="13" t="s">
        <v>9</v>
      </c>
      <c r="D14" s="13">
        <v>80.0</v>
      </c>
      <c r="E14" s="15">
        <v>160.0</v>
      </c>
      <c r="F14" s="13" t="s">
        <v>27</v>
      </c>
      <c r="G14" s="15" t="s">
        <v>87</v>
      </c>
      <c r="H14" s="15">
        <v>203.0</v>
      </c>
      <c r="I14" s="20"/>
      <c r="J14" s="20">
        <f t="shared" si="1"/>
        <v>32.48</v>
      </c>
      <c r="K14" s="21"/>
      <c r="L14" s="22"/>
    </row>
    <row r="15" ht="22.5" customHeight="1">
      <c r="A15" s="28">
        <v>45892.0</v>
      </c>
      <c r="B15" s="12" t="s">
        <v>88</v>
      </c>
      <c r="C15" s="13" t="s">
        <v>9</v>
      </c>
      <c r="D15" s="13">
        <v>80.0</v>
      </c>
      <c r="E15" s="15">
        <v>125.0</v>
      </c>
      <c r="F15" s="13" t="s">
        <v>21</v>
      </c>
      <c r="G15" s="17" t="s">
        <v>89</v>
      </c>
      <c r="H15" s="15">
        <v>290.0</v>
      </c>
      <c r="I15" s="20"/>
      <c r="J15" s="20">
        <f t="shared" si="1"/>
        <v>36.25</v>
      </c>
      <c r="K15" s="21"/>
      <c r="L15" s="22"/>
    </row>
    <row r="16" ht="22.5" customHeight="1">
      <c r="A16" s="28">
        <v>45892.0</v>
      </c>
      <c r="B16" s="12" t="s">
        <v>90</v>
      </c>
      <c r="C16" s="13" t="s">
        <v>9</v>
      </c>
      <c r="D16" s="13">
        <v>80.0</v>
      </c>
      <c r="E16" s="15">
        <v>125.0</v>
      </c>
      <c r="F16" s="13" t="s">
        <v>21</v>
      </c>
      <c r="G16" s="17" t="s">
        <v>89</v>
      </c>
      <c r="H16" s="15">
        <v>1440.0</v>
      </c>
      <c r="I16" s="20"/>
      <c r="J16" s="20">
        <f t="shared" si="1"/>
        <v>180</v>
      </c>
      <c r="K16" s="21"/>
      <c r="L16" s="22"/>
    </row>
    <row r="17" ht="22.5" customHeight="1">
      <c r="A17" s="28">
        <v>45892.0</v>
      </c>
      <c r="B17" s="12" t="s">
        <v>91</v>
      </c>
      <c r="C17" s="13" t="s">
        <v>9</v>
      </c>
      <c r="D17" s="13">
        <v>80.0</v>
      </c>
      <c r="E17" s="15">
        <v>125.0</v>
      </c>
      <c r="F17" s="13" t="s">
        <v>21</v>
      </c>
      <c r="G17" s="17" t="s">
        <v>89</v>
      </c>
      <c r="H17" s="15">
        <v>1180.0</v>
      </c>
      <c r="I17" s="20"/>
      <c r="J17" s="20">
        <f t="shared" si="1"/>
        <v>147.5</v>
      </c>
      <c r="K17" s="21"/>
      <c r="L17" s="22"/>
    </row>
    <row r="18" ht="22.5" customHeight="1">
      <c r="A18" s="28">
        <v>45892.0</v>
      </c>
      <c r="B18" s="12" t="s">
        <v>92</v>
      </c>
      <c r="C18" s="13" t="s">
        <v>9</v>
      </c>
      <c r="D18" s="13">
        <v>80.0</v>
      </c>
      <c r="E18" s="15">
        <v>125.0</v>
      </c>
      <c r="F18" s="13" t="s">
        <v>21</v>
      </c>
      <c r="G18" s="17" t="s">
        <v>89</v>
      </c>
      <c r="H18" s="15">
        <v>900.0</v>
      </c>
      <c r="I18" s="20"/>
      <c r="J18" s="20">
        <f t="shared" si="1"/>
        <v>112.5</v>
      </c>
      <c r="K18" s="21"/>
      <c r="L18" s="22"/>
    </row>
    <row r="19" ht="22.5" customHeight="1">
      <c r="A19" s="28">
        <v>45892.0</v>
      </c>
      <c r="B19" s="12" t="s">
        <v>93</v>
      </c>
      <c r="C19" s="13" t="s">
        <v>9</v>
      </c>
      <c r="D19" s="13">
        <v>80.0</v>
      </c>
      <c r="E19" s="15">
        <v>150.0</v>
      </c>
      <c r="F19" s="13" t="s">
        <v>21</v>
      </c>
      <c r="G19" s="17" t="s">
        <v>89</v>
      </c>
      <c r="H19" s="15">
        <v>780.0</v>
      </c>
      <c r="I19" s="20"/>
      <c r="J19" s="20">
        <f t="shared" si="1"/>
        <v>117</v>
      </c>
      <c r="K19" s="21"/>
      <c r="L19" s="22"/>
    </row>
    <row r="20" ht="22.5" customHeight="1">
      <c r="A20" s="28">
        <v>45892.0</v>
      </c>
      <c r="B20" s="12" t="s">
        <v>94</v>
      </c>
      <c r="C20" s="13" t="s">
        <v>9</v>
      </c>
      <c r="D20" s="13">
        <v>80.0</v>
      </c>
      <c r="E20" s="15">
        <v>160.0</v>
      </c>
      <c r="F20" s="13" t="s">
        <v>27</v>
      </c>
      <c r="G20" s="15" t="s">
        <v>87</v>
      </c>
      <c r="H20" s="15">
        <v>840.0</v>
      </c>
      <c r="I20" s="20"/>
      <c r="J20" s="20">
        <f t="shared" si="1"/>
        <v>134.4</v>
      </c>
      <c r="K20" s="21"/>
      <c r="L20" s="22"/>
    </row>
    <row r="21" ht="22.5" customHeight="1">
      <c r="A21" s="28">
        <v>45892.0</v>
      </c>
      <c r="B21" s="15" t="s">
        <v>95</v>
      </c>
      <c r="C21" s="13" t="s">
        <v>9</v>
      </c>
      <c r="D21" s="13">
        <v>80.0</v>
      </c>
      <c r="E21" s="15">
        <v>185.0</v>
      </c>
      <c r="F21" s="13" t="s">
        <v>27</v>
      </c>
      <c r="G21" s="15" t="s">
        <v>87</v>
      </c>
      <c r="H21" s="15">
        <v>1100.0</v>
      </c>
      <c r="I21" s="20"/>
      <c r="J21" s="20">
        <f t="shared" si="1"/>
        <v>203.5</v>
      </c>
      <c r="K21" s="21"/>
      <c r="L21" s="22"/>
    </row>
    <row r="22" ht="22.5" customHeight="1">
      <c r="A22" s="28">
        <v>45892.0</v>
      </c>
      <c r="B22" s="15" t="s">
        <v>95</v>
      </c>
      <c r="C22" s="13" t="s">
        <v>9</v>
      </c>
      <c r="D22" s="13">
        <v>80.0</v>
      </c>
      <c r="E22" s="15">
        <v>160.0</v>
      </c>
      <c r="F22" s="13" t="s">
        <v>27</v>
      </c>
      <c r="G22" s="15" t="s">
        <v>87</v>
      </c>
      <c r="H22" s="15">
        <v>0.0</v>
      </c>
      <c r="I22" s="20"/>
      <c r="J22" s="20">
        <f t="shared" si="1"/>
        <v>0</v>
      </c>
      <c r="K22" s="21"/>
      <c r="L22" s="22"/>
    </row>
    <row r="23" ht="22.5" customHeight="1">
      <c r="A23" s="28">
        <v>45894.0</v>
      </c>
      <c r="B23" s="12" t="s">
        <v>96</v>
      </c>
      <c r="C23" s="13" t="s">
        <v>9</v>
      </c>
      <c r="D23" s="13">
        <v>80.0</v>
      </c>
      <c r="E23" s="15">
        <v>125.0</v>
      </c>
      <c r="F23" s="13" t="s">
        <v>21</v>
      </c>
      <c r="G23" s="24" t="s">
        <v>97</v>
      </c>
      <c r="H23" s="15">
        <v>0.0</v>
      </c>
      <c r="I23" s="20"/>
      <c r="J23" s="20">
        <f t="shared" si="1"/>
        <v>0</v>
      </c>
      <c r="K23" s="21"/>
      <c r="L23" s="22"/>
    </row>
    <row r="24" ht="22.5" customHeight="1">
      <c r="A24" s="28">
        <v>45894.0</v>
      </c>
      <c r="B24" s="12" t="s">
        <v>98</v>
      </c>
      <c r="C24" s="13" t="s">
        <v>9</v>
      </c>
      <c r="D24" s="13">
        <v>80.0</v>
      </c>
      <c r="E24" s="15">
        <v>130.0</v>
      </c>
      <c r="F24" s="13" t="s">
        <v>27</v>
      </c>
      <c r="G24" s="24" t="s">
        <v>99</v>
      </c>
      <c r="H24" s="15">
        <v>400.0</v>
      </c>
      <c r="I24" s="20"/>
      <c r="J24" s="20">
        <f t="shared" si="1"/>
        <v>52</v>
      </c>
      <c r="K24" s="21"/>
      <c r="L24" s="22"/>
    </row>
    <row r="25" ht="22.5" customHeight="1">
      <c r="A25" s="28">
        <v>45894.0</v>
      </c>
      <c r="B25" s="12" t="s">
        <v>100</v>
      </c>
      <c r="C25" s="13" t="s">
        <v>9</v>
      </c>
      <c r="D25" s="13">
        <v>80.0</v>
      </c>
      <c r="E25" s="15">
        <v>229.0</v>
      </c>
      <c r="F25" s="13" t="s">
        <v>27</v>
      </c>
      <c r="G25" s="24" t="s">
        <v>99</v>
      </c>
      <c r="H25" s="15">
        <v>950.0</v>
      </c>
      <c r="I25" s="20"/>
      <c r="J25" s="20">
        <f t="shared" si="1"/>
        <v>217.55</v>
      </c>
      <c r="K25" s="21"/>
      <c r="L25" s="22"/>
    </row>
    <row r="26" ht="22.5" customHeight="1">
      <c r="A26" s="28">
        <v>45894.0</v>
      </c>
      <c r="B26" s="12" t="s">
        <v>101</v>
      </c>
      <c r="C26" s="13" t="s">
        <v>9</v>
      </c>
      <c r="D26" s="13">
        <v>80.0</v>
      </c>
      <c r="E26" s="15">
        <v>229.0</v>
      </c>
      <c r="F26" s="13" t="s">
        <v>27</v>
      </c>
      <c r="G26" s="24" t="s">
        <v>99</v>
      </c>
      <c r="H26" s="15">
        <v>400.0</v>
      </c>
      <c r="I26" s="20"/>
      <c r="J26" s="20">
        <f t="shared" si="1"/>
        <v>91.6</v>
      </c>
      <c r="K26" s="21"/>
      <c r="L26" s="22"/>
    </row>
    <row r="27" ht="22.5" customHeight="1">
      <c r="A27" s="28">
        <v>45898.0</v>
      </c>
      <c r="B27" s="12" t="s">
        <v>102</v>
      </c>
      <c r="C27" s="13" t="s">
        <v>9</v>
      </c>
      <c r="D27" s="13">
        <v>80.0</v>
      </c>
      <c r="E27" s="15">
        <v>260.0</v>
      </c>
      <c r="F27" s="13" t="s">
        <v>27</v>
      </c>
      <c r="G27" s="24" t="s">
        <v>99</v>
      </c>
      <c r="H27" s="15">
        <v>590.0</v>
      </c>
      <c r="I27" s="20"/>
      <c r="J27" s="20">
        <f t="shared" si="1"/>
        <v>153.4</v>
      </c>
      <c r="K27" s="21"/>
      <c r="L27" s="22"/>
    </row>
    <row r="28" ht="22.5" customHeight="1">
      <c r="A28" s="28">
        <v>45898.0</v>
      </c>
      <c r="B28" s="12" t="s">
        <v>103</v>
      </c>
      <c r="C28" s="13" t="s">
        <v>9</v>
      </c>
      <c r="D28" s="13">
        <v>80.0</v>
      </c>
      <c r="E28" s="15">
        <v>170.0</v>
      </c>
      <c r="F28" s="13" t="s">
        <v>21</v>
      </c>
      <c r="G28" s="17" t="s">
        <v>89</v>
      </c>
      <c r="H28" s="15">
        <v>1100.0</v>
      </c>
      <c r="I28" s="20"/>
      <c r="J28" s="20">
        <f t="shared" si="1"/>
        <v>187</v>
      </c>
      <c r="K28" s="21"/>
      <c r="L28" s="22"/>
    </row>
    <row r="29" ht="22.5" customHeight="1">
      <c r="A29" s="28">
        <v>45898.0</v>
      </c>
      <c r="B29" s="12" t="s">
        <v>104</v>
      </c>
      <c r="C29" s="13" t="s">
        <v>9</v>
      </c>
      <c r="D29" s="13">
        <v>80.0</v>
      </c>
      <c r="E29" s="15">
        <v>125.0</v>
      </c>
      <c r="F29" s="13" t="s">
        <v>21</v>
      </c>
      <c r="G29" s="17" t="s">
        <v>89</v>
      </c>
      <c r="H29" s="15">
        <v>1620.0</v>
      </c>
      <c r="I29" s="20"/>
      <c r="J29" s="20">
        <f t="shared" si="1"/>
        <v>202.5</v>
      </c>
      <c r="K29" s="21"/>
      <c r="L29" s="22"/>
    </row>
    <row r="30" ht="22.5" customHeight="1">
      <c r="A30" s="28">
        <v>45899.0</v>
      </c>
      <c r="B30" s="12" t="s">
        <v>105</v>
      </c>
      <c r="C30" s="13" t="s">
        <v>9</v>
      </c>
      <c r="D30" s="13">
        <v>80.0</v>
      </c>
      <c r="E30" s="15">
        <v>185.0</v>
      </c>
      <c r="F30" s="13" t="s">
        <v>27</v>
      </c>
      <c r="G30" s="24" t="s">
        <v>106</v>
      </c>
      <c r="H30" s="15">
        <v>1400.0</v>
      </c>
      <c r="I30" s="20"/>
      <c r="J30" s="20">
        <f t="shared" si="1"/>
        <v>259</v>
      </c>
      <c r="K30" s="21"/>
      <c r="L30" s="22"/>
    </row>
    <row r="31" ht="22.5" customHeight="1">
      <c r="A31" s="28">
        <v>45899.0</v>
      </c>
      <c r="B31" s="12" t="s">
        <v>107</v>
      </c>
      <c r="C31" s="13" t="s">
        <v>9</v>
      </c>
      <c r="D31" s="13">
        <v>80.0</v>
      </c>
      <c r="E31" s="15">
        <v>185.0</v>
      </c>
      <c r="F31" s="13" t="s">
        <v>27</v>
      </c>
      <c r="G31" s="24" t="s">
        <v>106</v>
      </c>
      <c r="H31" s="15">
        <v>650.0</v>
      </c>
      <c r="I31" s="20"/>
      <c r="J31" s="20">
        <f t="shared" si="1"/>
        <v>120.25</v>
      </c>
      <c r="K31" s="21"/>
      <c r="L31" s="22"/>
    </row>
    <row r="32" ht="22.5" customHeight="1">
      <c r="A32" s="28">
        <v>45901.0</v>
      </c>
      <c r="B32" s="12" t="s">
        <v>108</v>
      </c>
      <c r="C32" s="13" t="s">
        <v>43</v>
      </c>
      <c r="D32" s="13">
        <v>50.0</v>
      </c>
      <c r="E32" s="15">
        <v>165.0</v>
      </c>
      <c r="F32" s="13" t="s">
        <v>31</v>
      </c>
      <c r="G32" s="24" t="s">
        <v>109</v>
      </c>
      <c r="H32" s="15">
        <v>0.0</v>
      </c>
      <c r="I32" s="20"/>
      <c r="J32" s="20">
        <f t="shared" si="1"/>
        <v>0</v>
      </c>
      <c r="K32" s="21"/>
    </row>
    <row r="33" ht="22.5" customHeight="1">
      <c r="A33" s="28">
        <v>45902.0</v>
      </c>
      <c r="B33" s="32" t="s">
        <v>110</v>
      </c>
      <c r="C33" s="13" t="s">
        <v>9</v>
      </c>
      <c r="D33" s="13">
        <v>80.0</v>
      </c>
      <c r="E33" s="15">
        <v>140.0</v>
      </c>
      <c r="F33" s="13" t="s">
        <v>27</v>
      </c>
      <c r="G33" s="24" t="s">
        <v>99</v>
      </c>
      <c r="H33" s="15">
        <v>750.0</v>
      </c>
      <c r="I33" s="20"/>
      <c r="J33" s="20">
        <f t="shared" si="1"/>
        <v>105</v>
      </c>
      <c r="K33" s="21"/>
      <c r="L33" s="22"/>
    </row>
    <row r="34" ht="22.5" customHeight="1">
      <c r="A34" s="28">
        <v>45902.0</v>
      </c>
      <c r="B34" s="32" t="s">
        <v>111</v>
      </c>
      <c r="C34" s="13" t="s">
        <v>9</v>
      </c>
      <c r="D34" s="13">
        <v>80.0</v>
      </c>
      <c r="E34" s="15">
        <v>160.0</v>
      </c>
      <c r="F34" s="13" t="s">
        <v>27</v>
      </c>
      <c r="G34" s="24" t="s">
        <v>99</v>
      </c>
      <c r="H34" s="15">
        <v>1400.0</v>
      </c>
      <c r="I34" s="20"/>
      <c r="J34" s="20">
        <f t="shared" si="1"/>
        <v>224</v>
      </c>
      <c r="K34" s="21"/>
      <c r="L34" s="22"/>
    </row>
    <row r="35" ht="22.5" customHeight="1">
      <c r="A35" s="28">
        <v>45902.0</v>
      </c>
      <c r="B35" s="33" t="s">
        <v>112</v>
      </c>
      <c r="C35" s="13" t="s">
        <v>9</v>
      </c>
      <c r="D35" s="13">
        <v>80.0</v>
      </c>
      <c r="E35" s="15">
        <v>185.0</v>
      </c>
      <c r="F35" s="13" t="s">
        <v>27</v>
      </c>
      <c r="G35" s="24" t="s">
        <v>99</v>
      </c>
      <c r="H35" s="15">
        <v>1100.0</v>
      </c>
      <c r="I35" s="20"/>
      <c r="J35" s="20">
        <f t="shared" si="1"/>
        <v>203.5</v>
      </c>
      <c r="K35" s="21"/>
      <c r="L35" s="22"/>
    </row>
    <row r="36" ht="22.5" customHeight="1">
      <c r="A36" s="28">
        <v>45902.0</v>
      </c>
      <c r="B36" s="33" t="s">
        <v>112</v>
      </c>
      <c r="C36" s="13" t="s">
        <v>9</v>
      </c>
      <c r="D36" s="13">
        <v>80.0</v>
      </c>
      <c r="E36" s="15">
        <v>160.0</v>
      </c>
      <c r="F36" s="13" t="s">
        <v>27</v>
      </c>
      <c r="G36" s="24" t="s">
        <v>99</v>
      </c>
      <c r="H36" s="15">
        <v>0.0</v>
      </c>
      <c r="I36" s="20"/>
      <c r="J36" s="20">
        <f t="shared" si="1"/>
        <v>0</v>
      </c>
      <c r="K36" s="21"/>
      <c r="L36" s="22"/>
    </row>
    <row r="37" ht="22.5" customHeight="1">
      <c r="A37" s="28">
        <v>45902.0</v>
      </c>
      <c r="B37" s="33" t="s">
        <v>113</v>
      </c>
      <c r="C37" s="13" t="s">
        <v>9</v>
      </c>
      <c r="D37" s="13">
        <v>80.0</v>
      </c>
      <c r="E37" s="15">
        <v>140.0</v>
      </c>
      <c r="F37" s="13" t="s">
        <v>27</v>
      </c>
      <c r="G37" s="24" t="s">
        <v>99</v>
      </c>
      <c r="H37" s="15">
        <v>100.0</v>
      </c>
      <c r="I37" s="20"/>
      <c r="J37" s="20">
        <f t="shared" si="1"/>
        <v>14</v>
      </c>
      <c r="K37" s="21"/>
      <c r="L37" s="22"/>
    </row>
    <row r="38" ht="22.5" customHeight="1">
      <c r="A38" s="28">
        <v>45903.0</v>
      </c>
      <c r="B38" s="34" t="s">
        <v>114</v>
      </c>
      <c r="C38" s="13" t="s">
        <v>9</v>
      </c>
      <c r="D38" s="13">
        <v>80.0</v>
      </c>
      <c r="E38" s="15">
        <v>185.0</v>
      </c>
      <c r="F38" s="13" t="s">
        <v>27</v>
      </c>
      <c r="G38" s="24" t="s">
        <v>99</v>
      </c>
      <c r="H38" s="15">
        <v>0.0</v>
      </c>
      <c r="I38" s="20"/>
      <c r="J38" s="20">
        <f t="shared" si="1"/>
        <v>0</v>
      </c>
      <c r="K38" s="21"/>
      <c r="L38" s="22"/>
    </row>
    <row r="39" ht="22.5" customHeight="1">
      <c r="A39" s="28">
        <v>45903.0</v>
      </c>
      <c r="B39" s="34" t="s">
        <v>114</v>
      </c>
      <c r="C39" s="13" t="s">
        <v>9</v>
      </c>
      <c r="D39" s="13">
        <v>80.0</v>
      </c>
      <c r="E39" s="15">
        <v>195.0</v>
      </c>
      <c r="F39" s="13" t="s">
        <v>27</v>
      </c>
      <c r="G39" s="24" t="s">
        <v>99</v>
      </c>
      <c r="H39" s="15">
        <v>1010.0</v>
      </c>
      <c r="I39" s="20"/>
      <c r="J39" s="20">
        <f t="shared" si="1"/>
        <v>196.95</v>
      </c>
      <c r="K39" s="21"/>
      <c r="L39" s="22"/>
    </row>
    <row r="40" ht="22.5" customHeight="1">
      <c r="A40" s="28">
        <v>45903.0</v>
      </c>
      <c r="B40" s="33" t="s">
        <v>115</v>
      </c>
      <c r="C40" s="13" t="s">
        <v>9</v>
      </c>
      <c r="D40" s="13">
        <v>80.0</v>
      </c>
      <c r="E40" s="15">
        <v>230.0</v>
      </c>
      <c r="F40" s="13" t="s">
        <v>27</v>
      </c>
      <c r="G40" s="24" t="s">
        <v>99</v>
      </c>
      <c r="H40" s="15">
        <v>650.0</v>
      </c>
      <c r="I40" s="20"/>
      <c r="J40" s="20">
        <f t="shared" si="1"/>
        <v>149.5</v>
      </c>
      <c r="K40" s="21"/>
      <c r="L40" s="22"/>
    </row>
    <row r="41" ht="22.5" customHeight="1">
      <c r="A41" s="28">
        <v>45903.0</v>
      </c>
      <c r="B41" s="33" t="s">
        <v>116</v>
      </c>
      <c r="C41" s="13" t="s">
        <v>9</v>
      </c>
      <c r="D41" s="13">
        <v>80.0</v>
      </c>
      <c r="E41" s="15">
        <v>195.0</v>
      </c>
      <c r="F41" s="13" t="s">
        <v>27</v>
      </c>
      <c r="G41" s="24" t="s">
        <v>99</v>
      </c>
      <c r="H41" s="15">
        <v>150.0</v>
      </c>
      <c r="I41" s="20"/>
      <c r="J41" s="20">
        <f t="shared" si="1"/>
        <v>29.25</v>
      </c>
      <c r="K41" s="21"/>
      <c r="L41" s="22"/>
    </row>
    <row r="42" ht="22.5" customHeight="1">
      <c r="A42" s="28">
        <v>45903.0</v>
      </c>
      <c r="B42" s="32" t="s">
        <v>117</v>
      </c>
      <c r="C42" s="13" t="s">
        <v>9</v>
      </c>
      <c r="D42" s="13">
        <v>80.0</v>
      </c>
      <c r="E42" s="15">
        <v>160.0</v>
      </c>
      <c r="F42" s="13" t="s">
        <v>33</v>
      </c>
      <c r="G42" s="24" t="s">
        <v>118</v>
      </c>
      <c r="H42" s="15">
        <v>1490.0</v>
      </c>
      <c r="I42" s="20"/>
      <c r="J42" s="20">
        <f t="shared" si="1"/>
        <v>238.4</v>
      </c>
      <c r="K42" s="21"/>
      <c r="L42" s="22"/>
    </row>
    <row r="43" ht="22.5" customHeight="1">
      <c r="A43" s="28">
        <v>45904.0</v>
      </c>
      <c r="B43" s="35" t="s">
        <v>119</v>
      </c>
      <c r="C43" s="13" t="s">
        <v>42</v>
      </c>
      <c r="D43" s="13">
        <v>50.0</v>
      </c>
      <c r="E43" s="15">
        <v>215.0</v>
      </c>
      <c r="F43" s="13" t="s">
        <v>31</v>
      </c>
      <c r="G43" s="24" t="s">
        <v>120</v>
      </c>
      <c r="H43" s="15">
        <v>0.0</v>
      </c>
      <c r="I43" s="20"/>
      <c r="J43" s="20">
        <f t="shared" si="1"/>
        <v>0</v>
      </c>
      <c r="K43" s="21"/>
      <c r="L43" s="22"/>
    </row>
    <row r="44" ht="22.5" customHeight="1">
      <c r="A44" s="28">
        <v>45904.0</v>
      </c>
      <c r="B44" s="35" t="s">
        <v>121</v>
      </c>
      <c r="C44" s="13" t="s">
        <v>42</v>
      </c>
      <c r="D44" s="13">
        <v>50.0</v>
      </c>
      <c r="E44" s="15">
        <v>225.0</v>
      </c>
      <c r="F44" s="13" t="s">
        <v>31</v>
      </c>
      <c r="G44" s="24" t="s">
        <v>120</v>
      </c>
      <c r="H44" s="15">
        <v>0.0</v>
      </c>
      <c r="I44" s="20"/>
      <c r="J44" s="20">
        <f t="shared" si="1"/>
        <v>0</v>
      </c>
      <c r="K44" s="21"/>
      <c r="L44" s="22"/>
    </row>
    <row r="45" ht="22.5" customHeight="1">
      <c r="A45" s="28">
        <v>45904.0</v>
      </c>
      <c r="B45" s="12" t="s">
        <v>122</v>
      </c>
      <c r="C45" s="13" t="s">
        <v>9</v>
      </c>
      <c r="D45" s="13">
        <v>80.0</v>
      </c>
      <c r="E45" s="15">
        <v>180.0</v>
      </c>
      <c r="F45" s="13" t="s">
        <v>21</v>
      </c>
      <c r="G45" s="24" t="s">
        <v>89</v>
      </c>
      <c r="H45" s="15">
        <v>170.0</v>
      </c>
      <c r="I45" s="20"/>
      <c r="J45" s="20">
        <f t="shared" si="1"/>
        <v>30.6</v>
      </c>
      <c r="K45" s="21"/>
      <c r="L45" s="22"/>
    </row>
    <row r="46" ht="22.5" customHeight="1">
      <c r="A46" s="28">
        <v>45904.0</v>
      </c>
      <c r="B46" s="12" t="s">
        <v>123</v>
      </c>
      <c r="C46" s="13" t="s">
        <v>9</v>
      </c>
      <c r="D46" s="13">
        <v>80.0</v>
      </c>
      <c r="E46" s="15">
        <v>180.0</v>
      </c>
      <c r="F46" s="13" t="s">
        <v>21</v>
      </c>
      <c r="G46" s="24" t="s">
        <v>89</v>
      </c>
      <c r="H46" s="15">
        <v>700.0</v>
      </c>
      <c r="I46" s="20"/>
      <c r="J46" s="20">
        <f t="shared" si="1"/>
        <v>126</v>
      </c>
      <c r="K46" s="21"/>
      <c r="L46" s="22"/>
    </row>
    <row r="47" ht="22.5" customHeight="1">
      <c r="A47" s="28">
        <v>45905.0</v>
      </c>
      <c r="B47" s="12" t="s">
        <v>124</v>
      </c>
      <c r="C47" s="13" t="s">
        <v>9</v>
      </c>
      <c r="D47" s="13">
        <v>80.0</v>
      </c>
      <c r="E47" s="15">
        <v>190.0</v>
      </c>
      <c r="F47" s="13" t="s">
        <v>21</v>
      </c>
      <c r="G47" s="24" t="s">
        <v>125</v>
      </c>
      <c r="H47" s="15">
        <v>1240.0</v>
      </c>
      <c r="I47" s="20"/>
      <c r="J47" s="20">
        <f t="shared" si="1"/>
        <v>235.6</v>
      </c>
      <c r="K47" s="21"/>
      <c r="L47" s="22"/>
    </row>
    <row r="48" ht="22.5" customHeight="1">
      <c r="A48" s="28">
        <v>45905.0</v>
      </c>
      <c r="B48" s="33" t="s">
        <v>126</v>
      </c>
      <c r="C48" s="13" t="s">
        <v>9</v>
      </c>
      <c r="D48" s="13">
        <v>80.0</v>
      </c>
      <c r="E48" s="15">
        <v>290.0</v>
      </c>
      <c r="F48" s="13" t="s">
        <v>21</v>
      </c>
      <c r="G48" s="24" t="s">
        <v>89</v>
      </c>
      <c r="H48" s="15">
        <v>1020.0</v>
      </c>
      <c r="I48" s="20"/>
      <c r="J48" s="20">
        <f t="shared" si="1"/>
        <v>295.8</v>
      </c>
      <c r="K48" s="21"/>
      <c r="L48" s="22"/>
    </row>
    <row r="49" ht="22.5" customHeight="1">
      <c r="A49" s="28">
        <v>45905.0</v>
      </c>
      <c r="B49" s="33" t="s">
        <v>127</v>
      </c>
      <c r="C49" s="13" t="s">
        <v>9</v>
      </c>
      <c r="D49" s="13">
        <v>80.0</v>
      </c>
      <c r="E49" s="15">
        <v>210.0</v>
      </c>
      <c r="F49" s="13" t="s">
        <v>21</v>
      </c>
      <c r="G49" s="24" t="s">
        <v>89</v>
      </c>
      <c r="H49" s="15">
        <v>900.0</v>
      </c>
      <c r="I49" s="20"/>
      <c r="J49" s="20">
        <f t="shared" si="1"/>
        <v>189</v>
      </c>
      <c r="K49" s="21"/>
      <c r="L49" s="22"/>
    </row>
    <row r="50" ht="22.5" customHeight="1">
      <c r="A50" s="28">
        <v>45905.0</v>
      </c>
      <c r="B50" s="33" t="s">
        <v>128</v>
      </c>
      <c r="C50" s="13" t="s">
        <v>9</v>
      </c>
      <c r="D50" s="13">
        <v>80.0</v>
      </c>
      <c r="E50" s="15">
        <v>170.0</v>
      </c>
      <c r="F50" s="13" t="s">
        <v>21</v>
      </c>
      <c r="G50" s="24" t="s">
        <v>89</v>
      </c>
      <c r="H50" s="15">
        <v>850.0</v>
      </c>
      <c r="I50" s="20"/>
      <c r="J50" s="20">
        <f t="shared" si="1"/>
        <v>144.5</v>
      </c>
      <c r="K50" s="21"/>
      <c r="L50" s="22"/>
    </row>
    <row r="51" ht="22.5" customHeight="1">
      <c r="A51" s="28">
        <v>45905.0</v>
      </c>
      <c r="B51" s="33" t="s">
        <v>129</v>
      </c>
      <c r="C51" s="13" t="s">
        <v>9</v>
      </c>
      <c r="D51" s="13">
        <v>80.0</v>
      </c>
      <c r="E51" s="15">
        <v>320.0</v>
      </c>
      <c r="F51" s="13" t="s">
        <v>21</v>
      </c>
      <c r="G51" s="24" t="s">
        <v>89</v>
      </c>
      <c r="H51" s="15">
        <v>700.0</v>
      </c>
      <c r="I51" s="20"/>
      <c r="J51" s="20">
        <f t="shared" si="1"/>
        <v>224</v>
      </c>
      <c r="K51" s="21"/>
      <c r="L51" s="22"/>
    </row>
    <row r="52" ht="22.5" customHeight="1">
      <c r="A52" s="28">
        <v>45908.0</v>
      </c>
      <c r="B52" s="33" t="s">
        <v>130</v>
      </c>
      <c r="C52" s="13" t="s">
        <v>9</v>
      </c>
      <c r="D52" s="13">
        <v>80.0</v>
      </c>
      <c r="E52" s="15">
        <v>125.0</v>
      </c>
      <c r="F52" s="13" t="s">
        <v>21</v>
      </c>
      <c r="G52" s="24" t="s">
        <v>89</v>
      </c>
      <c r="H52" s="15">
        <v>1590.0</v>
      </c>
      <c r="I52" s="20"/>
      <c r="J52" s="20">
        <f t="shared" si="1"/>
        <v>198.75</v>
      </c>
      <c r="K52" s="21"/>
      <c r="L52" s="22"/>
    </row>
    <row r="53" ht="22.5" customHeight="1">
      <c r="A53" s="28">
        <v>45908.0</v>
      </c>
      <c r="B53" s="15" t="s">
        <v>131</v>
      </c>
      <c r="C53" s="13" t="s">
        <v>9</v>
      </c>
      <c r="D53" s="13">
        <v>80.0</v>
      </c>
      <c r="E53" s="15">
        <v>125.0</v>
      </c>
      <c r="F53" s="13" t="s">
        <v>21</v>
      </c>
      <c r="G53" s="24" t="s">
        <v>89</v>
      </c>
      <c r="H53" s="15">
        <v>1050.0</v>
      </c>
      <c r="I53" s="20"/>
      <c r="J53" s="20">
        <f t="shared" si="1"/>
        <v>131.25</v>
      </c>
      <c r="K53" s="21"/>
      <c r="L53" s="22"/>
    </row>
    <row r="54" ht="22.5" customHeight="1">
      <c r="A54" s="28">
        <v>45908.0</v>
      </c>
      <c r="B54" s="15" t="s">
        <v>132</v>
      </c>
      <c r="C54" s="13" t="s">
        <v>9</v>
      </c>
      <c r="D54" s="13">
        <v>80.0</v>
      </c>
      <c r="E54" s="15">
        <v>125.0</v>
      </c>
      <c r="F54" s="13" t="s">
        <v>21</v>
      </c>
      <c r="G54" s="24" t="s">
        <v>89</v>
      </c>
      <c r="H54" s="15">
        <v>1310.0</v>
      </c>
      <c r="I54" s="20"/>
      <c r="J54" s="20">
        <f t="shared" si="1"/>
        <v>163.75</v>
      </c>
      <c r="K54" s="21"/>
      <c r="L54" s="22"/>
    </row>
    <row r="55" ht="22.5" customHeight="1">
      <c r="A55" s="36">
        <v>45909.0</v>
      </c>
      <c r="B55" s="15" t="s">
        <v>133</v>
      </c>
      <c r="C55" s="13" t="s">
        <v>54</v>
      </c>
      <c r="D55" s="13">
        <v>50.0</v>
      </c>
      <c r="E55" s="15">
        <v>240.0</v>
      </c>
      <c r="F55" s="13" t="s">
        <v>55</v>
      </c>
      <c r="G55" s="15" t="s">
        <v>134</v>
      </c>
      <c r="H55" s="15">
        <v>4350.0</v>
      </c>
      <c r="I55" s="20"/>
      <c r="J55" s="20">
        <f t="shared" si="1"/>
        <v>1044</v>
      </c>
      <c r="K55" s="21"/>
      <c r="L55" s="22"/>
    </row>
    <row r="56" ht="22.5" customHeight="1">
      <c r="A56" s="36">
        <v>45909.0</v>
      </c>
      <c r="B56" s="15" t="s">
        <v>135</v>
      </c>
      <c r="C56" s="13" t="s">
        <v>26</v>
      </c>
      <c r="D56" s="13">
        <v>80.0</v>
      </c>
      <c r="E56" s="15">
        <v>140.0</v>
      </c>
      <c r="F56" s="13" t="s">
        <v>27</v>
      </c>
      <c r="G56" s="15" t="s">
        <v>134</v>
      </c>
      <c r="H56" s="15">
        <v>734.0</v>
      </c>
      <c r="I56" s="20"/>
      <c r="J56" s="20">
        <f t="shared" si="1"/>
        <v>102.76</v>
      </c>
      <c r="K56" s="21"/>
      <c r="L56" s="22"/>
    </row>
    <row r="57" ht="22.5" customHeight="1">
      <c r="A57" s="36">
        <v>45909.0</v>
      </c>
      <c r="B57" s="15" t="s">
        <v>136</v>
      </c>
      <c r="C57" s="13" t="s">
        <v>9</v>
      </c>
      <c r="D57" s="13">
        <v>80.0</v>
      </c>
      <c r="E57" s="15">
        <v>140.0</v>
      </c>
      <c r="F57" s="13" t="s">
        <v>27</v>
      </c>
      <c r="G57" s="15" t="s">
        <v>99</v>
      </c>
      <c r="H57" s="21"/>
      <c r="I57" s="20"/>
      <c r="J57" s="20">
        <f t="shared" si="1"/>
        <v>0</v>
      </c>
      <c r="K57" s="15" t="s">
        <v>137</v>
      </c>
      <c r="L57" s="37"/>
    </row>
    <row r="58" ht="22.5" customHeight="1">
      <c r="A58" s="36">
        <v>45909.0</v>
      </c>
      <c r="B58" s="15" t="s">
        <v>138</v>
      </c>
      <c r="C58" s="13" t="s">
        <v>9</v>
      </c>
      <c r="D58" s="13">
        <v>80.0</v>
      </c>
      <c r="E58" s="15">
        <v>126.0</v>
      </c>
      <c r="F58" s="13" t="s">
        <v>27</v>
      </c>
      <c r="G58" s="15" t="s">
        <v>139</v>
      </c>
      <c r="H58" s="15">
        <v>350.0</v>
      </c>
      <c r="I58" s="20"/>
      <c r="J58" s="20">
        <f t="shared" si="1"/>
        <v>44.1</v>
      </c>
      <c r="K58" s="21"/>
      <c r="L58" s="22"/>
    </row>
    <row r="59" ht="22.5" customHeight="1">
      <c r="A59" s="36">
        <v>45909.0</v>
      </c>
      <c r="B59" s="15" t="s">
        <v>140</v>
      </c>
      <c r="C59" s="13" t="s">
        <v>9</v>
      </c>
      <c r="D59" s="13">
        <v>80.0</v>
      </c>
      <c r="E59" s="15">
        <v>160.0</v>
      </c>
      <c r="F59" s="13" t="s">
        <v>27</v>
      </c>
      <c r="G59" s="15" t="s">
        <v>99</v>
      </c>
      <c r="H59" s="15">
        <v>600.0</v>
      </c>
      <c r="I59" s="20"/>
      <c r="J59" s="20">
        <f t="shared" si="1"/>
        <v>96</v>
      </c>
      <c r="K59" s="21"/>
      <c r="L59" s="22"/>
    </row>
    <row r="60" ht="22.5" customHeight="1">
      <c r="A60" s="36">
        <v>45909.0</v>
      </c>
      <c r="B60" s="15" t="s">
        <v>141</v>
      </c>
      <c r="C60" s="13" t="s">
        <v>9</v>
      </c>
      <c r="D60" s="13">
        <v>80.0</v>
      </c>
      <c r="E60" s="15">
        <v>140.0</v>
      </c>
      <c r="F60" s="13" t="s">
        <v>27</v>
      </c>
      <c r="G60" s="15" t="s">
        <v>99</v>
      </c>
      <c r="H60" s="15">
        <v>500.0</v>
      </c>
      <c r="I60" s="20"/>
      <c r="J60" s="20">
        <f t="shared" si="1"/>
        <v>70</v>
      </c>
      <c r="K60" s="21"/>
      <c r="L60" s="22"/>
    </row>
    <row r="61" ht="22.5" customHeight="1">
      <c r="A61" s="36">
        <v>45909.0</v>
      </c>
      <c r="B61" s="15" t="s">
        <v>142</v>
      </c>
      <c r="C61" s="13" t="s">
        <v>9</v>
      </c>
      <c r="D61" s="13">
        <v>80.0</v>
      </c>
      <c r="E61" s="15">
        <v>140.0</v>
      </c>
      <c r="F61" s="13" t="s">
        <v>27</v>
      </c>
      <c r="G61" s="15" t="s">
        <v>99</v>
      </c>
      <c r="H61" s="15">
        <v>1360.0</v>
      </c>
      <c r="I61" s="20"/>
      <c r="J61" s="20">
        <f t="shared" si="1"/>
        <v>190.4</v>
      </c>
      <c r="K61" s="21"/>
      <c r="L61" s="22"/>
    </row>
    <row r="62" ht="22.5" customHeight="1">
      <c r="A62" s="28">
        <v>45910.0</v>
      </c>
      <c r="B62" s="15" t="s">
        <v>143</v>
      </c>
      <c r="C62" s="13" t="s">
        <v>43</v>
      </c>
      <c r="D62" s="38"/>
      <c r="E62" s="15">
        <v>167.0</v>
      </c>
      <c r="F62" s="13" t="s">
        <v>23</v>
      </c>
      <c r="G62" s="15" t="s">
        <v>99</v>
      </c>
      <c r="H62" s="15">
        <v>1350.0</v>
      </c>
      <c r="I62" s="20"/>
      <c r="J62" s="20">
        <f t="shared" si="1"/>
        <v>225.45</v>
      </c>
      <c r="K62" s="21"/>
      <c r="L62" s="22"/>
    </row>
    <row r="63" ht="22.5" customHeight="1">
      <c r="A63" s="28">
        <v>45910.0</v>
      </c>
      <c r="B63" s="15" t="s">
        <v>144</v>
      </c>
      <c r="C63" s="13" t="s">
        <v>9</v>
      </c>
      <c r="D63" s="13">
        <v>80.0</v>
      </c>
      <c r="E63" s="15">
        <v>320.0</v>
      </c>
      <c r="F63" s="13" t="s">
        <v>21</v>
      </c>
      <c r="G63" s="15" t="s">
        <v>89</v>
      </c>
      <c r="H63" s="21"/>
      <c r="I63" s="20"/>
      <c r="J63" s="20">
        <f t="shared" si="1"/>
        <v>0</v>
      </c>
      <c r="K63" s="15" t="s">
        <v>137</v>
      </c>
      <c r="L63" s="37"/>
    </row>
    <row r="64" ht="22.5" customHeight="1">
      <c r="A64" s="28">
        <v>45910.0</v>
      </c>
      <c r="B64" s="15" t="s">
        <v>145</v>
      </c>
      <c r="C64" s="13" t="s">
        <v>9</v>
      </c>
      <c r="D64" s="13">
        <v>80.0</v>
      </c>
      <c r="E64" s="15">
        <v>125.0</v>
      </c>
      <c r="F64" s="13" t="s">
        <v>21</v>
      </c>
      <c r="G64" s="15" t="s">
        <v>89</v>
      </c>
      <c r="H64" s="15">
        <v>700.0</v>
      </c>
      <c r="I64" s="20"/>
      <c r="J64" s="20">
        <f t="shared" si="1"/>
        <v>87.5</v>
      </c>
      <c r="K64" s="21"/>
      <c r="L64" s="22"/>
    </row>
    <row r="65" ht="22.5" customHeight="1">
      <c r="A65" s="28">
        <v>45910.0</v>
      </c>
      <c r="B65" s="15" t="s">
        <v>146</v>
      </c>
      <c r="C65" s="13" t="s">
        <v>9</v>
      </c>
      <c r="D65" s="13">
        <v>80.0</v>
      </c>
      <c r="E65" s="15">
        <v>190.0</v>
      </c>
      <c r="F65" s="13" t="s">
        <v>21</v>
      </c>
      <c r="G65" s="15" t="s">
        <v>125</v>
      </c>
      <c r="H65" s="15">
        <v>300.0</v>
      </c>
      <c r="I65" s="20"/>
      <c r="J65" s="20">
        <f t="shared" si="1"/>
        <v>57</v>
      </c>
      <c r="K65" s="21"/>
      <c r="L65" s="22"/>
    </row>
    <row r="66" ht="22.5" customHeight="1">
      <c r="A66" s="28">
        <v>45911.0</v>
      </c>
      <c r="B66" s="15" t="s">
        <v>147</v>
      </c>
      <c r="C66" s="13" t="s">
        <v>9</v>
      </c>
      <c r="D66" s="13">
        <v>80.0</v>
      </c>
      <c r="E66" s="15">
        <v>160.0</v>
      </c>
      <c r="F66" s="13" t="s">
        <v>27</v>
      </c>
      <c r="G66" s="15" t="s">
        <v>99</v>
      </c>
      <c r="H66" s="15">
        <v>200.0</v>
      </c>
      <c r="I66" s="20"/>
      <c r="J66" s="20">
        <f t="shared" si="1"/>
        <v>32</v>
      </c>
      <c r="K66" s="21"/>
      <c r="L66" s="22"/>
    </row>
    <row r="67" ht="22.5" customHeight="1">
      <c r="A67" s="28">
        <v>45911.0</v>
      </c>
      <c r="B67" s="15" t="s">
        <v>148</v>
      </c>
      <c r="C67" s="13" t="s">
        <v>9</v>
      </c>
      <c r="D67" s="13">
        <v>80.0</v>
      </c>
      <c r="E67" s="15">
        <v>160.0</v>
      </c>
      <c r="F67" s="13" t="s">
        <v>27</v>
      </c>
      <c r="G67" s="15" t="s">
        <v>99</v>
      </c>
      <c r="H67" s="15">
        <v>500.0</v>
      </c>
      <c r="I67" s="20"/>
      <c r="J67" s="20">
        <f t="shared" si="1"/>
        <v>80</v>
      </c>
      <c r="K67" s="21"/>
      <c r="L67" s="22"/>
    </row>
    <row r="68" ht="22.5" customHeight="1">
      <c r="A68" s="28">
        <v>45911.0</v>
      </c>
      <c r="B68" s="15" t="s">
        <v>149</v>
      </c>
      <c r="C68" s="13" t="s">
        <v>9</v>
      </c>
      <c r="D68" s="13">
        <v>80.0</v>
      </c>
      <c r="E68" s="15">
        <v>160.0</v>
      </c>
      <c r="F68" s="13" t="s">
        <v>27</v>
      </c>
      <c r="G68" s="15" t="s">
        <v>99</v>
      </c>
      <c r="H68" s="21"/>
      <c r="I68" s="20"/>
      <c r="J68" s="20">
        <f t="shared" si="1"/>
        <v>0</v>
      </c>
      <c r="K68" s="15" t="s">
        <v>137</v>
      </c>
      <c r="L68" s="37"/>
    </row>
    <row r="69" ht="22.5" customHeight="1">
      <c r="A69" s="28">
        <v>45911.0</v>
      </c>
      <c r="B69" s="15" t="s">
        <v>150</v>
      </c>
      <c r="C69" s="13" t="s">
        <v>9</v>
      </c>
      <c r="D69" s="13">
        <v>80.0</v>
      </c>
      <c r="E69" s="15">
        <v>140.0</v>
      </c>
      <c r="F69" s="13" t="s">
        <v>27</v>
      </c>
      <c r="G69" s="15" t="s">
        <v>99</v>
      </c>
      <c r="H69" s="15">
        <v>380.0</v>
      </c>
      <c r="I69" s="20"/>
      <c r="J69" s="20">
        <f t="shared" si="1"/>
        <v>53.2</v>
      </c>
      <c r="K69" s="21"/>
      <c r="L69" s="22"/>
    </row>
    <row r="70" ht="22.5" customHeight="1">
      <c r="A70" s="36">
        <v>45912.0</v>
      </c>
      <c r="B70" s="15" t="s">
        <v>151</v>
      </c>
      <c r="C70" s="13" t="s">
        <v>9</v>
      </c>
      <c r="D70" s="13">
        <v>80.0</v>
      </c>
      <c r="E70" s="15">
        <v>230.0</v>
      </c>
      <c r="F70" s="13" t="s">
        <v>27</v>
      </c>
      <c r="G70" s="15" t="s">
        <v>99</v>
      </c>
      <c r="H70" s="15">
        <v>450.0</v>
      </c>
      <c r="I70" s="20"/>
      <c r="J70" s="20">
        <f t="shared" si="1"/>
        <v>103.5</v>
      </c>
      <c r="K70" s="21"/>
      <c r="L70" s="22"/>
    </row>
    <row r="71" ht="22.5" customHeight="1">
      <c r="A71" s="36">
        <v>45912.0</v>
      </c>
      <c r="B71" s="15" t="s">
        <v>152</v>
      </c>
      <c r="C71" s="13" t="s">
        <v>9</v>
      </c>
      <c r="D71" s="13">
        <v>80.0</v>
      </c>
      <c r="E71" s="15">
        <v>230.0</v>
      </c>
      <c r="F71" s="13" t="s">
        <v>27</v>
      </c>
      <c r="G71" s="15" t="s">
        <v>99</v>
      </c>
      <c r="H71" s="15">
        <v>1300.0</v>
      </c>
      <c r="I71" s="20"/>
      <c r="J71" s="20">
        <f t="shared" si="1"/>
        <v>299</v>
      </c>
      <c r="K71" s="21"/>
      <c r="L71" s="22"/>
    </row>
    <row r="72" ht="22.5" customHeight="1">
      <c r="A72" s="36">
        <v>45912.0</v>
      </c>
      <c r="B72" s="15" t="s">
        <v>153</v>
      </c>
      <c r="C72" s="13" t="s">
        <v>9</v>
      </c>
      <c r="D72" s="13">
        <v>80.0</v>
      </c>
      <c r="E72" s="15">
        <v>230.0</v>
      </c>
      <c r="F72" s="13" t="s">
        <v>27</v>
      </c>
      <c r="G72" s="15" t="s">
        <v>99</v>
      </c>
      <c r="H72" s="15">
        <v>700.0</v>
      </c>
      <c r="I72" s="20"/>
      <c r="J72" s="20">
        <f t="shared" si="1"/>
        <v>161</v>
      </c>
      <c r="K72" s="21"/>
      <c r="L72" s="22"/>
    </row>
    <row r="73" ht="22.5" customHeight="1">
      <c r="A73" s="36">
        <v>45912.0</v>
      </c>
      <c r="B73" s="15" t="s">
        <v>154</v>
      </c>
      <c r="C73" s="13" t="s">
        <v>9</v>
      </c>
      <c r="D73" s="13">
        <v>80.0</v>
      </c>
      <c r="E73" s="15">
        <v>210.0</v>
      </c>
      <c r="F73" s="13" t="s">
        <v>27</v>
      </c>
      <c r="G73" s="15" t="s">
        <v>99</v>
      </c>
      <c r="H73" s="15">
        <v>0.0</v>
      </c>
      <c r="I73" s="20"/>
      <c r="J73" s="20">
        <f t="shared" si="1"/>
        <v>0</v>
      </c>
      <c r="K73" s="15" t="s">
        <v>137</v>
      </c>
      <c r="L73" s="37"/>
    </row>
    <row r="74" ht="22.5" customHeight="1">
      <c r="A74" s="36">
        <v>45912.0</v>
      </c>
      <c r="B74" s="15" t="s">
        <v>154</v>
      </c>
      <c r="C74" s="13" t="s">
        <v>9</v>
      </c>
      <c r="D74" s="13">
        <v>80.0</v>
      </c>
      <c r="E74" s="15">
        <v>195.0</v>
      </c>
      <c r="F74" s="13" t="s">
        <v>27</v>
      </c>
      <c r="G74" s="15" t="s">
        <v>99</v>
      </c>
      <c r="H74" s="15">
        <v>0.0</v>
      </c>
      <c r="I74" s="20"/>
      <c r="J74" s="20">
        <f t="shared" si="1"/>
        <v>0</v>
      </c>
      <c r="K74" s="21"/>
      <c r="L74" s="22"/>
    </row>
    <row r="75" ht="22.5" customHeight="1">
      <c r="A75" s="36">
        <v>45912.0</v>
      </c>
      <c r="B75" s="15" t="s">
        <v>154</v>
      </c>
      <c r="C75" s="13" t="s">
        <v>9</v>
      </c>
      <c r="D75" s="13">
        <v>80.0</v>
      </c>
      <c r="E75" s="15">
        <v>200.0</v>
      </c>
      <c r="F75" s="13" t="s">
        <v>27</v>
      </c>
      <c r="G75" s="15" t="s">
        <v>99</v>
      </c>
      <c r="H75" s="15">
        <v>0.0</v>
      </c>
      <c r="I75" s="20"/>
      <c r="J75" s="20">
        <f t="shared" si="1"/>
        <v>0</v>
      </c>
      <c r="K75" s="21"/>
      <c r="L75" s="22"/>
    </row>
    <row r="76" ht="22.5" customHeight="1">
      <c r="A76" s="36">
        <v>45912.0</v>
      </c>
      <c r="B76" s="15" t="s">
        <v>155</v>
      </c>
      <c r="C76" s="13" t="s">
        <v>9</v>
      </c>
      <c r="D76" s="13">
        <v>80.0</v>
      </c>
      <c r="E76" s="15">
        <v>126.0</v>
      </c>
      <c r="F76" s="13" t="s">
        <v>27</v>
      </c>
      <c r="G76" s="15" t="s">
        <v>99</v>
      </c>
      <c r="H76" s="15">
        <v>580.0</v>
      </c>
      <c r="I76" s="20"/>
      <c r="J76" s="20">
        <f t="shared" si="1"/>
        <v>73.08</v>
      </c>
      <c r="K76" s="21"/>
      <c r="L76" s="22"/>
    </row>
    <row r="77" ht="22.5" customHeight="1">
      <c r="A77" s="36">
        <v>45912.0</v>
      </c>
      <c r="B77" s="15" t="s">
        <v>156</v>
      </c>
      <c r="C77" s="13" t="s">
        <v>9</v>
      </c>
      <c r="D77" s="13">
        <v>80.0</v>
      </c>
      <c r="E77" s="15">
        <v>140.0</v>
      </c>
      <c r="F77" s="13" t="s">
        <v>27</v>
      </c>
      <c r="G77" s="15" t="s">
        <v>99</v>
      </c>
      <c r="H77" s="15">
        <v>0.0</v>
      </c>
      <c r="I77" s="20"/>
      <c r="J77" s="20">
        <f t="shared" si="1"/>
        <v>0</v>
      </c>
      <c r="K77" s="21"/>
      <c r="L77" s="22"/>
    </row>
    <row r="78" ht="22.5" customHeight="1">
      <c r="A78" s="36">
        <v>45912.0</v>
      </c>
      <c r="B78" s="15" t="s">
        <v>157</v>
      </c>
      <c r="C78" s="13" t="s">
        <v>9</v>
      </c>
      <c r="D78" s="13">
        <v>80.0</v>
      </c>
      <c r="E78" s="15">
        <v>140.0</v>
      </c>
      <c r="F78" s="13" t="s">
        <v>27</v>
      </c>
      <c r="G78" s="15" t="s">
        <v>99</v>
      </c>
      <c r="H78" s="15">
        <v>1360.0</v>
      </c>
      <c r="I78" s="20"/>
      <c r="J78" s="20">
        <f t="shared" si="1"/>
        <v>190.4</v>
      </c>
      <c r="K78" s="21"/>
      <c r="L78" s="22"/>
    </row>
    <row r="79" ht="22.5" customHeight="1">
      <c r="A79" s="36">
        <v>45912.0</v>
      </c>
      <c r="B79" s="15" t="s">
        <v>158</v>
      </c>
      <c r="C79" s="13" t="s">
        <v>9</v>
      </c>
      <c r="D79" s="13">
        <v>80.0</v>
      </c>
      <c r="E79" s="15">
        <v>230.0</v>
      </c>
      <c r="F79" s="13" t="s">
        <v>27</v>
      </c>
      <c r="G79" s="15" t="s">
        <v>99</v>
      </c>
      <c r="H79" s="15">
        <v>100.0</v>
      </c>
      <c r="I79" s="20"/>
      <c r="J79" s="20">
        <f t="shared" si="1"/>
        <v>23</v>
      </c>
      <c r="K79" s="21"/>
      <c r="L79" s="22"/>
    </row>
    <row r="80" ht="22.5" customHeight="1">
      <c r="A80" s="36">
        <v>45912.0</v>
      </c>
      <c r="B80" s="15" t="s">
        <v>159</v>
      </c>
      <c r="C80" s="13" t="s">
        <v>9</v>
      </c>
      <c r="D80" s="13">
        <v>80.0</v>
      </c>
      <c r="E80" s="15">
        <v>230.0</v>
      </c>
      <c r="F80" s="13" t="s">
        <v>27</v>
      </c>
      <c r="G80" s="15" t="s">
        <v>99</v>
      </c>
      <c r="H80" s="15">
        <v>280.0</v>
      </c>
      <c r="I80" s="20"/>
      <c r="J80" s="20">
        <f t="shared" si="1"/>
        <v>64.4</v>
      </c>
      <c r="K80" s="21"/>
      <c r="L80" s="22"/>
    </row>
    <row r="81" ht="22.5" customHeight="1">
      <c r="A81" s="36">
        <v>45912.0</v>
      </c>
      <c r="B81" s="15" t="s">
        <v>160</v>
      </c>
      <c r="C81" s="13" t="s">
        <v>9</v>
      </c>
      <c r="D81" s="13">
        <v>80.0</v>
      </c>
      <c r="E81" s="15">
        <v>230.0</v>
      </c>
      <c r="F81" s="13" t="s">
        <v>27</v>
      </c>
      <c r="G81" s="15" t="s">
        <v>99</v>
      </c>
      <c r="H81" s="15">
        <v>900.0</v>
      </c>
      <c r="I81" s="20"/>
      <c r="J81" s="20">
        <f t="shared" si="1"/>
        <v>207</v>
      </c>
      <c r="K81" s="21"/>
      <c r="L81" s="22"/>
    </row>
    <row r="82" ht="22.5" customHeight="1">
      <c r="A82" s="28">
        <v>45913.0</v>
      </c>
      <c r="B82" s="15" t="s">
        <v>161</v>
      </c>
      <c r="C82" s="13" t="s">
        <v>9</v>
      </c>
      <c r="D82" s="13">
        <v>80.0</v>
      </c>
      <c r="E82" s="15">
        <v>260.0</v>
      </c>
      <c r="F82" s="13" t="s">
        <v>27</v>
      </c>
      <c r="G82" s="15" t="s">
        <v>99</v>
      </c>
      <c r="H82" s="15">
        <v>150.0</v>
      </c>
      <c r="I82" s="20"/>
      <c r="J82" s="20">
        <f t="shared" si="1"/>
        <v>39</v>
      </c>
      <c r="K82" s="21"/>
      <c r="L82" s="22"/>
    </row>
    <row r="83" ht="22.5" customHeight="1">
      <c r="A83" s="28">
        <v>45913.0</v>
      </c>
      <c r="B83" s="15" t="s">
        <v>162</v>
      </c>
      <c r="C83" s="13" t="s">
        <v>9</v>
      </c>
      <c r="D83" s="13">
        <v>80.0</v>
      </c>
      <c r="E83" s="15">
        <v>126.0</v>
      </c>
      <c r="F83" s="13" t="s">
        <v>27</v>
      </c>
      <c r="G83" s="15" t="s">
        <v>99</v>
      </c>
      <c r="H83" s="15">
        <v>400.0</v>
      </c>
      <c r="I83" s="20"/>
      <c r="J83" s="20">
        <f t="shared" si="1"/>
        <v>50.4</v>
      </c>
      <c r="K83" s="21"/>
      <c r="L83" s="22"/>
    </row>
    <row r="84" ht="22.5" customHeight="1">
      <c r="A84" s="28">
        <v>45913.0</v>
      </c>
      <c r="B84" s="15" t="s">
        <v>163</v>
      </c>
      <c r="C84" s="13" t="s">
        <v>9</v>
      </c>
      <c r="D84" s="13">
        <v>80.0</v>
      </c>
      <c r="E84" s="15">
        <v>140.0</v>
      </c>
      <c r="F84" s="13" t="s">
        <v>27</v>
      </c>
      <c r="G84" s="15" t="s">
        <v>99</v>
      </c>
      <c r="H84" s="15">
        <v>150.0</v>
      </c>
      <c r="I84" s="20"/>
      <c r="J84" s="20">
        <f t="shared" si="1"/>
        <v>21</v>
      </c>
      <c r="K84" s="21"/>
      <c r="L84" s="22"/>
    </row>
    <row r="85" ht="22.5" customHeight="1">
      <c r="A85" s="28">
        <v>45913.0</v>
      </c>
      <c r="B85" s="15" t="s">
        <v>164</v>
      </c>
      <c r="C85" s="13" t="s">
        <v>9</v>
      </c>
      <c r="D85" s="13">
        <v>80.0</v>
      </c>
      <c r="E85" s="15">
        <v>160.0</v>
      </c>
      <c r="F85" s="13" t="s">
        <v>27</v>
      </c>
      <c r="G85" s="15" t="s">
        <v>99</v>
      </c>
      <c r="H85" s="21"/>
      <c r="I85" s="20"/>
      <c r="J85" s="20">
        <f t="shared" si="1"/>
        <v>0</v>
      </c>
      <c r="K85" s="15" t="s">
        <v>137</v>
      </c>
      <c r="L85" s="37"/>
    </row>
    <row r="86" ht="22.5" customHeight="1">
      <c r="A86" s="28">
        <v>45915.0</v>
      </c>
      <c r="B86" s="15" t="s">
        <v>165</v>
      </c>
      <c r="C86" s="13" t="s">
        <v>9</v>
      </c>
      <c r="D86" s="13">
        <v>80.0</v>
      </c>
      <c r="E86" s="15">
        <v>330.0</v>
      </c>
      <c r="F86" s="13" t="s">
        <v>21</v>
      </c>
      <c r="G86" s="15" t="s">
        <v>166</v>
      </c>
      <c r="H86" s="21"/>
      <c r="I86" s="20"/>
      <c r="J86" s="20">
        <f t="shared" si="1"/>
        <v>0</v>
      </c>
      <c r="K86" s="15" t="s">
        <v>137</v>
      </c>
      <c r="L86" s="37"/>
    </row>
    <row r="87" ht="22.5" customHeight="1">
      <c r="A87" s="28">
        <v>45915.0</v>
      </c>
      <c r="B87" s="15" t="s">
        <v>167</v>
      </c>
      <c r="C87" s="13" t="s">
        <v>9</v>
      </c>
      <c r="D87" s="13">
        <v>80.0</v>
      </c>
      <c r="E87" s="15">
        <v>160.0</v>
      </c>
      <c r="F87" s="13" t="s">
        <v>21</v>
      </c>
      <c r="G87" s="15" t="s">
        <v>89</v>
      </c>
      <c r="H87" s="21"/>
      <c r="I87" s="20"/>
      <c r="J87" s="20">
        <f t="shared" si="1"/>
        <v>0</v>
      </c>
      <c r="K87" s="15" t="s">
        <v>137</v>
      </c>
      <c r="L87" s="37"/>
    </row>
    <row r="88" ht="22.5" customHeight="1">
      <c r="A88" s="28">
        <v>45915.0</v>
      </c>
      <c r="B88" s="15" t="s">
        <v>168</v>
      </c>
      <c r="C88" s="13" t="s">
        <v>9</v>
      </c>
      <c r="D88" s="13">
        <v>80.0</v>
      </c>
      <c r="E88" s="15">
        <v>160.0</v>
      </c>
      <c r="F88" s="13" t="s">
        <v>27</v>
      </c>
      <c r="G88" s="15" t="s">
        <v>99</v>
      </c>
      <c r="H88" s="21"/>
      <c r="I88" s="20"/>
      <c r="J88" s="20">
        <f t="shared" si="1"/>
        <v>0</v>
      </c>
      <c r="K88" s="15" t="s">
        <v>137</v>
      </c>
      <c r="L88" s="37"/>
    </row>
    <row r="89" ht="22.5" customHeight="1">
      <c r="A89" s="28">
        <v>45915.0</v>
      </c>
      <c r="B89" s="15" t="s">
        <v>169</v>
      </c>
      <c r="C89" s="13" t="s">
        <v>9</v>
      </c>
      <c r="D89" s="13">
        <v>80.0</v>
      </c>
      <c r="E89" s="15">
        <v>160.0</v>
      </c>
      <c r="F89" s="13" t="s">
        <v>33</v>
      </c>
      <c r="G89" s="15" t="s">
        <v>170</v>
      </c>
      <c r="H89" s="15">
        <v>830.0</v>
      </c>
      <c r="I89" s="20"/>
      <c r="J89" s="20">
        <f t="shared" si="1"/>
        <v>132.8</v>
      </c>
      <c r="K89" s="21"/>
      <c r="L89" s="22"/>
    </row>
    <row r="90" ht="22.5" customHeight="1">
      <c r="A90" s="28">
        <v>45915.0</v>
      </c>
      <c r="B90" s="15" t="s">
        <v>171</v>
      </c>
      <c r="C90" s="13" t="s">
        <v>9</v>
      </c>
      <c r="D90" s="13">
        <v>80.0</v>
      </c>
      <c r="E90" s="15">
        <v>160.0</v>
      </c>
      <c r="F90" s="13" t="s">
        <v>33</v>
      </c>
      <c r="G90" s="15" t="s">
        <v>170</v>
      </c>
      <c r="H90" s="15">
        <v>1100.0</v>
      </c>
      <c r="I90" s="20"/>
      <c r="J90" s="20">
        <f t="shared" si="1"/>
        <v>176</v>
      </c>
      <c r="K90" s="21"/>
      <c r="L90" s="22"/>
    </row>
    <row r="91" ht="22.5" customHeight="1">
      <c r="A91" s="28">
        <v>45915.0</v>
      </c>
      <c r="B91" s="15" t="s">
        <v>172</v>
      </c>
      <c r="C91" s="13" t="s">
        <v>9</v>
      </c>
      <c r="D91" s="13">
        <v>80.0</v>
      </c>
      <c r="E91" s="15">
        <v>160.0</v>
      </c>
      <c r="F91" s="38"/>
      <c r="G91" s="15" t="s">
        <v>170</v>
      </c>
      <c r="H91" s="15">
        <v>580.0</v>
      </c>
      <c r="I91" s="20"/>
      <c r="J91" s="20">
        <f t="shared" si="1"/>
        <v>92.8</v>
      </c>
      <c r="K91" s="21"/>
      <c r="L91" s="22"/>
    </row>
    <row r="92" ht="22.5" customHeight="1">
      <c r="A92" s="28">
        <v>45916.0</v>
      </c>
      <c r="B92" s="15" t="s">
        <v>173</v>
      </c>
      <c r="C92" s="13" t="s">
        <v>43</v>
      </c>
      <c r="D92" s="38"/>
      <c r="E92" s="15">
        <v>100.0</v>
      </c>
      <c r="F92" s="13" t="s">
        <v>21</v>
      </c>
      <c r="G92" s="15" t="s">
        <v>89</v>
      </c>
      <c r="H92" s="15">
        <v>1760.0</v>
      </c>
      <c r="I92" s="20"/>
      <c r="J92" s="20">
        <f t="shared" si="1"/>
        <v>176</v>
      </c>
      <c r="K92" s="21"/>
      <c r="L92" s="22"/>
    </row>
    <row r="93" ht="22.5" customHeight="1">
      <c r="A93" s="28">
        <v>45916.0</v>
      </c>
      <c r="B93" s="15" t="s">
        <v>174</v>
      </c>
      <c r="C93" s="13" t="s">
        <v>43</v>
      </c>
      <c r="D93" s="38"/>
      <c r="E93" s="15">
        <v>160.0</v>
      </c>
      <c r="F93" s="13" t="s">
        <v>21</v>
      </c>
      <c r="G93" s="15" t="s">
        <v>89</v>
      </c>
      <c r="H93" s="15">
        <v>1300.0</v>
      </c>
      <c r="I93" s="20"/>
      <c r="J93" s="20">
        <f t="shared" si="1"/>
        <v>208</v>
      </c>
      <c r="K93" s="21"/>
      <c r="L93" s="22"/>
    </row>
    <row r="94" ht="22.5" customHeight="1">
      <c r="A94" s="28">
        <v>45916.0</v>
      </c>
      <c r="B94" s="15" t="s">
        <v>175</v>
      </c>
      <c r="C94" s="13" t="s">
        <v>9</v>
      </c>
      <c r="D94" s="13">
        <v>80.0</v>
      </c>
      <c r="E94" s="15">
        <v>160.0</v>
      </c>
      <c r="F94" s="13" t="s">
        <v>27</v>
      </c>
      <c r="G94" s="15" t="s">
        <v>176</v>
      </c>
      <c r="H94" s="15">
        <v>180.0</v>
      </c>
      <c r="I94" s="20"/>
      <c r="J94" s="20">
        <f t="shared" si="1"/>
        <v>28.8</v>
      </c>
      <c r="K94" s="21"/>
      <c r="L94" s="22"/>
    </row>
    <row r="95" ht="22.5" customHeight="1">
      <c r="A95" s="28">
        <v>45916.0</v>
      </c>
      <c r="B95" s="15" t="s">
        <v>177</v>
      </c>
      <c r="C95" s="13" t="s">
        <v>9</v>
      </c>
      <c r="D95" s="13">
        <v>80.0</v>
      </c>
      <c r="E95" s="15">
        <v>185.0</v>
      </c>
      <c r="F95" s="13" t="s">
        <v>27</v>
      </c>
      <c r="G95" s="15" t="s">
        <v>99</v>
      </c>
      <c r="H95" s="15">
        <v>1000.0</v>
      </c>
      <c r="I95" s="20"/>
      <c r="J95" s="20">
        <f t="shared" si="1"/>
        <v>185</v>
      </c>
      <c r="K95" s="21"/>
      <c r="L95" s="22"/>
    </row>
    <row r="96" ht="22.5" customHeight="1">
      <c r="A96" s="28">
        <v>45917.0</v>
      </c>
      <c r="B96" s="15" t="s">
        <v>178</v>
      </c>
      <c r="C96" s="13" t="s">
        <v>9</v>
      </c>
      <c r="D96" s="13">
        <v>80.0</v>
      </c>
      <c r="E96" s="15">
        <v>290.0</v>
      </c>
      <c r="F96" s="13" t="s">
        <v>21</v>
      </c>
      <c r="G96" s="15" t="s">
        <v>89</v>
      </c>
      <c r="H96" s="21"/>
      <c r="I96" s="20"/>
      <c r="J96" s="20">
        <f t="shared" si="1"/>
        <v>0</v>
      </c>
      <c r="K96" s="15" t="s">
        <v>137</v>
      </c>
      <c r="L96" s="37"/>
    </row>
    <row r="97" ht="22.5" customHeight="1">
      <c r="A97" s="28">
        <v>45917.0</v>
      </c>
      <c r="B97" s="15" t="s">
        <v>179</v>
      </c>
      <c r="C97" s="13" t="s">
        <v>9</v>
      </c>
      <c r="D97" s="13">
        <v>80.0</v>
      </c>
      <c r="E97" s="15">
        <v>125.0</v>
      </c>
      <c r="F97" s="13" t="s">
        <v>21</v>
      </c>
      <c r="G97" s="15" t="s">
        <v>89</v>
      </c>
      <c r="H97" s="15">
        <v>900.0</v>
      </c>
      <c r="I97" s="20"/>
      <c r="J97" s="20">
        <f t="shared" si="1"/>
        <v>112.5</v>
      </c>
      <c r="K97" s="21"/>
      <c r="L97" s="22"/>
    </row>
    <row r="98" ht="22.5" customHeight="1">
      <c r="A98" s="28">
        <v>45917.0</v>
      </c>
      <c r="B98" s="15" t="s">
        <v>180</v>
      </c>
      <c r="C98" s="13" t="s">
        <v>9</v>
      </c>
      <c r="D98" s="13">
        <v>80.0</v>
      </c>
      <c r="E98" s="15">
        <v>320.0</v>
      </c>
      <c r="F98" s="13" t="s">
        <v>21</v>
      </c>
      <c r="G98" s="15" t="s">
        <v>89</v>
      </c>
      <c r="H98" s="15">
        <v>1240.0</v>
      </c>
      <c r="I98" s="20"/>
      <c r="J98" s="20">
        <f t="shared" si="1"/>
        <v>396.8</v>
      </c>
      <c r="K98" s="21"/>
      <c r="L98" s="22"/>
    </row>
    <row r="99" ht="22.5" customHeight="1">
      <c r="A99" s="28">
        <v>45917.0</v>
      </c>
      <c r="B99" s="15" t="s">
        <v>181</v>
      </c>
      <c r="C99" s="13" t="s">
        <v>26</v>
      </c>
      <c r="D99" s="13">
        <v>80.0</v>
      </c>
      <c r="E99" s="15">
        <v>140.0</v>
      </c>
      <c r="F99" s="13" t="s">
        <v>27</v>
      </c>
      <c r="G99" s="15" t="s">
        <v>99</v>
      </c>
      <c r="H99" s="21"/>
      <c r="I99" s="20"/>
      <c r="J99" s="20">
        <f t="shared" si="1"/>
        <v>0</v>
      </c>
      <c r="K99" s="15" t="s">
        <v>137</v>
      </c>
      <c r="L99" s="37"/>
    </row>
    <row r="100" ht="22.5" customHeight="1">
      <c r="A100" s="28">
        <v>45917.0</v>
      </c>
      <c r="B100" s="15" t="s">
        <v>182</v>
      </c>
      <c r="C100" s="13" t="s">
        <v>26</v>
      </c>
      <c r="D100" s="13">
        <v>80.0</v>
      </c>
      <c r="E100" s="15">
        <v>280.0</v>
      </c>
      <c r="F100" s="13" t="s">
        <v>27</v>
      </c>
      <c r="G100" s="15" t="s">
        <v>89</v>
      </c>
      <c r="H100" s="21"/>
      <c r="I100" s="20"/>
      <c r="J100" s="20">
        <f t="shared" si="1"/>
        <v>0</v>
      </c>
      <c r="K100" s="15" t="s">
        <v>137</v>
      </c>
      <c r="L100" s="37"/>
    </row>
    <row r="101" ht="22.5" customHeight="1">
      <c r="A101" s="28">
        <v>45917.0</v>
      </c>
      <c r="B101" s="15" t="s">
        <v>183</v>
      </c>
      <c r="C101" s="13" t="s">
        <v>9</v>
      </c>
      <c r="D101" s="13">
        <v>80.0</v>
      </c>
      <c r="E101" s="15">
        <v>180.0</v>
      </c>
      <c r="F101" s="13" t="s">
        <v>21</v>
      </c>
      <c r="G101" s="15" t="s">
        <v>89</v>
      </c>
      <c r="H101" s="21"/>
      <c r="I101" s="20"/>
      <c r="J101" s="20">
        <f t="shared" si="1"/>
        <v>0</v>
      </c>
      <c r="K101" s="15" t="s">
        <v>137</v>
      </c>
      <c r="L101" s="37"/>
    </row>
    <row r="102" ht="22.5" customHeight="1">
      <c r="A102" s="28">
        <v>45917.0</v>
      </c>
      <c r="B102" s="15" t="s">
        <v>184</v>
      </c>
      <c r="C102" s="13" t="s">
        <v>9</v>
      </c>
      <c r="D102" s="13">
        <v>80.0</v>
      </c>
      <c r="E102" s="15">
        <v>290.0</v>
      </c>
      <c r="F102" s="13" t="s">
        <v>21</v>
      </c>
      <c r="G102" s="15" t="s">
        <v>89</v>
      </c>
      <c r="H102" s="15">
        <v>1200.0</v>
      </c>
      <c r="I102" s="20"/>
      <c r="J102" s="20">
        <f t="shared" si="1"/>
        <v>348</v>
      </c>
      <c r="K102" s="21"/>
      <c r="L102" s="22"/>
    </row>
    <row r="103" ht="22.5" customHeight="1">
      <c r="A103" s="28">
        <v>45917.0</v>
      </c>
      <c r="B103" s="15" t="s">
        <v>185</v>
      </c>
      <c r="C103" s="13" t="s">
        <v>9</v>
      </c>
      <c r="D103" s="13">
        <v>80.0</v>
      </c>
      <c r="E103" s="15">
        <v>290.0</v>
      </c>
      <c r="F103" s="13" t="s">
        <v>21</v>
      </c>
      <c r="G103" s="15" t="s">
        <v>89</v>
      </c>
      <c r="H103" s="15">
        <v>200.0</v>
      </c>
      <c r="I103" s="20"/>
      <c r="J103" s="20">
        <f t="shared" si="1"/>
        <v>58</v>
      </c>
      <c r="K103" s="21"/>
      <c r="L103" s="22"/>
    </row>
    <row r="104" ht="22.5" customHeight="1">
      <c r="A104" s="28">
        <v>45917.0</v>
      </c>
      <c r="B104" s="15" t="s">
        <v>186</v>
      </c>
      <c r="C104" s="13" t="s">
        <v>9</v>
      </c>
      <c r="D104" s="13">
        <v>80.0</v>
      </c>
      <c r="E104" s="15">
        <v>210.0</v>
      </c>
      <c r="F104" s="13" t="s">
        <v>21</v>
      </c>
      <c r="G104" s="15" t="s">
        <v>89</v>
      </c>
      <c r="H104" s="15">
        <v>1800.0</v>
      </c>
      <c r="I104" s="20"/>
      <c r="J104" s="20">
        <f t="shared" si="1"/>
        <v>378</v>
      </c>
      <c r="K104" s="21"/>
      <c r="L104" s="22"/>
    </row>
    <row r="105" ht="22.5" customHeight="1">
      <c r="A105" s="28">
        <v>45918.0</v>
      </c>
      <c r="B105" s="15" t="s">
        <v>187</v>
      </c>
      <c r="C105" s="13" t="s">
        <v>9</v>
      </c>
      <c r="D105" s="13">
        <v>80.0</v>
      </c>
      <c r="E105" s="15">
        <v>160.0</v>
      </c>
      <c r="F105" s="13" t="s">
        <v>21</v>
      </c>
      <c r="G105" s="15" t="s">
        <v>89</v>
      </c>
      <c r="H105" s="15">
        <v>550.0</v>
      </c>
      <c r="I105" s="20"/>
      <c r="J105" s="20">
        <f t="shared" si="1"/>
        <v>88</v>
      </c>
      <c r="K105" s="21"/>
      <c r="L105" s="22"/>
    </row>
    <row r="106" ht="22.5" customHeight="1">
      <c r="A106" s="28">
        <v>45918.0</v>
      </c>
      <c r="B106" s="15" t="s">
        <v>188</v>
      </c>
      <c r="C106" s="13" t="s">
        <v>43</v>
      </c>
      <c r="D106" s="13">
        <v>50.0</v>
      </c>
      <c r="E106" s="15">
        <v>160.0</v>
      </c>
      <c r="F106" s="13" t="s">
        <v>21</v>
      </c>
      <c r="G106" s="15" t="s">
        <v>89</v>
      </c>
      <c r="H106" s="15">
        <v>300.0</v>
      </c>
      <c r="I106" s="20"/>
      <c r="J106" s="20">
        <f t="shared" si="1"/>
        <v>48</v>
      </c>
      <c r="K106" s="21"/>
      <c r="L106" s="22"/>
    </row>
    <row r="107" ht="22.5" customHeight="1">
      <c r="A107" s="28">
        <v>45919.0</v>
      </c>
      <c r="B107" s="15" t="s">
        <v>189</v>
      </c>
      <c r="C107" s="13" t="s">
        <v>9</v>
      </c>
      <c r="D107" s="13">
        <v>80.0</v>
      </c>
      <c r="E107" s="15">
        <v>330.0</v>
      </c>
      <c r="F107" s="13" t="s">
        <v>21</v>
      </c>
      <c r="G107" s="15" t="s">
        <v>89</v>
      </c>
      <c r="H107" s="15">
        <v>700.0</v>
      </c>
      <c r="I107" s="20"/>
      <c r="J107" s="20">
        <f t="shared" si="1"/>
        <v>231</v>
      </c>
      <c r="K107" s="21"/>
      <c r="L107" s="22"/>
    </row>
    <row r="108" ht="22.5" customHeight="1">
      <c r="A108" s="28">
        <v>45919.0</v>
      </c>
      <c r="B108" s="15" t="s">
        <v>190</v>
      </c>
      <c r="C108" s="13" t="s">
        <v>9</v>
      </c>
      <c r="D108" s="13">
        <v>80.0</v>
      </c>
      <c r="E108" s="15">
        <v>180.0</v>
      </c>
      <c r="F108" s="13" t="s">
        <v>21</v>
      </c>
      <c r="G108" s="15" t="s">
        <v>89</v>
      </c>
      <c r="H108" s="15">
        <v>1450.0</v>
      </c>
      <c r="I108" s="20"/>
      <c r="J108" s="20">
        <f t="shared" si="1"/>
        <v>261</v>
      </c>
      <c r="K108" s="21"/>
      <c r="L108" s="22"/>
    </row>
    <row r="109" ht="22.5" customHeight="1">
      <c r="A109" s="28">
        <v>45919.0</v>
      </c>
      <c r="B109" s="15" t="s">
        <v>191</v>
      </c>
      <c r="C109" s="13" t="s">
        <v>9</v>
      </c>
      <c r="D109" s="13">
        <v>80.0</v>
      </c>
      <c r="E109" s="15">
        <v>125.0</v>
      </c>
      <c r="F109" s="13" t="s">
        <v>21</v>
      </c>
      <c r="G109" s="15" t="s">
        <v>89</v>
      </c>
      <c r="H109" s="15">
        <v>0.0</v>
      </c>
      <c r="I109" s="20"/>
      <c r="J109" s="20">
        <f t="shared" si="1"/>
        <v>0</v>
      </c>
      <c r="K109" s="15" t="s">
        <v>137</v>
      </c>
      <c r="L109" s="37"/>
    </row>
    <row r="110" ht="22.5" customHeight="1">
      <c r="A110" s="28">
        <v>45919.0</v>
      </c>
      <c r="B110" s="15" t="s">
        <v>192</v>
      </c>
      <c r="C110" s="13" t="s">
        <v>9</v>
      </c>
      <c r="D110" s="13">
        <v>80.0</v>
      </c>
      <c r="E110" s="15">
        <v>230.0</v>
      </c>
      <c r="F110" s="13" t="s">
        <v>21</v>
      </c>
      <c r="G110" s="15" t="s">
        <v>193</v>
      </c>
      <c r="H110" s="15">
        <v>1000.0</v>
      </c>
      <c r="I110" s="20"/>
      <c r="J110" s="20">
        <f t="shared" si="1"/>
        <v>230</v>
      </c>
      <c r="K110" s="21"/>
      <c r="L110" s="22"/>
    </row>
    <row r="111" ht="22.5" customHeight="1">
      <c r="A111" s="28">
        <v>45919.0</v>
      </c>
      <c r="B111" s="15" t="s">
        <v>194</v>
      </c>
      <c r="C111" s="13" t="s">
        <v>9</v>
      </c>
      <c r="D111" s="13">
        <v>80.0</v>
      </c>
      <c r="E111" s="15">
        <v>250.0</v>
      </c>
      <c r="F111" s="13" t="s">
        <v>21</v>
      </c>
      <c r="G111" s="15" t="s">
        <v>89</v>
      </c>
      <c r="H111" s="15">
        <v>850.0</v>
      </c>
      <c r="I111" s="20"/>
      <c r="J111" s="20">
        <f t="shared" si="1"/>
        <v>212.5</v>
      </c>
      <c r="K111" s="21"/>
      <c r="L111" s="22"/>
    </row>
    <row r="112" ht="22.5" customHeight="1">
      <c r="A112" s="28">
        <v>45919.0</v>
      </c>
      <c r="B112" s="15" t="s">
        <v>195</v>
      </c>
      <c r="C112" s="13" t="s">
        <v>9</v>
      </c>
      <c r="D112" s="13">
        <v>80.0</v>
      </c>
      <c r="E112" s="15">
        <v>170.0</v>
      </c>
      <c r="F112" s="13" t="s">
        <v>21</v>
      </c>
      <c r="G112" s="15" t="s">
        <v>89</v>
      </c>
      <c r="H112" s="15">
        <v>1450.0</v>
      </c>
      <c r="I112" s="20"/>
      <c r="J112" s="20">
        <f t="shared" si="1"/>
        <v>246.5</v>
      </c>
      <c r="K112" s="21"/>
      <c r="L112" s="22"/>
    </row>
    <row r="113" ht="22.5" customHeight="1">
      <c r="A113" s="28">
        <v>45919.0</v>
      </c>
      <c r="B113" s="15" t="s">
        <v>196</v>
      </c>
      <c r="C113" s="13" t="s">
        <v>9</v>
      </c>
      <c r="D113" s="13">
        <v>80.0</v>
      </c>
      <c r="E113" s="15">
        <v>160.0</v>
      </c>
      <c r="F113" s="13" t="s">
        <v>21</v>
      </c>
      <c r="G113" s="15" t="s">
        <v>89</v>
      </c>
      <c r="H113" s="15">
        <v>700.0</v>
      </c>
      <c r="I113" s="20"/>
      <c r="J113" s="20">
        <f t="shared" si="1"/>
        <v>112</v>
      </c>
      <c r="K113" s="21"/>
      <c r="L113" s="22"/>
    </row>
    <row r="114" ht="22.5" customHeight="1">
      <c r="A114" s="28">
        <v>45919.0</v>
      </c>
      <c r="B114" s="15" t="s">
        <v>197</v>
      </c>
      <c r="C114" s="13" t="s">
        <v>9</v>
      </c>
      <c r="D114" s="13">
        <v>80.0</v>
      </c>
      <c r="E114" s="15">
        <v>290.0</v>
      </c>
      <c r="F114" s="13" t="s">
        <v>21</v>
      </c>
      <c r="G114" s="15" t="s">
        <v>89</v>
      </c>
      <c r="H114" s="15">
        <v>1030.0</v>
      </c>
      <c r="I114" s="20"/>
      <c r="J114" s="20">
        <f t="shared" si="1"/>
        <v>298.7</v>
      </c>
      <c r="K114" s="21"/>
      <c r="L114" s="22"/>
    </row>
    <row r="115" ht="22.5" customHeight="1">
      <c r="A115" s="28">
        <v>45919.0</v>
      </c>
      <c r="B115" s="15" t="s">
        <v>198</v>
      </c>
      <c r="C115" s="13" t="s">
        <v>43</v>
      </c>
      <c r="D115" s="13">
        <v>50.0</v>
      </c>
      <c r="E115" s="15">
        <v>190.0</v>
      </c>
      <c r="F115" s="13" t="s">
        <v>27</v>
      </c>
      <c r="G115" s="15" t="s">
        <v>199</v>
      </c>
      <c r="H115" s="15">
        <v>100.0</v>
      </c>
      <c r="I115" s="20"/>
      <c r="J115" s="20">
        <f t="shared" si="1"/>
        <v>19</v>
      </c>
      <c r="K115" s="21"/>
      <c r="L115" s="22"/>
    </row>
    <row r="116" ht="22.5" customHeight="1">
      <c r="A116" s="28">
        <v>45920.0</v>
      </c>
      <c r="B116" s="15" t="s">
        <v>200</v>
      </c>
      <c r="C116" s="13" t="s">
        <v>9</v>
      </c>
      <c r="D116" s="13">
        <v>80.0</v>
      </c>
      <c r="E116" s="15">
        <v>230.0</v>
      </c>
      <c r="F116" s="13" t="s">
        <v>21</v>
      </c>
      <c r="G116" s="15" t="s">
        <v>193</v>
      </c>
      <c r="H116" s="15">
        <v>500.0</v>
      </c>
      <c r="I116" s="20"/>
      <c r="J116" s="20">
        <f t="shared" si="1"/>
        <v>115</v>
      </c>
      <c r="K116" s="21"/>
      <c r="L116" s="22"/>
    </row>
    <row r="117" ht="22.5" customHeight="1">
      <c r="A117" s="28">
        <v>45921.0</v>
      </c>
      <c r="B117" s="15" t="s">
        <v>201</v>
      </c>
      <c r="C117" s="13" t="s">
        <v>9</v>
      </c>
      <c r="D117" s="13">
        <v>80.0</v>
      </c>
      <c r="E117" s="15">
        <v>250.0</v>
      </c>
      <c r="F117" s="13" t="s">
        <v>21</v>
      </c>
      <c r="G117" s="15" t="s">
        <v>193</v>
      </c>
      <c r="H117" s="21"/>
      <c r="I117" s="20"/>
      <c r="J117" s="20">
        <f t="shared" si="1"/>
        <v>0</v>
      </c>
      <c r="K117" s="15" t="s">
        <v>137</v>
      </c>
      <c r="L117" s="37"/>
    </row>
    <row r="118" ht="22.5" customHeight="1">
      <c r="A118" s="28">
        <v>45921.0</v>
      </c>
      <c r="B118" s="15" t="s">
        <v>201</v>
      </c>
      <c r="C118" s="13" t="s">
        <v>9</v>
      </c>
      <c r="D118" s="13">
        <v>80.0</v>
      </c>
      <c r="E118" s="15">
        <v>230.0</v>
      </c>
      <c r="F118" s="13" t="s">
        <v>21</v>
      </c>
      <c r="G118" s="15" t="s">
        <v>193</v>
      </c>
      <c r="H118" s="21"/>
      <c r="I118" s="20"/>
      <c r="J118" s="20">
        <f t="shared" si="1"/>
        <v>0</v>
      </c>
      <c r="K118" s="15" t="s">
        <v>137</v>
      </c>
      <c r="L118" s="37"/>
    </row>
    <row r="119" ht="22.5" customHeight="1">
      <c r="A119" s="28">
        <v>45920.0</v>
      </c>
      <c r="B119" s="15" t="s">
        <v>202</v>
      </c>
      <c r="C119" s="13" t="s">
        <v>9</v>
      </c>
      <c r="D119" s="13">
        <v>80.0</v>
      </c>
      <c r="E119" s="15">
        <v>170.0</v>
      </c>
      <c r="F119" s="13" t="s">
        <v>21</v>
      </c>
      <c r="G119" s="15" t="s">
        <v>89</v>
      </c>
      <c r="H119" s="15">
        <v>180.0</v>
      </c>
      <c r="I119" s="20"/>
      <c r="J119" s="20">
        <f t="shared" si="1"/>
        <v>30.6</v>
      </c>
      <c r="K119" s="21"/>
      <c r="L119" s="22"/>
    </row>
    <row r="120" ht="22.5" customHeight="1">
      <c r="A120" s="28">
        <v>45922.0</v>
      </c>
      <c r="B120" s="15" t="s">
        <v>203</v>
      </c>
      <c r="C120" s="13" t="s">
        <v>9</v>
      </c>
      <c r="D120" s="13">
        <v>80.0</v>
      </c>
      <c r="E120" s="15">
        <v>160.0</v>
      </c>
      <c r="F120" s="13" t="s">
        <v>21</v>
      </c>
      <c r="G120" s="15" t="s">
        <v>125</v>
      </c>
      <c r="H120" s="15">
        <v>300.0</v>
      </c>
      <c r="I120" s="20"/>
      <c r="J120" s="20">
        <f t="shared" si="1"/>
        <v>48</v>
      </c>
      <c r="K120" s="21"/>
      <c r="L120" s="22"/>
    </row>
    <row r="121" ht="22.5" customHeight="1">
      <c r="A121" s="28">
        <v>45922.0</v>
      </c>
      <c r="B121" s="15" t="s">
        <v>204</v>
      </c>
      <c r="C121" s="13" t="s">
        <v>9</v>
      </c>
      <c r="D121" s="13">
        <v>80.0</v>
      </c>
      <c r="E121" s="15">
        <v>125.0</v>
      </c>
      <c r="F121" s="13" t="s">
        <v>21</v>
      </c>
      <c r="G121" s="15" t="s">
        <v>89</v>
      </c>
      <c r="H121" s="15">
        <v>650.0</v>
      </c>
      <c r="I121" s="20"/>
      <c r="J121" s="20">
        <f t="shared" si="1"/>
        <v>81.25</v>
      </c>
      <c r="K121" s="21"/>
      <c r="L121" s="22"/>
    </row>
    <row r="122" ht="22.5" customHeight="1">
      <c r="A122" s="28">
        <v>45922.0</v>
      </c>
      <c r="B122" s="15" t="s">
        <v>205</v>
      </c>
      <c r="C122" s="13" t="s">
        <v>9</v>
      </c>
      <c r="D122" s="13">
        <v>80.0</v>
      </c>
      <c r="E122" s="15">
        <v>125.0</v>
      </c>
      <c r="F122" s="13" t="s">
        <v>21</v>
      </c>
      <c r="G122" s="15" t="s">
        <v>89</v>
      </c>
      <c r="H122" s="15">
        <v>0.0</v>
      </c>
      <c r="I122" s="20"/>
      <c r="J122" s="20">
        <f t="shared" si="1"/>
        <v>0</v>
      </c>
      <c r="K122" s="15" t="s">
        <v>137</v>
      </c>
      <c r="L122" s="37"/>
    </row>
    <row r="123" ht="22.5" customHeight="1">
      <c r="A123" s="28">
        <v>45922.0</v>
      </c>
      <c r="B123" s="15" t="s">
        <v>206</v>
      </c>
      <c r="C123" s="13" t="s">
        <v>9</v>
      </c>
      <c r="D123" s="13">
        <v>80.0</v>
      </c>
      <c r="E123" s="15">
        <v>250.0</v>
      </c>
      <c r="F123" s="13" t="s">
        <v>21</v>
      </c>
      <c r="G123" s="15" t="s">
        <v>89</v>
      </c>
      <c r="H123" s="21"/>
      <c r="I123" s="20"/>
      <c r="J123" s="20">
        <f t="shared" si="1"/>
        <v>0</v>
      </c>
      <c r="K123" s="15" t="s">
        <v>137</v>
      </c>
      <c r="L123" s="37"/>
    </row>
    <row r="124" ht="22.5" customHeight="1">
      <c r="A124" s="28">
        <v>45922.0</v>
      </c>
      <c r="B124" s="15" t="s">
        <v>206</v>
      </c>
      <c r="C124" s="13" t="s">
        <v>9</v>
      </c>
      <c r="D124" s="13">
        <v>80.0</v>
      </c>
      <c r="E124" s="15">
        <v>210.0</v>
      </c>
      <c r="F124" s="13" t="s">
        <v>21</v>
      </c>
      <c r="G124" s="15" t="s">
        <v>89</v>
      </c>
      <c r="H124" s="21"/>
      <c r="I124" s="20"/>
      <c r="J124" s="20">
        <f t="shared" si="1"/>
        <v>0</v>
      </c>
      <c r="K124" s="15" t="s">
        <v>137</v>
      </c>
      <c r="L124" s="37"/>
    </row>
    <row r="125" ht="22.5" customHeight="1">
      <c r="A125" s="28">
        <v>45922.0</v>
      </c>
      <c r="B125" s="15" t="s">
        <v>206</v>
      </c>
      <c r="C125" s="13" t="s">
        <v>9</v>
      </c>
      <c r="D125" s="13">
        <v>80.0</v>
      </c>
      <c r="E125" s="15">
        <v>230.0</v>
      </c>
      <c r="F125" s="13" t="s">
        <v>21</v>
      </c>
      <c r="G125" s="15" t="s">
        <v>89</v>
      </c>
      <c r="H125" s="21"/>
      <c r="I125" s="20"/>
      <c r="J125" s="20">
        <f t="shared" si="1"/>
        <v>0</v>
      </c>
      <c r="K125" s="15" t="s">
        <v>137</v>
      </c>
      <c r="L125" s="37"/>
    </row>
    <row r="126" ht="22.5" customHeight="1">
      <c r="A126" s="28">
        <v>45922.0</v>
      </c>
      <c r="B126" s="15" t="s">
        <v>208</v>
      </c>
      <c r="C126" s="13" t="s">
        <v>9</v>
      </c>
      <c r="D126" s="13">
        <v>80.0</v>
      </c>
      <c r="E126" s="15">
        <v>180.0</v>
      </c>
      <c r="F126" s="13" t="s">
        <v>21</v>
      </c>
      <c r="G126" s="15" t="s">
        <v>89</v>
      </c>
      <c r="H126" s="15">
        <v>1450.0</v>
      </c>
      <c r="I126" s="20"/>
      <c r="J126" s="20">
        <f t="shared" si="1"/>
        <v>261</v>
      </c>
      <c r="K126" s="21"/>
      <c r="L126" s="22"/>
    </row>
    <row r="127" ht="22.5" customHeight="1">
      <c r="A127" s="28">
        <v>45922.0</v>
      </c>
      <c r="B127" s="15" t="s">
        <v>209</v>
      </c>
      <c r="C127" s="13" t="s">
        <v>9</v>
      </c>
      <c r="D127" s="13">
        <v>80.0</v>
      </c>
      <c r="E127" s="15">
        <v>210.0</v>
      </c>
      <c r="F127" s="13" t="s">
        <v>21</v>
      </c>
      <c r="G127" s="15" t="s">
        <v>89</v>
      </c>
      <c r="H127" s="15">
        <v>1290.0</v>
      </c>
      <c r="I127" s="20"/>
      <c r="J127" s="20">
        <f t="shared" si="1"/>
        <v>270.9</v>
      </c>
      <c r="K127" s="21"/>
      <c r="L127" s="22"/>
    </row>
    <row r="128" ht="22.5" customHeight="1">
      <c r="A128" s="28">
        <v>45922.0</v>
      </c>
      <c r="B128" s="15" t="s">
        <v>209</v>
      </c>
      <c r="C128" s="13" t="s">
        <v>9</v>
      </c>
      <c r="D128" s="13">
        <v>80.0</v>
      </c>
      <c r="E128" s="15">
        <v>330.0</v>
      </c>
      <c r="F128" s="13" t="s">
        <v>21</v>
      </c>
      <c r="G128" s="15" t="s">
        <v>89</v>
      </c>
      <c r="H128" s="21"/>
      <c r="I128" s="20"/>
      <c r="J128" s="20">
        <f t="shared" si="1"/>
        <v>0</v>
      </c>
      <c r="K128" s="15" t="s">
        <v>137</v>
      </c>
      <c r="L128" s="37"/>
    </row>
    <row r="129" ht="22.5" customHeight="1">
      <c r="A129" s="28">
        <v>45922.0</v>
      </c>
      <c r="B129" s="15" t="s">
        <v>210</v>
      </c>
      <c r="C129" s="13" t="s">
        <v>9</v>
      </c>
      <c r="D129" s="13">
        <v>80.0</v>
      </c>
      <c r="E129" s="15">
        <v>250.0</v>
      </c>
      <c r="F129" s="13" t="s">
        <v>21</v>
      </c>
      <c r="G129" s="15" t="s">
        <v>89</v>
      </c>
      <c r="H129" s="15">
        <v>300.0</v>
      </c>
      <c r="I129" s="20"/>
      <c r="J129" s="20">
        <f t="shared" si="1"/>
        <v>75</v>
      </c>
      <c r="K129" s="21"/>
      <c r="L129" s="22"/>
    </row>
    <row r="130" ht="22.5" customHeight="1">
      <c r="A130" s="28">
        <v>45923.0</v>
      </c>
      <c r="B130" s="15" t="s">
        <v>212</v>
      </c>
      <c r="C130" s="13" t="s">
        <v>9</v>
      </c>
      <c r="D130" s="13">
        <v>80.0</v>
      </c>
      <c r="E130" s="15">
        <v>290.0</v>
      </c>
      <c r="F130" s="13" t="s">
        <v>21</v>
      </c>
      <c r="G130" s="15" t="s">
        <v>89</v>
      </c>
      <c r="H130" s="15">
        <v>600.0</v>
      </c>
      <c r="I130" s="20"/>
      <c r="J130" s="20">
        <f t="shared" si="1"/>
        <v>174</v>
      </c>
      <c r="K130" s="21"/>
      <c r="L130" s="22"/>
    </row>
    <row r="131" ht="22.5" customHeight="1">
      <c r="A131" s="28">
        <v>45923.0</v>
      </c>
      <c r="B131" s="15" t="s">
        <v>214</v>
      </c>
      <c r="C131" s="13" t="s">
        <v>9</v>
      </c>
      <c r="D131" s="13">
        <v>80.0</v>
      </c>
      <c r="E131" s="15">
        <v>125.0</v>
      </c>
      <c r="F131" s="13" t="s">
        <v>21</v>
      </c>
      <c r="G131" s="15" t="s">
        <v>89</v>
      </c>
      <c r="H131" s="15">
        <v>0.0</v>
      </c>
      <c r="I131" s="20"/>
      <c r="J131" s="20">
        <f t="shared" si="1"/>
        <v>0</v>
      </c>
      <c r="K131" s="15" t="s">
        <v>137</v>
      </c>
      <c r="L131" s="37"/>
    </row>
    <row r="132" ht="22.5" customHeight="1">
      <c r="A132" s="28">
        <v>45923.0</v>
      </c>
      <c r="B132" s="15" t="s">
        <v>216</v>
      </c>
      <c r="C132" s="13" t="s">
        <v>26</v>
      </c>
      <c r="D132" s="13">
        <v>80.0</v>
      </c>
      <c r="E132" s="15">
        <v>167.0</v>
      </c>
      <c r="F132" s="13" t="s">
        <v>27</v>
      </c>
      <c r="G132" s="15" t="s">
        <v>217</v>
      </c>
      <c r="H132" s="15">
        <v>1000.0</v>
      </c>
      <c r="I132" s="20"/>
      <c r="J132" s="20">
        <f t="shared" si="1"/>
        <v>167</v>
      </c>
      <c r="K132" s="21"/>
      <c r="L132" s="22"/>
    </row>
    <row r="133" ht="22.5" customHeight="1">
      <c r="A133" s="28">
        <v>45923.0</v>
      </c>
      <c r="B133" s="15" t="s">
        <v>218</v>
      </c>
      <c r="C133" s="13" t="s">
        <v>26</v>
      </c>
      <c r="D133" s="13">
        <v>80.0</v>
      </c>
      <c r="E133" s="15">
        <v>280.0</v>
      </c>
      <c r="F133" s="13" t="s">
        <v>27</v>
      </c>
      <c r="G133" s="15" t="s">
        <v>217</v>
      </c>
      <c r="H133" s="15">
        <v>200.0</v>
      </c>
      <c r="I133" s="20"/>
      <c r="J133" s="20">
        <f t="shared" si="1"/>
        <v>56</v>
      </c>
      <c r="K133" s="21"/>
      <c r="L133" s="22"/>
    </row>
    <row r="134" ht="22.5" customHeight="1">
      <c r="A134" s="28">
        <v>45923.0</v>
      </c>
      <c r="B134" s="15" t="s">
        <v>219</v>
      </c>
      <c r="C134" s="13" t="s">
        <v>43</v>
      </c>
      <c r="D134" s="13">
        <v>50.0</v>
      </c>
      <c r="E134" s="15">
        <v>125.0</v>
      </c>
      <c r="F134" s="13" t="s">
        <v>27</v>
      </c>
      <c r="G134" s="15" t="s">
        <v>176</v>
      </c>
      <c r="H134" s="15">
        <v>1350.0</v>
      </c>
      <c r="I134" s="20"/>
      <c r="J134" s="20">
        <f t="shared" si="1"/>
        <v>168.75</v>
      </c>
      <c r="K134" s="21"/>
      <c r="L134" s="22"/>
    </row>
    <row r="135" ht="22.5" customHeight="1">
      <c r="A135" s="28">
        <v>45923.0</v>
      </c>
      <c r="B135" s="15" t="s">
        <v>220</v>
      </c>
      <c r="C135" s="13" t="s">
        <v>9</v>
      </c>
      <c r="D135" s="13">
        <v>80.0</v>
      </c>
      <c r="E135" s="15">
        <v>125.0</v>
      </c>
      <c r="F135" s="13" t="s">
        <v>21</v>
      </c>
      <c r="G135" s="15" t="s">
        <v>89</v>
      </c>
      <c r="H135" s="15">
        <v>1150.0</v>
      </c>
      <c r="I135" s="20"/>
      <c r="J135" s="20">
        <f t="shared" si="1"/>
        <v>143.75</v>
      </c>
      <c r="K135" s="21"/>
      <c r="L135" s="22"/>
    </row>
    <row r="136" ht="22.5" customHeight="1">
      <c r="A136" s="28">
        <v>45923.0</v>
      </c>
      <c r="B136" s="15" t="s">
        <v>221</v>
      </c>
      <c r="C136" s="13" t="s">
        <v>9</v>
      </c>
      <c r="D136" s="13">
        <v>80.0</v>
      </c>
      <c r="E136" s="15">
        <v>250.0</v>
      </c>
      <c r="F136" s="13" t="s">
        <v>21</v>
      </c>
      <c r="G136" s="15" t="s">
        <v>89</v>
      </c>
      <c r="H136" s="15">
        <v>1400.0</v>
      </c>
      <c r="I136" s="20"/>
      <c r="J136" s="20">
        <f t="shared" si="1"/>
        <v>350</v>
      </c>
      <c r="K136" s="21"/>
      <c r="L136" s="22"/>
    </row>
    <row r="137" ht="22.5" customHeight="1">
      <c r="A137" s="28">
        <v>45924.0</v>
      </c>
      <c r="B137" s="15" t="s">
        <v>222</v>
      </c>
      <c r="C137" s="13" t="s">
        <v>9</v>
      </c>
      <c r="D137" s="13">
        <v>80.0</v>
      </c>
      <c r="E137" s="15">
        <v>230.0</v>
      </c>
      <c r="F137" s="13" t="s">
        <v>27</v>
      </c>
      <c r="G137" s="15" t="s">
        <v>139</v>
      </c>
      <c r="H137" s="15"/>
      <c r="I137" s="20"/>
      <c r="J137" s="20">
        <f t="shared" si="1"/>
        <v>0</v>
      </c>
      <c r="K137" s="15" t="s">
        <v>137</v>
      </c>
      <c r="L137" s="37"/>
    </row>
    <row r="138" ht="22.5" customHeight="1">
      <c r="A138" s="28">
        <v>45924.0</v>
      </c>
      <c r="B138" s="15" t="s">
        <v>222</v>
      </c>
      <c r="C138" s="13" t="s">
        <v>9</v>
      </c>
      <c r="D138" s="13">
        <v>80.0</v>
      </c>
      <c r="E138" s="15">
        <v>240.0</v>
      </c>
      <c r="F138" s="13" t="s">
        <v>27</v>
      </c>
      <c r="G138" s="15" t="s">
        <v>139</v>
      </c>
      <c r="H138" s="15">
        <v>200.0</v>
      </c>
      <c r="I138" s="20"/>
      <c r="J138" s="20">
        <f t="shared" si="1"/>
        <v>48</v>
      </c>
      <c r="K138" s="21"/>
      <c r="L138" s="22"/>
    </row>
    <row r="139" ht="22.5" customHeight="1">
      <c r="A139" s="28">
        <v>45924.0</v>
      </c>
      <c r="B139" s="15" t="s">
        <v>223</v>
      </c>
      <c r="C139" s="13" t="s">
        <v>9</v>
      </c>
      <c r="D139" s="13">
        <v>80.0</v>
      </c>
      <c r="E139" s="15">
        <v>160.0</v>
      </c>
      <c r="F139" s="13" t="s">
        <v>27</v>
      </c>
      <c r="G139" s="15" t="s">
        <v>139</v>
      </c>
      <c r="H139" s="15">
        <v>1100.0</v>
      </c>
      <c r="I139" s="20"/>
      <c r="J139" s="20">
        <f t="shared" si="1"/>
        <v>176</v>
      </c>
      <c r="K139" s="21"/>
      <c r="L139" s="22"/>
    </row>
    <row r="140" ht="22.5" customHeight="1">
      <c r="A140" s="28">
        <v>45924.0</v>
      </c>
      <c r="B140" s="15" t="s">
        <v>224</v>
      </c>
      <c r="C140" s="13" t="s">
        <v>26</v>
      </c>
      <c r="D140" s="13">
        <v>80.0</v>
      </c>
      <c r="E140" s="15">
        <v>280.0</v>
      </c>
      <c r="F140" s="13" t="s">
        <v>27</v>
      </c>
      <c r="G140" s="15" t="s">
        <v>217</v>
      </c>
      <c r="H140" s="15">
        <v>100.0</v>
      </c>
      <c r="I140" s="20"/>
      <c r="J140" s="20">
        <f t="shared" si="1"/>
        <v>28</v>
      </c>
      <c r="K140" s="21"/>
      <c r="L140" s="22"/>
    </row>
    <row r="141" ht="22.5" customHeight="1">
      <c r="A141" s="28">
        <v>45924.0</v>
      </c>
      <c r="B141" s="15" t="s">
        <v>225</v>
      </c>
      <c r="C141" s="13" t="s">
        <v>9</v>
      </c>
      <c r="D141" s="13">
        <v>80.0</v>
      </c>
      <c r="E141" s="15">
        <v>160.0</v>
      </c>
      <c r="F141" s="13" t="s">
        <v>27</v>
      </c>
      <c r="G141" s="15" t="s">
        <v>99</v>
      </c>
      <c r="H141" s="15">
        <v>140.0</v>
      </c>
      <c r="I141" s="20"/>
      <c r="J141" s="20">
        <f t="shared" si="1"/>
        <v>22.4</v>
      </c>
      <c r="K141" s="21"/>
      <c r="L141" s="22"/>
    </row>
    <row r="142" ht="22.5" customHeight="1">
      <c r="A142" s="28">
        <v>45924.0</v>
      </c>
      <c r="B142" s="15" t="s">
        <v>226</v>
      </c>
      <c r="C142" s="13" t="s">
        <v>9</v>
      </c>
      <c r="D142" s="13">
        <v>80.0</v>
      </c>
      <c r="E142" s="15">
        <v>160.0</v>
      </c>
      <c r="F142" s="13" t="s">
        <v>27</v>
      </c>
      <c r="G142" s="15" t="s">
        <v>99</v>
      </c>
      <c r="H142" s="15">
        <v>390.0</v>
      </c>
      <c r="I142" s="20"/>
      <c r="J142" s="20">
        <f t="shared" si="1"/>
        <v>62.4</v>
      </c>
      <c r="K142" s="21"/>
      <c r="L142" s="22"/>
    </row>
    <row r="143" ht="22.5" customHeight="1">
      <c r="A143" s="28">
        <v>45924.0</v>
      </c>
      <c r="B143" s="15" t="s">
        <v>227</v>
      </c>
      <c r="C143" s="13" t="s">
        <v>9</v>
      </c>
      <c r="D143" s="13">
        <v>80.0</v>
      </c>
      <c r="E143" s="15">
        <v>140.0</v>
      </c>
      <c r="F143" s="13" t="s">
        <v>27</v>
      </c>
      <c r="G143" s="15" t="s">
        <v>99</v>
      </c>
      <c r="H143" s="15">
        <v>590.0</v>
      </c>
      <c r="I143" s="20"/>
      <c r="J143" s="20">
        <f t="shared" si="1"/>
        <v>82.6</v>
      </c>
      <c r="K143" s="21"/>
      <c r="L143" s="22"/>
    </row>
    <row r="144" ht="22.5" customHeight="1">
      <c r="A144" s="28">
        <v>45925.0</v>
      </c>
      <c r="B144" s="15" t="s">
        <v>228</v>
      </c>
      <c r="C144" s="13" t="s">
        <v>9</v>
      </c>
      <c r="D144" s="13">
        <v>80.0</v>
      </c>
      <c r="E144" s="15">
        <v>195.0</v>
      </c>
      <c r="F144" s="13" t="s">
        <v>27</v>
      </c>
      <c r="G144" s="15" t="s">
        <v>106</v>
      </c>
      <c r="H144" s="15">
        <v>1270.0</v>
      </c>
      <c r="I144" s="20"/>
      <c r="J144" s="20">
        <f t="shared" si="1"/>
        <v>247.65</v>
      </c>
      <c r="K144" s="21"/>
      <c r="L144" s="22"/>
    </row>
    <row r="145" ht="22.5" customHeight="1">
      <c r="A145" s="28">
        <v>45925.0</v>
      </c>
      <c r="B145" s="15" t="s">
        <v>229</v>
      </c>
      <c r="C145" s="13" t="s">
        <v>9</v>
      </c>
      <c r="D145" s="13">
        <v>80.0</v>
      </c>
      <c r="E145" s="15">
        <v>185.0</v>
      </c>
      <c r="F145" s="13" t="s">
        <v>27</v>
      </c>
      <c r="G145" s="15" t="s">
        <v>106</v>
      </c>
      <c r="H145" s="15">
        <v>450.0</v>
      </c>
      <c r="I145" s="20"/>
      <c r="J145" s="20">
        <f t="shared" si="1"/>
        <v>83.25</v>
      </c>
      <c r="K145" s="21"/>
      <c r="L145" s="22"/>
    </row>
    <row r="146" ht="22.5" customHeight="1">
      <c r="A146" s="28">
        <v>45925.0</v>
      </c>
      <c r="B146" s="15" t="s">
        <v>230</v>
      </c>
      <c r="C146" s="13" t="s">
        <v>9</v>
      </c>
      <c r="D146" s="13">
        <v>80.0</v>
      </c>
      <c r="E146" s="15">
        <v>195.0</v>
      </c>
      <c r="F146" s="13" t="s">
        <v>27</v>
      </c>
      <c r="G146" s="15" t="s">
        <v>106</v>
      </c>
      <c r="H146" s="15">
        <v>530.0</v>
      </c>
      <c r="I146" s="20"/>
      <c r="J146" s="20">
        <f t="shared" si="1"/>
        <v>103.35</v>
      </c>
      <c r="K146" s="21"/>
      <c r="L146" s="22"/>
    </row>
    <row r="147" ht="22.5" customHeight="1">
      <c r="A147" s="28">
        <v>45925.0</v>
      </c>
      <c r="B147" s="15" t="s">
        <v>231</v>
      </c>
      <c r="C147" s="13" t="s">
        <v>9</v>
      </c>
      <c r="D147" s="13">
        <v>80.0</v>
      </c>
      <c r="E147" s="15">
        <v>2230.0</v>
      </c>
      <c r="F147" s="13" t="s">
        <v>27</v>
      </c>
      <c r="G147" s="15" t="s">
        <v>106</v>
      </c>
      <c r="H147" s="15">
        <v>1440.0</v>
      </c>
      <c r="I147" s="20"/>
      <c r="J147" s="20">
        <f t="shared" si="1"/>
        <v>3211.2</v>
      </c>
      <c r="K147" s="21"/>
      <c r="L147" s="22"/>
    </row>
    <row r="148" ht="22.5" customHeight="1">
      <c r="A148" s="28">
        <v>45925.0</v>
      </c>
      <c r="B148" s="15" t="s">
        <v>233</v>
      </c>
      <c r="C148" s="13" t="s">
        <v>9</v>
      </c>
      <c r="D148" s="13">
        <v>80.0</v>
      </c>
      <c r="E148" s="15">
        <v>140.0</v>
      </c>
      <c r="F148" s="13" t="s">
        <v>27</v>
      </c>
      <c r="G148" s="15" t="s">
        <v>99</v>
      </c>
      <c r="H148" s="15">
        <v>960.0</v>
      </c>
      <c r="I148" s="20"/>
      <c r="J148" s="20">
        <f t="shared" si="1"/>
        <v>134.4</v>
      </c>
      <c r="K148" s="21"/>
      <c r="L148" s="22"/>
    </row>
    <row r="149" ht="22.5" customHeight="1">
      <c r="A149" s="28">
        <v>45925.0</v>
      </c>
      <c r="B149" s="15" t="s">
        <v>235</v>
      </c>
      <c r="C149" s="13" t="s">
        <v>9</v>
      </c>
      <c r="D149" s="13">
        <v>80.0</v>
      </c>
      <c r="E149" s="15">
        <v>140.0</v>
      </c>
      <c r="F149" s="13" t="s">
        <v>27</v>
      </c>
      <c r="G149" s="15" t="s">
        <v>99</v>
      </c>
      <c r="H149" s="15">
        <v>950.0</v>
      </c>
      <c r="I149" s="20"/>
      <c r="J149" s="20">
        <f t="shared" si="1"/>
        <v>133</v>
      </c>
      <c r="K149" s="21"/>
      <c r="L149" s="22"/>
    </row>
    <row r="150" ht="22.5" customHeight="1">
      <c r="A150" s="28">
        <v>45925.0</v>
      </c>
      <c r="B150" s="15" t="s">
        <v>236</v>
      </c>
      <c r="C150" s="13" t="s">
        <v>9</v>
      </c>
      <c r="D150" s="13">
        <v>80.0</v>
      </c>
      <c r="E150" s="15">
        <v>140.0</v>
      </c>
      <c r="F150" s="13" t="s">
        <v>27</v>
      </c>
      <c r="G150" s="15" t="s">
        <v>99</v>
      </c>
      <c r="H150" s="15">
        <v>550.0</v>
      </c>
      <c r="I150" s="20"/>
      <c r="J150" s="20">
        <f t="shared" si="1"/>
        <v>77</v>
      </c>
      <c r="K150" s="21"/>
      <c r="L150" s="22"/>
    </row>
    <row r="151" ht="22.5" customHeight="1">
      <c r="A151" s="28">
        <v>45926.0</v>
      </c>
      <c r="B151" s="15" t="s">
        <v>237</v>
      </c>
      <c r="C151" s="38"/>
      <c r="D151" s="38"/>
      <c r="E151" s="21"/>
      <c r="F151" s="38"/>
      <c r="G151" s="21"/>
      <c r="H151" s="21"/>
      <c r="I151" s="20"/>
      <c r="J151" s="20">
        <f t="shared" si="1"/>
        <v>0</v>
      </c>
      <c r="K151" s="21"/>
      <c r="L151" s="22"/>
    </row>
    <row r="152" ht="22.5" customHeight="1">
      <c r="A152" s="28">
        <v>45926.0</v>
      </c>
      <c r="B152" s="15" t="s">
        <v>238</v>
      </c>
      <c r="C152" s="38"/>
      <c r="D152" s="38"/>
      <c r="E152" s="21"/>
      <c r="F152" s="38"/>
      <c r="G152" s="21"/>
      <c r="H152" s="21"/>
      <c r="I152" s="20"/>
      <c r="J152" s="20">
        <f t="shared" si="1"/>
        <v>0</v>
      </c>
      <c r="K152" s="21"/>
      <c r="L152" s="22"/>
    </row>
    <row r="153" ht="22.5" customHeight="1">
      <c r="A153" s="28">
        <v>45927.0</v>
      </c>
      <c r="B153" s="15" t="s">
        <v>239</v>
      </c>
      <c r="C153" s="13" t="s">
        <v>9</v>
      </c>
      <c r="D153" s="13">
        <v>80.0</v>
      </c>
      <c r="E153" s="15">
        <v>125.0</v>
      </c>
      <c r="F153" s="13" t="s">
        <v>21</v>
      </c>
      <c r="G153" s="15" t="s">
        <v>89</v>
      </c>
      <c r="H153" s="15">
        <v>820.0</v>
      </c>
      <c r="I153" s="20"/>
      <c r="J153" s="20">
        <f t="shared" si="1"/>
        <v>102.5</v>
      </c>
      <c r="K153" s="21"/>
      <c r="L153" s="22"/>
    </row>
    <row r="154" ht="22.5" customHeight="1">
      <c r="A154" s="28">
        <v>45927.0</v>
      </c>
      <c r="B154" s="15" t="s">
        <v>241</v>
      </c>
      <c r="C154" s="13" t="s">
        <v>43</v>
      </c>
      <c r="D154" s="13">
        <v>50.0</v>
      </c>
      <c r="E154" s="15">
        <v>190.0</v>
      </c>
      <c r="F154" s="13" t="s">
        <v>21</v>
      </c>
      <c r="G154" s="15" t="s">
        <v>99</v>
      </c>
      <c r="H154" s="15">
        <v>230.0</v>
      </c>
      <c r="I154" s="20"/>
      <c r="J154" s="20">
        <f t="shared" si="1"/>
        <v>43.7</v>
      </c>
      <c r="K154" s="21"/>
      <c r="L154" s="22"/>
    </row>
    <row r="155" ht="22.5" customHeight="1">
      <c r="A155" s="28">
        <v>45927.0</v>
      </c>
      <c r="B155" s="15" t="s">
        <v>242</v>
      </c>
      <c r="C155" s="13" t="s">
        <v>43</v>
      </c>
      <c r="D155" s="13">
        <v>50.0</v>
      </c>
      <c r="E155" s="15">
        <v>300.0</v>
      </c>
      <c r="F155" s="13" t="s">
        <v>27</v>
      </c>
      <c r="G155" s="15" t="s">
        <v>99</v>
      </c>
      <c r="H155" s="21"/>
      <c r="I155" s="20"/>
      <c r="J155" s="20">
        <f t="shared" si="1"/>
        <v>0</v>
      </c>
      <c r="K155" s="15" t="s">
        <v>243</v>
      </c>
      <c r="L155" s="37"/>
    </row>
    <row r="156" ht="22.5" customHeight="1">
      <c r="A156" s="28">
        <v>45929.0</v>
      </c>
      <c r="B156" s="15" t="s">
        <v>244</v>
      </c>
      <c r="C156" s="13" t="s">
        <v>9</v>
      </c>
      <c r="D156" s="13">
        <v>80.0</v>
      </c>
      <c r="E156" s="15">
        <v>126.0</v>
      </c>
      <c r="F156" s="13" t="s">
        <v>27</v>
      </c>
      <c r="G156" s="15" t="s">
        <v>139</v>
      </c>
      <c r="H156" s="15">
        <v>200.0</v>
      </c>
      <c r="I156" s="20"/>
      <c r="J156" s="20">
        <f t="shared" si="1"/>
        <v>25.2</v>
      </c>
      <c r="K156" s="21"/>
      <c r="L156" s="22"/>
    </row>
    <row r="157" ht="22.5" customHeight="1">
      <c r="A157" s="28">
        <v>45929.0</v>
      </c>
      <c r="B157" s="15" t="s">
        <v>245</v>
      </c>
      <c r="C157" s="13" t="s">
        <v>9</v>
      </c>
      <c r="D157" s="13">
        <v>80.0</v>
      </c>
      <c r="E157" s="15">
        <v>290.0</v>
      </c>
      <c r="F157" s="13" t="s">
        <v>21</v>
      </c>
      <c r="G157" s="15" t="s">
        <v>89</v>
      </c>
      <c r="H157" s="15">
        <v>1350.0</v>
      </c>
      <c r="I157" s="20"/>
      <c r="J157" s="20">
        <f t="shared" si="1"/>
        <v>391.5</v>
      </c>
      <c r="K157" s="21"/>
      <c r="L157" s="22"/>
    </row>
    <row r="158" ht="22.5" customHeight="1">
      <c r="A158" s="28">
        <v>45929.0</v>
      </c>
      <c r="B158" s="15" t="s">
        <v>247</v>
      </c>
      <c r="C158" s="13" t="s">
        <v>9</v>
      </c>
      <c r="D158" s="13">
        <v>80.0</v>
      </c>
      <c r="E158" s="15">
        <v>210.0</v>
      </c>
      <c r="F158" s="13" t="s">
        <v>21</v>
      </c>
      <c r="G158" s="15" t="s">
        <v>89</v>
      </c>
      <c r="H158" s="15">
        <v>1650.0</v>
      </c>
      <c r="I158" s="20"/>
      <c r="J158" s="20">
        <f t="shared" si="1"/>
        <v>346.5</v>
      </c>
      <c r="K158" s="21"/>
      <c r="L158" s="22"/>
    </row>
    <row r="159" ht="22.5" customHeight="1">
      <c r="A159" s="28">
        <v>45929.0</v>
      </c>
      <c r="B159" s="15" t="s">
        <v>248</v>
      </c>
      <c r="C159" s="13" t="s">
        <v>9</v>
      </c>
      <c r="D159" s="13">
        <v>80.0</v>
      </c>
      <c r="E159" s="15">
        <v>290.0</v>
      </c>
      <c r="F159" s="13" t="s">
        <v>21</v>
      </c>
      <c r="G159" s="15" t="s">
        <v>89</v>
      </c>
      <c r="H159" s="15">
        <v>170.0</v>
      </c>
      <c r="I159" s="20"/>
      <c r="J159" s="20">
        <f t="shared" si="1"/>
        <v>49.3</v>
      </c>
      <c r="K159" s="21"/>
      <c r="L159" s="22"/>
    </row>
    <row r="160" ht="22.5" customHeight="1">
      <c r="A160" s="28">
        <v>45929.0</v>
      </c>
      <c r="B160" s="15" t="s">
        <v>249</v>
      </c>
      <c r="C160" s="13" t="s">
        <v>9</v>
      </c>
      <c r="D160" s="13">
        <v>80.0</v>
      </c>
      <c r="E160" s="15">
        <v>320.0</v>
      </c>
      <c r="F160" s="13" t="s">
        <v>21</v>
      </c>
      <c r="G160" s="15" t="s">
        <v>89</v>
      </c>
      <c r="H160" s="21"/>
      <c r="I160" s="20"/>
      <c r="J160" s="20">
        <f t="shared" si="1"/>
        <v>0</v>
      </c>
      <c r="K160" s="15" t="s">
        <v>137</v>
      </c>
      <c r="L160" s="37"/>
    </row>
    <row r="161" ht="22.5" customHeight="1">
      <c r="A161" s="28">
        <v>45929.0</v>
      </c>
      <c r="B161" s="15" t="s">
        <v>250</v>
      </c>
      <c r="C161" s="13" t="s">
        <v>9</v>
      </c>
      <c r="D161" s="13">
        <v>80.0</v>
      </c>
      <c r="E161" s="15">
        <v>290.0</v>
      </c>
      <c r="F161" s="13" t="s">
        <v>21</v>
      </c>
      <c r="G161" s="15" t="s">
        <v>89</v>
      </c>
      <c r="H161" s="15">
        <v>930.0</v>
      </c>
      <c r="I161" s="20"/>
      <c r="J161" s="20">
        <f t="shared" si="1"/>
        <v>269.7</v>
      </c>
      <c r="K161" s="21"/>
      <c r="L161" s="22"/>
    </row>
    <row r="162" ht="22.5" customHeight="1">
      <c r="A162" s="28">
        <v>45930.0</v>
      </c>
      <c r="B162" s="15" t="s">
        <v>251</v>
      </c>
      <c r="C162" s="13" t="s">
        <v>9</v>
      </c>
      <c r="D162" s="13">
        <v>80.0</v>
      </c>
      <c r="E162" s="15">
        <v>185.0</v>
      </c>
      <c r="F162" s="13" t="s">
        <v>27</v>
      </c>
      <c r="G162" s="15" t="s">
        <v>252</v>
      </c>
      <c r="H162" s="15">
        <v>840.0</v>
      </c>
      <c r="I162" s="20"/>
      <c r="J162" s="20">
        <f t="shared" si="1"/>
        <v>155.4</v>
      </c>
      <c r="K162" s="21"/>
      <c r="L162" s="22"/>
    </row>
    <row r="163" ht="22.5" customHeight="1">
      <c r="A163" s="28">
        <v>45930.0</v>
      </c>
      <c r="B163" s="15" t="s">
        <v>253</v>
      </c>
      <c r="C163" s="13" t="s">
        <v>9</v>
      </c>
      <c r="D163" s="13">
        <v>80.0</v>
      </c>
      <c r="E163" s="15">
        <v>126.0</v>
      </c>
      <c r="F163" s="13" t="s">
        <v>27</v>
      </c>
      <c r="G163" s="15" t="s">
        <v>252</v>
      </c>
      <c r="H163" s="15">
        <v>400.0</v>
      </c>
      <c r="I163" s="20"/>
      <c r="J163" s="20">
        <f t="shared" si="1"/>
        <v>50.4</v>
      </c>
      <c r="K163" s="21"/>
      <c r="L163" s="22"/>
    </row>
    <row r="164" ht="22.5" customHeight="1">
      <c r="A164" s="28">
        <v>45930.0</v>
      </c>
      <c r="B164" s="15" t="s">
        <v>254</v>
      </c>
      <c r="C164" s="13" t="s">
        <v>9</v>
      </c>
      <c r="D164" s="13">
        <v>80.0</v>
      </c>
      <c r="E164" s="15">
        <v>210.0</v>
      </c>
      <c r="F164" s="13" t="s">
        <v>27</v>
      </c>
      <c r="G164" s="15" t="s">
        <v>252</v>
      </c>
      <c r="H164" s="15">
        <v>1140.0</v>
      </c>
      <c r="I164" s="20"/>
      <c r="J164" s="20">
        <f t="shared" si="1"/>
        <v>239.4</v>
      </c>
      <c r="K164" s="21"/>
      <c r="L164" s="22"/>
    </row>
    <row r="165" ht="22.5" customHeight="1">
      <c r="A165" s="28">
        <v>45930.0</v>
      </c>
      <c r="B165" s="15" t="s">
        <v>255</v>
      </c>
      <c r="C165" s="13" t="s">
        <v>9</v>
      </c>
      <c r="D165" s="13">
        <v>80.0</v>
      </c>
      <c r="E165" s="15">
        <v>210.0</v>
      </c>
      <c r="F165" s="13" t="s">
        <v>21</v>
      </c>
      <c r="G165" s="15" t="s">
        <v>89</v>
      </c>
      <c r="H165" s="15">
        <v>350.0</v>
      </c>
      <c r="I165" s="20"/>
      <c r="J165" s="20">
        <f t="shared" si="1"/>
        <v>73.5</v>
      </c>
      <c r="K165" s="21"/>
      <c r="L165" s="22"/>
    </row>
    <row r="166" ht="22.5" customHeight="1">
      <c r="A166" s="28">
        <v>45930.0</v>
      </c>
      <c r="B166" s="15" t="s">
        <v>256</v>
      </c>
      <c r="C166" s="13" t="s">
        <v>43</v>
      </c>
      <c r="D166" s="13">
        <v>50.0</v>
      </c>
      <c r="E166" s="15">
        <v>160.0</v>
      </c>
      <c r="F166" s="13" t="s">
        <v>21</v>
      </c>
      <c r="G166" s="15" t="s">
        <v>89</v>
      </c>
      <c r="H166" s="21"/>
      <c r="I166" s="20"/>
      <c r="J166" s="20">
        <f t="shared" si="1"/>
        <v>0</v>
      </c>
      <c r="K166" s="15" t="s">
        <v>137</v>
      </c>
      <c r="L166" s="37"/>
    </row>
    <row r="167" ht="22.5" customHeight="1">
      <c r="A167" s="28">
        <v>45930.0</v>
      </c>
      <c r="B167" s="15" t="s">
        <v>257</v>
      </c>
      <c r="C167" s="13" t="s">
        <v>9</v>
      </c>
      <c r="D167" s="13">
        <v>80.0</v>
      </c>
      <c r="E167" s="15">
        <v>125.0</v>
      </c>
      <c r="F167" s="13" t="s">
        <v>21</v>
      </c>
      <c r="G167" s="15" t="s">
        <v>89</v>
      </c>
      <c r="H167" s="15">
        <v>1650.0</v>
      </c>
      <c r="I167" s="20"/>
      <c r="J167" s="20">
        <f t="shared" si="1"/>
        <v>206.25</v>
      </c>
      <c r="K167" s="21"/>
      <c r="L167" s="22"/>
    </row>
    <row r="168" ht="22.5" customHeight="1">
      <c r="A168" s="28">
        <v>45933.0</v>
      </c>
      <c r="B168" s="15" t="s">
        <v>258</v>
      </c>
      <c r="C168" s="13" t="s">
        <v>9</v>
      </c>
      <c r="D168" s="13">
        <v>80.0</v>
      </c>
      <c r="E168" s="15">
        <v>290.0</v>
      </c>
      <c r="F168" s="13" t="s">
        <v>21</v>
      </c>
      <c r="G168" s="15" t="s">
        <v>89</v>
      </c>
      <c r="H168" s="15">
        <v>1040.0</v>
      </c>
      <c r="I168" s="20"/>
      <c r="J168" s="20">
        <f t="shared" si="1"/>
        <v>301.6</v>
      </c>
      <c r="K168" s="21"/>
      <c r="L168" s="22"/>
    </row>
    <row r="169" ht="22.5" customHeight="1">
      <c r="A169" s="28">
        <v>45933.0</v>
      </c>
      <c r="B169" s="15" t="s">
        <v>259</v>
      </c>
      <c r="C169" s="13" t="s">
        <v>9</v>
      </c>
      <c r="D169" s="13">
        <v>80.0</v>
      </c>
      <c r="E169" s="15">
        <v>180.0</v>
      </c>
      <c r="F169" s="13" t="s">
        <v>21</v>
      </c>
      <c r="G169" s="15" t="s">
        <v>89</v>
      </c>
      <c r="H169" s="15">
        <v>1570.0</v>
      </c>
      <c r="I169" s="20"/>
      <c r="J169" s="20">
        <f t="shared" si="1"/>
        <v>282.6</v>
      </c>
      <c r="K169" s="21"/>
      <c r="L169" s="22"/>
    </row>
    <row r="170" ht="22.5" customHeight="1">
      <c r="A170" s="28">
        <v>45933.0</v>
      </c>
      <c r="B170" s="15" t="s">
        <v>260</v>
      </c>
      <c r="C170" s="13" t="s">
        <v>9</v>
      </c>
      <c r="D170" s="13">
        <v>80.0</v>
      </c>
      <c r="E170" s="15">
        <v>330.0</v>
      </c>
      <c r="F170" s="13" t="s">
        <v>21</v>
      </c>
      <c r="G170" s="15" t="s">
        <v>89</v>
      </c>
      <c r="H170" s="15">
        <v>940.0</v>
      </c>
      <c r="I170" s="20"/>
      <c r="J170" s="20">
        <f t="shared" si="1"/>
        <v>310.2</v>
      </c>
      <c r="K170" s="21"/>
      <c r="L170" s="22"/>
    </row>
    <row r="171" ht="22.5" customHeight="1">
      <c r="A171" s="28">
        <v>45933.0</v>
      </c>
      <c r="B171" s="15" t="s">
        <v>261</v>
      </c>
      <c r="C171" s="13" t="s">
        <v>9</v>
      </c>
      <c r="D171" s="13">
        <v>80.0</v>
      </c>
      <c r="E171" s="15">
        <v>330.0</v>
      </c>
      <c r="F171" s="13" t="s">
        <v>21</v>
      </c>
      <c r="G171" s="15" t="s">
        <v>89</v>
      </c>
      <c r="H171" s="15">
        <v>1400.0</v>
      </c>
      <c r="I171" s="20"/>
      <c r="J171" s="20">
        <f t="shared" si="1"/>
        <v>462</v>
      </c>
      <c r="K171" s="21"/>
      <c r="L171" s="22"/>
    </row>
    <row r="172" ht="22.5" customHeight="1">
      <c r="A172" s="28">
        <v>45933.0</v>
      </c>
      <c r="B172" s="15" t="s">
        <v>262</v>
      </c>
      <c r="C172" s="13" t="s">
        <v>9</v>
      </c>
      <c r="D172" s="13">
        <v>80.0</v>
      </c>
      <c r="E172" s="15">
        <v>280.0</v>
      </c>
      <c r="F172" s="13" t="s">
        <v>21</v>
      </c>
      <c r="G172" s="15" t="s">
        <v>89</v>
      </c>
      <c r="H172" s="15">
        <v>440.0</v>
      </c>
      <c r="I172" s="20"/>
      <c r="J172" s="20">
        <f t="shared" si="1"/>
        <v>123.2</v>
      </c>
      <c r="K172" s="21"/>
      <c r="L172" s="22"/>
    </row>
    <row r="173" ht="22.5" customHeight="1">
      <c r="A173" s="28">
        <v>45933.0</v>
      </c>
      <c r="B173" s="15" t="s">
        <v>263</v>
      </c>
      <c r="C173" s="13" t="s">
        <v>9</v>
      </c>
      <c r="D173" s="13">
        <v>80.0</v>
      </c>
      <c r="E173" s="15">
        <v>330.0</v>
      </c>
      <c r="F173" s="13" t="s">
        <v>21</v>
      </c>
      <c r="G173" s="15" t="s">
        <v>89</v>
      </c>
      <c r="H173" s="15">
        <v>330.0</v>
      </c>
      <c r="I173" s="20"/>
      <c r="J173" s="20">
        <f t="shared" si="1"/>
        <v>108.9</v>
      </c>
      <c r="K173" s="21"/>
      <c r="L173" s="22"/>
    </row>
    <row r="174" ht="22.5" customHeight="1">
      <c r="A174" s="28">
        <v>45933.0</v>
      </c>
      <c r="B174" s="15" t="s">
        <v>265</v>
      </c>
      <c r="C174" s="13" t="s">
        <v>9</v>
      </c>
      <c r="D174" s="13">
        <v>80.0</v>
      </c>
      <c r="E174" s="15">
        <v>250.0</v>
      </c>
      <c r="F174" s="13" t="s">
        <v>21</v>
      </c>
      <c r="G174" s="15" t="s">
        <v>89</v>
      </c>
      <c r="H174" s="15">
        <v>50.0</v>
      </c>
      <c r="I174" s="20"/>
      <c r="J174" s="20">
        <f t="shared" si="1"/>
        <v>12.5</v>
      </c>
      <c r="K174" s="21"/>
      <c r="L174" s="22"/>
    </row>
    <row r="175" ht="22.5" customHeight="1">
      <c r="A175" s="28">
        <v>45934.0</v>
      </c>
      <c r="B175" s="15" t="s">
        <v>266</v>
      </c>
      <c r="C175" s="13" t="s">
        <v>9</v>
      </c>
      <c r="D175" s="13">
        <v>80.0</v>
      </c>
      <c r="E175" s="15">
        <v>250.0</v>
      </c>
      <c r="F175" s="13" t="s">
        <v>21</v>
      </c>
      <c r="G175" s="15" t="s">
        <v>89</v>
      </c>
      <c r="H175" s="15">
        <v>1330.0</v>
      </c>
      <c r="I175" s="20"/>
      <c r="J175" s="20">
        <f t="shared" si="1"/>
        <v>332.5</v>
      </c>
      <c r="K175" s="21"/>
      <c r="L175" s="22"/>
    </row>
    <row r="176" ht="22.5" customHeight="1">
      <c r="A176" s="28">
        <v>45934.0</v>
      </c>
      <c r="B176" s="15" t="s">
        <v>267</v>
      </c>
      <c r="C176" s="13" t="s">
        <v>9</v>
      </c>
      <c r="D176" s="13">
        <v>80.0</v>
      </c>
      <c r="E176" s="15">
        <v>210.0</v>
      </c>
      <c r="F176" s="13" t="s">
        <v>21</v>
      </c>
      <c r="G176" s="15" t="s">
        <v>89</v>
      </c>
      <c r="H176" s="15">
        <v>1280.0</v>
      </c>
      <c r="I176" s="20"/>
      <c r="J176" s="20">
        <f t="shared" si="1"/>
        <v>268.8</v>
      </c>
      <c r="K176" s="21"/>
      <c r="L176" s="22"/>
    </row>
    <row r="177" ht="22.5" customHeight="1">
      <c r="A177" s="28">
        <v>45934.0</v>
      </c>
      <c r="B177" s="15" t="s">
        <v>268</v>
      </c>
      <c r="C177" s="13" t="s">
        <v>43</v>
      </c>
      <c r="D177" s="13">
        <v>50.0</v>
      </c>
      <c r="E177" s="15">
        <v>180.0</v>
      </c>
      <c r="F177" s="13" t="s">
        <v>27</v>
      </c>
      <c r="G177" s="15" t="s">
        <v>176</v>
      </c>
      <c r="H177" s="15">
        <v>150.0</v>
      </c>
      <c r="I177" s="20"/>
      <c r="J177" s="20">
        <f t="shared" si="1"/>
        <v>27</v>
      </c>
      <c r="K177" s="21"/>
      <c r="L177" s="22"/>
    </row>
    <row r="178" ht="22.5" customHeight="1">
      <c r="A178" s="28">
        <v>45934.0</v>
      </c>
      <c r="B178" s="15" t="s">
        <v>269</v>
      </c>
      <c r="C178" s="13" t="s">
        <v>9</v>
      </c>
      <c r="D178" s="13">
        <v>80.0</v>
      </c>
      <c r="E178" s="15">
        <v>125.0</v>
      </c>
      <c r="F178" s="13" t="s">
        <v>21</v>
      </c>
      <c r="G178" s="15" t="s">
        <v>89</v>
      </c>
      <c r="H178" s="15">
        <v>1200.0</v>
      </c>
      <c r="I178" s="20"/>
      <c r="J178" s="20">
        <f t="shared" si="1"/>
        <v>150</v>
      </c>
      <c r="K178" s="21"/>
      <c r="L178" s="22"/>
    </row>
    <row r="179" ht="22.5" customHeight="1">
      <c r="A179" s="28">
        <v>45936.0</v>
      </c>
      <c r="B179" s="15" t="s">
        <v>270</v>
      </c>
      <c r="C179" s="13" t="s">
        <v>9</v>
      </c>
      <c r="D179" s="13">
        <v>80.0</v>
      </c>
      <c r="E179" s="15">
        <v>229.0</v>
      </c>
      <c r="F179" s="13" t="s">
        <v>27</v>
      </c>
      <c r="G179" s="15" t="s">
        <v>99</v>
      </c>
      <c r="H179" s="15">
        <v>700.0</v>
      </c>
      <c r="I179" s="20"/>
      <c r="J179" s="20">
        <f t="shared" si="1"/>
        <v>160.3</v>
      </c>
      <c r="K179" s="21"/>
      <c r="L179" s="22"/>
    </row>
    <row r="180" ht="22.5" customHeight="1">
      <c r="A180" s="28">
        <v>45936.0</v>
      </c>
      <c r="B180" s="15" t="s">
        <v>271</v>
      </c>
      <c r="C180" s="13" t="s">
        <v>9</v>
      </c>
      <c r="D180" s="13">
        <v>80.0</v>
      </c>
      <c r="E180" s="15">
        <v>160.0</v>
      </c>
      <c r="F180" s="13" t="s">
        <v>27</v>
      </c>
      <c r="G180" s="15" t="s">
        <v>99</v>
      </c>
      <c r="H180" s="21"/>
      <c r="I180" s="20"/>
      <c r="J180" s="20">
        <f t="shared" si="1"/>
        <v>0</v>
      </c>
      <c r="K180" s="15" t="s">
        <v>137</v>
      </c>
      <c r="L180" s="37"/>
    </row>
    <row r="181" ht="22.5" customHeight="1">
      <c r="A181" s="28">
        <v>45936.0</v>
      </c>
      <c r="B181" s="15" t="s">
        <v>273</v>
      </c>
      <c r="C181" s="13" t="s">
        <v>34</v>
      </c>
      <c r="D181" s="13">
        <v>120.0</v>
      </c>
      <c r="E181" s="15">
        <v>250.0</v>
      </c>
      <c r="F181" s="13" t="s">
        <v>35</v>
      </c>
      <c r="G181" s="15" t="s">
        <v>274</v>
      </c>
      <c r="H181" s="15">
        <v>315.0</v>
      </c>
      <c r="I181" s="20"/>
      <c r="J181" s="20">
        <f t="shared" si="1"/>
        <v>78.75</v>
      </c>
      <c r="K181" s="21"/>
      <c r="L181" s="22"/>
    </row>
    <row r="182" ht="22.5" customHeight="1">
      <c r="A182" s="28">
        <v>45936.0</v>
      </c>
      <c r="B182" s="15" t="s">
        <v>276</v>
      </c>
      <c r="C182" s="13" t="s">
        <v>34</v>
      </c>
      <c r="D182" s="13">
        <v>120.0</v>
      </c>
      <c r="E182" s="15">
        <v>180.0</v>
      </c>
      <c r="F182" s="13" t="s">
        <v>35</v>
      </c>
      <c r="G182" s="15" t="s">
        <v>274</v>
      </c>
      <c r="H182" s="21"/>
      <c r="I182" s="20"/>
      <c r="J182" s="20">
        <f t="shared" si="1"/>
        <v>0</v>
      </c>
      <c r="K182" s="15" t="s">
        <v>137</v>
      </c>
      <c r="L182" s="37"/>
    </row>
    <row r="183" ht="22.5" customHeight="1">
      <c r="A183" s="28">
        <v>45936.0</v>
      </c>
      <c r="B183" s="15" t="s">
        <v>277</v>
      </c>
      <c r="C183" s="13" t="s">
        <v>43</v>
      </c>
      <c r="D183" s="13">
        <v>50.0</v>
      </c>
      <c r="E183" s="15">
        <v>125.0</v>
      </c>
      <c r="F183" s="13" t="s">
        <v>27</v>
      </c>
      <c r="G183" s="15" t="s">
        <v>176</v>
      </c>
      <c r="H183" s="15">
        <v>850.0</v>
      </c>
      <c r="I183" s="20"/>
      <c r="J183" s="20">
        <f t="shared" si="1"/>
        <v>106.25</v>
      </c>
      <c r="K183" s="21"/>
      <c r="L183" s="22"/>
    </row>
    <row r="184" ht="22.5" customHeight="1">
      <c r="A184" s="28">
        <v>45936.0</v>
      </c>
      <c r="B184" s="15" t="s">
        <v>279</v>
      </c>
      <c r="C184" s="13" t="s">
        <v>43</v>
      </c>
      <c r="D184" s="13">
        <v>50.0</v>
      </c>
      <c r="E184" s="15">
        <v>125.0</v>
      </c>
      <c r="F184" s="13" t="s">
        <v>27</v>
      </c>
      <c r="G184" s="15" t="s">
        <v>176</v>
      </c>
      <c r="H184" s="15">
        <v>1720.0</v>
      </c>
      <c r="I184" s="20"/>
      <c r="J184" s="20">
        <f t="shared" si="1"/>
        <v>215</v>
      </c>
      <c r="K184" s="21"/>
      <c r="L184" s="22"/>
    </row>
    <row r="185" ht="22.5" customHeight="1">
      <c r="A185" s="28">
        <v>45936.0</v>
      </c>
      <c r="B185" s="15" t="s">
        <v>280</v>
      </c>
      <c r="C185" s="13" t="s">
        <v>9</v>
      </c>
      <c r="D185" s="13">
        <v>80.0</v>
      </c>
      <c r="E185" s="15">
        <v>126.0</v>
      </c>
      <c r="F185" s="13" t="s">
        <v>27</v>
      </c>
      <c r="G185" s="15" t="s">
        <v>139</v>
      </c>
      <c r="H185" s="15">
        <v>50.0</v>
      </c>
      <c r="I185" s="20"/>
      <c r="J185" s="20">
        <f t="shared" si="1"/>
        <v>6.3</v>
      </c>
      <c r="K185" s="21"/>
      <c r="L185" s="22"/>
    </row>
    <row r="186" ht="22.5" customHeight="1">
      <c r="A186" s="28">
        <v>45936.0</v>
      </c>
      <c r="B186" s="15" t="s">
        <v>281</v>
      </c>
      <c r="C186" s="13" t="s">
        <v>9</v>
      </c>
      <c r="D186" s="13">
        <v>80.0</v>
      </c>
      <c r="E186" s="15">
        <v>180.0</v>
      </c>
      <c r="F186" s="13" t="s">
        <v>21</v>
      </c>
      <c r="G186" s="15" t="s">
        <v>89</v>
      </c>
      <c r="H186" s="15">
        <v>950.0</v>
      </c>
      <c r="I186" s="20"/>
      <c r="J186" s="20">
        <f t="shared" si="1"/>
        <v>171</v>
      </c>
      <c r="K186" s="21"/>
      <c r="L186" s="22"/>
    </row>
    <row r="187" ht="22.5" customHeight="1">
      <c r="A187" s="36">
        <v>45937.0</v>
      </c>
      <c r="B187" s="15" t="s">
        <v>282</v>
      </c>
      <c r="C187" s="13" t="s">
        <v>9</v>
      </c>
      <c r="D187" s="13">
        <v>80.0</v>
      </c>
      <c r="E187" s="15">
        <v>290.0</v>
      </c>
      <c r="F187" s="13" t="s">
        <v>21</v>
      </c>
      <c r="G187" s="15" t="s">
        <v>89</v>
      </c>
      <c r="H187" s="21"/>
      <c r="I187" s="20"/>
      <c r="J187" s="20">
        <f t="shared" si="1"/>
        <v>0</v>
      </c>
      <c r="K187" s="15" t="s">
        <v>137</v>
      </c>
      <c r="L187" s="37"/>
    </row>
    <row r="188" ht="22.5" customHeight="1">
      <c r="A188" s="36">
        <v>45937.0</v>
      </c>
      <c r="B188" s="15" t="s">
        <v>282</v>
      </c>
      <c r="C188" s="13" t="s">
        <v>9</v>
      </c>
      <c r="D188" s="13">
        <v>80.0</v>
      </c>
      <c r="E188" s="15">
        <v>300.0</v>
      </c>
      <c r="F188" s="13" t="s">
        <v>21</v>
      </c>
      <c r="G188" s="15" t="s">
        <v>89</v>
      </c>
      <c r="H188" s="15">
        <v>600.0</v>
      </c>
      <c r="I188" s="20"/>
      <c r="J188" s="20">
        <f t="shared" si="1"/>
        <v>180</v>
      </c>
      <c r="K188" s="21"/>
      <c r="L188" s="22"/>
    </row>
    <row r="189" ht="22.5" customHeight="1">
      <c r="A189" s="28">
        <v>45938.0</v>
      </c>
      <c r="B189" s="15" t="s">
        <v>283</v>
      </c>
      <c r="C189" s="13" t="s">
        <v>9</v>
      </c>
      <c r="D189" s="13">
        <v>80.0</v>
      </c>
      <c r="E189" s="15">
        <v>180.0</v>
      </c>
      <c r="F189" s="13" t="s">
        <v>21</v>
      </c>
      <c r="G189" s="15" t="s">
        <v>89</v>
      </c>
      <c r="H189" s="15">
        <v>810.0</v>
      </c>
      <c r="I189" s="20"/>
      <c r="J189" s="20">
        <f t="shared" si="1"/>
        <v>145.8</v>
      </c>
      <c r="K189" s="21"/>
      <c r="L189" s="22"/>
    </row>
    <row r="190" ht="22.5" customHeight="1">
      <c r="A190" s="28">
        <v>45938.0</v>
      </c>
      <c r="B190" s="15" t="s">
        <v>284</v>
      </c>
      <c r="C190" s="13" t="s">
        <v>9</v>
      </c>
      <c r="D190" s="13">
        <v>80.0</v>
      </c>
      <c r="E190" s="15">
        <v>180.0</v>
      </c>
      <c r="F190" s="13" t="s">
        <v>21</v>
      </c>
      <c r="G190" s="15" t="s">
        <v>89</v>
      </c>
      <c r="H190" s="15">
        <v>1116.0</v>
      </c>
      <c r="I190" s="20"/>
      <c r="J190" s="20">
        <f t="shared" si="1"/>
        <v>200.88</v>
      </c>
      <c r="K190" s="21"/>
      <c r="L190" s="22"/>
    </row>
    <row r="191" ht="22.5" customHeight="1">
      <c r="A191" s="28">
        <v>45938.0</v>
      </c>
      <c r="B191" s="15" t="s">
        <v>285</v>
      </c>
      <c r="C191" s="13" t="s">
        <v>9</v>
      </c>
      <c r="D191" s="13">
        <v>80.0</v>
      </c>
      <c r="E191" s="15">
        <v>330.0</v>
      </c>
      <c r="F191" s="13" t="s">
        <v>21</v>
      </c>
      <c r="G191" s="15" t="s">
        <v>89</v>
      </c>
      <c r="H191" s="21"/>
      <c r="I191" s="20"/>
      <c r="J191" s="20">
        <f t="shared" si="1"/>
        <v>0</v>
      </c>
      <c r="K191" s="15" t="s">
        <v>137</v>
      </c>
      <c r="L191" s="37"/>
    </row>
    <row r="192" ht="22.5" customHeight="1">
      <c r="A192" s="28">
        <v>45938.0</v>
      </c>
      <c r="B192" s="15" t="s">
        <v>286</v>
      </c>
      <c r="C192" s="13" t="s">
        <v>9</v>
      </c>
      <c r="D192" s="13">
        <v>80.0</v>
      </c>
      <c r="E192" s="15">
        <v>180.0</v>
      </c>
      <c r="F192" s="13" t="s">
        <v>21</v>
      </c>
      <c r="G192" s="15" t="s">
        <v>89</v>
      </c>
      <c r="H192" s="15">
        <v>480.0</v>
      </c>
      <c r="I192" s="20"/>
      <c r="J192" s="20">
        <f t="shared" si="1"/>
        <v>86.4</v>
      </c>
      <c r="K192" s="21"/>
      <c r="L192" s="22"/>
    </row>
    <row r="193" ht="22.5" customHeight="1">
      <c r="A193" s="28">
        <v>45939.0</v>
      </c>
      <c r="B193" s="15" t="s">
        <v>283</v>
      </c>
      <c r="C193" s="13" t="s">
        <v>9</v>
      </c>
      <c r="D193" s="13">
        <v>80.0</v>
      </c>
      <c r="E193" s="15">
        <v>180.0</v>
      </c>
      <c r="F193" s="13" t="s">
        <v>21</v>
      </c>
      <c r="G193" s="15" t="s">
        <v>89</v>
      </c>
      <c r="H193" s="15">
        <v>810.0</v>
      </c>
      <c r="I193" s="20"/>
      <c r="J193" s="20">
        <f t="shared" si="1"/>
        <v>145.8</v>
      </c>
      <c r="K193" s="21"/>
      <c r="L193" s="22"/>
    </row>
    <row r="194" ht="22.5" customHeight="1">
      <c r="A194" s="28">
        <v>45939.0</v>
      </c>
      <c r="B194" s="15" t="s">
        <v>284</v>
      </c>
      <c r="C194" s="13" t="s">
        <v>9</v>
      </c>
      <c r="D194" s="13">
        <v>80.0</v>
      </c>
      <c r="E194" s="15">
        <v>180.0</v>
      </c>
      <c r="F194" s="13" t="s">
        <v>21</v>
      </c>
      <c r="G194" s="15" t="s">
        <v>89</v>
      </c>
      <c r="H194" s="15">
        <v>1116.0</v>
      </c>
      <c r="I194" s="20"/>
      <c r="J194" s="20">
        <f t="shared" si="1"/>
        <v>200.88</v>
      </c>
      <c r="K194" s="21"/>
      <c r="L194" s="22"/>
    </row>
    <row r="195" ht="22.5" customHeight="1">
      <c r="A195" s="28">
        <v>45939.0</v>
      </c>
      <c r="B195" s="15" t="s">
        <v>285</v>
      </c>
      <c r="C195" s="13" t="s">
        <v>9</v>
      </c>
      <c r="D195" s="13">
        <v>80.0</v>
      </c>
      <c r="E195" s="15">
        <v>330.0</v>
      </c>
      <c r="F195" s="13" t="s">
        <v>21</v>
      </c>
      <c r="G195" s="15" t="s">
        <v>89</v>
      </c>
      <c r="H195" s="21"/>
      <c r="I195" s="20"/>
      <c r="J195" s="20">
        <f t="shared" si="1"/>
        <v>0</v>
      </c>
      <c r="K195" s="15" t="s">
        <v>137</v>
      </c>
      <c r="L195" s="37"/>
    </row>
    <row r="196" ht="22.5" customHeight="1">
      <c r="A196" s="28">
        <v>45939.0</v>
      </c>
      <c r="B196" s="15" t="s">
        <v>286</v>
      </c>
      <c r="C196" s="13" t="s">
        <v>9</v>
      </c>
      <c r="D196" s="13">
        <v>80.0</v>
      </c>
      <c r="E196" s="15">
        <v>180.0</v>
      </c>
      <c r="F196" s="13" t="s">
        <v>21</v>
      </c>
      <c r="G196" s="15" t="s">
        <v>89</v>
      </c>
      <c r="H196" s="15">
        <v>480.0</v>
      </c>
      <c r="I196" s="20"/>
      <c r="J196" s="20">
        <f t="shared" si="1"/>
        <v>86.4</v>
      </c>
      <c r="K196" s="21"/>
      <c r="L196" s="22"/>
    </row>
    <row r="197" ht="22.5" customHeight="1">
      <c r="A197" s="28">
        <v>45939.0</v>
      </c>
      <c r="B197" s="15" t="s">
        <v>289</v>
      </c>
      <c r="C197" s="13" t="s">
        <v>9</v>
      </c>
      <c r="D197" s="13">
        <v>80.0</v>
      </c>
      <c r="E197" s="15">
        <v>190.0</v>
      </c>
      <c r="F197" s="13" t="s">
        <v>21</v>
      </c>
      <c r="G197" s="15" t="s">
        <v>89</v>
      </c>
      <c r="H197" s="15">
        <v>250.0</v>
      </c>
      <c r="I197" s="20"/>
      <c r="J197" s="20">
        <f t="shared" si="1"/>
        <v>47.5</v>
      </c>
      <c r="K197" s="21"/>
      <c r="L197" s="22"/>
    </row>
    <row r="198" ht="22.5" customHeight="1">
      <c r="A198" s="28">
        <v>45939.0</v>
      </c>
      <c r="B198" s="15" t="s">
        <v>291</v>
      </c>
      <c r="C198" s="13" t="s">
        <v>9</v>
      </c>
      <c r="D198" s="13">
        <v>80.0</v>
      </c>
      <c r="E198" s="15">
        <v>190.0</v>
      </c>
      <c r="F198" s="13" t="s">
        <v>21</v>
      </c>
      <c r="G198" s="15" t="s">
        <v>89</v>
      </c>
      <c r="H198" s="15">
        <v>700.0</v>
      </c>
      <c r="I198" s="20"/>
      <c r="J198" s="20">
        <f t="shared" si="1"/>
        <v>133</v>
      </c>
      <c r="K198" s="21"/>
      <c r="L198" s="22"/>
    </row>
    <row r="199" ht="22.5" customHeight="1">
      <c r="A199" s="28">
        <v>45939.0</v>
      </c>
      <c r="B199" s="15" t="s">
        <v>292</v>
      </c>
      <c r="C199" s="13" t="s">
        <v>43</v>
      </c>
      <c r="D199" s="13">
        <v>50.0</v>
      </c>
      <c r="E199" s="15">
        <v>100.0</v>
      </c>
      <c r="F199" s="13" t="s">
        <v>21</v>
      </c>
      <c r="G199" s="15" t="s">
        <v>89</v>
      </c>
      <c r="H199" s="15">
        <v>400.0</v>
      </c>
      <c r="I199" s="20"/>
      <c r="J199" s="20">
        <f t="shared" si="1"/>
        <v>40</v>
      </c>
      <c r="K199" s="21"/>
      <c r="L199" s="22"/>
    </row>
    <row r="200" ht="22.5" customHeight="1">
      <c r="A200" s="28">
        <v>45941.0</v>
      </c>
      <c r="B200" s="15" t="s">
        <v>294</v>
      </c>
      <c r="C200" s="13" t="s">
        <v>36</v>
      </c>
      <c r="D200" s="13">
        <v>70.0</v>
      </c>
      <c r="E200" s="15">
        <v>190.0</v>
      </c>
      <c r="F200" s="13" t="s">
        <v>37</v>
      </c>
      <c r="G200" s="15" t="s">
        <v>295</v>
      </c>
      <c r="H200" s="15">
        <v>100.0</v>
      </c>
      <c r="I200" s="20"/>
      <c r="J200" s="20">
        <f t="shared" si="1"/>
        <v>19</v>
      </c>
      <c r="K200" s="21"/>
      <c r="L200" s="22"/>
    </row>
    <row r="201" ht="22.5" customHeight="1">
      <c r="A201" s="28">
        <v>45941.0</v>
      </c>
      <c r="B201" s="15" t="s">
        <v>296</v>
      </c>
      <c r="C201" s="13" t="s">
        <v>9</v>
      </c>
      <c r="D201" s="13">
        <v>80.0</v>
      </c>
      <c r="E201" s="21"/>
      <c r="F201" s="13" t="s">
        <v>21</v>
      </c>
      <c r="G201" s="21"/>
      <c r="H201" s="15">
        <v>1320.0</v>
      </c>
      <c r="I201" s="20"/>
      <c r="J201" s="20">
        <f t="shared" si="1"/>
        <v>0</v>
      </c>
      <c r="K201" s="21"/>
      <c r="L201" s="22"/>
    </row>
    <row r="202" ht="22.5" customHeight="1">
      <c r="A202" s="28">
        <v>45943.0</v>
      </c>
      <c r="B202" s="15" t="s">
        <v>298</v>
      </c>
      <c r="C202" s="13" t="s">
        <v>9</v>
      </c>
      <c r="D202" s="13">
        <v>80.0</v>
      </c>
      <c r="E202" s="15">
        <v>290.0</v>
      </c>
      <c r="F202" s="13" t="s">
        <v>21</v>
      </c>
      <c r="G202" s="15" t="s">
        <v>89</v>
      </c>
      <c r="H202" s="15">
        <v>1000.0</v>
      </c>
      <c r="I202" s="20"/>
      <c r="J202" s="20">
        <f t="shared" si="1"/>
        <v>290</v>
      </c>
      <c r="K202" s="21"/>
      <c r="L202" s="22"/>
    </row>
    <row r="203" ht="22.5" customHeight="1">
      <c r="A203" s="28">
        <v>45943.0</v>
      </c>
      <c r="B203" s="15" t="s">
        <v>299</v>
      </c>
      <c r="C203" s="13" t="s">
        <v>9</v>
      </c>
      <c r="D203" s="13">
        <v>80.0</v>
      </c>
      <c r="E203" s="15">
        <v>280.0</v>
      </c>
      <c r="F203" s="13" t="s">
        <v>21</v>
      </c>
      <c r="G203" s="15" t="s">
        <v>89</v>
      </c>
      <c r="H203" s="15">
        <v>770.0</v>
      </c>
      <c r="I203" s="20"/>
      <c r="J203" s="20">
        <f t="shared" si="1"/>
        <v>215.6</v>
      </c>
      <c r="K203" s="21"/>
      <c r="L203" s="22"/>
    </row>
    <row r="204" ht="22.5" customHeight="1">
      <c r="A204" s="28">
        <v>45943.0</v>
      </c>
      <c r="B204" s="15" t="s">
        <v>300</v>
      </c>
      <c r="C204" s="13" t="s">
        <v>9</v>
      </c>
      <c r="D204" s="13">
        <v>80.0</v>
      </c>
      <c r="E204" s="15">
        <v>290.0</v>
      </c>
      <c r="F204" s="13" t="s">
        <v>21</v>
      </c>
      <c r="G204" s="15" t="s">
        <v>89</v>
      </c>
      <c r="H204" s="15">
        <v>170.0</v>
      </c>
      <c r="I204" s="20"/>
      <c r="J204" s="20">
        <f t="shared" si="1"/>
        <v>49.3</v>
      </c>
      <c r="K204" s="21"/>
      <c r="L204" s="22"/>
    </row>
    <row r="205" ht="22.5" customHeight="1">
      <c r="A205" s="28">
        <v>45943.0</v>
      </c>
      <c r="B205" s="15" t="s">
        <v>301</v>
      </c>
      <c r="C205" s="13" t="s">
        <v>9</v>
      </c>
      <c r="D205" s="13">
        <v>80.0</v>
      </c>
      <c r="E205" s="15">
        <v>290.0</v>
      </c>
      <c r="F205" s="13" t="s">
        <v>21</v>
      </c>
      <c r="G205" s="15" t="s">
        <v>89</v>
      </c>
      <c r="H205" s="15">
        <v>1880.0</v>
      </c>
      <c r="I205" s="20"/>
      <c r="J205" s="20">
        <f t="shared" si="1"/>
        <v>545.2</v>
      </c>
      <c r="K205" s="21"/>
      <c r="L205" s="22"/>
    </row>
    <row r="206" ht="22.5" customHeight="1">
      <c r="A206" s="28">
        <v>45943.0</v>
      </c>
      <c r="B206" s="15" t="s">
        <v>303</v>
      </c>
      <c r="C206" s="13" t="s">
        <v>9</v>
      </c>
      <c r="D206" s="13">
        <v>80.0</v>
      </c>
      <c r="E206" s="15">
        <v>280.0</v>
      </c>
      <c r="F206" s="13" t="s">
        <v>21</v>
      </c>
      <c r="G206" s="15" t="s">
        <v>89</v>
      </c>
      <c r="H206" s="15">
        <v>1040.0</v>
      </c>
      <c r="I206" s="20"/>
      <c r="J206" s="20">
        <f t="shared" si="1"/>
        <v>291.2</v>
      </c>
      <c r="K206" s="21"/>
      <c r="L206" s="22"/>
    </row>
    <row r="207" ht="22.5" customHeight="1">
      <c r="A207" s="28">
        <v>45943.0</v>
      </c>
      <c r="B207" s="15" t="s">
        <v>305</v>
      </c>
      <c r="C207" s="13" t="s">
        <v>9</v>
      </c>
      <c r="D207" s="13">
        <v>80.0</v>
      </c>
      <c r="E207" s="15">
        <v>125.0</v>
      </c>
      <c r="F207" s="13" t="s">
        <v>21</v>
      </c>
      <c r="G207" s="15" t="s">
        <v>89</v>
      </c>
      <c r="H207" s="15">
        <v>1300.0</v>
      </c>
      <c r="I207" s="20"/>
      <c r="J207" s="20">
        <f t="shared" si="1"/>
        <v>162.5</v>
      </c>
      <c r="K207" s="21"/>
      <c r="L207" s="22"/>
    </row>
    <row r="208" ht="22.5" customHeight="1">
      <c r="A208" s="28">
        <v>45943.0</v>
      </c>
      <c r="B208" s="15" t="s">
        <v>306</v>
      </c>
      <c r="C208" s="13" t="s">
        <v>9</v>
      </c>
      <c r="D208" s="13">
        <v>80.0</v>
      </c>
      <c r="E208" s="15">
        <v>180.0</v>
      </c>
      <c r="F208" s="13" t="s">
        <v>21</v>
      </c>
      <c r="G208" s="15" t="s">
        <v>89</v>
      </c>
      <c r="H208" s="15">
        <v>200.0</v>
      </c>
      <c r="I208" s="20"/>
      <c r="J208" s="20">
        <f t="shared" si="1"/>
        <v>36</v>
      </c>
      <c r="K208" s="21"/>
      <c r="L208" s="22"/>
    </row>
    <row r="209" ht="22.5" customHeight="1">
      <c r="A209" s="28">
        <v>45943.0</v>
      </c>
      <c r="B209" s="15" t="s">
        <v>307</v>
      </c>
      <c r="C209" s="13" t="s">
        <v>9</v>
      </c>
      <c r="D209" s="13">
        <v>80.0</v>
      </c>
      <c r="E209" s="15">
        <v>290.0</v>
      </c>
      <c r="F209" s="13" t="s">
        <v>21</v>
      </c>
      <c r="G209" s="15" t="s">
        <v>89</v>
      </c>
      <c r="H209" s="21"/>
      <c r="I209" s="20"/>
      <c r="J209" s="20">
        <f t="shared" si="1"/>
        <v>0</v>
      </c>
      <c r="K209" s="15" t="s">
        <v>243</v>
      </c>
      <c r="L209" s="37"/>
    </row>
    <row r="210" ht="22.5" customHeight="1">
      <c r="A210" s="28">
        <v>45944.0</v>
      </c>
      <c r="B210" s="15" t="s">
        <v>308</v>
      </c>
      <c r="C210" s="13" t="s">
        <v>9</v>
      </c>
      <c r="D210" s="13">
        <v>80.0</v>
      </c>
      <c r="E210" s="15">
        <v>330.0</v>
      </c>
      <c r="F210" s="13" t="s">
        <v>21</v>
      </c>
      <c r="G210" s="15" t="s">
        <v>89</v>
      </c>
      <c r="H210" s="15">
        <v>1000.0</v>
      </c>
      <c r="I210" s="20"/>
      <c r="J210" s="20">
        <f t="shared" si="1"/>
        <v>330</v>
      </c>
      <c r="K210" s="21"/>
      <c r="L210" s="22"/>
    </row>
    <row r="211" ht="22.5" customHeight="1">
      <c r="A211" s="28">
        <v>45944.0</v>
      </c>
      <c r="B211" s="15" t="s">
        <v>309</v>
      </c>
      <c r="C211" s="13" t="s">
        <v>9</v>
      </c>
      <c r="D211" s="13">
        <v>80.0</v>
      </c>
      <c r="E211" s="15">
        <v>125.0</v>
      </c>
      <c r="F211" s="13" t="s">
        <v>21</v>
      </c>
      <c r="G211" s="15" t="s">
        <v>89</v>
      </c>
      <c r="H211" s="15">
        <v>1174.0</v>
      </c>
      <c r="I211" s="20"/>
      <c r="J211" s="20">
        <f t="shared" si="1"/>
        <v>146.75</v>
      </c>
      <c r="K211" s="21"/>
      <c r="L211" s="22"/>
    </row>
    <row r="212" ht="22.5" customHeight="1">
      <c r="A212" s="28">
        <v>45944.0</v>
      </c>
      <c r="B212" s="15" t="s">
        <v>310</v>
      </c>
      <c r="C212" s="13" t="s">
        <v>9</v>
      </c>
      <c r="D212" s="13">
        <v>80.0</v>
      </c>
      <c r="E212" s="15">
        <v>250.0</v>
      </c>
      <c r="F212" s="13" t="s">
        <v>21</v>
      </c>
      <c r="G212" s="15" t="s">
        <v>89</v>
      </c>
      <c r="H212" s="15">
        <v>1050.0</v>
      </c>
      <c r="I212" s="20"/>
      <c r="J212" s="20">
        <f t="shared" si="1"/>
        <v>262.5</v>
      </c>
      <c r="K212" s="21"/>
      <c r="L212" s="22"/>
    </row>
    <row r="213" ht="22.5" customHeight="1">
      <c r="A213" s="28">
        <v>45944.0</v>
      </c>
      <c r="B213" s="15" t="s">
        <v>311</v>
      </c>
      <c r="C213" s="13" t="s">
        <v>9</v>
      </c>
      <c r="D213" s="13">
        <v>80.0</v>
      </c>
      <c r="E213" s="15">
        <v>330.0</v>
      </c>
      <c r="F213" s="13" t="s">
        <v>21</v>
      </c>
      <c r="G213" s="15" t="s">
        <v>89</v>
      </c>
      <c r="H213" s="15">
        <v>1600.0</v>
      </c>
      <c r="I213" s="20"/>
      <c r="J213" s="20">
        <f t="shared" si="1"/>
        <v>528</v>
      </c>
      <c r="K213" s="21"/>
      <c r="L213" s="22"/>
    </row>
    <row r="214" ht="22.5" customHeight="1">
      <c r="A214" s="28">
        <v>45944.0</v>
      </c>
      <c r="B214" s="15" t="s">
        <v>312</v>
      </c>
      <c r="C214" s="13" t="s">
        <v>9</v>
      </c>
      <c r="D214" s="13">
        <v>80.0</v>
      </c>
      <c r="E214" s="15">
        <v>125.0</v>
      </c>
      <c r="F214" s="13" t="s">
        <v>21</v>
      </c>
      <c r="G214" s="15" t="s">
        <v>89</v>
      </c>
      <c r="H214" s="15">
        <v>1770.0</v>
      </c>
      <c r="I214" s="20"/>
      <c r="J214" s="20">
        <f t="shared" si="1"/>
        <v>221.25</v>
      </c>
      <c r="K214" s="21"/>
      <c r="L214" s="22"/>
    </row>
    <row r="215" ht="22.5" customHeight="1">
      <c r="A215" s="28">
        <v>45944.0</v>
      </c>
      <c r="B215" s="15" t="s">
        <v>313</v>
      </c>
      <c r="C215" s="13" t="s">
        <v>9</v>
      </c>
      <c r="D215" s="13">
        <v>80.0</v>
      </c>
      <c r="E215" s="15">
        <v>125.0</v>
      </c>
      <c r="F215" s="13" t="s">
        <v>21</v>
      </c>
      <c r="G215" s="15" t="s">
        <v>89</v>
      </c>
      <c r="H215" s="15">
        <v>400.0</v>
      </c>
      <c r="I215" s="20"/>
      <c r="J215" s="20">
        <f t="shared" si="1"/>
        <v>50</v>
      </c>
      <c r="K215" s="21"/>
      <c r="L215" s="22"/>
    </row>
    <row r="216" ht="22.5" customHeight="1">
      <c r="A216" s="28">
        <v>45944.0</v>
      </c>
      <c r="B216" s="15" t="s">
        <v>314</v>
      </c>
      <c r="C216" s="13" t="s">
        <v>9</v>
      </c>
      <c r="D216" s="13">
        <v>80.0</v>
      </c>
      <c r="E216" s="15">
        <v>125.0</v>
      </c>
      <c r="F216" s="13" t="s">
        <v>21</v>
      </c>
      <c r="G216" s="15" t="s">
        <v>89</v>
      </c>
      <c r="H216" s="15">
        <v>1800.0</v>
      </c>
      <c r="I216" s="20"/>
      <c r="J216" s="20">
        <f t="shared" si="1"/>
        <v>225</v>
      </c>
      <c r="K216" s="21"/>
      <c r="L216" s="22"/>
    </row>
    <row r="217" ht="22.5" customHeight="1">
      <c r="A217" s="28">
        <v>45944.0</v>
      </c>
      <c r="B217" s="15" t="s">
        <v>315</v>
      </c>
      <c r="C217" s="13" t="s">
        <v>43</v>
      </c>
      <c r="D217" s="13">
        <v>50.0</v>
      </c>
      <c r="E217" s="15">
        <v>125.0</v>
      </c>
      <c r="F217" s="13" t="s">
        <v>27</v>
      </c>
      <c r="G217" s="15" t="s">
        <v>176</v>
      </c>
      <c r="H217" s="15">
        <v>1660.0</v>
      </c>
      <c r="I217" s="20"/>
      <c r="J217" s="20">
        <f t="shared" si="1"/>
        <v>207.5</v>
      </c>
      <c r="K217" s="21"/>
      <c r="L217" s="22"/>
    </row>
    <row r="218" ht="22.5" customHeight="1">
      <c r="A218" s="28">
        <v>45945.0</v>
      </c>
      <c r="B218" s="15" t="s">
        <v>316</v>
      </c>
      <c r="C218" s="13" t="s">
        <v>9</v>
      </c>
      <c r="D218" s="13">
        <v>80.0</v>
      </c>
      <c r="E218" s="15">
        <v>210.0</v>
      </c>
      <c r="F218" s="13" t="s">
        <v>21</v>
      </c>
      <c r="G218" s="15" t="s">
        <v>89</v>
      </c>
      <c r="H218" s="15">
        <v>850.0</v>
      </c>
      <c r="I218" s="20"/>
      <c r="J218" s="20">
        <f t="shared" si="1"/>
        <v>178.5</v>
      </c>
      <c r="K218" s="21"/>
      <c r="L218" s="22"/>
    </row>
    <row r="219" ht="22.5" customHeight="1">
      <c r="A219" s="28">
        <v>45945.0</v>
      </c>
      <c r="B219" s="15" t="s">
        <v>318</v>
      </c>
      <c r="C219" s="13" t="s">
        <v>9</v>
      </c>
      <c r="D219" s="13">
        <v>80.0</v>
      </c>
      <c r="E219" s="15">
        <v>210.0</v>
      </c>
      <c r="F219" s="13" t="s">
        <v>21</v>
      </c>
      <c r="G219" s="15" t="s">
        <v>89</v>
      </c>
      <c r="H219" s="15">
        <v>370.0</v>
      </c>
      <c r="I219" s="20"/>
      <c r="J219" s="20">
        <f t="shared" si="1"/>
        <v>77.7</v>
      </c>
      <c r="K219" s="21"/>
      <c r="L219" s="22"/>
    </row>
    <row r="220" ht="22.5" customHeight="1">
      <c r="A220" s="28">
        <v>45945.0</v>
      </c>
      <c r="B220" s="15" t="s">
        <v>319</v>
      </c>
      <c r="C220" s="13" t="s">
        <v>9</v>
      </c>
      <c r="D220" s="13">
        <v>80.0</v>
      </c>
      <c r="E220" s="15">
        <v>320.0</v>
      </c>
      <c r="F220" s="13" t="s">
        <v>21</v>
      </c>
      <c r="G220" s="15" t="s">
        <v>89</v>
      </c>
      <c r="H220" s="15">
        <v>400.0</v>
      </c>
      <c r="I220" s="20"/>
      <c r="J220" s="20">
        <f t="shared" si="1"/>
        <v>128</v>
      </c>
      <c r="K220" s="21"/>
      <c r="L220" s="22"/>
    </row>
    <row r="221" ht="22.5" customHeight="1">
      <c r="A221" s="28">
        <v>45945.0</v>
      </c>
      <c r="B221" s="15" t="s">
        <v>320</v>
      </c>
      <c r="C221" s="13" t="s">
        <v>9</v>
      </c>
      <c r="D221" s="13">
        <v>80.0</v>
      </c>
      <c r="E221" s="15">
        <v>125.0</v>
      </c>
      <c r="F221" s="13" t="s">
        <v>21</v>
      </c>
      <c r="G221" s="15" t="s">
        <v>89</v>
      </c>
      <c r="H221" s="15">
        <v>1707.0</v>
      </c>
      <c r="I221" s="20"/>
      <c r="J221" s="20">
        <f t="shared" si="1"/>
        <v>213.375</v>
      </c>
      <c r="K221" s="21"/>
      <c r="L221" s="22"/>
    </row>
    <row r="222" ht="22.5" customHeight="1">
      <c r="A222" s="28">
        <v>45945.0</v>
      </c>
      <c r="B222" s="15" t="s">
        <v>322</v>
      </c>
      <c r="C222" s="13" t="s">
        <v>36</v>
      </c>
      <c r="D222" s="13">
        <v>70.0</v>
      </c>
      <c r="E222" s="15">
        <v>130.0</v>
      </c>
      <c r="F222" s="13" t="s">
        <v>37</v>
      </c>
      <c r="G222" s="15" t="s">
        <v>324</v>
      </c>
      <c r="H222" s="15">
        <v>2750.0</v>
      </c>
      <c r="I222" s="20"/>
      <c r="J222" s="20">
        <f t="shared" si="1"/>
        <v>357.5</v>
      </c>
      <c r="K222" s="21"/>
      <c r="L222" s="22"/>
    </row>
    <row r="223" ht="22.5" customHeight="1">
      <c r="A223" s="28">
        <v>45945.0</v>
      </c>
      <c r="B223" s="15" t="s">
        <v>325</v>
      </c>
      <c r="C223" s="13" t="s">
        <v>36</v>
      </c>
      <c r="D223" s="13">
        <v>70.0</v>
      </c>
      <c r="E223" s="15">
        <v>255.0</v>
      </c>
      <c r="F223" s="13" t="s">
        <v>37</v>
      </c>
      <c r="G223" s="15" t="s">
        <v>324</v>
      </c>
      <c r="H223" s="15">
        <v>2636.0</v>
      </c>
      <c r="I223" s="20"/>
      <c r="J223" s="20">
        <f t="shared" si="1"/>
        <v>672.18</v>
      </c>
      <c r="K223" s="21"/>
      <c r="L223" s="22"/>
    </row>
    <row r="224" ht="22.5" customHeight="1">
      <c r="A224" s="28">
        <v>45945.0</v>
      </c>
      <c r="B224" s="15" t="s">
        <v>327</v>
      </c>
      <c r="C224" s="13" t="s">
        <v>36</v>
      </c>
      <c r="D224" s="13">
        <v>70.0</v>
      </c>
      <c r="E224" s="15">
        <v>255.0</v>
      </c>
      <c r="F224" s="13" t="s">
        <v>37</v>
      </c>
      <c r="G224" s="15" t="s">
        <v>324</v>
      </c>
      <c r="H224" s="15">
        <v>2830.0</v>
      </c>
      <c r="I224" s="20"/>
      <c r="J224" s="20">
        <f t="shared" si="1"/>
        <v>721.65</v>
      </c>
      <c r="K224" s="21"/>
      <c r="L224" s="22"/>
    </row>
    <row r="225" ht="22.5" customHeight="1">
      <c r="A225" s="28">
        <v>45945.0</v>
      </c>
      <c r="B225" s="15" t="s">
        <v>328</v>
      </c>
      <c r="C225" s="13" t="s">
        <v>36</v>
      </c>
      <c r="D225" s="13">
        <v>70.0</v>
      </c>
      <c r="E225" s="15">
        <v>255.0</v>
      </c>
      <c r="F225" s="13" t="s">
        <v>37</v>
      </c>
      <c r="G225" s="15" t="s">
        <v>324</v>
      </c>
      <c r="H225" s="15">
        <v>2450.0</v>
      </c>
      <c r="I225" s="20"/>
      <c r="J225" s="20">
        <f t="shared" si="1"/>
        <v>624.75</v>
      </c>
      <c r="K225" s="21"/>
      <c r="L225" s="22"/>
    </row>
    <row r="226" ht="22.5" customHeight="1">
      <c r="A226" s="28">
        <v>45946.0</v>
      </c>
      <c r="B226" s="15" t="s">
        <v>329</v>
      </c>
      <c r="C226" s="13" t="s">
        <v>9</v>
      </c>
      <c r="D226" s="13">
        <v>80.0</v>
      </c>
      <c r="E226" s="15">
        <v>395.0</v>
      </c>
      <c r="F226" s="13" t="s">
        <v>21</v>
      </c>
      <c r="G226" s="46" t="s">
        <v>89</v>
      </c>
      <c r="H226" s="15">
        <v>200.0</v>
      </c>
      <c r="I226" s="20"/>
      <c r="J226" s="20">
        <f t="shared" si="1"/>
        <v>79</v>
      </c>
      <c r="K226" s="21"/>
      <c r="L226" s="22"/>
    </row>
    <row r="227" ht="22.5" customHeight="1">
      <c r="A227" s="28">
        <v>45946.0</v>
      </c>
      <c r="B227" s="15" t="s">
        <v>330</v>
      </c>
      <c r="C227" s="13" t="s">
        <v>54</v>
      </c>
      <c r="D227" s="13">
        <v>40.0</v>
      </c>
      <c r="E227" s="15">
        <v>240.0</v>
      </c>
      <c r="F227" s="13" t="s">
        <v>55</v>
      </c>
      <c r="G227" s="46" t="s">
        <v>331</v>
      </c>
      <c r="H227" s="15">
        <v>1300.0</v>
      </c>
      <c r="I227" s="20"/>
      <c r="J227" s="20">
        <f t="shared" si="1"/>
        <v>312</v>
      </c>
      <c r="K227" s="21"/>
      <c r="L227" s="22"/>
    </row>
    <row r="228" ht="22.5" customHeight="1">
      <c r="A228" s="28">
        <v>45946.0</v>
      </c>
      <c r="B228" s="15" t="s">
        <v>332</v>
      </c>
      <c r="C228" s="13" t="s">
        <v>54</v>
      </c>
      <c r="D228" s="13">
        <v>40.0</v>
      </c>
      <c r="E228" s="15">
        <v>240.0</v>
      </c>
      <c r="F228" s="13" t="s">
        <v>55</v>
      </c>
      <c r="G228" s="46" t="s">
        <v>331</v>
      </c>
      <c r="H228" s="15">
        <v>3161.0</v>
      </c>
      <c r="I228" s="20"/>
      <c r="J228" s="20">
        <f t="shared" si="1"/>
        <v>758.64</v>
      </c>
      <c r="K228" s="21"/>
      <c r="L228" s="22"/>
    </row>
    <row r="229" ht="22.5" customHeight="1">
      <c r="A229" s="28">
        <v>45946.0</v>
      </c>
      <c r="B229" s="15" t="s">
        <v>333</v>
      </c>
      <c r="C229" s="13" t="s">
        <v>54</v>
      </c>
      <c r="D229" s="13">
        <v>40.0</v>
      </c>
      <c r="E229" s="15">
        <v>240.0</v>
      </c>
      <c r="F229" s="13" t="s">
        <v>55</v>
      </c>
      <c r="G229" s="46" t="s">
        <v>331</v>
      </c>
      <c r="H229" s="15">
        <v>2318.0</v>
      </c>
      <c r="I229" s="20"/>
      <c r="J229" s="20">
        <f t="shared" si="1"/>
        <v>556.32</v>
      </c>
      <c r="K229" s="21"/>
      <c r="L229" s="22"/>
    </row>
    <row r="230" ht="22.5" customHeight="1">
      <c r="A230" s="28">
        <v>45946.0</v>
      </c>
      <c r="B230" s="15" t="s">
        <v>335</v>
      </c>
      <c r="C230" s="13" t="s">
        <v>54</v>
      </c>
      <c r="D230" s="13">
        <v>40.0</v>
      </c>
      <c r="E230" s="15">
        <v>240.0</v>
      </c>
      <c r="F230" s="13" t="s">
        <v>55</v>
      </c>
      <c r="G230" s="46" t="s">
        <v>331</v>
      </c>
      <c r="H230" s="15">
        <v>4686.0</v>
      </c>
      <c r="I230" s="20"/>
      <c r="J230" s="20">
        <f t="shared" si="1"/>
        <v>1124.64</v>
      </c>
      <c r="K230" s="21"/>
      <c r="L230" s="22"/>
    </row>
    <row r="231" ht="22.5" customHeight="1">
      <c r="A231" s="28">
        <v>45946.0</v>
      </c>
      <c r="B231" s="15" t="s">
        <v>336</v>
      </c>
      <c r="C231" s="13" t="s">
        <v>65</v>
      </c>
      <c r="D231" s="13">
        <v>40.0</v>
      </c>
      <c r="E231" s="15">
        <v>240.0</v>
      </c>
      <c r="F231" s="13" t="s">
        <v>55</v>
      </c>
      <c r="G231" s="46" t="s">
        <v>331</v>
      </c>
      <c r="H231" s="15">
        <v>1441.0</v>
      </c>
      <c r="I231" s="20"/>
      <c r="J231" s="20">
        <f t="shared" si="1"/>
        <v>345.84</v>
      </c>
      <c r="K231" s="21"/>
      <c r="L231" s="22"/>
    </row>
    <row r="232" ht="22.5" customHeight="1">
      <c r="A232" s="28">
        <v>45947.0</v>
      </c>
      <c r="B232" s="15" t="s">
        <v>337</v>
      </c>
      <c r="C232" s="13" t="s">
        <v>9</v>
      </c>
      <c r="D232" s="13">
        <v>80.0</v>
      </c>
      <c r="E232" s="15">
        <v>250.0</v>
      </c>
      <c r="F232" s="13" t="s">
        <v>21</v>
      </c>
      <c r="G232" s="46" t="s">
        <v>89</v>
      </c>
      <c r="H232" s="15">
        <v>300.0</v>
      </c>
      <c r="I232" s="20"/>
      <c r="J232" s="20">
        <f t="shared" si="1"/>
        <v>75</v>
      </c>
      <c r="K232" s="21"/>
      <c r="L232" s="22"/>
    </row>
    <row r="233" ht="22.5" customHeight="1">
      <c r="A233" s="28">
        <v>45947.0</v>
      </c>
      <c r="B233" s="15" t="s">
        <v>338</v>
      </c>
      <c r="C233" s="13" t="s">
        <v>9</v>
      </c>
      <c r="D233" s="13">
        <v>80.0</v>
      </c>
      <c r="E233" s="15">
        <v>160.0</v>
      </c>
      <c r="F233" s="13" t="s">
        <v>27</v>
      </c>
      <c r="G233" s="46" t="s">
        <v>99</v>
      </c>
      <c r="H233" s="15">
        <v>500.0</v>
      </c>
      <c r="I233" s="20"/>
      <c r="J233" s="20">
        <f t="shared" si="1"/>
        <v>80</v>
      </c>
      <c r="K233" s="21"/>
      <c r="L233" s="22"/>
    </row>
    <row r="234" ht="22.5" customHeight="1">
      <c r="A234" s="28">
        <v>45947.0</v>
      </c>
      <c r="B234" s="15" t="s">
        <v>340</v>
      </c>
      <c r="C234" s="13" t="s">
        <v>9</v>
      </c>
      <c r="D234" s="13">
        <v>80.0</v>
      </c>
      <c r="E234" s="15">
        <v>125.0</v>
      </c>
      <c r="F234" s="13" t="s">
        <v>21</v>
      </c>
      <c r="G234" s="46" t="s">
        <v>89</v>
      </c>
      <c r="H234" s="15">
        <v>1150.0</v>
      </c>
      <c r="I234" s="20"/>
      <c r="J234" s="20">
        <f t="shared" si="1"/>
        <v>143.75</v>
      </c>
      <c r="K234" s="21"/>
      <c r="L234" s="22"/>
    </row>
    <row r="235" ht="22.5" customHeight="1">
      <c r="A235" s="28">
        <v>45948.0</v>
      </c>
      <c r="B235" s="15" t="s">
        <v>341</v>
      </c>
      <c r="C235" s="13" t="s">
        <v>43</v>
      </c>
      <c r="D235" s="13">
        <v>50.0</v>
      </c>
      <c r="E235" s="15">
        <v>220.0</v>
      </c>
      <c r="F235" s="13" t="s">
        <v>27</v>
      </c>
      <c r="G235" s="46" t="s">
        <v>99</v>
      </c>
      <c r="H235" s="15">
        <v>200.0</v>
      </c>
      <c r="I235" s="20"/>
      <c r="J235" s="20">
        <f t="shared" si="1"/>
        <v>44</v>
      </c>
      <c r="K235" s="21"/>
      <c r="L235" s="22"/>
    </row>
    <row r="236" ht="22.5" customHeight="1">
      <c r="A236" s="28">
        <v>45948.0</v>
      </c>
      <c r="B236" s="15" t="s">
        <v>342</v>
      </c>
      <c r="C236" s="13" t="s">
        <v>34</v>
      </c>
      <c r="D236" s="13">
        <v>120.0</v>
      </c>
      <c r="E236" s="15">
        <v>250.0</v>
      </c>
      <c r="F236" s="13" t="s">
        <v>35</v>
      </c>
      <c r="G236" s="46" t="s">
        <v>99</v>
      </c>
      <c r="H236" s="21"/>
      <c r="I236" s="20"/>
      <c r="J236" s="20">
        <f t="shared" si="1"/>
        <v>0</v>
      </c>
      <c r="K236" s="15" t="s">
        <v>137</v>
      </c>
      <c r="L236" s="37"/>
    </row>
    <row r="237" ht="22.5" customHeight="1">
      <c r="A237" s="28">
        <v>45948.0</v>
      </c>
      <c r="B237" s="15" t="s">
        <v>343</v>
      </c>
      <c r="C237" s="13" t="s">
        <v>9</v>
      </c>
      <c r="D237" s="13">
        <v>80.0</v>
      </c>
      <c r="E237" s="15">
        <v>140.0</v>
      </c>
      <c r="F237" s="13" t="s">
        <v>27</v>
      </c>
      <c r="G237" s="46" t="s">
        <v>99</v>
      </c>
      <c r="H237" s="15">
        <v>1100.0</v>
      </c>
      <c r="I237" s="20"/>
      <c r="J237" s="20">
        <f t="shared" si="1"/>
        <v>154</v>
      </c>
      <c r="K237" s="21"/>
      <c r="L237" s="22"/>
    </row>
    <row r="238" ht="22.5" customHeight="1">
      <c r="A238" s="28">
        <v>45948.0</v>
      </c>
      <c r="B238" s="15" t="s">
        <v>344</v>
      </c>
      <c r="C238" s="13" t="s">
        <v>9</v>
      </c>
      <c r="D238" s="13">
        <v>80.0</v>
      </c>
      <c r="E238" s="15">
        <v>230.0</v>
      </c>
      <c r="F238" s="13" t="s">
        <v>27</v>
      </c>
      <c r="G238" s="46" t="s">
        <v>99</v>
      </c>
      <c r="H238" s="21"/>
      <c r="I238" s="20"/>
      <c r="J238" s="20">
        <f t="shared" si="1"/>
        <v>0</v>
      </c>
      <c r="K238" s="15" t="s">
        <v>137</v>
      </c>
      <c r="L238" s="37"/>
    </row>
    <row r="239" ht="22.5" customHeight="1">
      <c r="A239" s="28">
        <v>45954.0</v>
      </c>
      <c r="B239" s="15" t="s">
        <v>345</v>
      </c>
      <c r="C239" s="13" t="s">
        <v>9</v>
      </c>
      <c r="D239" s="13">
        <v>80.0</v>
      </c>
      <c r="E239" s="15">
        <v>260.0</v>
      </c>
      <c r="F239" s="13" t="s">
        <v>27</v>
      </c>
      <c r="G239" s="46" t="s">
        <v>99</v>
      </c>
      <c r="H239" s="15">
        <v>250.0</v>
      </c>
      <c r="I239" s="20"/>
      <c r="J239" s="20">
        <f t="shared" si="1"/>
        <v>65</v>
      </c>
      <c r="K239" s="21"/>
      <c r="L239" s="22"/>
    </row>
    <row r="240" ht="22.5" customHeight="1">
      <c r="A240" s="28">
        <v>45954.0</v>
      </c>
      <c r="B240" s="15" t="s">
        <v>346</v>
      </c>
      <c r="C240" s="13" t="s">
        <v>9</v>
      </c>
      <c r="D240" s="13">
        <v>80.0</v>
      </c>
      <c r="E240" s="15">
        <v>160.0</v>
      </c>
      <c r="F240" s="13" t="s">
        <v>27</v>
      </c>
      <c r="G240" s="46" t="s">
        <v>99</v>
      </c>
      <c r="H240" s="15">
        <v>1000.0</v>
      </c>
      <c r="I240" s="20"/>
      <c r="J240" s="20">
        <f t="shared" si="1"/>
        <v>160</v>
      </c>
      <c r="K240" s="21"/>
      <c r="L240" s="22"/>
    </row>
    <row r="241" ht="22.5" customHeight="1">
      <c r="A241" s="28">
        <v>45954.0</v>
      </c>
      <c r="B241" s="15" t="s">
        <v>347</v>
      </c>
      <c r="C241" s="13" t="s">
        <v>9</v>
      </c>
      <c r="D241" s="13">
        <v>80.0</v>
      </c>
      <c r="E241" s="15">
        <v>160.0</v>
      </c>
      <c r="F241" s="13" t="s">
        <v>27</v>
      </c>
      <c r="G241" s="46" t="s">
        <v>176</v>
      </c>
      <c r="H241" s="15">
        <v>350.0</v>
      </c>
      <c r="I241" s="20"/>
      <c r="J241" s="20">
        <f t="shared" si="1"/>
        <v>56</v>
      </c>
      <c r="K241" s="21"/>
      <c r="L241" s="22"/>
    </row>
    <row r="242" ht="22.5" customHeight="1">
      <c r="A242" s="28">
        <v>45954.0</v>
      </c>
      <c r="B242" s="15" t="s">
        <v>348</v>
      </c>
      <c r="C242" s="13" t="s">
        <v>9</v>
      </c>
      <c r="D242" s="13">
        <v>80.0</v>
      </c>
      <c r="E242" s="15">
        <v>210.0</v>
      </c>
      <c r="F242" s="13" t="s">
        <v>21</v>
      </c>
      <c r="G242" s="46" t="s">
        <v>89</v>
      </c>
      <c r="H242" s="15">
        <v>380.0</v>
      </c>
      <c r="I242" s="20"/>
      <c r="J242" s="20">
        <f t="shared" si="1"/>
        <v>79.8</v>
      </c>
      <c r="K242" s="21"/>
      <c r="L242" s="22"/>
    </row>
    <row r="243" ht="22.5" customHeight="1">
      <c r="A243" s="28">
        <v>45955.0</v>
      </c>
      <c r="B243" s="15" t="s">
        <v>349</v>
      </c>
      <c r="C243" s="13" t="s">
        <v>9</v>
      </c>
      <c r="D243" s="13">
        <v>80.0</v>
      </c>
      <c r="E243" s="15">
        <v>180.0</v>
      </c>
      <c r="F243" s="13" t="s">
        <v>21</v>
      </c>
      <c r="G243" s="46" t="s">
        <v>89</v>
      </c>
      <c r="H243" s="15">
        <v>1700.0</v>
      </c>
      <c r="I243" s="20"/>
      <c r="J243" s="20">
        <f t="shared" si="1"/>
        <v>306</v>
      </c>
      <c r="K243" s="21"/>
      <c r="L243" s="22"/>
    </row>
    <row r="244" ht="22.5" customHeight="1">
      <c r="A244" s="28">
        <v>45955.0</v>
      </c>
      <c r="B244" s="15" t="s">
        <v>350</v>
      </c>
      <c r="C244" s="13" t="s">
        <v>9</v>
      </c>
      <c r="D244" s="13">
        <v>80.0</v>
      </c>
      <c r="E244" s="15">
        <v>250.0</v>
      </c>
      <c r="F244" s="13" t="s">
        <v>21</v>
      </c>
      <c r="G244" s="46" t="s">
        <v>89</v>
      </c>
      <c r="H244" s="15">
        <v>500.0</v>
      </c>
      <c r="I244" s="20"/>
      <c r="J244" s="20">
        <f t="shared" si="1"/>
        <v>125</v>
      </c>
      <c r="K244" s="21"/>
      <c r="L244" s="22"/>
    </row>
    <row r="245" ht="22.5" customHeight="1">
      <c r="A245" s="28">
        <v>45955.0</v>
      </c>
      <c r="B245" s="15" t="s">
        <v>351</v>
      </c>
      <c r="C245" s="13" t="s">
        <v>9</v>
      </c>
      <c r="D245" s="13">
        <v>80.0</v>
      </c>
      <c r="E245" s="15">
        <v>210.0</v>
      </c>
      <c r="F245" s="13" t="s">
        <v>21</v>
      </c>
      <c r="G245" s="46" t="s">
        <v>89</v>
      </c>
      <c r="H245" s="15">
        <v>930.0</v>
      </c>
      <c r="I245" s="20"/>
      <c r="J245" s="20">
        <f t="shared" si="1"/>
        <v>195.3</v>
      </c>
      <c r="K245" s="21"/>
      <c r="L245" s="22"/>
    </row>
    <row r="246" ht="22.5" customHeight="1">
      <c r="A246" s="28">
        <v>45955.0</v>
      </c>
      <c r="B246" s="15" t="s">
        <v>352</v>
      </c>
      <c r="C246" s="13" t="s">
        <v>9</v>
      </c>
      <c r="D246" s="13">
        <v>80.0</v>
      </c>
      <c r="E246" s="15">
        <v>280.0</v>
      </c>
      <c r="F246" s="13" t="s">
        <v>21</v>
      </c>
      <c r="G246" s="46" t="s">
        <v>89</v>
      </c>
      <c r="H246" s="15">
        <v>700.0</v>
      </c>
      <c r="I246" s="20"/>
      <c r="J246" s="20">
        <f t="shared" si="1"/>
        <v>196</v>
      </c>
      <c r="K246" s="21"/>
      <c r="L246" s="22"/>
    </row>
    <row r="247" ht="22.5" customHeight="1">
      <c r="A247" s="28">
        <v>45955.0</v>
      </c>
      <c r="B247" s="15" t="s">
        <v>353</v>
      </c>
      <c r="C247" s="13" t="s">
        <v>9</v>
      </c>
      <c r="D247" s="13">
        <v>80.0</v>
      </c>
      <c r="E247" s="15">
        <v>210.0</v>
      </c>
      <c r="F247" s="13" t="s">
        <v>21</v>
      </c>
      <c r="G247" s="46" t="s">
        <v>89</v>
      </c>
      <c r="H247" s="15">
        <v>650.0</v>
      </c>
      <c r="I247" s="20"/>
      <c r="J247" s="20">
        <f t="shared" si="1"/>
        <v>136.5</v>
      </c>
      <c r="K247" s="21"/>
      <c r="L247" s="22"/>
    </row>
    <row r="248" ht="22.5" customHeight="1">
      <c r="A248" s="28">
        <v>45955.0</v>
      </c>
      <c r="B248" s="15" t="s">
        <v>354</v>
      </c>
      <c r="C248" s="13" t="s">
        <v>9</v>
      </c>
      <c r="D248" s="13">
        <v>80.0</v>
      </c>
      <c r="E248" s="15">
        <v>290.0</v>
      </c>
      <c r="F248" s="13" t="s">
        <v>21</v>
      </c>
      <c r="G248" s="46" t="s">
        <v>89</v>
      </c>
      <c r="H248" s="21"/>
      <c r="I248" s="20"/>
      <c r="J248" s="20">
        <f t="shared" si="1"/>
        <v>0</v>
      </c>
      <c r="K248" s="15" t="s">
        <v>137</v>
      </c>
      <c r="L248" s="37"/>
    </row>
    <row r="249" ht="22.5" customHeight="1">
      <c r="A249" s="28">
        <v>45957.0</v>
      </c>
      <c r="B249" s="15" t="s">
        <v>355</v>
      </c>
      <c r="C249" s="13" t="s">
        <v>9</v>
      </c>
      <c r="D249" s="13">
        <v>80.0</v>
      </c>
      <c r="E249" s="15">
        <v>290.0</v>
      </c>
      <c r="F249" s="13" t="s">
        <v>21</v>
      </c>
      <c r="G249" s="46" t="s">
        <v>89</v>
      </c>
      <c r="H249" s="15">
        <v>200.0</v>
      </c>
      <c r="I249" s="20"/>
      <c r="J249" s="20">
        <f t="shared" si="1"/>
        <v>58</v>
      </c>
      <c r="K249" s="21"/>
      <c r="L249" s="22"/>
    </row>
    <row r="250" ht="22.5" customHeight="1">
      <c r="A250" s="28">
        <v>45957.0</v>
      </c>
      <c r="B250" s="15" t="s">
        <v>356</v>
      </c>
      <c r="C250" s="13" t="s">
        <v>26</v>
      </c>
      <c r="D250" s="13">
        <v>80.0</v>
      </c>
      <c r="E250" s="15">
        <v>167.0</v>
      </c>
      <c r="F250" s="13" t="s">
        <v>27</v>
      </c>
      <c r="G250" s="46" t="s">
        <v>99</v>
      </c>
      <c r="H250" s="15">
        <v>450.0</v>
      </c>
      <c r="I250" s="20"/>
      <c r="J250" s="20">
        <f t="shared" si="1"/>
        <v>75.15</v>
      </c>
      <c r="K250" s="15" t="s">
        <v>357</v>
      </c>
      <c r="L250" s="37"/>
    </row>
    <row r="251" ht="22.5" customHeight="1">
      <c r="A251" s="28">
        <v>45957.0</v>
      </c>
      <c r="B251" s="15" t="s">
        <v>360</v>
      </c>
      <c r="C251" s="13" t="s">
        <v>9</v>
      </c>
      <c r="D251" s="13">
        <v>80.0</v>
      </c>
      <c r="E251" s="15">
        <v>300.0</v>
      </c>
      <c r="F251" s="13" t="s">
        <v>21</v>
      </c>
      <c r="G251" s="46" t="s">
        <v>89</v>
      </c>
      <c r="H251" s="15">
        <v>1250.0</v>
      </c>
      <c r="I251" s="20"/>
      <c r="J251" s="20">
        <f t="shared" si="1"/>
        <v>375</v>
      </c>
      <c r="K251" s="15" t="s">
        <v>321</v>
      </c>
      <c r="L251" s="37"/>
    </row>
    <row r="252" ht="22.5" customHeight="1">
      <c r="A252" s="28">
        <v>45958.0</v>
      </c>
      <c r="B252" s="15" t="s">
        <v>367</v>
      </c>
      <c r="C252" s="13" t="s">
        <v>9</v>
      </c>
      <c r="D252" s="13">
        <v>80.0</v>
      </c>
      <c r="E252" s="15">
        <v>330.0</v>
      </c>
      <c r="F252" s="13" t="s">
        <v>21</v>
      </c>
      <c r="G252" s="46" t="s">
        <v>89</v>
      </c>
      <c r="H252" s="15">
        <v>190.0</v>
      </c>
      <c r="I252" s="20"/>
      <c r="J252" s="20">
        <f t="shared" si="1"/>
        <v>62.7</v>
      </c>
      <c r="K252" s="21"/>
      <c r="L252" s="22"/>
    </row>
    <row r="253" ht="22.5" customHeight="1">
      <c r="A253" s="28">
        <v>45959.0</v>
      </c>
      <c r="B253" s="15" t="s">
        <v>369</v>
      </c>
      <c r="C253" s="13" t="s">
        <v>9</v>
      </c>
      <c r="D253" s="13">
        <v>80.0</v>
      </c>
      <c r="E253" s="15">
        <v>280.0</v>
      </c>
      <c r="F253" s="13" t="s">
        <v>21</v>
      </c>
      <c r="G253" s="46" t="s">
        <v>89</v>
      </c>
      <c r="H253" s="21"/>
      <c r="I253" s="20"/>
      <c r="J253" s="20">
        <f t="shared" si="1"/>
        <v>0</v>
      </c>
      <c r="K253" s="15" t="s">
        <v>137</v>
      </c>
      <c r="L253" s="37"/>
    </row>
    <row r="254" ht="22.5" customHeight="1">
      <c r="A254" s="28">
        <v>45959.0</v>
      </c>
      <c r="B254" s="15" t="s">
        <v>370</v>
      </c>
      <c r="C254" s="13" t="s">
        <v>9</v>
      </c>
      <c r="D254" s="13">
        <v>80.0</v>
      </c>
      <c r="E254" s="15">
        <v>290.0</v>
      </c>
      <c r="F254" s="13" t="s">
        <v>21</v>
      </c>
      <c r="G254" s="46" t="s">
        <v>89</v>
      </c>
      <c r="H254" s="15">
        <v>1800.0</v>
      </c>
      <c r="I254" s="20"/>
      <c r="J254" s="20">
        <f t="shared" si="1"/>
        <v>522</v>
      </c>
      <c r="K254" s="21"/>
      <c r="L254" s="22"/>
    </row>
    <row r="255" ht="22.5" customHeight="1">
      <c r="A255" s="28">
        <v>45959.0</v>
      </c>
      <c r="B255" s="15" t="s">
        <v>371</v>
      </c>
      <c r="C255" s="13" t="s">
        <v>9</v>
      </c>
      <c r="D255" s="13">
        <v>80.0</v>
      </c>
      <c r="E255" s="15">
        <v>160.0</v>
      </c>
      <c r="F255" s="13" t="s">
        <v>21</v>
      </c>
      <c r="G255" s="46" t="s">
        <v>89</v>
      </c>
      <c r="H255" s="15">
        <v>350.0</v>
      </c>
      <c r="I255" s="20"/>
      <c r="J255" s="20">
        <f t="shared" si="1"/>
        <v>56</v>
      </c>
      <c r="K255" s="21"/>
      <c r="L255" s="22"/>
    </row>
    <row r="256" ht="22.5" customHeight="1">
      <c r="A256" s="28">
        <v>45959.0</v>
      </c>
      <c r="B256" s="15" t="s">
        <v>372</v>
      </c>
      <c r="C256" s="13" t="s">
        <v>9</v>
      </c>
      <c r="D256" s="13">
        <v>80.0</v>
      </c>
      <c r="E256" s="15">
        <v>280.0</v>
      </c>
      <c r="F256" s="13" t="s">
        <v>21</v>
      </c>
      <c r="G256" s="46" t="s">
        <v>89</v>
      </c>
      <c r="H256" s="15">
        <v>1050.0</v>
      </c>
      <c r="I256" s="20"/>
      <c r="J256" s="20">
        <f t="shared" si="1"/>
        <v>294</v>
      </c>
      <c r="K256" s="21"/>
      <c r="L256" s="22"/>
    </row>
    <row r="257" ht="22.5" customHeight="1">
      <c r="A257" s="28">
        <v>45959.0</v>
      </c>
      <c r="B257" s="15" t="s">
        <v>373</v>
      </c>
      <c r="C257" s="13" t="s">
        <v>9</v>
      </c>
      <c r="D257" s="13">
        <v>80.0</v>
      </c>
      <c r="E257" s="15">
        <v>160.0</v>
      </c>
      <c r="F257" s="13" t="s">
        <v>21</v>
      </c>
      <c r="G257" s="46" t="s">
        <v>89</v>
      </c>
      <c r="H257" s="15">
        <v>1150.0</v>
      </c>
      <c r="I257" s="20"/>
      <c r="J257" s="20">
        <f t="shared" si="1"/>
        <v>184</v>
      </c>
      <c r="K257" s="21"/>
      <c r="L257" s="22"/>
    </row>
    <row r="258" ht="22.5" customHeight="1">
      <c r="A258" s="28">
        <v>45959.0</v>
      </c>
      <c r="B258" s="15" t="s">
        <v>374</v>
      </c>
      <c r="C258" s="13" t="s">
        <v>26</v>
      </c>
      <c r="D258" s="13">
        <v>80.0</v>
      </c>
      <c r="E258" s="15">
        <v>145.0</v>
      </c>
      <c r="F258" s="13" t="s">
        <v>23</v>
      </c>
      <c r="G258" s="46" t="s">
        <v>99</v>
      </c>
      <c r="H258" s="15">
        <v>150.0</v>
      </c>
      <c r="I258" s="20"/>
      <c r="J258" s="20">
        <f t="shared" si="1"/>
        <v>21.75</v>
      </c>
      <c r="K258" s="21"/>
      <c r="L258" s="22"/>
    </row>
    <row r="259" ht="22.5" customHeight="1">
      <c r="A259" s="28">
        <v>45959.0</v>
      </c>
      <c r="B259" s="15" t="s">
        <v>376</v>
      </c>
      <c r="C259" s="13" t="s">
        <v>26</v>
      </c>
      <c r="D259" s="13">
        <v>80.0</v>
      </c>
      <c r="E259" s="15">
        <v>230.0</v>
      </c>
      <c r="F259" s="13" t="s">
        <v>23</v>
      </c>
      <c r="G259" s="46" t="s">
        <v>99</v>
      </c>
      <c r="H259" s="15"/>
      <c r="I259" s="20"/>
      <c r="J259" s="20">
        <f t="shared" si="1"/>
        <v>0</v>
      </c>
      <c r="K259" s="15" t="s">
        <v>137</v>
      </c>
      <c r="L259" s="37"/>
    </row>
    <row r="260" ht="22.5" customHeight="1">
      <c r="A260" s="28">
        <v>45959.0</v>
      </c>
      <c r="B260" s="15" t="s">
        <v>376</v>
      </c>
      <c r="C260" s="13" t="s">
        <v>26</v>
      </c>
      <c r="D260" s="13">
        <v>80.0</v>
      </c>
      <c r="E260" s="15">
        <v>135.0</v>
      </c>
      <c r="F260" s="13" t="s">
        <v>23</v>
      </c>
      <c r="G260" s="46" t="s">
        <v>99</v>
      </c>
      <c r="H260" s="15">
        <v>500.0</v>
      </c>
      <c r="I260" s="20"/>
      <c r="J260" s="20">
        <f t="shared" si="1"/>
        <v>67.5</v>
      </c>
      <c r="K260" s="21"/>
      <c r="L260" s="22"/>
    </row>
    <row r="261" ht="22.5" customHeight="1">
      <c r="A261" s="28">
        <v>45960.0</v>
      </c>
      <c r="B261" s="15" t="s">
        <v>377</v>
      </c>
      <c r="C261" s="13" t="s">
        <v>9</v>
      </c>
      <c r="D261" s="13">
        <v>80.0</v>
      </c>
      <c r="E261" s="15">
        <v>185.0</v>
      </c>
      <c r="F261" s="13" t="s">
        <v>27</v>
      </c>
      <c r="G261" s="46" t="s">
        <v>99</v>
      </c>
      <c r="H261" s="15">
        <v>1190.0</v>
      </c>
      <c r="I261" s="20"/>
      <c r="J261" s="20">
        <f t="shared" si="1"/>
        <v>220.15</v>
      </c>
      <c r="K261" s="21"/>
      <c r="L261" s="22"/>
    </row>
    <row r="262" ht="22.5" customHeight="1">
      <c r="A262" s="28">
        <v>45960.0</v>
      </c>
      <c r="B262" s="15" t="s">
        <v>378</v>
      </c>
      <c r="C262" s="13" t="s">
        <v>9</v>
      </c>
      <c r="D262" s="13">
        <v>80.0</v>
      </c>
      <c r="E262" s="15">
        <v>125.0</v>
      </c>
      <c r="F262" s="13" t="s">
        <v>21</v>
      </c>
      <c r="G262" s="46" t="s">
        <v>89</v>
      </c>
      <c r="H262" s="15">
        <v>1200.0</v>
      </c>
      <c r="I262" s="20"/>
      <c r="J262" s="20">
        <f t="shared" si="1"/>
        <v>150</v>
      </c>
      <c r="K262" s="21"/>
      <c r="L262" s="22"/>
    </row>
    <row r="263" ht="22.5" customHeight="1">
      <c r="A263" s="28">
        <v>45960.0</v>
      </c>
      <c r="B263" s="15" t="s">
        <v>379</v>
      </c>
      <c r="C263" s="13" t="s">
        <v>9</v>
      </c>
      <c r="D263" s="13">
        <v>80.0</v>
      </c>
      <c r="E263" s="15">
        <v>125.0</v>
      </c>
      <c r="F263" s="13" t="s">
        <v>21</v>
      </c>
      <c r="G263" s="46" t="s">
        <v>89</v>
      </c>
      <c r="H263" s="15">
        <v>2000.0</v>
      </c>
      <c r="I263" s="20"/>
      <c r="J263" s="20">
        <f t="shared" si="1"/>
        <v>250</v>
      </c>
      <c r="K263" s="21"/>
      <c r="L263" s="22"/>
    </row>
    <row r="264" ht="22.5" customHeight="1">
      <c r="A264" s="28">
        <v>45960.0</v>
      </c>
      <c r="B264" s="15" t="s">
        <v>380</v>
      </c>
      <c r="C264" s="13" t="s">
        <v>9</v>
      </c>
      <c r="D264" s="13">
        <v>80.0</v>
      </c>
      <c r="E264" s="15">
        <v>125.0</v>
      </c>
      <c r="F264" s="13" t="s">
        <v>21</v>
      </c>
      <c r="G264" s="46" t="s">
        <v>89</v>
      </c>
      <c r="H264" s="15">
        <v>350.0</v>
      </c>
      <c r="I264" s="20"/>
      <c r="J264" s="20">
        <f t="shared" si="1"/>
        <v>43.75</v>
      </c>
      <c r="K264" s="21"/>
      <c r="L264" s="22"/>
    </row>
    <row r="265" ht="22.5" customHeight="1">
      <c r="A265" s="28">
        <v>45960.0</v>
      </c>
      <c r="B265" s="15" t="s">
        <v>381</v>
      </c>
      <c r="C265" s="13" t="s">
        <v>9</v>
      </c>
      <c r="D265" s="13">
        <v>80.0</v>
      </c>
      <c r="E265" s="15">
        <v>180.0</v>
      </c>
      <c r="F265" s="13" t="s">
        <v>21</v>
      </c>
      <c r="G265" s="46" t="s">
        <v>89</v>
      </c>
      <c r="H265" s="15">
        <v>1220.0</v>
      </c>
      <c r="I265" s="20"/>
      <c r="J265" s="20">
        <f t="shared" si="1"/>
        <v>219.6</v>
      </c>
      <c r="K265" s="21"/>
      <c r="L265" s="22"/>
    </row>
    <row r="266" ht="22.5" customHeight="1">
      <c r="A266" s="28">
        <v>45960.0</v>
      </c>
      <c r="B266" s="15" t="s">
        <v>382</v>
      </c>
      <c r="C266" s="13" t="s">
        <v>9</v>
      </c>
      <c r="D266" s="13">
        <v>80.0</v>
      </c>
      <c r="E266" s="15">
        <v>125.0</v>
      </c>
      <c r="F266" s="13" t="s">
        <v>21</v>
      </c>
      <c r="G266" s="46" t="s">
        <v>89</v>
      </c>
      <c r="H266" s="15">
        <v>400.0</v>
      </c>
      <c r="I266" s="20"/>
      <c r="J266" s="20">
        <f t="shared" si="1"/>
        <v>50</v>
      </c>
      <c r="K266" s="21"/>
      <c r="L266" s="22"/>
    </row>
    <row r="267" ht="22.5" customHeight="1">
      <c r="A267" s="28">
        <v>45960.0</v>
      </c>
      <c r="B267" s="15" t="s">
        <v>384</v>
      </c>
      <c r="C267" s="13" t="s">
        <v>9</v>
      </c>
      <c r="D267" s="13">
        <v>80.0</v>
      </c>
      <c r="E267" s="15">
        <v>125.0</v>
      </c>
      <c r="F267" s="13" t="s">
        <v>21</v>
      </c>
      <c r="G267" s="46" t="s">
        <v>89</v>
      </c>
      <c r="H267" s="15">
        <v>1350.0</v>
      </c>
      <c r="I267" s="20"/>
      <c r="J267" s="20">
        <f t="shared" si="1"/>
        <v>168.75</v>
      </c>
      <c r="K267" s="21"/>
      <c r="L267" s="22"/>
    </row>
    <row r="268" ht="22.5" customHeight="1">
      <c r="A268" s="28">
        <v>45960.0</v>
      </c>
      <c r="B268" s="15" t="s">
        <v>385</v>
      </c>
      <c r="C268" s="13" t="s">
        <v>9</v>
      </c>
      <c r="D268" s="13">
        <v>80.0</v>
      </c>
      <c r="E268" s="15">
        <v>290.0</v>
      </c>
      <c r="F268" s="13" t="s">
        <v>21</v>
      </c>
      <c r="G268" s="46" t="s">
        <v>89</v>
      </c>
      <c r="H268" s="15">
        <v>570.0</v>
      </c>
      <c r="I268" s="20"/>
      <c r="J268" s="20">
        <f t="shared" si="1"/>
        <v>165.3</v>
      </c>
      <c r="K268" s="21"/>
      <c r="L268" s="22"/>
    </row>
    <row r="269" ht="22.5" customHeight="1">
      <c r="A269" s="28">
        <v>45960.0</v>
      </c>
      <c r="B269" s="15" t="s">
        <v>386</v>
      </c>
      <c r="C269" s="13" t="s">
        <v>9</v>
      </c>
      <c r="D269" s="13">
        <v>80.0</v>
      </c>
      <c r="E269" s="15">
        <v>125.0</v>
      </c>
      <c r="F269" s="13" t="s">
        <v>21</v>
      </c>
      <c r="G269" s="46" t="s">
        <v>89</v>
      </c>
      <c r="H269" s="15">
        <v>1150.0</v>
      </c>
      <c r="I269" s="20"/>
      <c r="J269" s="20">
        <f t="shared" si="1"/>
        <v>143.75</v>
      </c>
      <c r="K269" s="21"/>
      <c r="L269" s="22"/>
    </row>
    <row r="270" ht="22.5" customHeight="1">
      <c r="A270" s="28">
        <v>45960.0</v>
      </c>
      <c r="B270" s="15" t="s">
        <v>388</v>
      </c>
      <c r="C270" s="13" t="s">
        <v>9</v>
      </c>
      <c r="D270" s="13">
        <v>80.0</v>
      </c>
      <c r="E270" s="15">
        <v>125.0</v>
      </c>
      <c r="F270" s="13" t="s">
        <v>21</v>
      </c>
      <c r="G270" s="46" t="s">
        <v>89</v>
      </c>
      <c r="H270" s="15">
        <v>0.0</v>
      </c>
      <c r="I270" s="20"/>
      <c r="J270" s="20">
        <f t="shared" si="1"/>
        <v>0</v>
      </c>
      <c r="K270" s="15" t="s">
        <v>137</v>
      </c>
      <c r="L270" s="37"/>
    </row>
    <row r="271" ht="22.5" customHeight="1">
      <c r="A271" s="28">
        <v>45960.0</v>
      </c>
      <c r="B271" s="15" t="s">
        <v>389</v>
      </c>
      <c r="C271" s="13" t="s">
        <v>9</v>
      </c>
      <c r="D271" s="13">
        <v>80.0</v>
      </c>
      <c r="E271" s="15">
        <v>125.0</v>
      </c>
      <c r="F271" s="13" t="s">
        <v>21</v>
      </c>
      <c r="G271" s="46" t="s">
        <v>89</v>
      </c>
      <c r="H271" s="15">
        <v>0.0</v>
      </c>
      <c r="I271" s="20"/>
      <c r="J271" s="20">
        <f t="shared" si="1"/>
        <v>0</v>
      </c>
      <c r="K271" s="15" t="s">
        <v>137</v>
      </c>
      <c r="L271" s="37"/>
    </row>
    <row r="272" ht="22.5" customHeight="1">
      <c r="A272" s="28">
        <v>45960.0</v>
      </c>
      <c r="B272" s="15" t="s">
        <v>390</v>
      </c>
      <c r="C272" s="13" t="s">
        <v>9</v>
      </c>
      <c r="D272" s="13">
        <v>80.0</v>
      </c>
      <c r="E272" s="15">
        <v>125.0</v>
      </c>
      <c r="F272" s="13" t="s">
        <v>21</v>
      </c>
      <c r="G272" s="46" t="s">
        <v>89</v>
      </c>
      <c r="H272" s="15">
        <v>0.0</v>
      </c>
      <c r="I272" s="20"/>
      <c r="J272" s="20">
        <f t="shared" si="1"/>
        <v>0</v>
      </c>
      <c r="K272" s="15" t="s">
        <v>137</v>
      </c>
      <c r="L272" s="37"/>
    </row>
    <row r="273" ht="22.5" customHeight="1">
      <c r="A273" s="28">
        <v>45961.0</v>
      </c>
      <c r="B273" s="15" t="s">
        <v>391</v>
      </c>
      <c r="C273" s="13" t="s">
        <v>9</v>
      </c>
      <c r="D273" s="13">
        <v>80.0</v>
      </c>
      <c r="E273" s="15">
        <v>125.0</v>
      </c>
      <c r="F273" s="13" t="s">
        <v>27</v>
      </c>
      <c r="G273" s="46" t="s">
        <v>392</v>
      </c>
      <c r="H273" s="15">
        <v>450.0</v>
      </c>
      <c r="I273" s="20"/>
      <c r="J273" s="20">
        <f t="shared" si="1"/>
        <v>56.25</v>
      </c>
      <c r="K273" s="21"/>
      <c r="L273" s="22"/>
    </row>
    <row r="274" ht="22.5" customHeight="1">
      <c r="A274" s="28">
        <v>45961.0</v>
      </c>
      <c r="B274" s="15" t="s">
        <v>393</v>
      </c>
      <c r="C274" s="13" t="s">
        <v>9</v>
      </c>
      <c r="D274" s="13">
        <v>80.0</v>
      </c>
      <c r="E274" s="15">
        <v>250.0</v>
      </c>
      <c r="F274" s="13" t="s">
        <v>21</v>
      </c>
      <c r="G274" s="46" t="s">
        <v>89</v>
      </c>
      <c r="H274" s="21"/>
      <c r="I274" s="20"/>
      <c r="J274" s="20">
        <f t="shared" si="1"/>
        <v>0</v>
      </c>
      <c r="K274" s="15" t="s">
        <v>137</v>
      </c>
      <c r="L274" s="37"/>
    </row>
    <row r="275" ht="22.5" customHeight="1">
      <c r="A275" s="28">
        <v>45962.0</v>
      </c>
      <c r="B275" s="15" t="s">
        <v>394</v>
      </c>
      <c r="C275" s="13" t="s">
        <v>9</v>
      </c>
      <c r="D275" s="13">
        <v>80.0</v>
      </c>
      <c r="E275" s="15">
        <v>395.0</v>
      </c>
      <c r="F275" s="13" t="s">
        <v>21</v>
      </c>
      <c r="G275" s="46" t="s">
        <v>89</v>
      </c>
      <c r="H275" s="21"/>
      <c r="I275" s="20"/>
      <c r="J275" s="20">
        <f t="shared" si="1"/>
        <v>0</v>
      </c>
      <c r="K275" s="21"/>
      <c r="L275" s="22"/>
    </row>
    <row r="276" ht="22.5" customHeight="1">
      <c r="A276" s="28">
        <v>45962.0</v>
      </c>
      <c r="B276" s="15" t="s">
        <v>396</v>
      </c>
      <c r="C276" s="13" t="s">
        <v>42</v>
      </c>
      <c r="D276" s="13">
        <v>50.0</v>
      </c>
      <c r="E276" s="15">
        <v>200.0</v>
      </c>
      <c r="F276" s="13" t="s">
        <v>21</v>
      </c>
      <c r="G276" s="46" t="s">
        <v>89</v>
      </c>
      <c r="H276" s="21"/>
      <c r="I276" s="20"/>
      <c r="J276" s="20">
        <f t="shared" si="1"/>
        <v>0</v>
      </c>
      <c r="K276" s="21"/>
      <c r="L276" s="22"/>
    </row>
    <row r="277" ht="22.5" customHeight="1">
      <c r="A277" s="28">
        <v>45962.0</v>
      </c>
      <c r="B277" s="15" t="s">
        <v>397</v>
      </c>
      <c r="C277" s="13" t="s">
        <v>26</v>
      </c>
      <c r="D277" s="13">
        <v>80.0</v>
      </c>
      <c r="E277" s="15">
        <v>125.0</v>
      </c>
      <c r="F277" s="13" t="s">
        <v>27</v>
      </c>
      <c r="G277" s="46" t="s">
        <v>392</v>
      </c>
      <c r="H277" s="15">
        <v>390.0</v>
      </c>
      <c r="I277" s="20"/>
      <c r="J277" s="20">
        <f t="shared" si="1"/>
        <v>48.75</v>
      </c>
      <c r="K277" s="21"/>
      <c r="L277" s="22"/>
    </row>
    <row r="278" ht="22.5" customHeight="1">
      <c r="A278" s="28">
        <v>45964.0</v>
      </c>
      <c r="B278" s="15" t="s">
        <v>399</v>
      </c>
      <c r="C278" s="13" t="s">
        <v>9</v>
      </c>
      <c r="D278" s="13">
        <v>80.0</v>
      </c>
      <c r="E278" s="15">
        <v>300.0</v>
      </c>
      <c r="F278" s="13" t="s">
        <v>21</v>
      </c>
      <c r="G278" s="21"/>
      <c r="H278" s="21"/>
      <c r="I278" s="20"/>
      <c r="J278" s="20">
        <f t="shared" si="1"/>
        <v>0</v>
      </c>
      <c r="K278" s="15" t="s">
        <v>137</v>
      </c>
      <c r="L278" s="37"/>
    </row>
    <row r="279" ht="22.5" customHeight="1">
      <c r="A279" s="28">
        <v>45964.0</v>
      </c>
      <c r="B279" s="15" t="s">
        <v>401</v>
      </c>
      <c r="C279" s="13" t="s">
        <v>9</v>
      </c>
      <c r="D279" s="13">
        <v>80.0</v>
      </c>
      <c r="E279" s="15">
        <v>185.0</v>
      </c>
      <c r="F279" s="13" t="s">
        <v>27</v>
      </c>
      <c r="G279" s="15" t="s">
        <v>402</v>
      </c>
      <c r="H279" s="15">
        <v>190.0</v>
      </c>
      <c r="I279" s="20"/>
      <c r="J279" s="20">
        <f t="shared" si="1"/>
        <v>35.15</v>
      </c>
      <c r="K279" s="21"/>
      <c r="L279" s="22"/>
    </row>
    <row r="280" ht="22.5" customHeight="1">
      <c r="A280" s="28">
        <v>45964.0</v>
      </c>
      <c r="B280" s="15" t="s">
        <v>403</v>
      </c>
      <c r="C280" s="13" t="s">
        <v>9</v>
      </c>
      <c r="D280" s="13">
        <v>80.0</v>
      </c>
      <c r="E280" s="15">
        <v>210.0</v>
      </c>
      <c r="F280" s="13" t="s">
        <v>27</v>
      </c>
      <c r="G280" s="15" t="s">
        <v>402</v>
      </c>
      <c r="H280" s="15">
        <v>770.0</v>
      </c>
      <c r="I280" s="20"/>
      <c r="J280" s="20">
        <f t="shared" si="1"/>
        <v>161.7</v>
      </c>
      <c r="K280" s="21"/>
      <c r="L280" s="22"/>
    </row>
    <row r="281" ht="22.5" customHeight="1">
      <c r="A281" s="28">
        <v>45964.0</v>
      </c>
      <c r="B281" s="15" t="s">
        <v>404</v>
      </c>
      <c r="C281" s="13" t="s">
        <v>43</v>
      </c>
      <c r="D281" s="13">
        <v>50.0</v>
      </c>
      <c r="E281" s="15">
        <v>125.0</v>
      </c>
      <c r="F281" s="13" t="s">
        <v>27</v>
      </c>
      <c r="G281" s="15" t="s">
        <v>402</v>
      </c>
      <c r="H281" s="15">
        <v>500.0</v>
      </c>
      <c r="I281" s="20"/>
      <c r="J281" s="20">
        <f t="shared" si="1"/>
        <v>62.5</v>
      </c>
      <c r="K281" s="21"/>
      <c r="L281" s="22"/>
    </row>
    <row r="282" ht="22.5" customHeight="1">
      <c r="A282" s="28">
        <v>45964.0</v>
      </c>
      <c r="B282" s="15" t="s">
        <v>405</v>
      </c>
      <c r="C282" s="13" t="s">
        <v>43</v>
      </c>
      <c r="D282" s="13">
        <v>50.0</v>
      </c>
      <c r="E282" s="15">
        <v>125.0</v>
      </c>
      <c r="F282" s="13" t="s">
        <v>27</v>
      </c>
      <c r="G282" s="15" t="s">
        <v>402</v>
      </c>
      <c r="H282" s="15">
        <v>1000.0</v>
      </c>
      <c r="I282" s="20"/>
      <c r="J282" s="20">
        <f t="shared" si="1"/>
        <v>125</v>
      </c>
      <c r="K282" s="21"/>
      <c r="L282" s="22"/>
    </row>
    <row r="283" ht="22.5" customHeight="1">
      <c r="A283" s="28">
        <v>45964.0</v>
      </c>
      <c r="B283" s="15" t="s">
        <v>406</v>
      </c>
      <c r="C283" s="13" t="s">
        <v>9</v>
      </c>
      <c r="D283" s="13">
        <v>80.0</v>
      </c>
      <c r="E283" s="15">
        <v>160.0</v>
      </c>
      <c r="F283" s="13" t="s">
        <v>21</v>
      </c>
      <c r="G283" s="15" t="s">
        <v>89</v>
      </c>
      <c r="H283" s="15">
        <v>450.0</v>
      </c>
      <c r="I283" s="20"/>
      <c r="J283" s="20">
        <f t="shared" si="1"/>
        <v>72</v>
      </c>
      <c r="K283" s="21"/>
      <c r="L283" s="22"/>
    </row>
    <row r="284" ht="22.5" customHeight="1">
      <c r="A284" s="28">
        <v>45964.0</v>
      </c>
      <c r="B284" s="15" t="s">
        <v>407</v>
      </c>
      <c r="C284" s="13" t="s">
        <v>9</v>
      </c>
      <c r="D284" s="13">
        <v>80.0</v>
      </c>
      <c r="E284" s="15">
        <v>160.0</v>
      </c>
      <c r="F284" s="13" t="s">
        <v>21</v>
      </c>
      <c r="G284" s="15" t="s">
        <v>89</v>
      </c>
      <c r="H284" s="15">
        <v>1280.0</v>
      </c>
      <c r="I284" s="20"/>
      <c r="J284" s="20">
        <f t="shared" si="1"/>
        <v>204.8</v>
      </c>
      <c r="K284" s="21"/>
      <c r="L284" s="22"/>
    </row>
    <row r="285" ht="22.5" customHeight="1">
      <c r="A285" s="28">
        <v>45964.0</v>
      </c>
      <c r="B285" s="15" t="s">
        <v>408</v>
      </c>
      <c r="C285" s="13" t="s">
        <v>9</v>
      </c>
      <c r="D285" s="13">
        <v>80.0</v>
      </c>
      <c r="E285" s="15">
        <v>160.0</v>
      </c>
      <c r="F285" s="13" t="s">
        <v>21</v>
      </c>
      <c r="G285" s="15" t="s">
        <v>89</v>
      </c>
      <c r="H285" s="15">
        <v>300.0</v>
      </c>
      <c r="I285" s="20"/>
      <c r="J285" s="20">
        <f t="shared" si="1"/>
        <v>48</v>
      </c>
      <c r="K285" s="21"/>
      <c r="L285" s="22"/>
    </row>
    <row r="286" ht="22.5" customHeight="1">
      <c r="A286" s="28">
        <v>45964.0</v>
      </c>
      <c r="B286" s="15" t="s">
        <v>409</v>
      </c>
      <c r="C286" s="13" t="s">
        <v>9</v>
      </c>
      <c r="D286" s="13">
        <v>80.0</v>
      </c>
      <c r="E286" s="15">
        <v>160.0</v>
      </c>
      <c r="F286" s="13" t="s">
        <v>33</v>
      </c>
      <c r="G286" s="15" t="s">
        <v>392</v>
      </c>
      <c r="H286" s="21"/>
      <c r="I286" s="20"/>
      <c r="J286" s="20">
        <f t="shared" si="1"/>
        <v>0</v>
      </c>
      <c r="K286" s="15" t="s">
        <v>137</v>
      </c>
      <c r="L286" s="37"/>
    </row>
    <row r="287" ht="22.5" customHeight="1">
      <c r="A287" s="28">
        <v>45965.0</v>
      </c>
      <c r="B287" s="15" t="s">
        <v>410</v>
      </c>
      <c r="C287" s="13" t="s">
        <v>9</v>
      </c>
      <c r="D287" s="13">
        <v>80.0</v>
      </c>
      <c r="E287" s="15">
        <v>170.0</v>
      </c>
      <c r="F287" s="13" t="s">
        <v>21</v>
      </c>
      <c r="G287" s="15" t="s">
        <v>89</v>
      </c>
      <c r="H287" s="15">
        <v>1150.0</v>
      </c>
      <c r="I287" s="20"/>
      <c r="J287" s="20">
        <f t="shared" si="1"/>
        <v>195.5</v>
      </c>
      <c r="K287" s="21"/>
      <c r="L287" s="22"/>
    </row>
    <row r="288" ht="22.5" customHeight="1">
      <c r="A288" s="28">
        <v>45965.0</v>
      </c>
      <c r="B288" s="15" t="s">
        <v>412</v>
      </c>
      <c r="C288" s="13" t="s">
        <v>9</v>
      </c>
      <c r="D288" s="13">
        <v>80.0</v>
      </c>
      <c r="E288" s="15">
        <v>140.0</v>
      </c>
      <c r="F288" s="13" t="s">
        <v>27</v>
      </c>
      <c r="G288" s="7" t="s">
        <v>413</v>
      </c>
      <c r="H288" s="15">
        <v>1750.0</v>
      </c>
      <c r="I288" s="20"/>
      <c r="J288" s="20">
        <f t="shared" si="1"/>
        <v>245</v>
      </c>
      <c r="K288" s="21"/>
      <c r="L288" s="22"/>
    </row>
    <row r="289" ht="22.5" customHeight="1">
      <c r="A289" s="28">
        <v>45965.0</v>
      </c>
      <c r="B289" s="15" t="s">
        <v>414</v>
      </c>
      <c r="C289" s="13" t="s">
        <v>9</v>
      </c>
      <c r="D289" s="13">
        <v>80.0</v>
      </c>
      <c r="E289" s="15">
        <v>140.0</v>
      </c>
      <c r="F289" s="13" t="s">
        <v>27</v>
      </c>
      <c r="G289" s="7" t="s">
        <v>413</v>
      </c>
      <c r="H289" s="21"/>
      <c r="I289" s="20"/>
      <c r="J289" s="20">
        <f t="shared" si="1"/>
        <v>0</v>
      </c>
      <c r="K289" s="15" t="s">
        <v>137</v>
      </c>
      <c r="L289" s="37"/>
    </row>
    <row r="290" ht="22.5" customHeight="1">
      <c r="A290" s="28">
        <v>45965.0</v>
      </c>
      <c r="B290" s="15" t="s">
        <v>416</v>
      </c>
      <c r="C290" s="13" t="s">
        <v>9</v>
      </c>
      <c r="D290" s="13">
        <v>80.0</v>
      </c>
      <c r="E290" s="15">
        <v>140.0</v>
      </c>
      <c r="F290" s="13" t="s">
        <v>27</v>
      </c>
      <c r="G290" s="7" t="s">
        <v>413</v>
      </c>
      <c r="H290" s="15">
        <v>2000.0</v>
      </c>
      <c r="I290" s="20"/>
      <c r="J290" s="20">
        <f t="shared" si="1"/>
        <v>280</v>
      </c>
      <c r="K290" s="21"/>
      <c r="L290" s="22"/>
    </row>
    <row r="291" ht="22.5" customHeight="1">
      <c r="A291" s="28">
        <v>45966.0</v>
      </c>
      <c r="B291" s="15" t="s">
        <v>417</v>
      </c>
      <c r="C291" s="13" t="s">
        <v>9</v>
      </c>
      <c r="D291" s="13">
        <v>80.0</v>
      </c>
      <c r="E291" s="15">
        <v>170.0</v>
      </c>
      <c r="F291" s="13" t="s">
        <v>21</v>
      </c>
      <c r="G291" s="15" t="s">
        <v>89</v>
      </c>
      <c r="H291" s="15">
        <v>820.0</v>
      </c>
      <c r="I291" s="20"/>
      <c r="J291" s="20">
        <f t="shared" si="1"/>
        <v>139.4</v>
      </c>
      <c r="K291" s="21"/>
      <c r="L291" s="22"/>
    </row>
    <row r="292" ht="22.5" customHeight="1">
      <c r="A292" s="28">
        <v>45966.0</v>
      </c>
      <c r="B292" s="15" t="s">
        <v>418</v>
      </c>
      <c r="C292" s="13" t="s">
        <v>9</v>
      </c>
      <c r="D292" s="13">
        <v>80.0</v>
      </c>
      <c r="E292" s="15">
        <v>180.0</v>
      </c>
      <c r="F292" s="13" t="s">
        <v>21</v>
      </c>
      <c r="G292" s="15" t="s">
        <v>89</v>
      </c>
      <c r="H292" s="21"/>
      <c r="I292" s="20"/>
      <c r="J292" s="20">
        <f t="shared" si="1"/>
        <v>0</v>
      </c>
      <c r="K292" s="15" t="s">
        <v>137</v>
      </c>
      <c r="L292" s="37"/>
    </row>
    <row r="293" ht="22.5" customHeight="1">
      <c r="A293" s="28">
        <v>45966.0</v>
      </c>
      <c r="B293" s="15" t="s">
        <v>419</v>
      </c>
      <c r="C293" s="13" t="s">
        <v>9</v>
      </c>
      <c r="D293" s="13">
        <v>80.0</v>
      </c>
      <c r="E293" s="15">
        <v>330.0</v>
      </c>
      <c r="F293" s="13" t="s">
        <v>21</v>
      </c>
      <c r="G293" s="15" t="s">
        <v>89</v>
      </c>
      <c r="H293" s="15">
        <v>1050.0</v>
      </c>
      <c r="I293" s="20"/>
      <c r="J293" s="20">
        <f t="shared" si="1"/>
        <v>346.5</v>
      </c>
      <c r="K293" s="21"/>
      <c r="L293" s="22"/>
    </row>
    <row r="294" ht="22.5" customHeight="1">
      <c r="A294" s="28">
        <v>45966.0</v>
      </c>
      <c r="B294" s="15" t="s">
        <v>420</v>
      </c>
      <c r="C294" s="13" t="s">
        <v>9</v>
      </c>
      <c r="D294" s="13">
        <v>80.0</v>
      </c>
      <c r="E294" s="15">
        <v>140.0</v>
      </c>
      <c r="F294" s="13" t="s">
        <v>27</v>
      </c>
      <c r="G294" s="15" t="s">
        <v>413</v>
      </c>
      <c r="H294" s="21"/>
      <c r="I294" s="20"/>
      <c r="J294" s="20">
        <f t="shared" si="1"/>
        <v>0</v>
      </c>
      <c r="K294" s="15" t="s">
        <v>137</v>
      </c>
      <c r="L294" s="37"/>
    </row>
    <row r="295" ht="22.5" customHeight="1">
      <c r="A295" s="28">
        <v>45966.0</v>
      </c>
      <c r="B295" s="15" t="s">
        <v>421</v>
      </c>
      <c r="C295" s="13" t="s">
        <v>52</v>
      </c>
      <c r="D295" s="13">
        <v>50.0</v>
      </c>
      <c r="E295" s="15">
        <v>148.0</v>
      </c>
      <c r="F295" s="13" t="s">
        <v>27</v>
      </c>
      <c r="G295" s="15" t="s">
        <v>413</v>
      </c>
      <c r="H295" s="15">
        <v>200.0</v>
      </c>
      <c r="I295" s="20"/>
      <c r="J295" s="20">
        <f t="shared" si="1"/>
        <v>29.6</v>
      </c>
      <c r="K295" s="21"/>
      <c r="L295" s="22"/>
    </row>
    <row r="296" ht="22.5" customHeight="1">
      <c r="A296" s="28">
        <v>45967.0</v>
      </c>
      <c r="B296" s="15" t="s">
        <v>422</v>
      </c>
      <c r="C296" s="13" t="s">
        <v>9</v>
      </c>
      <c r="D296" s="13">
        <v>80.0</v>
      </c>
      <c r="E296" s="15">
        <v>290.0</v>
      </c>
      <c r="F296" s="13" t="s">
        <v>21</v>
      </c>
      <c r="G296" s="15" t="s">
        <v>89</v>
      </c>
      <c r="H296" s="15">
        <v>1780.0</v>
      </c>
      <c r="I296" s="20"/>
      <c r="J296" s="20">
        <f t="shared" si="1"/>
        <v>516.2</v>
      </c>
      <c r="K296" s="21"/>
      <c r="L296" s="22"/>
    </row>
    <row r="297" ht="22.5" customHeight="1">
      <c r="A297" s="28">
        <v>45967.0</v>
      </c>
      <c r="B297" s="15" t="s">
        <v>419</v>
      </c>
      <c r="C297" s="13" t="s">
        <v>9</v>
      </c>
      <c r="D297" s="13">
        <v>80.0</v>
      </c>
      <c r="E297" s="15">
        <v>330.0</v>
      </c>
      <c r="F297" s="13" t="s">
        <v>21</v>
      </c>
      <c r="G297" s="15" t="s">
        <v>89</v>
      </c>
      <c r="H297" s="15">
        <v>1050.0</v>
      </c>
      <c r="I297" s="20"/>
      <c r="J297" s="20">
        <f t="shared" si="1"/>
        <v>346.5</v>
      </c>
      <c r="K297" s="21"/>
      <c r="L297" s="22"/>
    </row>
    <row r="298" ht="22.5" customHeight="1">
      <c r="A298" s="28">
        <v>45967.0</v>
      </c>
      <c r="B298" s="15" t="s">
        <v>423</v>
      </c>
      <c r="C298" s="13" t="s">
        <v>9</v>
      </c>
      <c r="D298" s="13">
        <v>80.0</v>
      </c>
      <c r="E298" s="15">
        <v>180.0</v>
      </c>
      <c r="F298" s="13" t="s">
        <v>21</v>
      </c>
      <c r="G298" s="15" t="s">
        <v>89</v>
      </c>
      <c r="H298" s="15">
        <v>680.0</v>
      </c>
      <c r="I298" s="20"/>
      <c r="J298" s="20">
        <f t="shared" si="1"/>
        <v>122.4</v>
      </c>
      <c r="K298" s="21"/>
      <c r="L298" s="22"/>
    </row>
    <row r="299" ht="22.5" customHeight="1">
      <c r="A299" s="28">
        <v>45967.0</v>
      </c>
      <c r="B299" s="15" t="s">
        <v>424</v>
      </c>
      <c r="C299" s="13" t="s">
        <v>36</v>
      </c>
      <c r="D299" s="13">
        <v>70.0</v>
      </c>
      <c r="E299" s="15">
        <v>255.0</v>
      </c>
      <c r="F299" s="13" t="s">
        <v>37</v>
      </c>
      <c r="G299" s="15" t="s">
        <v>324</v>
      </c>
      <c r="H299" s="21"/>
      <c r="I299" s="20"/>
      <c r="J299" s="20">
        <f t="shared" si="1"/>
        <v>0</v>
      </c>
      <c r="K299" s="15" t="s">
        <v>137</v>
      </c>
      <c r="L299" s="37"/>
    </row>
    <row r="300" ht="22.5" customHeight="1">
      <c r="A300" s="28">
        <v>45967.0</v>
      </c>
      <c r="B300" s="15" t="s">
        <v>424</v>
      </c>
      <c r="C300" s="13" t="s">
        <v>36</v>
      </c>
      <c r="D300" s="13">
        <v>70.0</v>
      </c>
      <c r="E300" s="15">
        <v>190.0</v>
      </c>
      <c r="F300" s="13" t="s">
        <v>37</v>
      </c>
      <c r="G300" s="15" t="s">
        <v>324</v>
      </c>
      <c r="H300" s="21"/>
      <c r="I300" s="20"/>
      <c r="J300" s="20">
        <f t="shared" si="1"/>
        <v>0</v>
      </c>
      <c r="K300" s="15" t="s">
        <v>137</v>
      </c>
      <c r="L300" s="37"/>
    </row>
    <row r="301" ht="22.5" customHeight="1">
      <c r="A301" s="28">
        <v>45967.0</v>
      </c>
      <c r="B301" s="15" t="s">
        <v>425</v>
      </c>
      <c r="C301" s="13" t="s">
        <v>36</v>
      </c>
      <c r="D301" s="13">
        <v>70.0</v>
      </c>
      <c r="E301" s="15">
        <v>255.0</v>
      </c>
      <c r="F301" s="13" t="s">
        <v>37</v>
      </c>
      <c r="G301" s="15" t="s">
        <v>324</v>
      </c>
      <c r="H301" s="21"/>
      <c r="I301" s="20"/>
      <c r="J301" s="20">
        <f t="shared" si="1"/>
        <v>0</v>
      </c>
      <c r="K301" s="15" t="s">
        <v>137</v>
      </c>
      <c r="L301" s="37"/>
    </row>
    <row r="302" ht="22.5" customHeight="1">
      <c r="A302" s="28">
        <v>45968.0</v>
      </c>
      <c r="B302" s="15" t="s">
        <v>426</v>
      </c>
      <c r="C302" s="13" t="s">
        <v>9</v>
      </c>
      <c r="D302" s="13">
        <v>80.0</v>
      </c>
      <c r="E302" s="15">
        <v>140.0</v>
      </c>
      <c r="F302" s="13" t="s">
        <v>27</v>
      </c>
      <c r="G302" s="15" t="s">
        <v>99</v>
      </c>
      <c r="H302" s="15">
        <v>250.0</v>
      </c>
      <c r="I302" s="20"/>
      <c r="J302" s="20">
        <f t="shared" si="1"/>
        <v>35</v>
      </c>
      <c r="K302" s="21"/>
      <c r="L302" s="22"/>
    </row>
    <row r="303" ht="22.5" customHeight="1">
      <c r="A303" s="28">
        <v>45968.0</v>
      </c>
      <c r="B303" s="15" t="s">
        <v>427</v>
      </c>
      <c r="C303" s="13" t="s">
        <v>9</v>
      </c>
      <c r="D303" s="13">
        <v>80.0</v>
      </c>
      <c r="E303" s="15">
        <v>140.0</v>
      </c>
      <c r="F303" s="13" t="s">
        <v>27</v>
      </c>
      <c r="G303" s="15" t="s">
        <v>99</v>
      </c>
      <c r="H303" s="15">
        <v>800.0</v>
      </c>
      <c r="I303" s="20"/>
      <c r="J303" s="20">
        <f t="shared" si="1"/>
        <v>112</v>
      </c>
      <c r="K303" s="21"/>
      <c r="L303" s="22"/>
    </row>
    <row r="304" ht="22.5" customHeight="1">
      <c r="A304" s="28">
        <v>45968.0</v>
      </c>
      <c r="B304" s="15" t="s">
        <v>429</v>
      </c>
      <c r="C304" s="13" t="s">
        <v>9</v>
      </c>
      <c r="D304" s="13">
        <v>80.0</v>
      </c>
      <c r="E304" s="15">
        <v>395.0</v>
      </c>
      <c r="F304" s="13" t="s">
        <v>21</v>
      </c>
      <c r="G304" s="15" t="s">
        <v>89</v>
      </c>
      <c r="H304" s="15">
        <v>1000.0</v>
      </c>
      <c r="I304" s="20"/>
      <c r="J304" s="20">
        <f t="shared" si="1"/>
        <v>395</v>
      </c>
      <c r="K304" s="21"/>
      <c r="L304" s="22"/>
    </row>
    <row r="305" ht="22.5" customHeight="1">
      <c r="A305" s="28">
        <v>45968.0</v>
      </c>
      <c r="B305" s="15" t="s">
        <v>430</v>
      </c>
      <c r="C305" s="13" t="s">
        <v>9</v>
      </c>
      <c r="D305" s="13">
        <v>80.0</v>
      </c>
      <c r="E305" s="15">
        <v>250.0</v>
      </c>
      <c r="F305" s="13" t="s">
        <v>21</v>
      </c>
      <c r="G305" s="15" t="s">
        <v>89</v>
      </c>
      <c r="H305" s="15">
        <v>300.0</v>
      </c>
      <c r="I305" s="20"/>
      <c r="J305" s="20">
        <f t="shared" si="1"/>
        <v>75</v>
      </c>
      <c r="K305" s="21"/>
      <c r="L305" s="22"/>
    </row>
    <row r="306" ht="22.5" customHeight="1">
      <c r="A306" s="28">
        <v>45969.0</v>
      </c>
      <c r="B306" s="15" t="s">
        <v>431</v>
      </c>
      <c r="C306" s="13" t="s">
        <v>9</v>
      </c>
      <c r="D306" s="13">
        <v>80.0</v>
      </c>
      <c r="E306" s="15">
        <v>160.0</v>
      </c>
      <c r="F306" s="13" t="s">
        <v>27</v>
      </c>
      <c r="G306" s="15" t="s">
        <v>139</v>
      </c>
      <c r="H306" s="15">
        <v>990.0</v>
      </c>
      <c r="I306" s="20"/>
      <c r="J306" s="20">
        <f t="shared" si="1"/>
        <v>158.4</v>
      </c>
      <c r="K306" s="21"/>
      <c r="L306" s="22"/>
    </row>
    <row r="307" ht="22.5" customHeight="1">
      <c r="A307" s="28">
        <v>45969.0</v>
      </c>
      <c r="B307" s="15" t="s">
        <v>432</v>
      </c>
      <c r="C307" s="13" t="s">
        <v>9</v>
      </c>
      <c r="D307" s="13">
        <v>80.0</v>
      </c>
      <c r="E307" s="15">
        <v>160.0</v>
      </c>
      <c r="F307" s="13" t="s">
        <v>27</v>
      </c>
      <c r="G307" s="15" t="s">
        <v>139</v>
      </c>
      <c r="H307" s="15">
        <v>1166.0</v>
      </c>
      <c r="I307" s="20"/>
      <c r="J307" s="20">
        <f t="shared" si="1"/>
        <v>186.56</v>
      </c>
      <c r="K307" s="21"/>
      <c r="L307" s="22"/>
    </row>
    <row r="308" ht="22.5" customHeight="1">
      <c r="A308" s="28">
        <v>45969.0</v>
      </c>
      <c r="B308" s="15" t="s">
        <v>433</v>
      </c>
      <c r="C308" s="13" t="s">
        <v>9</v>
      </c>
      <c r="D308" s="13">
        <v>80.0</v>
      </c>
      <c r="E308" s="15">
        <v>330.0</v>
      </c>
      <c r="F308" s="13" t="s">
        <v>21</v>
      </c>
      <c r="G308" s="15" t="s">
        <v>89</v>
      </c>
      <c r="H308" s="15">
        <v>750.0</v>
      </c>
      <c r="I308" s="20"/>
      <c r="J308" s="20">
        <f t="shared" si="1"/>
        <v>247.5</v>
      </c>
      <c r="K308" s="21"/>
      <c r="L308" s="22"/>
    </row>
    <row r="309" ht="22.5" customHeight="1">
      <c r="A309" s="28">
        <v>45969.0</v>
      </c>
      <c r="B309" s="15" t="s">
        <v>434</v>
      </c>
      <c r="C309" s="13" t="s">
        <v>9</v>
      </c>
      <c r="D309" s="13">
        <v>80.0</v>
      </c>
      <c r="E309" s="15">
        <v>330.0</v>
      </c>
      <c r="F309" s="13" t="s">
        <v>21</v>
      </c>
      <c r="G309" s="15" t="s">
        <v>89</v>
      </c>
      <c r="H309" s="15">
        <v>150.0</v>
      </c>
      <c r="I309" s="20"/>
      <c r="J309" s="20">
        <f t="shared" si="1"/>
        <v>49.5</v>
      </c>
      <c r="K309" s="21"/>
      <c r="L309" s="22"/>
    </row>
    <row r="310" ht="22.5" customHeight="1">
      <c r="A310" s="28">
        <v>45969.0</v>
      </c>
      <c r="B310" s="15" t="s">
        <v>436</v>
      </c>
      <c r="C310" s="13" t="s">
        <v>9</v>
      </c>
      <c r="D310" s="13">
        <v>80.0</v>
      </c>
      <c r="E310" s="15">
        <v>280.0</v>
      </c>
      <c r="F310" s="13" t="s">
        <v>21</v>
      </c>
      <c r="G310" s="15" t="s">
        <v>89</v>
      </c>
      <c r="H310" s="15">
        <v>660.0</v>
      </c>
      <c r="I310" s="20"/>
      <c r="J310" s="20">
        <f t="shared" si="1"/>
        <v>184.8</v>
      </c>
      <c r="K310" s="21"/>
      <c r="L310" s="22"/>
    </row>
    <row r="311" ht="22.5" customHeight="1">
      <c r="A311" s="28">
        <v>45971.0</v>
      </c>
      <c r="B311" s="15" t="s">
        <v>437</v>
      </c>
      <c r="C311" s="13" t="s">
        <v>9</v>
      </c>
      <c r="D311" s="13">
        <v>80.0</v>
      </c>
      <c r="E311" s="15">
        <v>180.0</v>
      </c>
      <c r="F311" s="13" t="s">
        <v>21</v>
      </c>
      <c r="G311" s="15" t="s">
        <v>89</v>
      </c>
      <c r="H311" s="15">
        <v>100.0</v>
      </c>
      <c r="I311" s="20"/>
      <c r="J311" s="20">
        <f t="shared" si="1"/>
        <v>18</v>
      </c>
      <c r="K311" s="21"/>
      <c r="L311" s="22"/>
    </row>
    <row r="312" ht="22.5" customHeight="1">
      <c r="A312" s="28">
        <v>45971.0</v>
      </c>
      <c r="B312" s="15" t="s">
        <v>438</v>
      </c>
      <c r="C312" s="13" t="s">
        <v>9</v>
      </c>
      <c r="D312" s="13">
        <v>80.0</v>
      </c>
      <c r="E312" s="15">
        <v>210.0</v>
      </c>
      <c r="F312" s="13" t="s">
        <v>21</v>
      </c>
      <c r="G312" s="15" t="s">
        <v>89</v>
      </c>
      <c r="H312" s="15">
        <v>100.0</v>
      </c>
      <c r="I312" s="20"/>
      <c r="J312" s="20">
        <f t="shared" si="1"/>
        <v>21</v>
      </c>
      <c r="K312" s="21"/>
      <c r="L312" s="22"/>
    </row>
    <row r="313" ht="22.5" customHeight="1">
      <c r="A313" s="28">
        <v>45971.0</v>
      </c>
      <c r="B313" s="15" t="s">
        <v>440</v>
      </c>
      <c r="C313" s="13" t="s">
        <v>9</v>
      </c>
      <c r="D313" s="13">
        <v>80.0</v>
      </c>
      <c r="E313" s="15">
        <v>290.0</v>
      </c>
      <c r="F313" s="13" t="s">
        <v>21</v>
      </c>
      <c r="G313" s="15" t="s">
        <v>89</v>
      </c>
      <c r="H313" s="15">
        <v>760.0</v>
      </c>
      <c r="I313" s="20"/>
      <c r="J313" s="20">
        <f t="shared" si="1"/>
        <v>220.4</v>
      </c>
      <c r="K313" s="21"/>
      <c r="L313" s="22"/>
    </row>
    <row r="314" ht="22.5" customHeight="1">
      <c r="A314" s="28">
        <v>45971.0</v>
      </c>
      <c r="B314" s="15" t="s">
        <v>441</v>
      </c>
      <c r="C314" s="13" t="s">
        <v>9</v>
      </c>
      <c r="D314" s="13">
        <v>80.0</v>
      </c>
      <c r="E314" s="15">
        <v>280.0</v>
      </c>
      <c r="F314" s="13" t="s">
        <v>21</v>
      </c>
      <c r="G314" s="15" t="s">
        <v>89</v>
      </c>
      <c r="H314" s="15">
        <v>160.0</v>
      </c>
      <c r="I314" s="20"/>
      <c r="J314" s="20">
        <f t="shared" si="1"/>
        <v>44.8</v>
      </c>
      <c r="K314" s="21"/>
      <c r="L314" s="22"/>
    </row>
    <row r="315" ht="22.5" customHeight="1">
      <c r="A315" s="28">
        <v>45971.0</v>
      </c>
      <c r="B315" s="15" t="s">
        <v>443</v>
      </c>
      <c r="C315" s="13" t="s">
        <v>9</v>
      </c>
      <c r="D315" s="13">
        <v>80.0</v>
      </c>
      <c r="E315" s="15">
        <v>165.0</v>
      </c>
      <c r="F315" s="13" t="s">
        <v>33</v>
      </c>
      <c r="G315" s="15" t="s">
        <v>170</v>
      </c>
      <c r="H315" s="15">
        <v>670.0</v>
      </c>
      <c r="I315" s="20"/>
      <c r="J315" s="20">
        <f t="shared" si="1"/>
        <v>110.55</v>
      </c>
      <c r="K315" s="21"/>
      <c r="L315" s="22"/>
    </row>
    <row r="316" ht="22.5" customHeight="1">
      <c r="A316" s="28">
        <v>45971.0</v>
      </c>
      <c r="B316" s="15" t="s">
        <v>444</v>
      </c>
      <c r="C316" s="13" t="s">
        <v>9</v>
      </c>
      <c r="D316" s="13">
        <v>80.0</v>
      </c>
      <c r="E316" s="15">
        <v>165.0</v>
      </c>
      <c r="F316" s="13" t="s">
        <v>33</v>
      </c>
      <c r="G316" s="15" t="s">
        <v>170</v>
      </c>
      <c r="H316" s="15">
        <v>500.0</v>
      </c>
      <c r="I316" s="20"/>
      <c r="J316" s="20">
        <f t="shared" si="1"/>
        <v>82.5</v>
      </c>
      <c r="K316" s="21"/>
      <c r="L316" s="22"/>
    </row>
    <row r="317" ht="22.5" customHeight="1">
      <c r="A317" s="28">
        <v>45971.0</v>
      </c>
      <c r="B317" s="15" t="s">
        <v>446</v>
      </c>
      <c r="C317" s="13" t="s">
        <v>9</v>
      </c>
      <c r="D317" s="13">
        <v>80.0</v>
      </c>
      <c r="E317" s="15">
        <v>165.0</v>
      </c>
      <c r="F317" s="13" t="s">
        <v>33</v>
      </c>
      <c r="G317" s="15" t="s">
        <v>170</v>
      </c>
      <c r="H317" s="15">
        <v>1400.0</v>
      </c>
      <c r="I317" s="20"/>
      <c r="J317" s="20">
        <f t="shared" si="1"/>
        <v>231</v>
      </c>
      <c r="K317" s="21"/>
      <c r="L317" s="22"/>
    </row>
    <row r="318" ht="22.5" customHeight="1">
      <c r="A318" s="28">
        <v>45971.0</v>
      </c>
      <c r="B318" s="15" t="s">
        <v>447</v>
      </c>
      <c r="C318" s="13" t="s">
        <v>9</v>
      </c>
      <c r="D318" s="13">
        <v>80.0</v>
      </c>
      <c r="E318" s="15">
        <v>165.0</v>
      </c>
      <c r="F318" s="13" t="s">
        <v>33</v>
      </c>
      <c r="G318" s="15" t="s">
        <v>170</v>
      </c>
      <c r="H318" s="15">
        <v>1130.0</v>
      </c>
      <c r="I318" s="20"/>
      <c r="J318" s="20">
        <f t="shared" si="1"/>
        <v>186.45</v>
      </c>
      <c r="K318" s="21"/>
      <c r="L318" s="22"/>
    </row>
    <row r="319" ht="22.5" customHeight="1">
      <c r="A319" s="28">
        <v>45971.0</v>
      </c>
      <c r="B319" s="15" t="s">
        <v>448</v>
      </c>
      <c r="C319" s="13" t="s">
        <v>9</v>
      </c>
      <c r="D319" s="13">
        <v>80.0</v>
      </c>
      <c r="E319" s="15">
        <v>165.0</v>
      </c>
      <c r="F319" s="13" t="s">
        <v>33</v>
      </c>
      <c r="G319" s="15" t="s">
        <v>170</v>
      </c>
      <c r="H319" s="15">
        <v>900.0</v>
      </c>
      <c r="I319" s="20"/>
      <c r="J319" s="20">
        <f t="shared" si="1"/>
        <v>148.5</v>
      </c>
      <c r="K319" s="21"/>
      <c r="L319" s="22"/>
    </row>
    <row r="320" ht="22.5" customHeight="1">
      <c r="A320" s="28">
        <v>45972.0</v>
      </c>
      <c r="B320" s="15" t="s">
        <v>449</v>
      </c>
      <c r="C320" s="13" t="s">
        <v>26</v>
      </c>
      <c r="D320" s="13">
        <v>80.0</v>
      </c>
      <c r="E320" s="15">
        <v>167.0</v>
      </c>
      <c r="F320" s="13" t="s">
        <v>27</v>
      </c>
      <c r="G320" s="15" t="s">
        <v>217</v>
      </c>
      <c r="H320" s="21"/>
      <c r="I320" s="20"/>
      <c r="J320" s="20">
        <f t="shared" si="1"/>
        <v>0</v>
      </c>
      <c r="K320" s="15" t="s">
        <v>137</v>
      </c>
      <c r="L320" s="37"/>
    </row>
    <row r="321" ht="22.5" customHeight="1">
      <c r="A321" s="28">
        <v>45973.0</v>
      </c>
      <c r="B321" s="15" t="s">
        <v>451</v>
      </c>
      <c r="C321" s="13" t="s">
        <v>9</v>
      </c>
      <c r="D321" s="13">
        <v>80.0</v>
      </c>
      <c r="E321" s="15">
        <v>140.0</v>
      </c>
      <c r="F321" s="13" t="s">
        <v>27</v>
      </c>
      <c r="G321" s="15" t="s">
        <v>176</v>
      </c>
      <c r="H321" s="15">
        <v>550.0</v>
      </c>
      <c r="I321" s="20"/>
      <c r="J321" s="20">
        <f t="shared" si="1"/>
        <v>77</v>
      </c>
      <c r="K321" s="21"/>
      <c r="L321" s="22"/>
    </row>
    <row r="322" ht="22.5" customHeight="1">
      <c r="A322" s="28">
        <v>45973.0</v>
      </c>
      <c r="B322" s="15" t="s">
        <v>452</v>
      </c>
      <c r="C322" s="13" t="s">
        <v>9</v>
      </c>
      <c r="D322" s="13">
        <v>80.0</v>
      </c>
      <c r="E322" s="15">
        <v>170.0</v>
      </c>
      <c r="F322" s="13" t="s">
        <v>21</v>
      </c>
      <c r="G322" s="15" t="s">
        <v>89</v>
      </c>
      <c r="H322" s="21"/>
      <c r="I322" s="20"/>
      <c r="J322" s="20">
        <f t="shared" si="1"/>
        <v>0</v>
      </c>
      <c r="K322" s="15" t="s">
        <v>137</v>
      </c>
      <c r="L322" s="37"/>
    </row>
    <row r="323" ht="22.5" customHeight="1">
      <c r="A323" s="28">
        <v>45973.0</v>
      </c>
      <c r="B323" s="15" t="s">
        <v>453</v>
      </c>
      <c r="C323" s="13" t="s">
        <v>9</v>
      </c>
      <c r="D323" s="13">
        <v>80.0</v>
      </c>
      <c r="E323" s="15">
        <v>395.0</v>
      </c>
      <c r="F323" s="13" t="s">
        <v>21</v>
      </c>
      <c r="G323" s="15" t="s">
        <v>89</v>
      </c>
      <c r="H323" s="15">
        <v>350.0</v>
      </c>
      <c r="I323" s="20"/>
      <c r="J323" s="20">
        <f t="shared" si="1"/>
        <v>138.25</v>
      </c>
      <c r="K323" s="21"/>
      <c r="L323" s="22"/>
    </row>
    <row r="324" ht="22.5" customHeight="1">
      <c r="A324" s="28">
        <v>45973.0</v>
      </c>
      <c r="B324" s="15" t="s">
        <v>454</v>
      </c>
      <c r="C324" s="13" t="s">
        <v>9</v>
      </c>
      <c r="D324" s="13">
        <v>80.0</v>
      </c>
      <c r="E324" s="15">
        <v>250.0</v>
      </c>
      <c r="F324" s="13" t="s">
        <v>21</v>
      </c>
      <c r="G324" s="15" t="s">
        <v>89</v>
      </c>
      <c r="H324" s="21"/>
      <c r="I324" s="20"/>
      <c r="J324" s="20">
        <f t="shared" si="1"/>
        <v>0</v>
      </c>
      <c r="K324" s="15" t="s">
        <v>137</v>
      </c>
      <c r="L324" s="37"/>
    </row>
    <row r="325" ht="22.5" customHeight="1">
      <c r="A325" s="28">
        <v>45973.0</v>
      </c>
      <c r="B325" s="15" t="s">
        <v>454</v>
      </c>
      <c r="C325" s="13" t="s">
        <v>9</v>
      </c>
      <c r="D325" s="13">
        <v>80.0</v>
      </c>
      <c r="E325" s="15">
        <v>280.0</v>
      </c>
      <c r="F325" s="13" t="s">
        <v>21</v>
      </c>
      <c r="G325" s="15" t="s">
        <v>89</v>
      </c>
      <c r="H325" s="15">
        <v>800.0</v>
      </c>
      <c r="I325" s="20"/>
      <c r="J325" s="20">
        <f t="shared" si="1"/>
        <v>224</v>
      </c>
      <c r="K325" s="21"/>
      <c r="L325" s="22"/>
    </row>
    <row r="326" ht="22.5" customHeight="1">
      <c r="A326" s="28">
        <v>45974.0</v>
      </c>
      <c r="B326" s="15" t="s">
        <v>455</v>
      </c>
      <c r="C326" s="13" t="s">
        <v>9</v>
      </c>
      <c r="D326" s="13">
        <v>80.0</v>
      </c>
      <c r="E326" s="15">
        <v>210.0</v>
      </c>
      <c r="F326" s="13" t="s">
        <v>21</v>
      </c>
      <c r="G326" s="15" t="s">
        <v>89</v>
      </c>
      <c r="H326" s="15">
        <v>1500.0</v>
      </c>
      <c r="I326" s="20"/>
      <c r="J326" s="20">
        <f t="shared" si="1"/>
        <v>315</v>
      </c>
      <c r="L326" s="57"/>
    </row>
    <row r="327" ht="22.5" customHeight="1">
      <c r="A327" s="28">
        <v>45974.0</v>
      </c>
      <c r="B327" s="15" t="s">
        <v>456</v>
      </c>
      <c r="C327" s="13" t="s">
        <v>9</v>
      </c>
      <c r="D327" s="13">
        <v>80.0</v>
      </c>
      <c r="E327" s="15">
        <v>170.0</v>
      </c>
      <c r="F327" s="13" t="s">
        <v>21</v>
      </c>
      <c r="G327" s="15" t="s">
        <v>89</v>
      </c>
      <c r="H327" s="21"/>
      <c r="I327" s="20"/>
      <c r="J327" s="20">
        <f t="shared" si="1"/>
        <v>0</v>
      </c>
      <c r="K327" s="15" t="s">
        <v>137</v>
      </c>
      <c r="L327" s="37"/>
    </row>
    <row r="328" ht="22.5" customHeight="1">
      <c r="A328" s="28">
        <v>45974.0</v>
      </c>
      <c r="B328" s="15" t="s">
        <v>457</v>
      </c>
      <c r="C328" s="13" t="s">
        <v>43</v>
      </c>
      <c r="D328" s="13">
        <v>50.0</v>
      </c>
      <c r="E328" s="15">
        <v>125.0</v>
      </c>
      <c r="F328" s="13" t="s">
        <v>27</v>
      </c>
      <c r="G328" s="15" t="s">
        <v>176</v>
      </c>
      <c r="H328" s="15">
        <v>1000.0</v>
      </c>
      <c r="I328" s="20"/>
      <c r="J328" s="20">
        <f t="shared" si="1"/>
        <v>125</v>
      </c>
      <c r="K328" s="21"/>
      <c r="L328" s="22"/>
    </row>
    <row r="329" ht="22.5" customHeight="1">
      <c r="A329" s="28">
        <v>45974.0</v>
      </c>
      <c r="B329" s="15" t="s">
        <v>458</v>
      </c>
      <c r="C329" s="13" t="s">
        <v>43</v>
      </c>
      <c r="D329" s="13">
        <v>50.0</v>
      </c>
      <c r="E329" s="15">
        <v>125.0</v>
      </c>
      <c r="F329" s="13" t="s">
        <v>27</v>
      </c>
      <c r="G329" s="15" t="s">
        <v>176</v>
      </c>
      <c r="H329" s="21"/>
      <c r="I329" s="20"/>
      <c r="J329" s="20">
        <f t="shared" si="1"/>
        <v>0</v>
      </c>
      <c r="K329" s="15" t="s">
        <v>137</v>
      </c>
      <c r="L329" s="37"/>
    </row>
    <row r="330" ht="22.5" customHeight="1">
      <c r="A330" s="28">
        <v>45974.0</v>
      </c>
      <c r="B330" s="15" t="s">
        <v>458</v>
      </c>
      <c r="C330" s="13" t="s">
        <v>43</v>
      </c>
      <c r="D330" s="13">
        <v>50.0</v>
      </c>
      <c r="E330" s="15">
        <v>135.0</v>
      </c>
      <c r="F330" s="13" t="s">
        <v>31</v>
      </c>
      <c r="G330" s="15" t="s">
        <v>176</v>
      </c>
      <c r="H330" s="15">
        <v>1845.0</v>
      </c>
      <c r="I330" s="20"/>
      <c r="J330" s="20">
        <f t="shared" si="1"/>
        <v>249.075</v>
      </c>
      <c r="K330" s="21"/>
      <c r="L330" s="22"/>
    </row>
    <row r="331" ht="22.5" customHeight="1">
      <c r="A331" s="28">
        <v>45974.0</v>
      </c>
      <c r="B331" s="15" t="s">
        <v>459</v>
      </c>
      <c r="C331" s="13" t="s">
        <v>43</v>
      </c>
      <c r="D331" s="13">
        <v>50.0</v>
      </c>
      <c r="E331" s="15">
        <v>135.0</v>
      </c>
      <c r="F331" s="13" t="s">
        <v>31</v>
      </c>
      <c r="G331" s="15" t="s">
        <v>176</v>
      </c>
      <c r="H331" s="15">
        <v>650.0</v>
      </c>
      <c r="I331" s="20"/>
      <c r="J331" s="20">
        <f t="shared" si="1"/>
        <v>87.75</v>
      </c>
      <c r="K331" s="21"/>
      <c r="L331" s="22"/>
    </row>
    <row r="332" ht="22.5" customHeight="1">
      <c r="A332" s="28">
        <v>45975.0</v>
      </c>
      <c r="B332" s="15" t="s">
        <v>460</v>
      </c>
      <c r="C332" s="13" t="s">
        <v>9</v>
      </c>
      <c r="D332" s="13">
        <v>80.0</v>
      </c>
      <c r="E332" s="15">
        <v>195.0</v>
      </c>
      <c r="F332" s="13" t="s">
        <v>27</v>
      </c>
      <c r="G332" s="15" t="s">
        <v>461</v>
      </c>
      <c r="H332" s="15">
        <v>300.0</v>
      </c>
      <c r="I332" s="20"/>
      <c r="J332" s="20">
        <f t="shared" si="1"/>
        <v>58.5</v>
      </c>
      <c r="K332" s="21"/>
      <c r="L332" s="22"/>
    </row>
    <row r="333" ht="22.5" customHeight="1">
      <c r="A333" s="28">
        <v>45975.0</v>
      </c>
      <c r="B333" s="15" t="s">
        <v>462</v>
      </c>
      <c r="C333" s="13" t="s">
        <v>9</v>
      </c>
      <c r="D333" s="13">
        <v>80.0</v>
      </c>
      <c r="E333" s="15">
        <v>210.0</v>
      </c>
      <c r="F333" s="13" t="s">
        <v>27</v>
      </c>
      <c r="G333" s="15" t="s">
        <v>461</v>
      </c>
      <c r="H333" s="15">
        <v>1195.0</v>
      </c>
      <c r="I333" s="20"/>
      <c r="J333" s="20">
        <f t="shared" si="1"/>
        <v>250.95</v>
      </c>
      <c r="K333" s="21"/>
      <c r="L333" s="22"/>
    </row>
    <row r="334" ht="22.5" customHeight="1">
      <c r="A334" s="28">
        <v>45975.0</v>
      </c>
      <c r="B334" s="15" t="s">
        <v>463</v>
      </c>
      <c r="C334" s="13" t="s">
        <v>9</v>
      </c>
      <c r="D334" s="13">
        <v>80.0</v>
      </c>
      <c r="E334" s="15">
        <v>185.0</v>
      </c>
      <c r="F334" s="13" t="s">
        <v>27</v>
      </c>
      <c r="G334" s="15" t="s">
        <v>461</v>
      </c>
      <c r="H334" s="15">
        <v>1000.0</v>
      </c>
      <c r="I334" s="20"/>
      <c r="J334" s="20">
        <f t="shared" si="1"/>
        <v>185</v>
      </c>
      <c r="K334" s="21"/>
      <c r="L334" s="22"/>
    </row>
    <row r="335" ht="22.5" customHeight="1">
      <c r="A335" s="28">
        <v>45975.0</v>
      </c>
      <c r="B335" s="15" t="s">
        <v>464</v>
      </c>
      <c r="C335" s="13" t="s">
        <v>9</v>
      </c>
      <c r="D335" s="13">
        <v>80.0</v>
      </c>
      <c r="E335" s="15">
        <v>195.0</v>
      </c>
      <c r="F335" s="13" t="s">
        <v>27</v>
      </c>
      <c r="G335" s="15" t="s">
        <v>461</v>
      </c>
      <c r="H335" s="15">
        <v>550.0</v>
      </c>
      <c r="I335" s="20"/>
      <c r="J335" s="20">
        <f t="shared" si="1"/>
        <v>107.25</v>
      </c>
      <c r="K335" s="21"/>
      <c r="L335" s="22"/>
    </row>
    <row r="336" ht="22.5" customHeight="1">
      <c r="A336" s="28">
        <v>45975.0</v>
      </c>
      <c r="B336" s="15" t="s">
        <v>465</v>
      </c>
      <c r="C336" s="13" t="s">
        <v>9</v>
      </c>
      <c r="D336" s="13">
        <v>80.0</v>
      </c>
      <c r="E336" s="15">
        <v>210.0</v>
      </c>
      <c r="F336" s="13" t="s">
        <v>27</v>
      </c>
      <c r="G336" s="15" t="s">
        <v>461</v>
      </c>
      <c r="H336" s="15">
        <v>150.0</v>
      </c>
      <c r="I336" s="20"/>
      <c r="J336" s="20">
        <f t="shared" si="1"/>
        <v>31.5</v>
      </c>
      <c r="K336" s="21"/>
      <c r="L336" s="22"/>
    </row>
    <row r="337" ht="22.5" customHeight="1">
      <c r="A337" s="28">
        <v>45975.0</v>
      </c>
      <c r="B337" s="15" t="s">
        <v>467</v>
      </c>
      <c r="C337" s="13" t="s">
        <v>9</v>
      </c>
      <c r="D337" s="13">
        <v>80.0</v>
      </c>
      <c r="E337" s="15">
        <v>195.0</v>
      </c>
      <c r="F337" s="13" t="s">
        <v>27</v>
      </c>
      <c r="G337" s="15" t="s">
        <v>461</v>
      </c>
      <c r="H337" s="15">
        <v>1840.0</v>
      </c>
      <c r="I337" s="20"/>
      <c r="J337" s="20">
        <f t="shared" si="1"/>
        <v>358.8</v>
      </c>
      <c r="K337" s="21"/>
      <c r="L337" s="22"/>
    </row>
    <row r="338" ht="22.5" customHeight="1">
      <c r="A338" s="28">
        <v>45976.0</v>
      </c>
      <c r="B338" s="15" t="s">
        <v>468</v>
      </c>
      <c r="C338" s="13" t="s">
        <v>43</v>
      </c>
      <c r="D338" s="13">
        <v>50.0</v>
      </c>
      <c r="E338" s="15">
        <v>125.0</v>
      </c>
      <c r="F338" s="13" t="s">
        <v>27</v>
      </c>
      <c r="G338" s="15" t="s">
        <v>176</v>
      </c>
      <c r="H338" s="15">
        <v>850.0</v>
      </c>
      <c r="I338" s="20"/>
      <c r="J338" s="20">
        <f t="shared" si="1"/>
        <v>106.25</v>
      </c>
      <c r="K338" s="21"/>
      <c r="L338" s="22"/>
    </row>
    <row r="339" ht="22.5" customHeight="1">
      <c r="A339" s="28">
        <v>45976.0</v>
      </c>
      <c r="B339" s="15" t="s">
        <v>469</v>
      </c>
      <c r="C339" s="13" t="s">
        <v>9</v>
      </c>
      <c r="D339" s="13">
        <v>80.0</v>
      </c>
      <c r="E339" s="15">
        <v>160.0</v>
      </c>
      <c r="F339" s="13" t="s">
        <v>27</v>
      </c>
      <c r="G339" s="15" t="s">
        <v>470</v>
      </c>
      <c r="H339" s="15">
        <v>150.0</v>
      </c>
      <c r="I339" s="20"/>
      <c r="J339" s="20">
        <f t="shared" si="1"/>
        <v>24</v>
      </c>
      <c r="K339" s="21"/>
      <c r="L339" s="22"/>
    </row>
    <row r="340" ht="22.5" customHeight="1">
      <c r="A340" s="28">
        <v>45976.0</v>
      </c>
      <c r="B340" s="15" t="s">
        <v>471</v>
      </c>
      <c r="C340" s="13" t="s">
        <v>9</v>
      </c>
      <c r="D340" s="13">
        <v>80.0</v>
      </c>
      <c r="E340" s="15">
        <v>140.0</v>
      </c>
      <c r="F340" s="13" t="s">
        <v>27</v>
      </c>
      <c r="G340" s="15" t="s">
        <v>470</v>
      </c>
      <c r="H340" s="15">
        <v>600.0</v>
      </c>
      <c r="I340" s="20"/>
      <c r="J340" s="20">
        <f t="shared" si="1"/>
        <v>84</v>
      </c>
      <c r="K340" s="21"/>
      <c r="L340" s="22"/>
    </row>
    <row r="341" ht="22.5" customHeight="1">
      <c r="A341" s="28">
        <v>45976.0</v>
      </c>
      <c r="B341" s="15" t="s">
        <v>472</v>
      </c>
      <c r="C341" s="13" t="s">
        <v>52</v>
      </c>
      <c r="D341" s="13">
        <v>50.0</v>
      </c>
      <c r="E341" s="15">
        <v>165.0</v>
      </c>
      <c r="F341" s="13" t="s">
        <v>31</v>
      </c>
      <c r="G341" s="15" t="s">
        <v>470</v>
      </c>
      <c r="H341" s="15">
        <v>600.0</v>
      </c>
      <c r="I341" s="20"/>
      <c r="J341" s="20">
        <f t="shared" si="1"/>
        <v>99</v>
      </c>
      <c r="K341" s="21"/>
      <c r="L341" s="22"/>
    </row>
    <row r="342" ht="22.5" customHeight="1">
      <c r="A342" s="28">
        <v>45978.0</v>
      </c>
      <c r="B342" s="15" t="s">
        <v>473</v>
      </c>
      <c r="C342" s="13" t="s">
        <v>36</v>
      </c>
      <c r="D342" s="13">
        <v>70.0</v>
      </c>
      <c r="E342" s="15">
        <v>260.0</v>
      </c>
      <c r="F342" s="13" t="s">
        <v>37</v>
      </c>
      <c r="G342" s="15" t="s">
        <v>324</v>
      </c>
      <c r="H342" s="21"/>
      <c r="I342" s="20"/>
      <c r="J342" s="20">
        <f t="shared" si="1"/>
        <v>0</v>
      </c>
      <c r="K342" s="15" t="s">
        <v>137</v>
      </c>
      <c r="L342" s="37"/>
    </row>
    <row r="343" ht="22.5" customHeight="1">
      <c r="A343" s="28">
        <v>45978.0</v>
      </c>
      <c r="B343" s="15" t="s">
        <v>474</v>
      </c>
      <c r="C343" s="13" t="s">
        <v>9</v>
      </c>
      <c r="D343" s="13">
        <v>80.0</v>
      </c>
      <c r="E343" s="15">
        <v>140.0</v>
      </c>
      <c r="F343" s="13" t="s">
        <v>27</v>
      </c>
      <c r="G343" s="15" t="s">
        <v>470</v>
      </c>
      <c r="H343" s="15">
        <v>400.0</v>
      </c>
      <c r="I343" s="20"/>
      <c r="J343" s="20">
        <f t="shared" si="1"/>
        <v>56</v>
      </c>
      <c r="K343" s="21"/>
      <c r="L343" s="22"/>
    </row>
    <row r="344" ht="22.5" customHeight="1">
      <c r="A344" s="28">
        <v>45978.0</v>
      </c>
      <c r="B344" s="15" t="s">
        <v>475</v>
      </c>
      <c r="C344" s="13" t="s">
        <v>9</v>
      </c>
      <c r="D344" s="13">
        <v>80.0</v>
      </c>
      <c r="E344" s="15">
        <v>140.0</v>
      </c>
      <c r="F344" s="13" t="s">
        <v>27</v>
      </c>
      <c r="G344" s="15" t="s">
        <v>99</v>
      </c>
      <c r="H344" s="15">
        <v>1330.0</v>
      </c>
      <c r="I344" s="20"/>
      <c r="J344" s="20">
        <f t="shared" si="1"/>
        <v>186.2</v>
      </c>
      <c r="K344" s="21"/>
      <c r="L344" s="22"/>
    </row>
    <row r="345" ht="22.5" customHeight="1">
      <c r="A345" s="28">
        <v>45978.0</v>
      </c>
      <c r="B345" s="15" t="s">
        <v>476</v>
      </c>
      <c r="C345" s="13" t="s">
        <v>9</v>
      </c>
      <c r="D345" s="13">
        <v>80.0</v>
      </c>
      <c r="E345" s="15">
        <v>160.0</v>
      </c>
      <c r="F345" s="13" t="s">
        <v>27</v>
      </c>
      <c r="G345" s="15" t="s">
        <v>470</v>
      </c>
      <c r="H345" s="15">
        <v>1300.0</v>
      </c>
      <c r="I345" s="20"/>
      <c r="J345" s="20">
        <f t="shared" si="1"/>
        <v>208</v>
      </c>
      <c r="K345" s="21"/>
      <c r="L345" s="22"/>
    </row>
    <row r="346" ht="22.5" customHeight="1">
      <c r="A346" s="28">
        <v>45979.0</v>
      </c>
      <c r="B346" s="15" t="s">
        <v>478</v>
      </c>
      <c r="C346" s="13" t="s">
        <v>9</v>
      </c>
      <c r="D346" s="13">
        <v>80.0</v>
      </c>
      <c r="E346" s="15">
        <v>140.0</v>
      </c>
      <c r="F346" s="13" t="s">
        <v>27</v>
      </c>
      <c r="G346" s="15" t="s">
        <v>99</v>
      </c>
      <c r="H346" s="15">
        <v>1030.0</v>
      </c>
      <c r="I346" s="20"/>
      <c r="J346" s="20">
        <f t="shared" si="1"/>
        <v>144.2</v>
      </c>
      <c r="K346" s="21"/>
      <c r="L346" s="22"/>
    </row>
    <row r="347" ht="22.5" customHeight="1">
      <c r="A347" s="28">
        <v>45979.0</v>
      </c>
      <c r="B347" s="15" t="s">
        <v>480</v>
      </c>
      <c r="C347" s="13" t="s">
        <v>9</v>
      </c>
      <c r="D347" s="13">
        <v>80.0</v>
      </c>
      <c r="E347" s="15">
        <v>140.0</v>
      </c>
      <c r="F347" s="13" t="s">
        <v>27</v>
      </c>
      <c r="G347" s="15" t="s">
        <v>99</v>
      </c>
      <c r="H347" s="15">
        <v>550.0</v>
      </c>
      <c r="I347" s="20"/>
      <c r="J347" s="20">
        <f t="shared" si="1"/>
        <v>77</v>
      </c>
      <c r="K347" s="21"/>
      <c r="L347" s="22"/>
    </row>
    <row r="348" ht="22.5" customHeight="1">
      <c r="A348" s="28">
        <v>45979.0</v>
      </c>
      <c r="B348" s="15" t="s">
        <v>482</v>
      </c>
      <c r="C348" s="13" t="s">
        <v>9</v>
      </c>
      <c r="D348" s="13">
        <v>80.0</v>
      </c>
      <c r="E348" s="15">
        <v>160.0</v>
      </c>
      <c r="F348" s="13" t="s">
        <v>27</v>
      </c>
      <c r="G348" s="15" t="s">
        <v>99</v>
      </c>
      <c r="H348" s="15">
        <v>450.0</v>
      </c>
      <c r="I348" s="20"/>
      <c r="J348" s="20">
        <f t="shared" si="1"/>
        <v>72</v>
      </c>
      <c r="K348" s="21"/>
      <c r="L348" s="22"/>
    </row>
    <row r="349" ht="22.5" customHeight="1">
      <c r="A349" s="28">
        <v>45979.0</v>
      </c>
      <c r="B349" s="15" t="s">
        <v>483</v>
      </c>
      <c r="C349" s="13" t="s">
        <v>9</v>
      </c>
      <c r="D349" s="13">
        <v>80.0</v>
      </c>
      <c r="E349" s="15">
        <v>160.0</v>
      </c>
      <c r="F349" s="13" t="s">
        <v>27</v>
      </c>
      <c r="G349" s="15" t="s">
        <v>99</v>
      </c>
      <c r="H349" s="15">
        <v>500.0</v>
      </c>
      <c r="I349" s="20"/>
      <c r="J349" s="20">
        <f t="shared" si="1"/>
        <v>80</v>
      </c>
      <c r="K349" s="21"/>
      <c r="L349" s="22"/>
    </row>
    <row r="350" ht="22.5" customHeight="1">
      <c r="A350" s="28">
        <v>45980.0</v>
      </c>
      <c r="B350" s="15" t="s">
        <v>484</v>
      </c>
      <c r="C350" s="13" t="s">
        <v>36</v>
      </c>
      <c r="D350" s="13">
        <v>70.0</v>
      </c>
      <c r="E350" s="15">
        <v>190.0</v>
      </c>
      <c r="F350" s="13" t="s">
        <v>37</v>
      </c>
      <c r="G350" s="15" t="s">
        <v>486</v>
      </c>
      <c r="H350" s="15">
        <v>180.0</v>
      </c>
      <c r="I350" s="20"/>
      <c r="J350" s="20">
        <f t="shared" si="1"/>
        <v>34.2</v>
      </c>
      <c r="K350" s="21"/>
      <c r="L350" s="22"/>
    </row>
    <row r="351" ht="22.5" customHeight="1">
      <c r="A351" s="28">
        <v>45980.0</v>
      </c>
      <c r="B351" s="15" t="s">
        <v>487</v>
      </c>
      <c r="C351" s="13" t="s">
        <v>36</v>
      </c>
      <c r="D351" s="13">
        <v>70.0</v>
      </c>
      <c r="E351" s="15">
        <v>190.0</v>
      </c>
      <c r="F351" s="13" t="s">
        <v>37</v>
      </c>
      <c r="G351" s="15" t="s">
        <v>486</v>
      </c>
      <c r="H351" s="15">
        <v>350.0</v>
      </c>
      <c r="I351" s="20"/>
      <c r="J351" s="20">
        <f t="shared" si="1"/>
        <v>66.5</v>
      </c>
      <c r="K351" s="21"/>
      <c r="L351" s="22"/>
    </row>
    <row r="352" ht="22.5" customHeight="1">
      <c r="A352" s="28">
        <v>45980.0</v>
      </c>
      <c r="B352" s="15" t="s">
        <v>489</v>
      </c>
      <c r="C352" s="13" t="s">
        <v>9</v>
      </c>
      <c r="D352" s="13">
        <v>80.0</v>
      </c>
      <c r="E352" s="15">
        <v>230.0</v>
      </c>
      <c r="F352" s="13" t="s">
        <v>27</v>
      </c>
      <c r="G352" s="15" t="s">
        <v>99</v>
      </c>
      <c r="H352" s="15">
        <v>350.0</v>
      </c>
      <c r="I352" s="20"/>
      <c r="J352" s="20">
        <f t="shared" si="1"/>
        <v>80.5</v>
      </c>
      <c r="K352" s="21"/>
      <c r="L352" s="22"/>
    </row>
    <row r="353" ht="22.5" customHeight="1">
      <c r="A353" s="28">
        <v>45980.0</v>
      </c>
      <c r="B353" s="15" t="s">
        <v>490</v>
      </c>
      <c r="C353" s="13" t="s">
        <v>9</v>
      </c>
      <c r="D353" s="13">
        <v>80.0</v>
      </c>
      <c r="E353" s="15">
        <v>126.0</v>
      </c>
      <c r="F353" s="13" t="s">
        <v>27</v>
      </c>
      <c r="G353" s="15" t="s">
        <v>491</v>
      </c>
      <c r="H353" s="21"/>
      <c r="I353" s="20"/>
      <c r="J353" s="20">
        <f t="shared" si="1"/>
        <v>0</v>
      </c>
      <c r="K353" s="15" t="s">
        <v>137</v>
      </c>
      <c r="L353" s="37"/>
    </row>
    <row r="354" ht="22.5" customHeight="1">
      <c r="A354" s="28">
        <v>45980.0</v>
      </c>
      <c r="B354" s="15" t="s">
        <v>492</v>
      </c>
      <c r="C354" s="13" t="s">
        <v>9</v>
      </c>
      <c r="D354" s="13">
        <v>80.0</v>
      </c>
      <c r="E354" s="15">
        <v>280.0</v>
      </c>
      <c r="F354" s="13" t="s">
        <v>21</v>
      </c>
      <c r="G354" s="15" t="s">
        <v>89</v>
      </c>
      <c r="H354" s="21"/>
      <c r="I354" s="20"/>
      <c r="J354" s="20">
        <f t="shared" si="1"/>
        <v>0</v>
      </c>
      <c r="K354" s="15" t="s">
        <v>137</v>
      </c>
      <c r="L354" s="37"/>
    </row>
    <row r="355" ht="22.5" customHeight="1">
      <c r="A355" s="28">
        <v>45980.0</v>
      </c>
      <c r="B355" s="15" t="s">
        <v>493</v>
      </c>
      <c r="C355" s="13" t="s">
        <v>9</v>
      </c>
      <c r="D355" s="13">
        <v>80.0</v>
      </c>
      <c r="E355" s="15">
        <v>280.0</v>
      </c>
      <c r="F355" s="13" t="s">
        <v>21</v>
      </c>
      <c r="G355" s="15" t="s">
        <v>89</v>
      </c>
      <c r="H355" s="15">
        <v>1000.0</v>
      </c>
      <c r="I355" s="20"/>
      <c r="J355" s="20">
        <f t="shared" si="1"/>
        <v>280</v>
      </c>
      <c r="K355" s="21"/>
      <c r="L355" s="22"/>
    </row>
    <row r="356" ht="22.5" customHeight="1">
      <c r="A356" s="28">
        <v>45980.0</v>
      </c>
      <c r="B356" s="15" t="s">
        <v>494</v>
      </c>
      <c r="C356" s="13" t="s">
        <v>9</v>
      </c>
      <c r="D356" s="13">
        <v>80.0</v>
      </c>
      <c r="E356" s="15">
        <v>210.0</v>
      </c>
      <c r="F356" s="13" t="s">
        <v>21</v>
      </c>
      <c r="G356" s="15" t="s">
        <v>89</v>
      </c>
      <c r="H356" s="15">
        <v>1270.0</v>
      </c>
      <c r="I356" s="20"/>
      <c r="J356" s="20">
        <f t="shared" si="1"/>
        <v>266.7</v>
      </c>
      <c r="K356" s="21"/>
      <c r="L356" s="22"/>
    </row>
    <row r="357" ht="22.5" customHeight="1">
      <c r="A357" s="28">
        <v>45981.0</v>
      </c>
      <c r="B357" s="15" t="s">
        <v>495</v>
      </c>
      <c r="C357" s="13" t="s">
        <v>9</v>
      </c>
      <c r="D357" s="13">
        <v>80.0</v>
      </c>
      <c r="E357" s="15">
        <v>185.0</v>
      </c>
      <c r="F357" s="13" t="s">
        <v>27</v>
      </c>
      <c r="G357" s="15" t="s">
        <v>139</v>
      </c>
      <c r="H357" s="21"/>
      <c r="I357" s="20"/>
      <c r="J357" s="20">
        <f t="shared" si="1"/>
        <v>0</v>
      </c>
      <c r="K357" s="15" t="s">
        <v>137</v>
      </c>
      <c r="L357" s="37"/>
    </row>
    <row r="358" ht="22.5" customHeight="1">
      <c r="A358" s="28">
        <v>45981.0</v>
      </c>
      <c r="B358" s="15" t="s">
        <v>496</v>
      </c>
      <c r="C358" s="13" t="s">
        <v>9</v>
      </c>
      <c r="D358" s="13">
        <v>80.0</v>
      </c>
      <c r="E358" s="15">
        <v>250.0</v>
      </c>
      <c r="F358" s="13" t="s">
        <v>21</v>
      </c>
      <c r="G358" s="15" t="s">
        <v>89</v>
      </c>
      <c r="H358" s="15">
        <v>300.0</v>
      </c>
      <c r="I358" s="20"/>
      <c r="J358" s="20">
        <f t="shared" si="1"/>
        <v>75</v>
      </c>
      <c r="K358" s="21"/>
      <c r="L358" s="22"/>
    </row>
    <row r="359" ht="22.5" customHeight="1">
      <c r="A359" s="28">
        <v>45982.0</v>
      </c>
      <c r="B359" s="15" t="s">
        <v>497</v>
      </c>
      <c r="C359" s="13" t="s">
        <v>9</v>
      </c>
      <c r="D359" s="13">
        <v>80.0</v>
      </c>
      <c r="E359" s="15">
        <v>290.0</v>
      </c>
      <c r="F359" s="13" t="s">
        <v>21</v>
      </c>
      <c r="G359" s="15" t="s">
        <v>498</v>
      </c>
      <c r="H359" s="15">
        <v>300.0</v>
      </c>
      <c r="I359" s="20"/>
      <c r="J359" s="20">
        <f t="shared" si="1"/>
        <v>87</v>
      </c>
      <c r="K359" s="15"/>
      <c r="L359" s="37"/>
    </row>
    <row r="360" ht="22.5" customHeight="1">
      <c r="A360" s="28">
        <v>45983.0</v>
      </c>
      <c r="B360" s="15" t="s">
        <v>499</v>
      </c>
      <c r="C360" s="13" t="s">
        <v>9</v>
      </c>
      <c r="D360" s="13">
        <v>80.0</v>
      </c>
      <c r="E360" s="15">
        <v>330.0</v>
      </c>
      <c r="F360" s="13" t="s">
        <v>21</v>
      </c>
      <c r="G360" s="15" t="s">
        <v>498</v>
      </c>
      <c r="H360" s="15">
        <v>250.0</v>
      </c>
      <c r="I360" s="20"/>
      <c r="J360" s="20">
        <f t="shared" si="1"/>
        <v>82.5</v>
      </c>
      <c r="K360" s="21"/>
      <c r="L360" s="22"/>
    </row>
    <row r="361" ht="22.5" customHeight="1">
      <c r="A361" s="28">
        <v>45983.0</v>
      </c>
      <c r="B361" s="15" t="s">
        <v>500</v>
      </c>
      <c r="C361" s="13" t="s">
        <v>9</v>
      </c>
      <c r="D361" s="13">
        <v>80.0</v>
      </c>
      <c r="E361" s="15">
        <v>330.0</v>
      </c>
      <c r="F361" s="13" t="s">
        <v>21</v>
      </c>
      <c r="G361" s="15" t="s">
        <v>498</v>
      </c>
      <c r="H361" s="15">
        <v>670.0</v>
      </c>
      <c r="I361" s="20"/>
      <c r="J361" s="20">
        <f t="shared" si="1"/>
        <v>221.1</v>
      </c>
      <c r="K361" s="21"/>
      <c r="L361" s="22"/>
    </row>
    <row r="362" ht="22.5" customHeight="1">
      <c r="A362" s="28">
        <v>45985.0</v>
      </c>
      <c r="B362" s="15" t="s">
        <v>501</v>
      </c>
      <c r="C362" s="13" t="s">
        <v>9</v>
      </c>
      <c r="D362" s="13">
        <v>80.0</v>
      </c>
      <c r="E362" s="15">
        <v>160.0</v>
      </c>
      <c r="F362" s="13" t="s">
        <v>27</v>
      </c>
      <c r="G362" s="15" t="s">
        <v>99</v>
      </c>
      <c r="H362" s="21"/>
      <c r="I362" s="20"/>
      <c r="J362" s="20">
        <f t="shared" si="1"/>
        <v>0</v>
      </c>
      <c r="K362" s="15" t="s">
        <v>137</v>
      </c>
      <c r="L362" s="37"/>
    </row>
    <row r="363" ht="22.5" customHeight="1">
      <c r="A363" s="28">
        <v>45985.0</v>
      </c>
      <c r="B363" s="15" t="s">
        <v>502</v>
      </c>
      <c r="C363" s="13" t="s">
        <v>9</v>
      </c>
      <c r="D363" s="13">
        <v>80.0</v>
      </c>
      <c r="E363" s="15">
        <v>140.0</v>
      </c>
      <c r="F363" s="13" t="s">
        <v>27</v>
      </c>
      <c r="G363" s="15" t="s">
        <v>99</v>
      </c>
      <c r="H363" s="15">
        <v>530.0</v>
      </c>
      <c r="I363" s="20"/>
      <c r="J363" s="20">
        <f t="shared" si="1"/>
        <v>74.2</v>
      </c>
      <c r="K363" s="21"/>
      <c r="L363" s="22"/>
    </row>
    <row r="364" ht="22.5" customHeight="1">
      <c r="A364" s="28">
        <v>45985.0</v>
      </c>
      <c r="B364" s="15" t="s">
        <v>503</v>
      </c>
      <c r="C364" s="13" t="s">
        <v>9</v>
      </c>
      <c r="D364" s="13">
        <v>80.0</v>
      </c>
      <c r="E364" s="15">
        <v>160.0</v>
      </c>
      <c r="F364" s="13" t="s">
        <v>27</v>
      </c>
      <c r="G364" s="15" t="s">
        <v>99</v>
      </c>
      <c r="H364" s="15">
        <v>1460.0</v>
      </c>
      <c r="I364" s="20"/>
      <c r="J364" s="20">
        <f t="shared" si="1"/>
        <v>233.6</v>
      </c>
      <c r="K364" s="21"/>
      <c r="L364" s="22"/>
    </row>
    <row r="365" ht="22.5" customHeight="1">
      <c r="A365" s="28">
        <v>45985.0</v>
      </c>
      <c r="B365" s="15" t="s">
        <v>504</v>
      </c>
      <c r="C365" s="13" t="s">
        <v>9</v>
      </c>
      <c r="D365" s="13">
        <v>80.0</v>
      </c>
      <c r="E365" s="15">
        <v>140.0</v>
      </c>
      <c r="F365" s="13" t="s">
        <v>27</v>
      </c>
      <c r="G365" s="15" t="s">
        <v>99</v>
      </c>
      <c r="H365" s="15">
        <v>300.0</v>
      </c>
      <c r="I365" s="20"/>
      <c r="J365" s="20">
        <f t="shared" si="1"/>
        <v>42</v>
      </c>
      <c r="K365" s="21"/>
      <c r="L365" s="22"/>
    </row>
    <row r="366" ht="22.5" customHeight="1">
      <c r="A366" s="28">
        <v>45985.0</v>
      </c>
      <c r="B366" s="15" t="s">
        <v>505</v>
      </c>
      <c r="C366" s="13" t="s">
        <v>9</v>
      </c>
      <c r="D366" s="13">
        <v>80.0</v>
      </c>
      <c r="E366" s="15">
        <v>230.0</v>
      </c>
      <c r="F366" s="13" t="s">
        <v>27</v>
      </c>
      <c r="G366" s="15" t="s">
        <v>99</v>
      </c>
      <c r="H366" s="15">
        <v>1300.0</v>
      </c>
      <c r="I366" s="20"/>
      <c r="J366" s="20">
        <f t="shared" si="1"/>
        <v>299</v>
      </c>
      <c r="K366" s="21"/>
      <c r="L366" s="22"/>
    </row>
    <row r="367" ht="22.5" customHeight="1">
      <c r="A367" s="28">
        <v>45986.0</v>
      </c>
      <c r="B367" s="15" t="s">
        <v>506</v>
      </c>
      <c r="C367" s="13" t="s">
        <v>9</v>
      </c>
      <c r="D367" s="13">
        <v>80.0</v>
      </c>
      <c r="E367" s="15">
        <v>140.0</v>
      </c>
      <c r="F367" s="13" t="s">
        <v>27</v>
      </c>
      <c r="G367" s="15" t="s">
        <v>99</v>
      </c>
      <c r="H367" s="21"/>
      <c r="I367" s="20"/>
      <c r="J367" s="20">
        <f t="shared" si="1"/>
        <v>0</v>
      </c>
      <c r="K367" s="15" t="s">
        <v>137</v>
      </c>
      <c r="L367" s="37"/>
    </row>
    <row r="368" ht="22.5" customHeight="1">
      <c r="A368" s="28">
        <v>45986.0</v>
      </c>
      <c r="B368" s="15" t="s">
        <v>508</v>
      </c>
      <c r="C368" s="13" t="s">
        <v>9</v>
      </c>
      <c r="D368" s="13">
        <v>80.0</v>
      </c>
      <c r="E368" s="15">
        <v>140.0</v>
      </c>
      <c r="F368" s="13" t="s">
        <v>27</v>
      </c>
      <c r="G368" s="15" t="s">
        <v>99</v>
      </c>
      <c r="H368" s="15">
        <v>1050.0</v>
      </c>
      <c r="I368" s="20"/>
      <c r="J368" s="20">
        <f t="shared" si="1"/>
        <v>147</v>
      </c>
      <c r="K368" s="21"/>
      <c r="L368" s="22"/>
    </row>
    <row r="369" ht="22.5" customHeight="1">
      <c r="A369" s="28">
        <v>45986.0</v>
      </c>
      <c r="B369" s="15" t="s">
        <v>510</v>
      </c>
      <c r="C369" s="13" t="s">
        <v>9</v>
      </c>
      <c r="D369" s="13">
        <v>80.0</v>
      </c>
      <c r="E369" s="15">
        <v>140.0</v>
      </c>
      <c r="F369" s="13" t="s">
        <v>27</v>
      </c>
      <c r="G369" s="15" t="s">
        <v>99</v>
      </c>
      <c r="H369" s="15">
        <v>450.0</v>
      </c>
      <c r="I369" s="20"/>
      <c r="J369" s="20">
        <f t="shared" si="1"/>
        <v>63</v>
      </c>
      <c r="K369" s="21"/>
      <c r="L369" s="22"/>
    </row>
    <row r="370" ht="22.5" customHeight="1">
      <c r="A370" s="28">
        <v>45987.0</v>
      </c>
      <c r="B370" s="15" t="s">
        <v>511</v>
      </c>
      <c r="C370" s="13" t="s">
        <v>9</v>
      </c>
      <c r="D370" s="13">
        <v>80.0</v>
      </c>
      <c r="E370" s="15">
        <v>290.0</v>
      </c>
      <c r="F370" s="13" t="s">
        <v>21</v>
      </c>
      <c r="G370" s="15" t="s">
        <v>89</v>
      </c>
      <c r="H370" s="15">
        <v>400.0</v>
      </c>
      <c r="I370" s="20"/>
      <c r="J370" s="20">
        <f t="shared" si="1"/>
        <v>116</v>
      </c>
      <c r="K370" s="21"/>
      <c r="L370" s="22"/>
    </row>
    <row r="371" ht="22.5" customHeight="1">
      <c r="A371" s="28">
        <v>45987.0</v>
      </c>
      <c r="B371" s="15" t="s">
        <v>512</v>
      </c>
      <c r="C371" s="13" t="s">
        <v>9</v>
      </c>
      <c r="D371" s="13">
        <v>80.0</v>
      </c>
      <c r="E371" s="15">
        <v>180.0</v>
      </c>
      <c r="F371" s="13" t="s">
        <v>21</v>
      </c>
      <c r="G371" s="15" t="s">
        <v>89</v>
      </c>
      <c r="H371" s="15">
        <v>1400.0</v>
      </c>
      <c r="I371" s="20"/>
      <c r="J371" s="20">
        <f t="shared" si="1"/>
        <v>252</v>
      </c>
      <c r="K371" s="21"/>
      <c r="L371" s="22"/>
    </row>
    <row r="372" ht="22.5" customHeight="1">
      <c r="A372" s="28">
        <v>45987.0</v>
      </c>
      <c r="B372" s="15" t="s">
        <v>514</v>
      </c>
      <c r="C372" s="13" t="s">
        <v>9</v>
      </c>
      <c r="D372" s="13">
        <v>80.0</v>
      </c>
      <c r="E372" s="15">
        <v>210.0</v>
      </c>
      <c r="F372" s="13" t="s">
        <v>21</v>
      </c>
      <c r="G372" s="15" t="s">
        <v>89</v>
      </c>
      <c r="H372" s="15">
        <v>600.0</v>
      </c>
      <c r="I372" s="20"/>
      <c r="J372" s="20">
        <f t="shared" si="1"/>
        <v>126</v>
      </c>
      <c r="K372" s="21"/>
      <c r="L372" s="22"/>
    </row>
    <row r="373" ht="22.5" customHeight="1">
      <c r="A373" s="28">
        <v>45987.0</v>
      </c>
      <c r="B373" s="15" t="s">
        <v>515</v>
      </c>
      <c r="C373" s="13" t="s">
        <v>9</v>
      </c>
      <c r="D373" s="13">
        <v>80.0</v>
      </c>
      <c r="E373" s="15">
        <v>290.0</v>
      </c>
      <c r="F373" s="13" t="s">
        <v>21</v>
      </c>
      <c r="G373" s="15" t="s">
        <v>89</v>
      </c>
      <c r="H373" s="15">
        <v>1200.0</v>
      </c>
      <c r="I373" s="20"/>
      <c r="J373" s="20">
        <f t="shared" si="1"/>
        <v>348</v>
      </c>
      <c r="K373" s="21"/>
      <c r="L373" s="22"/>
    </row>
    <row r="374" ht="22.5" customHeight="1">
      <c r="A374" s="28">
        <v>45987.0</v>
      </c>
      <c r="B374" s="15" t="s">
        <v>517</v>
      </c>
      <c r="C374" s="13" t="s">
        <v>9</v>
      </c>
      <c r="D374" s="13">
        <v>80.0</v>
      </c>
      <c r="E374" s="15">
        <v>320.0</v>
      </c>
      <c r="F374" s="13" t="s">
        <v>21</v>
      </c>
      <c r="G374" s="15" t="s">
        <v>89</v>
      </c>
      <c r="H374" s="15">
        <v>0.0</v>
      </c>
      <c r="I374" s="20"/>
      <c r="J374" s="20">
        <f t="shared" si="1"/>
        <v>0</v>
      </c>
      <c r="K374" s="15" t="s">
        <v>137</v>
      </c>
      <c r="L374" s="37"/>
    </row>
    <row r="375" ht="22.5" customHeight="1">
      <c r="A375" s="28">
        <v>45987.0</v>
      </c>
      <c r="B375" s="15" t="s">
        <v>518</v>
      </c>
      <c r="C375" s="13" t="s">
        <v>9</v>
      </c>
      <c r="D375" s="13">
        <v>80.0</v>
      </c>
      <c r="E375" s="15">
        <v>290.0</v>
      </c>
      <c r="F375" s="13" t="s">
        <v>21</v>
      </c>
      <c r="G375" s="15" t="s">
        <v>89</v>
      </c>
      <c r="H375" s="15">
        <v>0.0</v>
      </c>
      <c r="I375" s="20"/>
      <c r="J375" s="20">
        <f t="shared" si="1"/>
        <v>0</v>
      </c>
      <c r="K375" s="15" t="s">
        <v>137</v>
      </c>
      <c r="L375" s="37"/>
    </row>
    <row r="376" ht="22.5" customHeight="1">
      <c r="A376" s="28">
        <v>45987.0</v>
      </c>
      <c r="B376" s="15" t="s">
        <v>519</v>
      </c>
      <c r="C376" s="13" t="s">
        <v>9</v>
      </c>
      <c r="D376" s="13">
        <v>80.0</v>
      </c>
      <c r="E376" s="15">
        <v>125.0</v>
      </c>
      <c r="F376" s="13" t="s">
        <v>21</v>
      </c>
      <c r="G376" s="15" t="s">
        <v>89</v>
      </c>
      <c r="H376" s="15">
        <v>1100.0</v>
      </c>
      <c r="I376" s="20"/>
      <c r="J376" s="20">
        <f t="shared" si="1"/>
        <v>137.5</v>
      </c>
      <c r="K376" s="21"/>
      <c r="L376" s="22"/>
    </row>
    <row r="377" ht="22.5" customHeight="1">
      <c r="A377" s="28">
        <v>45988.0</v>
      </c>
      <c r="B377" s="15" t="s">
        <v>520</v>
      </c>
      <c r="C377" s="13" t="s">
        <v>26</v>
      </c>
      <c r="D377" s="13">
        <v>80.0</v>
      </c>
      <c r="E377" s="15">
        <v>160.0</v>
      </c>
      <c r="F377" s="13" t="s">
        <v>23</v>
      </c>
      <c r="G377" s="15" t="s">
        <v>99</v>
      </c>
      <c r="H377" s="15">
        <v>550.0</v>
      </c>
      <c r="I377" s="20"/>
      <c r="J377" s="20">
        <f t="shared" si="1"/>
        <v>88</v>
      </c>
      <c r="K377" s="21"/>
      <c r="L377" s="22"/>
    </row>
    <row r="378" ht="22.5" customHeight="1">
      <c r="A378" s="28">
        <v>45988.0</v>
      </c>
      <c r="B378" s="15" t="s">
        <v>521</v>
      </c>
      <c r="C378" s="13" t="s">
        <v>9</v>
      </c>
      <c r="D378" s="13">
        <v>80.0</v>
      </c>
      <c r="E378" s="15">
        <v>330.0</v>
      </c>
      <c r="F378" s="13" t="s">
        <v>21</v>
      </c>
      <c r="G378" s="15" t="s">
        <v>522</v>
      </c>
      <c r="H378" s="21"/>
      <c r="I378" s="20"/>
      <c r="J378" s="20">
        <f t="shared" si="1"/>
        <v>0</v>
      </c>
      <c r="K378" s="15" t="s">
        <v>137</v>
      </c>
      <c r="L378" s="37"/>
    </row>
    <row r="379" ht="22.5" customHeight="1">
      <c r="A379" s="28">
        <v>45988.0</v>
      </c>
      <c r="B379" s="15" t="s">
        <v>523</v>
      </c>
      <c r="C379" s="13" t="s">
        <v>9</v>
      </c>
      <c r="D379" s="13">
        <v>80.0</v>
      </c>
      <c r="E379" s="15">
        <v>230.0</v>
      </c>
      <c r="F379" s="13" t="s">
        <v>27</v>
      </c>
      <c r="G379" s="15" t="s">
        <v>99</v>
      </c>
      <c r="H379" s="21"/>
      <c r="I379" s="20"/>
      <c r="J379" s="20">
        <f t="shared" si="1"/>
        <v>0</v>
      </c>
      <c r="K379" s="15" t="s">
        <v>137</v>
      </c>
      <c r="L379" s="37"/>
    </row>
    <row r="380" ht="22.5" customHeight="1">
      <c r="A380" s="28">
        <v>45988.0</v>
      </c>
      <c r="B380" s="15" t="s">
        <v>525</v>
      </c>
      <c r="C380" s="13" t="s">
        <v>9</v>
      </c>
      <c r="D380" s="13">
        <v>80.0</v>
      </c>
      <c r="E380" s="15">
        <v>140.0</v>
      </c>
      <c r="F380" s="13" t="s">
        <v>27</v>
      </c>
      <c r="G380" s="15" t="s">
        <v>99</v>
      </c>
      <c r="H380" s="15">
        <v>450.0</v>
      </c>
      <c r="I380" s="20"/>
      <c r="J380" s="20">
        <f t="shared" si="1"/>
        <v>63</v>
      </c>
      <c r="K380" s="21"/>
      <c r="L380" s="22"/>
    </row>
    <row r="381" ht="22.5" customHeight="1">
      <c r="A381" s="28">
        <v>45989.0</v>
      </c>
      <c r="B381" s="15" t="s">
        <v>526</v>
      </c>
      <c r="C381" s="13" t="s">
        <v>43</v>
      </c>
      <c r="D381" s="13">
        <v>50.0</v>
      </c>
      <c r="E381" s="15">
        <v>110.0</v>
      </c>
      <c r="F381" s="13" t="s">
        <v>23</v>
      </c>
      <c r="G381" s="15" t="s">
        <v>527</v>
      </c>
      <c r="H381" s="15">
        <v>1000.0</v>
      </c>
      <c r="I381" s="20"/>
      <c r="J381" s="20">
        <f t="shared" si="1"/>
        <v>110</v>
      </c>
      <c r="K381" s="21"/>
      <c r="L381" s="22"/>
    </row>
    <row r="382" ht="22.5" customHeight="1">
      <c r="A382" s="28">
        <v>45989.0</v>
      </c>
      <c r="B382" s="15" t="s">
        <v>528</v>
      </c>
      <c r="C382" s="13" t="s">
        <v>9</v>
      </c>
      <c r="D382" s="13">
        <v>80.0</v>
      </c>
      <c r="E382" s="15">
        <v>290.0</v>
      </c>
      <c r="F382" s="13" t="s">
        <v>21</v>
      </c>
      <c r="G382" s="15" t="s">
        <v>89</v>
      </c>
      <c r="H382" s="15">
        <v>1400.0</v>
      </c>
      <c r="I382" s="20"/>
      <c r="J382" s="20">
        <f t="shared" si="1"/>
        <v>406</v>
      </c>
      <c r="K382" s="21"/>
      <c r="L382" s="22"/>
    </row>
    <row r="383" ht="22.5" customHeight="1">
      <c r="A383" s="28">
        <v>45989.0</v>
      </c>
      <c r="B383" s="15" t="s">
        <v>531</v>
      </c>
      <c r="C383" s="13" t="s">
        <v>9</v>
      </c>
      <c r="D383" s="13">
        <v>80.0</v>
      </c>
      <c r="E383" s="15">
        <v>125.0</v>
      </c>
      <c r="F383" s="13" t="s">
        <v>21</v>
      </c>
      <c r="G383" s="15" t="s">
        <v>89</v>
      </c>
      <c r="H383" s="15">
        <v>550.0</v>
      </c>
      <c r="I383" s="20"/>
      <c r="J383" s="20">
        <f t="shared" si="1"/>
        <v>68.75</v>
      </c>
      <c r="K383" s="21"/>
      <c r="L383" s="22"/>
    </row>
    <row r="384" ht="22.5" customHeight="1">
      <c r="A384" s="28">
        <v>45989.0</v>
      </c>
      <c r="B384" s="15" t="s">
        <v>532</v>
      </c>
      <c r="C384" s="13" t="s">
        <v>9</v>
      </c>
      <c r="D384" s="13">
        <v>80.0</v>
      </c>
      <c r="E384" s="15">
        <v>125.0</v>
      </c>
      <c r="F384" s="13" t="s">
        <v>21</v>
      </c>
      <c r="G384" s="15" t="s">
        <v>89</v>
      </c>
      <c r="H384" s="15">
        <v>1300.0</v>
      </c>
      <c r="I384" s="20"/>
      <c r="J384" s="20">
        <f t="shared" si="1"/>
        <v>162.5</v>
      </c>
      <c r="K384" s="21"/>
      <c r="L384" s="22"/>
    </row>
    <row r="385" ht="22.5" customHeight="1">
      <c r="A385" s="28">
        <v>45989.0</v>
      </c>
      <c r="B385" s="15" t="s">
        <v>533</v>
      </c>
      <c r="C385" s="13" t="s">
        <v>9</v>
      </c>
      <c r="D385" s="13">
        <v>80.0</v>
      </c>
      <c r="E385" s="15">
        <v>125.0</v>
      </c>
      <c r="F385" s="13" t="s">
        <v>21</v>
      </c>
      <c r="G385" s="15" t="s">
        <v>89</v>
      </c>
      <c r="H385" s="15">
        <v>50.0</v>
      </c>
      <c r="I385" s="20"/>
      <c r="J385" s="20">
        <f t="shared" si="1"/>
        <v>6.25</v>
      </c>
      <c r="K385" s="21"/>
      <c r="L385" s="22"/>
    </row>
    <row r="386" ht="22.5" customHeight="1">
      <c r="A386" s="28">
        <v>45990.0</v>
      </c>
      <c r="B386" s="15" t="s">
        <v>534</v>
      </c>
      <c r="C386" s="13" t="s">
        <v>9</v>
      </c>
      <c r="D386" s="13">
        <v>80.0</v>
      </c>
      <c r="E386" s="15">
        <v>280.0</v>
      </c>
      <c r="F386" s="13" t="s">
        <v>21</v>
      </c>
      <c r="G386" s="15" t="s">
        <v>89</v>
      </c>
      <c r="H386" s="15">
        <v>250.0</v>
      </c>
      <c r="I386" s="20"/>
      <c r="J386" s="20">
        <f t="shared" si="1"/>
        <v>70</v>
      </c>
      <c r="K386" s="21"/>
      <c r="L386" s="22"/>
    </row>
    <row r="387" ht="22.5" customHeight="1">
      <c r="A387" s="28">
        <v>45990.0</v>
      </c>
      <c r="B387" s="15" t="s">
        <v>535</v>
      </c>
      <c r="C387" s="13" t="s">
        <v>9</v>
      </c>
      <c r="D387" s="13">
        <v>80.0</v>
      </c>
      <c r="E387" s="15">
        <v>290.0</v>
      </c>
      <c r="F387" s="13" t="s">
        <v>21</v>
      </c>
      <c r="G387" s="15" t="s">
        <v>89</v>
      </c>
      <c r="H387" s="15">
        <v>900.0</v>
      </c>
      <c r="I387" s="20"/>
      <c r="J387" s="20">
        <f t="shared" si="1"/>
        <v>261</v>
      </c>
      <c r="K387" s="21"/>
      <c r="L387" s="22"/>
    </row>
    <row r="388" ht="22.5" customHeight="1">
      <c r="A388" s="28">
        <v>45990.0</v>
      </c>
      <c r="B388" s="15" t="s">
        <v>536</v>
      </c>
      <c r="C388" s="13" t="s">
        <v>9</v>
      </c>
      <c r="D388" s="13">
        <v>80.0</v>
      </c>
      <c r="E388" s="15">
        <v>280.0</v>
      </c>
      <c r="F388" s="13" t="s">
        <v>21</v>
      </c>
      <c r="G388" s="15" t="s">
        <v>89</v>
      </c>
      <c r="H388" s="15">
        <v>900.0</v>
      </c>
      <c r="I388" s="20"/>
      <c r="J388" s="20">
        <f t="shared" si="1"/>
        <v>252</v>
      </c>
      <c r="K388" s="21"/>
      <c r="L388" s="22"/>
    </row>
    <row r="389" ht="22.5" customHeight="1">
      <c r="A389" s="28">
        <v>45990.0</v>
      </c>
      <c r="B389" s="15" t="s">
        <v>537</v>
      </c>
      <c r="C389" s="13" t="s">
        <v>9</v>
      </c>
      <c r="D389" s="13">
        <v>80.0</v>
      </c>
      <c r="E389" s="15">
        <v>290.0</v>
      </c>
      <c r="F389" s="13" t="s">
        <v>21</v>
      </c>
      <c r="G389" s="15" t="s">
        <v>89</v>
      </c>
      <c r="H389" s="15">
        <v>1400.0</v>
      </c>
      <c r="I389" s="20"/>
      <c r="J389" s="20">
        <f t="shared" si="1"/>
        <v>406</v>
      </c>
      <c r="K389" s="21"/>
      <c r="L389" s="22"/>
    </row>
    <row r="390" ht="22.5" customHeight="1">
      <c r="A390" s="28">
        <v>45990.0</v>
      </c>
      <c r="B390" s="15" t="s">
        <v>538</v>
      </c>
      <c r="C390" s="13" t="s">
        <v>9</v>
      </c>
      <c r="D390" s="13">
        <v>80.0</v>
      </c>
      <c r="E390" s="15">
        <v>160.0</v>
      </c>
      <c r="F390" s="13" t="s">
        <v>21</v>
      </c>
      <c r="G390" s="15" t="s">
        <v>89</v>
      </c>
      <c r="H390" s="15">
        <v>750.0</v>
      </c>
      <c r="I390" s="20"/>
      <c r="J390" s="20">
        <f t="shared" si="1"/>
        <v>120</v>
      </c>
      <c r="K390" s="21"/>
      <c r="L390" s="22"/>
    </row>
    <row r="391" ht="22.5" customHeight="1">
      <c r="A391" s="28">
        <v>45990.0</v>
      </c>
      <c r="B391" s="15" t="s">
        <v>539</v>
      </c>
      <c r="C391" s="13" t="s">
        <v>9</v>
      </c>
      <c r="D391" s="13">
        <v>80.0</v>
      </c>
      <c r="E391" s="15">
        <v>160.0</v>
      </c>
      <c r="F391" s="13" t="s">
        <v>21</v>
      </c>
      <c r="G391" s="15" t="s">
        <v>89</v>
      </c>
      <c r="H391" s="15">
        <v>150.0</v>
      </c>
      <c r="I391" s="20"/>
      <c r="J391" s="20">
        <f t="shared" si="1"/>
        <v>24</v>
      </c>
      <c r="K391" s="21"/>
      <c r="L391" s="22"/>
    </row>
    <row r="392" ht="22.5" customHeight="1">
      <c r="A392" s="28">
        <v>45990.0</v>
      </c>
      <c r="B392" s="15" t="s">
        <v>540</v>
      </c>
      <c r="C392" s="13" t="s">
        <v>9</v>
      </c>
      <c r="D392" s="13">
        <v>80.0</v>
      </c>
      <c r="E392" s="15">
        <v>160.0</v>
      </c>
      <c r="F392" s="13" t="s">
        <v>21</v>
      </c>
      <c r="G392" s="15" t="s">
        <v>89</v>
      </c>
      <c r="H392" s="15">
        <v>350.0</v>
      </c>
      <c r="I392" s="20"/>
      <c r="J392" s="20">
        <f t="shared" si="1"/>
        <v>56</v>
      </c>
      <c r="K392" s="21"/>
      <c r="L392" s="22"/>
    </row>
    <row r="393" ht="22.5" customHeight="1">
      <c r="A393" s="28">
        <v>45990.0</v>
      </c>
      <c r="B393" s="15" t="s">
        <v>541</v>
      </c>
      <c r="C393" s="13" t="s">
        <v>9</v>
      </c>
      <c r="D393" s="13">
        <v>80.0</v>
      </c>
      <c r="E393" s="15">
        <v>290.0</v>
      </c>
      <c r="F393" s="13" t="s">
        <v>21</v>
      </c>
      <c r="G393" s="15" t="s">
        <v>89</v>
      </c>
      <c r="H393" s="15">
        <v>900.0</v>
      </c>
      <c r="I393" s="20"/>
      <c r="J393" s="20">
        <f t="shared" si="1"/>
        <v>261</v>
      </c>
      <c r="K393" s="21"/>
      <c r="L393" s="22"/>
    </row>
    <row r="394" ht="22.5" customHeight="1">
      <c r="A394" s="28">
        <v>45992.0</v>
      </c>
      <c r="B394" s="15" t="s">
        <v>542</v>
      </c>
      <c r="C394" s="13" t="s">
        <v>9</v>
      </c>
      <c r="D394" s="13">
        <v>80.0</v>
      </c>
      <c r="E394" s="15">
        <v>290.0</v>
      </c>
      <c r="F394" s="13" t="s">
        <v>21</v>
      </c>
      <c r="G394" s="15" t="s">
        <v>89</v>
      </c>
      <c r="H394" s="15">
        <v>600.0</v>
      </c>
      <c r="I394" s="20"/>
      <c r="J394" s="20">
        <f t="shared" si="1"/>
        <v>174</v>
      </c>
      <c r="K394" s="21"/>
      <c r="L394" s="22"/>
    </row>
    <row r="395" ht="22.5" customHeight="1">
      <c r="A395" s="28">
        <v>45992.0</v>
      </c>
      <c r="B395" s="15" t="s">
        <v>544</v>
      </c>
      <c r="C395" s="13" t="s">
        <v>9</v>
      </c>
      <c r="D395" s="13">
        <v>80.0</v>
      </c>
      <c r="E395" s="15">
        <v>150.0</v>
      </c>
      <c r="F395" s="13" t="s">
        <v>21</v>
      </c>
      <c r="G395" s="15" t="s">
        <v>89</v>
      </c>
      <c r="H395" s="15">
        <v>0.0</v>
      </c>
      <c r="I395" s="20"/>
      <c r="J395" s="20">
        <f t="shared" si="1"/>
        <v>0</v>
      </c>
      <c r="K395" s="15" t="s">
        <v>137</v>
      </c>
      <c r="L395" s="37"/>
    </row>
    <row r="396" ht="22.5" customHeight="1">
      <c r="A396" s="28">
        <v>45992.0</v>
      </c>
      <c r="B396" s="15" t="s">
        <v>545</v>
      </c>
      <c r="C396" s="13" t="s">
        <v>9</v>
      </c>
      <c r="D396" s="13">
        <v>80.0</v>
      </c>
      <c r="E396" s="15">
        <v>170.0</v>
      </c>
      <c r="F396" s="13" t="s">
        <v>21</v>
      </c>
      <c r="G396" s="15" t="s">
        <v>89</v>
      </c>
      <c r="H396" s="15">
        <v>770.0</v>
      </c>
      <c r="I396" s="20"/>
      <c r="J396" s="20">
        <f t="shared" si="1"/>
        <v>130.9</v>
      </c>
      <c r="K396" s="21"/>
      <c r="L396" s="22"/>
    </row>
    <row r="397" ht="22.5" customHeight="1">
      <c r="A397" s="28">
        <v>45992.0</v>
      </c>
      <c r="B397" s="15" t="s">
        <v>546</v>
      </c>
      <c r="C397" s="13" t="s">
        <v>57</v>
      </c>
      <c r="D397" s="13">
        <v>80.0</v>
      </c>
      <c r="E397" s="15">
        <v>160.0</v>
      </c>
      <c r="F397" s="13" t="s">
        <v>33</v>
      </c>
      <c r="G397" s="15" t="s">
        <v>170</v>
      </c>
      <c r="H397" s="15">
        <v>0.0</v>
      </c>
      <c r="I397" s="20"/>
      <c r="J397" s="20">
        <f t="shared" si="1"/>
        <v>0</v>
      </c>
      <c r="K397" s="21"/>
      <c r="L397" s="22"/>
    </row>
    <row r="398" ht="22.5" customHeight="1">
      <c r="A398" s="28">
        <v>45992.0</v>
      </c>
      <c r="B398" s="15" t="s">
        <v>547</v>
      </c>
      <c r="C398" s="13" t="s">
        <v>57</v>
      </c>
      <c r="D398" s="13">
        <v>80.0</v>
      </c>
      <c r="E398" s="15">
        <v>160.0</v>
      </c>
      <c r="F398" s="13" t="s">
        <v>33</v>
      </c>
      <c r="G398" s="15" t="s">
        <v>170</v>
      </c>
      <c r="H398" s="15">
        <v>1600.0</v>
      </c>
      <c r="I398" s="20"/>
      <c r="J398" s="20">
        <f t="shared" si="1"/>
        <v>256</v>
      </c>
      <c r="K398" s="21"/>
      <c r="L398" s="22"/>
    </row>
    <row r="399" ht="22.5" customHeight="1">
      <c r="A399" s="28">
        <v>45992.0</v>
      </c>
      <c r="B399" s="15" t="s">
        <v>548</v>
      </c>
      <c r="C399" s="13" t="s">
        <v>57</v>
      </c>
      <c r="D399" s="13">
        <v>80.0</v>
      </c>
      <c r="E399" s="15">
        <v>160.0</v>
      </c>
      <c r="F399" s="13" t="s">
        <v>33</v>
      </c>
      <c r="G399" s="15" t="s">
        <v>170</v>
      </c>
      <c r="H399" s="15">
        <v>1238.0</v>
      </c>
      <c r="I399" s="20"/>
      <c r="J399" s="20">
        <f t="shared" si="1"/>
        <v>198.08</v>
      </c>
      <c r="K399" s="21"/>
      <c r="L399" s="22"/>
    </row>
    <row r="400" ht="22.5" customHeight="1">
      <c r="A400" s="28">
        <v>45993.0</v>
      </c>
      <c r="B400" s="15" t="s">
        <v>549</v>
      </c>
      <c r="C400" s="13" t="s">
        <v>43</v>
      </c>
      <c r="D400" s="13">
        <v>80.0</v>
      </c>
      <c r="E400" s="15">
        <v>125.0</v>
      </c>
      <c r="F400" s="13" t="s">
        <v>27</v>
      </c>
      <c r="G400" s="15" t="s">
        <v>176</v>
      </c>
      <c r="H400" s="15">
        <v>1430.0</v>
      </c>
      <c r="I400" s="20"/>
      <c r="J400" s="20">
        <f t="shared" si="1"/>
        <v>178.75</v>
      </c>
      <c r="K400" s="21"/>
      <c r="L400" s="22"/>
    </row>
    <row r="401" ht="22.5" customHeight="1">
      <c r="A401" s="28">
        <v>45993.0</v>
      </c>
      <c r="B401" s="15" t="s">
        <v>550</v>
      </c>
      <c r="C401" s="13" t="s">
        <v>43</v>
      </c>
      <c r="D401" s="13">
        <v>80.0</v>
      </c>
      <c r="E401" s="15">
        <v>125.0</v>
      </c>
      <c r="F401" s="13" t="s">
        <v>27</v>
      </c>
      <c r="G401" s="15" t="s">
        <v>176</v>
      </c>
      <c r="H401" s="15">
        <v>300.0</v>
      </c>
      <c r="I401" s="20"/>
      <c r="J401" s="20">
        <f t="shared" si="1"/>
        <v>37.5</v>
      </c>
      <c r="K401" s="21"/>
      <c r="L401" s="22"/>
    </row>
    <row r="402" ht="22.5" customHeight="1">
      <c r="A402" s="28">
        <v>45994.0</v>
      </c>
      <c r="B402" s="15" t="s">
        <v>551</v>
      </c>
      <c r="C402" s="13" t="s">
        <v>9</v>
      </c>
      <c r="D402" s="13">
        <v>80.0</v>
      </c>
      <c r="E402" s="15">
        <v>290.0</v>
      </c>
      <c r="F402" s="13" t="s">
        <v>21</v>
      </c>
      <c r="G402" s="15" t="s">
        <v>166</v>
      </c>
      <c r="H402" s="15">
        <v>0.0</v>
      </c>
      <c r="I402" s="20"/>
      <c r="J402" s="20">
        <f t="shared" si="1"/>
        <v>0</v>
      </c>
      <c r="K402" s="15" t="s">
        <v>137</v>
      </c>
      <c r="L402" s="37"/>
    </row>
    <row r="403" ht="22.5" customHeight="1">
      <c r="A403" s="28">
        <v>45994.0</v>
      </c>
      <c r="B403" s="15" t="s">
        <v>552</v>
      </c>
      <c r="C403" s="13" t="s">
        <v>9</v>
      </c>
      <c r="D403" s="13">
        <v>80.0</v>
      </c>
      <c r="E403" s="15">
        <v>225.0</v>
      </c>
      <c r="F403" s="13" t="s">
        <v>21</v>
      </c>
      <c r="G403" s="15" t="s">
        <v>193</v>
      </c>
      <c r="H403" s="15">
        <v>450.0</v>
      </c>
      <c r="I403" s="20"/>
      <c r="J403" s="20">
        <f t="shared" si="1"/>
        <v>101.25</v>
      </c>
      <c r="K403" s="21"/>
      <c r="L403" s="22"/>
    </row>
    <row r="404" ht="22.5" customHeight="1">
      <c r="A404" s="28">
        <v>45994.0</v>
      </c>
      <c r="B404" s="15" t="s">
        <v>553</v>
      </c>
      <c r="C404" s="13" t="s">
        <v>9</v>
      </c>
      <c r="D404" s="13">
        <v>80.0</v>
      </c>
      <c r="E404" s="15">
        <v>290.0</v>
      </c>
      <c r="F404" s="13" t="s">
        <v>21</v>
      </c>
      <c r="G404" s="15" t="s">
        <v>89</v>
      </c>
      <c r="H404" s="15">
        <v>900.0</v>
      </c>
      <c r="I404" s="20"/>
      <c r="J404" s="20">
        <f t="shared" si="1"/>
        <v>261</v>
      </c>
      <c r="K404" s="21"/>
      <c r="L404" s="22"/>
    </row>
    <row r="405" ht="22.5" customHeight="1">
      <c r="A405" s="28">
        <v>45995.0</v>
      </c>
      <c r="B405" s="15" t="s">
        <v>554</v>
      </c>
      <c r="C405" s="13" t="s">
        <v>9</v>
      </c>
      <c r="D405" s="13">
        <v>80.0</v>
      </c>
      <c r="E405" s="15">
        <v>140.0</v>
      </c>
      <c r="F405" s="13" t="s">
        <v>27</v>
      </c>
      <c r="G405" s="15" t="s">
        <v>99</v>
      </c>
      <c r="H405" s="15">
        <v>0.0</v>
      </c>
      <c r="I405" s="20"/>
      <c r="J405" s="20">
        <f t="shared" si="1"/>
        <v>0</v>
      </c>
      <c r="K405" s="15" t="s">
        <v>137</v>
      </c>
      <c r="L405" s="37"/>
    </row>
    <row r="406" ht="22.5" customHeight="1">
      <c r="A406" s="28">
        <v>45995.0</v>
      </c>
      <c r="B406" s="15" t="s">
        <v>555</v>
      </c>
      <c r="C406" s="13" t="s">
        <v>9</v>
      </c>
      <c r="D406" s="13">
        <v>80.0</v>
      </c>
      <c r="E406" s="15">
        <v>195.0</v>
      </c>
      <c r="F406" s="13" t="s">
        <v>27</v>
      </c>
      <c r="G406" s="15" t="s">
        <v>99</v>
      </c>
      <c r="H406" s="15">
        <v>650.0</v>
      </c>
      <c r="I406" s="20"/>
      <c r="J406" s="20">
        <f t="shared" si="1"/>
        <v>126.75</v>
      </c>
      <c r="K406" s="21"/>
      <c r="L406" s="22"/>
    </row>
    <row r="407" ht="22.5" customHeight="1">
      <c r="A407" s="28">
        <v>45995.0</v>
      </c>
      <c r="B407" s="15" t="s">
        <v>556</v>
      </c>
      <c r="C407" s="13" t="s">
        <v>9</v>
      </c>
      <c r="D407" s="13">
        <v>80.0</v>
      </c>
      <c r="E407" s="15">
        <v>300.0</v>
      </c>
      <c r="F407" s="13" t="s">
        <v>21</v>
      </c>
      <c r="G407" s="15" t="s">
        <v>89</v>
      </c>
      <c r="H407" s="15">
        <v>0.0</v>
      </c>
      <c r="I407" s="20"/>
      <c r="J407" s="20">
        <f t="shared" si="1"/>
        <v>0</v>
      </c>
      <c r="K407" s="15" t="s">
        <v>137</v>
      </c>
      <c r="L407" s="37"/>
    </row>
    <row r="408" ht="22.5" customHeight="1">
      <c r="A408" s="28">
        <v>45995.0</v>
      </c>
      <c r="B408" s="15" t="s">
        <v>558</v>
      </c>
      <c r="C408" s="13" t="s">
        <v>9</v>
      </c>
      <c r="D408" s="13">
        <v>80.0</v>
      </c>
      <c r="E408" s="15">
        <v>160.0</v>
      </c>
      <c r="F408" s="13" t="s">
        <v>27</v>
      </c>
      <c r="G408" s="15" t="s">
        <v>99</v>
      </c>
      <c r="H408" s="15">
        <v>0.0</v>
      </c>
      <c r="I408" s="20"/>
      <c r="J408" s="20">
        <f t="shared" si="1"/>
        <v>0</v>
      </c>
      <c r="K408" s="15" t="s">
        <v>137</v>
      </c>
      <c r="L408" s="37"/>
    </row>
    <row r="409" ht="22.5" customHeight="1">
      <c r="A409" s="28">
        <v>45995.0</v>
      </c>
      <c r="B409" s="15" t="s">
        <v>559</v>
      </c>
      <c r="C409" s="13" t="s">
        <v>9</v>
      </c>
      <c r="D409" s="13">
        <v>80.0</v>
      </c>
      <c r="E409" s="15">
        <v>140.0</v>
      </c>
      <c r="F409" s="13" t="s">
        <v>27</v>
      </c>
      <c r="G409" s="15" t="s">
        <v>99</v>
      </c>
      <c r="H409" s="15">
        <v>750.0</v>
      </c>
      <c r="I409" s="20"/>
      <c r="J409" s="20">
        <f t="shared" si="1"/>
        <v>105</v>
      </c>
      <c r="K409" s="21"/>
      <c r="L409" s="22"/>
    </row>
    <row r="410" ht="22.5" customHeight="1">
      <c r="A410" s="36">
        <v>45996.0</v>
      </c>
      <c r="B410" s="15" t="s">
        <v>561</v>
      </c>
      <c r="C410" s="13" t="s">
        <v>26</v>
      </c>
      <c r="D410" s="13">
        <v>80.0</v>
      </c>
      <c r="E410" s="15">
        <v>210.0</v>
      </c>
      <c r="F410" s="13" t="s">
        <v>27</v>
      </c>
      <c r="G410" s="15" t="s">
        <v>29</v>
      </c>
      <c r="H410" s="15">
        <v>1220.0</v>
      </c>
      <c r="I410" s="20"/>
      <c r="J410" s="20">
        <f t="shared" si="1"/>
        <v>256.2</v>
      </c>
      <c r="K410" s="21"/>
      <c r="L410" s="22"/>
    </row>
    <row r="411" ht="22.5" customHeight="1">
      <c r="A411" s="28">
        <v>45997.0</v>
      </c>
      <c r="B411" s="15" t="s">
        <v>564</v>
      </c>
      <c r="C411" s="13" t="s">
        <v>9</v>
      </c>
      <c r="D411" s="13">
        <v>80.0</v>
      </c>
      <c r="E411" s="15">
        <v>160.0</v>
      </c>
      <c r="F411" s="13" t="s">
        <v>21</v>
      </c>
      <c r="G411" s="15" t="s">
        <v>566</v>
      </c>
      <c r="H411" s="15">
        <v>0.0</v>
      </c>
      <c r="I411" s="20"/>
      <c r="J411" s="20">
        <f t="shared" si="1"/>
        <v>0</v>
      </c>
      <c r="K411" s="15" t="s">
        <v>137</v>
      </c>
      <c r="L411" s="37"/>
    </row>
    <row r="412" ht="22.5" customHeight="1">
      <c r="A412" s="28">
        <v>45997.0</v>
      </c>
      <c r="B412" s="15" t="s">
        <v>567</v>
      </c>
      <c r="C412" s="13" t="s">
        <v>57</v>
      </c>
      <c r="D412" s="13">
        <v>80.0</v>
      </c>
      <c r="E412" s="15">
        <v>160.0</v>
      </c>
      <c r="F412" s="13" t="s">
        <v>33</v>
      </c>
      <c r="G412" s="15" t="s">
        <v>170</v>
      </c>
      <c r="H412" s="15">
        <v>390.0</v>
      </c>
      <c r="I412" s="20"/>
      <c r="J412" s="20">
        <f t="shared" si="1"/>
        <v>62.4</v>
      </c>
      <c r="K412" s="21"/>
      <c r="L412" s="22"/>
    </row>
    <row r="413" ht="22.5" customHeight="1">
      <c r="A413" s="28">
        <v>45997.0</v>
      </c>
      <c r="B413" s="15" t="s">
        <v>568</v>
      </c>
      <c r="C413" s="13" t="s">
        <v>57</v>
      </c>
      <c r="D413" s="13">
        <v>80.0</v>
      </c>
      <c r="E413" s="15">
        <v>160.0</v>
      </c>
      <c r="F413" s="13" t="s">
        <v>33</v>
      </c>
      <c r="G413" s="15" t="s">
        <v>170</v>
      </c>
      <c r="H413" s="15">
        <v>780.0</v>
      </c>
      <c r="I413" s="20"/>
      <c r="J413" s="20">
        <f t="shared" si="1"/>
        <v>124.8</v>
      </c>
      <c r="K413" s="21"/>
      <c r="L413" s="22"/>
    </row>
    <row r="414" ht="22.5" customHeight="1">
      <c r="A414" s="28">
        <v>45997.0</v>
      </c>
      <c r="B414" s="15" t="s">
        <v>569</v>
      </c>
      <c r="C414" s="13" t="s">
        <v>43</v>
      </c>
      <c r="D414" s="13">
        <v>50.0</v>
      </c>
      <c r="E414" s="15">
        <v>190.0</v>
      </c>
      <c r="F414" s="13" t="s">
        <v>27</v>
      </c>
      <c r="G414" s="15" t="s">
        <v>199</v>
      </c>
      <c r="H414" s="15">
        <v>0.0</v>
      </c>
      <c r="I414" s="20"/>
      <c r="J414" s="20">
        <f t="shared" si="1"/>
        <v>0</v>
      </c>
      <c r="K414" s="15" t="s">
        <v>137</v>
      </c>
      <c r="L414" s="37"/>
    </row>
    <row r="415" ht="22.5" customHeight="1">
      <c r="A415" s="28">
        <v>45997.0</v>
      </c>
      <c r="B415" s="15" t="s">
        <v>570</v>
      </c>
      <c r="C415" s="13" t="s">
        <v>43</v>
      </c>
      <c r="D415" s="13">
        <v>50.0</v>
      </c>
      <c r="E415" s="15">
        <v>190.0</v>
      </c>
      <c r="F415" s="13" t="s">
        <v>27</v>
      </c>
      <c r="G415" s="15" t="s">
        <v>199</v>
      </c>
      <c r="H415" s="15">
        <v>320.0</v>
      </c>
      <c r="I415" s="20"/>
      <c r="J415" s="20">
        <f t="shared" si="1"/>
        <v>60.8</v>
      </c>
      <c r="K415" s="21"/>
      <c r="L415" s="22"/>
    </row>
    <row r="416" ht="22.5" customHeight="1">
      <c r="A416" s="28">
        <v>45999.0</v>
      </c>
      <c r="B416" s="15" t="s">
        <v>571</v>
      </c>
      <c r="C416" s="13" t="s">
        <v>9</v>
      </c>
      <c r="D416" s="13">
        <v>80.0</v>
      </c>
      <c r="E416" s="15">
        <v>395.0</v>
      </c>
      <c r="F416" s="13" t="s">
        <v>21</v>
      </c>
      <c r="G416" s="15" t="s">
        <v>89</v>
      </c>
      <c r="H416" s="15">
        <v>120.0</v>
      </c>
      <c r="I416" s="20"/>
      <c r="J416" s="20">
        <f t="shared" si="1"/>
        <v>47.4</v>
      </c>
      <c r="K416" s="21"/>
      <c r="L416" s="22"/>
    </row>
    <row r="417" ht="22.5" customHeight="1">
      <c r="A417" s="28">
        <v>45999.0</v>
      </c>
      <c r="B417" s="15" t="s">
        <v>573</v>
      </c>
      <c r="C417" s="13" t="s">
        <v>9</v>
      </c>
      <c r="D417" s="13">
        <v>80.0</v>
      </c>
      <c r="E417" s="15">
        <v>180.0</v>
      </c>
      <c r="F417" s="13" t="s">
        <v>21</v>
      </c>
      <c r="G417" s="15" t="s">
        <v>89</v>
      </c>
      <c r="H417" s="15">
        <v>730.0</v>
      </c>
      <c r="I417" s="20"/>
      <c r="J417" s="20">
        <f t="shared" si="1"/>
        <v>131.4</v>
      </c>
      <c r="K417" s="21"/>
      <c r="L417" s="22"/>
    </row>
    <row r="418" ht="22.5" customHeight="1">
      <c r="A418" s="28">
        <v>45999.0</v>
      </c>
      <c r="B418" s="15" t="s">
        <v>575</v>
      </c>
      <c r="C418" s="13" t="s">
        <v>9</v>
      </c>
      <c r="D418" s="13">
        <v>80.0</v>
      </c>
      <c r="E418" s="15">
        <v>210.0</v>
      </c>
      <c r="F418" s="13" t="s">
        <v>21</v>
      </c>
      <c r="G418" s="15" t="s">
        <v>89</v>
      </c>
      <c r="H418" s="15">
        <v>1100.0</v>
      </c>
      <c r="I418" s="20"/>
      <c r="J418" s="20">
        <f t="shared" si="1"/>
        <v>231</v>
      </c>
      <c r="K418" s="21"/>
      <c r="L418" s="22"/>
    </row>
    <row r="419" ht="22.5" customHeight="1">
      <c r="A419" s="28">
        <v>45999.0</v>
      </c>
      <c r="B419" s="15" t="s">
        <v>577</v>
      </c>
      <c r="C419" s="13" t="s">
        <v>9</v>
      </c>
      <c r="D419" s="13">
        <v>80.0</v>
      </c>
      <c r="E419" s="15">
        <v>290.0</v>
      </c>
      <c r="F419" s="13" t="s">
        <v>21</v>
      </c>
      <c r="G419" s="15" t="s">
        <v>89</v>
      </c>
      <c r="H419" s="15">
        <v>800.0</v>
      </c>
      <c r="I419" s="20"/>
      <c r="J419" s="20">
        <f t="shared" si="1"/>
        <v>232</v>
      </c>
      <c r="K419" s="21"/>
      <c r="L419" s="22"/>
    </row>
    <row r="420" ht="22.5" customHeight="1">
      <c r="A420" s="28">
        <v>45999.0</v>
      </c>
      <c r="B420" s="15" t="s">
        <v>578</v>
      </c>
      <c r="C420" s="13" t="s">
        <v>9</v>
      </c>
      <c r="D420" s="13">
        <v>80.0</v>
      </c>
      <c r="E420" s="15">
        <v>160.0</v>
      </c>
      <c r="F420" s="13" t="s">
        <v>27</v>
      </c>
      <c r="G420" s="15" t="s">
        <v>99</v>
      </c>
      <c r="H420" s="15">
        <v>400.0</v>
      </c>
      <c r="I420" s="20"/>
      <c r="J420" s="20">
        <f t="shared" si="1"/>
        <v>64</v>
      </c>
      <c r="K420" s="21"/>
      <c r="L420" s="22"/>
    </row>
    <row r="421" ht="22.5" customHeight="1">
      <c r="A421" s="28">
        <v>45999.0</v>
      </c>
      <c r="B421" s="15" t="s">
        <v>579</v>
      </c>
      <c r="C421" s="13" t="s">
        <v>9</v>
      </c>
      <c r="D421" s="13">
        <v>80.0</v>
      </c>
      <c r="E421" s="15">
        <v>210.0</v>
      </c>
      <c r="F421" s="13" t="s">
        <v>21</v>
      </c>
      <c r="G421" s="15" t="s">
        <v>89</v>
      </c>
      <c r="H421" s="15">
        <v>1700.0</v>
      </c>
      <c r="I421" s="20"/>
      <c r="J421" s="20">
        <f t="shared" si="1"/>
        <v>357</v>
      </c>
      <c r="K421" s="21"/>
      <c r="L421" s="22"/>
    </row>
    <row r="422" ht="22.5" customHeight="1">
      <c r="A422" s="28">
        <v>46000.0</v>
      </c>
      <c r="B422" s="15" t="s">
        <v>580</v>
      </c>
      <c r="C422" s="13" t="s">
        <v>9</v>
      </c>
      <c r="D422" s="13">
        <v>80.0</v>
      </c>
      <c r="E422" s="15">
        <v>180.0</v>
      </c>
      <c r="F422" s="13" t="s">
        <v>21</v>
      </c>
      <c r="G422" s="15" t="s">
        <v>89</v>
      </c>
      <c r="H422" s="15">
        <v>0.0</v>
      </c>
      <c r="I422" s="20"/>
      <c r="J422" s="20">
        <f t="shared" si="1"/>
        <v>0</v>
      </c>
      <c r="K422" s="15" t="s">
        <v>137</v>
      </c>
      <c r="L422" s="37"/>
    </row>
    <row r="423" ht="22.5" customHeight="1">
      <c r="A423" s="28">
        <v>46000.0</v>
      </c>
      <c r="B423" s="15" t="s">
        <v>581</v>
      </c>
      <c r="C423" s="13" t="s">
        <v>9</v>
      </c>
      <c r="D423" s="13">
        <v>80.0</v>
      </c>
      <c r="E423" s="15">
        <v>160.0</v>
      </c>
      <c r="F423" s="13" t="s">
        <v>27</v>
      </c>
      <c r="G423" s="15" t="s">
        <v>470</v>
      </c>
      <c r="H423" s="15">
        <v>100.0</v>
      </c>
      <c r="I423" s="20"/>
      <c r="J423" s="20">
        <f t="shared" si="1"/>
        <v>16</v>
      </c>
      <c r="K423" s="21"/>
      <c r="L423" s="22"/>
    </row>
    <row r="424" ht="22.5" customHeight="1">
      <c r="A424" s="28">
        <v>46002.0</v>
      </c>
      <c r="B424" s="15" t="s">
        <v>582</v>
      </c>
      <c r="C424" s="13" t="s">
        <v>9</v>
      </c>
      <c r="D424" s="13">
        <v>80.0</v>
      </c>
      <c r="E424" s="15">
        <v>180.0</v>
      </c>
      <c r="F424" s="13" t="s">
        <v>21</v>
      </c>
      <c r="G424" s="15" t="s">
        <v>89</v>
      </c>
      <c r="H424" s="15">
        <v>1800.0</v>
      </c>
      <c r="I424" s="20"/>
      <c r="J424" s="20">
        <f t="shared" si="1"/>
        <v>324</v>
      </c>
      <c r="K424" s="21"/>
      <c r="L424" s="22"/>
    </row>
    <row r="425" ht="22.5" customHeight="1">
      <c r="A425" s="28">
        <v>46002.0</v>
      </c>
      <c r="B425" s="15" t="s">
        <v>583</v>
      </c>
      <c r="C425" s="13" t="s">
        <v>9</v>
      </c>
      <c r="D425" s="13">
        <v>80.0</v>
      </c>
      <c r="E425" s="15">
        <v>125.0</v>
      </c>
      <c r="F425" s="13" t="s">
        <v>21</v>
      </c>
      <c r="G425" s="15" t="s">
        <v>89</v>
      </c>
      <c r="H425" s="15">
        <v>900.0</v>
      </c>
      <c r="I425" s="20"/>
      <c r="J425" s="20">
        <f t="shared" si="1"/>
        <v>112.5</v>
      </c>
      <c r="K425" s="21"/>
      <c r="L425" s="22"/>
    </row>
    <row r="426" ht="22.5" customHeight="1">
      <c r="A426" s="28">
        <v>46002.0</v>
      </c>
      <c r="B426" s="15" t="s">
        <v>584</v>
      </c>
      <c r="C426" s="13" t="s">
        <v>26</v>
      </c>
      <c r="D426" s="13">
        <v>80.0</v>
      </c>
      <c r="E426" s="15">
        <v>126.0</v>
      </c>
      <c r="F426" s="13" t="s">
        <v>27</v>
      </c>
      <c r="G426" s="15" t="s">
        <v>29</v>
      </c>
      <c r="H426" s="15">
        <v>300.0</v>
      </c>
      <c r="I426" s="20"/>
      <c r="J426" s="20">
        <f t="shared" si="1"/>
        <v>37.8</v>
      </c>
      <c r="K426" s="21"/>
      <c r="L426" s="22"/>
    </row>
    <row r="427" ht="22.5" customHeight="1">
      <c r="A427" s="28">
        <v>46002.0</v>
      </c>
      <c r="B427" s="15" t="s">
        <v>585</v>
      </c>
      <c r="C427" s="13" t="s">
        <v>57</v>
      </c>
      <c r="D427" s="13">
        <v>80.0</v>
      </c>
      <c r="E427" s="15">
        <v>160.0</v>
      </c>
      <c r="F427" s="13" t="s">
        <v>33</v>
      </c>
      <c r="G427" s="15" t="s">
        <v>170</v>
      </c>
      <c r="H427" s="21"/>
      <c r="I427" s="20"/>
      <c r="J427" s="20">
        <f t="shared" si="1"/>
        <v>0</v>
      </c>
      <c r="K427" s="15" t="s">
        <v>586</v>
      </c>
      <c r="L427" s="37"/>
    </row>
    <row r="428" ht="22.5" customHeight="1">
      <c r="A428" s="28">
        <v>46003.0</v>
      </c>
      <c r="B428" s="15" t="s">
        <v>587</v>
      </c>
      <c r="C428" s="13" t="s">
        <v>9</v>
      </c>
      <c r="D428" s="13">
        <v>80.0</v>
      </c>
      <c r="E428" s="15">
        <v>180.0</v>
      </c>
      <c r="F428" s="13" t="s">
        <v>21</v>
      </c>
      <c r="G428" s="15" t="s">
        <v>89</v>
      </c>
      <c r="H428" s="15">
        <v>300.0</v>
      </c>
      <c r="I428" s="20"/>
      <c r="J428" s="20">
        <f t="shared" si="1"/>
        <v>54</v>
      </c>
      <c r="K428" s="21"/>
      <c r="L428" s="22"/>
    </row>
    <row r="429" ht="22.5" customHeight="1">
      <c r="A429" s="28">
        <v>46003.0</v>
      </c>
      <c r="B429" s="15" t="s">
        <v>588</v>
      </c>
      <c r="C429" s="13" t="s">
        <v>9</v>
      </c>
      <c r="D429" s="13">
        <v>80.0</v>
      </c>
      <c r="E429" s="15">
        <v>180.0</v>
      </c>
      <c r="F429" s="13" t="s">
        <v>21</v>
      </c>
      <c r="G429" s="15" t="s">
        <v>89</v>
      </c>
      <c r="H429" s="15">
        <v>500.0</v>
      </c>
      <c r="I429" s="20"/>
      <c r="J429" s="20">
        <f t="shared" si="1"/>
        <v>90</v>
      </c>
      <c r="K429" s="21"/>
      <c r="L429" s="22"/>
    </row>
    <row r="430" ht="22.5" customHeight="1">
      <c r="A430" s="28">
        <v>46003.0</v>
      </c>
      <c r="B430" s="15" t="s">
        <v>589</v>
      </c>
      <c r="C430" s="13" t="s">
        <v>9</v>
      </c>
      <c r="D430" s="13">
        <v>80.0</v>
      </c>
      <c r="E430" s="15">
        <v>160.0</v>
      </c>
      <c r="F430" s="13" t="s">
        <v>21</v>
      </c>
      <c r="G430" s="15" t="s">
        <v>89</v>
      </c>
      <c r="H430" s="15">
        <v>850.0</v>
      </c>
      <c r="I430" s="20"/>
      <c r="J430" s="20">
        <f t="shared" si="1"/>
        <v>136</v>
      </c>
      <c r="K430" s="21"/>
      <c r="L430" s="22"/>
    </row>
    <row r="431" ht="22.5" customHeight="1">
      <c r="A431" s="28">
        <v>46003.0</v>
      </c>
      <c r="B431" s="15" t="s">
        <v>590</v>
      </c>
      <c r="C431" s="13" t="s">
        <v>9</v>
      </c>
      <c r="D431" s="13">
        <v>80.0</v>
      </c>
      <c r="E431" s="15">
        <v>300.0</v>
      </c>
      <c r="F431" s="13" t="s">
        <v>21</v>
      </c>
      <c r="G431" s="15" t="s">
        <v>89</v>
      </c>
      <c r="H431" s="15">
        <v>1300.0</v>
      </c>
      <c r="I431" s="20"/>
      <c r="J431" s="20">
        <f t="shared" si="1"/>
        <v>390</v>
      </c>
      <c r="K431" s="21"/>
      <c r="L431" s="22"/>
    </row>
    <row r="432" ht="22.5" customHeight="1">
      <c r="A432" s="28">
        <v>46003.0</v>
      </c>
      <c r="B432" s="15" t="s">
        <v>591</v>
      </c>
      <c r="C432" s="13" t="s">
        <v>9</v>
      </c>
      <c r="D432" s="13">
        <v>80.0</v>
      </c>
      <c r="E432" s="15">
        <v>280.0</v>
      </c>
      <c r="F432" s="13" t="s">
        <v>21</v>
      </c>
      <c r="G432" s="15" t="s">
        <v>89</v>
      </c>
      <c r="H432" s="15">
        <v>750.0</v>
      </c>
      <c r="I432" s="20"/>
      <c r="J432" s="20">
        <f t="shared" si="1"/>
        <v>210</v>
      </c>
      <c r="K432" s="21"/>
      <c r="L432" s="22"/>
    </row>
    <row r="433" ht="22.5" customHeight="1">
      <c r="A433" s="28">
        <v>46003.0</v>
      </c>
      <c r="B433" s="15" t="s">
        <v>592</v>
      </c>
      <c r="C433" s="13" t="s">
        <v>9</v>
      </c>
      <c r="D433" s="13">
        <v>80.0</v>
      </c>
      <c r="E433" s="15">
        <v>320.0</v>
      </c>
      <c r="F433" s="13" t="s">
        <v>21</v>
      </c>
      <c r="G433" s="15" t="s">
        <v>89</v>
      </c>
      <c r="H433" s="15">
        <v>950.0</v>
      </c>
      <c r="I433" s="20"/>
      <c r="J433" s="20">
        <f t="shared" si="1"/>
        <v>304</v>
      </c>
      <c r="K433" s="21"/>
      <c r="L433" s="22"/>
    </row>
    <row r="434" ht="22.5" customHeight="1">
      <c r="A434" s="28">
        <v>46004.0</v>
      </c>
      <c r="B434" s="15" t="s">
        <v>593</v>
      </c>
      <c r="C434" s="13" t="s">
        <v>9</v>
      </c>
      <c r="D434" s="13">
        <v>80.0</v>
      </c>
      <c r="E434" s="15">
        <v>250.0</v>
      </c>
      <c r="F434" s="13" t="s">
        <v>21</v>
      </c>
      <c r="G434" s="15" t="s">
        <v>89</v>
      </c>
      <c r="H434" s="15">
        <v>1000.0</v>
      </c>
      <c r="I434" s="20"/>
      <c r="J434" s="20">
        <f t="shared" si="1"/>
        <v>250</v>
      </c>
      <c r="K434" s="21"/>
      <c r="L434" s="22"/>
    </row>
    <row r="435" ht="22.5" customHeight="1">
      <c r="A435" s="28">
        <v>46004.0</v>
      </c>
      <c r="B435" s="15" t="s">
        <v>594</v>
      </c>
      <c r="C435" s="13" t="s">
        <v>9</v>
      </c>
      <c r="D435" s="13">
        <v>80.0</v>
      </c>
      <c r="E435" s="15">
        <v>125.0</v>
      </c>
      <c r="F435" s="13" t="s">
        <v>21</v>
      </c>
      <c r="G435" s="15" t="s">
        <v>89</v>
      </c>
      <c r="H435" s="15">
        <v>200.0</v>
      </c>
      <c r="I435" s="20"/>
      <c r="J435" s="20">
        <f t="shared" si="1"/>
        <v>25</v>
      </c>
      <c r="K435" s="21"/>
      <c r="L435" s="22"/>
    </row>
    <row r="436" ht="22.5" customHeight="1">
      <c r="A436" s="28">
        <v>46004.0</v>
      </c>
      <c r="B436" s="15" t="s">
        <v>595</v>
      </c>
      <c r="C436" s="13" t="s">
        <v>9</v>
      </c>
      <c r="D436" s="13">
        <v>80.0</v>
      </c>
      <c r="E436" s="15">
        <v>290.0</v>
      </c>
      <c r="F436" s="13" t="s">
        <v>21</v>
      </c>
      <c r="G436" s="15" t="s">
        <v>89</v>
      </c>
      <c r="H436" s="15">
        <v>1600.0</v>
      </c>
      <c r="I436" s="20"/>
      <c r="J436" s="20">
        <f t="shared" si="1"/>
        <v>464</v>
      </c>
      <c r="K436" s="21"/>
      <c r="L436" s="22"/>
    </row>
    <row r="437" ht="22.5" customHeight="1">
      <c r="A437" s="28">
        <v>46004.0</v>
      </c>
      <c r="B437" s="15" t="s">
        <v>597</v>
      </c>
      <c r="C437" s="13" t="s">
        <v>9</v>
      </c>
      <c r="D437" s="13">
        <v>80.0</v>
      </c>
      <c r="E437" s="15">
        <v>125.0</v>
      </c>
      <c r="F437" s="13" t="s">
        <v>21</v>
      </c>
      <c r="G437" s="15" t="s">
        <v>89</v>
      </c>
      <c r="H437" s="15">
        <v>1400.0</v>
      </c>
      <c r="I437" s="20"/>
      <c r="J437" s="20">
        <f t="shared" si="1"/>
        <v>175</v>
      </c>
      <c r="K437" s="21"/>
      <c r="L437" s="22"/>
    </row>
    <row r="438" ht="22.5" customHeight="1">
      <c r="A438" s="28">
        <v>46004.0</v>
      </c>
      <c r="B438" s="15" t="s">
        <v>598</v>
      </c>
      <c r="C438" s="13" t="s">
        <v>9</v>
      </c>
      <c r="D438" s="13">
        <v>80.0</v>
      </c>
      <c r="E438" s="15">
        <v>250.0</v>
      </c>
      <c r="F438" s="13" t="s">
        <v>21</v>
      </c>
      <c r="G438" s="15" t="s">
        <v>89</v>
      </c>
      <c r="H438" s="15">
        <v>1600.0</v>
      </c>
      <c r="I438" s="20"/>
      <c r="J438" s="20">
        <f t="shared" si="1"/>
        <v>400</v>
      </c>
      <c r="K438" s="21"/>
      <c r="L438" s="22"/>
    </row>
    <row r="439" ht="22.5" customHeight="1">
      <c r="A439" s="28">
        <v>46004.0</v>
      </c>
      <c r="B439" s="15" t="s">
        <v>599</v>
      </c>
      <c r="C439" s="13" t="s">
        <v>9</v>
      </c>
      <c r="D439" s="13">
        <v>80.0</v>
      </c>
      <c r="E439" s="15">
        <v>290.0</v>
      </c>
      <c r="F439" s="13" t="s">
        <v>21</v>
      </c>
      <c r="G439" s="15" t="s">
        <v>89</v>
      </c>
      <c r="H439" s="15">
        <v>1100.0</v>
      </c>
      <c r="I439" s="20"/>
      <c r="J439" s="20">
        <f t="shared" si="1"/>
        <v>319</v>
      </c>
      <c r="K439" s="21"/>
      <c r="L439" s="22"/>
    </row>
    <row r="440" ht="22.5" customHeight="1">
      <c r="A440" s="28">
        <v>46004.0</v>
      </c>
      <c r="B440" s="15" t="s">
        <v>600</v>
      </c>
      <c r="C440" s="13" t="s">
        <v>9</v>
      </c>
      <c r="D440" s="13">
        <v>80.0</v>
      </c>
      <c r="E440" s="15">
        <v>125.0</v>
      </c>
      <c r="F440" s="13" t="s">
        <v>21</v>
      </c>
      <c r="G440" s="15" t="s">
        <v>89</v>
      </c>
      <c r="H440" s="15">
        <v>1750.0</v>
      </c>
      <c r="I440" s="20"/>
      <c r="J440" s="20">
        <f t="shared" si="1"/>
        <v>218.75</v>
      </c>
      <c r="K440" s="21"/>
      <c r="L440" s="22"/>
    </row>
    <row r="441" ht="22.5" customHeight="1">
      <c r="A441" s="28">
        <v>46004.0</v>
      </c>
      <c r="B441" s="15" t="s">
        <v>601</v>
      </c>
      <c r="C441" s="13" t="s">
        <v>26</v>
      </c>
      <c r="D441" s="13">
        <v>80.0</v>
      </c>
      <c r="E441" s="15">
        <v>140.0</v>
      </c>
      <c r="F441" s="13" t="s">
        <v>27</v>
      </c>
      <c r="G441" s="15" t="s">
        <v>29</v>
      </c>
      <c r="H441" s="15">
        <v>1400.0</v>
      </c>
      <c r="I441" s="20"/>
      <c r="J441" s="20">
        <f t="shared" si="1"/>
        <v>196</v>
      </c>
      <c r="K441" s="21"/>
      <c r="L441" s="22"/>
    </row>
    <row r="442" ht="22.5" customHeight="1">
      <c r="A442" s="28">
        <v>46006.0</v>
      </c>
      <c r="B442" s="15" t="s">
        <v>602</v>
      </c>
      <c r="C442" s="13" t="s">
        <v>9</v>
      </c>
      <c r="D442" s="13">
        <v>80.0</v>
      </c>
      <c r="E442" s="15">
        <v>250.0</v>
      </c>
      <c r="F442" s="13" t="s">
        <v>21</v>
      </c>
      <c r="G442" s="15" t="s">
        <v>498</v>
      </c>
      <c r="H442" s="15">
        <v>250.0</v>
      </c>
      <c r="I442" s="20"/>
      <c r="J442" s="20">
        <f t="shared" si="1"/>
        <v>62.5</v>
      </c>
      <c r="K442" s="21"/>
      <c r="L442" s="22"/>
    </row>
    <row r="443" ht="22.5" customHeight="1">
      <c r="A443" s="28">
        <v>46007.0</v>
      </c>
      <c r="B443" s="15" t="s">
        <v>603</v>
      </c>
      <c r="C443" s="13" t="s">
        <v>9</v>
      </c>
      <c r="D443" s="13">
        <v>80.0</v>
      </c>
      <c r="E443" s="15">
        <v>140.0</v>
      </c>
      <c r="F443" s="13" t="s">
        <v>27</v>
      </c>
      <c r="G443" s="15" t="s">
        <v>99</v>
      </c>
      <c r="H443" s="15">
        <v>650.0</v>
      </c>
      <c r="I443" s="20"/>
      <c r="J443" s="20">
        <f t="shared" si="1"/>
        <v>91</v>
      </c>
      <c r="K443" s="21"/>
      <c r="L443" s="22"/>
    </row>
    <row r="444" ht="22.5" customHeight="1">
      <c r="A444" s="28">
        <v>46007.0</v>
      </c>
      <c r="B444" s="15" t="s">
        <v>604</v>
      </c>
      <c r="C444" s="13" t="s">
        <v>9</v>
      </c>
      <c r="D444" s="13">
        <v>80.0</v>
      </c>
      <c r="E444" s="15">
        <v>125.0</v>
      </c>
      <c r="F444" s="13" t="s">
        <v>21</v>
      </c>
      <c r="G444" s="15" t="s">
        <v>89</v>
      </c>
      <c r="H444" s="15">
        <v>100.0</v>
      </c>
      <c r="I444" s="20"/>
      <c r="J444" s="20">
        <f t="shared" si="1"/>
        <v>12.5</v>
      </c>
      <c r="K444" s="21"/>
      <c r="L444" s="22"/>
    </row>
    <row r="445" ht="22.5" customHeight="1">
      <c r="A445" s="28">
        <v>46007.0</v>
      </c>
      <c r="B445" s="15" t="s">
        <v>606</v>
      </c>
      <c r="C445" s="13" t="s">
        <v>9</v>
      </c>
      <c r="D445" s="13">
        <v>80.0</v>
      </c>
      <c r="E445" s="15">
        <v>180.0</v>
      </c>
      <c r="F445" s="13" t="s">
        <v>21</v>
      </c>
      <c r="G445" s="15" t="s">
        <v>89</v>
      </c>
      <c r="H445" s="15">
        <v>50.0</v>
      </c>
      <c r="I445" s="20"/>
      <c r="J445" s="20">
        <f t="shared" si="1"/>
        <v>9</v>
      </c>
      <c r="K445" s="21"/>
      <c r="L445" s="22"/>
    </row>
    <row r="446" ht="22.5" customHeight="1">
      <c r="A446" s="28">
        <v>46007.0</v>
      </c>
      <c r="B446" s="15" t="s">
        <v>607</v>
      </c>
      <c r="C446" s="13" t="s">
        <v>9</v>
      </c>
      <c r="D446" s="13">
        <v>80.0</v>
      </c>
      <c r="E446" s="15">
        <v>140.0</v>
      </c>
      <c r="F446" s="13" t="s">
        <v>27</v>
      </c>
      <c r="G446" s="15" t="s">
        <v>99</v>
      </c>
      <c r="H446" s="21"/>
      <c r="I446" s="20"/>
      <c r="J446" s="20">
        <f t="shared" si="1"/>
        <v>0</v>
      </c>
      <c r="K446" s="15" t="s">
        <v>137</v>
      </c>
      <c r="L446" s="37"/>
    </row>
    <row r="447" ht="22.5" customHeight="1">
      <c r="A447" s="28">
        <v>46007.0</v>
      </c>
      <c r="B447" s="15" t="s">
        <v>608</v>
      </c>
      <c r="C447" s="13" t="s">
        <v>9</v>
      </c>
      <c r="D447" s="13">
        <v>80.0</v>
      </c>
      <c r="E447" s="15">
        <v>140.0</v>
      </c>
      <c r="F447" s="13" t="s">
        <v>27</v>
      </c>
      <c r="G447" s="15" t="s">
        <v>99</v>
      </c>
      <c r="H447" s="15">
        <v>1050.0</v>
      </c>
      <c r="I447" s="20"/>
      <c r="J447" s="20">
        <f t="shared" si="1"/>
        <v>147</v>
      </c>
      <c r="K447" s="21"/>
      <c r="L447" s="22"/>
    </row>
    <row r="448" ht="22.5" customHeight="1">
      <c r="A448" s="28">
        <v>46007.0</v>
      </c>
      <c r="B448" s="15" t="s">
        <v>609</v>
      </c>
      <c r="C448" s="13" t="s">
        <v>9</v>
      </c>
      <c r="D448" s="13">
        <v>80.0</v>
      </c>
      <c r="E448" s="15">
        <v>180.0</v>
      </c>
      <c r="F448" s="13" t="s">
        <v>21</v>
      </c>
      <c r="G448" s="15" t="s">
        <v>99</v>
      </c>
      <c r="H448" s="15">
        <v>500.0</v>
      </c>
      <c r="I448" s="20"/>
      <c r="J448" s="20">
        <f t="shared" si="1"/>
        <v>90</v>
      </c>
      <c r="K448" s="21"/>
      <c r="L448" s="22"/>
    </row>
    <row r="449" ht="22.5" customHeight="1">
      <c r="A449" s="28">
        <v>46007.0</v>
      </c>
      <c r="B449" s="15" t="s">
        <v>610</v>
      </c>
      <c r="C449" s="13" t="s">
        <v>9</v>
      </c>
      <c r="D449" s="13">
        <v>80.0</v>
      </c>
      <c r="E449" s="15">
        <v>140.0</v>
      </c>
      <c r="F449" s="13" t="s">
        <v>27</v>
      </c>
      <c r="G449" s="15" t="s">
        <v>176</v>
      </c>
      <c r="H449" s="21"/>
      <c r="I449" s="20"/>
      <c r="J449" s="20">
        <f t="shared" si="1"/>
        <v>0</v>
      </c>
      <c r="K449" s="15" t="s">
        <v>137</v>
      </c>
      <c r="L449" s="37"/>
    </row>
    <row r="450" ht="22.5" customHeight="1">
      <c r="A450" s="28">
        <v>46007.0</v>
      </c>
      <c r="B450" s="15" t="s">
        <v>612</v>
      </c>
      <c r="C450" s="13" t="s">
        <v>9</v>
      </c>
      <c r="D450" s="13">
        <v>80.0</v>
      </c>
      <c r="E450" s="15">
        <v>140.0</v>
      </c>
      <c r="F450" s="13" t="s">
        <v>27</v>
      </c>
      <c r="G450" s="15" t="s">
        <v>139</v>
      </c>
      <c r="H450" s="15">
        <v>430.0</v>
      </c>
      <c r="I450" s="20"/>
      <c r="J450" s="20">
        <f t="shared" si="1"/>
        <v>60.2</v>
      </c>
      <c r="K450" s="21"/>
      <c r="L450" s="22"/>
    </row>
    <row r="451" ht="22.5" customHeight="1">
      <c r="A451" s="28">
        <v>46007.0</v>
      </c>
      <c r="B451" s="15" t="s">
        <v>613</v>
      </c>
      <c r="C451" s="13" t="s">
        <v>9</v>
      </c>
      <c r="D451" s="13">
        <v>80.0</v>
      </c>
      <c r="E451" s="15">
        <v>140.0</v>
      </c>
      <c r="F451" s="13" t="s">
        <v>27</v>
      </c>
      <c r="G451" s="15" t="s">
        <v>139</v>
      </c>
      <c r="H451" s="21"/>
      <c r="I451" s="20"/>
      <c r="J451" s="20">
        <f t="shared" si="1"/>
        <v>0</v>
      </c>
      <c r="K451" s="15" t="s">
        <v>137</v>
      </c>
      <c r="L451" s="37"/>
    </row>
    <row r="452" ht="22.5" customHeight="1">
      <c r="A452" s="28">
        <v>46007.0</v>
      </c>
      <c r="B452" s="15" t="s">
        <v>614</v>
      </c>
      <c r="C452" s="13" t="s">
        <v>9</v>
      </c>
      <c r="D452" s="13">
        <v>80.0</v>
      </c>
      <c r="E452" s="15">
        <v>126.0</v>
      </c>
      <c r="F452" s="13" t="s">
        <v>27</v>
      </c>
      <c r="G452" s="15" t="s">
        <v>139</v>
      </c>
      <c r="H452" s="21"/>
      <c r="I452" s="20"/>
      <c r="J452" s="20">
        <f t="shared" si="1"/>
        <v>0</v>
      </c>
      <c r="K452" s="15" t="s">
        <v>137</v>
      </c>
      <c r="L452" s="37"/>
    </row>
    <row r="453" ht="22.5" customHeight="1">
      <c r="A453" s="28">
        <v>46008.0</v>
      </c>
      <c r="B453" s="15" t="s">
        <v>615</v>
      </c>
      <c r="C453" s="13" t="s">
        <v>9</v>
      </c>
      <c r="D453" s="13">
        <v>80.0</v>
      </c>
      <c r="E453" s="15">
        <v>230.0</v>
      </c>
      <c r="F453" s="13" t="s">
        <v>27</v>
      </c>
      <c r="G453" s="15" t="s">
        <v>99</v>
      </c>
      <c r="H453" s="15">
        <v>446.0</v>
      </c>
      <c r="I453" s="20"/>
      <c r="J453" s="20">
        <f t="shared" si="1"/>
        <v>102.58</v>
      </c>
      <c r="K453" s="21"/>
      <c r="L453" s="22"/>
    </row>
    <row r="454" ht="22.5" customHeight="1">
      <c r="A454" s="28">
        <v>46008.0</v>
      </c>
      <c r="B454" s="15" t="s">
        <v>616</v>
      </c>
      <c r="C454" s="13" t="s">
        <v>9</v>
      </c>
      <c r="D454" s="13">
        <v>80.0</v>
      </c>
      <c r="E454" s="15">
        <v>195.0</v>
      </c>
      <c r="F454" s="13" t="s">
        <v>27</v>
      </c>
      <c r="G454" s="15" t="s">
        <v>99</v>
      </c>
      <c r="H454" s="15">
        <v>790.0</v>
      </c>
      <c r="I454" s="20"/>
      <c r="J454" s="20">
        <f t="shared" si="1"/>
        <v>154.05</v>
      </c>
      <c r="K454" s="21"/>
      <c r="L454" s="22"/>
    </row>
    <row r="455" ht="22.5" customHeight="1">
      <c r="A455" s="28">
        <v>46008.0</v>
      </c>
      <c r="B455" s="15" t="s">
        <v>617</v>
      </c>
      <c r="C455" s="13" t="s">
        <v>9</v>
      </c>
      <c r="D455" s="13">
        <v>80.0</v>
      </c>
      <c r="E455" s="15">
        <v>160.0</v>
      </c>
      <c r="F455" s="13" t="s">
        <v>27</v>
      </c>
      <c r="G455" s="15" t="s">
        <v>99</v>
      </c>
      <c r="H455" s="15">
        <v>1300.0</v>
      </c>
      <c r="I455" s="20"/>
      <c r="J455" s="20">
        <f t="shared" si="1"/>
        <v>208</v>
      </c>
      <c r="K455" s="21"/>
      <c r="L455" s="22"/>
    </row>
    <row r="456" ht="22.5" customHeight="1">
      <c r="A456" s="28">
        <v>46008.0</v>
      </c>
      <c r="B456" s="15" t="s">
        <v>619</v>
      </c>
      <c r="C456" s="13" t="s">
        <v>9</v>
      </c>
      <c r="D456" s="13">
        <v>80.0</v>
      </c>
      <c r="E456" s="15">
        <v>160.0</v>
      </c>
      <c r="F456" s="13" t="s">
        <v>27</v>
      </c>
      <c r="G456" s="15" t="s">
        <v>99</v>
      </c>
      <c r="H456" s="15">
        <v>700.0</v>
      </c>
      <c r="I456" s="20"/>
      <c r="J456" s="20">
        <f t="shared" si="1"/>
        <v>112</v>
      </c>
      <c r="K456" s="21"/>
      <c r="L456" s="22"/>
    </row>
    <row r="457" ht="22.5" customHeight="1">
      <c r="A457" s="28">
        <v>46008.0</v>
      </c>
      <c r="B457" s="15" t="s">
        <v>620</v>
      </c>
      <c r="C457" s="13" t="s">
        <v>9</v>
      </c>
      <c r="D457" s="13">
        <v>80.0</v>
      </c>
      <c r="E457" s="15">
        <v>230.0</v>
      </c>
      <c r="F457" s="13" t="s">
        <v>27</v>
      </c>
      <c r="G457" s="15" t="s">
        <v>99</v>
      </c>
      <c r="H457" s="15">
        <v>600.0</v>
      </c>
      <c r="I457" s="20"/>
      <c r="J457" s="20">
        <f t="shared" si="1"/>
        <v>138</v>
      </c>
      <c r="K457" s="21"/>
      <c r="L457" s="22"/>
    </row>
    <row r="458" ht="22.5" customHeight="1">
      <c r="A458" s="28">
        <v>46009.0</v>
      </c>
      <c r="B458" s="15" t="s">
        <v>621</v>
      </c>
      <c r="C458" s="13" t="s">
        <v>26</v>
      </c>
      <c r="D458" s="13">
        <v>80.0</v>
      </c>
      <c r="E458" s="15">
        <v>200.0</v>
      </c>
      <c r="F458" s="13" t="s">
        <v>23</v>
      </c>
      <c r="G458" s="15" t="s">
        <v>99</v>
      </c>
      <c r="H458" s="15">
        <v>0.0</v>
      </c>
      <c r="I458" s="20"/>
      <c r="J458" s="20">
        <f t="shared" si="1"/>
        <v>0</v>
      </c>
      <c r="K458" s="15" t="s">
        <v>137</v>
      </c>
      <c r="L458" s="37"/>
    </row>
    <row r="459" ht="22.5" customHeight="1">
      <c r="A459" s="28">
        <v>46009.0</v>
      </c>
      <c r="B459" s="15" t="s">
        <v>623</v>
      </c>
      <c r="C459" s="13" t="s">
        <v>26</v>
      </c>
      <c r="D459" s="13">
        <v>80.0</v>
      </c>
      <c r="E459" s="15">
        <v>200.0</v>
      </c>
      <c r="F459" s="13" t="s">
        <v>23</v>
      </c>
      <c r="G459" s="15" t="s">
        <v>99</v>
      </c>
      <c r="H459" s="15">
        <v>400.0</v>
      </c>
      <c r="I459" s="20"/>
      <c r="J459" s="20">
        <f t="shared" si="1"/>
        <v>80</v>
      </c>
      <c r="K459" s="21"/>
      <c r="L459" s="22"/>
    </row>
    <row r="460" ht="22.5" customHeight="1">
      <c r="A460" s="28">
        <v>46009.0</v>
      </c>
      <c r="B460" s="15" t="s">
        <v>624</v>
      </c>
      <c r="C460" s="13" t="s">
        <v>9</v>
      </c>
      <c r="D460" s="13">
        <v>80.0</v>
      </c>
      <c r="E460" s="15">
        <v>140.0</v>
      </c>
      <c r="F460" s="13" t="s">
        <v>27</v>
      </c>
      <c r="G460" s="15" t="s">
        <v>99</v>
      </c>
      <c r="H460" s="15">
        <v>1070.0</v>
      </c>
      <c r="I460" s="20"/>
      <c r="J460" s="20">
        <f t="shared" si="1"/>
        <v>149.8</v>
      </c>
      <c r="K460" s="21"/>
      <c r="L460" s="22"/>
    </row>
    <row r="461" ht="22.5" customHeight="1">
      <c r="A461" s="28">
        <v>46009.0</v>
      </c>
      <c r="B461" s="15" t="s">
        <v>625</v>
      </c>
      <c r="C461" s="13" t="s">
        <v>9</v>
      </c>
      <c r="D461" s="13">
        <v>80.0</v>
      </c>
      <c r="E461" s="15">
        <v>140.0</v>
      </c>
      <c r="F461" s="13" t="s">
        <v>27</v>
      </c>
      <c r="G461" s="15" t="s">
        <v>99</v>
      </c>
      <c r="H461" s="15">
        <v>0.0</v>
      </c>
      <c r="I461" s="20"/>
      <c r="J461" s="20">
        <f t="shared" si="1"/>
        <v>0</v>
      </c>
      <c r="K461" s="15" t="s">
        <v>137</v>
      </c>
      <c r="L461" s="37"/>
    </row>
    <row r="462" ht="22.5" customHeight="1">
      <c r="A462" s="28">
        <v>46010.0</v>
      </c>
      <c r="B462" s="15" t="s">
        <v>626</v>
      </c>
      <c r="C462" s="13" t="s">
        <v>9</v>
      </c>
      <c r="D462" s="13">
        <v>80.0</v>
      </c>
      <c r="E462" s="15">
        <v>260.0</v>
      </c>
      <c r="F462" s="13" t="s">
        <v>27</v>
      </c>
      <c r="G462" s="15" t="s">
        <v>99</v>
      </c>
      <c r="H462" s="15">
        <v>1160.0</v>
      </c>
      <c r="I462" s="20"/>
      <c r="J462" s="20">
        <f t="shared" si="1"/>
        <v>301.6</v>
      </c>
      <c r="K462" s="21"/>
      <c r="L462" s="22"/>
    </row>
    <row r="463" ht="22.5" customHeight="1">
      <c r="A463" s="28">
        <v>46010.0</v>
      </c>
      <c r="B463" s="15" t="s">
        <v>628</v>
      </c>
      <c r="C463" s="13" t="s">
        <v>9</v>
      </c>
      <c r="D463" s="13">
        <v>80.0</v>
      </c>
      <c r="E463" s="15">
        <v>260.0</v>
      </c>
      <c r="F463" s="13" t="s">
        <v>27</v>
      </c>
      <c r="G463" s="15" t="s">
        <v>99</v>
      </c>
      <c r="H463" s="15">
        <v>400.0</v>
      </c>
      <c r="I463" s="20"/>
      <c r="J463" s="20">
        <f t="shared" si="1"/>
        <v>104</v>
      </c>
      <c r="K463" s="21"/>
      <c r="L463" s="22"/>
    </row>
    <row r="464" ht="22.5" customHeight="1">
      <c r="A464" s="28">
        <v>46010.0</v>
      </c>
      <c r="B464" s="15" t="s">
        <v>630</v>
      </c>
      <c r="C464" s="13" t="s">
        <v>9</v>
      </c>
      <c r="D464" s="13">
        <v>80.0</v>
      </c>
      <c r="E464" s="15">
        <v>160.0</v>
      </c>
      <c r="F464" s="13" t="s">
        <v>27</v>
      </c>
      <c r="G464" s="15" t="s">
        <v>99</v>
      </c>
      <c r="H464" s="15">
        <v>620.0</v>
      </c>
      <c r="I464" s="20"/>
      <c r="J464" s="20">
        <f t="shared" si="1"/>
        <v>99.2</v>
      </c>
      <c r="K464" s="21"/>
      <c r="L464" s="22"/>
    </row>
    <row r="465" ht="22.5" customHeight="1">
      <c r="A465" s="28">
        <v>46010.0</v>
      </c>
      <c r="B465" s="15" t="s">
        <v>631</v>
      </c>
      <c r="C465" s="13" t="s">
        <v>9</v>
      </c>
      <c r="D465" s="13">
        <v>80.0</v>
      </c>
      <c r="E465" s="15">
        <v>140.0</v>
      </c>
      <c r="F465" s="13" t="s">
        <v>27</v>
      </c>
      <c r="G465" s="15" t="s">
        <v>99</v>
      </c>
      <c r="H465" s="15">
        <v>180.0</v>
      </c>
      <c r="I465" s="20"/>
      <c r="J465" s="20">
        <f t="shared" si="1"/>
        <v>25.2</v>
      </c>
      <c r="K465" s="21"/>
      <c r="L465" s="22"/>
    </row>
    <row r="466" ht="22.5" customHeight="1">
      <c r="A466" s="28">
        <v>46011.0</v>
      </c>
      <c r="B466" s="15" t="s">
        <v>633</v>
      </c>
      <c r="C466" s="13" t="s">
        <v>9</v>
      </c>
      <c r="D466" s="13">
        <v>80.0</v>
      </c>
      <c r="E466" s="15">
        <v>250.0</v>
      </c>
      <c r="F466" s="13" t="s">
        <v>21</v>
      </c>
      <c r="G466" s="15" t="s">
        <v>498</v>
      </c>
      <c r="H466" s="15">
        <v>1000.0</v>
      </c>
      <c r="I466" s="20"/>
      <c r="J466" s="20">
        <f t="shared" si="1"/>
        <v>250</v>
      </c>
      <c r="K466" s="21"/>
      <c r="L466" s="22"/>
    </row>
    <row r="467" ht="22.5" customHeight="1">
      <c r="A467" s="28">
        <v>46011.0</v>
      </c>
      <c r="B467" s="15" t="s">
        <v>634</v>
      </c>
      <c r="C467" s="13" t="s">
        <v>26</v>
      </c>
      <c r="D467" s="13">
        <v>80.0</v>
      </c>
      <c r="E467" s="15">
        <v>160.0</v>
      </c>
      <c r="F467" s="13" t="s">
        <v>27</v>
      </c>
      <c r="G467" s="15" t="s">
        <v>99</v>
      </c>
      <c r="H467" s="21"/>
      <c r="I467" s="20"/>
      <c r="J467" s="20">
        <f t="shared" si="1"/>
        <v>0</v>
      </c>
      <c r="K467" s="15" t="s">
        <v>137</v>
      </c>
      <c r="L467" s="37"/>
    </row>
    <row r="468" ht="22.5" customHeight="1">
      <c r="A468" s="28">
        <v>46011.0</v>
      </c>
      <c r="B468" s="15" t="s">
        <v>635</v>
      </c>
      <c r="C468" s="13" t="s">
        <v>9</v>
      </c>
      <c r="D468" s="13">
        <v>80.0</v>
      </c>
      <c r="E468" s="15">
        <v>210.0</v>
      </c>
      <c r="F468" s="13" t="s">
        <v>21</v>
      </c>
      <c r="G468" s="15" t="s">
        <v>89</v>
      </c>
      <c r="H468" s="15">
        <v>1080.0</v>
      </c>
      <c r="I468" s="20"/>
      <c r="J468" s="20">
        <f t="shared" si="1"/>
        <v>226.8</v>
      </c>
      <c r="K468" s="21"/>
      <c r="L468" s="22"/>
    </row>
    <row r="469" ht="22.5" customHeight="1">
      <c r="A469" s="28">
        <v>46014.0</v>
      </c>
      <c r="B469" s="15" t="s">
        <v>637</v>
      </c>
      <c r="C469" s="13" t="s">
        <v>9</v>
      </c>
      <c r="D469" s="13">
        <v>80.0</v>
      </c>
      <c r="E469" s="15">
        <v>140.0</v>
      </c>
      <c r="F469" s="13" t="s">
        <v>27</v>
      </c>
      <c r="G469" s="15" t="s">
        <v>99</v>
      </c>
      <c r="H469" s="15">
        <v>130.0</v>
      </c>
      <c r="I469" s="20"/>
      <c r="J469" s="20">
        <f t="shared" si="1"/>
        <v>18.2</v>
      </c>
      <c r="K469" s="21"/>
      <c r="L469" s="22"/>
    </row>
    <row r="470" ht="22.5" customHeight="1">
      <c r="A470" s="28">
        <v>46014.0</v>
      </c>
      <c r="B470" s="15" t="s">
        <v>638</v>
      </c>
      <c r="C470" s="13" t="s">
        <v>54</v>
      </c>
      <c r="D470" s="13">
        <v>40.0</v>
      </c>
      <c r="E470" s="15">
        <v>240.0</v>
      </c>
      <c r="F470" s="13" t="s">
        <v>55</v>
      </c>
      <c r="G470" s="15" t="s">
        <v>639</v>
      </c>
      <c r="H470" s="15">
        <v>400.0</v>
      </c>
      <c r="I470" s="20"/>
      <c r="J470" s="20">
        <f t="shared" si="1"/>
        <v>96</v>
      </c>
      <c r="K470" s="21"/>
      <c r="L470" s="22"/>
    </row>
    <row r="471" ht="22.5" customHeight="1">
      <c r="A471" s="28">
        <v>46014.0</v>
      </c>
      <c r="B471" s="15" t="s">
        <v>641</v>
      </c>
      <c r="C471" s="13" t="s">
        <v>43</v>
      </c>
      <c r="D471" s="13">
        <v>50.0</v>
      </c>
      <c r="E471" s="15">
        <v>125.0</v>
      </c>
      <c r="F471" s="13" t="s">
        <v>27</v>
      </c>
      <c r="G471" s="15" t="s">
        <v>176</v>
      </c>
      <c r="H471" s="15">
        <v>850.0</v>
      </c>
      <c r="I471" s="20"/>
      <c r="J471" s="20">
        <f t="shared" si="1"/>
        <v>106.25</v>
      </c>
      <c r="K471" s="21"/>
      <c r="L471" s="22"/>
    </row>
    <row r="472" ht="22.5" customHeight="1">
      <c r="A472" s="28">
        <v>46015.0</v>
      </c>
      <c r="B472" s="15" t="s">
        <v>643</v>
      </c>
      <c r="C472" s="13" t="s">
        <v>43</v>
      </c>
      <c r="D472" s="13">
        <v>50.0</v>
      </c>
      <c r="E472" s="15">
        <v>125.0</v>
      </c>
      <c r="F472" s="13" t="s">
        <v>27</v>
      </c>
      <c r="G472" s="15" t="s">
        <v>644</v>
      </c>
      <c r="H472" s="15">
        <v>690.0</v>
      </c>
      <c r="I472" s="20"/>
      <c r="J472" s="20">
        <f t="shared" si="1"/>
        <v>86.25</v>
      </c>
      <c r="K472" s="21"/>
      <c r="L472" s="22"/>
    </row>
    <row r="473" ht="22.5" customHeight="1">
      <c r="A473" s="28">
        <v>46015.0</v>
      </c>
      <c r="B473" s="15" t="s">
        <v>645</v>
      </c>
      <c r="C473" s="13" t="s">
        <v>9</v>
      </c>
      <c r="D473" s="13">
        <v>80.0</v>
      </c>
      <c r="E473" s="15">
        <v>250.0</v>
      </c>
      <c r="F473" s="13" t="s">
        <v>21</v>
      </c>
      <c r="G473" s="15" t="s">
        <v>89</v>
      </c>
      <c r="H473" s="15">
        <v>450.0</v>
      </c>
      <c r="I473" s="20"/>
      <c r="J473" s="20">
        <f t="shared" si="1"/>
        <v>112.5</v>
      </c>
      <c r="K473" s="21"/>
      <c r="L473" s="22"/>
    </row>
    <row r="474" ht="22.5" customHeight="1">
      <c r="A474" s="28">
        <v>46015.0</v>
      </c>
      <c r="B474" s="15" t="s">
        <v>646</v>
      </c>
      <c r="C474" s="13" t="s">
        <v>9</v>
      </c>
      <c r="D474" s="13">
        <v>80.0</v>
      </c>
      <c r="E474" s="15">
        <v>300.0</v>
      </c>
      <c r="F474" s="13" t="s">
        <v>21</v>
      </c>
      <c r="G474" s="15" t="s">
        <v>89</v>
      </c>
      <c r="H474" s="15">
        <v>0.0</v>
      </c>
      <c r="I474" s="20"/>
      <c r="J474" s="20">
        <f t="shared" si="1"/>
        <v>0</v>
      </c>
      <c r="K474" s="15" t="s">
        <v>137</v>
      </c>
      <c r="L474" s="37"/>
    </row>
    <row r="475" ht="22.5" customHeight="1">
      <c r="A475" s="28">
        <v>46016.0</v>
      </c>
      <c r="B475" s="15" t="s">
        <v>647</v>
      </c>
      <c r="C475" s="13" t="s">
        <v>9</v>
      </c>
      <c r="D475" s="13">
        <v>80.0</v>
      </c>
      <c r="E475" s="15">
        <v>160.0</v>
      </c>
      <c r="F475" s="13" t="s">
        <v>27</v>
      </c>
      <c r="G475" s="15" t="s">
        <v>99</v>
      </c>
      <c r="H475" s="15">
        <v>350.0</v>
      </c>
      <c r="I475" s="20"/>
      <c r="J475" s="20">
        <f t="shared" si="1"/>
        <v>56</v>
      </c>
      <c r="K475" s="21"/>
      <c r="L475" s="22"/>
    </row>
    <row r="476" ht="22.5" customHeight="1">
      <c r="A476" s="28">
        <v>46016.0</v>
      </c>
      <c r="B476" s="15" t="s">
        <v>648</v>
      </c>
      <c r="C476" s="13" t="s">
        <v>9</v>
      </c>
      <c r="D476" s="13">
        <v>80.0</v>
      </c>
      <c r="E476" s="15">
        <v>230.0</v>
      </c>
      <c r="F476" s="13" t="s">
        <v>27</v>
      </c>
      <c r="G476" s="15" t="s">
        <v>99</v>
      </c>
      <c r="H476" s="15">
        <v>1000.0</v>
      </c>
      <c r="I476" s="20"/>
      <c r="J476" s="20">
        <f t="shared" si="1"/>
        <v>230</v>
      </c>
      <c r="K476" s="21"/>
      <c r="L476" s="22"/>
    </row>
    <row r="477" ht="22.5" customHeight="1">
      <c r="A477" s="28">
        <v>46016.0</v>
      </c>
      <c r="B477" s="15" t="s">
        <v>649</v>
      </c>
      <c r="C477" s="13" t="s">
        <v>9</v>
      </c>
      <c r="D477" s="13">
        <v>80.0</v>
      </c>
      <c r="E477" s="15">
        <v>195.0</v>
      </c>
      <c r="F477" s="13" t="s">
        <v>27</v>
      </c>
      <c r="G477" s="15" t="s">
        <v>99</v>
      </c>
      <c r="H477" s="15">
        <v>1000.0</v>
      </c>
      <c r="I477" s="20"/>
      <c r="J477" s="20">
        <f t="shared" si="1"/>
        <v>195</v>
      </c>
      <c r="K477" s="21"/>
      <c r="L477" s="22"/>
    </row>
    <row r="478" ht="22.5" customHeight="1">
      <c r="A478" s="28">
        <v>46016.0</v>
      </c>
      <c r="B478" s="15" t="s">
        <v>650</v>
      </c>
      <c r="C478" s="13" t="s">
        <v>9</v>
      </c>
      <c r="D478" s="13">
        <v>80.0</v>
      </c>
      <c r="E478" s="15">
        <v>195.0</v>
      </c>
      <c r="F478" s="13" t="s">
        <v>27</v>
      </c>
      <c r="G478" s="15" t="s">
        <v>99</v>
      </c>
      <c r="H478" s="15">
        <v>800.0</v>
      </c>
      <c r="I478" s="20"/>
      <c r="J478" s="20">
        <f t="shared" si="1"/>
        <v>156</v>
      </c>
      <c r="K478" s="21"/>
      <c r="L478" s="22"/>
    </row>
    <row r="479" ht="22.5" customHeight="1">
      <c r="A479" s="28">
        <v>46016.0</v>
      </c>
      <c r="B479" s="15" t="s">
        <v>651</v>
      </c>
      <c r="C479" s="13" t="s">
        <v>9</v>
      </c>
      <c r="D479" s="13">
        <v>80.0</v>
      </c>
      <c r="E479" s="15">
        <v>230.0</v>
      </c>
      <c r="F479" s="13" t="s">
        <v>27</v>
      </c>
      <c r="G479" s="15" t="s">
        <v>99</v>
      </c>
      <c r="H479" s="15">
        <v>560.0</v>
      </c>
      <c r="I479" s="20"/>
      <c r="J479" s="20">
        <f t="shared" si="1"/>
        <v>128.8</v>
      </c>
      <c r="K479" s="21"/>
      <c r="L479" s="22"/>
    </row>
    <row r="480" ht="22.5" customHeight="1">
      <c r="A480" s="28">
        <v>46016.0</v>
      </c>
      <c r="B480" s="15" t="s">
        <v>653</v>
      </c>
      <c r="C480" s="13" t="s">
        <v>9</v>
      </c>
      <c r="D480" s="13">
        <v>80.0</v>
      </c>
      <c r="E480" s="15">
        <v>140.0</v>
      </c>
      <c r="F480" s="13" t="s">
        <v>27</v>
      </c>
      <c r="G480" s="15" t="s">
        <v>99</v>
      </c>
      <c r="H480" s="15">
        <v>280.0</v>
      </c>
      <c r="I480" s="20"/>
      <c r="J480" s="20">
        <f t="shared" si="1"/>
        <v>39.2</v>
      </c>
      <c r="K480" s="21"/>
      <c r="L480" s="22"/>
    </row>
    <row r="481" ht="22.5" customHeight="1">
      <c r="A481" s="28">
        <v>46017.0</v>
      </c>
      <c r="B481" s="15" t="s">
        <v>654</v>
      </c>
      <c r="C481" s="13" t="s">
        <v>26</v>
      </c>
      <c r="D481" s="13">
        <v>80.0</v>
      </c>
      <c r="E481" s="15">
        <v>130.0</v>
      </c>
      <c r="F481" s="13" t="s">
        <v>27</v>
      </c>
      <c r="G481" s="15" t="s">
        <v>99</v>
      </c>
      <c r="H481" s="15">
        <v>650.0</v>
      </c>
      <c r="I481" s="20"/>
      <c r="J481" s="20">
        <f t="shared" si="1"/>
        <v>84.5</v>
      </c>
      <c r="K481" s="21"/>
      <c r="L481" s="22"/>
    </row>
    <row r="482" ht="22.5" customHeight="1">
      <c r="A482" s="28">
        <v>46017.0</v>
      </c>
      <c r="B482" s="15" t="s">
        <v>655</v>
      </c>
      <c r="C482" s="13" t="s">
        <v>26</v>
      </c>
      <c r="D482" s="13">
        <v>80.0</v>
      </c>
      <c r="E482" s="15">
        <v>185.0</v>
      </c>
      <c r="F482" s="13" t="s">
        <v>27</v>
      </c>
      <c r="G482" s="15" t="s">
        <v>99</v>
      </c>
      <c r="H482" s="15">
        <v>0.0</v>
      </c>
      <c r="I482" s="20"/>
      <c r="J482" s="20">
        <f t="shared" si="1"/>
        <v>0</v>
      </c>
      <c r="K482" s="21"/>
      <c r="L482" s="22"/>
    </row>
    <row r="483" ht="22.5" customHeight="1">
      <c r="A483" s="28">
        <v>46017.0</v>
      </c>
      <c r="B483" s="15" t="s">
        <v>656</v>
      </c>
      <c r="C483" s="13" t="s">
        <v>9</v>
      </c>
      <c r="D483" s="13">
        <v>80.0</v>
      </c>
      <c r="E483" s="15">
        <v>150.0</v>
      </c>
      <c r="F483" s="13" t="s">
        <v>21</v>
      </c>
      <c r="G483" s="15" t="s">
        <v>89</v>
      </c>
      <c r="H483" s="15">
        <v>1650.0</v>
      </c>
      <c r="I483" s="20"/>
      <c r="J483" s="20">
        <f t="shared" si="1"/>
        <v>247.5</v>
      </c>
      <c r="K483" s="21"/>
      <c r="L483" s="22"/>
    </row>
    <row r="484" ht="22.5" customHeight="1">
      <c r="A484" s="28">
        <v>46017.0</v>
      </c>
      <c r="B484" s="15" t="s">
        <v>657</v>
      </c>
      <c r="C484" s="13" t="s">
        <v>9</v>
      </c>
      <c r="D484" s="13">
        <v>80.0</v>
      </c>
      <c r="E484" s="15">
        <v>250.0</v>
      </c>
      <c r="F484" s="13" t="s">
        <v>21</v>
      </c>
      <c r="G484" s="15" t="s">
        <v>89</v>
      </c>
      <c r="H484" s="15">
        <v>1100.0</v>
      </c>
      <c r="I484" s="20"/>
      <c r="J484" s="20">
        <f t="shared" si="1"/>
        <v>275</v>
      </c>
      <c r="K484" s="21"/>
      <c r="L484" s="22"/>
    </row>
    <row r="485" ht="22.5" customHeight="1">
      <c r="A485" s="28">
        <v>46018.0</v>
      </c>
      <c r="B485" s="15" t="s">
        <v>658</v>
      </c>
      <c r="C485" s="13" t="s">
        <v>9</v>
      </c>
      <c r="D485" s="13">
        <v>80.0</v>
      </c>
      <c r="E485" s="15">
        <v>160.0</v>
      </c>
      <c r="F485" s="13" t="s">
        <v>21</v>
      </c>
      <c r="G485" s="15" t="s">
        <v>139</v>
      </c>
      <c r="H485" s="15">
        <v>100.0</v>
      </c>
      <c r="I485" s="20"/>
      <c r="J485" s="20">
        <f t="shared" si="1"/>
        <v>16</v>
      </c>
      <c r="K485" s="21"/>
      <c r="L485" s="22"/>
    </row>
    <row r="486" ht="22.5" customHeight="1">
      <c r="A486" s="28">
        <v>46018.0</v>
      </c>
      <c r="B486" s="15" t="s">
        <v>659</v>
      </c>
      <c r="C486" s="13" t="s">
        <v>9</v>
      </c>
      <c r="D486" s="13">
        <v>80.0</v>
      </c>
      <c r="E486" s="15">
        <v>125.0</v>
      </c>
      <c r="F486" s="13" t="s">
        <v>21</v>
      </c>
      <c r="G486" s="15" t="s">
        <v>89</v>
      </c>
      <c r="H486" s="15">
        <v>1150.0</v>
      </c>
      <c r="I486" s="20"/>
      <c r="J486" s="20">
        <f t="shared" si="1"/>
        <v>143.75</v>
      </c>
      <c r="K486" s="21"/>
      <c r="L486" s="22"/>
    </row>
    <row r="487" ht="22.5" customHeight="1">
      <c r="A487" s="28">
        <v>46018.0</v>
      </c>
      <c r="B487" s="15" t="s">
        <v>660</v>
      </c>
      <c r="C487" s="13" t="s">
        <v>9</v>
      </c>
      <c r="D487" s="13">
        <v>80.0</v>
      </c>
      <c r="E487" s="15">
        <v>125.0</v>
      </c>
      <c r="F487" s="13" t="s">
        <v>21</v>
      </c>
      <c r="G487" s="15" t="s">
        <v>89</v>
      </c>
      <c r="H487" s="15">
        <v>400.0</v>
      </c>
      <c r="I487" s="20"/>
      <c r="J487" s="20">
        <f t="shared" si="1"/>
        <v>50</v>
      </c>
      <c r="K487" s="21"/>
      <c r="L487" s="22"/>
    </row>
    <row r="488" ht="22.5" customHeight="1">
      <c r="A488" s="28">
        <v>46018.0</v>
      </c>
      <c r="B488" s="15" t="s">
        <v>661</v>
      </c>
      <c r="C488" s="13" t="s">
        <v>9</v>
      </c>
      <c r="D488" s="13">
        <v>80.0</v>
      </c>
      <c r="E488" s="15">
        <v>170.0</v>
      </c>
      <c r="F488" s="13" t="s">
        <v>21</v>
      </c>
      <c r="G488" s="15" t="s">
        <v>89</v>
      </c>
      <c r="H488" s="15">
        <v>550.0</v>
      </c>
      <c r="I488" s="20"/>
      <c r="J488" s="20">
        <f t="shared" si="1"/>
        <v>93.5</v>
      </c>
      <c r="K488" s="21"/>
      <c r="L488" s="22"/>
    </row>
    <row r="489" ht="22.5" customHeight="1">
      <c r="A489" s="28">
        <v>46018.0</v>
      </c>
      <c r="B489" s="15" t="s">
        <v>662</v>
      </c>
      <c r="C489" s="13" t="s">
        <v>9</v>
      </c>
      <c r="D489" s="13">
        <v>80.0</v>
      </c>
      <c r="E489" s="15">
        <v>125.0</v>
      </c>
      <c r="F489" s="13" t="s">
        <v>21</v>
      </c>
      <c r="G489" s="15" t="s">
        <v>89</v>
      </c>
      <c r="H489" s="15">
        <v>100.0</v>
      </c>
      <c r="I489" s="20"/>
      <c r="J489" s="20">
        <f t="shared" si="1"/>
        <v>12.5</v>
      </c>
      <c r="K489" s="21"/>
      <c r="L489" s="22"/>
    </row>
    <row r="490" ht="22.5" customHeight="1">
      <c r="A490" s="28">
        <v>46018.0</v>
      </c>
      <c r="B490" s="15" t="s">
        <v>663</v>
      </c>
      <c r="C490" s="13" t="s">
        <v>9</v>
      </c>
      <c r="D490" s="13">
        <v>80.0</v>
      </c>
      <c r="E490" s="15">
        <v>170.0</v>
      </c>
      <c r="F490" s="13" t="s">
        <v>21</v>
      </c>
      <c r="G490" s="15" t="s">
        <v>89</v>
      </c>
      <c r="H490" s="15">
        <v>250.0</v>
      </c>
      <c r="I490" s="20"/>
      <c r="J490" s="20">
        <f t="shared" si="1"/>
        <v>42.5</v>
      </c>
      <c r="K490" s="21"/>
      <c r="L490" s="22"/>
    </row>
    <row r="491" ht="22.5" customHeight="1">
      <c r="A491" s="28">
        <v>46018.0</v>
      </c>
      <c r="B491" s="15" t="s">
        <v>664</v>
      </c>
      <c r="C491" s="13" t="s">
        <v>9</v>
      </c>
      <c r="D491" s="13">
        <v>80.0</v>
      </c>
      <c r="E491" s="15">
        <v>160.0</v>
      </c>
      <c r="F491" s="13" t="s">
        <v>21</v>
      </c>
      <c r="G491" s="15" t="s">
        <v>89</v>
      </c>
      <c r="H491" s="15">
        <v>1070.0</v>
      </c>
      <c r="I491" s="20"/>
      <c r="J491" s="20">
        <f t="shared" si="1"/>
        <v>171.2</v>
      </c>
      <c r="K491" s="21"/>
      <c r="L491" s="22"/>
    </row>
    <row r="492" ht="22.5" customHeight="1">
      <c r="A492" s="28">
        <v>46018.0</v>
      </c>
      <c r="B492" s="15" t="s">
        <v>665</v>
      </c>
      <c r="C492" s="13" t="s">
        <v>9</v>
      </c>
      <c r="D492" s="13">
        <v>80.0</v>
      </c>
      <c r="E492" s="15">
        <v>250.0</v>
      </c>
      <c r="F492" s="13" t="s">
        <v>21</v>
      </c>
      <c r="G492" s="15" t="s">
        <v>89</v>
      </c>
      <c r="H492" s="15">
        <v>300.0</v>
      </c>
      <c r="I492" s="20"/>
      <c r="J492" s="20">
        <f t="shared" si="1"/>
        <v>75</v>
      </c>
      <c r="K492" s="21"/>
      <c r="L492" s="22"/>
    </row>
    <row r="493" ht="22.5" customHeight="1">
      <c r="A493" s="28">
        <v>46018.0</v>
      </c>
      <c r="B493" s="15" t="s">
        <v>666</v>
      </c>
      <c r="C493" s="13" t="s">
        <v>9</v>
      </c>
      <c r="D493" s="13">
        <v>80.0</v>
      </c>
      <c r="E493" s="15">
        <v>250.0</v>
      </c>
      <c r="F493" s="13" t="s">
        <v>21</v>
      </c>
      <c r="G493" s="15" t="s">
        <v>89</v>
      </c>
      <c r="H493" s="15">
        <v>100.0</v>
      </c>
      <c r="I493" s="20"/>
      <c r="J493" s="20">
        <f t="shared" si="1"/>
        <v>25</v>
      </c>
      <c r="K493" s="21"/>
      <c r="L493" s="22"/>
    </row>
    <row r="494" ht="22.5" customHeight="1">
      <c r="A494" s="28">
        <v>46018.0</v>
      </c>
      <c r="B494" s="15" t="s">
        <v>667</v>
      </c>
      <c r="C494" s="13" t="s">
        <v>9</v>
      </c>
      <c r="D494" s="13">
        <v>80.0</v>
      </c>
      <c r="E494" s="15">
        <v>250.0</v>
      </c>
      <c r="F494" s="13" t="s">
        <v>21</v>
      </c>
      <c r="G494" s="15" t="s">
        <v>89</v>
      </c>
      <c r="H494" s="15">
        <v>490.0</v>
      </c>
      <c r="I494" s="20"/>
      <c r="J494" s="20">
        <f t="shared" si="1"/>
        <v>122.5</v>
      </c>
      <c r="K494" s="21"/>
      <c r="L494" s="22"/>
    </row>
    <row r="495" ht="22.5" customHeight="1">
      <c r="A495" s="28">
        <v>46018.0</v>
      </c>
      <c r="B495" s="15" t="s">
        <v>668</v>
      </c>
      <c r="C495" s="13" t="s">
        <v>9</v>
      </c>
      <c r="D495" s="13">
        <v>80.0</v>
      </c>
      <c r="E495" s="15">
        <v>180.0</v>
      </c>
      <c r="F495" s="13" t="s">
        <v>21</v>
      </c>
      <c r="G495" s="15" t="s">
        <v>89</v>
      </c>
      <c r="H495" s="15">
        <v>0.0</v>
      </c>
      <c r="I495" s="20"/>
      <c r="J495" s="20">
        <f t="shared" si="1"/>
        <v>0</v>
      </c>
      <c r="K495" s="15" t="s">
        <v>137</v>
      </c>
      <c r="L495" s="37"/>
    </row>
    <row r="496" ht="22.5" customHeight="1">
      <c r="A496" s="28">
        <v>46020.0</v>
      </c>
      <c r="B496" s="15" t="s">
        <v>669</v>
      </c>
      <c r="C496" s="13" t="s">
        <v>9</v>
      </c>
      <c r="D496" s="13">
        <v>80.0</v>
      </c>
      <c r="E496" s="15">
        <v>210.0</v>
      </c>
      <c r="F496" s="13" t="s">
        <v>21</v>
      </c>
      <c r="G496" s="15" t="s">
        <v>89</v>
      </c>
      <c r="H496" s="15">
        <v>0.0</v>
      </c>
      <c r="I496" s="20"/>
      <c r="J496" s="20">
        <f t="shared" si="1"/>
        <v>0</v>
      </c>
      <c r="K496" s="15" t="s">
        <v>137</v>
      </c>
      <c r="L496" s="37"/>
    </row>
    <row r="497" ht="22.5" customHeight="1">
      <c r="A497" s="28">
        <v>46020.0</v>
      </c>
      <c r="B497" s="15" t="s">
        <v>670</v>
      </c>
      <c r="C497" s="13" t="s">
        <v>9</v>
      </c>
      <c r="D497" s="13">
        <v>80.0</v>
      </c>
      <c r="E497" s="15">
        <v>150.0</v>
      </c>
      <c r="F497" s="13" t="s">
        <v>21</v>
      </c>
      <c r="G497" s="15" t="s">
        <v>89</v>
      </c>
      <c r="H497" s="15">
        <v>950.0</v>
      </c>
      <c r="I497" s="20"/>
      <c r="J497" s="20">
        <f t="shared" si="1"/>
        <v>142.5</v>
      </c>
      <c r="K497" s="21"/>
      <c r="L497" s="22"/>
    </row>
    <row r="498" ht="22.5" customHeight="1">
      <c r="A498" s="28">
        <v>46020.0</v>
      </c>
      <c r="B498" s="15" t="s">
        <v>671</v>
      </c>
      <c r="C498" s="13" t="s">
        <v>9</v>
      </c>
      <c r="D498" s="13">
        <v>80.0</v>
      </c>
      <c r="E498" s="15">
        <v>250.0</v>
      </c>
      <c r="F498" s="13" t="s">
        <v>21</v>
      </c>
      <c r="G498" s="15" t="s">
        <v>89</v>
      </c>
      <c r="H498" s="15">
        <v>1340.0</v>
      </c>
      <c r="I498" s="20"/>
      <c r="J498" s="20">
        <f t="shared" si="1"/>
        <v>335</v>
      </c>
      <c r="K498" s="21"/>
      <c r="L498" s="22"/>
    </row>
    <row r="499" ht="22.5" customHeight="1">
      <c r="A499" s="28">
        <v>46020.0</v>
      </c>
      <c r="B499" s="15" t="s">
        <v>672</v>
      </c>
      <c r="C499" s="13" t="s">
        <v>43</v>
      </c>
      <c r="D499" s="13">
        <v>50.0</v>
      </c>
      <c r="E499" s="15">
        <v>110.0</v>
      </c>
      <c r="F499" s="13" t="s">
        <v>23</v>
      </c>
      <c r="G499" s="15" t="s">
        <v>166</v>
      </c>
      <c r="H499" s="15">
        <v>0.0</v>
      </c>
      <c r="I499" s="20"/>
      <c r="J499" s="20">
        <f t="shared" si="1"/>
        <v>0</v>
      </c>
      <c r="K499" s="15" t="s">
        <v>137</v>
      </c>
      <c r="L499" s="37"/>
    </row>
    <row r="500" ht="22.5" customHeight="1">
      <c r="A500" s="28">
        <v>46020.0</v>
      </c>
      <c r="B500" s="15" t="s">
        <v>673</v>
      </c>
      <c r="C500" s="13" t="s">
        <v>9</v>
      </c>
      <c r="D500" s="13">
        <v>80.0</v>
      </c>
      <c r="E500" s="15">
        <v>250.0</v>
      </c>
      <c r="F500" s="13" t="s">
        <v>21</v>
      </c>
      <c r="G500" s="15" t="s">
        <v>89</v>
      </c>
      <c r="H500" s="15">
        <v>1150.0</v>
      </c>
      <c r="I500" s="20"/>
      <c r="J500" s="20">
        <f t="shared" si="1"/>
        <v>287.5</v>
      </c>
      <c r="K500" s="21"/>
      <c r="L500" s="22"/>
    </row>
    <row r="501" ht="22.5" customHeight="1">
      <c r="A501" s="28">
        <v>46020.0</v>
      </c>
      <c r="B501" s="15" t="s">
        <v>674</v>
      </c>
      <c r="C501" s="13" t="s">
        <v>9</v>
      </c>
      <c r="D501" s="13">
        <v>80.0</v>
      </c>
      <c r="E501" s="15">
        <v>320.0</v>
      </c>
      <c r="F501" s="13" t="s">
        <v>21</v>
      </c>
      <c r="G501" s="15" t="s">
        <v>89</v>
      </c>
      <c r="H501" s="15">
        <v>470.0</v>
      </c>
      <c r="I501" s="20"/>
      <c r="J501" s="20">
        <f t="shared" si="1"/>
        <v>150.4</v>
      </c>
      <c r="K501" s="21"/>
      <c r="L501" s="22"/>
    </row>
    <row r="502" ht="22.5" customHeight="1">
      <c r="A502" s="28">
        <v>46021.0</v>
      </c>
      <c r="B502" s="15" t="s">
        <v>675</v>
      </c>
      <c r="C502" s="13" t="s">
        <v>9</v>
      </c>
      <c r="D502" s="13">
        <v>80.0</v>
      </c>
      <c r="E502" s="15">
        <v>320.0</v>
      </c>
      <c r="F502" s="13" t="s">
        <v>21</v>
      </c>
      <c r="G502" s="15" t="s">
        <v>89</v>
      </c>
      <c r="H502" s="15">
        <v>550.0</v>
      </c>
      <c r="I502" s="20"/>
      <c r="J502" s="20">
        <f t="shared" si="1"/>
        <v>176</v>
      </c>
      <c r="K502" s="21"/>
      <c r="L502" s="22"/>
    </row>
    <row r="503" ht="22.5" customHeight="1">
      <c r="A503" s="28">
        <v>46021.0</v>
      </c>
      <c r="B503" s="15" t="s">
        <v>676</v>
      </c>
      <c r="C503" s="13" t="s">
        <v>9</v>
      </c>
      <c r="D503" s="13">
        <v>80.0</v>
      </c>
      <c r="E503" s="15">
        <v>250.0</v>
      </c>
      <c r="F503" s="13" t="s">
        <v>21</v>
      </c>
      <c r="G503" s="15" t="s">
        <v>498</v>
      </c>
      <c r="H503" s="15">
        <v>590.0</v>
      </c>
      <c r="I503" s="20"/>
      <c r="J503" s="20">
        <f t="shared" si="1"/>
        <v>147.5</v>
      </c>
      <c r="K503" s="21"/>
      <c r="L503" s="22"/>
    </row>
    <row r="504" ht="22.5" customHeight="1">
      <c r="A504" s="28">
        <v>46021.0</v>
      </c>
      <c r="B504" s="15" t="s">
        <v>678</v>
      </c>
      <c r="C504" s="13" t="s">
        <v>9</v>
      </c>
      <c r="D504" s="13">
        <v>80.0</v>
      </c>
      <c r="E504" s="15">
        <v>150.0</v>
      </c>
      <c r="F504" s="13" t="s">
        <v>21</v>
      </c>
      <c r="G504" s="15" t="s">
        <v>89</v>
      </c>
      <c r="H504" s="15">
        <v>440.0</v>
      </c>
      <c r="I504" s="20"/>
      <c r="J504" s="20">
        <f t="shared" si="1"/>
        <v>66</v>
      </c>
      <c r="K504" s="21"/>
      <c r="L504" s="22"/>
    </row>
    <row r="505" ht="22.5" customHeight="1">
      <c r="A505" s="28">
        <v>46022.0</v>
      </c>
      <c r="B505" s="15" t="s">
        <v>679</v>
      </c>
      <c r="C505" s="13" t="s">
        <v>9</v>
      </c>
      <c r="D505" s="13">
        <v>80.0</v>
      </c>
      <c r="E505" s="15">
        <v>330.0</v>
      </c>
      <c r="F505" s="13" t="s">
        <v>21</v>
      </c>
      <c r="G505" s="15" t="s">
        <v>89</v>
      </c>
      <c r="H505" s="15">
        <v>1420.0</v>
      </c>
      <c r="I505" s="20"/>
      <c r="J505" s="20">
        <f t="shared" si="1"/>
        <v>468.6</v>
      </c>
      <c r="K505" s="21"/>
      <c r="L505" s="22"/>
    </row>
    <row r="506" ht="22.5" customHeight="1">
      <c r="A506" s="28">
        <v>46022.0</v>
      </c>
      <c r="B506" s="15" t="s">
        <v>680</v>
      </c>
      <c r="C506" s="13" t="s">
        <v>9</v>
      </c>
      <c r="D506" s="13">
        <v>80.0</v>
      </c>
      <c r="E506" s="15">
        <v>330.0</v>
      </c>
      <c r="F506" s="13" t="s">
        <v>21</v>
      </c>
      <c r="G506" s="15" t="s">
        <v>89</v>
      </c>
      <c r="H506" s="15">
        <v>1250.0</v>
      </c>
      <c r="I506" s="20"/>
      <c r="J506" s="20">
        <f t="shared" si="1"/>
        <v>412.5</v>
      </c>
      <c r="K506" s="21"/>
      <c r="L506" s="22"/>
    </row>
    <row r="507" ht="22.5" customHeight="1">
      <c r="A507" s="28">
        <v>46022.0</v>
      </c>
      <c r="B507" s="15" t="s">
        <v>681</v>
      </c>
      <c r="C507" s="13" t="s">
        <v>9</v>
      </c>
      <c r="D507" s="13">
        <v>80.0</v>
      </c>
      <c r="E507" s="15">
        <v>160.0</v>
      </c>
      <c r="F507" s="13" t="s">
        <v>33</v>
      </c>
      <c r="G507" s="15" t="s">
        <v>170</v>
      </c>
      <c r="H507" s="15">
        <v>1490.0</v>
      </c>
      <c r="I507" s="20"/>
      <c r="J507" s="20">
        <f t="shared" si="1"/>
        <v>238.4</v>
      </c>
      <c r="K507" s="21"/>
      <c r="L507" s="22"/>
    </row>
    <row r="508" ht="22.5" customHeight="1">
      <c r="A508" s="28">
        <v>46022.0</v>
      </c>
      <c r="B508" s="15" t="s">
        <v>682</v>
      </c>
      <c r="C508" s="13" t="s">
        <v>9</v>
      </c>
      <c r="D508" s="13">
        <v>80.0</v>
      </c>
      <c r="E508" s="15">
        <v>160.0</v>
      </c>
      <c r="F508" s="13" t="s">
        <v>33</v>
      </c>
      <c r="G508" s="15" t="s">
        <v>170</v>
      </c>
      <c r="H508" s="15">
        <v>980.0</v>
      </c>
      <c r="I508" s="20"/>
      <c r="J508" s="20">
        <f t="shared" si="1"/>
        <v>156.8</v>
      </c>
      <c r="K508" s="21"/>
      <c r="L508" s="22"/>
    </row>
    <row r="509" ht="22.5" customHeight="1">
      <c r="A509" s="28">
        <v>46022.0</v>
      </c>
      <c r="B509" s="15" t="s">
        <v>683</v>
      </c>
      <c r="C509" s="13" t="s">
        <v>9</v>
      </c>
      <c r="D509" s="13">
        <v>80.0</v>
      </c>
      <c r="E509" s="15">
        <v>210.0</v>
      </c>
      <c r="F509" s="13" t="s">
        <v>21</v>
      </c>
      <c r="G509" s="15" t="s">
        <v>89</v>
      </c>
      <c r="H509" s="15">
        <v>1049.0</v>
      </c>
      <c r="I509" s="20"/>
      <c r="J509" s="20">
        <f t="shared" si="1"/>
        <v>220.29</v>
      </c>
      <c r="K509" s="21"/>
      <c r="L509" s="22"/>
    </row>
    <row r="510" ht="22.5" customHeight="1">
      <c r="A510" s="28">
        <v>46022.0</v>
      </c>
      <c r="B510" s="15" t="s">
        <v>684</v>
      </c>
      <c r="C510" s="13" t="s">
        <v>9</v>
      </c>
      <c r="D510" s="13">
        <v>80.0</v>
      </c>
      <c r="E510" s="15">
        <v>280.0</v>
      </c>
      <c r="F510" s="13" t="s">
        <v>21</v>
      </c>
      <c r="G510" s="15" t="s">
        <v>89</v>
      </c>
      <c r="H510" s="15">
        <v>1100.0</v>
      </c>
      <c r="I510" s="20"/>
      <c r="J510" s="20">
        <f t="shared" si="1"/>
        <v>308</v>
      </c>
      <c r="K510" s="21"/>
      <c r="L510" s="22"/>
    </row>
    <row r="511" ht="22.5" customHeight="1">
      <c r="A511" s="28">
        <v>46022.0</v>
      </c>
      <c r="B511" s="15" t="s">
        <v>685</v>
      </c>
      <c r="C511" s="13" t="s">
        <v>9</v>
      </c>
      <c r="D511" s="13">
        <v>80.0</v>
      </c>
      <c r="E511" s="15">
        <v>290.0</v>
      </c>
      <c r="F511" s="13" t="s">
        <v>21</v>
      </c>
      <c r="G511" s="15" t="s">
        <v>89</v>
      </c>
      <c r="H511" s="15">
        <v>1220.0</v>
      </c>
      <c r="I511" s="20"/>
      <c r="J511" s="20">
        <f t="shared" si="1"/>
        <v>353.8</v>
      </c>
      <c r="K511" s="21"/>
      <c r="L511" s="22"/>
    </row>
    <row r="512" ht="22.5" customHeight="1">
      <c r="A512" s="28">
        <v>46024.0</v>
      </c>
      <c r="B512" s="15" t="s">
        <v>686</v>
      </c>
      <c r="C512" s="13" t="s">
        <v>9</v>
      </c>
      <c r="D512" s="13">
        <v>80.0</v>
      </c>
      <c r="E512" s="15">
        <v>250.0</v>
      </c>
      <c r="F512" s="13" t="s">
        <v>21</v>
      </c>
      <c r="G512" s="15" t="s">
        <v>89</v>
      </c>
      <c r="H512" s="15">
        <v>1230.0</v>
      </c>
      <c r="I512" s="20"/>
      <c r="J512" s="20">
        <f t="shared" si="1"/>
        <v>307.5</v>
      </c>
      <c r="K512" s="21"/>
      <c r="L512" s="22"/>
    </row>
    <row r="513" ht="22.5" customHeight="1">
      <c r="A513" s="28">
        <v>46024.0</v>
      </c>
      <c r="B513" s="15" t="s">
        <v>687</v>
      </c>
      <c r="C513" s="13" t="s">
        <v>9</v>
      </c>
      <c r="D513" s="13">
        <v>80.0</v>
      </c>
      <c r="E513" s="15">
        <v>125.0</v>
      </c>
      <c r="F513" s="13" t="s">
        <v>21</v>
      </c>
      <c r="G513" s="15" t="s">
        <v>89</v>
      </c>
      <c r="H513" s="15">
        <v>1210.0</v>
      </c>
      <c r="I513" s="20"/>
      <c r="J513" s="20">
        <f t="shared" si="1"/>
        <v>151.25</v>
      </c>
      <c r="K513" s="21"/>
      <c r="L513" s="22"/>
    </row>
    <row r="514" ht="22.5" customHeight="1">
      <c r="A514" s="28">
        <v>46024.0</v>
      </c>
      <c r="B514" s="15" t="s">
        <v>688</v>
      </c>
      <c r="C514" s="13" t="s">
        <v>9</v>
      </c>
      <c r="D514" s="13">
        <v>80.0</v>
      </c>
      <c r="E514" s="15">
        <v>210.0</v>
      </c>
      <c r="F514" s="13" t="s">
        <v>21</v>
      </c>
      <c r="G514" s="15" t="s">
        <v>89</v>
      </c>
      <c r="H514" s="15">
        <v>420.0</v>
      </c>
      <c r="I514" s="20"/>
      <c r="J514" s="20">
        <f t="shared" si="1"/>
        <v>88.2</v>
      </c>
      <c r="K514" s="21"/>
      <c r="L514" s="22"/>
    </row>
    <row r="515" ht="22.5" customHeight="1">
      <c r="A515" s="28">
        <v>46024.0</v>
      </c>
      <c r="B515" s="15" t="s">
        <v>689</v>
      </c>
      <c r="C515" s="13" t="s">
        <v>9</v>
      </c>
      <c r="D515" s="13">
        <v>80.0</v>
      </c>
      <c r="E515" s="15">
        <v>290.0</v>
      </c>
      <c r="F515" s="13" t="s">
        <v>21</v>
      </c>
      <c r="G515" s="15" t="s">
        <v>89</v>
      </c>
      <c r="H515" s="15">
        <v>280.0</v>
      </c>
      <c r="I515" s="20"/>
      <c r="J515" s="20">
        <f t="shared" si="1"/>
        <v>81.2</v>
      </c>
      <c r="K515" s="21"/>
      <c r="L515" s="22"/>
    </row>
    <row r="516" ht="22.5" customHeight="1">
      <c r="A516" s="28">
        <v>46025.0</v>
      </c>
      <c r="B516" s="15" t="s">
        <v>690</v>
      </c>
      <c r="C516" s="13" t="s">
        <v>9</v>
      </c>
      <c r="D516" s="13">
        <v>80.0</v>
      </c>
      <c r="E516" s="15">
        <v>395.0</v>
      </c>
      <c r="F516" s="13" t="s">
        <v>21</v>
      </c>
      <c r="G516" s="15" t="s">
        <v>89</v>
      </c>
      <c r="H516" s="15">
        <v>1320.0</v>
      </c>
      <c r="I516" s="20"/>
      <c r="J516" s="20">
        <f t="shared" si="1"/>
        <v>521.4</v>
      </c>
      <c r="K516" s="21"/>
      <c r="L516" s="22"/>
    </row>
    <row r="517" ht="22.5" customHeight="1">
      <c r="A517" s="28">
        <v>46025.0</v>
      </c>
      <c r="B517" s="15" t="s">
        <v>691</v>
      </c>
      <c r="C517" s="13" t="s">
        <v>9</v>
      </c>
      <c r="D517" s="13">
        <v>80.0</v>
      </c>
      <c r="E517" s="15">
        <v>150.0</v>
      </c>
      <c r="F517" s="13" t="s">
        <v>21</v>
      </c>
      <c r="G517" s="15" t="s">
        <v>89</v>
      </c>
      <c r="H517" s="15">
        <v>1170.0</v>
      </c>
      <c r="I517" s="20"/>
      <c r="J517" s="20">
        <f t="shared" si="1"/>
        <v>175.5</v>
      </c>
      <c r="K517" s="21"/>
      <c r="L517" s="22"/>
    </row>
    <row r="518" ht="22.5" customHeight="1">
      <c r="A518" s="28">
        <v>46025.0</v>
      </c>
      <c r="B518" s="15" t="s">
        <v>692</v>
      </c>
      <c r="C518" s="13" t="s">
        <v>9</v>
      </c>
      <c r="D518" s="13">
        <v>80.0</v>
      </c>
      <c r="E518" s="15">
        <v>290.0</v>
      </c>
      <c r="F518" s="13" t="s">
        <v>21</v>
      </c>
      <c r="G518" s="15" t="s">
        <v>89</v>
      </c>
      <c r="H518" s="15">
        <v>700.0</v>
      </c>
      <c r="I518" s="20"/>
      <c r="J518" s="20">
        <f t="shared" si="1"/>
        <v>203</v>
      </c>
      <c r="K518" s="21"/>
      <c r="L518" s="22"/>
    </row>
    <row r="519" ht="22.5" customHeight="1">
      <c r="A519" s="28">
        <v>46025.0</v>
      </c>
      <c r="B519" s="15" t="s">
        <v>693</v>
      </c>
      <c r="C519" s="13" t="s">
        <v>9</v>
      </c>
      <c r="D519" s="13">
        <v>80.0</v>
      </c>
      <c r="E519" s="15">
        <v>125.0</v>
      </c>
      <c r="F519" s="13" t="s">
        <v>21</v>
      </c>
      <c r="G519" s="15" t="s">
        <v>89</v>
      </c>
      <c r="H519" s="15">
        <v>530.0</v>
      </c>
      <c r="I519" s="20"/>
      <c r="J519" s="20">
        <f t="shared" si="1"/>
        <v>66.25</v>
      </c>
      <c r="K519" s="21"/>
      <c r="L519" s="22"/>
    </row>
    <row r="520" ht="22.5" customHeight="1">
      <c r="A520" s="28">
        <v>46025.0</v>
      </c>
      <c r="B520" s="15" t="s">
        <v>694</v>
      </c>
      <c r="C520" s="13" t="s">
        <v>9</v>
      </c>
      <c r="D520" s="13">
        <v>80.0</v>
      </c>
      <c r="E520" s="15">
        <v>125.0</v>
      </c>
      <c r="F520" s="13" t="s">
        <v>21</v>
      </c>
      <c r="G520" s="15" t="s">
        <v>89</v>
      </c>
      <c r="H520" s="15">
        <v>1760.0</v>
      </c>
      <c r="I520" s="20"/>
      <c r="J520" s="20">
        <f t="shared" si="1"/>
        <v>220</v>
      </c>
      <c r="K520" s="21"/>
      <c r="L520" s="22"/>
    </row>
    <row r="521" ht="22.5" customHeight="1">
      <c r="A521" s="28">
        <v>46025.0</v>
      </c>
      <c r="B521" s="15" t="s">
        <v>695</v>
      </c>
      <c r="C521" s="13" t="s">
        <v>9</v>
      </c>
      <c r="D521" s="13">
        <v>80.0</v>
      </c>
      <c r="E521" s="15">
        <v>125.0</v>
      </c>
      <c r="F521" s="13" t="s">
        <v>21</v>
      </c>
      <c r="G521" s="15" t="s">
        <v>89</v>
      </c>
      <c r="H521" s="15">
        <v>1080.0</v>
      </c>
      <c r="I521" s="20"/>
      <c r="J521" s="20">
        <f t="shared" si="1"/>
        <v>135</v>
      </c>
      <c r="K521" s="21"/>
      <c r="L521" s="22"/>
    </row>
    <row r="522" ht="22.5" customHeight="1">
      <c r="A522" s="28">
        <v>46027.0</v>
      </c>
      <c r="B522" s="15" t="s">
        <v>696</v>
      </c>
      <c r="C522" s="13" t="s">
        <v>9</v>
      </c>
      <c r="D522" s="13">
        <v>80.0</v>
      </c>
      <c r="E522" s="15">
        <v>210.0</v>
      </c>
      <c r="F522" s="13" t="s">
        <v>21</v>
      </c>
      <c r="G522" s="15" t="s">
        <v>89</v>
      </c>
      <c r="H522" s="15">
        <v>460.0</v>
      </c>
      <c r="I522" s="20"/>
      <c r="J522" s="20">
        <f t="shared" si="1"/>
        <v>96.6</v>
      </c>
      <c r="K522" s="21"/>
      <c r="L522" s="22"/>
    </row>
    <row r="523" ht="22.5" customHeight="1">
      <c r="A523" s="28">
        <v>46027.0</v>
      </c>
      <c r="B523" s="15" t="s">
        <v>697</v>
      </c>
      <c r="C523" s="13" t="s">
        <v>9</v>
      </c>
      <c r="D523" s="13">
        <v>80.0</v>
      </c>
      <c r="E523" s="15">
        <v>290.0</v>
      </c>
      <c r="F523" s="13" t="s">
        <v>21</v>
      </c>
      <c r="G523" s="15" t="s">
        <v>89</v>
      </c>
      <c r="H523" s="15">
        <v>320.0</v>
      </c>
      <c r="I523" s="20"/>
      <c r="J523" s="20">
        <f t="shared" si="1"/>
        <v>92.8</v>
      </c>
      <c r="K523" s="21"/>
      <c r="L523" s="22"/>
    </row>
    <row r="524" ht="22.5" customHeight="1">
      <c r="A524" s="28">
        <v>46027.0</v>
      </c>
      <c r="B524" s="15" t="s">
        <v>698</v>
      </c>
      <c r="C524" s="13" t="s">
        <v>9</v>
      </c>
      <c r="D524" s="13">
        <v>80.0</v>
      </c>
      <c r="E524" s="15">
        <v>290.0</v>
      </c>
      <c r="F524" s="13" t="s">
        <v>21</v>
      </c>
      <c r="G524" s="15" t="s">
        <v>89</v>
      </c>
      <c r="H524" s="15">
        <v>0.0</v>
      </c>
      <c r="I524" s="20"/>
      <c r="J524" s="20">
        <f t="shared" si="1"/>
        <v>0</v>
      </c>
      <c r="K524" s="21"/>
      <c r="L524" s="22"/>
    </row>
    <row r="525" ht="22.5" customHeight="1">
      <c r="A525" s="28">
        <v>46027.0</v>
      </c>
      <c r="B525" s="15" t="s">
        <v>699</v>
      </c>
      <c r="C525" s="13" t="s">
        <v>9</v>
      </c>
      <c r="D525" s="13">
        <v>80.0</v>
      </c>
      <c r="E525" s="15">
        <v>250.0</v>
      </c>
      <c r="F525" s="13" t="s">
        <v>21</v>
      </c>
      <c r="G525" s="15" t="s">
        <v>89</v>
      </c>
      <c r="H525" s="15">
        <v>1390.0</v>
      </c>
      <c r="I525" s="20"/>
      <c r="J525" s="20">
        <f t="shared" si="1"/>
        <v>347.5</v>
      </c>
      <c r="K525" s="21"/>
      <c r="L525" s="22"/>
    </row>
    <row r="526" ht="22.5" customHeight="1">
      <c r="A526" s="28">
        <v>46027.0</v>
      </c>
      <c r="B526" s="15" t="s">
        <v>700</v>
      </c>
      <c r="C526" s="13" t="s">
        <v>9</v>
      </c>
      <c r="D526" s="13">
        <v>80.0</v>
      </c>
      <c r="E526" s="15">
        <v>280.0</v>
      </c>
      <c r="F526" s="13" t="s">
        <v>21</v>
      </c>
      <c r="G526" s="15" t="s">
        <v>89</v>
      </c>
      <c r="H526" s="15">
        <v>160.0</v>
      </c>
      <c r="I526" s="20"/>
      <c r="J526" s="20">
        <f t="shared" si="1"/>
        <v>44.8</v>
      </c>
      <c r="K526" s="21"/>
      <c r="L526" s="22"/>
    </row>
    <row r="527" ht="22.5" customHeight="1">
      <c r="A527" s="28">
        <v>46028.0</v>
      </c>
      <c r="B527" s="15" t="s">
        <v>701</v>
      </c>
      <c r="C527" s="13" t="s">
        <v>9</v>
      </c>
      <c r="D527" s="13">
        <v>80.0</v>
      </c>
      <c r="E527" s="15">
        <v>250.0</v>
      </c>
      <c r="F527" s="13" t="s">
        <v>21</v>
      </c>
      <c r="G527" s="15" t="s">
        <v>89</v>
      </c>
      <c r="H527" s="15">
        <v>520.0</v>
      </c>
      <c r="I527" s="20"/>
      <c r="J527" s="20">
        <f t="shared" si="1"/>
        <v>130</v>
      </c>
      <c r="K527" s="21"/>
      <c r="L527" s="22"/>
    </row>
    <row r="528" ht="22.5" customHeight="1">
      <c r="A528" s="28">
        <v>46028.0</v>
      </c>
      <c r="B528" s="15" t="s">
        <v>702</v>
      </c>
      <c r="C528" s="13" t="s">
        <v>9</v>
      </c>
      <c r="D528" s="13">
        <v>80.0</v>
      </c>
      <c r="E528" s="15">
        <v>290.0</v>
      </c>
      <c r="F528" s="13" t="s">
        <v>21</v>
      </c>
      <c r="G528" s="15" t="s">
        <v>89</v>
      </c>
      <c r="H528" s="15">
        <v>0.0</v>
      </c>
      <c r="I528" s="20"/>
      <c r="J528" s="20">
        <f t="shared" si="1"/>
        <v>0</v>
      </c>
      <c r="K528" s="15" t="s">
        <v>137</v>
      </c>
      <c r="L528" s="22"/>
    </row>
    <row r="529" ht="22.5" customHeight="1">
      <c r="A529" s="28">
        <v>46028.0</v>
      </c>
      <c r="B529" s="15" t="s">
        <v>703</v>
      </c>
      <c r="C529" s="13" t="s">
        <v>9</v>
      </c>
      <c r="D529" s="13">
        <v>80.0</v>
      </c>
      <c r="E529" s="15">
        <v>140.0</v>
      </c>
      <c r="F529" s="13" t="s">
        <v>27</v>
      </c>
      <c r="G529" s="15" t="s">
        <v>99</v>
      </c>
      <c r="H529" s="15">
        <v>1630.0</v>
      </c>
      <c r="I529" s="20"/>
      <c r="J529" s="20">
        <f t="shared" si="1"/>
        <v>228.2</v>
      </c>
      <c r="K529" s="21"/>
      <c r="L529" s="22"/>
    </row>
    <row r="530" ht="22.5" customHeight="1">
      <c r="A530" s="28">
        <v>46028.0</v>
      </c>
      <c r="B530" s="15" t="s">
        <v>704</v>
      </c>
      <c r="C530" s="13" t="s">
        <v>9</v>
      </c>
      <c r="D530" s="13">
        <v>80.0</v>
      </c>
      <c r="E530" s="15">
        <v>195.0</v>
      </c>
      <c r="F530" s="13" t="s">
        <v>27</v>
      </c>
      <c r="G530" s="15" t="s">
        <v>99</v>
      </c>
      <c r="H530" s="15">
        <v>600.0</v>
      </c>
      <c r="I530" s="20"/>
      <c r="J530" s="20">
        <f t="shared" si="1"/>
        <v>117</v>
      </c>
      <c r="K530" s="21"/>
      <c r="L530" s="22"/>
    </row>
    <row r="531" ht="22.5" customHeight="1">
      <c r="A531" s="28">
        <v>46028.0</v>
      </c>
      <c r="B531" s="15" t="s">
        <v>705</v>
      </c>
      <c r="C531" s="13" t="s">
        <v>9</v>
      </c>
      <c r="D531" s="13">
        <v>80.0</v>
      </c>
      <c r="E531" s="15">
        <v>200.0</v>
      </c>
      <c r="F531" s="13" t="s">
        <v>27</v>
      </c>
      <c r="G531" s="15" t="s">
        <v>99</v>
      </c>
      <c r="H531" s="15">
        <v>750.0</v>
      </c>
      <c r="I531" s="20"/>
      <c r="J531" s="20">
        <f t="shared" si="1"/>
        <v>150</v>
      </c>
      <c r="K531" s="21"/>
      <c r="L531" s="22"/>
    </row>
    <row r="532" ht="22.5" customHeight="1">
      <c r="A532" s="28">
        <v>46028.0</v>
      </c>
      <c r="B532" s="15" t="s">
        <v>706</v>
      </c>
      <c r="C532" s="13" t="s">
        <v>9</v>
      </c>
      <c r="D532" s="13">
        <v>80.0</v>
      </c>
      <c r="E532" s="15">
        <v>140.0</v>
      </c>
      <c r="F532" s="13" t="s">
        <v>27</v>
      </c>
      <c r="G532" s="15" t="s">
        <v>99</v>
      </c>
      <c r="H532" s="15">
        <v>550.0</v>
      </c>
      <c r="I532" s="20"/>
      <c r="J532" s="20">
        <f t="shared" si="1"/>
        <v>77</v>
      </c>
      <c r="K532" s="21"/>
      <c r="L532" s="22"/>
    </row>
    <row r="533" ht="22.5" customHeight="1">
      <c r="A533" s="28">
        <v>46028.0</v>
      </c>
      <c r="B533" s="15" t="s">
        <v>707</v>
      </c>
      <c r="C533" s="13" t="s">
        <v>9</v>
      </c>
      <c r="D533" s="13">
        <v>80.0</v>
      </c>
      <c r="E533" s="15">
        <v>185.0</v>
      </c>
      <c r="F533" s="13" t="s">
        <v>27</v>
      </c>
      <c r="G533" s="15" t="s">
        <v>99</v>
      </c>
      <c r="H533" s="15">
        <v>1100.0</v>
      </c>
      <c r="I533" s="20"/>
      <c r="J533" s="20">
        <f t="shared" si="1"/>
        <v>203.5</v>
      </c>
      <c r="K533" s="21"/>
      <c r="L533" s="22"/>
    </row>
    <row r="534" ht="22.5" customHeight="1">
      <c r="A534" s="28">
        <v>46028.0</v>
      </c>
      <c r="B534" s="15" t="s">
        <v>708</v>
      </c>
      <c r="C534" s="13" t="s">
        <v>9</v>
      </c>
      <c r="D534" s="13">
        <v>80.0</v>
      </c>
      <c r="E534" s="15">
        <v>200.0</v>
      </c>
      <c r="F534" s="13" t="s">
        <v>27</v>
      </c>
      <c r="G534" s="15" t="s">
        <v>99</v>
      </c>
      <c r="H534" s="15">
        <v>380.0</v>
      </c>
      <c r="I534" s="20"/>
      <c r="J534" s="20">
        <f t="shared" si="1"/>
        <v>76</v>
      </c>
      <c r="K534" s="21"/>
      <c r="L534" s="22"/>
    </row>
    <row r="535" ht="22.5" customHeight="1">
      <c r="A535" s="28">
        <v>46028.0</v>
      </c>
      <c r="B535" s="15" t="s">
        <v>709</v>
      </c>
      <c r="C535" s="13" t="s">
        <v>9</v>
      </c>
      <c r="D535" s="13">
        <v>80.0</v>
      </c>
      <c r="E535" s="15">
        <v>185.0</v>
      </c>
      <c r="F535" s="13" t="s">
        <v>27</v>
      </c>
      <c r="G535" s="15" t="s">
        <v>99</v>
      </c>
      <c r="H535" s="15">
        <v>570.0</v>
      </c>
      <c r="I535" s="20"/>
      <c r="J535" s="20">
        <f t="shared" si="1"/>
        <v>105.45</v>
      </c>
      <c r="K535" s="21"/>
      <c r="L535" s="22"/>
    </row>
    <row r="536" ht="22.5" customHeight="1">
      <c r="A536" s="28">
        <v>46029.0</v>
      </c>
      <c r="B536" s="15" t="s">
        <v>710</v>
      </c>
      <c r="C536" s="13" t="s">
        <v>9</v>
      </c>
      <c r="D536" s="13">
        <v>80.0</v>
      </c>
      <c r="E536" s="15">
        <v>140.0</v>
      </c>
      <c r="F536" s="13" t="s">
        <v>27</v>
      </c>
      <c r="G536" s="15" t="s">
        <v>99</v>
      </c>
      <c r="H536" s="15">
        <v>220.0</v>
      </c>
      <c r="I536" s="20"/>
      <c r="J536" s="20">
        <f t="shared" si="1"/>
        <v>30.8</v>
      </c>
      <c r="K536" s="21"/>
      <c r="L536" s="22"/>
    </row>
    <row r="537" ht="22.5" customHeight="1">
      <c r="A537" s="28">
        <v>46029.0</v>
      </c>
      <c r="B537" s="15" t="s">
        <v>711</v>
      </c>
      <c r="C537" s="13" t="s">
        <v>9</v>
      </c>
      <c r="D537" s="13">
        <v>80.0</v>
      </c>
      <c r="E537" s="15">
        <v>160.0</v>
      </c>
      <c r="F537" s="13" t="s">
        <v>27</v>
      </c>
      <c r="G537" s="15" t="s">
        <v>99</v>
      </c>
      <c r="H537" s="15">
        <v>550.0</v>
      </c>
      <c r="I537" s="20"/>
      <c r="J537" s="20">
        <f t="shared" si="1"/>
        <v>88</v>
      </c>
      <c r="K537" s="21"/>
      <c r="L537" s="22"/>
    </row>
    <row r="538" ht="22.5" customHeight="1">
      <c r="A538" s="28">
        <v>46029.0</v>
      </c>
      <c r="B538" s="15" t="s">
        <v>712</v>
      </c>
      <c r="C538" s="13" t="s">
        <v>9</v>
      </c>
      <c r="D538" s="13">
        <v>80.0</v>
      </c>
      <c r="E538" s="15">
        <v>160.0</v>
      </c>
      <c r="F538" s="13" t="s">
        <v>27</v>
      </c>
      <c r="G538" s="15" t="s">
        <v>99</v>
      </c>
      <c r="H538" s="15">
        <v>510.0</v>
      </c>
      <c r="I538" s="20"/>
      <c r="J538" s="20">
        <f t="shared" si="1"/>
        <v>81.6</v>
      </c>
      <c r="K538" s="21"/>
      <c r="L538" s="22"/>
    </row>
    <row r="539" ht="22.5" customHeight="1">
      <c r="A539" s="28">
        <v>46029.0</v>
      </c>
      <c r="B539" s="15" t="s">
        <v>713</v>
      </c>
      <c r="C539" s="13" t="s">
        <v>9</v>
      </c>
      <c r="D539" s="13">
        <v>80.0</v>
      </c>
      <c r="E539" s="15">
        <v>330.0</v>
      </c>
      <c r="F539" s="13" t="s">
        <v>21</v>
      </c>
      <c r="G539" s="15" t="s">
        <v>498</v>
      </c>
      <c r="H539" s="15">
        <v>650.0</v>
      </c>
      <c r="I539" s="20"/>
      <c r="J539" s="20">
        <f t="shared" si="1"/>
        <v>214.5</v>
      </c>
      <c r="K539" s="21"/>
      <c r="L539" s="22"/>
    </row>
    <row r="540" ht="22.5" customHeight="1">
      <c r="A540" s="28">
        <v>46029.0</v>
      </c>
      <c r="B540" s="15" t="s">
        <v>714</v>
      </c>
      <c r="C540" s="13" t="s">
        <v>9</v>
      </c>
      <c r="D540" s="13">
        <v>80.0</v>
      </c>
      <c r="E540" s="15">
        <v>330.0</v>
      </c>
      <c r="F540" s="13" t="s">
        <v>21</v>
      </c>
      <c r="G540" s="15" t="s">
        <v>498</v>
      </c>
      <c r="H540" s="15">
        <v>500.0</v>
      </c>
      <c r="I540" s="20"/>
      <c r="J540" s="20">
        <f t="shared" si="1"/>
        <v>165</v>
      </c>
      <c r="K540" s="21"/>
      <c r="L540" s="22"/>
    </row>
    <row r="541" ht="22.5" customHeight="1">
      <c r="A541" s="28">
        <v>46029.0</v>
      </c>
      <c r="B541" s="15" t="s">
        <v>715</v>
      </c>
      <c r="C541" s="13" t="s">
        <v>9</v>
      </c>
      <c r="D541" s="13">
        <v>80.0</v>
      </c>
      <c r="E541" s="15">
        <v>330.0</v>
      </c>
      <c r="F541" s="13" t="s">
        <v>21</v>
      </c>
      <c r="G541" s="15" t="s">
        <v>498</v>
      </c>
      <c r="H541" s="15">
        <v>270.0</v>
      </c>
      <c r="I541" s="20"/>
      <c r="J541" s="20">
        <f t="shared" si="1"/>
        <v>89.1</v>
      </c>
      <c r="K541" s="21"/>
      <c r="L541" s="22"/>
    </row>
    <row r="542" ht="22.5" customHeight="1">
      <c r="A542" s="28">
        <v>46029.0</v>
      </c>
      <c r="B542" s="15" t="s">
        <v>716</v>
      </c>
      <c r="C542" s="13" t="s">
        <v>9</v>
      </c>
      <c r="D542" s="13">
        <v>80.0</v>
      </c>
      <c r="E542" s="15">
        <v>330.0</v>
      </c>
      <c r="F542" s="13" t="s">
        <v>21</v>
      </c>
      <c r="G542" s="15" t="s">
        <v>498</v>
      </c>
      <c r="H542" s="15">
        <v>550.0</v>
      </c>
      <c r="I542" s="20"/>
      <c r="J542" s="20">
        <f t="shared" si="1"/>
        <v>181.5</v>
      </c>
      <c r="K542" s="21"/>
      <c r="L542" s="22"/>
    </row>
    <row r="543" ht="22.5" customHeight="1">
      <c r="A543" s="28">
        <v>46029.0</v>
      </c>
      <c r="B543" s="15" t="s">
        <v>717</v>
      </c>
      <c r="C543" s="13" t="s">
        <v>9</v>
      </c>
      <c r="D543" s="13">
        <v>80.0</v>
      </c>
      <c r="E543" s="15">
        <v>140.0</v>
      </c>
      <c r="F543" s="13" t="s">
        <v>27</v>
      </c>
      <c r="G543" s="15" t="s">
        <v>99</v>
      </c>
      <c r="H543" s="15">
        <v>1320.0</v>
      </c>
      <c r="I543" s="20"/>
      <c r="J543" s="20">
        <f t="shared" si="1"/>
        <v>184.8</v>
      </c>
      <c r="K543" s="21"/>
      <c r="L543" s="22"/>
    </row>
    <row r="544" ht="22.5" customHeight="1">
      <c r="A544" s="28">
        <v>46030.0</v>
      </c>
      <c r="B544" s="15" t="s">
        <v>718</v>
      </c>
      <c r="C544" s="13" t="s">
        <v>9</v>
      </c>
      <c r="D544" s="13">
        <v>80.0</v>
      </c>
      <c r="E544" s="15">
        <v>290.0</v>
      </c>
      <c r="F544" s="13" t="s">
        <v>21</v>
      </c>
      <c r="G544" s="15" t="s">
        <v>89</v>
      </c>
      <c r="H544" s="15">
        <v>1320.0</v>
      </c>
      <c r="I544" s="20"/>
      <c r="J544" s="20">
        <f t="shared" si="1"/>
        <v>382.8</v>
      </c>
      <c r="K544" s="21"/>
      <c r="L544" s="22"/>
    </row>
    <row r="545" ht="22.5" customHeight="1">
      <c r="A545" s="28">
        <v>46030.0</v>
      </c>
      <c r="B545" s="15" t="s">
        <v>719</v>
      </c>
      <c r="C545" s="13" t="s">
        <v>9</v>
      </c>
      <c r="D545" s="13">
        <v>80.0</v>
      </c>
      <c r="E545" s="15">
        <v>290.0</v>
      </c>
      <c r="F545" s="13" t="s">
        <v>21</v>
      </c>
      <c r="G545" s="15" t="s">
        <v>89</v>
      </c>
      <c r="H545" s="15">
        <v>1460.0</v>
      </c>
      <c r="I545" s="20"/>
      <c r="J545" s="20">
        <f t="shared" si="1"/>
        <v>423.4</v>
      </c>
      <c r="K545" s="21"/>
      <c r="L545" s="22"/>
    </row>
    <row r="546" ht="22.5" customHeight="1">
      <c r="A546" s="28">
        <v>46030.0</v>
      </c>
      <c r="B546" s="15" t="s">
        <v>720</v>
      </c>
      <c r="C546" s="13" t="s">
        <v>9</v>
      </c>
      <c r="D546" s="13">
        <v>80.0</v>
      </c>
      <c r="E546" s="15">
        <v>290.0</v>
      </c>
      <c r="F546" s="13" t="s">
        <v>21</v>
      </c>
      <c r="G546" s="15" t="s">
        <v>89</v>
      </c>
      <c r="H546" s="15">
        <v>990.0</v>
      </c>
      <c r="I546" s="20"/>
      <c r="J546" s="20">
        <f t="shared" si="1"/>
        <v>287.1</v>
      </c>
      <c r="K546" s="21"/>
      <c r="L546" s="22"/>
    </row>
    <row r="547" ht="22.5" customHeight="1">
      <c r="A547" s="28">
        <v>46030.0</v>
      </c>
      <c r="B547" s="15" t="s">
        <v>721</v>
      </c>
      <c r="C547" s="13" t="s">
        <v>9</v>
      </c>
      <c r="D547" s="13">
        <v>80.0</v>
      </c>
      <c r="E547" s="15">
        <v>290.0</v>
      </c>
      <c r="F547" s="13" t="s">
        <v>21</v>
      </c>
      <c r="G547" s="15" t="s">
        <v>89</v>
      </c>
      <c r="H547" s="15">
        <v>550.0</v>
      </c>
      <c r="I547" s="20"/>
      <c r="J547" s="20">
        <f t="shared" si="1"/>
        <v>159.5</v>
      </c>
      <c r="K547" s="21"/>
      <c r="L547" s="22"/>
    </row>
    <row r="548" ht="22.5" customHeight="1">
      <c r="A548" s="28">
        <v>46030.0</v>
      </c>
      <c r="B548" s="15" t="s">
        <v>722</v>
      </c>
      <c r="C548" s="13" t="s">
        <v>9</v>
      </c>
      <c r="D548" s="13">
        <v>80.0</v>
      </c>
      <c r="E548" s="15">
        <v>290.0</v>
      </c>
      <c r="F548" s="13" t="s">
        <v>21</v>
      </c>
      <c r="G548" s="15" t="s">
        <v>89</v>
      </c>
      <c r="H548" s="15">
        <v>1660.0</v>
      </c>
      <c r="I548" s="20"/>
      <c r="J548" s="20">
        <f t="shared" si="1"/>
        <v>481.4</v>
      </c>
      <c r="K548" s="21"/>
      <c r="L548" s="22"/>
    </row>
    <row r="549" ht="22.5" customHeight="1">
      <c r="A549" s="28">
        <v>46030.0</v>
      </c>
      <c r="B549" s="15" t="s">
        <v>723</v>
      </c>
      <c r="C549" s="13" t="s">
        <v>9</v>
      </c>
      <c r="D549" s="13">
        <v>80.0</v>
      </c>
      <c r="E549" s="15">
        <v>290.0</v>
      </c>
      <c r="F549" s="13" t="s">
        <v>21</v>
      </c>
      <c r="G549" s="15" t="s">
        <v>89</v>
      </c>
      <c r="H549" s="15">
        <v>350.0</v>
      </c>
      <c r="I549" s="20"/>
      <c r="J549" s="20">
        <f t="shared" si="1"/>
        <v>101.5</v>
      </c>
      <c r="K549" s="21"/>
      <c r="L549" s="22"/>
    </row>
    <row r="550" ht="22.5" customHeight="1">
      <c r="A550" s="28">
        <v>46030.0</v>
      </c>
      <c r="B550" s="15" t="s">
        <v>724</v>
      </c>
      <c r="C550" s="13" t="s">
        <v>9</v>
      </c>
      <c r="D550" s="13">
        <v>80.0</v>
      </c>
      <c r="E550" s="15">
        <v>290.0</v>
      </c>
      <c r="F550" s="13" t="s">
        <v>21</v>
      </c>
      <c r="G550" s="15" t="s">
        <v>89</v>
      </c>
      <c r="H550" s="15">
        <v>180.0</v>
      </c>
      <c r="I550" s="20"/>
      <c r="J550" s="20">
        <f t="shared" si="1"/>
        <v>52.2</v>
      </c>
      <c r="K550" s="21"/>
      <c r="L550" s="22"/>
    </row>
    <row r="551" ht="22.5" customHeight="1">
      <c r="A551" s="28">
        <v>46030.0</v>
      </c>
      <c r="B551" s="15" t="s">
        <v>725</v>
      </c>
      <c r="C551" s="13" t="s">
        <v>9</v>
      </c>
      <c r="D551" s="13">
        <v>80.0</v>
      </c>
      <c r="E551" s="15">
        <v>140.0</v>
      </c>
      <c r="F551" s="13" t="s">
        <v>27</v>
      </c>
      <c r="G551" s="15" t="s">
        <v>99</v>
      </c>
      <c r="H551" s="15">
        <v>410.0</v>
      </c>
      <c r="I551" s="20"/>
      <c r="J551" s="20">
        <f t="shared" si="1"/>
        <v>57.4</v>
      </c>
      <c r="K551" s="21"/>
      <c r="L551" s="22"/>
    </row>
    <row r="552" ht="22.5" customHeight="1">
      <c r="A552" s="28">
        <v>46030.0</v>
      </c>
      <c r="B552" s="15" t="s">
        <v>726</v>
      </c>
      <c r="C552" s="13" t="s">
        <v>43</v>
      </c>
      <c r="D552" s="13">
        <v>50.0</v>
      </c>
      <c r="E552" s="15">
        <v>125.0</v>
      </c>
      <c r="F552" s="13" t="s">
        <v>27</v>
      </c>
      <c r="G552" s="15" t="s">
        <v>176</v>
      </c>
      <c r="H552" s="15">
        <v>0.0</v>
      </c>
      <c r="I552" s="20"/>
      <c r="J552" s="20">
        <f t="shared" si="1"/>
        <v>0</v>
      </c>
      <c r="K552" s="21"/>
      <c r="L552" s="22"/>
    </row>
    <row r="553" ht="22.5" customHeight="1">
      <c r="A553" s="28">
        <v>46031.0</v>
      </c>
      <c r="B553" s="15" t="s">
        <v>727</v>
      </c>
      <c r="C553" s="13" t="s">
        <v>9</v>
      </c>
      <c r="D553" s="13">
        <v>80.0</v>
      </c>
      <c r="E553" s="15">
        <v>290.0</v>
      </c>
      <c r="F553" s="13" t="s">
        <v>21</v>
      </c>
      <c r="G553" s="15" t="s">
        <v>89</v>
      </c>
      <c r="H553" s="15">
        <v>230.0</v>
      </c>
      <c r="I553" s="20"/>
      <c r="J553" s="20">
        <f t="shared" si="1"/>
        <v>66.7</v>
      </c>
      <c r="K553" s="21"/>
      <c r="L553" s="22"/>
    </row>
    <row r="554" ht="22.5" customHeight="1">
      <c r="A554" s="28">
        <v>46031.0</v>
      </c>
      <c r="B554" s="15" t="s">
        <v>728</v>
      </c>
      <c r="C554" s="13" t="s">
        <v>43</v>
      </c>
      <c r="D554" s="13">
        <v>50.0</v>
      </c>
      <c r="E554" s="15">
        <v>190.0</v>
      </c>
      <c r="F554" s="13" t="s">
        <v>23</v>
      </c>
      <c r="G554" s="15" t="s">
        <v>729</v>
      </c>
      <c r="H554" s="15">
        <v>710.0</v>
      </c>
      <c r="I554" s="20"/>
      <c r="J554" s="20">
        <f t="shared" si="1"/>
        <v>134.9</v>
      </c>
      <c r="K554" s="21"/>
      <c r="L554" s="22"/>
    </row>
    <row r="555" ht="22.5" customHeight="1">
      <c r="A555" s="28">
        <v>46031.0</v>
      </c>
      <c r="B555" s="15" t="s">
        <v>730</v>
      </c>
      <c r="C555" s="13" t="s">
        <v>43</v>
      </c>
      <c r="D555" s="13">
        <v>50.0</v>
      </c>
      <c r="E555" s="15">
        <v>155.0</v>
      </c>
      <c r="F555" s="13" t="s">
        <v>23</v>
      </c>
      <c r="G555" s="15" t="s">
        <v>729</v>
      </c>
      <c r="H555" s="15">
        <v>370.0</v>
      </c>
      <c r="I555" s="20"/>
      <c r="J555" s="20">
        <f t="shared" si="1"/>
        <v>57.35</v>
      </c>
      <c r="K555" s="21"/>
      <c r="L555" s="22"/>
    </row>
    <row r="556" ht="22.5" customHeight="1">
      <c r="A556" s="28">
        <v>46031.0</v>
      </c>
      <c r="B556" s="15" t="s">
        <v>732</v>
      </c>
      <c r="C556" s="13" t="s">
        <v>43</v>
      </c>
      <c r="D556" s="13">
        <v>50.0</v>
      </c>
      <c r="E556" s="15">
        <v>130.0</v>
      </c>
      <c r="F556" s="13" t="s">
        <v>23</v>
      </c>
      <c r="G556" s="15" t="s">
        <v>729</v>
      </c>
      <c r="H556" s="15">
        <v>390.0</v>
      </c>
      <c r="I556" s="20"/>
      <c r="J556" s="20">
        <f t="shared" si="1"/>
        <v>50.7</v>
      </c>
      <c r="K556" s="21"/>
      <c r="L556" s="22"/>
    </row>
    <row r="557" ht="22.5" customHeight="1">
      <c r="A557" s="28">
        <v>46031.0</v>
      </c>
      <c r="B557" s="15" t="s">
        <v>733</v>
      </c>
      <c r="C557" s="13" t="s">
        <v>9</v>
      </c>
      <c r="D557" s="13">
        <v>80.0</v>
      </c>
      <c r="E557" s="15">
        <v>150.0</v>
      </c>
      <c r="F557" s="13" t="s">
        <v>21</v>
      </c>
      <c r="G557" s="15" t="s">
        <v>125</v>
      </c>
      <c r="H557" s="15">
        <v>380.0</v>
      </c>
      <c r="I557" s="20"/>
      <c r="J557" s="20">
        <f t="shared" si="1"/>
        <v>57</v>
      </c>
      <c r="K557" s="21"/>
      <c r="L557" s="22"/>
    </row>
    <row r="558" ht="22.5" customHeight="1">
      <c r="A558" s="28">
        <v>46032.0</v>
      </c>
      <c r="B558" s="15" t="s">
        <v>734</v>
      </c>
      <c r="C558" s="13" t="s">
        <v>9</v>
      </c>
      <c r="D558" s="13">
        <v>80.0</v>
      </c>
      <c r="E558" s="15">
        <v>210.0</v>
      </c>
      <c r="F558" s="13" t="s">
        <v>21</v>
      </c>
      <c r="G558" s="15" t="s">
        <v>89</v>
      </c>
      <c r="H558" s="15">
        <v>0.0</v>
      </c>
      <c r="I558" s="20"/>
      <c r="J558" s="20">
        <f t="shared" si="1"/>
        <v>0</v>
      </c>
      <c r="K558" s="21"/>
      <c r="L558" s="22"/>
    </row>
    <row r="559" ht="22.5" customHeight="1">
      <c r="A559" s="28">
        <v>46032.0</v>
      </c>
      <c r="B559" s="15" t="s">
        <v>735</v>
      </c>
      <c r="C559" s="13" t="s">
        <v>9</v>
      </c>
      <c r="D559" s="13">
        <v>80.0</v>
      </c>
      <c r="E559" s="15">
        <v>290.0</v>
      </c>
      <c r="F559" s="13" t="s">
        <v>21</v>
      </c>
      <c r="G559" s="15" t="s">
        <v>89</v>
      </c>
      <c r="H559" s="15">
        <v>1020.0</v>
      </c>
      <c r="I559" s="20"/>
      <c r="J559" s="20">
        <f t="shared" si="1"/>
        <v>295.8</v>
      </c>
      <c r="K559" s="21"/>
      <c r="L559" s="22"/>
    </row>
    <row r="560" ht="22.5" customHeight="1">
      <c r="A560" s="28">
        <v>46032.0</v>
      </c>
      <c r="B560" s="15" t="s">
        <v>736</v>
      </c>
      <c r="C560" s="13" t="s">
        <v>9</v>
      </c>
      <c r="D560" s="13">
        <v>80.0</v>
      </c>
      <c r="E560" s="15">
        <v>320.0</v>
      </c>
      <c r="F560" s="13" t="s">
        <v>21</v>
      </c>
      <c r="G560" s="15" t="s">
        <v>89</v>
      </c>
      <c r="H560" s="15">
        <v>970.0</v>
      </c>
      <c r="I560" s="20"/>
      <c r="J560" s="20">
        <f t="shared" si="1"/>
        <v>310.4</v>
      </c>
      <c r="K560" s="21"/>
      <c r="L560" s="22"/>
    </row>
    <row r="561" ht="22.5" customHeight="1">
      <c r="A561" s="28">
        <v>46032.0</v>
      </c>
      <c r="B561" s="15" t="s">
        <v>737</v>
      </c>
      <c r="C561" s="13" t="s">
        <v>9</v>
      </c>
      <c r="D561" s="13">
        <v>80.0</v>
      </c>
      <c r="E561" s="15">
        <v>125.0</v>
      </c>
      <c r="F561" s="13" t="s">
        <v>21</v>
      </c>
      <c r="G561" s="15" t="s">
        <v>89</v>
      </c>
      <c r="H561" s="15">
        <v>780.0</v>
      </c>
      <c r="I561" s="20"/>
      <c r="J561" s="20">
        <f t="shared" si="1"/>
        <v>97.5</v>
      </c>
      <c r="K561" s="21"/>
      <c r="L561" s="22"/>
    </row>
    <row r="562" ht="22.5" customHeight="1">
      <c r="A562" s="28">
        <v>46032.0</v>
      </c>
      <c r="B562" s="15" t="s">
        <v>738</v>
      </c>
      <c r="C562" s="13" t="s">
        <v>9</v>
      </c>
      <c r="D562" s="13">
        <v>80.0</v>
      </c>
      <c r="E562" s="15">
        <v>125.0</v>
      </c>
      <c r="F562" s="13" t="s">
        <v>21</v>
      </c>
      <c r="G562" s="15" t="s">
        <v>89</v>
      </c>
      <c r="H562" s="15">
        <v>0.0</v>
      </c>
      <c r="I562" s="20"/>
      <c r="J562" s="20">
        <f t="shared" si="1"/>
        <v>0</v>
      </c>
      <c r="K562" s="21"/>
      <c r="L562" s="22"/>
    </row>
    <row r="563" ht="22.5" customHeight="1">
      <c r="A563" s="28">
        <v>46032.0</v>
      </c>
      <c r="B563" s="15" t="s">
        <v>739</v>
      </c>
      <c r="C563" s="13" t="s">
        <v>9</v>
      </c>
      <c r="D563" s="13">
        <v>80.0</v>
      </c>
      <c r="E563" s="15">
        <v>170.0</v>
      </c>
      <c r="F563" s="13" t="s">
        <v>21</v>
      </c>
      <c r="G563" s="15" t="s">
        <v>89</v>
      </c>
      <c r="H563" s="15">
        <v>1440.0</v>
      </c>
      <c r="I563" s="20"/>
      <c r="J563" s="20">
        <f t="shared" si="1"/>
        <v>244.8</v>
      </c>
      <c r="K563" s="21"/>
      <c r="L563" s="22"/>
    </row>
    <row r="564" ht="22.5" customHeight="1">
      <c r="A564" s="28">
        <v>46032.0</v>
      </c>
      <c r="B564" s="15" t="s">
        <v>740</v>
      </c>
      <c r="C564" s="13" t="s">
        <v>9</v>
      </c>
      <c r="D564" s="13">
        <v>80.0</v>
      </c>
      <c r="E564" s="15">
        <v>170.0</v>
      </c>
      <c r="F564" s="13" t="s">
        <v>21</v>
      </c>
      <c r="G564" s="15" t="s">
        <v>89</v>
      </c>
      <c r="H564" s="15">
        <v>1720.0</v>
      </c>
      <c r="I564" s="20"/>
      <c r="J564" s="20">
        <f t="shared" si="1"/>
        <v>292.4</v>
      </c>
      <c r="K564" s="21"/>
      <c r="L564" s="22"/>
    </row>
    <row r="565" ht="22.5" customHeight="1">
      <c r="A565" s="28">
        <v>46034.0</v>
      </c>
      <c r="B565" s="15" t="s">
        <v>741</v>
      </c>
      <c r="C565" s="13" t="s">
        <v>54</v>
      </c>
      <c r="D565" s="13">
        <v>40.0</v>
      </c>
      <c r="E565" s="15">
        <v>240.0</v>
      </c>
      <c r="F565" s="13" t="s">
        <v>55</v>
      </c>
      <c r="G565" s="15" t="s">
        <v>742</v>
      </c>
      <c r="H565" s="15">
        <v>2680.0</v>
      </c>
      <c r="I565" s="20"/>
      <c r="J565" s="20">
        <f t="shared" si="1"/>
        <v>643.2</v>
      </c>
      <c r="K565" s="21"/>
      <c r="L565" s="22"/>
    </row>
    <row r="566" ht="22.5" customHeight="1">
      <c r="A566" s="28">
        <v>46034.0</v>
      </c>
      <c r="B566" s="15" t="s">
        <v>743</v>
      </c>
      <c r="C566" s="13" t="s">
        <v>54</v>
      </c>
      <c r="D566" s="13">
        <v>40.0</v>
      </c>
      <c r="E566" s="15">
        <v>240.0</v>
      </c>
      <c r="F566" s="13" t="s">
        <v>55</v>
      </c>
      <c r="G566" s="15" t="s">
        <v>742</v>
      </c>
      <c r="H566" s="15">
        <v>980.0</v>
      </c>
      <c r="I566" s="20"/>
      <c r="J566" s="20">
        <f t="shared" si="1"/>
        <v>235.2</v>
      </c>
      <c r="K566" s="21"/>
      <c r="L566" s="22"/>
    </row>
    <row r="567" ht="22.5" customHeight="1">
      <c r="A567" s="28">
        <v>46034.0</v>
      </c>
      <c r="B567" s="15" t="s">
        <v>744</v>
      </c>
      <c r="C567" s="13" t="s">
        <v>54</v>
      </c>
      <c r="D567" s="13">
        <v>40.0</v>
      </c>
      <c r="E567" s="15">
        <v>240.0</v>
      </c>
      <c r="F567" s="13" t="s">
        <v>55</v>
      </c>
      <c r="G567" s="15" t="s">
        <v>742</v>
      </c>
      <c r="H567" s="15">
        <v>0.0</v>
      </c>
      <c r="I567" s="20"/>
      <c r="J567" s="20">
        <f t="shared" si="1"/>
        <v>0</v>
      </c>
      <c r="K567" s="21"/>
      <c r="L567" s="22"/>
    </row>
    <row r="568" ht="22.5" customHeight="1">
      <c r="A568" s="28">
        <v>46034.0</v>
      </c>
      <c r="B568" s="15" t="s">
        <v>745</v>
      </c>
      <c r="C568" s="13" t="s">
        <v>54</v>
      </c>
      <c r="D568" s="13">
        <v>40.0</v>
      </c>
      <c r="E568" s="15">
        <v>240.0</v>
      </c>
      <c r="F568" s="13" t="s">
        <v>55</v>
      </c>
      <c r="G568" s="15" t="s">
        <v>742</v>
      </c>
      <c r="H568" s="15">
        <v>4330.0</v>
      </c>
      <c r="I568" s="20"/>
      <c r="J568" s="20">
        <f t="shared" si="1"/>
        <v>1039.2</v>
      </c>
      <c r="K568" s="21"/>
      <c r="L568" s="22"/>
    </row>
    <row r="569" ht="22.5" customHeight="1">
      <c r="A569" s="28">
        <v>46034.0</v>
      </c>
      <c r="B569" s="15" t="s">
        <v>746</v>
      </c>
      <c r="C569" s="13" t="s">
        <v>9</v>
      </c>
      <c r="D569" s="13">
        <v>80.0</v>
      </c>
      <c r="E569" s="15">
        <v>170.0</v>
      </c>
      <c r="F569" s="13" t="s">
        <v>21</v>
      </c>
      <c r="G569" s="15" t="s">
        <v>89</v>
      </c>
      <c r="H569" s="15">
        <v>1300.0</v>
      </c>
      <c r="I569" s="20"/>
      <c r="J569" s="20">
        <f t="shared" si="1"/>
        <v>221</v>
      </c>
      <c r="K569" s="21"/>
      <c r="L569" s="22"/>
    </row>
    <row r="570" ht="22.5" customHeight="1">
      <c r="A570" s="28">
        <v>46034.0</v>
      </c>
      <c r="B570" s="15" t="s">
        <v>747</v>
      </c>
      <c r="C570" s="13" t="s">
        <v>9</v>
      </c>
      <c r="D570" s="13">
        <v>80.0</v>
      </c>
      <c r="E570" s="15">
        <v>250.0</v>
      </c>
      <c r="F570" s="13" t="s">
        <v>21</v>
      </c>
      <c r="G570" s="15" t="s">
        <v>89</v>
      </c>
      <c r="H570" s="15">
        <v>0.0</v>
      </c>
      <c r="I570" s="20"/>
      <c r="J570" s="20">
        <f t="shared" si="1"/>
        <v>0</v>
      </c>
      <c r="K570" s="21"/>
      <c r="L570" s="22"/>
    </row>
    <row r="571" ht="22.5" customHeight="1">
      <c r="A571" s="28">
        <v>46034.0</v>
      </c>
      <c r="B571" s="15" t="s">
        <v>748</v>
      </c>
      <c r="C571" s="13" t="s">
        <v>9</v>
      </c>
      <c r="D571" s="13">
        <v>80.0</v>
      </c>
      <c r="E571" s="15">
        <v>125.0</v>
      </c>
      <c r="F571" s="13" t="s">
        <v>21</v>
      </c>
      <c r="G571" s="15" t="s">
        <v>89</v>
      </c>
      <c r="H571" s="15">
        <v>850.0</v>
      </c>
      <c r="I571" s="20"/>
      <c r="J571" s="20">
        <f t="shared" si="1"/>
        <v>106.25</v>
      </c>
      <c r="K571" s="21"/>
      <c r="L571" s="22"/>
    </row>
    <row r="572" ht="22.5" customHeight="1">
      <c r="A572" s="28">
        <v>46035.0</v>
      </c>
      <c r="B572" s="15" t="s">
        <v>749</v>
      </c>
      <c r="C572" s="13" t="s">
        <v>43</v>
      </c>
      <c r="D572" s="13">
        <v>50.0</v>
      </c>
      <c r="E572" s="15">
        <v>130.0</v>
      </c>
      <c r="F572" s="13" t="s">
        <v>23</v>
      </c>
      <c r="G572" s="15" t="s">
        <v>176</v>
      </c>
      <c r="H572" s="15">
        <v>250.0</v>
      </c>
      <c r="I572" s="20"/>
      <c r="J572" s="20">
        <f t="shared" si="1"/>
        <v>32.5</v>
      </c>
      <c r="K572" s="21"/>
      <c r="L572" s="22"/>
    </row>
    <row r="573" ht="22.5" customHeight="1">
      <c r="A573" s="28">
        <v>46035.0</v>
      </c>
      <c r="B573" s="15" t="s">
        <v>750</v>
      </c>
      <c r="C573" s="13" t="s">
        <v>9</v>
      </c>
      <c r="D573" s="13">
        <v>80.0</v>
      </c>
      <c r="E573" s="15">
        <v>250.0</v>
      </c>
      <c r="F573" s="13" t="s">
        <v>21</v>
      </c>
      <c r="G573" s="15" t="s">
        <v>89</v>
      </c>
      <c r="H573" s="15">
        <v>1300.0</v>
      </c>
      <c r="I573" s="20"/>
      <c r="J573" s="20">
        <f t="shared" si="1"/>
        <v>325</v>
      </c>
      <c r="K573" s="21"/>
      <c r="L573" s="22"/>
    </row>
    <row r="574" ht="22.5" customHeight="1">
      <c r="A574" s="28" t="s">
        <v>751</v>
      </c>
      <c r="B574" s="15" t="s">
        <v>752</v>
      </c>
      <c r="C574" s="13" t="s">
        <v>9</v>
      </c>
      <c r="D574" s="13">
        <v>80.0</v>
      </c>
      <c r="E574" s="15">
        <v>140.0</v>
      </c>
      <c r="F574" s="13" t="s">
        <v>27</v>
      </c>
      <c r="G574" s="15" t="s">
        <v>99</v>
      </c>
      <c r="H574" s="15">
        <v>550.0</v>
      </c>
      <c r="I574" s="20"/>
      <c r="J574" s="20">
        <f t="shared" si="1"/>
        <v>77</v>
      </c>
      <c r="K574" s="21"/>
      <c r="L574" s="22"/>
    </row>
    <row r="575" ht="22.5" customHeight="1">
      <c r="A575" s="28" t="s">
        <v>751</v>
      </c>
      <c r="B575" s="15" t="s">
        <v>753</v>
      </c>
      <c r="C575" s="13" t="s">
        <v>9</v>
      </c>
      <c r="D575" s="13">
        <v>80.0</v>
      </c>
      <c r="E575" s="15">
        <v>260.0</v>
      </c>
      <c r="F575" s="13" t="s">
        <v>27</v>
      </c>
      <c r="G575" s="15" t="s">
        <v>99</v>
      </c>
      <c r="H575" s="15">
        <v>100.0</v>
      </c>
      <c r="I575" s="20"/>
      <c r="J575" s="20">
        <f t="shared" si="1"/>
        <v>26</v>
      </c>
      <c r="K575" s="21"/>
      <c r="L575" s="22"/>
    </row>
    <row r="576" ht="22.5" customHeight="1">
      <c r="A576" s="28" t="s">
        <v>751</v>
      </c>
      <c r="B576" s="15" t="s">
        <v>754</v>
      </c>
      <c r="C576" s="13" t="s">
        <v>9</v>
      </c>
      <c r="D576" s="13">
        <v>80.0</v>
      </c>
      <c r="E576" s="15">
        <v>250.0</v>
      </c>
      <c r="F576" s="13" t="s">
        <v>21</v>
      </c>
      <c r="G576" s="15" t="s">
        <v>89</v>
      </c>
      <c r="H576" s="15">
        <v>700.0</v>
      </c>
      <c r="I576" s="20"/>
      <c r="J576" s="20">
        <f t="shared" si="1"/>
        <v>175</v>
      </c>
      <c r="K576" s="21"/>
      <c r="L576" s="22"/>
    </row>
    <row r="577" ht="22.5" customHeight="1">
      <c r="A577" s="28" t="s">
        <v>751</v>
      </c>
      <c r="B577" s="15" t="s">
        <v>755</v>
      </c>
      <c r="C577" s="13" t="s">
        <v>9</v>
      </c>
      <c r="D577" s="13">
        <v>80.0</v>
      </c>
      <c r="E577" s="15">
        <v>280.0</v>
      </c>
      <c r="F577" s="13" t="s">
        <v>21</v>
      </c>
      <c r="G577" s="15" t="s">
        <v>89</v>
      </c>
      <c r="H577" s="15">
        <v>950.0</v>
      </c>
      <c r="I577" s="20"/>
      <c r="J577" s="20">
        <f t="shared" si="1"/>
        <v>266</v>
      </c>
      <c r="K577" s="21"/>
      <c r="L577" s="22"/>
    </row>
    <row r="578" ht="22.5" customHeight="1">
      <c r="A578" s="28" t="s">
        <v>751</v>
      </c>
      <c r="B578" s="15" t="s">
        <v>756</v>
      </c>
      <c r="C578" s="13" t="s">
        <v>9</v>
      </c>
      <c r="D578" s="13">
        <v>80.0</v>
      </c>
      <c r="E578" s="15">
        <v>250.0</v>
      </c>
      <c r="F578" s="13" t="s">
        <v>21</v>
      </c>
      <c r="G578" s="15" t="s">
        <v>89</v>
      </c>
      <c r="H578" s="15">
        <v>300.0</v>
      </c>
      <c r="I578" s="20"/>
      <c r="J578" s="20">
        <f t="shared" si="1"/>
        <v>75</v>
      </c>
      <c r="K578" s="21"/>
      <c r="L578" s="22"/>
    </row>
    <row r="579" ht="22.5" customHeight="1">
      <c r="A579" s="28" t="s">
        <v>751</v>
      </c>
      <c r="B579" s="15" t="s">
        <v>757</v>
      </c>
      <c r="C579" s="13" t="s">
        <v>9</v>
      </c>
      <c r="D579" s="13">
        <v>80.0</v>
      </c>
      <c r="E579" s="15">
        <v>210.0</v>
      </c>
      <c r="F579" s="13" t="s">
        <v>21</v>
      </c>
      <c r="G579" s="15" t="s">
        <v>89</v>
      </c>
      <c r="H579" s="15">
        <v>700.0</v>
      </c>
      <c r="I579" s="20"/>
      <c r="J579" s="20">
        <f t="shared" si="1"/>
        <v>147</v>
      </c>
      <c r="K579" s="21"/>
      <c r="L579" s="22"/>
    </row>
    <row r="580" ht="22.5" customHeight="1">
      <c r="A580" s="28">
        <v>46037.0</v>
      </c>
      <c r="B580" s="15" t="s">
        <v>758</v>
      </c>
      <c r="C580" s="13" t="s">
        <v>9</v>
      </c>
      <c r="D580" s="13">
        <v>80.0</v>
      </c>
      <c r="E580" s="15">
        <v>230.0</v>
      </c>
      <c r="F580" s="13" t="s">
        <v>27</v>
      </c>
      <c r="G580" s="15" t="s">
        <v>99</v>
      </c>
      <c r="H580" s="15">
        <v>0.0</v>
      </c>
      <c r="I580" s="20"/>
      <c r="J580" s="20">
        <f t="shared" si="1"/>
        <v>0</v>
      </c>
      <c r="K580" s="21"/>
      <c r="L580" s="22"/>
    </row>
    <row r="581" ht="22.5" customHeight="1">
      <c r="A581" s="28">
        <v>46037.0</v>
      </c>
      <c r="B581" s="15" t="s">
        <v>759</v>
      </c>
      <c r="C581" s="13" t="s">
        <v>9</v>
      </c>
      <c r="D581" s="13">
        <v>80.0</v>
      </c>
      <c r="E581" s="15">
        <v>280.0</v>
      </c>
      <c r="F581" s="13" t="s">
        <v>21</v>
      </c>
      <c r="G581" s="15" t="s">
        <v>89</v>
      </c>
      <c r="H581" s="15">
        <v>900.0</v>
      </c>
      <c r="I581" s="20"/>
      <c r="J581" s="20">
        <f t="shared" si="1"/>
        <v>252</v>
      </c>
      <c r="K581" s="21"/>
      <c r="L581" s="22"/>
    </row>
    <row r="582" ht="22.5" customHeight="1">
      <c r="A582" s="28">
        <v>46037.0</v>
      </c>
      <c r="B582" s="15" t="s">
        <v>760</v>
      </c>
      <c r="C582" s="13" t="s">
        <v>9</v>
      </c>
      <c r="D582" s="13">
        <v>80.0</v>
      </c>
      <c r="E582" s="15">
        <v>160.0</v>
      </c>
      <c r="F582" s="13" t="s">
        <v>27</v>
      </c>
      <c r="G582" s="15" t="s">
        <v>89</v>
      </c>
      <c r="H582" s="15">
        <v>0.0</v>
      </c>
      <c r="I582" s="20"/>
      <c r="J582" s="20">
        <f t="shared" si="1"/>
        <v>0</v>
      </c>
      <c r="K582" s="21"/>
      <c r="L582" s="22"/>
    </row>
    <row r="583" ht="22.5" customHeight="1">
      <c r="A583" s="28">
        <v>46037.0</v>
      </c>
      <c r="B583" s="15" t="s">
        <v>761</v>
      </c>
      <c r="C583" s="13" t="s">
        <v>9</v>
      </c>
      <c r="D583" s="13">
        <v>80.0</v>
      </c>
      <c r="E583" s="15">
        <v>210.0</v>
      </c>
      <c r="F583" s="13" t="s">
        <v>21</v>
      </c>
      <c r="G583" s="15" t="s">
        <v>89</v>
      </c>
      <c r="H583" s="15">
        <v>1700.0</v>
      </c>
      <c r="I583" s="20"/>
      <c r="J583" s="20">
        <f t="shared" si="1"/>
        <v>357</v>
      </c>
      <c r="K583" s="21"/>
      <c r="L583" s="22"/>
    </row>
    <row r="584" ht="22.5" customHeight="1">
      <c r="A584" s="28">
        <v>46037.0</v>
      </c>
      <c r="B584" s="15" t="s">
        <v>762</v>
      </c>
      <c r="C584" s="13" t="s">
        <v>9</v>
      </c>
      <c r="D584" s="13">
        <v>80.0</v>
      </c>
      <c r="E584" s="15">
        <v>290.0</v>
      </c>
      <c r="F584" s="13" t="s">
        <v>21</v>
      </c>
      <c r="G584" s="15" t="s">
        <v>89</v>
      </c>
      <c r="H584" s="15">
        <v>400.0</v>
      </c>
      <c r="I584" s="20"/>
      <c r="J584" s="20">
        <f t="shared" si="1"/>
        <v>116</v>
      </c>
      <c r="K584" s="21"/>
      <c r="L584" s="22"/>
    </row>
    <row r="585" ht="22.5" customHeight="1">
      <c r="A585" s="28">
        <v>46037.0</v>
      </c>
      <c r="B585" s="15" t="s">
        <v>763</v>
      </c>
      <c r="C585" s="13" t="s">
        <v>9</v>
      </c>
      <c r="D585" s="13">
        <v>80.0</v>
      </c>
      <c r="E585" s="15">
        <v>125.0</v>
      </c>
      <c r="F585" s="13" t="s">
        <v>21</v>
      </c>
      <c r="G585" s="15" t="s">
        <v>89</v>
      </c>
      <c r="H585" s="15">
        <v>89.0</v>
      </c>
      <c r="I585" s="20"/>
      <c r="J585" s="20">
        <f t="shared" si="1"/>
        <v>11.125</v>
      </c>
      <c r="K585" s="21"/>
      <c r="L585" s="22"/>
    </row>
    <row r="586" ht="22.5" customHeight="1">
      <c r="A586" s="28">
        <v>46037.0</v>
      </c>
      <c r="B586" s="15" t="s">
        <v>764</v>
      </c>
      <c r="C586" s="13" t="s">
        <v>9</v>
      </c>
      <c r="D586" s="13">
        <v>80.0</v>
      </c>
      <c r="E586" s="15">
        <v>125.0</v>
      </c>
      <c r="F586" s="13" t="s">
        <v>21</v>
      </c>
      <c r="G586" s="15" t="s">
        <v>89</v>
      </c>
      <c r="H586" s="15">
        <v>762.0</v>
      </c>
      <c r="I586" s="20"/>
      <c r="J586" s="20">
        <f t="shared" si="1"/>
        <v>95.25</v>
      </c>
      <c r="K586" s="21"/>
      <c r="L586" s="22"/>
    </row>
    <row r="587" ht="22.5" customHeight="1">
      <c r="A587" s="28">
        <v>46037.0</v>
      </c>
      <c r="B587" s="15" t="s">
        <v>765</v>
      </c>
      <c r="C587" s="13" t="s">
        <v>9</v>
      </c>
      <c r="D587" s="13">
        <v>80.0</v>
      </c>
      <c r="E587" s="15">
        <v>125.0</v>
      </c>
      <c r="F587" s="13" t="s">
        <v>21</v>
      </c>
      <c r="G587" s="15" t="s">
        <v>89</v>
      </c>
      <c r="H587" s="15">
        <v>1759.0</v>
      </c>
      <c r="I587" s="20"/>
      <c r="J587" s="20">
        <f t="shared" si="1"/>
        <v>219.875</v>
      </c>
      <c r="K587" s="21"/>
      <c r="L587" s="22"/>
    </row>
    <row r="588" ht="22.5" customHeight="1">
      <c r="A588" s="28">
        <v>46038.0</v>
      </c>
      <c r="B588" s="15" t="s">
        <v>766</v>
      </c>
      <c r="C588" s="13" t="s">
        <v>9</v>
      </c>
      <c r="D588" s="13">
        <v>80.0</v>
      </c>
      <c r="E588" s="15">
        <v>160.0</v>
      </c>
      <c r="F588" s="13" t="s">
        <v>27</v>
      </c>
      <c r="G588" s="15" t="s">
        <v>99</v>
      </c>
      <c r="H588" s="15">
        <v>160.0</v>
      </c>
      <c r="I588" s="20"/>
      <c r="J588" s="20">
        <f t="shared" si="1"/>
        <v>25.6</v>
      </c>
      <c r="K588" s="21"/>
      <c r="L588" s="22"/>
    </row>
    <row r="589" ht="22.5" customHeight="1">
      <c r="A589" s="28">
        <v>46038.0</v>
      </c>
      <c r="B589" s="15" t="s">
        <v>767</v>
      </c>
      <c r="C589" s="13" t="s">
        <v>9</v>
      </c>
      <c r="D589" s="13">
        <v>80.0</v>
      </c>
      <c r="E589" s="15">
        <v>160.0</v>
      </c>
      <c r="F589" s="13" t="s">
        <v>27</v>
      </c>
      <c r="G589" s="15" t="s">
        <v>99</v>
      </c>
      <c r="H589" s="15">
        <v>0.0</v>
      </c>
      <c r="I589" s="20"/>
      <c r="J589" s="20">
        <f t="shared" si="1"/>
        <v>0</v>
      </c>
      <c r="K589" s="21"/>
      <c r="L589" s="22"/>
    </row>
    <row r="590" ht="22.5" customHeight="1">
      <c r="A590" s="28">
        <v>46038.0</v>
      </c>
      <c r="B590" s="15" t="s">
        <v>768</v>
      </c>
      <c r="C590" s="13" t="s">
        <v>9</v>
      </c>
      <c r="D590" s="13">
        <v>80.0</v>
      </c>
      <c r="E590" s="15">
        <v>230.0</v>
      </c>
      <c r="F590" s="13" t="s">
        <v>27</v>
      </c>
      <c r="G590" s="15" t="s">
        <v>99</v>
      </c>
      <c r="H590" s="15">
        <v>300.0</v>
      </c>
      <c r="I590" s="20"/>
      <c r="J590" s="20">
        <f t="shared" si="1"/>
        <v>69</v>
      </c>
      <c r="K590" s="21"/>
      <c r="L590" s="22"/>
    </row>
    <row r="591" ht="22.5" customHeight="1">
      <c r="A591" s="28">
        <v>46038.0</v>
      </c>
      <c r="B591" s="15" t="s">
        <v>769</v>
      </c>
      <c r="C591" s="13" t="s">
        <v>9</v>
      </c>
      <c r="D591" s="13">
        <v>80.0</v>
      </c>
      <c r="E591" s="15">
        <v>230.0</v>
      </c>
      <c r="F591" s="13" t="s">
        <v>27</v>
      </c>
      <c r="G591" s="15" t="s">
        <v>99</v>
      </c>
      <c r="H591" s="15">
        <v>850.0</v>
      </c>
      <c r="I591" s="20"/>
      <c r="J591" s="20">
        <f t="shared" si="1"/>
        <v>195.5</v>
      </c>
      <c r="K591" s="21"/>
      <c r="L591" s="22"/>
    </row>
    <row r="592" ht="22.5" customHeight="1">
      <c r="A592" s="28">
        <v>46038.0</v>
      </c>
      <c r="B592" s="15" t="s">
        <v>770</v>
      </c>
      <c r="C592" s="13" t="s">
        <v>9</v>
      </c>
      <c r="D592" s="13">
        <v>80.0</v>
      </c>
      <c r="E592" s="15">
        <v>140.0</v>
      </c>
      <c r="F592" s="13" t="s">
        <v>27</v>
      </c>
      <c r="G592" s="15" t="s">
        <v>99</v>
      </c>
      <c r="H592" s="15">
        <v>650.0</v>
      </c>
      <c r="I592" s="20"/>
      <c r="J592" s="20">
        <f t="shared" si="1"/>
        <v>91</v>
      </c>
      <c r="K592" s="21"/>
      <c r="L592" s="22"/>
    </row>
    <row r="593" ht="22.5" customHeight="1">
      <c r="A593" s="28">
        <v>46038.0</v>
      </c>
      <c r="B593" s="15" t="s">
        <v>771</v>
      </c>
      <c r="C593" s="13" t="s">
        <v>9</v>
      </c>
      <c r="D593" s="13">
        <v>80.0</v>
      </c>
      <c r="E593" s="15">
        <v>140.0</v>
      </c>
      <c r="F593" s="13" t="s">
        <v>27</v>
      </c>
      <c r="G593" s="15" t="s">
        <v>99</v>
      </c>
      <c r="H593" s="15">
        <v>1500.0</v>
      </c>
      <c r="I593" s="20"/>
      <c r="J593" s="20">
        <f t="shared" si="1"/>
        <v>210</v>
      </c>
      <c r="K593" s="21"/>
      <c r="L593" s="22"/>
    </row>
    <row r="594" ht="22.5" customHeight="1">
      <c r="A594" s="28">
        <v>46038.0</v>
      </c>
      <c r="B594" s="15" t="s">
        <v>772</v>
      </c>
      <c r="C594" s="13" t="s">
        <v>9</v>
      </c>
      <c r="D594" s="13">
        <v>80.0</v>
      </c>
      <c r="E594" s="15">
        <v>140.0</v>
      </c>
      <c r="F594" s="13" t="s">
        <v>27</v>
      </c>
      <c r="G594" s="15" t="s">
        <v>99</v>
      </c>
      <c r="H594" s="15">
        <v>1600.0</v>
      </c>
      <c r="I594" s="20"/>
      <c r="J594" s="20">
        <f t="shared" si="1"/>
        <v>224</v>
      </c>
      <c r="K594" s="21"/>
      <c r="L594" s="22"/>
    </row>
    <row r="595" ht="22.5" customHeight="1">
      <c r="A595" s="28">
        <v>46038.0</v>
      </c>
      <c r="B595" s="15" t="s">
        <v>773</v>
      </c>
      <c r="C595" s="13" t="s">
        <v>9</v>
      </c>
      <c r="D595" s="13">
        <v>80.0</v>
      </c>
      <c r="E595" s="15">
        <v>160.0</v>
      </c>
      <c r="F595" s="13" t="s">
        <v>27</v>
      </c>
      <c r="G595" s="15" t="s">
        <v>99</v>
      </c>
      <c r="H595" s="15">
        <v>0.0</v>
      </c>
      <c r="I595" s="20"/>
      <c r="J595" s="20">
        <f t="shared" si="1"/>
        <v>0</v>
      </c>
      <c r="K595" s="21"/>
      <c r="L595" s="22"/>
    </row>
    <row r="596" ht="22.5" customHeight="1">
      <c r="A596" s="28">
        <v>46038.0</v>
      </c>
      <c r="B596" s="15" t="s">
        <v>774</v>
      </c>
      <c r="C596" s="13" t="s">
        <v>9</v>
      </c>
      <c r="D596" s="13">
        <v>80.0</v>
      </c>
      <c r="E596" s="15">
        <v>230.0</v>
      </c>
      <c r="F596" s="13" t="s">
        <v>27</v>
      </c>
      <c r="G596" s="15" t="s">
        <v>99</v>
      </c>
      <c r="H596" s="15">
        <v>850.0</v>
      </c>
      <c r="I596" s="20"/>
      <c r="J596" s="20">
        <f t="shared" si="1"/>
        <v>195.5</v>
      </c>
      <c r="K596" s="21"/>
      <c r="L596" s="22"/>
    </row>
    <row r="597" ht="22.5" customHeight="1">
      <c r="A597" s="28">
        <v>46039.0</v>
      </c>
      <c r="B597" s="15" t="s">
        <v>775</v>
      </c>
      <c r="C597" s="13" t="s">
        <v>57</v>
      </c>
      <c r="D597" s="13">
        <v>80.0</v>
      </c>
      <c r="E597" s="15">
        <v>160.0</v>
      </c>
      <c r="F597" s="13" t="s">
        <v>33</v>
      </c>
      <c r="G597" s="15" t="s">
        <v>170</v>
      </c>
      <c r="H597" s="15">
        <v>470.0</v>
      </c>
      <c r="I597" s="20"/>
      <c r="J597" s="20">
        <f t="shared" si="1"/>
        <v>75.2</v>
      </c>
      <c r="K597" s="21"/>
      <c r="L597" s="22"/>
    </row>
    <row r="598" ht="22.5" customHeight="1">
      <c r="A598" s="28">
        <v>46039.0</v>
      </c>
      <c r="B598" s="15" t="s">
        <v>776</v>
      </c>
      <c r="C598" s="13" t="s">
        <v>57</v>
      </c>
      <c r="D598" s="13">
        <v>80.0</v>
      </c>
      <c r="E598" s="15">
        <v>160.0</v>
      </c>
      <c r="F598" s="13" t="s">
        <v>33</v>
      </c>
      <c r="G598" s="15" t="s">
        <v>170</v>
      </c>
      <c r="H598" s="15">
        <v>100.0</v>
      </c>
      <c r="I598" s="20"/>
      <c r="J598" s="20">
        <f t="shared" si="1"/>
        <v>16</v>
      </c>
      <c r="K598" s="21"/>
      <c r="L598" s="22"/>
    </row>
    <row r="599" ht="22.5" customHeight="1">
      <c r="A599" s="28">
        <v>46039.0</v>
      </c>
      <c r="B599" s="15" t="s">
        <v>777</v>
      </c>
      <c r="C599" s="13" t="s">
        <v>9</v>
      </c>
      <c r="D599" s="13">
        <v>80.0</v>
      </c>
      <c r="E599" s="15">
        <v>140.0</v>
      </c>
      <c r="F599" s="13" t="s">
        <v>27</v>
      </c>
      <c r="G599" s="15" t="s">
        <v>99</v>
      </c>
      <c r="H599" s="15">
        <v>0.0</v>
      </c>
      <c r="I599" s="20"/>
      <c r="J599" s="20">
        <f t="shared" si="1"/>
        <v>0</v>
      </c>
      <c r="K599" s="21"/>
      <c r="L599" s="22"/>
    </row>
    <row r="600" ht="22.5" customHeight="1">
      <c r="A600" s="28">
        <v>46039.0</v>
      </c>
      <c r="B600" s="15" t="s">
        <v>778</v>
      </c>
      <c r="C600" s="13" t="s">
        <v>9</v>
      </c>
      <c r="D600" s="13">
        <v>80.0</v>
      </c>
      <c r="E600" s="15">
        <v>210.0</v>
      </c>
      <c r="F600" s="13" t="s">
        <v>21</v>
      </c>
      <c r="G600" s="15" t="s">
        <v>779</v>
      </c>
      <c r="H600" s="15">
        <v>1460.0</v>
      </c>
      <c r="I600" s="20"/>
      <c r="J600" s="20">
        <f t="shared" si="1"/>
        <v>306.6</v>
      </c>
      <c r="K600" s="21"/>
      <c r="L600" s="22"/>
    </row>
    <row r="601" ht="22.5" customHeight="1">
      <c r="A601" s="28">
        <v>46039.0</v>
      </c>
      <c r="B601" s="15" t="s">
        <v>780</v>
      </c>
      <c r="C601" s="13" t="s">
        <v>9</v>
      </c>
      <c r="D601" s="13">
        <v>80.0</v>
      </c>
      <c r="E601" s="15">
        <v>210.0</v>
      </c>
      <c r="F601" s="13" t="s">
        <v>23</v>
      </c>
      <c r="G601" s="15" t="s">
        <v>29</v>
      </c>
      <c r="H601" s="15">
        <v>550.0</v>
      </c>
      <c r="I601" s="20"/>
      <c r="J601" s="20">
        <f t="shared" si="1"/>
        <v>115.5</v>
      </c>
      <c r="K601" s="21"/>
      <c r="L601" s="22"/>
    </row>
    <row r="602" ht="22.5" customHeight="1">
      <c r="A602" s="28">
        <v>46039.0</v>
      </c>
      <c r="B602" s="15" t="s">
        <v>781</v>
      </c>
      <c r="C602" s="13" t="s">
        <v>48</v>
      </c>
      <c r="D602" s="13">
        <v>120.0</v>
      </c>
      <c r="E602" s="15">
        <v>340.0</v>
      </c>
      <c r="F602" s="13" t="s">
        <v>27</v>
      </c>
      <c r="G602" s="15" t="s">
        <v>779</v>
      </c>
      <c r="H602" s="15">
        <v>560.0</v>
      </c>
      <c r="I602" s="20"/>
      <c r="J602" s="20">
        <f t="shared" si="1"/>
        <v>190.4</v>
      </c>
      <c r="K602" s="21"/>
      <c r="L602" s="22"/>
    </row>
    <row r="603" ht="22.5" customHeight="1">
      <c r="A603" s="28">
        <v>46041.0</v>
      </c>
      <c r="B603" s="15" t="s">
        <v>786</v>
      </c>
      <c r="C603" s="13" t="s">
        <v>47</v>
      </c>
      <c r="D603" s="13">
        <v>60.0</v>
      </c>
      <c r="E603" s="15">
        <v>166.0</v>
      </c>
      <c r="F603" s="13" t="s">
        <v>23</v>
      </c>
      <c r="G603" s="15" t="s">
        <v>176</v>
      </c>
      <c r="H603" s="15">
        <v>420.0</v>
      </c>
      <c r="I603" s="20"/>
      <c r="J603" s="20">
        <f t="shared" si="1"/>
        <v>69.72</v>
      </c>
      <c r="K603" s="21"/>
      <c r="L603" s="22"/>
    </row>
    <row r="604" ht="22.5" customHeight="1">
      <c r="A604" s="28">
        <v>46041.0</v>
      </c>
      <c r="B604" s="15" t="s">
        <v>787</v>
      </c>
      <c r="C604" s="13" t="s">
        <v>47</v>
      </c>
      <c r="D604" s="13">
        <v>60.0</v>
      </c>
      <c r="E604" s="15">
        <v>172.0</v>
      </c>
      <c r="F604" s="13" t="s">
        <v>23</v>
      </c>
      <c r="G604" s="15" t="s">
        <v>176</v>
      </c>
      <c r="H604" s="15">
        <v>1100.0</v>
      </c>
      <c r="I604" s="20"/>
      <c r="J604" s="20">
        <f t="shared" si="1"/>
        <v>189.2</v>
      </c>
      <c r="K604" s="21"/>
      <c r="L604" s="22"/>
    </row>
    <row r="605" ht="22.5" customHeight="1">
      <c r="A605" s="28">
        <v>46041.0</v>
      </c>
      <c r="B605" s="15" t="s">
        <v>788</v>
      </c>
      <c r="C605" s="13" t="s">
        <v>26</v>
      </c>
      <c r="D605" s="13">
        <v>80.0</v>
      </c>
      <c r="E605" s="15">
        <v>210.0</v>
      </c>
      <c r="F605" s="13" t="s">
        <v>23</v>
      </c>
      <c r="G605" s="15" t="s">
        <v>29</v>
      </c>
      <c r="H605" s="15">
        <v>850.0</v>
      </c>
      <c r="I605" s="20"/>
      <c r="J605" s="20">
        <f t="shared" si="1"/>
        <v>178.5</v>
      </c>
      <c r="K605" s="21"/>
      <c r="L605" s="22"/>
    </row>
    <row r="606" ht="22.5" customHeight="1">
      <c r="A606" s="28">
        <v>46041.0</v>
      </c>
      <c r="B606" s="15" t="s">
        <v>790</v>
      </c>
      <c r="C606" s="13" t="s">
        <v>9</v>
      </c>
      <c r="D606" s="13">
        <v>80.0</v>
      </c>
      <c r="E606" s="15">
        <v>140.0</v>
      </c>
      <c r="F606" s="13" t="s">
        <v>27</v>
      </c>
      <c r="G606" s="15" t="s">
        <v>176</v>
      </c>
      <c r="H606" s="15">
        <v>620.0</v>
      </c>
      <c r="I606" s="20"/>
      <c r="J606" s="20">
        <f t="shared" si="1"/>
        <v>86.8</v>
      </c>
      <c r="K606" s="21"/>
      <c r="L606" s="22"/>
    </row>
    <row r="607" ht="22.5" customHeight="1">
      <c r="A607" s="28">
        <v>46042.0</v>
      </c>
      <c r="B607" s="15" t="s">
        <v>791</v>
      </c>
      <c r="C607" s="13" t="s">
        <v>43</v>
      </c>
      <c r="D607" s="13">
        <v>50.0</v>
      </c>
      <c r="E607" s="15">
        <v>125.0</v>
      </c>
      <c r="F607" s="13" t="s">
        <v>27</v>
      </c>
      <c r="G607" s="15" t="s">
        <v>176</v>
      </c>
      <c r="H607" s="15">
        <v>500.0</v>
      </c>
      <c r="I607" s="20"/>
      <c r="J607" s="20">
        <f t="shared" si="1"/>
        <v>62.5</v>
      </c>
      <c r="K607" s="21"/>
      <c r="L607" s="22"/>
    </row>
    <row r="608" ht="22.5" customHeight="1">
      <c r="A608" s="28">
        <v>46042.0</v>
      </c>
      <c r="B608" s="15" t="s">
        <v>792</v>
      </c>
      <c r="C608" s="13" t="s">
        <v>54</v>
      </c>
      <c r="D608" s="13">
        <v>40.0</v>
      </c>
      <c r="E608" s="15">
        <v>240.0</v>
      </c>
      <c r="F608" s="13" t="s">
        <v>55</v>
      </c>
      <c r="G608" s="15" t="s">
        <v>742</v>
      </c>
      <c r="H608" s="15">
        <v>1000.0</v>
      </c>
      <c r="I608" s="20"/>
      <c r="J608" s="20">
        <f t="shared" si="1"/>
        <v>240</v>
      </c>
      <c r="K608" s="21"/>
      <c r="L608" s="22"/>
    </row>
    <row r="609" ht="22.5" customHeight="1">
      <c r="A609" s="28">
        <v>46042.0</v>
      </c>
      <c r="B609" s="15" t="s">
        <v>793</v>
      </c>
      <c r="C609" s="13" t="s">
        <v>54</v>
      </c>
      <c r="D609" s="13">
        <v>40.0</v>
      </c>
      <c r="E609" s="15">
        <v>240.0</v>
      </c>
      <c r="F609" s="13" t="s">
        <v>55</v>
      </c>
      <c r="G609" s="15" t="s">
        <v>742</v>
      </c>
      <c r="H609" s="15">
        <v>0.0</v>
      </c>
      <c r="I609" s="20"/>
      <c r="J609" s="20">
        <f t="shared" si="1"/>
        <v>0</v>
      </c>
      <c r="K609" s="15" t="s">
        <v>137</v>
      </c>
      <c r="L609" s="22"/>
    </row>
    <row r="610" ht="22.5" customHeight="1">
      <c r="A610" s="28">
        <v>46042.0</v>
      </c>
      <c r="B610" s="15" t="s">
        <v>794</v>
      </c>
      <c r="C610" s="13" t="s">
        <v>54</v>
      </c>
      <c r="D610" s="13">
        <v>40.0</v>
      </c>
      <c r="E610" s="15">
        <v>240.0</v>
      </c>
      <c r="F610" s="13" t="s">
        <v>55</v>
      </c>
      <c r="G610" s="15" t="s">
        <v>742</v>
      </c>
      <c r="H610" s="15">
        <v>3900.0</v>
      </c>
      <c r="I610" s="20"/>
      <c r="J610" s="20">
        <f t="shared" si="1"/>
        <v>936</v>
      </c>
      <c r="K610" s="21"/>
      <c r="L610" s="22"/>
    </row>
    <row r="611" ht="22.5" customHeight="1">
      <c r="A611" s="28">
        <v>46042.0</v>
      </c>
      <c r="B611" s="15" t="s">
        <v>795</v>
      </c>
      <c r="C611" s="38"/>
      <c r="D611" s="38"/>
      <c r="E611" s="15">
        <v>100.0</v>
      </c>
      <c r="F611" s="38"/>
      <c r="G611" s="15" t="s">
        <v>170</v>
      </c>
      <c r="H611" s="15">
        <v>350.0</v>
      </c>
      <c r="I611" s="20"/>
      <c r="J611" s="20">
        <f t="shared" si="1"/>
        <v>35</v>
      </c>
      <c r="K611" s="21"/>
      <c r="L611" s="22"/>
    </row>
    <row r="612" ht="22.5" customHeight="1">
      <c r="A612" s="28">
        <v>46043.0</v>
      </c>
      <c r="B612" s="15" t="s">
        <v>796</v>
      </c>
      <c r="C612" s="13" t="s">
        <v>54</v>
      </c>
      <c r="D612" s="13">
        <v>40.0</v>
      </c>
      <c r="E612" s="15">
        <v>240.0</v>
      </c>
      <c r="F612" s="13" t="s">
        <v>55</v>
      </c>
      <c r="G612" s="15" t="s">
        <v>331</v>
      </c>
      <c r="H612" s="15">
        <v>1860.0</v>
      </c>
      <c r="I612" s="20"/>
      <c r="J612" s="20">
        <f t="shared" si="1"/>
        <v>446.4</v>
      </c>
      <c r="K612" s="21"/>
      <c r="L612" s="22"/>
    </row>
    <row r="613" ht="22.5" customHeight="1">
      <c r="A613" s="28">
        <v>46043.0</v>
      </c>
      <c r="B613" s="15" t="s">
        <v>797</v>
      </c>
      <c r="C613" s="13" t="s">
        <v>54</v>
      </c>
      <c r="D613" s="13">
        <v>40.0</v>
      </c>
      <c r="E613" s="15">
        <v>240.0</v>
      </c>
      <c r="F613" s="13" t="s">
        <v>55</v>
      </c>
      <c r="G613" s="15" t="s">
        <v>331</v>
      </c>
      <c r="H613" s="15">
        <v>3400.0</v>
      </c>
      <c r="I613" s="20"/>
      <c r="J613" s="20">
        <f t="shared" si="1"/>
        <v>816</v>
      </c>
      <c r="K613" s="21"/>
      <c r="L613" s="22"/>
    </row>
    <row r="614" ht="22.5" customHeight="1">
      <c r="A614" s="28">
        <v>46043.0</v>
      </c>
      <c r="B614" s="15" t="s">
        <v>798</v>
      </c>
      <c r="C614" s="13" t="s">
        <v>9</v>
      </c>
      <c r="D614" s="13">
        <v>80.0</v>
      </c>
      <c r="E614" s="15">
        <v>125.0</v>
      </c>
      <c r="F614" s="13" t="s">
        <v>21</v>
      </c>
      <c r="G614" s="15" t="s">
        <v>89</v>
      </c>
      <c r="H614" s="15">
        <v>0.0</v>
      </c>
      <c r="I614" s="20"/>
      <c r="J614" s="20">
        <f t="shared" si="1"/>
        <v>0</v>
      </c>
      <c r="K614" s="21"/>
      <c r="L614" s="22"/>
    </row>
    <row r="615" ht="22.5" customHeight="1">
      <c r="A615" s="28">
        <v>46044.0</v>
      </c>
      <c r="B615" s="15" t="s">
        <v>799</v>
      </c>
      <c r="C615" s="13" t="s">
        <v>54</v>
      </c>
      <c r="D615" s="13">
        <v>40.0</v>
      </c>
      <c r="E615" s="15">
        <v>240.0</v>
      </c>
      <c r="F615" s="13" t="s">
        <v>55</v>
      </c>
      <c r="G615" s="15" t="s">
        <v>331</v>
      </c>
      <c r="H615" s="15">
        <v>0.0</v>
      </c>
      <c r="I615" s="20"/>
      <c r="J615" s="20">
        <f t="shared" si="1"/>
        <v>0</v>
      </c>
      <c r="K615" s="21"/>
      <c r="L615" s="22"/>
    </row>
    <row r="616" ht="22.5" customHeight="1">
      <c r="A616" s="28">
        <v>46044.0</v>
      </c>
      <c r="B616" s="15" t="s">
        <v>800</v>
      </c>
      <c r="C616" s="13" t="s">
        <v>9</v>
      </c>
      <c r="D616" s="13">
        <v>80.0</v>
      </c>
      <c r="E616" s="15">
        <v>230.0</v>
      </c>
      <c r="F616" s="13" t="s">
        <v>27</v>
      </c>
      <c r="G616" s="15" t="s">
        <v>99</v>
      </c>
      <c r="H616" s="15">
        <v>550.0</v>
      </c>
      <c r="I616" s="20"/>
      <c r="J616" s="20">
        <f t="shared" si="1"/>
        <v>126.5</v>
      </c>
      <c r="K616" s="21"/>
      <c r="L616" s="22"/>
    </row>
    <row r="617" ht="22.5" customHeight="1">
      <c r="A617" s="28">
        <v>46044.0</v>
      </c>
      <c r="B617" s="15" t="s">
        <v>801</v>
      </c>
      <c r="C617" s="13" t="s">
        <v>9</v>
      </c>
      <c r="D617" s="13">
        <v>80.0</v>
      </c>
      <c r="E617" s="15">
        <v>160.0</v>
      </c>
      <c r="F617" s="13" t="s">
        <v>27</v>
      </c>
      <c r="G617" s="15" t="s">
        <v>99</v>
      </c>
      <c r="H617" s="15">
        <v>320.0</v>
      </c>
      <c r="I617" s="20"/>
      <c r="J617" s="20">
        <f t="shared" si="1"/>
        <v>51.2</v>
      </c>
      <c r="K617" s="21"/>
      <c r="L617" s="22"/>
    </row>
    <row r="618" ht="22.5" customHeight="1">
      <c r="A618" s="28">
        <v>46045.0</v>
      </c>
      <c r="B618" s="15" t="s">
        <v>802</v>
      </c>
      <c r="C618" s="13" t="s">
        <v>9</v>
      </c>
      <c r="D618" s="13">
        <v>80.0</v>
      </c>
      <c r="E618" s="15">
        <v>140.0</v>
      </c>
      <c r="F618" s="13" t="s">
        <v>27</v>
      </c>
      <c r="G618" s="15" t="s">
        <v>99</v>
      </c>
      <c r="H618" s="15">
        <v>0.0</v>
      </c>
      <c r="I618" s="20"/>
      <c r="J618" s="20">
        <f t="shared" si="1"/>
        <v>0</v>
      </c>
      <c r="K618" s="21"/>
      <c r="L618" s="22"/>
    </row>
    <row r="619" ht="22.5" customHeight="1">
      <c r="A619" s="28">
        <v>46045.0</v>
      </c>
      <c r="B619" s="15" t="s">
        <v>803</v>
      </c>
      <c r="C619" s="13" t="s">
        <v>9</v>
      </c>
      <c r="D619" s="13">
        <v>80.0</v>
      </c>
      <c r="E619" s="15">
        <v>140.0</v>
      </c>
      <c r="F619" s="13" t="s">
        <v>27</v>
      </c>
      <c r="G619" s="15" t="s">
        <v>99</v>
      </c>
      <c r="H619" s="15">
        <v>1020.0</v>
      </c>
      <c r="I619" s="20"/>
      <c r="J619" s="20">
        <f t="shared" si="1"/>
        <v>142.8</v>
      </c>
      <c r="K619" s="21"/>
      <c r="L619" s="22"/>
    </row>
    <row r="620" ht="22.5" customHeight="1">
      <c r="A620" s="28">
        <v>46045.0</v>
      </c>
      <c r="B620" s="15" t="s">
        <v>804</v>
      </c>
      <c r="C620" s="13" t="s">
        <v>36</v>
      </c>
      <c r="D620" s="13">
        <v>70.0</v>
      </c>
      <c r="E620" s="15">
        <v>205.0</v>
      </c>
      <c r="F620" s="38"/>
      <c r="G620" s="15" t="s">
        <v>805</v>
      </c>
      <c r="H620" s="15">
        <v>300.0</v>
      </c>
      <c r="I620" s="20"/>
      <c r="J620" s="20">
        <f t="shared" si="1"/>
        <v>61.5</v>
      </c>
      <c r="K620" s="21"/>
      <c r="L620" s="22"/>
    </row>
    <row r="621" ht="22.5" customHeight="1">
      <c r="A621" s="28">
        <v>46045.0</v>
      </c>
      <c r="B621" s="15" t="s">
        <v>806</v>
      </c>
      <c r="C621" s="13" t="s">
        <v>36</v>
      </c>
      <c r="D621" s="13">
        <v>70.0</v>
      </c>
      <c r="E621" s="15">
        <v>205.0</v>
      </c>
      <c r="F621" s="38"/>
      <c r="G621" s="15" t="s">
        <v>805</v>
      </c>
      <c r="H621" s="15">
        <v>600.0</v>
      </c>
      <c r="I621" s="20"/>
      <c r="J621" s="20">
        <f t="shared" si="1"/>
        <v>123</v>
      </c>
      <c r="K621" s="21"/>
      <c r="L621" s="22"/>
    </row>
    <row r="622" ht="22.5" customHeight="1">
      <c r="A622" s="28">
        <v>46049.0</v>
      </c>
      <c r="B622" s="15" t="s">
        <v>807</v>
      </c>
      <c r="C622" s="13" t="s">
        <v>9</v>
      </c>
      <c r="D622" s="13">
        <v>80.0</v>
      </c>
      <c r="E622" s="15">
        <v>160.0</v>
      </c>
      <c r="F622" s="13" t="s">
        <v>27</v>
      </c>
      <c r="G622" s="15" t="s">
        <v>99</v>
      </c>
      <c r="H622" s="15">
        <v>700.0</v>
      </c>
      <c r="I622" s="20"/>
      <c r="J622" s="20">
        <f t="shared" si="1"/>
        <v>112</v>
      </c>
      <c r="K622" s="21"/>
      <c r="L622" s="22"/>
    </row>
    <row r="623" ht="22.5" customHeight="1">
      <c r="A623" s="28">
        <v>46049.0</v>
      </c>
      <c r="B623" s="15" t="s">
        <v>808</v>
      </c>
      <c r="C623" s="13" t="s">
        <v>9</v>
      </c>
      <c r="D623" s="13">
        <v>80.0</v>
      </c>
      <c r="E623" s="15">
        <v>160.0</v>
      </c>
      <c r="F623" s="13" t="s">
        <v>27</v>
      </c>
      <c r="G623" s="15" t="s">
        <v>99</v>
      </c>
      <c r="H623" s="15">
        <v>100.0</v>
      </c>
      <c r="I623" s="20"/>
      <c r="J623" s="20">
        <f t="shared" si="1"/>
        <v>16</v>
      </c>
      <c r="K623" s="21"/>
      <c r="L623" s="22"/>
    </row>
    <row r="624" ht="22.5" customHeight="1">
      <c r="A624" s="28">
        <v>46049.0</v>
      </c>
      <c r="B624" s="15" t="s">
        <v>809</v>
      </c>
      <c r="C624" s="13" t="s">
        <v>9</v>
      </c>
      <c r="D624" s="13">
        <v>80.0</v>
      </c>
      <c r="E624" s="15">
        <v>150.0</v>
      </c>
      <c r="F624" s="13" t="s">
        <v>21</v>
      </c>
      <c r="G624" s="15" t="s">
        <v>166</v>
      </c>
      <c r="H624" s="15">
        <v>0.0</v>
      </c>
      <c r="I624" s="20"/>
      <c r="J624" s="20">
        <f t="shared" si="1"/>
        <v>0</v>
      </c>
      <c r="K624" s="21"/>
      <c r="L624" s="22"/>
    </row>
    <row r="625" ht="22.5" customHeight="1">
      <c r="A625" s="28">
        <v>46049.0</v>
      </c>
      <c r="B625" s="15" t="s">
        <v>810</v>
      </c>
      <c r="C625" s="13" t="s">
        <v>9</v>
      </c>
      <c r="D625" s="13">
        <v>80.0</v>
      </c>
      <c r="E625" s="15">
        <v>170.0</v>
      </c>
      <c r="F625" s="13" t="s">
        <v>21</v>
      </c>
      <c r="G625" s="15" t="s">
        <v>89</v>
      </c>
      <c r="H625" s="15">
        <v>400.0</v>
      </c>
      <c r="I625" s="20"/>
      <c r="J625" s="20">
        <f t="shared" si="1"/>
        <v>68</v>
      </c>
      <c r="K625" s="21"/>
      <c r="L625" s="22"/>
    </row>
    <row r="626" ht="22.5" customHeight="1">
      <c r="A626" s="28">
        <v>46049.0</v>
      </c>
      <c r="B626" s="15" t="s">
        <v>811</v>
      </c>
      <c r="C626" s="13" t="s">
        <v>9</v>
      </c>
      <c r="D626" s="13">
        <v>80.0</v>
      </c>
      <c r="E626" s="15">
        <v>170.0</v>
      </c>
      <c r="F626" s="13" t="s">
        <v>21</v>
      </c>
      <c r="G626" s="15" t="s">
        <v>89</v>
      </c>
      <c r="H626" s="15">
        <v>110.0</v>
      </c>
      <c r="I626" s="20"/>
      <c r="J626" s="20">
        <f t="shared" si="1"/>
        <v>18.7</v>
      </c>
      <c r="K626" s="21"/>
      <c r="L626" s="22"/>
    </row>
    <row r="627" ht="22.5" customHeight="1">
      <c r="A627" s="28">
        <v>46049.0</v>
      </c>
      <c r="B627" s="15" t="s">
        <v>812</v>
      </c>
      <c r="C627" s="13" t="s">
        <v>9</v>
      </c>
      <c r="D627" s="13">
        <v>80.0</v>
      </c>
      <c r="E627" s="15">
        <v>170.0</v>
      </c>
      <c r="F627" s="13" t="s">
        <v>21</v>
      </c>
      <c r="G627" s="15" t="s">
        <v>89</v>
      </c>
      <c r="H627" s="15">
        <v>700.0</v>
      </c>
      <c r="I627" s="20"/>
      <c r="J627" s="20">
        <f t="shared" si="1"/>
        <v>119</v>
      </c>
      <c r="K627" s="21"/>
      <c r="L627" s="22"/>
    </row>
    <row r="628" ht="22.5" customHeight="1">
      <c r="A628" s="28">
        <v>46049.0</v>
      </c>
      <c r="B628" s="15" t="s">
        <v>813</v>
      </c>
      <c r="C628" s="13" t="s">
        <v>9</v>
      </c>
      <c r="D628" s="13">
        <v>80.0</v>
      </c>
      <c r="E628" s="15">
        <v>170.0</v>
      </c>
      <c r="F628" s="13" t="s">
        <v>21</v>
      </c>
      <c r="G628" s="15" t="s">
        <v>89</v>
      </c>
      <c r="H628" s="15">
        <v>1000.0</v>
      </c>
      <c r="I628" s="20"/>
      <c r="J628" s="20">
        <f t="shared" si="1"/>
        <v>170</v>
      </c>
      <c r="K628" s="21"/>
      <c r="L628" s="22"/>
    </row>
    <row r="629" ht="22.5" customHeight="1">
      <c r="A629" s="28">
        <v>46049.0</v>
      </c>
      <c r="B629" s="15" t="s">
        <v>814</v>
      </c>
      <c r="C629" s="13" t="s">
        <v>9</v>
      </c>
      <c r="D629" s="13">
        <v>80.0</v>
      </c>
      <c r="E629" s="15">
        <v>230.0</v>
      </c>
      <c r="F629" s="13" t="s">
        <v>21</v>
      </c>
      <c r="G629" s="15" t="s">
        <v>193</v>
      </c>
      <c r="H629" s="15">
        <v>960.0</v>
      </c>
      <c r="I629" s="20"/>
      <c r="J629" s="20">
        <f t="shared" si="1"/>
        <v>220.8</v>
      </c>
      <c r="K629" s="21"/>
      <c r="L629" s="22"/>
    </row>
    <row r="630" ht="22.5" customHeight="1">
      <c r="A630" s="28">
        <v>46050.0</v>
      </c>
      <c r="B630" s="15" t="s">
        <v>815</v>
      </c>
      <c r="C630" s="13" t="s">
        <v>9</v>
      </c>
      <c r="D630" s="13">
        <v>80.0</v>
      </c>
      <c r="E630" s="15">
        <v>290.0</v>
      </c>
      <c r="F630" s="13" t="s">
        <v>21</v>
      </c>
      <c r="G630" s="15" t="s">
        <v>89</v>
      </c>
      <c r="H630" s="15">
        <v>1140.0</v>
      </c>
      <c r="I630" s="20"/>
      <c r="J630" s="20">
        <f t="shared" si="1"/>
        <v>330.6</v>
      </c>
      <c r="K630" s="21"/>
      <c r="L630" s="22"/>
    </row>
    <row r="631" ht="22.5" customHeight="1">
      <c r="A631" s="28">
        <v>46050.0</v>
      </c>
      <c r="B631" s="15" t="s">
        <v>816</v>
      </c>
      <c r="C631" s="13" t="s">
        <v>9</v>
      </c>
      <c r="D631" s="13">
        <v>80.0</v>
      </c>
      <c r="E631" s="15">
        <v>210.0</v>
      </c>
      <c r="F631" s="13" t="s">
        <v>21</v>
      </c>
      <c r="G631" s="15" t="s">
        <v>89</v>
      </c>
      <c r="H631" s="15">
        <v>930.0</v>
      </c>
      <c r="I631" s="20"/>
      <c r="J631" s="20">
        <f t="shared" si="1"/>
        <v>195.3</v>
      </c>
      <c r="K631" s="21"/>
      <c r="L631" s="22"/>
    </row>
    <row r="632" ht="22.5" customHeight="1">
      <c r="A632" s="28">
        <v>46050.0</v>
      </c>
      <c r="B632" s="15" t="s">
        <v>817</v>
      </c>
      <c r="C632" s="13" t="s">
        <v>9</v>
      </c>
      <c r="D632" s="13">
        <v>80.0</v>
      </c>
      <c r="E632" s="15">
        <v>290.0</v>
      </c>
      <c r="F632" s="13" t="s">
        <v>21</v>
      </c>
      <c r="G632" s="15" t="s">
        <v>89</v>
      </c>
      <c r="H632" s="15">
        <v>120.0</v>
      </c>
      <c r="I632" s="20"/>
      <c r="J632" s="20">
        <f t="shared" si="1"/>
        <v>34.8</v>
      </c>
      <c r="K632" s="21"/>
      <c r="L632" s="22"/>
    </row>
    <row r="633" ht="22.5" customHeight="1">
      <c r="A633" s="28">
        <v>46050.0</v>
      </c>
      <c r="B633" s="15" t="s">
        <v>818</v>
      </c>
      <c r="C633" s="13" t="s">
        <v>9</v>
      </c>
      <c r="D633" s="13">
        <v>80.0</v>
      </c>
      <c r="E633" s="15">
        <v>230.0</v>
      </c>
      <c r="F633" s="13" t="s">
        <v>21</v>
      </c>
      <c r="G633" s="15" t="s">
        <v>89</v>
      </c>
      <c r="H633" s="15">
        <v>1850.0</v>
      </c>
      <c r="I633" s="20"/>
      <c r="J633" s="20">
        <f t="shared" si="1"/>
        <v>425.5</v>
      </c>
      <c r="K633" s="21"/>
      <c r="L633" s="22"/>
    </row>
    <row r="634" ht="22.5" customHeight="1">
      <c r="A634" s="28">
        <v>46050.0</v>
      </c>
      <c r="B634" s="15" t="s">
        <v>819</v>
      </c>
      <c r="C634" s="13" t="s">
        <v>9</v>
      </c>
      <c r="D634" s="13">
        <v>80.0</v>
      </c>
      <c r="E634" s="15">
        <v>290.0</v>
      </c>
      <c r="F634" s="13" t="s">
        <v>21</v>
      </c>
      <c r="G634" s="15" t="s">
        <v>89</v>
      </c>
      <c r="H634" s="15">
        <v>590.0</v>
      </c>
      <c r="I634" s="20"/>
      <c r="J634" s="20">
        <f t="shared" si="1"/>
        <v>171.1</v>
      </c>
      <c r="K634" s="21"/>
      <c r="L634" s="22"/>
    </row>
    <row r="635" ht="22.5" customHeight="1">
      <c r="A635" s="28">
        <v>46051.0</v>
      </c>
      <c r="B635" s="15" t="s">
        <v>820</v>
      </c>
      <c r="C635" s="13" t="s">
        <v>9</v>
      </c>
      <c r="D635" s="13">
        <v>80.0</v>
      </c>
      <c r="E635" s="15">
        <v>290.0</v>
      </c>
      <c r="F635" s="13" t="s">
        <v>21</v>
      </c>
      <c r="G635" s="15" t="s">
        <v>89</v>
      </c>
      <c r="H635" s="15">
        <v>1200.0</v>
      </c>
      <c r="I635" s="20"/>
      <c r="J635" s="20">
        <f t="shared" si="1"/>
        <v>348</v>
      </c>
      <c r="K635" s="21"/>
      <c r="L635" s="22"/>
    </row>
    <row r="636" ht="22.5" customHeight="1">
      <c r="A636" s="28">
        <v>46051.0</v>
      </c>
      <c r="B636" s="15" t="s">
        <v>821</v>
      </c>
      <c r="C636" s="13" t="s">
        <v>9</v>
      </c>
      <c r="D636" s="13">
        <v>80.0</v>
      </c>
      <c r="E636" s="15">
        <v>290.0</v>
      </c>
      <c r="F636" s="13" t="s">
        <v>21</v>
      </c>
      <c r="G636" s="15" t="s">
        <v>89</v>
      </c>
      <c r="H636" s="15">
        <v>640.0</v>
      </c>
      <c r="I636" s="20"/>
      <c r="J636" s="20">
        <f t="shared" si="1"/>
        <v>185.6</v>
      </c>
      <c r="K636" s="21"/>
      <c r="L636" s="22"/>
    </row>
    <row r="637" ht="22.5" customHeight="1">
      <c r="A637" s="28">
        <v>46051.0</v>
      </c>
      <c r="B637" s="15" t="s">
        <v>822</v>
      </c>
      <c r="C637" s="13" t="s">
        <v>9</v>
      </c>
      <c r="D637" s="13">
        <v>80.0</v>
      </c>
      <c r="E637" s="15">
        <v>320.0</v>
      </c>
      <c r="F637" s="13" t="s">
        <v>21</v>
      </c>
      <c r="G637" s="15" t="s">
        <v>89</v>
      </c>
      <c r="H637" s="15">
        <v>370.0</v>
      </c>
      <c r="I637" s="20"/>
      <c r="J637" s="20">
        <f t="shared" si="1"/>
        <v>118.4</v>
      </c>
      <c r="K637" s="21"/>
      <c r="L637" s="22"/>
    </row>
    <row r="638" ht="22.5" customHeight="1">
      <c r="A638" s="28">
        <v>46051.0</v>
      </c>
      <c r="B638" s="15" t="s">
        <v>823</v>
      </c>
      <c r="C638" s="13" t="s">
        <v>9</v>
      </c>
      <c r="D638" s="13">
        <v>80.0</v>
      </c>
      <c r="E638" s="15">
        <v>330.0</v>
      </c>
      <c r="F638" s="13" t="s">
        <v>21</v>
      </c>
      <c r="G638" s="15" t="s">
        <v>89</v>
      </c>
      <c r="H638" s="15">
        <v>460.0</v>
      </c>
      <c r="I638" s="20"/>
      <c r="J638" s="20">
        <f t="shared" si="1"/>
        <v>151.8</v>
      </c>
      <c r="K638" s="21"/>
      <c r="L638" s="22"/>
    </row>
    <row r="639" ht="22.5" customHeight="1">
      <c r="A639" s="28">
        <v>46051.0</v>
      </c>
      <c r="B639" s="15" t="s">
        <v>824</v>
      </c>
      <c r="C639" s="13" t="s">
        <v>9</v>
      </c>
      <c r="D639" s="13">
        <v>80.0</v>
      </c>
      <c r="E639" s="15">
        <v>330.0</v>
      </c>
      <c r="F639" s="13" t="s">
        <v>21</v>
      </c>
      <c r="G639" s="15" t="s">
        <v>89</v>
      </c>
      <c r="H639" s="15">
        <v>290.0</v>
      </c>
      <c r="I639" s="20"/>
      <c r="J639" s="20">
        <f t="shared" si="1"/>
        <v>95.7</v>
      </c>
      <c r="K639" s="21"/>
      <c r="L639" s="22"/>
    </row>
    <row r="640" ht="22.5" customHeight="1">
      <c r="A640" s="28">
        <v>46051.0</v>
      </c>
      <c r="B640" s="15" t="s">
        <v>825</v>
      </c>
      <c r="C640" s="13" t="s">
        <v>9</v>
      </c>
      <c r="D640" s="13">
        <v>80.0</v>
      </c>
      <c r="E640" s="15">
        <v>330.0</v>
      </c>
      <c r="F640" s="13" t="s">
        <v>21</v>
      </c>
      <c r="G640" s="15" t="s">
        <v>89</v>
      </c>
      <c r="H640" s="15">
        <v>330.0</v>
      </c>
      <c r="I640" s="20"/>
      <c r="J640" s="20">
        <f t="shared" si="1"/>
        <v>108.9</v>
      </c>
      <c r="K640" s="21"/>
      <c r="L640" s="22"/>
    </row>
    <row r="641" ht="22.5" customHeight="1">
      <c r="A641" s="28">
        <v>46051.0</v>
      </c>
      <c r="B641" s="15" t="s">
        <v>826</v>
      </c>
      <c r="C641" s="13" t="s">
        <v>9</v>
      </c>
      <c r="D641" s="13">
        <v>80.0</v>
      </c>
      <c r="E641" s="15">
        <v>230.0</v>
      </c>
      <c r="F641" s="13" t="s">
        <v>21</v>
      </c>
      <c r="G641" s="15" t="s">
        <v>193</v>
      </c>
      <c r="H641" s="15">
        <v>450.0</v>
      </c>
      <c r="I641" s="20"/>
      <c r="J641" s="20">
        <f t="shared" si="1"/>
        <v>103.5</v>
      </c>
      <c r="K641" s="21"/>
      <c r="L641" s="22"/>
    </row>
    <row r="642" ht="22.5" customHeight="1">
      <c r="A642" s="28">
        <v>46052.0</v>
      </c>
      <c r="B642" s="15" t="s">
        <v>827</v>
      </c>
      <c r="C642" s="13" t="s">
        <v>9</v>
      </c>
      <c r="D642" s="13">
        <v>80.0</v>
      </c>
      <c r="E642" s="15">
        <v>170.0</v>
      </c>
      <c r="F642" s="13" t="s">
        <v>21</v>
      </c>
      <c r="G642" s="15" t="s">
        <v>89</v>
      </c>
      <c r="H642" s="15">
        <v>450.0</v>
      </c>
      <c r="I642" s="20"/>
      <c r="J642" s="20">
        <f t="shared" si="1"/>
        <v>76.5</v>
      </c>
      <c r="K642" s="21"/>
      <c r="L642" s="22"/>
    </row>
    <row r="643" ht="22.5" customHeight="1">
      <c r="A643" s="28">
        <v>46052.0</v>
      </c>
      <c r="B643" s="15" t="s">
        <v>828</v>
      </c>
      <c r="C643" s="13" t="s">
        <v>9</v>
      </c>
      <c r="D643" s="13">
        <v>80.0</v>
      </c>
      <c r="E643" s="15">
        <v>210.0</v>
      </c>
      <c r="F643" s="13" t="s">
        <v>21</v>
      </c>
      <c r="G643" s="15" t="s">
        <v>89</v>
      </c>
      <c r="H643" s="15">
        <v>1490.0</v>
      </c>
      <c r="I643" s="20"/>
      <c r="J643" s="20">
        <f t="shared" si="1"/>
        <v>312.9</v>
      </c>
      <c r="K643" s="21"/>
      <c r="L643" s="22"/>
    </row>
    <row r="644" ht="22.5" customHeight="1">
      <c r="A644" s="28">
        <v>46052.0</v>
      </c>
      <c r="B644" s="15" t="s">
        <v>829</v>
      </c>
      <c r="C644" s="13" t="s">
        <v>9</v>
      </c>
      <c r="D644" s="13">
        <v>80.0</v>
      </c>
      <c r="E644" s="15">
        <v>250.0</v>
      </c>
      <c r="F644" s="13" t="s">
        <v>21</v>
      </c>
      <c r="G644" s="15" t="s">
        <v>89</v>
      </c>
      <c r="H644" s="15">
        <v>100.0</v>
      </c>
      <c r="I644" s="20"/>
      <c r="J644" s="20">
        <f t="shared" si="1"/>
        <v>25</v>
      </c>
      <c r="K644" s="21"/>
      <c r="L644" s="22"/>
    </row>
    <row r="645" ht="22.5" customHeight="1">
      <c r="A645" s="28">
        <v>46052.0</v>
      </c>
      <c r="B645" s="15" t="s">
        <v>830</v>
      </c>
      <c r="C645" s="13" t="s">
        <v>9</v>
      </c>
      <c r="D645" s="13">
        <v>80.0</v>
      </c>
      <c r="E645" s="15">
        <v>160.0</v>
      </c>
      <c r="F645" s="13" t="s">
        <v>21</v>
      </c>
      <c r="G645" s="15" t="s">
        <v>89</v>
      </c>
      <c r="H645" s="15">
        <v>380.0</v>
      </c>
      <c r="I645" s="20"/>
      <c r="J645" s="20">
        <f t="shared" si="1"/>
        <v>60.8</v>
      </c>
      <c r="K645" s="21"/>
      <c r="L645" s="22"/>
    </row>
    <row r="646" ht="22.5" customHeight="1">
      <c r="A646" s="28">
        <v>46052.0</v>
      </c>
      <c r="B646" s="15" t="s">
        <v>831</v>
      </c>
      <c r="C646" s="13" t="s">
        <v>9</v>
      </c>
      <c r="D646" s="13">
        <v>80.0</v>
      </c>
      <c r="E646" s="15">
        <v>170.0</v>
      </c>
      <c r="F646" s="13" t="s">
        <v>21</v>
      </c>
      <c r="G646" s="15" t="s">
        <v>89</v>
      </c>
      <c r="H646" s="15">
        <v>1140.0</v>
      </c>
      <c r="I646" s="20"/>
      <c r="J646" s="20">
        <f t="shared" si="1"/>
        <v>193.8</v>
      </c>
      <c r="K646" s="21"/>
      <c r="L646" s="22"/>
    </row>
    <row r="647" ht="22.5" customHeight="1">
      <c r="A647" s="28">
        <v>46053.0</v>
      </c>
      <c r="B647" s="15" t="s">
        <v>832</v>
      </c>
      <c r="C647" s="13" t="s">
        <v>9</v>
      </c>
      <c r="D647" s="13">
        <v>80.0</v>
      </c>
      <c r="E647" s="15">
        <v>330.0</v>
      </c>
      <c r="F647" s="13" t="s">
        <v>21</v>
      </c>
      <c r="G647" s="15" t="s">
        <v>89</v>
      </c>
      <c r="H647" s="15">
        <v>170.0</v>
      </c>
      <c r="I647" s="20"/>
      <c r="J647" s="20">
        <f t="shared" si="1"/>
        <v>56.1</v>
      </c>
      <c r="K647" s="21"/>
      <c r="L647" s="22"/>
    </row>
    <row r="648" ht="22.5" customHeight="1">
      <c r="A648" s="28">
        <v>46053.0</v>
      </c>
      <c r="B648" s="15" t="s">
        <v>833</v>
      </c>
      <c r="C648" s="13" t="s">
        <v>9</v>
      </c>
      <c r="D648" s="13">
        <v>80.0</v>
      </c>
      <c r="E648" s="15">
        <v>210.0</v>
      </c>
      <c r="F648" s="13" t="s">
        <v>21</v>
      </c>
      <c r="G648" s="15" t="s">
        <v>89</v>
      </c>
      <c r="H648" s="15">
        <v>1140.0</v>
      </c>
      <c r="I648" s="20"/>
      <c r="J648" s="20">
        <f t="shared" si="1"/>
        <v>239.4</v>
      </c>
      <c r="K648" s="21"/>
      <c r="L648" s="22"/>
    </row>
    <row r="649" ht="22.5" customHeight="1">
      <c r="A649" s="28">
        <v>46053.0</v>
      </c>
      <c r="B649" s="15" t="s">
        <v>834</v>
      </c>
      <c r="C649" s="13" t="s">
        <v>9</v>
      </c>
      <c r="D649" s="13">
        <v>80.0</v>
      </c>
      <c r="E649" s="15">
        <v>330.0</v>
      </c>
      <c r="F649" s="13" t="s">
        <v>21</v>
      </c>
      <c r="G649" s="15" t="s">
        <v>89</v>
      </c>
      <c r="H649" s="15">
        <v>1330.0</v>
      </c>
      <c r="I649" s="20"/>
      <c r="J649" s="20">
        <f t="shared" si="1"/>
        <v>438.9</v>
      </c>
      <c r="K649" s="21"/>
      <c r="L649" s="22"/>
    </row>
    <row r="650" ht="22.5" customHeight="1">
      <c r="A650" s="28">
        <v>46053.0</v>
      </c>
      <c r="B650" s="15" t="s">
        <v>835</v>
      </c>
      <c r="C650" s="13" t="s">
        <v>9</v>
      </c>
      <c r="D650" s="13">
        <v>80.0</v>
      </c>
      <c r="E650" s="15">
        <v>125.0</v>
      </c>
      <c r="F650" s="13" t="s">
        <v>21</v>
      </c>
      <c r="G650" s="15" t="s">
        <v>89</v>
      </c>
      <c r="H650" s="15">
        <v>270.0</v>
      </c>
      <c r="I650" s="20"/>
      <c r="J650" s="20">
        <f t="shared" si="1"/>
        <v>33.75</v>
      </c>
      <c r="K650" s="21"/>
      <c r="L650" s="22"/>
    </row>
    <row r="651" ht="22.5" customHeight="1">
      <c r="A651" s="28">
        <v>46053.0</v>
      </c>
      <c r="B651" s="15" t="s">
        <v>836</v>
      </c>
      <c r="C651" s="13" t="s">
        <v>9</v>
      </c>
      <c r="D651" s="13">
        <v>80.0</v>
      </c>
      <c r="E651" s="15">
        <v>125.0</v>
      </c>
      <c r="F651" s="13" t="s">
        <v>21</v>
      </c>
      <c r="G651" s="15" t="s">
        <v>89</v>
      </c>
      <c r="H651" s="15">
        <v>960.0</v>
      </c>
      <c r="I651" s="20"/>
      <c r="J651" s="20">
        <f t="shared" si="1"/>
        <v>120</v>
      </c>
      <c r="K651" s="21"/>
      <c r="L651" s="22"/>
    </row>
    <row r="652" ht="22.5" customHeight="1">
      <c r="A652" s="28">
        <v>46053.0</v>
      </c>
      <c r="B652" s="15" t="s">
        <v>838</v>
      </c>
      <c r="C652" s="13" t="s">
        <v>9</v>
      </c>
      <c r="D652" s="13">
        <v>80.0</v>
      </c>
      <c r="E652" s="15">
        <v>125.0</v>
      </c>
      <c r="F652" s="13" t="s">
        <v>21</v>
      </c>
      <c r="G652" s="15" t="s">
        <v>89</v>
      </c>
      <c r="H652" s="15">
        <v>260.0</v>
      </c>
      <c r="I652" s="20"/>
      <c r="J652" s="20">
        <f t="shared" si="1"/>
        <v>32.5</v>
      </c>
      <c r="K652" s="21"/>
      <c r="L652" s="22"/>
    </row>
    <row r="653" ht="22.5" customHeight="1">
      <c r="A653" s="28">
        <v>46055.0</v>
      </c>
      <c r="B653" s="15" t="s">
        <v>839</v>
      </c>
      <c r="C653" s="13" t="s">
        <v>9</v>
      </c>
      <c r="D653" s="13">
        <v>80.0</v>
      </c>
      <c r="E653" s="15">
        <v>160.0</v>
      </c>
      <c r="F653" s="13" t="s">
        <v>27</v>
      </c>
      <c r="G653" s="15" t="s">
        <v>402</v>
      </c>
      <c r="H653" s="15">
        <v>730.0</v>
      </c>
      <c r="I653" s="20"/>
      <c r="J653" s="20">
        <f t="shared" si="1"/>
        <v>116.8</v>
      </c>
      <c r="K653" s="21"/>
      <c r="L653" s="22"/>
    </row>
    <row r="654" ht="22.5" customHeight="1">
      <c r="A654" s="28">
        <v>46055.0</v>
      </c>
      <c r="B654" s="15" t="s">
        <v>840</v>
      </c>
      <c r="C654" s="13" t="s">
        <v>9</v>
      </c>
      <c r="D654" s="13">
        <v>80.0</v>
      </c>
      <c r="E654" s="15">
        <v>230.0</v>
      </c>
      <c r="F654" s="13" t="s">
        <v>27</v>
      </c>
      <c r="G654" s="15" t="s">
        <v>402</v>
      </c>
      <c r="H654" s="15">
        <v>200.0</v>
      </c>
      <c r="I654" s="20"/>
      <c r="J654" s="20">
        <f t="shared" si="1"/>
        <v>46</v>
      </c>
      <c r="K654" s="21"/>
      <c r="L654" s="22"/>
    </row>
    <row r="655" ht="22.5" customHeight="1">
      <c r="A655" s="28">
        <v>46055.0</v>
      </c>
      <c r="B655" s="15" t="s">
        <v>841</v>
      </c>
      <c r="C655" s="38"/>
      <c r="D655" s="13">
        <v>60.0</v>
      </c>
      <c r="E655" s="15">
        <v>172.0</v>
      </c>
      <c r="F655" s="13" t="s">
        <v>23</v>
      </c>
      <c r="G655" s="15" t="s">
        <v>176</v>
      </c>
      <c r="H655" s="15">
        <v>1480.0</v>
      </c>
      <c r="I655" s="20"/>
      <c r="J655" s="20">
        <f t="shared" si="1"/>
        <v>254.56</v>
      </c>
      <c r="K655" s="21"/>
      <c r="L655" s="22"/>
    </row>
    <row r="656" ht="22.5" customHeight="1">
      <c r="A656" s="28">
        <v>46055.0</v>
      </c>
      <c r="B656" s="15" t="s">
        <v>842</v>
      </c>
      <c r="C656" s="38"/>
      <c r="D656" s="13">
        <v>60.0</v>
      </c>
      <c r="E656" s="15">
        <v>172.0</v>
      </c>
      <c r="F656" s="13" t="s">
        <v>23</v>
      </c>
      <c r="G656" s="15" t="s">
        <v>176</v>
      </c>
      <c r="H656" s="15">
        <v>570.0</v>
      </c>
      <c r="I656" s="20"/>
      <c r="J656" s="20">
        <f t="shared" si="1"/>
        <v>98.04</v>
      </c>
      <c r="K656" s="21"/>
      <c r="L656" s="22"/>
    </row>
    <row r="657" ht="22.5" customHeight="1">
      <c r="A657" s="28">
        <v>46055.0</v>
      </c>
      <c r="B657" s="15" t="s">
        <v>843</v>
      </c>
      <c r="C657" s="13" t="s">
        <v>9</v>
      </c>
      <c r="D657" s="13">
        <v>80.0</v>
      </c>
      <c r="E657" s="15">
        <v>160.0</v>
      </c>
      <c r="F657" s="13" t="s">
        <v>27</v>
      </c>
      <c r="G657" s="15" t="s">
        <v>99</v>
      </c>
      <c r="H657" s="15">
        <v>860.0</v>
      </c>
      <c r="I657" s="20"/>
      <c r="J657" s="20">
        <f t="shared" si="1"/>
        <v>137.6</v>
      </c>
      <c r="K657" s="21"/>
      <c r="L657" s="22"/>
    </row>
    <row r="658" ht="22.5" customHeight="1">
      <c r="A658" s="28">
        <v>46055.0</v>
      </c>
      <c r="B658" s="15" t="s">
        <v>844</v>
      </c>
      <c r="C658" s="13" t="s">
        <v>9</v>
      </c>
      <c r="D658" s="13">
        <v>80.0</v>
      </c>
      <c r="E658" s="15">
        <v>160.0</v>
      </c>
      <c r="F658" s="13" t="s">
        <v>27</v>
      </c>
      <c r="G658" s="15" t="s">
        <v>99</v>
      </c>
      <c r="H658" s="15">
        <v>450.0</v>
      </c>
      <c r="I658" s="20"/>
      <c r="J658" s="20">
        <f t="shared" si="1"/>
        <v>72</v>
      </c>
      <c r="K658" s="21"/>
      <c r="L658" s="22"/>
    </row>
    <row r="659" ht="22.5" customHeight="1">
      <c r="A659" s="28">
        <v>46056.0</v>
      </c>
      <c r="B659" s="15" t="s">
        <v>845</v>
      </c>
      <c r="C659" s="13" t="s">
        <v>9</v>
      </c>
      <c r="D659" s="13">
        <v>80.0</v>
      </c>
      <c r="E659" s="15">
        <v>140.0</v>
      </c>
      <c r="F659" s="13" t="s">
        <v>27</v>
      </c>
      <c r="G659" s="15" t="s">
        <v>99</v>
      </c>
      <c r="H659" s="15">
        <v>800.0</v>
      </c>
      <c r="I659" s="20"/>
      <c r="J659" s="20">
        <f t="shared" si="1"/>
        <v>112</v>
      </c>
      <c r="K659" s="21"/>
      <c r="L659" s="22"/>
    </row>
    <row r="660" ht="22.5" customHeight="1">
      <c r="A660" s="28">
        <v>46056.0</v>
      </c>
      <c r="B660" s="15" t="s">
        <v>846</v>
      </c>
      <c r="C660" s="13" t="s">
        <v>26</v>
      </c>
      <c r="D660" s="13">
        <v>80.0</v>
      </c>
      <c r="E660" s="15">
        <v>135.0</v>
      </c>
      <c r="F660" s="13" t="s">
        <v>23</v>
      </c>
      <c r="G660" s="15" t="s">
        <v>99</v>
      </c>
      <c r="H660" s="15">
        <v>360.0</v>
      </c>
      <c r="I660" s="20"/>
      <c r="J660" s="20">
        <f t="shared" si="1"/>
        <v>48.6</v>
      </c>
      <c r="K660" s="21"/>
      <c r="L660" s="22"/>
    </row>
    <row r="661" ht="22.5" customHeight="1">
      <c r="A661" s="28">
        <v>46056.0</v>
      </c>
      <c r="B661" s="15" t="s">
        <v>847</v>
      </c>
      <c r="C661" s="13" t="s">
        <v>9</v>
      </c>
      <c r="D661" s="13">
        <v>80.0</v>
      </c>
      <c r="E661" s="15">
        <v>140.0</v>
      </c>
      <c r="F661" s="13" t="s">
        <v>27</v>
      </c>
      <c r="G661" s="15" t="s">
        <v>99</v>
      </c>
      <c r="H661" s="15">
        <v>300.0</v>
      </c>
      <c r="I661" s="20"/>
      <c r="J661" s="20">
        <f t="shared" si="1"/>
        <v>42</v>
      </c>
      <c r="K661" s="21"/>
      <c r="L661" s="22"/>
    </row>
    <row r="662" ht="22.5" customHeight="1">
      <c r="A662" s="28">
        <v>46056.0</v>
      </c>
      <c r="B662" s="15" t="s">
        <v>848</v>
      </c>
      <c r="C662" s="13" t="s">
        <v>9</v>
      </c>
      <c r="D662" s="13">
        <v>80.0</v>
      </c>
      <c r="E662" s="15">
        <v>290.0</v>
      </c>
      <c r="F662" s="13" t="s">
        <v>21</v>
      </c>
      <c r="G662" s="15" t="s">
        <v>89</v>
      </c>
      <c r="H662" s="15">
        <v>250.0</v>
      </c>
      <c r="I662" s="20"/>
      <c r="J662" s="20">
        <f t="shared" si="1"/>
        <v>72.5</v>
      </c>
      <c r="K662" s="21"/>
      <c r="L662" s="22"/>
    </row>
    <row r="663" ht="22.5" customHeight="1">
      <c r="A663" s="28">
        <v>46056.0</v>
      </c>
      <c r="B663" s="15" t="s">
        <v>849</v>
      </c>
      <c r="C663" s="13" t="s">
        <v>9</v>
      </c>
      <c r="D663" s="13">
        <v>80.0</v>
      </c>
      <c r="E663" s="15">
        <v>125.0</v>
      </c>
      <c r="F663" s="13" t="s">
        <v>21</v>
      </c>
      <c r="G663" s="15" t="s">
        <v>89</v>
      </c>
      <c r="H663" s="15">
        <v>0.0</v>
      </c>
      <c r="I663" s="20"/>
      <c r="J663" s="20">
        <f t="shared" si="1"/>
        <v>0</v>
      </c>
      <c r="K663" s="21"/>
      <c r="L663" s="22"/>
    </row>
    <row r="664" ht="22.5" customHeight="1">
      <c r="A664" s="28">
        <v>46056.0</v>
      </c>
      <c r="B664" s="15" t="s">
        <v>850</v>
      </c>
      <c r="C664" s="13" t="s">
        <v>9</v>
      </c>
      <c r="D664" s="13">
        <v>80.0</v>
      </c>
      <c r="E664" s="15">
        <v>125.0</v>
      </c>
      <c r="F664" s="13" t="s">
        <v>21</v>
      </c>
      <c r="G664" s="15" t="s">
        <v>89</v>
      </c>
      <c r="H664" s="15">
        <v>0.0</v>
      </c>
      <c r="I664" s="20"/>
      <c r="J664" s="20">
        <f t="shared" si="1"/>
        <v>0</v>
      </c>
      <c r="K664" s="21"/>
      <c r="L664" s="22"/>
    </row>
    <row r="665" ht="22.5" customHeight="1">
      <c r="A665" s="28">
        <v>46056.0</v>
      </c>
      <c r="B665" s="15" t="s">
        <v>851</v>
      </c>
      <c r="C665" s="13" t="s">
        <v>9</v>
      </c>
      <c r="D665" s="13">
        <v>80.0</v>
      </c>
      <c r="E665" s="15">
        <v>140.0</v>
      </c>
      <c r="F665" s="13" t="s">
        <v>27</v>
      </c>
      <c r="G665" s="15" t="s">
        <v>99</v>
      </c>
      <c r="H665" s="15">
        <v>1370.0</v>
      </c>
      <c r="I665" s="20"/>
      <c r="J665" s="20">
        <f t="shared" si="1"/>
        <v>191.8</v>
      </c>
      <c r="K665" s="21"/>
      <c r="L665" s="22"/>
    </row>
    <row r="666" ht="22.5" customHeight="1">
      <c r="A666" s="28">
        <v>46056.0</v>
      </c>
      <c r="B666" s="15" t="s">
        <v>852</v>
      </c>
      <c r="C666" s="13" t="s">
        <v>9</v>
      </c>
      <c r="D666" s="13">
        <v>80.0</v>
      </c>
      <c r="E666" s="15">
        <v>230.0</v>
      </c>
      <c r="F666" s="13" t="s">
        <v>27</v>
      </c>
      <c r="G666" s="15" t="s">
        <v>99</v>
      </c>
      <c r="H666" s="15">
        <v>160.0</v>
      </c>
      <c r="I666" s="20"/>
      <c r="J666" s="20">
        <f t="shared" si="1"/>
        <v>36.8</v>
      </c>
      <c r="K666" s="21"/>
      <c r="L666" s="22"/>
    </row>
    <row r="667" ht="22.5" customHeight="1">
      <c r="A667" s="28">
        <v>46057.0</v>
      </c>
      <c r="B667" s="15" t="s">
        <v>853</v>
      </c>
      <c r="C667" s="13" t="s">
        <v>9</v>
      </c>
      <c r="D667" s="13">
        <v>80.0</v>
      </c>
      <c r="E667" s="15">
        <v>150.0</v>
      </c>
      <c r="F667" s="13" t="s">
        <v>21</v>
      </c>
      <c r="G667" s="15" t="s">
        <v>89</v>
      </c>
      <c r="H667" s="15">
        <v>1350.0</v>
      </c>
      <c r="I667" s="20"/>
      <c r="J667" s="20">
        <f t="shared" si="1"/>
        <v>202.5</v>
      </c>
      <c r="K667" s="21"/>
      <c r="L667" s="22"/>
    </row>
    <row r="668" ht="22.5" customHeight="1">
      <c r="A668" s="28">
        <v>46057.0</v>
      </c>
      <c r="B668" s="15" t="s">
        <v>854</v>
      </c>
      <c r="C668" s="13" t="s">
        <v>9</v>
      </c>
      <c r="D668" s="13">
        <v>80.0</v>
      </c>
      <c r="E668" s="15">
        <v>280.0</v>
      </c>
      <c r="F668" s="13" t="s">
        <v>21</v>
      </c>
      <c r="G668" s="15" t="s">
        <v>89</v>
      </c>
      <c r="H668" s="15">
        <v>200.0</v>
      </c>
      <c r="I668" s="20"/>
      <c r="J668" s="20">
        <f t="shared" si="1"/>
        <v>56</v>
      </c>
      <c r="K668" s="21"/>
      <c r="L668" s="22"/>
    </row>
    <row r="669" ht="22.5" customHeight="1">
      <c r="A669" s="28">
        <v>46057.0</v>
      </c>
      <c r="B669" s="15" t="s">
        <v>855</v>
      </c>
      <c r="C669" s="13" t="s">
        <v>9</v>
      </c>
      <c r="D669" s="13">
        <v>80.0</v>
      </c>
      <c r="E669" s="15">
        <v>290.0</v>
      </c>
      <c r="F669" s="13" t="s">
        <v>21</v>
      </c>
      <c r="G669" s="15" t="s">
        <v>89</v>
      </c>
      <c r="H669" s="15">
        <v>310.0</v>
      </c>
      <c r="I669" s="20"/>
      <c r="J669" s="20">
        <f t="shared" si="1"/>
        <v>89.9</v>
      </c>
      <c r="K669" s="21"/>
      <c r="L669" s="22"/>
    </row>
    <row r="670" ht="22.5" customHeight="1">
      <c r="A670" s="28">
        <v>46057.0</v>
      </c>
      <c r="B670" s="15" t="s">
        <v>856</v>
      </c>
      <c r="C670" s="13" t="s">
        <v>9</v>
      </c>
      <c r="D670" s="13">
        <v>80.0</v>
      </c>
      <c r="E670" s="15">
        <v>150.0</v>
      </c>
      <c r="F670" s="13" t="s">
        <v>21</v>
      </c>
      <c r="G670" s="15" t="s">
        <v>89</v>
      </c>
      <c r="H670" s="15">
        <v>540.0</v>
      </c>
      <c r="I670" s="20"/>
      <c r="J670" s="20">
        <f t="shared" si="1"/>
        <v>81</v>
      </c>
      <c r="K670" s="21"/>
      <c r="L670" s="22"/>
    </row>
    <row r="671" ht="22.5" customHeight="1">
      <c r="A671" s="28">
        <v>46057.0</v>
      </c>
      <c r="B671" s="15" t="s">
        <v>857</v>
      </c>
      <c r="C671" s="13" t="s">
        <v>9</v>
      </c>
      <c r="D671" s="13">
        <v>80.0</v>
      </c>
      <c r="E671" s="15">
        <v>395.0</v>
      </c>
      <c r="F671" s="13" t="s">
        <v>21</v>
      </c>
      <c r="G671" s="15" t="s">
        <v>89</v>
      </c>
      <c r="H671" s="15">
        <v>0.0</v>
      </c>
      <c r="I671" s="20"/>
      <c r="J671" s="20">
        <f t="shared" si="1"/>
        <v>0</v>
      </c>
      <c r="K671" s="21"/>
      <c r="L671" s="22"/>
    </row>
    <row r="672" ht="22.5" customHeight="1">
      <c r="A672" s="28">
        <v>46057.0</v>
      </c>
      <c r="B672" s="15" t="s">
        <v>858</v>
      </c>
      <c r="C672" s="13" t="s">
        <v>9</v>
      </c>
      <c r="D672" s="13">
        <v>80.0</v>
      </c>
      <c r="E672" s="15">
        <v>250.0</v>
      </c>
      <c r="F672" s="13" t="s">
        <v>21</v>
      </c>
      <c r="G672" s="15" t="s">
        <v>89</v>
      </c>
      <c r="H672" s="15">
        <v>700.0</v>
      </c>
      <c r="I672" s="20"/>
      <c r="J672" s="20">
        <f t="shared" si="1"/>
        <v>175</v>
      </c>
      <c r="K672" s="21"/>
      <c r="L672" s="22"/>
    </row>
    <row r="673" ht="22.5" customHeight="1">
      <c r="A673" s="28">
        <v>46057.0</v>
      </c>
      <c r="B673" s="15" t="s">
        <v>859</v>
      </c>
      <c r="C673" s="13" t="s">
        <v>9</v>
      </c>
      <c r="D673" s="13">
        <v>80.0</v>
      </c>
      <c r="E673" s="15">
        <v>250.0</v>
      </c>
      <c r="F673" s="13" t="s">
        <v>21</v>
      </c>
      <c r="G673" s="15" t="s">
        <v>89</v>
      </c>
      <c r="H673" s="15">
        <v>60.0</v>
      </c>
      <c r="I673" s="20"/>
      <c r="J673" s="20">
        <f t="shared" si="1"/>
        <v>15</v>
      </c>
      <c r="K673" s="21"/>
      <c r="L673" s="22"/>
    </row>
    <row r="674" ht="22.5" customHeight="1">
      <c r="A674" s="28">
        <v>46058.0</v>
      </c>
      <c r="B674" s="15" t="s">
        <v>860</v>
      </c>
      <c r="C674" s="13" t="s">
        <v>9</v>
      </c>
      <c r="D674" s="13">
        <v>80.0</v>
      </c>
      <c r="E674" s="15">
        <v>260.0</v>
      </c>
      <c r="F674" s="13" t="s">
        <v>27</v>
      </c>
      <c r="G674" s="15" t="s">
        <v>99</v>
      </c>
      <c r="H674" s="15">
        <v>0.0</v>
      </c>
      <c r="I674" s="20"/>
      <c r="J674" s="20">
        <f t="shared" si="1"/>
        <v>0</v>
      </c>
      <c r="K674" s="21"/>
      <c r="L674" s="22"/>
    </row>
    <row r="675" ht="22.5" customHeight="1">
      <c r="A675" s="28">
        <v>46058.0</v>
      </c>
      <c r="B675" s="15" t="s">
        <v>861</v>
      </c>
      <c r="C675" s="13" t="s">
        <v>9</v>
      </c>
      <c r="D675" s="13">
        <v>80.0</v>
      </c>
      <c r="E675" s="15">
        <v>180.0</v>
      </c>
      <c r="F675" s="13" t="s">
        <v>21</v>
      </c>
      <c r="G675" s="15" t="s">
        <v>89</v>
      </c>
      <c r="H675" s="15">
        <v>1680.0</v>
      </c>
      <c r="I675" s="20"/>
      <c r="J675" s="20">
        <f t="shared" si="1"/>
        <v>302.4</v>
      </c>
      <c r="K675" s="21"/>
      <c r="L675" s="22"/>
    </row>
    <row r="676" ht="22.5" customHeight="1">
      <c r="A676" s="28">
        <v>46058.0</v>
      </c>
      <c r="B676" s="15" t="s">
        <v>862</v>
      </c>
      <c r="C676" s="13" t="s">
        <v>9</v>
      </c>
      <c r="D676" s="13">
        <v>80.0</v>
      </c>
      <c r="E676" s="15">
        <v>200.0</v>
      </c>
      <c r="F676" s="13" t="s">
        <v>27</v>
      </c>
      <c r="G676" s="15" t="s">
        <v>99</v>
      </c>
      <c r="H676" s="15">
        <v>130.0</v>
      </c>
      <c r="I676" s="20"/>
      <c r="J676" s="20">
        <f t="shared" si="1"/>
        <v>26</v>
      </c>
      <c r="K676" s="21"/>
      <c r="L676" s="22"/>
    </row>
    <row r="677" ht="22.5" customHeight="1">
      <c r="A677" s="28">
        <v>46059.0</v>
      </c>
      <c r="B677" s="15" t="s">
        <v>863</v>
      </c>
      <c r="C677" s="13" t="s">
        <v>43</v>
      </c>
      <c r="D677" s="13">
        <v>50.0</v>
      </c>
      <c r="E677" s="15">
        <v>125.0</v>
      </c>
      <c r="F677" s="13" t="s">
        <v>27</v>
      </c>
      <c r="G677" s="15" t="s">
        <v>176</v>
      </c>
      <c r="H677" s="15">
        <v>1490.0</v>
      </c>
      <c r="I677" s="20"/>
      <c r="J677" s="20">
        <f t="shared" si="1"/>
        <v>186.25</v>
      </c>
      <c r="K677" s="21"/>
      <c r="L677" s="22"/>
    </row>
    <row r="678" ht="22.5" customHeight="1">
      <c r="A678" s="28">
        <v>46059.0</v>
      </c>
      <c r="B678" s="15" t="s">
        <v>864</v>
      </c>
      <c r="C678" s="13" t="s">
        <v>43</v>
      </c>
      <c r="D678" s="13">
        <v>50.0</v>
      </c>
      <c r="E678" s="15">
        <v>125.0</v>
      </c>
      <c r="F678" s="13" t="s">
        <v>27</v>
      </c>
      <c r="G678" s="15" t="s">
        <v>176</v>
      </c>
      <c r="H678" s="15">
        <v>420.0</v>
      </c>
      <c r="I678" s="20"/>
      <c r="J678" s="20">
        <f t="shared" si="1"/>
        <v>52.5</v>
      </c>
      <c r="K678" s="21"/>
      <c r="L678" s="22"/>
    </row>
    <row r="679" ht="22.5" customHeight="1">
      <c r="A679" s="28">
        <v>46059.0</v>
      </c>
      <c r="B679" s="15" t="s">
        <v>865</v>
      </c>
      <c r="C679" s="13" t="s">
        <v>9</v>
      </c>
      <c r="D679" s="13">
        <v>80.0</v>
      </c>
      <c r="E679" s="15">
        <v>290.0</v>
      </c>
      <c r="F679" s="13" t="s">
        <v>21</v>
      </c>
      <c r="G679" s="15" t="s">
        <v>89</v>
      </c>
      <c r="H679" s="15">
        <v>260.0</v>
      </c>
      <c r="I679" s="20"/>
      <c r="J679" s="20">
        <f t="shared" si="1"/>
        <v>75.4</v>
      </c>
      <c r="K679" s="21"/>
      <c r="L679" s="22"/>
    </row>
    <row r="680" ht="22.5" customHeight="1">
      <c r="A680" s="28">
        <v>46059.0</v>
      </c>
      <c r="B680" s="15" t="s">
        <v>866</v>
      </c>
      <c r="C680" s="13" t="s">
        <v>9</v>
      </c>
      <c r="D680" s="13">
        <v>80.0</v>
      </c>
      <c r="E680" s="15">
        <v>125.0</v>
      </c>
      <c r="F680" s="13" t="s">
        <v>21</v>
      </c>
      <c r="G680" s="15" t="s">
        <v>89</v>
      </c>
      <c r="H680" s="15">
        <v>1300.0</v>
      </c>
      <c r="I680" s="20"/>
      <c r="J680" s="20">
        <f t="shared" si="1"/>
        <v>162.5</v>
      </c>
      <c r="K680" s="21"/>
      <c r="L680" s="22"/>
    </row>
    <row r="681" ht="22.5" customHeight="1">
      <c r="A681" s="28">
        <v>46059.0</v>
      </c>
      <c r="B681" s="15" t="s">
        <v>867</v>
      </c>
      <c r="C681" s="13" t="s">
        <v>54</v>
      </c>
      <c r="D681" s="13">
        <v>40.0</v>
      </c>
      <c r="E681" s="15">
        <v>240.0</v>
      </c>
      <c r="F681" s="13" t="s">
        <v>55</v>
      </c>
      <c r="G681" s="15" t="s">
        <v>331</v>
      </c>
      <c r="H681" s="15">
        <v>2990.0</v>
      </c>
      <c r="I681" s="20"/>
      <c r="J681" s="20">
        <f t="shared" si="1"/>
        <v>717.6</v>
      </c>
      <c r="K681" s="21"/>
      <c r="L681" s="22"/>
    </row>
    <row r="682" ht="22.5" customHeight="1">
      <c r="A682" s="28">
        <v>46060.0</v>
      </c>
      <c r="B682" s="15" t="s">
        <v>868</v>
      </c>
      <c r="C682" s="13" t="s">
        <v>9</v>
      </c>
      <c r="D682" s="13">
        <v>80.0</v>
      </c>
      <c r="E682" s="15">
        <v>230.0</v>
      </c>
      <c r="F682" s="13" t="s">
        <v>21</v>
      </c>
      <c r="G682" s="15" t="s">
        <v>193</v>
      </c>
      <c r="H682" s="15">
        <v>1380.0</v>
      </c>
      <c r="I682" s="20"/>
      <c r="J682" s="20">
        <f t="shared" si="1"/>
        <v>317.4</v>
      </c>
      <c r="K682" s="21"/>
      <c r="L682" s="22"/>
    </row>
    <row r="683" ht="22.5" customHeight="1">
      <c r="A683" s="28">
        <v>46060.0</v>
      </c>
      <c r="B683" s="15" t="s">
        <v>869</v>
      </c>
      <c r="C683" s="13" t="s">
        <v>9</v>
      </c>
      <c r="D683" s="13">
        <v>80.0</v>
      </c>
      <c r="E683" s="15">
        <v>230.0</v>
      </c>
      <c r="F683" s="13" t="s">
        <v>21</v>
      </c>
      <c r="G683" s="15" t="s">
        <v>193</v>
      </c>
      <c r="H683" s="15">
        <v>700.0</v>
      </c>
      <c r="I683" s="20"/>
      <c r="J683" s="20">
        <f t="shared" si="1"/>
        <v>161</v>
      </c>
      <c r="K683" s="21"/>
      <c r="L683" s="22"/>
    </row>
    <row r="684" ht="22.5" customHeight="1">
      <c r="A684" s="28">
        <v>46062.0</v>
      </c>
      <c r="B684" s="15" t="s">
        <v>870</v>
      </c>
      <c r="C684" s="13" t="s">
        <v>9</v>
      </c>
      <c r="D684" s="13">
        <v>80.0</v>
      </c>
      <c r="E684" s="15">
        <v>230.0</v>
      </c>
      <c r="F684" s="13" t="s">
        <v>21</v>
      </c>
      <c r="G684" s="15" t="s">
        <v>193</v>
      </c>
      <c r="H684" s="15">
        <v>570.0</v>
      </c>
      <c r="I684" s="20"/>
      <c r="J684" s="20">
        <f t="shared" si="1"/>
        <v>131.1</v>
      </c>
      <c r="K684" s="21"/>
      <c r="L684" s="22"/>
    </row>
    <row r="685" ht="22.5" customHeight="1">
      <c r="A685" s="28">
        <v>46062.0</v>
      </c>
      <c r="B685" s="15" t="s">
        <v>871</v>
      </c>
      <c r="C685" s="13" t="s">
        <v>9</v>
      </c>
      <c r="D685" s="13">
        <v>80.0</v>
      </c>
      <c r="E685" s="15">
        <v>230.0</v>
      </c>
      <c r="F685" s="13" t="s">
        <v>21</v>
      </c>
      <c r="G685" s="15" t="s">
        <v>193</v>
      </c>
      <c r="H685" s="15">
        <v>1610.0</v>
      </c>
      <c r="I685" s="20"/>
      <c r="J685" s="20">
        <f t="shared" si="1"/>
        <v>370.3</v>
      </c>
      <c r="K685" s="21"/>
      <c r="L685" s="22"/>
    </row>
    <row r="686" ht="22.5" customHeight="1">
      <c r="A686" s="28">
        <v>46063.0</v>
      </c>
      <c r="B686" s="15" t="s">
        <v>872</v>
      </c>
      <c r="C686" s="13" t="s">
        <v>9</v>
      </c>
      <c r="D686" s="13">
        <v>80.0</v>
      </c>
      <c r="E686" s="15">
        <v>220.0</v>
      </c>
      <c r="F686" s="13" t="s">
        <v>27</v>
      </c>
      <c r="G686" s="15" t="s">
        <v>99</v>
      </c>
      <c r="H686" s="15">
        <v>380.0</v>
      </c>
      <c r="I686" s="20"/>
      <c r="J686" s="20">
        <f t="shared" si="1"/>
        <v>83.6</v>
      </c>
      <c r="K686" s="21"/>
      <c r="L686" s="22"/>
    </row>
    <row r="687" ht="22.5" customHeight="1">
      <c r="A687" s="28">
        <v>46063.0</v>
      </c>
      <c r="B687" s="15" t="s">
        <v>873</v>
      </c>
      <c r="C687" s="13" t="s">
        <v>9</v>
      </c>
      <c r="D687" s="13">
        <v>80.0</v>
      </c>
      <c r="E687" s="15">
        <v>195.0</v>
      </c>
      <c r="F687" s="13" t="s">
        <v>27</v>
      </c>
      <c r="G687" s="15" t="s">
        <v>99</v>
      </c>
      <c r="H687" s="15">
        <v>1000.0</v>
      </c>
      <c r="I687" s="20"/>
      <c r="J687" s="20">
        <f t="shared" si="1"/>
        <v>195</v>
      </c>
      <c r="K687" s="21"/>
      <c r="L687" s="22"/>
    </row>
    <row r="688" ht="22.5" customHeight="1">
      <c r="A688" s="28">
        <v>46064.0</v>
      </c>
      <c r="B688" s="15" t="s">
        <v>874</v>
      </c>
      <c r="C688" s="13" t="s">
        <v>9</v>
      </c>
      <c r="D688" s="13">
        <v>80.0</v>
      </c>
      <c r="E688" s="15">
        <v>160.0</v>
      </c>
      <c r="F688" s="13" t="s">
        <v>27</v>
      </c>
      <c r="G688" s="15" t="s">
        <v>99</v>
      </c>
      <c r="H688" s="15">
        <v>0.0</v>
      </c>
      <c r="I688" s="20"/>
      <c r="J688" s="20">
        <f t="shared" si="1"/>
        <v>0</v>
      </c>
      <c r="K688" s="21"/>
      <c r="L688" s="22"/>
    </row>
    <row r="689" ht="22.5" customHeight="1">
      <c r="A689" s="28">
        <v>46064.0</v>
      </c>
      <c r="B689" s="15" t="s">
        <v>876</v>
      </c>
      <c r="C689" s="13" t="s">
        <v>9</v>
      </c>
      <c r="D689" s="13">
        <v>80.0</v>
      </c>
      <c r="E689" s="15">
        <v>140.0</v>
      </c>
      <c r="F689" s="13" t="s">
        <v>27</v>
      </c>
      <c r="G689" s="15" t="s">
        <v>99</v>
      </c>
      <c r="H689" s="15">
        <v>1000.0</v>
      </c>
      <c r="I689" s="20"/>
      <c r="J689" s="20">
        <f t="shared" si="1"/>
        <v>140</v>
      </c>
      <c r="K689" s="21"/>
      <c r="L689" s="22"/>
    </row>
    <row r="690" ht="22.5" customHeight="1">
      <c r="A690" s="28">
        <v>46064.0</v>
      </c>
      <c r="B690" s="15" t="s">
        <v>877</v>
      </c>
      <c r="C690" s="13" t="s">
        <v>9</v>
      </c>
      <c r="D690" s="13">
        <v>80.0</v>
      </c>
      <c r="E690" s="15">
        <v>185.0</v>
      </c>
      <c r="F690" s="13" t="s">
        <v>27</v>
      </c>
      <c r="G690" s="15" t="s">
        <v>99</v>
      </c>
      <c r="H690" s="15">
        <v>0.0</v>
      </c>
      <c r="I690" s="20"/>
      <c r="J690" s="20">
        <f t="shared" si="1"/>
        <v>0</v>
      </c>
      <c r="K690" s="21"/>
      <c r="L690" s="22"/>
    </row>
    <row r="691" ht="22.5" customHeight="1">
      <c r="A691" s="28">
        <v>46064.0</v>
      </c>
      <c r="B691" s="15" t="s">
        <v>879</v>
      </c>
      <c r="C691" s="13" t="s">
        <v>9</v>
      </c>
      <c r="D691" s="13">
        <v>80.0</v>
      </c>
      <c r="E691" s="15">
        <v>195.0</v>
      </c>
      <c r="F691" s="13" t="s">
        <v>27</v>
      </c>
      <c r="G691" s="15" t="s">
        <v>99</v>
      </c>
      <c r="H691" s="15">
        <v>1020.0</v>
      </c>
      <c r="I691" s="20"/>
      <c r="J691" s="20">
        <f t="shared" si="1"/>
        <v>198.9</v>
      </c>
      <c r="K691" s="21"/>
      <c r="L691" s="22"/>
    </row>
    <row r="692" ht="22.5" customHeight="1">
      <c r="A692" s="28">
        <v>46065.0</v>
      </c>
      <c r="B692" s="15" t="s">
        <v>880</v>
      </c>
      <c r="C692" s="13" t="s">
        <v>9</v>
      </c>
      <c r="D692" s="13">
        <v>80.0</v>
      </c>
      <c r="E692" s="15">
        <v>140.0</v>
      </c>
      <c r="F692" s="13" t="s">
        <v>27</v>
      </c>
      <c r="G692" s="15" t="s">
        <v>99</v>
      </c>
      <c r="H692" s="15">
        <v>0.0</v>
      </c>
      <c r="I692" s="20"/>
      <c r="J692" s="20">
        <f t="shared" si="1"/>
        <v>0</v>
      </c>
      <c r="K692" s="21"/>
      <c r="L692" s="22"/>
    </row>
    <row r="693" ht="22.5" customHeight="1">
      <c r="A693" s="28">
        <v>46065.0</v>
      </c>
      <c r="B693" s="15" t="s">
        <v>881</v>
      </c>
      <c r="C693" s="13" t="s">
        <v>9</v>
      </c>
      <c r="D693" s="13">
        <v>80.0</v>
      </c>
      <c r="E693" s="15">
        <v>140.0</v>
      </c>
      <c r="F693" s="13" t="s">
        <v>27</v>
      </c>
      <c r="G693" s="15" t="s">
        <v>99</v>
      </c>
      <c r="H693" s="15">
        <v>1140.0</v>
      </c>
      <c r="I693" s="20"/>
      <c r="J693" s="20">
        <f t="shared" si="1"/>
        <v>159.6</v>
      </c>
      <c r="K693" s="21"/>
      <c r="L693" s="22"/>
    </row>
    <row r="694" ht="22.5" customHeight="1">
      <c r="A694" s="28">
        <v>46065.0</v>
      </c>
      <c r="B694" s="15" t="s">
        <v>882</v>
      </c>
      <c r="C694" s="13" t="s">
        <v>43</v>
      </c>
      <c r="D694" s="13">
        <v>50.0</v>
      </c>
      <c r="E694" s="15">
        <v>125.0</v>
      </c>
      <c r="F694" s="13" t="s">
        <v>27</v>
      </c>
      <c r="G694" s="15" t="s">
        <v>176</v>
      </c>
      <c r="H694" s="15">
        <v>590.0</v>
      </c>
      <c r="I694" s="20"/>
      <c r="J694" s="20">
        <f t="shared" si="1"/>
        <v>73.75</v>
      </c>
      <c r="K694" s="21"/>
      <c r="L694" s="22"/>
    </row>
    <row r="695" ht="22.5" customHeight="1">
      <c r="A695" s="28">
        <v>46065.0</v>
      </c>
      <c r="B695" s="15" t="s">
        <v>883</v>
      </c>
      <c r="C695" s="13" t="s">
        <v>43</v>
      </c>
      <c r="D695" s="13">
        <v>50.0</v>
      </c>
      <c r="E695" s="15">
        <v>190.0</v>
      </c>
      <c r="F695" s="13" t="s">
        <v>23</v>
      </c>
      <c r="G695" s="15" t="s">
        <v>884</v>
      </c>
      <c r="H695" s="15">
        <v>0.0</v>
      </c>
      <c r="I695" s="20"/>
      <c r="J695" s="20">
        <f t="shared" si="1"/>
        <v>0</v>
      </c>
      <c r="K695" s="21"/>
      <c r="L695" s="22"/>
    </row>
    <row r="696" ht="22.5" customHeight="1">
      <c r="A696" s="28">
        <v>46066.0</v>
      </c>
      <c r="B696" s="15" t="s">
        <v>885</v>
      </c>
      <c r="C696" s="13" t="s">
        <v>26</v>
      </c>
      <c r="D696" s="13">
        <v>80.0</v>
      </c>
      <c r="E696" s="15">
        <v>143.0</v>
      </c>
      <c r="F696" s="13" t="s">
        <v>23</v>
      </c>
      <c r="G696" s="15" t="s">
        <v>217</v>
      </c>
      <c r="H696" s="15">
        <v>620.0</v>
      </c>
      <c r="I696" s="20"/>
      <c r="J696" s="20">
        <f t="shared" si="1"/>
        <v>88.66</v>
      </c>
      <c r="K696" s="21"/>
      <c r="L696" s="22"/>
    </row>
    <row r="697" ht="22.5" customHeight="1">
      <c r="A697" s="28">
        <v>46066.0</v>
      </c>
      <c r="B697" s="15" t="s">
        <v>886</v>
      </c>
      <c r="C697" s="13" t="s">
        <v>9</v>
      </c>
      <c r="D697" s="13">
        <v>80.0</v>
      </c>
      <c r="E697" s="15">
        <v>185.0</v>
      </c>
      <c r="F697" s="13" t="s">
        <v>27</v>
      </c>
      <c r="G697" s="15" t="s">
        <v>106</v>
      </c>
      <c r="H697" s="15">
        <v>350.0</v>
      </c>
      <c r="I697" s="20"/>
      <c r="J697" s="20">
        <f t="shared" si="1"/>
        <v>64.75</v>
      </c>
      <c r="K697" s="21"/>
      <c r="L697" s="22"/>
    </row>
    <row r="698" ht="22.5" customHeight="1">
      <c r="A698" s="28">
        <v>46066.0</v>
      </c>
      <c r="B698" s="15" t="s">
        <v>887</v>
      </c>
      <c r="C698" s="13" t="s">
        <v>9</v>
      </c>
      <c r="D698" s="13">
        <v>80.0</v>
      </c>
      <c r="E698" s="15">
        <v>185.0</v>
      </c>
      <c r="F698" s="13" t="s">
        <v>27</v>
      </c>
      <c r="G698" s="15" t="s">
        <v>106</v>
      </c>
      <c r="H698" s="15">
        <v>670.0</v>
      </c>
      <c r="I698" s="20"/>
      <c r="J698" s="20">
        <f t="shared" si="1"/>
        <v>123.95</v>
      </c>
      <c r="K698" s="21"/>
      <c r="L698" s="22"/>
    </row>
    <row r="699" ht="22.5" customHeight="1">
      <c r="A699" s="28">
        <v>46066.0</v>
      </c>
      <c r="B699" s="15" t="s">
        <v>888</v>
      </c>
      <c r="C699" s="38"/>
      <c r="D699" s="38"/>
      <c r="E699" s="15">
        <v>254.0</v>
      </c>
      <c r="F699" s="38"/>
      <c r="G699" s="15" t="s">
        <v>170</v>
      </c>
      <c r="H699" s="15">
        <v>4800.0</v>
      </c>
      <c r="I699" s="20"/>
      <c r="J699" s="20">
        <f t="shared" si="1"/>
        <v>1219.2</v>
      </c>
      <c r="K699" s="15" t="s">
        <v>357</v>
      </c>
      <c r="L699" s="22"/>
    </row>
    <row r="700" ht="22.5" customHeight="1">
      <c r="A700" s="28">
        <v>46067.0</v>
      </c>
      <c r="B700" s="15" t="s">
        <v>889</v>
      </c>
      <c r="C700" s="13" t="s">
        <v>9</v>
      </c>
      <c r="D700" s="13">
        <v>80.0</v>
      </c>
      <c r="E700" s="15">
        <v>230.0</v>
      </c>
      <c r="F700" s="13" t="s">
        <v>27</v>
      </c>
      <c r="G700" s="15" t="s">
        <v>139</v>
      </c>
      <c r="H700" s="15">
        <v>920.0</v>
      </c>
      <c r="I700" s="20"/>
      <c r="J700" s="20">
        <f t="shared" si="1"/>
        <v>211.6</v>
      </c>
      <c r="K700" s="21"/>
      <c r="L700" s="22"/>
    </row>
    <row r="701" ht="22.5" customHeight="1">
      <c r="A701" s="28">
        <v>46067.0</v>
      </c>
      <c r="B701" s="15" t="s">
        <v>890</v>
      </c>
      <c r="C701" s="13" t="s">
        <v>9</v>
      </c>
      <c r="D701" s="13">
        <v>80.0</v>
      </c>
      <c r="E701" s="15">
        <v>160.0</v>
      </c>
      <c r="F701" s="13" t="s">
        <v>27</v>
      </c>
      <c r="G701" s="15" t="s">
        <v>139</v>
      </c>
      <c r="H701" s="15">
        <v>210.0</v>
      </c>
      <c r="I701" s="20"/>
      <c r="J701" s="20">
        <f t="shared" si="1"/>
        <v>33.6</v>
      </c>
      <c r="K701" s="21"/>
      <c r="L701" s="22"/>
    </row>
    <row r="702" ht="22.5" customHeight="1">
      <c r="A702" s="28">
        <v>46067.0</v>
      </c>
      <c r="B702" s="15" t="s">
        <v>891</v>
      </c>
      <c r="C702" s="13" t="s">
        <v>9</v>
      </c>
      <c r="D702" s="13">
        <v>80.0</v>
      </c>
      <c r="E702" s="15">
        <v>125.0</v>
      </c>
      <c r="F702" s="13" t="s">
        <v>21</v>
      </c>
      <c r="G702" s="15" t="s">
        <v>89</v>
      </c>
      <c r="H702" s="15">
        <v>1350.0</v>
      </c>
      <c r="I702" s="20"/>
      <c r="J702" s="20">
        <f t="shared" si="1"/>
        <v>168.75</v>
      </c>
      <c r="K702" s="21"/>
      <c r="L702" s="22"/>
    </row>
    <row r="703" ht="22.5" customHeight="1">
      <c r="A703" s="28">
        <v>46067.0</v>
      </c>
      <c r="B703" s="15" t="s">
        <v>892</v>
      </c>
      <c r="C703" s="13" t="s">
        <v>54</v>
      </c>
      <c r="D703" s="13">
        <v>40.0</v>
      </c>
      <c r="E703" s="15">
        <v>240.0</v>
      </c>
      <c r="F703" s="13" t="s">
        <v>55</v>
      </c>
      <c r="G703" s="15" t="s">
        <v>893</v>
      </c>
      <c r="H703" s="15">
        <v>0.0</v>
      </c>
      <c r="I703" s="20"/>
      <c r="J703" s="20">
        <f t="shared" si="1"/>
        <v>0</v>
      </c>
      <c r="K703" s="21"/>
      <c r="L703" s="22"/>
    </row>
    <row r="704" ht="22.5" customHeight="1">
      <c r="A704" s="28">
        <v>46069.0</v>
      </c>
      <c r="B704" s="15" t="s">
        <v>894</v>
      </c>
      <c r="C704" s="13" t="s">
        <v>9</v>
      </c>
      <c r="D704" s="13">
        <v>80.0</v>
      </c>
      <c r="E704" s="15">
        <v>125.0</v>
      </c>
      <c r="F704" s="13" t="s">
        <v>21</v>
      </c>
      <c r="G704" s="15" t="s">
        <v>89</v>
      </c>
      <c r="H704" s="15">
        <v>0.0</v>
      </c>
      <c r="I704" s="20"/>
      <c r="J704" s="20">
        <f t="shared" si="1"/>
        <v>0</v>
      </c>
      <c r="K704" s="21"/>
      <c r="L704" s="22"/>
    </row>
    <row r="705" ht="22.5" customHeight="1">
      <c r="A705" s="28">
        <v>46069.0</v>
      </c>
      <c r="B705" s="15" t="s">
        <v>895</v>
      </c>
      <c r="C705" s="13" t="s">
        <v>9</v>
      </c>
      <c r="D705" s="13">
        <v>80.0</v>
      </c>
      <c r="E705" s="15">
        <v>320.0</v>
      </c>
      <c r="F705" s="13" t="s">
        <v>21</v>
      </c>
      <c r="G705" s="15" t="s">
        <v>89</v>
      </c>
      <c r="H705" s="15">
        <v>1640.0</v>
      </c>
      <c r="I705" s="20"/>
      <c r="J705" s="20">
        <f t="shared" si="1"/>
        <v>524.8</v>
      </c>
      <c r="K705" s="21"/>
      <c r="L705" s="22"/>
    </row>
    <row r="706" ht="22.5" customHeight="1">
      <c r="A706" s="28">
        <v>46069.0</v>
      </c>
      <c r="B706" s="15" t="s">
        <v>896</v>
      </c>
      <c r="C706" s="13" t="s">
        <v>9</v>
      </c>
      <c r="D706" s="13">
        <v>80.0</v>
      </c>
      <c r="E706" s="15">
        <v>330.0</v>
      </c>
      <c r="F706" s="13" t="s">
        <v>21</v>
      </c>
      <c r="G706" s="15" t="s">
        <v>89</v>
      </c>
      <c r="H706" s="15">
        <v>230.0</v>
      </c>
      <c r="I706" s="20"/>
      <c r="J706" s="20">
        <f t="shared" si="1"/>
        <v>75.9</v>
      </c>
      <c r="K706" s="21"/>
      <c r="L706" s="22"/>
    </row>
    <row r="707" ht="22.5" customHeight="1">
      <c r="A707" s="28">
        <v>46069.0</v>
      </c>
      <c r="B707" s="15" t="s">
        <v>897</v>
      </c>
      <c r="C707" s="13" t="s">
        <v>9</v>
      </c>
      <c r="D707" s="13">
        <v>80.0</v>
      </c>
      <c r="E707" s="15">
        <v>180.0</v>
      </c>
      <c r="F707" s="13" t="s">
        <v>21</v>
      </c>
      <c r="G707" s="15" t="s">
        <v>89</v>
      </c>
      <c r="H707" s="15">
        <v>630.0</v>
      </c>
      <c r="I707" s="20"/>
      <c r="J707" s="20">
        <f t="shared" si="1"/>
        <v>113.4</v>
      </c>
      <c r="K707" s="21"/>
      <c r="L707" s="22"/>
    </row>
    <row r="708" ht="22.5" customHeight="1">
      <c r="A708" s="28">
        <v>46069.0</v>
      </c>
      <c r="B708" s="15" t="s">
        <v>898</v>
      </c>
      <c r="C708" s="13" t="s">
        <v>9</v>
      </c>
      <c r="D708" s="13">
        <v>80.0</v>
      </c>
      <c r="E708" s="15">
        <v>180.0</v>
      </c>
      <c r="F708" s="13" t="s">
        <v>21</v>
      </c>
      <c r="G708" s="15" t="s">
        <v>89</v>
      </c>
      <c r="H708" s="15">
        <v>290.0</v>
      </c>
      <c r="I708" s="20"/>
      <c r="J708" s="20">
        <f t="shared" si="1"/>
        <v>52.2</v>
      </c>
      <c r="K708" s="21"/>
      <c r="L708" s="22"/>
    </row>
    <row r="709" ht="22.5" customHeight="1">
      <c r="A709" s="28">
        <v>46070.0</v>
      </c>
      <c r="B709" s="15" t="s">
        <v>899</v>
      </c>
      <c r="C709" s="38"/>
      <c r="D709" s="38"/>
      <c r="E709" s="21"/>
      <c r="F709" s="38"/>
      <c r="G709" s="21"/>
      <c r="H709" s="21"/>
      <c r="I709" s="20"/>
      <c r="J709" s="20">
        <f t="shared" si="1"/>
        <v>0</v>
      </c>
      <c r="K709" s="21"/>
      <c r="L709" s="22"/>
    </row>
    <row r="710" ht="22.5" customHeight="1">
      <c r="A710" s="28">
        <v>46070.0</v>
      </c>
      <c r="B710" s="15" t="s">
        <v>900</v>
      </c>
      <c r="C710" s="13" t="s">
        <v>9</v>
      </c>
      <c r="D710" s="13">
        <v>80.0</v>
      </c>
      <c r="E710" s="15">
        <v>160.0</v>
      </c>
      <c r="F710" s="13" t="s">
        <v>27</v>
      </c>
      <c r="G710" s="15" t="s">
        <v>901</v>
      </c>
      <c r="H710" s="15">
        <v>150.0</v>
      </c>
      <c r="I710" s="20"/>
      <c r="J710" s="20">
        <f t="shared" si="1"/>
        <v>24</v>
      </c>
      <c r="K710" s="21"/>
      <c r="L710" s="22"/>
    </row>
    <row r="711" ht="22.5" customHeight="1">
      <c r="A711" s="28">
        <v>46070.0</v>
      </c>
      <c r="B711" s="15" t="s">
        <v>902</v>
      </c>
      <c r="C711" s="13" t="s">
        <v>9</v>
      </c>
      <c r="D711" s="13">
        <v>80.0</v>
      </c>
      <c r="E711" s="15">
        <v>150.0</v>
      </c>
      <c r="F711" s="13" t="s">
        <v>21</v>
      </c>
      <c r="G711" s="15" t="s">
        <v>89</v>
      </c>
      <c r="H711" s="15">
        <v>490.0</v>
      </c>
      <c r="I711" s="20"/>
      <c r="J711" s="20">
        <f t="shared" si="1"/>
        <v>73.5</v>
      </c>
      <c r="K711" s="21"/>
      <c r="L711" s="22"/>
    </row>
    <row r="712" ht="22.5" customHeight="1">
      <c r="A712" s="28">
        <v>46070.0</v>
      </c>
      <c r="B712" s="15" t="s">
        <v>903</v>
      </c>
      <c r="C712" s="13" t="s">
        <v>9</v>
      </c>
      <c r="D712" s="13">
        <v>80.0</v>
      </c>
      <c r="E712" s="15">
        <v>150.0</v>
      </c>
      <c r="F712" s="13" t="s">
        <v>21</v>
      </c>
      <c r="G712" s="15" t="s">
        <v>89</v>
      </c>
      <c r="H712" s="15">
        <v>1430.0</v>
      </c>
      <c r="I712" s="20"/>
      <c r="J712" s="20">
        <f t="shared" si="1"/>
        <v>214.5</v>
      </c>
      <c r="K712" s="21"/>
      <c r="L712" s="22"/>
    </row>
    <row r="713" ht="22.5" customHeight="1">
      <c r="A713" s="28">
        <v>46070.0</v>
      </c>
      <c r="B713" s="15" t="s">
        <v>904</v>
      </c>
      <c r="C713" s="13" t="s">
        <v>47</v>
      </c>
      <c r="D713" s="13">
        <v>50.0</v>
      </c>
      <c r="E713" s="15">
        <v>172.0</v>
      </c>
      <c r="F713" s="13" t="s">
        <v>23</v>
      </c>
      <c r="G713" s="15" t="s">
        <v>901</v>
      </c>
      <c r="H713" s="15">
        <v>0.0</v>
      </c>
      <c r="I713" s="20"/>
      <c r="J713" s="20">
        <f t="shared" si="1"/>
        <v>0</v>
      </c>
      <c r="K713" s="21"/>
      <c r="L713" s="22"/>
    </row>
    <row r="714" ht="22.5" customHeight="1">
      <c r="A714" s="28">
        <v>46071.0</v>
      </c>
      <c r="B714" s="15" t="s">
        <v>905</v>
      </c>
      <c r="C714" s="13" t="s">
        <v>9</v>
      </c>
      <c r="D714" s="13">
        <v>80.0</v>
      </c>
      <c r="E714" s="15">
        <v>320.0</v>
      </c>
      <c r="F714" s="13" t="s">
        <v>21</v>
      </c>
      <c r="G714" s="15" t="s">
        <v>89</v>
      </c>
      <c r="H714" s="15">
        <v>1576.0</v>
      </c>
      <c r="I714" s="20"/>
      <c r="J714" s="20">
        <f t="shared" si="1"/>
        <v>504.32</v>
      </c>
      <c r="K714" s="21"/>
      <c r="L714" s="22"/>
    </row>
    <row r="715" ht="22.5" customHeight="1">
      <c r="A715" s="28">
        <v>46071.0</v>
      </c>
      <c r="B715" s="15" t="s">
        <v>906</v>
      </c>
      <c r="C715" s="13" t="s">
        <v>9</v>
      </c>
      <c r="D715" s="13">
        <v>80.0</v>
      </c>
      <c r="E715" s="15">
        <v>160.0</v>
      </c>
      <c r="F715" s="13" t="s">
        <v>27</v>
      </c>
      <c r="G715" s="15" t="s">
        <v>99</v>
      </c>
      <c r="H715" s="15">
        <v>730.0</v>
      </c>
      <c r="I715" s="20"/>
      <c r="J715" s="20">
        <f t="shared" si="1"/>
        <v>116.8</v>
      </c>
      <c r="K715" s="21"/>
      <c r="L715" s="22"/>
    </row>
    <row r="716" ht="22.5" customHeight="1">
      <c r="A716" s="28">
        <v>46071.0</v>
      </c>
      <c r="B716" s="15" t="s">
        <v>907</v>
      </c>
      <c r="C716" s="13" t="s">
        <v>9</v>
      </c>
      <c r="D716" s="13">
        <v>80.0</v>
      </c>
      <c r="E716" s="15">
        <v>160.0</v>
      </c>
      <c r="F716" s="13" t="s">
        <v>27</v>
      </c>
      <c r="G716" s="15" t="s">
        <v>99</v>
      </c>
      <c r="H716" s="15">
        <v>605.0</v>
      </c>
      <c r="I716" s="20"/>
      <c r="J716" s="20">
        <f t="shared" si="1"/>
        <v>96.8</v>
      </c>
      <c r="K716" s="21"/>
      <c r="L716" s="22"/>
    </row>
    <row r="717" ht="22.5" customHeight="1">
      <c r="A717" s="28">
        <v>46071.0</v>
      </c>
      <c r="B717" s="15" t="s">
        <v>908</v>
      </c>
      <c r="C717" s="13" t="s">
        <v>9</v>
      </c>
      <c r="D717" s="13">
        <v>80.0</v>
      </c>
      <c r="E717" s="15">
        <v>160.0</v>
      </c>
      <c r="F717" s="13" t="s">
        <v>27</v>
      </c>
      <c r="G717" s="15" t="s">
        <v>99</v>
      </c>
      <c r="H717" s="15">
        <v>370.0</v>
      </c>
      <c r="I717" s="20"/>
      <c r="J717" s="20">
        <f t="shared" si="1"/>
        <v>59.2</v>
      </c>
      <c r="K717" s="21"/>
      <c r="L717" s="22"/>
    </row>
    <row r="718" ht="22.5" customHeight="1">
      <c r="A718" s="28">
        <v>46071.0</v>
      </c>
      <c r="B718" s="15" t="s">
        <v>909</v>
      </c>
      <c r="C718" s="13" t="s">
        <v>9</v>
      </c>
      <c r="D718" s="13">
        <v>80.0</v>
      </c>
      <c r="E718" s="15">
        <v>140.0</v>
      </c>
      <c r="F718" s="13" t="s">
        <v>27</v>
      </c>
      <c r="G718" s="15" t="s">
        <v>99</v>
      </c>
      <c r="H718" s="15">
        <v>720.0</v>
      </c>
      <c r="I718" s="20"/>
      <c r="J718" s="20">
        <f t="shared" si="1"/>
        <v>100.8</v>
      </c>
      <c r="K718" s="21"/>
      <c r="L718" s="22"/>
    </row>
    <row r="719" ht="22.5" customHeight="1">
      <c r="A719" s="28">
        <v>46071.0</v>
      </c>
      <c r="B719" s="15" t="s">
        <v>910</v>
      </c>
      <c r="C719" s="13" t="s">
        <v>9</v>
      </c>
      <c r="D719" s="13">
        <v>80.0</v>
      </c>
      <c r="E719" s="15">
        <v>220.0</v>
      </c>
      <c r="F719" s="13" t="s">
        <v>27</v>
      </c>
      <c r="G719" s="15" t="s">
        <v>99</v>
      </c>
      <c r="H719" s="15">
        <v>0.0</v>
      </c>
      <c r="I719" s="20"/>
      <c r="J719" s="20">
        <f t="shared" si="1"/>
        <v>0</v>
      </c>
      <c r="K719" s="21"/>
      <c r="L719" s="22"/>
    </row>
    <row r="720" ht="22.5" customHeight="1">
      <c r="A720" s="28">
        <v>46071.0</v>
      </c>
      <c r="B720" s="15" t="s">
        <v>911</v>
      </c>
      <c r="C720" s="38"/>
      <c r="D720" s="38"/>
      <c r="E720" s="15">
        <v>100.0</v>
      </c>
      <c r="F720" s="38"/>
      <c r="G720" s="15" t="s">
        <v>170</v>
      </c>
      <c r="H720" s="15">
        <v>84.0</v>
      </c>
      <c r="I720" s="20"/>
      <c r="J720" s="20">
        <f t="shared" si="1"/>
        <v>8.4</v>
      </c>
      <c r="K720" s="21"/>
      <c r="L720" s="22"/>
    </row>
    <row r="721" ht="22.5" customHeight="1">
      <c r="A721" s="28">
        <v>46072.0</v>
      </c>
      <c r="B721" s="15" t="s">
        <v>912</v>
      </c>
      <c r="C721" s="13" t="s">
        <v>77</v>
      </c>
      <c r="D721" s="13">
        <v>230.0</v>
      </c>
      <c r="E721" s="15">
        <v>200.0</v>
      </c>
      <c r="F721" s="13" t="s">
        <v>21</v>
      </c>
      <c r="G721" s="15" t="s">
        <v>884</v>
      </c>
      <c r="H721" s="15">
        <v>650.0</v>
      </c>
      <c r="I721" s="20"/>
      <c r="J721" s="20">
        <f t="shared" si="1"/>
        <v>130</v>
      </c>
      <c r="K721" s="21"/>
      <c r="L721" s="22"/>
    </row>
    <row r="722" ht="22.5" customHeight="1">
      <c r="A722" s="28">
        <v>46072.0</v>
      </c>
      <c r="B722" s="15" t="s">
        <v>913</v>
      </c>
      <c r="C722" s="13" t="s">
        <v>9</v>
      </c>
      <c r="D722" s="13">
        <v>80.0</v>
      </c>
      <c r="E722" s="15">
        <v>180.0</v>
      </c>
      <c r="F722" s="13" t="s">
        <v>21</v>
      </c>
      <c r="G722" s="15" t="s">
        <v>89</v>
      </c>
      <c r="H722" s="15">
        <v>940.0</v>
      </c>
      <c r="I722" s="20"/>
      <c r="J722" s="20">
        <f t="shared" si="1"/>
        <v>169.2</v>
      </c>
      <c r="K722" s="21"/>
      <c r="L722" s="22"/>
    </row>
    <row r="723" ht="22.5" customHeight="1">
      <c r="A723" s="28">
        <v>46072.0</v>
      </c>
      <c r="B723" s="15" t="s">
        <v>914</v>
      </c>
      <c r="C723" s="13" t="s">
        <v>52</v>
      </c>
      <c r="D723" s="13">
        <v>50.0</v>
      </c>
      <c r="E723" s="15">
        <v>125.0</v>
      </c>
      <c r="F723" s="13" t="s">
        <v>31</v>
      </c>
      <c r="G723" s="15" t="s">
        <v>331</v>
      </c>
      <c r="H723" s="15">
        <v>450.0</v>
      </c>
      <c r="I723" s="20"/>
      <c r="J723" s="20">
        <f t="shared" si="1"/>
        <v>56.25</v>
      </c>
      <c r="K723" s="21"/>
      <c r="L723" s="22"/>
    </row>
    <row r="724" ht="22.5" customHeight="1">
      <c r="A724" s="28">
        <v>46072.0</v>
      </c>
      <c r="B724" s="15" t="s">
        <v>915</v>
      </c>
      <c r="C724" s="13" t="s">
        <v>9</v>
      </c>
      <c r="D724" s="13">
        <v>80.0</v>
      </c>
      <c r="E724" s="15">
        <v>290.0</v>
      </c>
      <c r="F724" s="13" t="s">
        <v>21</v>
      </c>
      <c r="G724" s="15" t="s">
        <v>89</v>
      </c>
      <c r="H724" s="15">
        <v>300.0</v>
      </c>
      <c r="I724" s="20"/>
      <c r="J724" s="20">
        <f t="shared" si="1"/>
        <v>87</v>
      </c>
      <c r="K724" s="21"/>
      <c r="L724" s="22"/>
    </row>
    <row r="725" ht="22.5" customHeight="1">
      <c r="A725" s="28">
        <v>46073.0</v>
      </c>
      <c r="B725" s="15" t="s">
        <v>916</v>
      </c>
      <c r="C725" s="13" t="s">
        <v>9</v>
      </c>
      <c r="D725" s="13">
        <v>80.0</v>
      </c>
      <c r="E725" s="15">
        <v>125.0</v>
      </c>
      <c r="F725" s="13" t="s">
        <v>21</v>
      </c>
      <c r="G725" s="15" t="s">
        <v>89</v>
      </c>
      <c r="H725" s="15">
        <v>600.0</v>
      </c>
      <c r="I725" s="20"/>
      <c r="J725" s="20">
        <f t="shared" si="1"/>
        <v>75</v>
      </c>
      <c r="K725" s="21"/>
      <c r="L725" s="22"/>
    </row>
    <row r="726" ht="22.5" customHeight="1">
      <c r="A726" s="28">
        <v>46073.0</v>
      </c>
      <c r="B726" s="15" t="s">
        <v>917</v>
      </c>
      <c r="C726" s="13" t="s">
        <v>9</v>
      </c>
      <c r="D726" s="13">
        <v>80.0</v>
      </c>
      <c r="E726" s="15">
        <v>290.0</v>
      </c>
      <c r="F726" s="13" t="s">
        <v>21</v>
      </c>
      <c r="G726" s="15" t="s">
        <v>89</v>
      </c>
      <c r="H726" s="15">
        <v>230.0</v>
      </c>
      <c r="I726" s="20"/>
      <c r="J726" s="20">
        <f t="shared" si="1"/>
        <v>66.7</v>
      </c>
      <c r="K726" s="21"/>
      <c r="L726" s="22"/>
    </row>
    <row r="727" ht="22.5" customHeight="1">
      <c r="A727" s="28">
        <v>46073.0</v>
      </c>
      <c r="B727" s="15" t="s">
        <v>867</v>
      </c>
      <c r="C727" s="13" t="s">
        <v>9</v>
      </c>
      <c r="D727" s="13">
        <v>80.0</v>
      </c>
      <c r="E727" s="15">
        <v>320.0</v>
      </c>
      <c r="F727" s="13" t="s">
        <v>21</v>
      </c>
      <c r="G727" s="15" t="s">
        <v>89</v>
      </c>
      <c r="H727" s="15">
        <v>1090.0</v>
      </c>
      <c r="I727" s="20"/>
      <c r="J727" s="20">
        <f t="shared" si="1"/>
        <v>348.8</v>
      </c>
      <c r="K727" s="21"/>
      <c r="L727" s="22"/>
    </row>
    <row r="728" ht="22.5" customHeight="1">
      <c r="A728" s="28">
        <v>46073.0</v>
      </c>
      <c r="B728" s="15" t="s">
        <v>918</v>
      </c>
      <c r="C728" s="13" t="s">
        <v>9</v>
      </c>
      <c r="D728" s="13">
        <v>80.0</v>
      </c>
      <c r="E728" s="15">
        <v>210.0</v>
      </c>
      <c r="F728" s="13" t="s">
        <v>21</v>
      </c>
      <c r="G728" s="15" t="s">
        <v>89</v>
      </c>
      <c r="H728" s="15">
        <v>0.0</v>
      </c>
      <c r="I728" s="20"/>
      <c r="J728" s="20">
        <f t="shared" si="1"/>
        <v>0</v>
      </c>
      <c r="K728" s="21"/>
      <c r="L728" s="22"/>
    </row>
    <row r="729" ht="22.5" customHeight="1">
      <c r="A729" s="28">
        <v>46073.0</v>
      </c>
      <c r="B729" s="15" t="s">
        <v>919</v>
      </c>
      <c r="C729" s="13" t="s">
        <v>9</v>
      </c>
      <c r="D729" s="13">
        <v>80.0</v>
      </c>
      <c r="E729" s="15">
        <v>290.0</v>
      </c>
      <c r="F729" s="13" t="s">
        <v>21</v>
      </c>
      <c r="G729" s="15" t="s">
        <v>89</v>
      </c>
      <c r="H729" s="15">
        <v>1520.0</v>
      </c>
      <c r="I729" s="20"/>
      <c r="J729" s="20">
        <f t="shared" si="1"/>
        <v>440.8</v>
      </c>
      <c r="K729" s="21"/>
      <c r="L729" s="22"/>
    </row>
    <row r="730" ht="22.5" customHeight="1">
      <c r="A730" s="28">
        <v>46074.0</v>
      </c>
      <c r="B730" s="15" t="s">
        <v>920</v>
      </c>
      <c r="C730" s="13" t="s">
        <v>9</v>
      </c>
      <c r="D730" s="13">
        <v>80.0</v>
      </c>
      <c r="E730" s="15">
        <v>150.0</v>
      </c>
      <c r="F730" s="13" t="s">
        <v>21</v>
      </c>
      <c r="G730" s="15" t="s">
        <v>89</v>
      </c>
      <c r="H730" s="15">
        <v>500.0</v>
      </c>
      <c r="I730" s="20"/>
      <c r="J730" s="20">
        <f t="shared" si="1"/>
        <v>75</v>
      </c>
      <c r="K730" s="21"/>
      <c r="L730" s="22"/>
    </row>
    <row r="731" ht="22.5" customHeight="1">
      <c r="A731" s="28">
        <v>46074.0</v>
      </c>
      <c r="B731" s="15" t="s">
        <v>921</v>
      </c>
      <c r="C731" s="13" t="s">
        <v>9</v>
      </c>
      <c r="D731" s="13">
        <v>80.0</v>
      </c>
      <c r="E731" s="15">
        <v>210.0</v>
      </c>
      <c r="F731" s="13" t="s">
        <v>21</v>
      </c>
      <c r="G731" s="15" t="s">
        <v>89</v>
      </c>
      <c r="H731" s="15">
        <v>1970.0</v>
      </c>
      <c r="I731" s="20"/>
      <c r="J731" s="20">
        <f t="shared" si="1"/>
        <v>413.7</v>
      </c>
      <c r="K731" s="21"/>
      <c r="L731" s="22"/>
    </row>
    <row r="732" ht="22.5" customHeight="1">
      <c r="A732" s="28">
        <v>46076.0</v>
      </c>
      <c r="B732" s="15" t="s">
        <v>922</v>
      </c>
      <c r="C732" s="13" t="s">
        <v>9</v>
      </c>
      <c r="D732" s="13">
        <v>80.0</v>
      </c>
      <c r="E732" s="15">
        <v>210.0</v>
      </c>
      <c r="F732" s="13" t="s">
        <v>21</v>
      </c>
      <c r="G732" s="15" t="s">
        <v>89</v>
      </c>
      <c r="H732" s="15">
        <v>1650.0</v>
      </c>
      <c r="I732" s="20"/>
      <c r="J732" s="20">
        <f t="shared" si="1"/>
        <v>346.5</v>
      </c>
      <c r="K732" s="21"/>
      <c r="L732" s="22"/>
    </row>
    <row r="733" ht="22.5" customHeight="1">
      <c r="A733" s="28">
        <v>46076.0</v>
      </c>
      <c r="B733" s="15" t="s">
        <v>923</v>
      </c>
      <c r="C733" s="13" t="s">
        <v>9</v>
      </c>
      <c r="D733" s="13">
        <v>80.0</v>
      </c>
      <c r="E733" s="15">
        <v>160.0</v>
      </c>
      <c r="F733" s="13" t="s">
        <v>27</v>
      </c>
      <c r="G733" s="15" t="s">
        <v>99</v>
      </c>
      <c r="H733" s="15">
        <v>0.0</v>
      </c>
      <c r="I733" s="20"/>
      <c r="J733" s="20">
        <f t="shared" si="1"/>
        <v>0</v>
      </c>
      <c r="K733" s="21"/>
      <c r="L733" s="22"/>
    </row>
    <row r="734" ht="22.5" customHeight="1">
      <c r="A734" s="28">
        <v>46076.0</v>
      </c>
      <c r="B734" s="15" t="s">
        <v>924</v>
      </c>
      <c r="C734" s="13" t="s">
        <v>45</v>
      </c>
      <c r="D734" s="13">
        <v>50.0</v>
      </c>
      <c r="E734" s="15">
        <v>132.0</v>
      </c>
      <c r="F734" s="38"/>
      <c r="G734" s="15" t="s">
        <v>925</v>
      </c>
      <c r="H734" s="15">
        <v>50.0</v>
      </c>
      <c r="I734" s="20"/>
      <c r="J734" s="20">
        <f t="shared" si="1"/>
        <v>6.6</v>
      </c>
      <c r="K734" s="21"/>
      <c r="L734" s="22"/>
    </row>
    <row r="735" ht="22.5" customHeight="1">
      <c r="A735" s="28">
        <v>46076.0</v>
      </c>
      <c r="B735" s="15" t="s">
        <v>926</v>
      </c>
      <c r="C735" s="13" t="s">
        <v>42</v>
      </c>
      <c r="D735" s="13">
        <v>50.0</v>
      </c>
      <c r="E735" s="15">
        <v>180.0</v>
      </c>
      <c r="F735" s="38"/>
      <c r="G735" s="15" t="s">
        <v>925</v>
      </c>
      <c r="H735" s="15">
        <v>350.0</v>
      </c>
      <c r="I735" s="20"/>
      <c r="J735" s="20">
        <f t="shared" si="1"/>
        <v>63</v>
      </c>
      <c r="K735" s="21"/>
      <c r="L735" s="22"/>
    </row>
    <row r="736" ht="22.5" customHeight="1">
      <c r="A736" s="28">
        <v>46077.0</v>
      </c>
      <c r="B736" s="15" t="s">
        <v>927</v>
      </c>
      <c r="C736" s="13" t="s">
        <v>9</v>
      </c>
      <c r="D736" s="13">
        <v>80.0</v>
      </c>
      <c r="E736" s="15">
        <v>320.0</v>
      </c>
      <c r="F736" s="13" t="s">
        <v>21</v>
      </c>
      <c r="G736" s="15" t="s">
        <v>89</v>
      </c>
      <c r="H736" s="15">
        <v>400.0</v>
      </c>
      <c r="I736" s="20"/>
      <c r="J736" s="20">
        <f t="shared" si="1"/>
        <v>128</v>
      </c>
      <c r="K736" s="21"/>
      <c r="L736" s="22"/>
    </row>
    <row r="737" ht="22.5" customHeight="1">
      <c r="A737" s="28">
        <v>46077.0</v>
      </c>
      <c r="B737" s="15" t="s">
        <v>928</v>
      </c>
      <c r="C737" s="13" t="s">
        <v>9</v>
      </c>
      <c r="D737" s="13">
        <v>80.0</v>
      </c>
      <c r="E737" s="15">
        <v>250.0</v>
      </c>
      <c r="F737" s="13" t="s">
        <v>21</v>
      </c>
      <c r="G737" s="15" t="s">
        <v>89</v>
      </c>
      <c r="H737" s="15">
        <v>250.0</v>
      </c>
      <c r="I737" s="20"/>
      <c r="J737" s="20">
        <f t="shared" si="1"/>
        <v>62.5</v>
      </c>
      <c r="K737" s="21"/>
      <c r="L737" s="22"/>
    </row>
    <row r="738" ht="22.5" customHeight="1">
      <c r="A738" s="28">
        <v>46077.0</v>
      </c>
      <c r="B738" s="15" t="s">
        <v>929</v>
      </c>
      <c r="C738" s="13" t="s">
        <v>9</v>
      </c>
      <c r="D738" s="13">
        <v>80.0</v>
      </c>
      <c r="E738" s="15">
        <v>250.0</v>
      </c>
      <c r="F738" s="13" t="s">
        <v>21</v>
      </c>
      <c r="G738" s="15" t="s">
        <v>89</v>
      </c>
      <c r="H738" s="15">
        <v>200.0</v>
      </c>
      <c r="I738" s="20"/>
      <c r="J738" s="20">
        <f t="shared" si="1"/>
        <v>50</v>
      </c>
      <c r="K738" s="21"/>
      <c r="L738" s="22"/>
    </row>
    <row r="739" ht="22.5" customHeight="1">
      <c r="A739" s="28">
        <v>46078.0</v>
      </c>
      <c r="B739" s="15" t="s">
        <v>930</v>
      </c>
      <c r="C739" s="13" t="s">
        <v>9</v>
      </c>
      <c r="D739" s="13">
        <v>80.0</v>
      </c>
      <c r="E739" s="15">
        <v>160.0</v>
      </c>
      <c r="F739" s="13" t="s">
        <v>27</v>
      </c>
      <c r="G739" s="15" t="s">
        <v>99</v>
      </c>
      <c r="H739" s="15">
        <v>960.0</v>
      </c>
      <c r="I739" s="20"/>
      <c r="J739" s="20">
        <f t="shared" si="1"/>
        <v>153.6</v>
      </c>
      <c r="K739" s="21"/>
      <c r="L739" s="22"/>
    </row>
    <row r="740" ht="22.5" customHeight="1">
      <c r="A740" s="28">
        <v>46078.0</v>
      </c>
      <c r="B740" s="15" t="s">
        <v>931</v>
      </c>
      <c r="C740" s="13" t="s">
        <v>9</v>
      </c>
      <c r="D740" s="13">
        <v>80.0</v>
      </c>
      <c r="E740" s="15">
        <v>195.0</v>
      </c>
      <c r="F740" s="13" t="s">
        <v>27</v>
      </c>
      <c r="G740" s="15" t="s">
        <v>99</v>
      </c>
      <c r="H740" s="15">
        <v>440.0</v>
      </c>
      <c r="I740" s="20"/>
      <c r="J740" s="20">
        <f t="shared" si="1"/>
        <v>85.8</v>
      </c>
      <c r="K740" s="21"/>
      <c r="L740" s="22"/>
    </row>
    <row r="741" ht="22.5" customHeight="1">
      <c r="A741" s="28">
        <v>46078.0</v>
      </c>
      <c r="B741" s="15" t="s">
        <v>932</v>
      </c>
      <c r="C741" s="13" t="s">
        <v>9</v>
      </c>
      <c r="D741" s="13">
        <v>80.0</v>
      </c>
      <c r="E741" s="15">
        <v>160.0</v>
      </c>
      <c r="F741" s="13" t="s">
        <v>27</v>
      </c>
      <c r="G741" s="15" t="s">
        <v>99</v>
      </c>
      <c r="H741" s="15">
        <v>0.0</v>
      </c>
      <c r="I741" s="20"/>
      <c r="J741" s="20">
        <f t="shared" si="1"/>
        <v>0</v>
      </c>
      <c r="K741" s="21"/>
      <c r="L741" s="22"/>
    </row>
    <row r="742" ht="22.5" customHeight="1">
      <c r="A742" s="28">
        <v>46078.0</v>
      </c>
      <c r="B742" s="15" t="s">
        <v>933</v>
      </c>
      <c r="C742" s="13" t="s">
        <v>9</v>
      </c>
      <c r="D742" s="13">
        <v>80.0</v>
      </c>
      <c r="E742" s="15">
        <v>160.0</v>
      </c>
      <c r="F742" s="13" t="s">
        <v>27</v>
      </c>
      <c r="G742" s="15" t="s">
        <v>99</v>
      </c>
      <c r="H742" s="15">
        <v>590.0</v>
      </c>
      <c r="I742" s="20"/>
      <c r="J742" s="20">
        <f t="shared" si="1"/>
        <v>94.4</v>
      </c>
      <c r="K742" s="21"/>
      <c r="L742" s="22"/>
    </row>
    <row r="743" ht="22.5" customHeight="1">
      <c r="A743" s="28">
        <v>46078.0</v>
      </c>
      <c r="B743" s="15" t="s">
        <v>934</v>
      </c>
      <c r="C743" s="13" t="s">
        <v>9</v>
      </c>
      <c r="D743" s="13">
        <v>80.0</v>
      </c>
      <c r="E743" s="15">
        <v>230.0</v>
      </c>
      <c r="F743" s="13" t="s">
        <v>27</v>
      </c>
      <c r="G743" s="15" t="s">
        <v>99</v>
      </c>
      <c r="H743" s="15">
        <v>1080.0</v>
      </c>
      <c r="I743" s="20"/>
      <c r="J743" s="20">
        <f t="shared" si="1"/>
        <v>248.4</v>
      </c>
      <c r="K743" s="21"/>
      <c r="L743" s="22"/>
    </row>
    <row r="744" ht="22.5" customHeight="1">
      <c r="A744" s="28">
        <v>46078.0</v>
      </c>
      <c r="B744" s="15" t="s">
        <v>935</v>
      </c>
      <c r="C744" s="13" t="s">
        <v>9</v>
      </c>
      <c r="D744" s="13">
        <v>80.0</v>
      </c>
      <c r="E744" s="15">
        <v>230.0</v>
      </c>
      <c r="F744" s="13" t="s">
        <v>27</v>
      </c>
      <c r="G744" s="15" t="s">
        <v>99</v>
      </c>
      <c r="H744" s="15">
        <v>70.0</v>
      </c>
      <c r="I744" s="20"/>
      <c r="J744" s="20">
        <f t="shared" si="1"/>
        <v>16.1</v>
      </c>
      <c r="K744" s="21"/>
      <c r="L744" s="22"/>
    </row>
    <row r="745" ht="22.5" customHeight="1">
      <c r="A745" s="28">
        <v>46078.0</v>
      </c>
      <c r="B745" s="15" t="s">
        <v>936</v>
      </c>
      <c r="C745" s="13" t="s">
        <v>9</v>
      </c>
      <c r="D745" s="13">
        <v>80.0</v>
      </c>
      <c r="E745" s="15">
        <v>230.0</v>
      </c>
      <c r="F745" s="13" t="s">
        <v>27</v>
      </c>
      <c r="G745" s="15" t="s">
        <v>99</v>
      </c>
      <c r="H745" s="15">
        <v>550.0</v>
      </c>
      <c r="I745" s="20"/>
      <c r="J745" s="20">
        <f t="shared" si="1"/>
        <v>126.5</v>
      </c>
      <c r="K745" s="21"/>
      <c r="L745" s="22"/>
    </row>
    <row r="746" ht="22.5" customHeight="1">
      <c r="A746" s="28">
        <v>46079.0</v>
      </c>
      <c r="B746" s="15" t="s">
        <v>937</v>
      </c>
      <c r="C746" s="13" t="s">
        <v>9</v>
      </c>
      <c r="D746" s="13">
        <v>80.0</v>
      </c>
      <c r="E746" s="15">
        <v>140.0</v>
      </c>
      <c r="F746" s="13" t="s">
        <v>27</v>
      </c>
      <c r="G746" s="15" t="s">
        <v>99</v>
      </c>
      <c r="H746" s="15">
        <v>1100.0</v>
      </c>
      <c r="I746" s="20"/>
      <c r="J746" s="20">
        <f t="shared" si="1"/>
        <v>154</v>
      </c>
      <c r="K746" s="21"/>
      <c r="L746" s="22"/>
    </row>
    <row r="747" ht="22.5" customHeight="1">
      <c r="A747" s="28">
        <v>46079.0</v>
      </c>
      <c r="B747" s="15" t="s">
        <v>938</v>
      </c>
      <c r="C747" s="13" t="s">
        <v>9</v>
      </c>
      <c r="D747" s="13">
        <v>80.0</v>
      </c>
      <c r="E747" s="15">
        <v>140.0</v>
      </c>
      <c r="F747" s="13" t="s">
        <v>27</v>
      </c>
      <c r="G747" s="15" t="s">
        <v>99</v>
      </c>
      <c r="H747" s="15">
        <v>1240.0</v>
      </c>
      <c r="I747" s="20"/>
      <c r="J747" s="20">
        <f t="shared" si="1"/>
        <v>173.6</v>
      </c>
      <c r="K747" s="21"/>
      <c r="L747" s="22"/>
    </row>
    <row r="748" ht="22.5" customHeight="1">
      <c r="A748" s="28">
        <v>46079.0</v>
      </c>
      <c r="B748" s="15" t="s">
        <v>939</v>
      </c>
      <c r="C748" s="13" t="s">
        <v>9</v>
      </c>
      <c r="D748" s="13">
        <v>80.0</v>
      </c>
      <c r="E748" s="15">
        <v>185.0</v>
      </c>
      <c r="F748" s="13" t="s">
        <v>27</v>
      </c>
      <c r="G748" s="15" t="s">
        <v>99</v>
      </c>
      <c r="H748" s="15">
        <v>1220.0</v>
      </c>
      <c r="I748" s="20"/>
      <c r="J748" s="20">
        <f t="shared" si="1"/>
        <v>225.7</v>
      </c>
      <c r="K748" s="21"/>
      <c r="L748" s="22"/>
    </row>
    <row r="749" ht="22.5" customHeight="1">
      <c r="A749" s="28">
        <v>46079.0</v>
      </c>
      <c r="B749" s="15" t="s">
        <v>940</v>
      </c>
      <c r="C749" s="13" t="s">
        <v>9</v>
      </c>
      <c r="D749" s="13">
        <v>80.0</v>
      </c>
      <c r="E749" s="15">
        <v>230.0</v>
      </c>
      <c r="F749" s="13" t="s">
        <v>27</v>
      </c>
      <c r="G749" s="15" t="s">
        <v>99</v>
      </c>
      <c r="H749" s="15">
        <v>300.0</v>
      </c>
      <c r="I749" s="20"/>
      <c r="J749" s="20">
        <f t="shared" si="1"/>
        <v>69</v>
      </c>
      <c r="K749" s="21"/>
      <c r="L749" s="22"/>
    </row>
    <row r="750" ht="22.5" customHeight="1">
      <c r="A750" s="28">
        <v>46079.0</v>
      </c>
      <c r="B750" s="15" t="s">
        <v>941</v>
      </c>
      <c r="C750" s="13" t="s">
        <v>43</v>
      </c>
      <c r="D750" s="13">
        <v>50.0</v>
      </c>
      <c r="E750" s="15">
        <v>125.0</v>
      </c>
      <c r="F750" s="13" t="s">
        <v>27</v>
      </c>
      <c r="G750" s="15" t="s">
        <v>176</v>
      </c>
      <c r="H750" s="15">
        <v>1490.0</v>
      </c>
      <c r="I750" s="20"/>
      <c r="J750" s="20">
        <f t="shared" si="1"/>
        <v>186.25</v>
      </c>
      <c r="K750" s="21"/>
      <c r="L750" s="22"/>
    </row>
    <row r="751" ht="22.5" customHeight="1">
      <c r="A751" s="28">
        <v>46079.0</v>
      </c>
      <c r="B751" s="15" t="s">
        <v>943</v>
      </c>
      <c r="C751" s="13" t="s">
        <v>43</v>
      </c>
      <c r="D751" s="13">
        <v>50.0</v>
      </c>
      <c r="E751" s="15">
        <v>125.0</v>
      </c>
      <c r="F751" s="13" t="s">
        <v>27</v>
      </c>
      <c r="G751" s="15" t="s">
        <v>176</v>
      </c>
      <c r="H751" s="15">
        <v>340.0</v>
      </c>
      <c r="I751" s="20"/>
      <c r="J751" s="20">
        <f t="shared" si="1"/>
        <v>42.5</v>
      </c>
      <c r="K751" s="21"/>
      <c r="L751" s="22"/>
    </row>
    <row r="752" ht="22.5" customHeight="1">
      <c r="A752" s="28">
        <v>46079.0</v>
      </c>
      <c r="B752" s="15" t="s">
        <v>944</v>
      </c>
      <c r="C752" s="13" t="s">
        <v>43</v>
      </c>
      <c r="D752" s="13">
        <v>50.0</v>
      </c>
      <c r="E752" s="15">
        <v>125.0</v>
      </c>
      <c r="F752" s="13" t="s">
        <v>27</v>
      </c>
      <c r="G752" s="15" t="s">
        <v>176</v>
      </c>
      <c r="H752" s="15">
        <v>1200.0</v>
      </c>
      <c r="I752" s="20"/>
      <c r="J752" s="20">
        <f t="shared" si="1"/>
        <v>150</v>
      </c>
      <c r="K752" s="21"/>
      <c r="L752" s="22"/>
    </row>
    <row r="753" ht="22.5" customHeight="1">
      <c r="A753" s="28">
        <v>46079.0</v>
      </c>
      <c r="B753" s="15" t="s">
        <v>945</v>
      </c>
      <c r="C753" s="13" t="s">
        <v>43</v>
      </c>
      <c r="D753" s="13">
        <v>50.0</v>
      </c>
      <c r="E753" s="15">
        <v>125.0</v>
      </c>
      <c r="F753" s="13" t="s">
        <v>27</v>
      </c>
      <c r="G753" s="15" t="s">
        <v>176</v>
      </c>
      <c r="H753" s="15">
        <v>1200.0</v>
      </c>
      <c r="I753" s="20"/>
      <c r="J753" s="20">
        <f t="shared" si="1"/>
        <v>150</v>
      </c>
      <c r="K753" s="21"/>
      <c r="L753" s="22"/>
    </row>
    <row r="754" ht="22.5" customHeight="1">
      <c r="A754" s="28">
        <v>46080.0</v>
      </c>
      <c r="B754" s="15" t="s">
        <v>946</v>
      </c>
      <c r="C754" s="13" t="s">
        <v>26</v>
      </c>
      <c r="D754" s="13">
        <v>80.0</v>
      </c>
      <c r="E754" s="15">
        <v>220.0</v>
      </c>
      <c r="F754" s="13" t="s">
        <v>31</v>
      </c>
      <c r="G754" s="15" t="s">
        <v>392</v>
      </c>
      <c r="H754" s="15">
        <v>450.0</v>
      </c>
      <c r="I754" s="20"/>
      <c r="J754" s="20">
        <f t="shared" si="1"/>
        <v>99</v>
      </c>
      <c r="K754" s="21"/>
      <c r="L754" s="22"/>
    </row>
    <row r="755" ht="22.5" customHeight="1">
      <c r="A755" s="28">
        <v>46080.0</v>
      </c>
      <c r="B755" s="15" t="s">
        <v>947</v>
      </c>
      <c r="C755" s="13" t="s">
        <v>9</v>
      </c>
      <c r="D755" s="13">
        <v>80.0</v>
      </c>
      <c r="E755" s="15">
        <v>210.0</v>
      </c>
      <c r="F755" s="13" t="s">
        <v>27</v>
      </c>
      <c r="G755" s="15" t="s">
        <v>392</v>
      </c>
      <c r="H755" s="15">
        <v>880.0</v>
      </c>
      <c r="I755" s="20"/>
      <c r="J755" s="20">
        <f t="shared" si="1"/>
        <v>184.8</v>
      </c>
      <c r="K755" s="21"/>
      <c r="L755" s="22"/>
    </row>
    <row r="756" ht="22.5" customHeight="1">
      <c r="A756" s="28">
        <v>46081.0</v>
      </c>
      <c r="B756" s="15" t="s">
        <v>948</v>
      </c>
      <c r="C756" s="13" t="s">
        <v>9</v>
      </c>
      <c r="D756" s="13">
        <v>80.0</v>
      </c>
      <c r="E756" s="15">
        <v>125.0</v>
      </c>
      <c r="F756" s="13" t="s">
        <v>21</v>
      </c>
      <c r="G756" s="15" t="s">
        <v>949</v>
      </c>
      <c r="H756" s="15">
        <v>0.0</v>
      </c>
      <c r="I756" s="20"/>
      <c r="J756" s="20">
        <f t="shared" si="1"/>
        <v>0</v>
      </c>
      <c r="K756" s="21"/>
      <c r="L756" s="22"/>
    </row>
    <row r="757" ht="22.5" customHeight="1">
      <c r="A757" s="28">
        <v>46081.0</v>
      </c>
      <c r="B757" s="15" t="s">
        <v>950</v>
      </c>
      <c r="C757" s="13" t="s">
        <v>9</v>
      </c>
      <c r="D757" s="13">
        <v>80.0</v>
      </c>
      <c r="E757" s="15">
        <v>140.0</v>
      </c>
      <c r="F757" s="13" t="s">
        <v>27</v>
      </c>
      <c r="G757" s="15" t="s">
        <v>951</v>
      </c>
      <c r="H757" s="15">
        <v>260.0</v>
      </c>
      <c r="I757" s="20"/>
      <c r="J757" s="20">
        <f t="shared" si="1"/>
        <v>36.4</v>
      </c>
      <c r="K757" s="21"/>
      <c r="L757" s="22"/>
    </row>
    <row r="758" ht="22.5" customHeight="1">
      <c r="A758" s="28">
        <v>46081.0</v>
      </c>
      <c r="B758" s="15" t="s">
        <v>952</v>
      </c>
      <c r="C758" s="13" t="s">
        <v>9</v>
      </c>
      <c r="D758" s="13">
        <v>80.0</v>
      </c>
      <c r="E758" s="15">
        <v>140.0</v>
      </c>
      <c r="F758" s="13" t="s">
        <v>27</v>
      </c>
      <c r="G758" s="15" t="s">
        <v>176</v>
      </c>
      <c r="H758" s="15">
        <v>400.0</v>
      </c>
      <c r="I758" s="20"/>
      <c r="J758" s="20">
        <f t="shared" si="1"/>
        <v>56</v>
      </c>
      <c r="K758" s="21"/>
      <c r="L758" s="22"/>
    </row>
    <row r="759" ht="22.5" customHeight="1">
      <c r="A759" s="28">
        <v>46083.0</v>
      </c>
      <c r="B759" s="15" t="s">
        <v>953</v>
      </c>
      <c r="C759" s="13" t="s">
        <v>9</v>
      </c>
      <c r="D759" s="13">
        <v>80.0</v>
      </c>
      <c r="E759" s="15">
        <v>170.0</v>
      </c>
      <c r="F759" s="13" t="s">
        <v>21</v>
      </c>
      <c r="G759" s="15" t="s">
        <v>89</v>
      </c>
      <c r="H759" s="15">
        <v>530.0</v>
      </c>
      <c r="I759" s="20"/>
      <c r="J759" s="20">
        <f t="shared" si="1"/>
        <v>90.1</v>
      </c>
      <c r="K759" s="21"/>
      <c r="L759" s="22"/>
    </row>
    <row r="760" ht="22.5" customHeight="1">
      <c r="A760" s="28">
        <v>46083.0</v>
      </c>
      <c r="B760" s="15" t="s">
        <v>954</v>
      </c>
      <c r="C760" s="13" t="s">
        <v>42</v>
      </c>
      <c r="D760" s="13">
        <v>50.0</v>
      </c>
      <c r="E760" s="15">
        <v>330.0</v>
      </c>
      <c r="F760" s="13" t="s">
        <v>23</v>
      </c>
      <c r="G760" s="15" t="s">
        <v>925</v>
      </c>
      <c r="H760" s="15">
        <v>330.0</v>
      </c>
      <c r="I760" s="20"/>
      <c r="J760" s="20">
        <f t="shared" si="1"/>
        <v>108.9</v>
      </c>
      <c r="K760" s="21"/>
      <c r="L760" s="22"/>
    </row>
    <row r="761" ht="22.5" customHeight="1">
      <c r="A761" s="28">
        <v>46083.0</v>
      </c>
      <c r="B761" s="15" t="s">
        <v>955</v>
      </c>
      <c r="C761" s="13" t="s">
        <v>9</v>
      </c>
      <c r="D761" s="13">
        <v>80.0</v>
      </c>
      <c r="E761" s="15">
        <v>180.0</v>
      </c>
      <c r="F761" s="13" t="s">
        <v>21</v>
      </c>
      <c r="G761" s="15" t="s">
        <v>89</v>
      </c>
      <c r="H761" s="15">
        <v>670.0</v>
      </c>
      <c r="I761" s="20"/>
      <c r="J761" s="20">
        <f t="shared" si="1"/>
        <v>120.6</v>
      </c>
      <c r="K761" s="21"/>
      <c r="L761" s="22"/>
    </row>
    <row r="762" ht="22.5" customHeight="1">
      <c r="A762" s="28">
        <v>46083.0</v>
      </c>
      <c r="B762" s="15" t="s">
        <v>923</v>
      </c>
      <c r="C762" s="13" t="s">
        <v>9</v>
      </c>
      <c r="D762" s="13">
        <v>80.0</v>
      </c>
      <c r="E762" s="15">
        <v>150.0</v>
      </c>
      <c r="F762" s="13" t="s">
        <v>21</v>
      </c>
      <c r="G762" s="15" t="s">
        <v>89</v>
      </c>
      <c r="H762" s="15">
        <v>300.0</v>
      </c>
      <c r="I762" s="20"/>
      <c r="J762" s="20">
        <f t="shared" si="1"/>
        <v>45</v>
      </c>
      <c r="K762" s="21"/>
      <c r="L762" s="22"/>
    </row>
    <row r="763" ht="22.5" customHeight="1">
      <c r="A763" s="28">
        <v>46083.0</v>
      </c>
      <c r="B763" s="15" t="s">
        <v>956</v>
      </c>
      <c r="C763" s="13" t="s">
        <v>57</v>
      </c>
      <c r="D763" s="13">
        <v>80.0</v>
      </c>
      <c r="E763" s="15">
        <v>160.0</v>
      </c>
      <c r="F763" s="13" t="s">
        <v>33</v>
      </c>
      <c r="G763" s="15" t="s">
        <v>957</v>
      </c>
      <c r="H763" s="15">
        <v>0.0</v>
      </c>
      <c r="I763" s="20"/>
      <c r="J763" s="20">
        <f t="shared" si="1"/>
        <v>0</v>
      </c>
      <c r="K763" s="21"/>
      <c r="L763" s="22"/>
    </row>
    <row r="764" ht="22.5" customHeight="1">
      <c r="A764" s="28">
        <v>46083.0</v>
      </c>
      <c r="B764" s="15" t="s">
        <v>958</v>
      </c>
      <c r="C764" s="13" t="s">
        <v>57</v>
      </c>
      <c r="D764" s="13">
        <v>80.0</v>
      </c>
      <c r="E764" s="15">
        <v>160.0</v>
      </c>
      <c r="F764" s="13" t="s">
        <v>33</v>
      </c>
      <c r="G764" s="15" t="s">
        <v>957</v>
      </c>
      <c r="H764" s="15">
        <v>310.0</v>
      </c>
      <c r="I764" s="20"/>
      <c r="J764" s="20">
        <f t="shared" si="1"/>
        <v>49.6</v>
      </c>
      <c r="K764" s="21"/>
      <c r="L764" s="22"/>
    </row>
    <row r="765" ht="22.5" customHeight="1">
      <c r="A765" s="28">
        <v>46083.0</v>
      </c>
      <c r="B765" s="15" t="s">
        <v>959</v>
      </c>
      <c r="C765" s="13" t="s">
        <v>57</v>
      </c>
      <c r="D765" s="13">
        <v>80.0</v>
      </c>
      <c r="E765" s="15">
        <v>160.0</v>
      </c>
      <c r="F765" s="13" t="s">
        <v>33</v>
      </c>
      <c r="G765" s="15" t="s">
        <v>957</v>
      </c>
      <c r="H765" s="15">
        <v>1590.0</v>
      </c>
      <c r="I765" s="20"/>
      <c r="J765" s="20">
        <f t="shared" si="1"/>
        <v>254.4</v>
      </c>
      <c r="K765" s="21"/>
      <c r="L765" s="22"/>
    </row>
    <row r="766" ht="22.5" customHeight="1">
      <c r="A766" s="28">
        <v>46083.0</v>
      </c>
      <c r="B766" s="15" t="s">
        <v>960</v>
      </c>
      <c r="C766" s="13" t="s">
        <v>57</v>
      </c>
      <c r="D766" s="13">
        <v>80.0</v>
      </c>
      <c r="E766" s="15">
        <v>160.0</v>
      </c>
      <c r="F766" s="13" t="s">
        <v>33</v>
      </c>
      <c r="G766" s="15" t="s">
        <v>957</v>
      </c>
      <c r="H766" s="15">
        <v>1220.0</v>
      </c>
      <c r="I766" s="20"/>
      <c r="J766" s="20">
        <f t="shared" si="1"/>
        <v>195.2</v>
      </c>
      <c r="K766" s="21"/>
      <c r="L766" s="22"/>
    </row>
    <row r="767" ht="22.5" customHeight="1">
      <c r="A767" s="28">
        <v>46083.0</v>
      </c>
      <c r="B767" s="15" t="s">
        <v>961</v>
      </c>
      <c r="C767" s="13" t="s">
        <v>57</v>
      </c>
      <c r="D767" s="13">
        <v>80.0</v>
      </c>
      <c r="E767" s="15">
        <v>160.0</v>
      </c>
      <c r="F767" s="13" t="s">
        <v>33</v>
      </c>
      <c r="G767" s="15" t="s">
        <v>957</v>
      </c>
      <c r="H767" s="15">
        <v>850.0</v>
      </c>
      <c r="I767" s="20"/>
      <c r="J767" s="20">
        <f t="shared" si="1"/>
        <v>136</v>
      </c>
      <c r="K767" s="21"/>
      <c r="L767" s="22"/>
    </row>
    <row r="768" ht="22.5" customHeight="1">
      <c r="A768" s="28">
        <v>46083.0</v>
      </c>
      <c r="B768" s="15" t="s">
        <v>962</v>
      </c>
      <c r="C768" s="13" t="s">
        <v>57</v>
      </c>
      <c r="D768" s="13">
        <v>80.0</v>
      </c>
      <c r="E768" s="15">
        <v>160.0</v>
      </c>
      <c r="F768" s="13" t="s">
        <v>33</v>
      </c>
      <c r="G768" s="15" t="s">
        <v>957</v>
      </c>
      <c r="H768" s="15">
        <v>374.0</v>
      </c>
      <c r="I768" s="20"/>
      <c r="J768" s="20">
        <f t="shared" si="1"/>
        <v>59.84</v>
      </c>
      <c r="K768" s="21"/>
      <c r="L768" s="22"/>
    </row>
    <row r="769" ht="22.5" customHeight="1">
      <c r="A769" s="28">
        <v>46114.0</v>
      </c>
      <c r="B769" s="15" t="s">
        <v>963</v>
      </c>
      <c r="C769" s="13" t="s">
        <v>9</v>
      </c>
      <c r="D769" s="13">
        <v>80.0</v>
      </c>
      <c r="E769" s="15">
        <v>125.0</v>
      </c>
      <c r="F769" s="13" t="s">
        <v>21</v>
      </c>
      <c r="G769" s="15" t="s">
        <v>89</v>
      </c>
      <c r="H769" s="15">
        <v>550.0</v>
      </c>
      <c r="I769" s="20"/>
      <c r="J769" s="20">
        <f t="shared" si="1"/>
        <v>68.75</v>
      </c>
      <c r="K769" s="21"/>
      <c r="L769" s="22"/>
    </row>
    <row r="770" ht="22.5" customHeight="1">
      <c r="A770" s="28">
        <v>46114.0</v>
      </c>
      <c r="B770" s="15" t="s">
        <v>964</v>
      </c>
      <c r="C770" s="13" t="s">
        <v>9</v>
      </c>
      <c r="D770" s="13">
        <v>80.0</v>
      </c>
      <c r="E770" s="15">
        <v>125.0</v>
      </c>
      <c r="F770" s="13" t="s">
        <v>21</v>
      </c>
      <c r="G770" s="15" t="s">
        <v>89</v>
      </c>
      <c r="H770" s="15">
        <v>1520.0</v>
      </c>
      <c r="I770" s="20"/>
      <c r="J770" s="20">
        <f t="shared" si="1"/>
        <v>190</v>
      </c>
      <c r="K770" s="21"/>
      <c r="L770" s="22"/>
    </row>
    <row r="771" ht="22.5" customHeight="1">
      <c r="A771" s="28">
        <v>46114.0</v>
      </c>
      <c r="B771" s="15" t="s">
        <v>965</v>
      </c>
      <c r="C771" s="13" t="s">
        <v>9</v>
      </c>
      <c r="D771" s="13">
        <v>80.0</v>
      </c>
      <c r="E771" s="15">
        <v>125.0</v>
      </c>
      <c r="F771" s="13" t="s">
        <v>21</v>
      </c>
      <c r="G771" s="15" t="s">
        <v>89</v>
      </c>
      <c r="H771" s="15">
        <v>570.0</v>
      </c>
      <c r="I771" s="20"/>
      <c r="J771" s="20">
        <f t="shared" si="1"/>
        <v>71.25</v>
      </c>
      <c r="K771" s="21"/>
      <c r="L771" s="22"/>
    </row>
    <row r="772" ht="22.5" customHeight="1">
      <c r="A772" s="28">
        <v>46114.0</v>
      </c>
      <c r="B772" s="15" t="s">
        <v>966</v>
      </c>
      <c r="C772" s="13" t="s">
        <v>9</v>
      </c>
      <c r="D772" s="13">
        <v>80.0</v>
      </c>
      <c r="E772" s="15">
        <v>300.0</v>
      </c>
      <c r="F772" s="13" t="s">
        <v>21</v>
      </c>
      <c r="G772" s="15" t="s">
        <v>89</v>
      </c>
      <c r="H772" s="15">
        <v>930.0</v>
      </c>
      <c r="I772" s="20"/>
      <c r="J772" s="20">
        <f t="shared" si="1"/>
        <v>279</v>
      </c>
      <c r="K772" s="21"/>
      <c r="L772" s="22"/>
    </row>
    <row r="773" ht="22.5" customHeight="1">
      <c r="A773" s="28">
        <v>46114.0</v>
      </c>
      <c r="B773" s="15" t="s">
        <v>967</v>
      </c>
      <c r="C773" s="13" t="s">
        <v>9</v>
      </c>
      <c r="D773" s="13">
        <v>80.0</v>
      </c>
      <c r="E773" s="15">
        <v>330.0</v>
      </c>
      <c r="F773" s="13" t="s">
        <v>21</v>
      </c>
      <c r="G773" s="15" t="s">
        <v>89</v>
      </c>
      <c r="H773" s="15">
        <v>540.0</v>
      </c>
      <c r="I773" s="20"/>
      <c r="J773" s="20">
        <f t="shared" si="1"/>
        <v>178.2</v>
      </c>
      <c r="K773" s="21"/>
      <c r="L773" s="22"/>
    </row>
    <row r="774" ht="22.5" customHeight="1">
      <c r="A774" s="28">
        <v>46175.0</v>
      </c>
      <c r="B774" s="15" t="s">
        <v>968</v>
      </c>
      <c r="C774" s="13" t="s">
        <v>9</v>
      </c>
      <c r="D774" s="13">
        <v>80.0</v>
      </c>
      <c r="E774" s="15">
        <v>160.0</v>
      </c>
      <c r="F774" s="13" t="s">
        <v>27</v>
      </c>
      <c r="G774" s="15" t="s">
        <v>99</v>
      </c>
      <c r="H774" s="15">
        <v>860.0</v>
      </c>
      <c r="I774" s="20"/>
      <c r="J774" s="20">
        <f t="shared" si="1"/>
        <v>137.6</v>
      </c>
      <c r="K774" s="21"/>
      <c r="L774" s="22"/>
    </row>
    <row r="775" ht="22.5" customHeight="1">
      <c r="A775" s="28">
        <v>46175.0</v>
      </c>
      <c r="B775" s="15" t="s">
        <v>969</v>
      </c>
      <c r="C775" s="13" t="s">
        <v>9</v>
      </c>
      <c r="D775" s="13">
        <v>80.0</v>
      </c>
      <c r="E775" s="15">
        <v>230.0</v>
      </c>
      <c r="F775" s="13" t="s">
        <v>21</v>
      </c>
      <c r="G775" s="15" t="s">
        <v>193</v>
      </c>
      <c r="H775" s="15">
        <v>530.0</v>
      </c>
      <c r="I775" s="20"/>
      <c r="J775" s="20">
        <f t="shared" si="1"/>
        <v>121.9</v>
      </c>
      <c r="K775" s="21"/>
      <c r="L775" s="22"/>
    </row>
    <row r="776" ht="22.5" customHeight="1">
      <c r="A776" s="28">
        <v>46175.0</v>
      </c>
      <c r="B776" s="15" t="s">
        <v>970</v>
      </c>
      <c r="C776" s="13" t="s">
        <v>9</v>
      </c>
      <c r="D776" s="13">
        <v>80.0</v>
      </c>
      <c r="E776" s="15">
        <v>290.0</v>
      </c>
      <c r="F776" s="13" t="s">
        <v>21</v>
      </c>
      <c r="G776" s="15" t="s">
        <v>89</v>
      </c>
      <c r="H776" s="15">
        <v>820.0</v>
      </c>
      <c r="I776" s="20"/>
      <c r="J776" s="20">
        <f t="shared" si="1"/>
        <v>237.8</v>
      </c>
      <c r="K776" s="21"/>
      <c r="L776" s="22"/>
    </row>
    <row r="777" ht="22.5" customHeight="1">
      <c r="A777" s="28">
        <v>46175.0</v>
      </c>
      <c r="B777" s="15" t="s">
        <v>971</v>
      </c>
      <c r="C777" s="13" t="s">
        <v>26</v>
      </c>
      <c r="D777" s="13">
        <v>80.0</v>
      </c>
      <c r="E777" s="15">
        <v>142.0</v>
      </c>
      <c r="F777" s="13" t="s">
        <v>23</v>
      </c>
      <c r="G777" s="15" t="s">
        <v>99</v>
      </c>
      <c r="H777" s="15">
        <v>0.0</v>
      </c>
      <c r="I777" s="20"/>
      <c r="J777" s="20">
        <f t="shared" si="1"/>
        <v>0</v>
      </c>
      <c r="K777" s="21"/>
      <c r="L777" s="22"/>
    </row>
    <row r="778" ht="22.5" customHeight="1">
      <c r="A778" s="28">
        <v>46175.0</v>
      </c>
      <c r="B778" s="15" t="s">
        <v>971</v>
      </c>
      <c r="C778" s="13" t="s">
        <v>26</v>
      </c>
      <c r="D778" s="13">
        <v>80.0</v>
      </c>
      <c r="E778" s="15">
        <v>150.0</v>
      </c>
      <c r="F778" s="38"/>
      <c r="G778" s="15" t="s">
        <v>99</v>
      </c>
      <c r="H778" s="15">
        <v>1260.0</v>
      </c>
      <c r="I778" s="20"/>
      <c r="J778" s="20">
        <f t="shared" si="1"/>
        <v>189</v>
      </c>
      <c r="K778" s="21"/>
      <c r="L778" s="22"/>
    </row>
    <row r="779" ht="22.5" customHeight="1">
      <c r="A779" s="28">
        <v>46205.0</v>
      </c>
      <c r="B779" s="15" t="s">
        <v>972</v>
      </c>
      <c r="C779" s="13" t="s">
        <v>9</v>
      </c>
      <c r="D779" s="13">
        <v>80.0</v>
      </c>
      <c r="E779" s="15">
        <v>160.0</v>
      </c>
      <c r="F779" s="13" t="s">
        <v>27</v>
      </c>
      <c r="G779" s="15" t="s">
        <v>973</v>
      </c>
      <c r="H779" s="15">
        <v>470.0</v>
      </c>
      <c r="I779" s="20"/>
      <c r="J779" s="20">
        <f t="shared" si="1"/>
        <v>75.2</v>
      </c>
      <c r="K779" s="21"/>
      <c r="L779" s="22"/>
    </row>
    <row r="780" ht="22.5" customHeight="1">
      <c r="A780" s="28">
        <v>46205.0</v>
      </c>
      <c r="B780" s="15" t="s">
        <v>974</v>
      </c>
      <c r="C780" s="13" t="s">
        <v>9</v>
      </c>
      <c r="D780" s="13">
        <v>80.0</v>
      </c>
      <c r="E780" s="15">
        <v>220.0</v>
      </c>
      <c r="F780" s="13" t="s">
        <v>27</v>
      </c>
      <c r="G780" s="15" t="s">
        <v>99</v>
      </c>
      <c r="H780" s="15">
        <v>460.0</v>
      </c>
      <c r="I780" s="20"/>
      <c r="J780" s="20">
        <f t="shared" si="1"/>
        <v>101.2</v>
      </c>
      <c r="K780" s="21"/>
      <c r="L780" s="22"/>
    </row>
    <row r="781" ht="22.5" customHeight="1">
      <c r="A781" s="28">
        <v>46205.0</v>
      </c>
      <c r="B781" s="15" t="s">
        <v>975</v>
      </c>
      <c r="C781" s="13" t="s">
        <v>9</v>
      </c>
      <c r="D781" s="13">
        <v>80.0</v>
      </c>
      <c r="E781" s="15">
        <v>140.0</v>
      </c>
      <c r="F781" s="13" t="s">
        <v>27</v>
      </c>
      <c r="G781" s="15" t="s">
        <v>99</v>
      </c>
      <c r="H781" s="15">
        <v>200.0</v>
      </c>
      <c r="I781" s="20"/>
      <c r="J781" s="20">
        <f t="shared" si="1"/>
        <v>28</v>
      </c>
      <c r="K781" s="21"/>
      <c r="L781" s="22"/>
    </row>
    <row r="782" ht="22.5" customHeight="1">
      <c r="A782" s="28">
        <v>46205.0</v>
      </c>
      <c r="B782" s="15" t="s">
        <v>976</v>
      </c>
      <c r="C782" s="13" t="s">
        <v>9</v>
      </c>
      <c r="D782" s="13">
        <v>80.0</v>
      </c>
      <c r="E782" s="15">
        <v>230.0</v>
      </c>
      <c r="F782" s="13" t="s">
        <v>27</v>
      </c>
      <c r="G782" s="15" t="s">
        <v>99</v>
      </c>
      <c r="H782" s="15">
        <v>900.0</v>
      </c>
      <c r="I782" s="20"/>
      <c r="J782" s="20">
        <f t="shared" si="1"/>
        <v>207</v>
      </c>
      <c r="K782" s="21"/>
      <c r="L782" s="22"/>
    </row>
    <row r="783" ht="22.5" customHeight="1">
      <c r="A783" s="28">
        <v>46205.0</v>
      </c>
      <c r="B783" s="15" t="s">
        <v>977</v>
      </c>
      <c r="C783" s="13" t="s">
        <v>43</v>
      </c>
      <c r="D783" s="13">
        <v>50.0</v>
      </c>
      <c r="E783" s="15">
        <v>125.0</v>
      </c>
      <c r="F783" s="13" t="s">
        <v>27</v>
      </c>
      <c r="G783" s="15" t="s">
        <v>176</v>
      </c>
      <c r="H783" s="15">
        <v>900.0</v>
      </c>
      <c r="I783" s="20"/>
      <c r="J783" s="20">
        <f t="shared" si="1"/>
        <v>112.5</v>
      </c>
      <c r="K783" s="21"/>
      <c r="L783" s="22"/>
    </row>
    <row r="784" ht="22.5" customHeight="1">
      <c r="A784" s="28">
        <v>46205.0</v>
      </c>
      <c r="B784" s="15" t="s">
        <v>978</v>
      </c>
      <c r="C784" s="13" t="s">
        <v>43</v>
      </c>
      <c r="D784" s="13">
        <v>50.0</v>
      </c>
      <c r="E784" s="15">
        <v>125.0</v>
      </c>
      <c r="F784" s="13" t="s">
        <v>27</v>
      </c>
      <c r="G784" s="15" t="s">
        <v>176</v>
      </c>
      <c r="H784" s="15">
        <v>1750.0</v>
      </c>
      <c r="I784" s="20"/>
      <c r="J784" s="20">
        <f t="shared" si="1"/>
        <v>218.75</v>
      </c>
      <c r="K784" s="21"/>
      <c r="L784" s="22"/>
    </row>
    <row r="785" ht="22.5" customHeight="1">
      <c r="A785" s="28">
        <v>46090.0</v>
      </c>
      <c r="B785" s="15" t="s">
        <v>979</v>
      </c>
      <c r="C785" s="13" t="s">
        <v>9</v>
      </c>
      <c r="D785" s="13">
        <v>80.0</v>
      </c>
      <c r="E785" s="15">
        <v>260.0</v>
      </c>
      <c r="F785" s="13" t="s">
        <v>27</v>
      </c>
      <c r="G785" s="15" t="s">
        <v>99</v>
      </c>
      <c r="H785" s="15">
        <v>350.0</v>
      </c>
      <c r="I785" s="20"/>
      <c r="J785" s="20">
        <f t="shared" si="1"/>
        <v>91</v>
      </c>
      <c r="K785" s="21"/>
      <c r="L785" s="22"/>
    </row>
    <row r="786" ht="22.5" customHeight="1">
      <c r="A786" s="28">
        <v>46090.0</v>
      </c>
      <c r="B786" s="15" t="s">
        <v>980</v>
      </c>
      <c r="C786" s="13" t="s">
        <v>43</v>
      </c>
      <c r="D786" s="13">
        <v>50.0</v>
      </c>
      <c r="E786" s="15">
        <v>125.0</v>
      </c>
      <c r="F786" s="13" t="s">
        <v>27</v>
      </c>
      <c r="G786" s="15" t="s">
        <v>176</v>
      </c>
      <c r="H786" s="15">
        <v>630.0</v>
      </c>
      <c r="I786" s="20"/>
      <c r="J786" s="20">
        <f t="shared" si="1"/>
        <v>78.75</v>
      </c>
      <c r="K786" s="21"/>
      <c r="L786" s="22"/>
    </row>
    <row r="787" ht="22.5" customHeight="1">
      <c r="A787" s="28">
        <v>46090.0</v>
      </c>
      <c r="B787" s="15" t="s">
        <v>981</v>
      </c>
      <c r="C787" s="13" t="s">
        <v>43</v>
      </c>
      <c r="D787" s="13">
        <v>50.0</v>
      </c>
      <c r="E787" s="15">
        <v>125.0</v>
      </c>
      <c r="F787" s="13" t="s">
        <v>27</v>
      </c>
      <c r="G787" s="15" t="s">
        <v>884</v>
      </c>
      <c r="H787" s="15">
        <v>560.0</v>
      </c>
      <c r="I787" s="20"/>
      <c r="J787" s="20">
        <f t="shared" si="1"/>
        <v>70</v>
      </c>
      <c r="K787" s="21"/>
      <c r="L787" s="22"/>
    </row>
    <row r="788" ht="22.5" customHeight="1">
      <c r="A788" s="28">
        <v>46090.0</v>
      </c>
      <c r="B788" s="15" t="s">
        <v>982</v>
      </c>
      <c r="C788" s="13" t="s">
        <v>49</v>
      </c>
      <c r="D788" s="13">
        <v>120.0</v>
      </c>
      <c r="E788" s="15">
        <v>235.0</v>
      </c>
      <c r="F788" s="13" t="s">
        <v>27</v>
      </c>
      <c r="G788" s="15" t="s">
        <v>949</v>
      </c>
      <c r="H788" s="15">
        <v>0.0</v>
      </c>
      <c r="I788" s="20"/>
      <c r="J788" s="20">
        <f t="shared" si="1"/>
        <v>0</v>
      </c>
      <c r="K788" s="21"/>
      <c r="L788" s="22"/>
    </row>
    <row r="789" ht="22.5" customHeight="1">
      <c r="A789" s="28">
        <v>46090.0</v>
      </c>
      <c r="B789" s="15" t="s">
        <v>983</v>
      </c>
      <c r="C789" s="13" t="s">
        <v>9</v>
      </c>
      <c r="D789" s="13">
        <v>80.0</v>
      </c>
      <c r="E789" s="15">
        <v>225.0</v>
      </c>
      <c r="F789" s="13" t="s">
        <v>21</v>
      </c>
      <c r="G789" s="15" t="s">
        <v>193</v>
      </c>
      <c r="H789" s="15">
        <v>1600.0</v>
      </c>
      <c r="I789" s="20"/>
      <c r="J789" s="20">
        <f t="shared" si="1"/>
        <v>360</v>
      </c>
      <c r="K789" s="21"/>
      <c r="L789" s="22"/>
    </row>
    <row r="790" ht="22.5" customHeight="1">
      <c r="A790" s="28">
        <v>46091.0</v>
      </c>
      <c r="B790" s="15" t="s">
        <v>984</v>
      </c>
      <c r="C790" s="13" t="s">
        <v>42</v>
      </c>
      <c r="D790" s="13">
        <v>50.0</v>
      </c>
      <c r="E790" s="15">
        <v>205.0</v>
      </c>
      <c r="F790" s="38"/>
      <c r="G790" s="15" t="s">
        <v>166</v>
      </c>
      <c r="H790" s="15">
        <v>0.0</v>
      </c>
      <c r="I790" s="20"/>
      <c r="J790" s="20">
        <f t="shared" si="1"/>
        <v>0</v>
      </c>
      <c r="K790" s="21"/>
      <c r="L790" s="22"/>
    </row>
    <row r="791" ht="22.5" customHeight="1">
      <c r="A791" s="28">
        <v>46091.0</v>
      </c>
      <c r="B791" s="15" t="s">
        <v>985</v>
      </c>
      <c r="C791" s="13" t="s">
        <v>9</v>
      </c>
      <c r="D791" s="13">
        <v>80.0</v>
      </c>
      <c r="E791" s="15">
        <v>230.0</v>
      </c>
      <c r="F791" s="13" t="s">
        <v>21</v>
      </c>
      <c r="G791" s="15" t="s">
        <v>193</v>
      </c>
      <c r="H791" s="15">
        <v>190.0</v>
      </c>
      <c r="I791" s="20"/>
      <c r="J791" s="20">
        <f t="shared" si="1"/>
        <v>43.7</v>
      </c>
      <c r="K791" s="21"/>
      <c r="L791" s="22"/>
    </row>
    <row r="792" ht="22.5" customHeight="1">
      <c r="A792" s="28">
        <v>46091.0</v>
      </c>
      <c r="B792" s="15" t="s">
        <v>986</v>
      </c>
      <c r="C792" s="13" t="s">
        <v>9</v>
      </c>
      <c r="D792" s="13">
        <v>80.0</v>
      </c>
      <c r="E792" s="15">
        <v>230.0</v>
      </c>
      <c r="F792" s="13" t="s">
        <v>21</v>
      </c>
      <c r="G792" s="15" t="s">
        <v>193</v>
      </c>
      <c r="H792" s="15">
        <v>0.0</v>
      </c>
      <c r="I792" s="20"/>
      <c r="J792" s="20">
        <f t="shared" si="1"/>
        <v>0</v>
      </c>
      <c r="K792" s="21"/>
      <c r="L792" s="22"/>
    </row>
    <row r="793" ht="22.5" customHeight="1">
      <c r="A793" s="28">
        <v>46092.0</v>
      </c>
      <c r="B793" s="15" t="s">
        <v>987</v>
      </c>
      <c r="C793" s="13" t="s">
        <v>26</v>
      </c>
      <c r="D793" s="13">
        <v>80.0</v>
      </c>
      <c r="E793" s="15">
        <v>300.0</v>
      </c>
      <c r="F793" s="38"/>
      <c r="G793" s="15" t="s">
        <v>217</v>
      </c>
      <c r="H793" s="15">
        <v>200.0</v>
      </c>
      <c r="I793" s="20"/>
      <c r="J793" s="20">
        <f t="shared" si="1"/>
        <v>60</v>
      </c>
      <c r="K793" s="21"/>
      <c r="L793" s="22"/>
    </row>
    <row r="794" ht="22.5" customHeight="1">
      <c r="A794" s="28">
        <v>46092.0</v>
      </c>
      <c r="B794" s="15" t="s">
        <v>988</v>
      </c>
      <c r="C794" s="13" t="s">
        <v>26</v>
      </c>
      <c r="D794" s="13">
        <v>80.0</v>
      </c>
      <c r="E794" s="15">
        <v>165.0</v>
      </c>
      <c r="F794" s="38"/>
      <c r="G794" s="15" t="s">
        <v>217</v>
      </c>
      <c r="H794" s="15">
        <v>0.0</v>
      </c>
      <c r="I794" s="20"/>
      <c r="J794" s="20">
        <f t="shared" si="1"/>
        <v>0</v>
      </c>
      <c r="K794" s="21"/>
      <c r="L794" s="22"/>
    </row>
    <row r="795" ht="22.5" customHeight="1">
      <c r="A795" s="28">
        <v>46092.0</v>
      </c>
      <c r="B795" s="15" t="s">
        <v>989</v>
      </c>
      <c r="C795" s="13" t="s">
        <v>26</v>
      </c>
      <c r="D795" s="13">
        <v>80.0</v>
      </c>
      <c r="E795" s="15">
        <v>280.0</v>
      </c>
      <c r="F795" s="38"/>
      <c r="G795" s="15" t="s">
        <v>217</v>
      </c>
      <c r="H795" s="15">
        <v>600.0</v>
      </c>
      <c r="I795" s="20"/>
      <c r="J795" s="20">
        <f t="shared" si="1"/>
        <v>168</v>
      </c>
      <c r="K795" s="21"/>
      <c r="L795" s="22"/>
    </row>
    <row r="796" ht="22.5" customHeight="1">
      <c r="A796" s="28">
        <v>46092.0</v>
      </c>
      <c r="B796" s="15" t="s">
        <v>990</v>
      </c>
      <c r="C796" s="13" t="s">
        <v>26</v>
      </c>
      <c r="D796" s="13">
        <v>80.0</v>
      </c>
      <c r="E796" s="15">
        <v>165.0</v>
      </c>
      <c r="F796" s="38"/>
      <c r="G796" s="15" t="s">
        <v>217</v>
      </c>
      <c r="H796" s="15">
        <v>0.0</v>
      </c>
      <c r="I796" s="20"/>
      <c r="J796" s="20">
        <f t="shared" si="1"/>
        <v>0</v>
      </c>
      <c r="K796" s="21"/>
      <c r="L796" s="22"/>
    </row>
    <row r="797" ht="22.5" customHeight="1">
      <c r="A797" s="28">
        <v>46092.0</v>
      </c>
      <c r="B797" s="15" t="s">
        <v>991</v>
      </c>
      <c r="C797" s="13" t="s">
        <v>9</v>
      </c>
      <c r="D797" s="13">
        <v>80.0</v>
      </c>
      <c r="E797" s="15">
        <v>140.0</v>
      </c>
      <c r="F797" s="13" t="s">
        <v>27</v>
      </c>
      <c r="G797" s="15" t="s">
        <v>176</v>
      </c>
      <c r="H797" s="15">
        <v>230.0</v>
      </c>
      <c r="I797" s="20"/>
      <c r="J797" s="20">
        <f t="shared" si="1"/>
        <v>32.2</v>
      </c>
      <c r="K797" s="21"/>
      <c r="L797" s="22"/>
    </row>
    <row r="798" ht="22.5" customHeight="1">
      <c r="A798" s="28">
        <v>46093.0</v>
      </c>
      <c r="B798" s="15" t="s">
        <v>992</v>
      </c>
      <c r="C798" s="13" t="s">
        <v>26</v>
      </c>
      <c r="D798" s="13">
        <v>80.0</v>
      </c>
      <c r="E798" s="15">
        <v>265.0</v>
      </c>
      <c r="F798" s="38"/>
      <c r="G798" s="15" t="s">
        <v>217</v>
      </c>
      <c r="H798" s="15">
        <v>1020.0</v>
      </c>
      <c r="I798" s="20"/>
      <c r="J798" s="20">
        <f t="shared" si="1"/>
        <v>270.3</v>
      </c>
      <c r="K798" s="21"/>
      <c r="L798" s="22"/>
    </row>
    <row r="799" ht="22.5" customHeight="1">
      <c r="A799" s="28">
        <v>46093.0</v>
      </c>
      <c r="B799" s="15" t="s">
        <v>993</v>
      </c>
      <c r="C799" s="13" t="s">
        <v>26</v>
      </c>
      <c r="D799" s="13">
        <v>80.0</v>
      </c>
      <c r="E799" s="15">
        <v>245.0</v>
      </c>
      <c r="F799" s="38"/>
      <c r="G799" s="15" t="s">
        <v>217</v>
      </c>
      <c r="H799" s="15">
        <v>530.0</v>
      </c>
      <c r="I799" s="20"/>
      <c r="J799" s="20">
        <f t="shared" si="1"/>
        <v>129.85</v>
      </c>
      <c r="K799" s="21"/>
      <c r="L799" s="22"/>
    </row>
    <row r="800" ht="22.5" customHeight="1">
      <c r="A800" s="28">
        <v>46093.0</v>
      </c>
      <c r="B800" s="15" t="s">
        <v>994</v>
      </c>
      <c r="C800" s="13" t="s">
        <v>26</v>
      </c>
      <c r="D800" s="13">
        <v>80.0</v>
      </c>
      <c r="E800" s="15">
        <v>265.0</v>
      </c>
      <c r="F800" s="38"/>
      <c r="G800" s="15" t="s">
        <v>217</v>
      </c>
      <c r="H800" s="15">
        <v>200.0</v>
      </c>
      <c r="I800" s="20"/>
      <c r="J800" s="20">
        <f t="shared" si="1"/>
        <v>53</v>
      </c>
      <c r="K800" s="21"/>
      <c r="L800" s="22"/>
    </row>
    <row r="801" ht="22.5" customHeight="1">
      <c r="A801" s="28">
        <v>46093.0</v>
      </c>
      <c r="B801" s="15" t="s">
        <v>995</v>
      </c>
      <c r="C801" s="13" t="s">
        <v>26</v>
      </c>
      <c r="D801" s="13">
        <v>80.0</v>
      </c>
      <c r="E801" s="15">
        <v>245.0</v>
      </c>
      <c r="F801" s="38"/>
      <c r="G801" s="15" t="s">
        <v>217</v>
      </c>
      <c r="H801" s="15">
        <v>1070.0</v>
      </c>
      <c r="I801" s="20"/>
      <c r="J801" s="20">
        <f t="shared" si="1"/>
        <v>262.15</v>
      </c>
      <c r="K801" s="21"/>
      <c r="L801" s="22"/>
    </row>
    <row r="802" ht="22.5" customHeight="1">
      <c r="A802" s="28">
        <v>46093.0</v>
      </c>
      <c r="B802" s="15" t="s">
        <v>996</v>
      </c>
      <c r="C802" s="13" t="s">
        <v>26</v>
      </c>
      <c r="D802" s="13">
        <v>80.0</v>
      </c>
      <c r="E802" s="15">
        <v>150.0</v>
      </c>
      <c r="F802" s="38"/>
      <c r="G802" s="15" t="s">
        <v>217</v>
      </c>
      <c r="H802" s="15">
        <v>1280.0</v>
      </c>
      <c r="I802" s="20"/>
      <c r="J802" s="20">
        <f t="shared" si="1"/>
        <v>192</v>
      </c>
      <c r="K802" s="21"/>
      <c r="L802" s="22"/>
    </row>
    <row r="803" ht="22.5" customHeight="1">
      <c r="A803" s="28">
        <v>46093.0</v>
      </c>
      <c r="B803" s="15" t="s">
        <v>997</v>
      </c>
      <c r="C803" s="13" t="s">
        <v>42</v>
      </c>
      <c r="D803" s="13">
        <v>50.0</v>
      </c>
      <c r="E803" s="15">
        <v>195.0</v>
      </c>
      <c r="F803" s="13" t="s">
        <v>23</v>
      </c>
      <c r="G803" s="15" t="s">
        <v>884</v>
      </c>
      <c r="H803" s="15">
        <v>0.0</v>
      </c>
      <c r="I803" s="20"/>
      <c r="J803" s="20">
        <f t="shared" si="1"/>
        <v>0</v>
      </c>
      <c r="K803" s="21"/>
      <c r="L803" s="22"/>
    </row>
    <row r="804" ht="22.5" customHeight="1">
      <c r="A804" s="28">
        <v>46094.0</v>
      </c>
      <c r="B804" s="15" t="s">
        <v>998</v>
      </c>
      <c r="C804" s="13" t="s">
        <v>26</v>
      </c>
      <c r="D804" s="13">
        <v>80.0</v>
      </c>
      <c r="E804" s="15">
        <v>300.0</v>
      </c>
      <c r="F804" s="38"/>
      <c r="G804" s="15" t="s">
        <v>217</v>
      </c>
      <c r="H804" s="15">
        <v>0.0</v>
      </c>
      <c r="I804" s="20"/>
      <c r="J804" s="20">
        <f t="shared" si="1"/>
        <v>0</v>
      </c>
      <c r="K804" s="21"/>
      <c r="L804" s="22"/>
    </row>
    <row r="805" ht="22.5" customHeight="1">
      <c r="A805" s="28">
        <v>46094.0</v>
      </c>
      <c r="B805" s="15" t="s">
        <v>992</v>
      </c>
      <c r="C805" s="13" t="s">
        <v>26</v>
      </c>
      <c r="D805" s="13">
        <v>80.0</v>
      </c>
      <c r="E805" s="15">
        <v>265.0</v>
      </c>
      <c r="F805" s="13"/>
      <c r="G805" s="15" t="s">
        <v>217</v>
      </c>
      <c r="H805" s="15">
        <v>1020.0</v>
      </c>
      <c r="I805" s="20"/>
      <c r="J805" s="20">
        <f t="shared" si="1"/>
        <v>270.3</v>
      </c>
      <c r="K805" s="21"/>
      <c r="L805" s="22"/>
    </row>
    <row r="806" ht="22.5" customHeight="1">
      <c r="A806" s="28">
        <v>46094.0</v>
      </c>
      <c r="B806" s="15" t="s">
        <v>999</v>
      </c>
      <c r="C806" s="13" t="s">
        <v>9</v>
      </c>
      <c r="D806" s="13">
        <v>80.0</v>
      </c>
      <c r="E806" s="15">
        <v>170.0</v>
      </c>
      <c r="F806" s="13" t="s">
        <v>21</v>
      </c>
      <c r="G806" s="15" t="s">
        <v>1000</v>
      </c>
      <c r="H806" s="15">
        <v>1560.0</v>
      </c>
      <c r="I806" s="20"/>
      <c r="J806" s="20">
        <f t="shared" si="1"/>
        <v>265.2</v>
      </c>
      <c r="K806" s="21"/>
      <c r="L806" s="22"/>
    </row>
    <row r="807" ht="22.5" customHeight="1">
      <c r="A807" s="28">
        <v>46094.0</v>
      </c>
      <c r="B807" s="15" t="s">
        <v>1001</v>
      </c>
      <c r="C807" s="13" t="s">
        <v>9</v>
      </c>
      <c r="D807" s="13">
        <v>80.0</v>
      </c>
      <c r="E807" s="15">
        <v>170.0</v>
      </c>
      <c r="F807" s="13" t="s">
        <v>21</v>
      </c>
      <c r="G807" s="15" t="s">
        <v>1000</v>
      </c>
      <c r="H807" s="15">
        <v>1170.0</v>
      </c>
      <c r="I807" s="20"/>
      <c r="J807" s="20">
        <f t="shared" si="1"/>
        <v>198.9</v>
      </c>
      <c r="K807" s="21"/>
      <c r="L807" s="22"/>
    </row>
    <row r="808" ht="22.5" customHeight="1">
      <c r="A808" s="28">
        <v>46094.0</v>
      </c>
      <c r="B808" s="15" t="s">
        <v>1002</v>
      </c>
      <c r="C808" s="13" t="s">
        <v>9</v>
      </c>
      <c r="D808" s="13">
        <v>80.0</v>
      </c>
      <c r="E808" s="15">
        <v>140.0</v>
      </c>
      <c r="F808" s="13" t="s">
        <v>27</v>
      </c>
      <c r="G808" s="15" t="s">
        <v>99</v>
      </c>
      <c r="H808" s="15">
        <v>0.0</v>
      </c>
      <c r="I808" s="20"/>
      <c r="J808" s="20">
        <f t="shared" si="1"/>
        <v>0</v>
      </c>
      <c r="K808" s="21"/>
      <c r="L808" s="22"/>
    </row>
    <row r="809" ht="22.5" customHeight="1">
      <c r="A809" s="28">
        <v>46094.0</v>
      </c>
      <c r="B809" s="15" t="s">
        <v>1003</v>
      </c>
      <c r="C809" s="13" t="s">
        <v>9</v>
      </c>
      <c r="D809" s="13">
        <v>80.0</v>
      </c>
      <c r="E809" s="15">
        <v>140.0</v>
      </c>
      <c r="F809" s="13" t="s">
        <v>27</v>
      </c>
      <c r="G809" s="15" t="s">
        <v>176</v>
      </c>
      <c r="H809" s="15">
        <v>650.0</v>
      </c>
      <c r="I809" s="20"/>
      <c r="J809" s="20">
        <f t="shared" si="1"/>
        <v>91</v>
      </c>
      <c r="K809" s="21"/>
      <c r="L809" s="22"/>
    </row>
    <row r="810" ht="22.5" customHeight="1">
      <c r="A810" s="28">
        <v>46094.0</v>
      </c>
      <c r="B810" s="15" t="s">
        <v>1004</v>
      </c>
      <c r="C810" s="13" t="s">
        <v>43</v>
      </c>
      <c r="D810" s="13">
        <v>50.0</v>
      </c>
      <c r="E810" s="15">
        <v>125.0</v>
      </c>
      <c r="F810" s="13" t="s">
        <v>27</v>
      </c>
      <c r="G810" s="15" t="s">
        <v>1005</v>
      </c>
      <c r="H810" s="15">
        <v>0.0</v>
      </c>
      <c r="I810" s="20"/>
      <c r="J810" s="20">
        <f t="shared" si="1"/>
        <v>0</v>
      </c>
      <c r="K810" s="21"/>
      <c r="L810" s="22"/>
    </row>
    <row r="811" ht="22.5" customHeight="1">
      <c r="A811" s="28">
        <v>46095.0</v>
      </c>
      <c r="B811" s="15" t="s">
        <v>1006</v>
      </c>
      <c r="C811" s="13" t="s">
        <v>9</v>
      </c>
      <c r="D811" s="13">
        <v>80.0</v>
      </c>
      <c r="E811" s="15">
        <v>330.0</v>
      </c>
      <c r="F811" s="13" t="s">
        <v>21</v>
      </c>
      <c r="G811" s="15" t="s">
        <v>89</v>
      </c>
      <c r="H811" s="15">
        <v>0.0</v>
      </c>
      <c r="I811" s="20"/>
      <c r="J811" s="20">
        <f t="shared" si="1"/>
        <v>0</v>
      </c>
      <c r="K811" s="21"/>
      <c r="L811" s="22"/>
    </row>
    <row r="812" ht="22.5" customHeight="1">
      <c r="A812" s="28">
        <v>46095.0</v>
      </c>
      <c r="B812" s="15" t="s">
        <v>1007</v>
      </c>
      <c r="C812" s="13" t="s">
        <v>9</v>
      </c>
      <c r="D812" s="13">
        <v>80.0</v>
      </c>
      <c r="E812" s="15">
        <v>330.0</v>
      </c>
      <c r="F812" s="13" t="s">
        <v>21</v>
      </c>
      <c r="G812" s="15" t="s">
        <v>89</v>
      </c>
      <c r="H812" s="15">
        <v>891.0</v>
      </c>
      <c r="I812" s="20"/>
      <c r="J812" s="20">
        <f t="shared" si="1"/>
        <v>294.03</v>
      </c>
      <c r="K812" s="21"/>
      <c r="L812" s="22"/>
    </row>
    <row r="813" ht="22.5" customHeight="1">
      <c r="A813" s="28">
        <v>46095.0</v>
      </c>
      <c r="B813" s="15" t="s">
        <v>1008</v>
      </c>
      <c r="C813" s="13" t="s">
        <v>9</v>
      </c>
      <c r="D813" s="13">
        <v>80.0</v>
      </c>
      <c r="E813" s="15">
        <v>330.0</v>
      </c>
      <c r="F813" s="13" t="s">
        <v>21</v>
      </c>
      <c r="G813" s="15" t="s">
        <v>89</v>
      </c>
      <c r="H813" s="15">
        <v>0.0</v>
      </c>
      <c r="I813" s="20"/>
      <c r="J813" s="20">
        <f t="shared" si="1"/>
        <v>0</v>
      </c>
      <c r="K813" s="21"/>
      <c r="L813" s="22"/>
    </row>
    <row r="814" ht="22.5" customHeight="1">
      <c r="A814" s="28">
        <v>46095.0</v>
      </c>
      <c r="B814" s="15" t="s">
        <v>1009</v>
      </c>
      <c r="C814" s="13" t="s">
        <v>9</v>
      </c>
      <c r="D814" s="13">
        <v>80.0</v>
      </c>
      <c r="E814" s="15">
        <v>330.0</v>
      </c>
      <c r="F814" s="13" t="s">
        <v>21</v>
      </c>
      <c r="G814" s="15" t="s">
        <v>89</v>
      </c>
      <c r="H814" s="15">
        <v>509.0</v>
      </c>
      <c r="I814" s="20"/>
      <c r="J814" s="20">
        <f t="shared" si="1"/>
        <v>167.97</v>
      </c>
      <c r="K814" s="21"/>
      <c r="L814" s="22"/>
    </row>
    <row r="815" ht="22.5" customHeight="1">
      <c r="A815" s="28">
        <v>46095.0</v>
      </c>
      <c r="B815" s="15" t="s">
        <v>1010</v>
      </c>
      <c r="C815" s="13" t="s">
        <v>43</v>
      </c>
      <c r="D815" s="13">
        <v>50.0</v>
      </c>
      <c r="E815" s="15">
        <v>200.0</v>
      </c>
      <c r="F815" s="13" t="s">
        <v>23</v>
      </c>
      <c r="G815" s="15" t="s">
        <v>1011</v>
      </c>
      <c r="H815" s="15">
        <v>0.0</v>
      </c>
      <c r="I815" s="20"/>
      <c r="J815" s="20">
        <f t="shared" si="1"/>
        <v>0</v>
      </c>
      <c r="K815" s="21"/>
      <c r="L815" s="22"/>
    </row>
    <row r="816" ht="22.5" customHeight="1">
      <c r="A816" s="28">
        <v>46097.0</v>
      </c>
      <c r="B816" s="15" t="s">
        <v>1012</v>
      </c>
      <c r="C816" s="13" t="s">
        <v>9</v>
      </c>
      <c r="D816" s="13">
        <v>80.0</v>
      </c>
      <c r="E816" s="15">
        <v>290.0</v>
      </c>
      <c r="F816" s="13" t="s">
        <v>21</v>
      </c>
      <c r="G816" s="15" t="s">
        <v>89</v>
      </c>
      <c r="H816" s="15">
        <v>0.0</v>
      </c>
      <c r="I816" s="20"/>
      <c r="J816" s="20">
        <f t="shared" si="1"/>
        <v>0</v>
      </c>
      <c r="K816" s="21"/>
      <c r="L816" s="22"/>
    </row>
    <row r="817" ht="22.5" customHeight="1">
      <c r="A817" s="28">
        <v>46097.0</v>
      </c>
      <c r="B817" s="15" t="s">
        <v>1013</v>
      </c>
      <c r="C817" s="13" t="s">
        <v>9</v>
      </c>
      <c r="D817" s="13">
        <v>80.0</v>
      </c>
      <c r="E817" s="15">
        <v>210.0</v>
      </c>
      <c r="F817" s="13" t="s">
        <v>21</v>
      </c>
      <c r="G817" s="15" t="s">
        <v>89</v>
      </c>
      <c r="H817" s="15">
        <v>1330.0</v>
      </c>
      <c r="I817" s="20"/>
      <c r="J817" s="20">
        <f t="shared" si="1"/>
        <v>279.3</v>
      </c>
      <c r="K817" s="21"/>
      <c r="L817" s="22"/>
    </row>
    <row r="818" ht="22.5" customHeight="1">
      <c r="A818" s="28">
        <v>46097.0</v>
      </c>
      <c r="B818" s="15" t="s">
        <v>1014</v>
      </c>
      <c r="C818" s="13" t="s">
        <v>9</v>
      </c>
      <c r="D818" s="13">
        <v>80.0</v>
      </c>
      <c r="E818" s="15">
        <v>300.0</v>
      </c>
      <c r="F818" s="13" t="s">
        <v>21</v>
      </c>
      <c r="G818" s="15" t="s">
        <v>89</v>
      </c>
      <c r="H818" s="15">
        <v>260.0</v>
      </c>
      <c r="I818" s="20"/>
      <c r="J818" s="20">
        <f t="shared" si="1"/>
        <v>78</v>
      </c>
      <c r="K818" s="21"/>
      <c r="L818" s="22"/>
    </row>
    <row r="819" ht="22.5" customHeight="1">
      <c r="A819" s="28">
        <v>46097.0</v>
      </c>
      <c r="B819" s="15" t="s">
        <v>1015</v>
      </c>
      <c r="C819" s="13" t="s">
        <v>9</v>
      </c>
      <c r="D819" s="13">
        <v>80.0</v>
      </c>
      <c r="E819" s="15">
        <v>170.0</v>
      </c>
      <c r="F819" s="13" t="s">
        <v>21</v>
      </c>
      <c r="G819" s="15" t="s">
        <v>89</v>
      </c>
      <c r="H819" s="15">
        <v>910.0</v>
      </c>
      <c r="I819" s="20"/>
      <c r="J819" s="20">
        <f t="shared" si="1"/>
        <v>154.7</v>
      </c>
      <c r="K819" s="21"/>
      <c r="L819" s="22"/>
    </row>
    <row r="820" ht="22.5" customHeight="1">
      <c r="A820" s="28">
        <v>46097.0</v>
      </c>
      <c r="B820" s="15" t="s">
        <v>1016</v>
      </c>
      <c r="C820" s="13" t="s">
        <v>9</v>
      </c>
      <c r="D820" s="13">
        <v>80.0</v>
      </c>
      <c r="E820" s="15">
        <v>140.0</v>
      </c>
      <c r="F820" s="13" t="s">
        <v>27</v>
      </c>
      <c r="G820" s="15" t="s">
        <v>99</v>
      </c>
      <c r="H820" s="15">
        <v>0.0</v>
      </c>
      <c r="I820" s="20"/>
      <c r="J820" s="20">
        <f t="shared" si="1"/>
        <v>0</v>
      </c>
      <c r="K820" s="21"/>
      <c r="L820" s="22"/>
    </row>
    <row r="821" ht="22.5" customHeight="1">
      <c r="A821" s="28">
        <v>46097.0</v>
      </c>
      <c r="B821" s="15" t="s">
        <v>1017</v>
      </c>
      <c r="C821" s="13" t="s">
        <v>42</v>
      </c>
      <c r="D821" s="13">
        <v>50.0</v>
      </c>
      <c r="E821" s="15">
        <v>215.0</v>
      </c>
      <c r="F821" s="13" t="s">
        <v>23</v>
      </c>
      <c r="G821" s="15" t="s">
        <v>925</v>
      </c>
      <c r="H821" s="15">
        <v>400.0</v>
      </c>
      <c r="I821" s="20"/>
      <c r="J821" s="20">
        <f t="shared" si="1"/>
        <v>86</v>
      </c>
      <c r="K821" s="21"/>
      <c r="L821" s="22"/>
    </row>
    <row r="822" ht="22.5" customHeight="1">
      <c r="A822" s="28">
        <v>46097.0</v>
      </c>
      <c r="B822" s="15" t="s">
        <v>1018</v>
      </c>
      <c r="C822" s="13" t="s">
        <v>9</v>
      </c>
      <c r="D822" s="13">
        <v>80.0</v>
      </c>
      <c r="E822" s="15">
        <v>210.0</v>
      </c>
      <c r="F822" s="13" t="s">
        <v>21</v>
      </c>
      <c r="G822" s="15" t="s">
        <v>89</v>
      </c>
      <c r="H822" s="15">
        <v>1130.0</v>
      </c>
      <c r="I822" s="20"/>
      <c r="J822" s="20">
        <f t="shared" si="1"/>
        <v>237.3</v>
      </c>
      <c r="K822" s="21"/>
      <c r="L822" s="22"/>
    </row>
    <row r="823" ht="22.5" customHeight="1">
      <c r="A823" s="28">
        <v>46097.0</v>
      </c>
      <c r="B823" s="15" t="s">
        <v>1019</v>
      </c>
      <c r="C823" s="13" t="s">
        <v>9</v>
      </c>
      <c r="D823" s="13">
        <v>80.0</v>
      </c>
      <c r="E823" s="15">
        <v>250.0</v>
      </c>
      <c r="F823" s="13" t="s">
        <v>21</v>
      </c>
      <c r="G823" s="15" t="s">
        <v>89</v>
      </c>
      <c r="H823" s="15">
        <v>0.0</v>
      </c>
      <c r="I823" s="20"/>
      <c r="J823" s="20">
        <f t="shared" si="1"/>
        <v>0</v>
      </c>
      <c r="K823" s="21"/>
      <c r="L823" s="22"/>
    </row>
    <row r="824" ht="22.5" customHeight="1">
      <c r="A824" s="28">
        <v>46097.0</v>
      </c>
      <c r="B824" s="15" t="s">
        <v>1020</v>
      </c>
      <c r="C824" s="13" t="s">
        <v>9</v>
      </c>
      <c r="D824" s="13">
        <v>80.0</v>
      </c>
      <c r="E824" s="15">
        <v>290.0</v>
      </c>
      <c r="F824" s="13" t="s">
        <v>21</v>
      </c>
      <c r="G824" s="15" t="s">
        <v>89</v>
      </c>
      <c r="H824" s="15">
        <v>1190.0</v>
      </c>
      <c r="I824" s="20"/>
      <c r="J824" s="20">
        <f t="shared" si="1"/>
        <v>345.1</v>
      </c>
      <c r="K824" s="21"/>
      <c r="L824" s="22"/>
    </row>
    <row r="825" ht="22.5" customHeight="1">
      <c r="A825" s="28">
        <v>46098.0</v>
      </c>
      <c r="B825" s="15" t="s">
        <v>1021</v>
      </c>
      <c r="C825" s="13" t="s">
        <v>9</v>
      </c>
      <c r="D825" s="13">
        <v>80.0</v>
      </c>
      <c r="E825" s="15">
        <v>160.0</v>
      </c>
      <c r="F825" s="13" t="s">
        <v>27</v>
      </c>
      <c r="G825" s="15" t="s">
        <v>99</v>
      </c>
      <c r="H825" s="15">
        <v>210.0</v>
      </c>
      <c r="I825" s="20"/>
      <c r="J825" s="20">
        <f t="shared" si="1"/>
        <v>33.6</v>
      </c>
      <c r="K825" s="21"/>
      <c r="L825" s="22"/>
    </row>
    <row r="826" ht="22.5" customHeight="1">
      <c r="A826" s="28">
        <v>46098.0</v>
      </c>
      <c r="B826" s="15" t="s">
        <v>1022</v>
      </c>
      <c r="C826" s="13" t="s">
        <v>9</v>
      </c>
      <c r="D826" s="13">
        <v>80.0</v>
      </c>
      <c r="E826" s="15">
        <v>185.0</v>
      </c>
      <c r="F826" s="13" t="s">
        <v>27</v>
      </c>
      <c r="G826" s="15" t="s">
        <v>99</v>
      </c>
      <c r="H826" s="15">
        <v>1170.0</v>
      </c>
      <c r="I826" s="20"/>
      <c r="J826" s="20">
        <f t="shared" si="1"/>
        <v>216.45</v>
      </c>
      <c r="K826" s="21"/>
      <c r="L826" s="22"/>
    </row>
    <row r="827" ht="22.5" customHeight="1">
      <c r="A827" s="28">
        <v>46098.0</v>
      </c>
      <c r="B827" s="15" t="s">
        <v>1023</v>
      </c>
      <c r="C827" s="13" t="s">
        <v>9</v>
      </c>
      <c r="D827" s="13">
        <v>80.0</v>
      </c>
      <c r="E827" s="15">
        <v>160.0</v>
      </c>
      <c r="F827" s="13" t="s">
        <v>27</v>
      </c>
      <c r="G827" s="15" t="s">
        <v>99</v>
      </c>
      <c r="H827" s="15">
        <v>630.0</v>
      </c>
      <c r="I827" s="20"/>
      <c r="J827" s="20">
        <f t="shared" si="1"/>
        <v>100.8</v>
      </c>
      <c r="K827" s="21"/>
      <c r="L827" s="22"/>
    </row>
    <row r="828" ht="22.5" customHeight="1">
      <c r="A828" s="28">
        <v>46098.0</v>
      </c>
      <c r="B828" s="15" t="s">
        <v>1024</v>
      </c>
      <c r="C828" s="13" t="s">
        <v>9</v>
      </c>
      <c r="D828" s="13">
        <v>80.0</v>
      </c>
      <c r="E828" s="15">
        <v>160.0</v>
      </c>
      <c r="F828" s="13" t="s">
        <v>27</v>
      </c>
      <c r="G828" s="15" t="s">
        <v>99</v>
      </c>
      <c r="H828" s="15">
        <v>850.0</v>
      </c>
      <c r="I828" s="20"/>
      <c r="J828" s="20">
        <f t="shared" si="1"/>
        <v>136</v>
      </c>
      <c r="K828" s="21"/>
      <c r="L828" s="22"/>
    </row>
    <row r="829" ht="22.5" customHeight="1">
      <c r="A829" s="28">
        <v>46098.0</v>
      </c>
      <c r="B829" s="15" t="s">
        <v>1025</v>
      </c>
      <c r="C829" s="13" t="s">
        <v>9</v>
      </c>
      <c r="D829" s="13">
        <v>80.0</v>
      </c>
      <c r="E829" s="15">
        <v>185.0</v>
      </c>
      <c r="F829" s="13" t="s">
        <v>27</v>
      </c>
      <c r="G829" s="15" t="s">
        <v>99</v>
      </c>
      <c r="H829" s="15">
        <v>600.0</v>
      </c>
      <c r="I829" s="20"/>
      <c r="J829" s="20">
        <f t="shared" si="1"/>
        <v>111</v>
      </c>
      <c r="K829" s="21"/>
      <c r="L829" s="22"/>
    </row>
    <row r="830" ht="22.5" customHeight="1">
      <c r="A830" s="28">
        <v>46098.0</v>
      </c>
      <c r="B830" s="15" t="s">
        <v>1026</v>
      </c>
      <c r="C830" s="13" t="s">
        <v>9</v>
      </c>
      <c r="D830" s="13">
        <v>80.0</v>
      </c>
      <c r="E830" s="15">
        <v>140.0</v>
      </c>
      <c r="F830" s="13" t="s">
        <v>27</v>
      </c>
      <c r="G830" s="15" t="s">
        <v>99</v>
      </c>
      <c r="H830" s="15">
        <v>350.0</v>
      </c>
      <c r="I830" s="20"/>
      <c r="J830" s="20">
        <f t="shared" si="1"/>
        <v>49</v>
      </c>
      <c r="K830" s="21"/>
      <c r="L830" s="22"/>
    </row>
    <row r="831" ht="22.5" customHeight="1">
      <c r="A831" s="28">
        <v>46098.0</v>
      </c>
      <c r="B831" s="15" t="s">
        <v>1027</v>
      </c>
      <c r="C831" s="13" t="s">
        <v>9</v>
      </c>
      <c r="D831" s="13">
        <v>80.0</v>
      </c>
      <c r="E831" s="15">
        <v>140.0</v>
      </c>
      <c r="F831" s="13" t="s">
        <v>27</v>
      </c>
      <c r="G831" s="15" t="s">
        <v>99</v>
      </c>
      <c r="H831" s="15">
        <v>1130.0</v>
      </c>
      <c r="I831" s="20"/>
      <c r="J831" s="20">
        <f t="shared" si="1"/>
        <v>158.2</v>
      </c>
      <c r="K831" s="21"/>
      <c r="L831" s="22"/>
    </row>
    <row r="832" ht="22.5" customHeight="1">
      <c r="A832" s="28">
        <v>46098.0</v>
      </c>
      <c r="B832" s="15" t="s">
        <v>1028</v>
      </c>
      <c r="C832" s="13" t="s">
        <v>9</v>
      </c>
      <c r="D832" s="13">
        <v>80.0</v>
      </c>
      <c r="E832" s="15">
        <v>230.0</v>
      </c>
      <c r="F832" s="13" t="s">
        <v>27</v>
      </c>
      <c r="G832" s="15" t="s">
        <v>99</v>
      </c>
      <c r="H832" s="15">
        <v>1210.0</v>
      </c>
      <c r="I832" s="20"/>
      <c r="J832" s="20">
        <f t="shared" si="1"/>
        <v>278.3</v>
      </c>
      <c r="K832" s="21"/>
      <c r="L832" s="22"/>
    </row>
    <row r="833" ht="22.5" customHeight="1">
      <c r="A833" s="28">
        <v>46099.0</v>
      </c>
      <c r="B833" s="15" t="s">
        <v>1029</v>
      </c>
      <c r="C833" s="13" t="s">
        <v>43</v>
      </c>
      <c r="D833" s="13">
        <v>50.0</v>
      </c>
      <c r="E833" s="15">
        <v>185.0</v>
      </c>
      <c r="F833" s="13" t="s">
        <v>23</v>
      </c>
      <c r="G833" s="15" t="s">
        <v>199</v>
      </c>
      <c r="H833" s="15">
        <v>520.0</v>
      </c>
      <c r="I833" s="20"/>
      <c r="J833" s="20">
        <f t="shared" si="1"/>
        <v>96.2</v>
      </c>
      <c r="K833" s="21"/>
      <c r="L833" s="22"/>
    </row>
    <row r="834" ht="22.5" customHeight="1">
      <c r="A834" s="28">
        <v>46099.0</v>
      </c>
      <c r="B834" s="15" t="s">
        <v>1030</v>
      </c>
      <c r="C834" s="13" t="s">
        <v>43</v>
      </c>
      <c r="D834" s="13">
        <v>50.0</v>
      </c>
      <c r="E834" s="15">
        <v>185.0</v>
      </c>
      <c r="F834" s="13" t="s">
        <v>23</v>
      </c>
      <c r="G834" s="15" t="s">
        <v>199</v>
      </c>
      <c r="H834" s="15">
        <v>90.0</v>
      </c>
      <c r="I834" s="20"/>
      <c r="J834" s="20">
        <f t="shared" si="1"/>
        <v>16.65</v>
      </c>
      <c r="K834" s="21"/>
      <c r="L834" s="22"/>
    </row>
    <row r="835" ht="22.5" customHeight="1">
      <c r="A835" s="28">
        <v>46099.0</v>
      </c>
      <c r="B835" s="15" t="s">
        <v>1031</v>
      </c>
      <c r="C835" s="13" t="s">
        <v>43</v>
      </c>
      <c r="D835" s="13">
        <v>50.0</v>
      </c>
      <c r="E835" s="15">
        <v>125.0</v>
      </c>
      <c r="F835" s="13" t="s">
        <v>27</v>
      </c>
      <c r="G835" s="15" t="s">
        <v>1032</v>
      </c>
      <c r="H835" s="15">
        <v>0.0</v>
      </c>
      <c r="I835" s="20"/>
      <c r="J835" s="20">
        <f t="shared" si="1"/>
        <v>0</v>
      </c>
      <c r="K835" s="21"/>
      <c r="L835" s="22"/>
    </row>
    <row r="836" ht="22.5" customHeight="1">
      <c r="A836" s="28">
        <v>46099.0</v>
      </c>
      <c r="B836" s="15" t="s">
        <v>1033</v>
      </c>
      <c r="C836" s="13" t="s">
        <v>9</v>
      </c>
      <c r="D836" s="13">
        <v>80.0</v>
      </c>
      <c r="E836" s="15">
        <v>395.0</v>
      </c>
      <c r="F836" s="13" t="s">
        <v>21</v>
      </c>
      <c r="G836" s="15" t="s">
        <v>89</v>
      </c>
      <c r="H836" s="15">
        <v>1620.0</v>
      </c>
      <c r="I836" s="20"/>
      <c r="J836" s="20">
        <f t="shared" si="1"/>
        <v>639.9</v>
      </c>
      <c r="K836" s="21"/>
      <c r="L836" s="22"/>
    </row>
    <row r="837" ht="22.5" customHeight="1">
      <c r="A837" s="28">
        <v>46099.0</v>
      </c>
      <c r="B837" s="15" t="s">
        <v>1034</v>
      </c>
      <c r="C837" s="13" t="s">
        <v>9</v>
      </c>
      <c r="D837" s="13">
        <v>80.0</v>
      </c>
      <c r="E837" s="15">
        <v>250.0</v>
      </c>
      <c r="F837" s="13" t="s">
        <v>21</v>
      </c>
      <c r="G837" s="15" t="s">
        <v>89</v>
      </c>
      <c r="H837" s="15">
        <v>1100.0</v>
      </c>
      <c r="I837" s="20"/>
      <c r="J837" s="20">
        <f t="shared" si="1"/>
        <v>275</v>
      </c>
      <c r="K837" s="21"/>
      <c r="L837" s="22"/>
    </row>
    <row r="838" ht="22.5" customHeight="1">
      <c r="A838" s="28">
        <v>46099.0</v>
      </c>
      <c r="B838" s="15" t="s">
        <v>1035</v>
      </c>
      <c r="C838" s="13" t="s">
        <v>42</v>
      </c>
      <c r="D838" s="13">
        <v>50.0</v>
      </c>
      <c r="E838" s="15">
        <v>200.0</v>
      </c>
      <c r="F838" s="13" t="s">
        <v>21</v>
      </c>
      <c r="G838" s="15" t="s">
        <v>166</v>
      </c>
      <c r="H838" s="15">
        <v>310.0</v>
      </c>
      <c r="I838" s="20"/>
      <c r="J838" s="20">
        <f t="shared" si="1"/>
        <v>62</v>
      </c>
      <c r="K838" s="21"/>
      <c r="L838" s="22"/>
    </row>
    <row r="839" ht="22.5" customHeight="1">
      <c r="A839" s="28">
        <v>46101.0</v>
      </c>
      <c r="B839" s="15" t="s">
        <v>1036</v>
      </c>
      <c r="C839" s="13" t="s">
        <v>9</v>
      </c>
      <c r="D839" s="13">
        <v>80.0</v>
      </c>
      <c r="E839" s="15">
        <v>125.0</v>
      </c>
      <c r="F839" s="13" t="s">
        <v>21</v>
      </c>
      <c r="G839" s="15" t="s">
        <v>89</v>
      </c>
      <c r="H839" s="15">
        <v>0.0</v>
      </c>
      <c r="I839" s="20"/>
      <c r="J839" s="20">
        <f t="shared" si="1"/>
        <v>0</v>
      </c>
      <c r="K839" s="21"/>
      <c r="L839" s="22"/>
    </row>
    <row r="840" ht="22.5" customHeight="1">
      <c r="A840" s="28">
        <v>46101.0</v>
      </c>
      <c r="B840" s="15" t="s">
        <v>1037</v>
      </c>
      <c r="C840" s="13" t="s">
        <v>9</v>
      </c>
      <c r="D840" s="13">
        <v>80.0</v>
      </c>
      <c r="E840" s="15">
        <v>170.0</v>
      </c>
      <c r="F840" s="13" t="s">
        <v>21</v>
      </c>
      <c r="G840" s="15" t="s">
        <v>89</v>
      </c>
      <c r="H840" s="15">
        <v>0.0</v>
      </c>
      <c r="I840" s="20"/>
      <c r="J840" s="20">
        <f t="shared" si="1"/>
        <v>0</v>
      </c>
      <c r="K840" s="21"/>
      <c r="L840" s="22"/>
    </row>
    <row r="841" ht="22.5" customHeight="1">
      <c r="A841" s="28">
        <v>46101.0</v>
      </c>
      <c r="B841" s="15" t="s">
        <v>1038</v>
      </c>
      <c r="C841" s="13" t="s">
        <v>9</v>
      </c>
      <c r="D841" s="13">
        <v>80.0</v>
      </c>
      <c r="E841" s="15">
        <v>290.0</v>
      </c>
      <c r="F841" s="13" t="s">
        <v>21</v>
      </c>
      <c r="G841" s="15" t="s">
        <v>89</v>
      </c>
      <c r="H841" s="15">
        <v>520.0</v>
      </c>
      <c r="I841" s="20"/>
      <c r="J841" s="20">
        <f t="shared" si="1"/>
        <v>150.8</v>
      </c>
      <c r="K841" s="21"/>
      <c r="L841" s="22"/>
    </row>
    <row r="842" ht="22.5" customHeight="1">
      <c r="A842" s="28">
        <v>46101.0</v>
      </c>
      <c r="B842" s="15" t="s">
        <v>1039</v>
      </c>
      <c r="C842" s="13" t="s">
        <v>9</v>
      </c>
      <c r="D842" s="13">
        <v>80.0</v>
      </c>
      <c r="E842" s="15">
        <v>330.0</v>
      </c>
      <c r="F842" s="13" t="s">
        <v>21</v>
      </c>
      <c r="G842" s="15" t="s">
        <v>89</v>
      </c>
      <c r="H842" s="15">
        <v>740.0</v>
      </c>
      <c r="I842" s="20"/>
      <c r="J842" s="20">
        <f t="shared" si="1"/>
        <v>244.2</v>
      </c>
      <c r="K842" s="21"/>
      <c r="L842" s="22"/>
    </row>
    <row r="843" ht="22.5" customHeight="1">
      <c r="A843" s="28">
        <v>46101.0</v>
      </c>
      <c r="B843" s="15" t="s">
        <v>1040</v>
      </c>
      <c r="C843" s="13" t="s">
        <v>9</v>
      </c>
      <c r="D843" s="13">
        <v>80.0</v>
      </c>
      <c r="E843" s="15">
        <v>300.0</v>
      </c>
      <c r="F843" s="13" t="s">
        <v>21</v>
      </c>
      <c r="G843" s="15" t="s">
        <v>89</v>
      </c>
      <c r="H843" s="15">
        <v>410.0</v>
      </c>
      <c r="I843" s="20"/>
      <c r="J843" s="20">
        <f t="shared" si="1"/>
        <v>123</v>
      </c>
      <c r="K843" s="21"/>
      <c r="L843" s="22"/>
    </row>
    <row r="844" ht="22.5" customHeight="1">
      <c r="A844" s="28">
        <v>46101.0</v>
      </c>
      <c r="B844" s="15" t="s">
        <v>1041</v>
      </c>
      <c r="C844" s="13" t="s">
        <v>9</v>
      </c>
      <c r="D844" s="13">
        <v>80.0</v>
      </c>
      <c r="E844" s="15">
        <v>180.0</v>
      </c>
      <c r="F844" s="13" t="s">
        <v>21</v>
      </c>
      <c r="G844" s="15" t="s">
        <v>89</v>
      </c>
      <c r="H844" s="15">
        <v>0.0</v>
      </c>
      <c r="I844" s="20"/>
      <c r="J844" s="20">
        <f t="shared" si="1"/>
        <v>0</v>
      </c>
      <c r="K844" s="21"/>
      <c r="L844" s="22"/>
    </row>
    <row r="845" ht="22.5" customHeight="1">
      <c r="A845" s="28">
        <v>46101.0</v>
      </c>
      <c r="B845" s="15" t="s">
        <v>1042</v>
      </c>
      <c r="C845" s="13" t="s">
        <v>9</v>
      </c>
      <c r="D845" s="13">
        <v>80.0</v>
      </c>
      <c r="E845" s="15">
        <v>125.0</v>
      </c>
      <c r="F845" s="13" t="s">
        <v>21</v>
      </c>
      <c r="G845" s="15" t="s">
        <v>89</v>
      </c>
      <c r="H845" s="15">
        <v>1030.0</v>
      </c>
      <c r="I845" s="20"/>
      <c r="J845" s="20">
        <f t="shared" si="1"/>
        <v>128.75</v>
      </c>
      <c r="K845" s="21"/>
      <c r="L845" s="22"/>
    </row>
    <row r="846" ht="22.5" customHeight="1">
      <c r="A846" s="28">
        <v>46103.0</v>
      </c>
      <c r="B846" s="15" t="s">
        <v>1043</v>
      </c>
      <c r="C846" s="13" t="s">
        <v>9</v>
      </c>
      <c r="D846" s="13">
        <v>80.0</v>
      </c>
      <c r="E846" s="15">
        <v>150.0</v>
      </c>
      <c r="F846" s="13" t="s">
        <v>21</v>
      </c>
      <c r="G846" s="15" t="s">
        <v>89</v>
      </c>
      <c r="H846" s="15">
        <v>640.0</v>
      </c>
      <c r="I846" s="20"/>
      <c r="J846" s="20">
        <f t="shared" si="1"/>
        <v>96</v>
      </c>
      <c r="K846" s="21"/>
      <c r="L846" s="22"/>
    </row>
    <row r="847" ht="22.5" customHeight="1">
      <c r="A847" s="28">
        <v>46103.0</v>
      </c>
      <c r="B847" s="15" t="s">
        <v>1044</v>
      </c>
      <c r="C847" s="13" t="s">
        <v>9</v>
      </c>
      <c r="D847" s="13">
        <v>80.0</v>
      </c>
      <c r="E847" s="15">
        <v>180.0</v>
      </c>
      <c r="F847" s="13" t="s">
        <v>21</v>
      </c>
      <c r="G847" s="15" t="s">
        <v>89</v>
      </c>
      <c r="H847" s="15">
        <v>690.0</v>
      </c>
      <c r="I847" s="20"/>
      <c r="J847" s="20">
        <f t="shared" si="1"/>
        <v>124.2</v>
      </c>
      <c r="K847" s="21"/>
      <c r="L847" s="22"/>
    </row>
    <row r="848" ht="22.5" customHeight="1">
      <c r="A848" s="28">
        <v>46103.0</v>
      </c>
      <c r="B848" s="15" t="s">
        <v>1045</v>
      </c>
      <c r="C848" s="13" t="s">
        <v>9</v>
      </c>
      <c r="D848" s="13">
        <v>80.0</v>
      </c>
      <c r="E848" s="15">
        <v>180.0</v>
      </c>
      <c r="F848" s="13" t="s">
        <v>21</v>
      </c>
      <c r="G848" s="15" t="s">
        <v>89</v>
      </c>
      <c r="H848" s="15">
        <v>890.0</v>
      </c>
      <c r="I848" s="20"/>
      <c r="J848" s="20">
        <f t="shared" si="1"/>
        <v>160.2</v>
      </c>
      <c r="K848" s="21"/>
      <c r="L848" s="22"/>
    </row>
    <row r="849" ht="22.5" customHeight="1">
      <c r="A849" s="28">
        <v>46103.0</v>
      </c>
      <c r="B849" s="15" t="s">
        <v>1046</v>
      </c>
      <c r="C849" s="13" t="s">
        <v>9</v>
      </c>
      <c r="D849" s="13">
        <v>80.0</v>
      </c>
      <c r="E849" s="15">
        <v>125.0</v>
      </c>
      <c r="F849" s="13" t="s">
        <v>21</v>
      </c>
      <c r="G849" s="15" t="s">
        <v>89</v>
      </c>
      <c r="H849" s="15">
        <v>610.0</v>
      </c>
      <c r="I849" s="20"/>
      <c r="J849" s="20">
        <f t="shared" si="1"/>
        <v>76.25</v>
      </c>
      <c r="K849" s="21"/>
      <c r="L849" s="22"/>
    </row>
    <row r="850" ht="22.5" customHeight="1">
      <c r="A850" s="28">
        <v>46103.0</v>
      </c>
      <c r="B850" s="15" t="s">
        <v>1047</v>
      </c>
      <c r="C850" s="13" t="s">
        <v>9</v>
      </c>
      <c r="D850" s="13">
        <v>80.0</v>
      </c>
      <c r="E850" s="15">
        <v>320.0</v>
      </c>
      <c r="F850" s="13" t="s">
        <v>21</v>
      </c>
      <c r="G850" s="15" t="s">
        <v>89</v>
      </c>
      <c r="H850" s="15">
        <v>1700.0</v>
      </c>
      <c r="I850" s="20"/>
      <c r="J850" s="20">
        <f t="shared" si="1"/>
        <v>544</v>
      </c>
      <c r="K850" s="21"/>
      <c r="L850" s="22"/>
    </row>
    <row r="851" ht="22.5" customHeight="1">
      <c r="A851" s="28">
        <v>46103.0</v>
      </c>
      <c r="B851" s="15" t="s">
        <v>1048</v>
      </c>
      <c r="C851" s="13" t="s">
        <v>9</v>
      </c>
      <c r="D851" s="13">
        <v>80.0</v>
      </c>
      <c r="E851" s="15">
        <v>290.0</v>
      </c>
      <c r="F851" s="13" t="s">
        <v>21</v>
      </c>
      <c r="G851" s="15" t="s">
        <v>89</v>
      </c>
      <c r="H851" s="15">
        <v>1470.0</v>
      </c>
      <c r="I851" s="20"/>
      <c r="J851" s="20">
        <f t="shared" si="1"/>
        <v>426.3</v>
      </c>
      <c r="K851" s="21"/>
      <c r="L851" s="22"/>
    </row>
    <row r="852" ht="22.5" customHeight="1">
      <c r="A852" s="28">
        <v>46104.0</v>
      </c>
      <c r="B852" s="15" t="s">
        <v>1049</v>
      </c>
      <c r="C852" s="13" t="s">
        <v>9</v>
      </c>
      <c r="D852" s="13">
        <v>80.0</v>
      </c>
      <c r="E852" s="15">
        <v>290.0</v>
      </c>
      <c r="F852" s="13" t="s">
        <v>21</v>
      </c>
      <c r="G852" s="15" t="s">
        <v>89</v>
      </c>
      <c r="H852" s="15">
        <v>600.0</v>
      </c>
      <c r="I852" s="20"/>
      <c r="J852" s="20">
        <f t="shared" si="1"/>
        <v>174</v>
      </c>
      <c r="K852" s="21"/>
      <c r="L852" s="22"/>
    </row>
    <row r="853" ht="22.5" customHeight="1">
      <c r="A853" s="28">
        <v>46104.0</v>
      </c>
      <c r="B853" s="15" t="s">
        <v>1050</v>
      </c>
      <c r="C853" s="13" t="s">
        <v>9</v>
      </c>
      <c r="D853" s="13">
        <v>80.0</v>
      </c>
      <c r="E853" s="15">
        <v>210.0</v>
      </c>
      <c r="F853" s="13" t="s">
        <v>21</v>
      </c>
      <c r="G853" s="15" t="s">
        <v>89</v>
      </c>
      <c r="H853" s="15">
        <v>0.0</v>
      </c>
      <c r="I853" s="20"/>
      <c r="J853" s="20">
        <f t="shared" si="1"/>
        <v>0</v>
      </c>
      <c r="K853" s="21"/>
      <c r="L853" s="22"/>
    </row>
    <row r="854" ht="22.5" customHeight="1">
      <c r="A854" s="28">
        <v>46105.0</v>
      </c>
      <c r="B854" s="15" t="s">
        <v>1051</v>
      </c>
      <c r="C854" s="13" t="s">
        <v>9</v>
      </c>
      <c r="D854" s="13">
        <v>80.0</v>
      </c>
      <c r="E854" s="15">
        <v>320.0</v>
      </c>
      <c r="F854" s="13" t="s">
        <v>21</v>
      </c>
      <c r="G854" s="15" t="s">
        <v>89</v>
      </c>
      <c r="H854" s="15">
        <v>270.0</v>
      </c>
      <c r="I854" s="20"/>
      <c r="J854" s="20">
        <f t="shared" si="1"/>
        <v>86.4</v>
      </c>
      <c r="K854" s="21"/>
      <c r="L854" s="22"/>
    </row>
    <row r="855" ht="22.5" customHeight="1">
      <c r="A855" s="28">
        <v>46105.0</v>
      </c>
      <c r="B855" s="15" t="s">
        <v>1052</v>
      </c>
      <c r="C855" s="13" t="s">
        <v>43</v>
      </c>
      <c r="D855" s="13">
        <v>50.0</v>
      </c>
      <c r="E855" s="15">
        <v>125.0</v>
      </c>
      <c r="F855" s="13" t="s">
        <v>27</v>
      </c>
      <c r="G855" s="15" t="s">
        <v>1032</v>
      </c>
      <c r="H855" s="15">
        <v>1600.0</v>
      </c>
      <c r="I855" s="20"/>
      <c r="J855" s="20">
        <f t="shared" si="1"/>
        <v>200</v>
      </c>
      <c r="K855" s="21"/>
      <c r="L855" s="22"/>
    </row>
    <row r="856" ht="22.5" customHeight="1">
      <c r="A856" s="28">
        <v>46105.0</v>
      </c>
      <c r="B856" s="15" t="s">
        <v>1053</v>
      </c>
      <c r="C856" s="13" t="s">
        <v>43</v>
      </c>
      <c r="D856" s="13">
        <v>50.0</v>
      </c>
      <c r="E856" s="15">
        <v>125.0</v>
      </c>
      <c r="F856" s="13" t="s">
        <v>27</v>
      </c>
      <c r="G856" s="15" t="s">
        <v>1032</v>
      </c>
      <c r="H856" s="15">
        <v>470.0</v>
      </c>
      <c r="I856" s="20"/>
      <c r="J856" s="20">
        <f t="shared" si="1"/>
        <v>58.75</v>
      </c>
      <c r="K856" s="21"/>
      <c r="L856" s="22"/>
    </row>
    <row r="857" ht="22.5" customHeight="1">
      <c r="A857" s="28">
        <v>46106.0</v>
      </c>
      <c r="B857" s="15" t="s">
        <v>1055</v>
      </c>
      <c r="C857" s="13" t="s">
        <v>9</v>
      </c>
      <c r="D857" s="13">
        <v>80.0</v>
      </c>
      <c r="E857" s="15">
        <v>300.0</v>
      </c>
      <c r="F857" s="13" t="s">
        <v>21</v>
      </c>
      <c r="G857" s="15" t="s">
        <v>89</v>
      </c>
      <c r="H857" s="15">
        <v>1270.0</v>
      </c>
      <c r="I857" s="20"/>
      <c r="J857" s="20">
        <f t="shared" si="1"/>
        <v>381</v>
      </c>
      <c r="K857" s="21"/>
      <c r="L857" s="22"/>
    </row>
    <row r="858" ht="22.5" customHeight="1">
      <c r="A858" s="28">
        <v>46106.0</v>
      </c>
      <c r="B858" s="15" t="s">
        <v>1056</v>
      </c>
      <c r="C858" s="13" t="s">
        <v>9</v>
      </c>
      <c r="D858" s="13">
        <v>80.0</v>
      </c>
      <c r="E858" s="15">
        <v>280.0</v>
      </c>
      <c r="F858" s="13" t="s">
        <v>21</v>
      </c>
      <c r="G858" s="15" t="s">
        <v>89</v>
      </c>
      <c r="H858" s="15">
        <v>1330.0</v>
      </c>
      <c r="I858" s="20"/>
      <c r="J858" s="20">
        <f t="shared" si="1"/>
        <v>372.4</v>
      </c>
      <c r="K858" s="21"/>
      <c r="L858" s="22"/>
    </row>
    <row r="859" ht="22.5" customHeight="1">
      <c r="A859" s="28">
        <v>46106.0</v>
      </c>
      <c r="B859" s="15" t="s">
        <v>1057</v>
      </c>
      <c r="C859" s="13" t="s">
        <v>9</v>
      </c>
      <c r="D859" s="13">
        <v>80.0</v>
      </c>
      <c r="E859" s="15">
        <v>210.0</v>
      </c>
      <c r="F859" s="13" t="s">
        <v>21</v>
      </c>
      <c r="G859" s="15" t="s">
        <v>89</v>
      </c>
      <c r="H859" s="15">
        <v>1420.0</v>
      </c>
      <c r="I859" s="20"/>
      <c r="J859" s="20">
        <f t="shared" si="1"/>
        <v>298.2</v>
      </c>
      <c r="K859" s="21"/>
      <c r="L859" s="22"/>
    </row>
    <row r="860" ht="22.5" customHeight="1">
      <c r="A860" s="28">
        <v>46106.0</v>
      </c>
      <c r="B860" s="15" t="s">
        <v>1058</v>
      </c>
      <c r="C860" s="13" t="s">
        <v>9</v>
      </c>
      <c r="D860" s="13">
        <v>80.0</v>
      </c>
      <c r="E860" s="15">
        <v>290.0</v>
      </c>
      <c r="F860" s="13" t="s">
        <v>21</v>
      </c>
      <c r="G860" s="15" t="s">
        <v>89</v>
      </c>
      <c r="H860" s="15">
        <v>670.0</v>
      </c>
      <c r="I860" s="20"/>
      <c r="J860" s="20">
        <f t="shared" si="1"/>
        <v>194.3</v>
      </c>
      <c r="K860" s="21"/>
      <c r="L860" s="22"/>
    </row>
    <row r="861" ht="22.5" customHeight="1">
      <c r="A861" s="28">
        <v>46106.0</v>
      </c>
      <c r="B861" s="15" t="s">
        <v>1059</v>
      </c>
      <c r="C861" s="13" t="s">
        <v>9</v>
      </c>
      <c r="D861" s="13">
        <v>80.0</v>
      </c>
      <c r="E861" s="15">
        <v>210.0</v>
      </c>
      <c r="F861" s="13" t="s">
        <v>21</v>
      </c>
      <c r="G861" s="15" t="s">
        <v>89</v>
      </c>
      <c r="H861" s="15">
        <v>1010.0</v>
      </c>
      <c r="I861" s="20"/>
      <c r="J861" s="20">
        <f t="shared" si="1"/>
        <v>212.1</v>
      </c>
      <c r="K861" s="21"/>
      <c r="L861" s="22"/>
    </row>
    <row r="862" ht="22.5" customHeight="1">
      <c r="A862" s="28">
        <v>46107.0</v>
      </c>
      <c r="B862" s="15" t="s">
        <v>1060</v>
      </c>
      <c r="C862" s="13" t="s">
        <v>9</v>
      </c>
      <c r="D862" s="13">
        <v>80.0</v>
      </c>
      <c r="E862" s="15">
        <v>125.0</v>
      </c>
      <c r="F862" s="13" t="s">
        <v>21</v>
      </c>
      <c r="G862" s="15" t="s">
        <v>89</v>
      </c>
      <c r="H862" s="15">
        <v>0.0</v>
      </c>
      <c r="I862" s="20"/>
      <c r="J862" s="20">
        <f t="shared" si="1"/>
        <v>0</v>
      </c>
      <c r="K862" s="21"/>
      <c r="L862" s="22"/>
    </row>
    <row r="863" ht="22.5" customHeight="1">
      <c r="A863" s="28">
        <v>46107.0</v>
      </c>
      <c r="B863" s="15" t="s">
        <v>1061</v>
      </c>
      <c r="C863" s="13" t="s">
        <v>9</v>
      </c>
      <c r="D863" s="13">
        <v>80.0</v>
      </c>
      <c r="E863" s="15">
        <v>125.0</v>
      </c>
      <c r="F863" s="13" t="s">
        <v>21</v>
      </c>
      <c r="G863" s="15" t="s">
        <v>89</v>
      </c>
      <c r="H863" s="15">
        <v>1100.0</v>
      </c>
      <c r="I863" s="20"/>
      <c r="J863" s="20">
        <f t="shared" si="1"/>
        <v>137.5</v>
      </c>
      <c r="K863" s="21"/>
      <c r="L863" s="22"/>
    </row>
    <row r="864" ht="22.5" customHeight="1">
      <c r="A864" s="28">
        <v>46107.0</v>
      </c>
      <c r="B864" s="15" t="s">
        <v>1063</v>
      </c>
      <c r="C864" s="13" t="s">
        <v>9</v>
      </c>
      <c r="D864" s="13">
        <v>80.0</v>
      </c>
      <c r="E864" s="15">
        <v>250.0</v>
      </c>
      <c r="F864" s="13" t="s">
        <v>21</v>
      </c>
      <c r="G864" s="15" t="s">
        <v>89</v>
      </c>
      <c r="H864" s="15">
        <v>430.0</v>
      </c>
      <c r="I864" s="20"/>
      <c r="J864" s="20">
        <f t="shared" si="1"/>
        <v>107.5</v>
      </c>
      <c r="K864" s="21"/>
      <c r="L864" s="22"/>
    </row>
    <row r="865" ht="22.5" customHeight="1">
      <c r="A865" s="28">
        <v>46107.0</v>
      </c>
      <c r="B865" s="15" t="s">
        <v>1064</v>
      </c>
      <c r="C865" s="13" t="s">
        <v>9</v>
      </c>
      <c r="D865" s="13">
        <v>80.0</v>
      </c>
      <c r="E865" s="15">
        <v>125.0</v>
      </c>
      <c r="F865" s="13" t="s">
        <v>21</v>
      </c>
      <c r="G865" s="15" t="s">
        <v>89</v>
      </c>
      <c r="H865" s="15">
        <v>400.0</v>
      </c>
      <c r="I865" s="20"/>
      <c r="J865" s="20">
        <f t="shared" si="1"/>
        <v>50</v>
      </c>
      <c r="K865" s="21"/>
      <c r="L865" s="22"/>
    </row>
    <row r="866" ht="22.5" customHeight="1">
      <c r="A866" s="28">
        <v>46107.0</v>
      </c>
      <c r="B866" s="15" t="s">
        <v>1065</v>
      </c>
      <c r="C866" s="13" t="s">
        <v>9</v>
      </c>
      <c r="D866" s="13">
        <v>80.0</v>
      </c>
      <c r="E866" s="15">
        <v>180.0</v>
      </c>
      <c r="F866" s="13" t="s">
        <v>21</v>
      </c>
      <c r="G866" s="15" t="s">
        <v>89</v>
      </c>
      <c r="H866" s="15">
        <v>490.0</v>
      </c>
      <c r="I866" s="20"/>
      <c r="J866" s="20">
        <f t="shared" si="1"/>
        <v>88.2</v>
      </c>
      <c r="K866" s="21"/>
      <c r="L866" s="22"/>
    </row>
    <row r="867" ht="22.5" customHeight="1">
      <c r="A867" s="28">
        <v>46107.0</v>
      </c>
      <c r="B867" s="15" t="s">
        <v>1066</v>
      </c>
      <c r="C867" s="13" t="s">
        <v>9</v>
      </c>
      <c r="D867" s="13">
        <v>80.0</v>
      </c>
      <c r="E867" s="15">
        <v>150.0</v>
      </c>
      <c r="F867" s="13" t="s">
        <v>21</v>
      </c>
      <c r="G867" s="15" t="s">
        <v>89</v>
      </c>
      <c r="H867" s="15">
        <v>0.0</v>
      </c>
      <c r="I867" s="20"/>
      <c r="J867" s="20">
        <f t="shared" si="1"/>
        <v>0</v>
      </c>
      <c r="K867" s="21"/>
      <c r="L867" s="22"/>
    </row>
    <row r="868" ht="22.5" customHeight="1">
      <c r="A868" s="28">
        <v>46108.0</v>
      </c>
      <c r="B868" s="15" t="s">
        <v>1061</v>
      </c>
      <c r="C868" s="13" t="s">
        <v>9</v>
      </c>
      <c r="D868" s="13">
        <v>80.0</v>
      </c>
      <c r="E868" s="15">
        <v>125.0</v>
      </c>
      <c r="F868" s="13" t="s">
        <v>21</v>
      </c>
      <c r="G868" s="15" t="s">
        <v>89</v>
      </c>
      <c r="H868" s="15">
        <v>1100.0</v>
      </c>
      <c r="I868" s="20"/>
      <c r="J868" s="20">
        <f t="shared" si="1"/>
        <v>137.5</v>
      </c>
      <c r="K868" s="21"/>
      <c r="L868" s="22"/>
    </row>
    <row r="869" ht="22.5" customHeight="1">
      <c r="A869" s="28">
        <v>46108.0</v>
      </c>
      <c r="B869" s="15" t="s">
        <v>1067</v>
      </c>
      <c r="C869" s="13" t="s">
        <v>9</v>
      </c>
      <c r="D869" s="13">
        <v>80.0</v>
      </c>
      <c r="E869" s="15">
        <v>230.0</v>
      </c>
      <c r="F869" s="13" t="s">
        <v>21</v>
      </c>
      <c r="G869" s="15" t="s">
        <v>89</v>
      </c>
      <c r="H869" s="15">
        <v>1230.0</v>
      </c>
      <c r="I869" s="20"/>
      <c r="J869" s="20">
        <f t="shared" si="1"/>
        <v>282.9</v>
      </c>
      <c r="K869" s="21"/>
      <c r="L869" s="22"/>
    </row>
    <row r="870" ht="22.5" customHeight="1">
      <c r="A870" s="28">
        <v>46108.0</v>
      </c>
      <c r="B870" s="15" t="s">
        <v>1068</v>
      </c>
      <c r="C870" s="13" t="s">
        <v>9</v>
      </c>
      <c r="D870" s="13">
        <v>80.0</v>
      </c>
      <c r="E870" s="15">
        <v>395.0</v>
      </c>
      <c r="F870" s="13" t="s">
        <v>21</v>
      </c>
      <c r="G870" s="15" t="s">
        <v>89</v>
      </c>
      <c r="H870" s="15">
        <v>420.0</v>
      </c>
      <c r="I870" s="20"/>
      <c r="J870" s="20">
        <f t="shared" si="1"/>
        <v>165.9</v>
      </c>
      <c r="K870" s="21"/>
      <c r="L870" s="22"/>
    </row>
    <row r="871" ht="22.5" customHeight="1">
      <c r="A871" s="28">
        <v>46108.0</v>
      </c>
      <c r="B871" s="15" t="s">
        <v>1069</v>
      </c>
      <c r="C871" s="13" t="s">
        <v>65</v>
      </c>
      <c r="D871" s="13">
        <v>40.0</v>
      </c>
      <c r="E871" s="15">
        <v>650.0</v>
      </c>
      <c r="F871" s="38"/>
      <c r="G871" s="15" t="s">
        <v>893</v>
      </c>
      <c r="H871" s="15">
        <v>2300.0</v>
      </c>
      <c r="I871" s="20"/>
      <c r="J871" s="20">
        <f t="shared" si="1"/>
        <v>1495</v>
      </c>
      <c r="K871" s="21"/>
      <c r="L871" s="22"/>
    </row>
    <row r="872" ht="22.5" customHeight="1">
      <c r="A872" s="28">
        <v>46108.0</v>
      </c>
      <c r="B872" s="15" t="s">
        <v>1070</v>
      </c>
      <c r="C872" s="13" t="s">
        <v>65</v>
      </c>
      <c r="D872" s="13">
        <v>40.0</v>
      </c>
      <c r="E872" s="15">
        <v>240.0</v>
      </c>
      <c r="F872" s="38"/>
      <c r="G872" s="15" t="s">
        <v>893</v>
      </c>
      <c r="H872" s="15">
        <v>1500.0</v>
      </c>
      <c r="I872" s="20"/>
      <c r="J872" s="20">
        <f t="shared" si="1"/>
        <v>360</v>
      </c>
      <c r="K872" s="21"/>
      <c r="L872" s="22"/>
    </row>
    <row r="873" ht="22.5" customHeight="1">
      <c r="A873" s="28">
        <v>46109.0</v>
      </c>
      <c r="B873" s="15" t="s">
        <v>1071</v>
      </c>
      <c r="C873" s="13" t="s">
        <v>9</v>
      </c>
      <c r="D873" s="13">
        <v>80.0</v>
      </c>
      <c r="E873" s="15">
        <v>150.0</v>
      </c>
      <c r="F873" s="13" t="s">
        <v>21</v>
      </c>
      <c r="G873" s="15" t="s">
        <v>89</v>
      </c>
      <c r="H873" s="15">
        <v>480.0</v>
      </c>
      <c r="I873" s="20"/>
      <c r="J873" s="20">
        <f t="shared" si="1"/>
        <v>72</v>
      </c>
      <c r="K873" s="21"/>
      <c r="L873" s="22"/>
    </row>
    <row r="874" ht="22.5" customHeight="1">
      <c r="A874" s="28">
        <v>46109.0</v>
      </c>
      <c r="B874" s="15" t="s">
        <v>1072</v>
      </c>
      <c r="C874" s="13" t="s">
        <v>9</v>
      </c>
      <c r="D874" s="13">
        <v>80.0</v>
      </c>
      <c r="E874" s="15">
        <v>150.0</v>
      </c>
      <c r="F874" s="13" t="s">
        <v>21</v>
      </c>
      <c r="G874" s="15" t="s">
        <v>89</v>
      </c>
      <c r="H874" s="15">
        <v>870.0</v>
      </c>
      <c r="I874" s="20"/>
      <c r="J874" s="20">
        <f t="shared" si="1"/>
        <v>130.5</v>
      </c>
      <c r="K874" s="21"/>
      <c r="L874" s="22"/>
    </row>
    <row r="875" ht="22.5" customHeight="1">
      <c r="A875" s="28">
        <v>46109.0</v>
      </c>
      <c r="B875" s="15" t="s">
        <v>1070</v>
      </c>
      <c r="C875" s="13" t="s">
        <v>9</v>
      </c>
      <c r="D875" s="13">
        <v>80.0</v>
      </c>
      <c r="E875" s="15">
        <v>180.0</v>
      </c>
      <c r="F875" s="13" t="s">
        <v>21</v>
      </c>
      <c r="G875" s="15" t="s">
        <v>89</v>
      </c>
      <c r="H875" s="15">
        <v>180.0</v>
      </c>
      <c r="I875" s="20"/>
      <c r="J875" s="20">
        <f t="shared" si="1"/>
        <v>32.4</v>
      </c>
      <c r="K875" s="21"/>
      <c r="L875" s="22"/>
    </row>
    <row r="876" ht="22.5" customHeight="1">
      <c r="A876" s="28">
        <v>46109.0</v>
      </c>
      <c r="B876" s="15" t="s">
        <v>1073</v>
      </c>
      <c r="C876" s="13" t="s">
        <v>9</v>
      </c>
      <c r="D876" s="13">
        <v>80.0</v>
      </c>
      <c r="E876" s="15">
        <v>160.0</v>
      </c>
      <c r="F876" s="13" t="s">
        <v>21</v>
      </c>
      <c r="G876" s="15" t="s">
        <v>89</v>
      </c>
      <c r="H876" s="15">
        <v>150.0</v>
      </c>
      <c r="I876" s="20"/>
      <c r="J876" s="20">
        <f t="shared" si="1"/>
        <v>24</v>
      </c>
      <c r="K876" s="21"/>
      <c r="L876" s="22"/>
    </row>
    <row r="877" ht="22.5" customHeight="1">
      <c r="A877" s="28">
        <v>46109.0</v>
      </c>
      <c r="B877" s="15" t="s">
        <v>1074</v>
      </c>
      <c r="C877" s="13" t="s">
        <v>9</v>
      </c>
      <c r="D877" s="13">
        <v>80.0</v>
      </c>
      <c r="E877" s="15">
        <v>300.0</v>
      </c>
      <c r="F877" s="13" t="s">
        <v>21</v>
      </c>
      <c r="G877" s="15" t="s">
        <v>89</v>
      </c>
      <c r="H877" s="15">
        <v>810.0</v>
      </c>
      <c r="I877" s="20"/>
      <c r="J877" s="20">
        <f t="shared" si="1"/>
        <v>243</v>
      </c>
      <c r="K877" s="21"/>
      <c r="L877" s="22"/>
    </row>
    <row r="878" ht="22.5" customHeight="1">
      <c r="A878" s="28">
        <v>46109.0</v>
      </c>
      <c r="B878" s="15" t="s">
        <v>1075</v>
      </c>
      <c r="C878" s="13" t="s">
        <v>9</v>
      </c>
      <c r="D878" s="13">
        <v>80.0</v>
      </c>
      <c r="E878" s="15">
        <v>320.0</v>
      </c>
      <c r="F878" s="13" t="s">
        <v>21</v>
      </c>
      <c r="G878" s="15" t="s">
        <v>89</v>
      </c>
      <c r="H878" s="15">
        <v>100.0</v>
      </c>
      <c r="I878" s="20"/>
      <c r="J878" s="20">
        <f t="shared" si="1"/>
        <v>32</v>
      </c>
      <c r="K878" s="21"/>
      <c r="L878" s="22"/>
    </row>
    <row r="879" ht="22.5" customHeight="1">
      <c r="A879" s="28">
        <v>46111.0</v>
      </c>
      <c r="B879" s="15" t="s">
        <v>1076</v>
      </c>
      <c r="C879" s="13" t="s">
        <v>43</v>
      </c>
      <c r="D879" s="13">
        <v>50.0</v>
      </c>
      <c r="E879" s="15">
        <v>125.0</v>
      </c>
      <c r="F879" s="13" t="s">
        <v>27</v>
      </c>
      <c r="G879" s="15" t="s">
        <v>1032</v>
      </c>
      <c r="H879" s="15">
        <v>1030.0</v>
      </c>
      <c r="I879" s="20"/>
      <c r="J879" s="20">
        <f t="shared" si="1"/>
        <v>128.75</v>
      </c>
      <c r="K879" s="21"/>
      <c r="L879" s="22"/>
    </row>
    <row r="880" ht="22.5" customHeight="1">
      <c r="A880" s="28">
        <v>46111.0</v>
      </c>
      <c r="B880" s="15" t="s">
        <v>1077</v>
      </c>
      <c r="C880" s="13" t="s">
        <v>43</v>
      </c>
      <c r="D880" s="13">
        <v>50.0</v>
      </c>
      <c r="E880" s="15">
        <v>125.0</v>
      </c>
      <c r="F880" s="13" t="s">
        <v>27</v>
      </c>
      <c r="G880" s="15" t="s">
        <v>1032</v>
      </c>
      <c r="H880" s="15">
        <v>2060.0</v>
      </c>
      <c r="I880" s="20"/>
      <c r="J880" s="20">
        <f t="shared" si="1"/>
        <v>257.5</v>
      </c>
      <c r="K880" s="21"/>
      <c r="L880" s="22"/>
    </row>
    <row r="881" ht="22.5" customHeight="1">
      <c r="A881" s="28">
        <v>46111.0</v>
      </c>
      <c r="B881" s="15" t="s">
        <v>1078</v>
      </c>
      <c r="C881" s="13" t="s">
        <v>43</v>
      </c>
      <c r="D881" s="13">
        <v>50.0</v>
      </c>
      <c r="E881" s="15">
        <v>125.0</v>
      </c>
      <c r="F881" s="13" t="s">
        <v>27</v>
      </c>
      <c r="G881" s="15" t="s">
        <v>1032</v>
      </c>
      <c r="H881" s="15">
        <v>960.0</v>
      </c>
      <c r="I881" s="20"/>
      <c r="J881" s="20">
        <f t="shared" si="1"/>
        <v>120</v>
      </c>
      <c r="K881" s="21"/>
      <c r="L881" s="22"/>
    </row>
    <row r="882" ht="22.5" customHeight="1">
      <c r="A882" s="28">
        <v>46111.0</v>
      </c>
      <c r="B882" s="15" t="s">
        <v>970</v>
      </c>
      <c r="C882" s="13" t="s">
        <v>9</v>
      </c>
      <c r="D882" s="13">
        <v>80.0</v>
      </c>
      <c r="E882" s="15">
        <v>185.0</v>
      </c>
      <c r="F882" s="13" t="s">
        <v>27</v>
      </c>
      <c r="G882" s="15" t="s">
        <v>106</v>
      </c>
      <c r="H882" s="15">
        <v>770.0</v>
      </c>
      <c r="I882" s="20"/>
      <c r="J882" s="20">
        <f t="shared" si="1"/>
        <v>142.45</v>
      </c>
      <c r="K882" s="21"/>
      <c r="L882" s="22"/>
    </row>
    <row r="883" ht="22.5" customHeight="1">
      <c r="A883" s="28">
        <v>46111.0</v>
      </c>
      <c r="B883" s="15" t="s">
        <v>955</v>
      </c>
      <c r="C883" s="13" t="s">
        <v>9</v>
      </c>
      <c r="D883" s="13">
        <v>80.0</v>
      </c>
      <c r="E883" s="15">
        <v>185.0</v>
      </c>
      <c r="F883" s="13" t="s">
        <v>27</v>
      </c>
      <c r="G883" s="15" t="s">
        <v>106</v>
      </c>
      <c r="H883" s="15">
        <v>1080.0</v>
      </c>
      <c r="I883" s="20"/>
      <c r="J883" s="20">
        <f t="shared" si="1"/>
        <v>199.8</v>
      </c>
      <c r="K883" s="21"/>
      <c r="L883" s="22"/>
    </row>
    <row r="884" ht="22.5" customHeight="1">
      <c r="A884" s="28">
        <v>46111.0</v>
      </c>
      <c r="B884" s="15" t="s">
        <v>1079</v>
      </c>
      <c r="C884" s="13" t="s">
        <v>43</v>
      </c>
      <c r="D884" s="13">
        <v>50.0</v>
      </c>
      <c r="E884" s="15">
        <v>125.0</v>
      </c>
      <c r="F884" s="13" t="s">
        <v>27</v>
      </c>
      <c r="G884" s="15" t="s">
        <v>1032</v>
      </c>
      <c r="H884" s="15">
        <v>530.0</v>
      </c>
      <c r="I884" s="20"/>
      <c r="J884" s="20">
        <f t="shared" si="1"/>
        <v>66.25</v>
      </c>
      <c r="K884" s="21"/>
      <c r="L884" s="22"/>
    </row>
    <row r="885" ht="22.5" customHeight="1">
      <c r="A885" s="28">
        <v>46112.0</v>
      </c>
      <c r="B885" s="15" t="s">
        <v>1080</v>
      </c>
      <c r="C885" s="13" t="s">
        <v>9</v>
      </c>
      <c r="D885" s="13">
        <v>80.0</v>
      </c>
      <c r="E885" s="15">
        <v>280.0</v>
      </c>
      <c r="F885" s="13" t="s">
        <v>21</v>
      </c>
      <c r="G885" s="15" t="s">
        <v>89</v>
      </c>
      <c r="H885" s="15">
        <v>0.0</v>
      </c>
      <c r="I885" s="20"/>
      <c r="J885" s="20">
        <f t="shared" si="1"/>
        <v>0</v>
      </c>
      <c r="K885" s="21"/>
      <c r="L885" s="22"/>
    </row>
    <row r="886" ht="22.5" customHeight="1">
      <c r="A886" s="28">
        <v>46112.0</v>
      </c>
      <c r="B886" s="15" t="s">
        <v>1081</v>
      </c>
      <c r="C886" s="13" t="s">
        <v>9</v>
      </c>
      <c r="D886" s="13">
        <v>80.0</v>
      </c>
      <c r="E886" s="15">
        <v>125.0</v>
      </c>
      <c r="F886" s="13" t="s">
        <v>21</v>
      </c>
      <c r="G886" s="15" t="s">
        <v>89</v>
      </c>
      <c r="H886" s="15">
        <v>1430.0</v>
      </c>
      <c r="I886" s="20"/>
      <c r="J886" s="20">
        <f t="shared" si="1"/>
        <v>178.75</v>
      </c>
      <c r="K886" s="21"/>
      <c r="L886" s="22"/>
    </row>
    <row r="887" ht="22.5" customHeight="1">
      <c r="A887" s="28">
        <v>46112.0</v>
      </c>
      <c r="B887" s="15" t="s">
        <v>1082</v>
      </c>
      <c r="C887" s="13" t="s">
        <v>9</v>
      </c>
      <c r="D887" s="13">
        <v>80.0</v>
      </c>
      <c r="E887" s="15">
        <v>280.0</v>
      </c>
      <c r="F887" s="13" t="s">
        <v>21</v>
      </c>
      <c r="G887" s="15" t="s">
        <v>89</v>
      </c>
      <c r="H887" s="15">
        <v>620.0</v>
      </c>
      <c r="I887" s="20"/>
      <c r="J887" s="20">
        <f t="shared" si="1"/>
        <v>173.6</v>
      </c>
      <c r="K887" s="21"/>
      <c r="L887" s="22"/>
    </row>
    <row r="888" ht="22.5" customHeight="1">
      <c r="A888" s="28">
        <v>46112.0</v>
      </c>
      <c r="B888" s="15" t="s">
        <v>1083</v>
      </c>
      <c r="C888" s="13" t="s">
        <v>54</v>
      </c>
      <c r="D888" s="13">
        <v>40.0</v>
      </c>
      <c r="E888" s="15">
        <v>200.0</v>
      </c>
      <c r="F888" s="38"/>
      <c r="G888" s="15" t="s">
        <v>742</v>
      </c>
      <c r="H888" s="15">
        <v>300.0</v>
      </c>
      <c r="I888" s="20"/>
      <c r="J888" s="20">
        <f t="shared" si="1"/>
        <v>60</v>
      </c>
      <c r="K888" s="21"/>
      <c r="L888" s="22"/>
    </row>
    <row r="889" ht="22.5" customHeight="1">
      <c r="A889" s="28">
        <v>46112.0</v>
      </c>
      <c r="B889" s="15" t="s">
        <v>1084</v>
      </c>
      <c r="C889" s="13" t="s">
        <v>9</v>
      </c>
      <c r="D889" s="13">
        <v>80.0</v>
      </c>
      <c r="E889" s="15">
        <v>160.0</v>
      </c>
      <c r="F889" s="13" t="s">
        <v>27</v>
      </c>
      <c r="G889" s="15" t="s">
        <v>99</v>
      </c>
      <c r="H889" s="15">
        <v>80.0</v>
      </c>
      <c r="I889" s="20"/>
      <c r="J889" s="20">
        <f t="shared" si="1"/>
        <v>12.8</v>
      </c>
      <c r="K889" s="21"/>
      <c r="L889" s="22"/>
    </row>
    <row r="890" ht="22.5" customHeight="1">
      <c r="A890" s="28">
        <v>46112.0</v>
      </c>
      <c r="B890" s="15" t="s">
        <v>1085</v>
      </c>
      <c r="C890" s="13" t="s">
        <v>9</v>
      </c>
      <c r="D890" s="13">
        <v>80.0</v>
      </c>
      <c r="E890" s="15">
        <v>230.0</v>
      </c>
      <c r="F890" s="13" t="s">
        <v>27</v>
      </c>
      <c r="G890" s="15" t="s">
        <v>99</v>
      </c>
      <c r="H890" s="15">
        <v>490.0</v>
      </c>
      <c r="I890" s="20"/>
      <c r="J890" s="20">
        <f t="shared" si="1"/>
        <v>112.7</v>
      </c>
      <c r="K890" s="21"/>
      <c r="L890" s="22"/>
    </row>
    <row r="891" ht="22.5" customHeight="1">
      <c r="A891" s="28">
        <v>46112.0</v>
      </c>
      <c r="B891" s="15" t="s">
        <v>1086</v>
      </c>
      <c r="C891" s="13" t="s">
        <v>9</v>
      </c>
      <c r="D891" s="13">
        <v>80.0</v>
      </c>
      <c r="E891" s="15">
        <v>140.0</v>
      </c>
      <c r="F891" s="13" t="s">
        <v>27</v>
      </c>
      <c r="G891" s="15" t="s">
        <v>99</v>
      </c>
      <c r="H891" s="15">
        <v>170.0</v>
      </c>
      <c r="I891" s="20"/>
      <c r="J891" s="20">
        <f t="shared" si="1"/>
        <v>23.8</v>
      </c>
      <c r="K891" s="21"/>
      <c r="L891" s="22"/>
    </row>
    <row r="892" ht="22.5" customHeight="1">
      <c r="A892" s="28">
        <v>46113.0</v>
      </c>
      <c r="B892" s="15" t="s">
        <v>1087</v>
      </c>
      <c r="C892" s="13" t="s">
        <v>9</v>
      </c>
      <c r="D892" s="13">
        <v>80.0</v>
      </c>
      <c r="E892" s="15">
        <v>290.0</v>
      </c>
      <c r="F892" s="13" t="s">
        <v>21</v>
      </c>
      <c r="G892" s="15" t="s">
        <v>89</v>
      </c>
      <c r="H892" s="15">
        <v>0.0</v>
      </c>
      <c r="I892" s="20"/>
      <c r="J892" s="20">
        <f t="shared" si="1"/>
        <v>0</v>
      </c>
      <c r="K892" s="21"/>
      <c r="L892" s="22"/>
    </row>
    <row r="893" ht="22.5" customHeight="1">
      <c r="A893" s="28">
        <v>46113.0</v>
      </c>
      <c r="B893" s="15" t="s">
        <v>1088</v>
      </c>
      <c r="C893" s="13" t="s">
        <v>9</v>
      </c>
      <c r="D893" s="13">
        <v>80.0</v>
      </c>
      <c r="E893" s="15">
        <v>290.0</v>
      </c>
      <c r="F893" s="13" t="s">
        <v>21</v>
      </c>
      <c r="G893" s="15" t="s">
        <v>89</v>
      </c>
      <c r="H893" s="15">
        <v>1820.0</v>
      </c>
      <c r="I893" s="20"/>
      <c r="J893" s="20">
        <f t="shared" si="1"/>
        <v>527.8</v>
      </c>
      <c r="K893" s="21"/>
      <c r="L893" s="22"/>
    </row>
    <row r="894" ht="22.5" customHeight="1">
      <c r="A894" s="28">
        <v>46113.0</v>
      </c>
      <c r="B894" s="15" t="s">
        <v>1089</v>
      </c>
      <c r="C894" s="13" t="s">
        <v>9</v>
      </c>
      <c r="D894" s="13">
        <v>80.0</v>
      </c>
      <c r="E894" s="15">
        <v>290.0</v>
      </c>
      <c r="F894" s="13" t="s">
        <v>21</v>
      </c>
      <c r="G894" s="15" t="s">
        <v>89</v>
      </c>
      <c r="H894" s="15">
        <v>560.0</v>
      </c>
      <c r="I894" s="20"/>
      <c r="J894" s="20">
        <f t="shared" si="1"/>
        <v>162.4</v>
      </c>
      <c r="K894" s="21"/>
      <c r="L894" s="22"/>
    </row>
    <row r="895" ht="22.5" customHeight="1">
      <c r="A895" s="28">
        <v>46114.0</v>
      </c>
      <c r="B895" s="15" t="s">
        <v>1090</v>
      </c>
      <c r="C895" s="13" t="s">
        <v>9</v>
      </c>
      <c r="D895" s="13">
        <v>80.0</v>
      </c>
      <c r="E895" s="15">
        <v>175.0</v>
      </c>
      <c r="F895" s="13" t="s">
        <v>21</v>
      </c>
      <c r="G895" s="15" t="s">
        <v>89</v>
      </c>
      <c r="H895" s="15">
        <v>130.0</v>
      </c>
      <c r="I895" s="20"/>
      <c r="J895" s="20">
        <f t="shared" si="1"/>
        <v>22.75</v>
      </c>
      <c r="K895" s="21"/>
      <c r="L895" s="22"/>
    </row>
    <row r="896" ht="22.5" customHeight="1">
      <c r="A896" s="28">
        <v>46114.0</v>
      </c>
      <c r="B896" s="15" t="s">
        <v>1091</v>
      </c>
      <c r="C896" s="13" t="s">
        <v>9</v>
      </c>
      <c r="D896" s="13">
        <v>80.0</v>
      </c>
      <c r="E896" s="15">
        <v>250.0</v>
      </c>
      <c r="F896" s="13" t="s">
        <v>21</v>
      </c>
      <c r="G896" s="15" t="s">
        <v>89</v>
      </c>
      <c r="H896" s="15">
        <v>0.0</v>
      </c>
      <c r="I896" s="20"/>
      <c r="J896" s="20">
        <f t="shared" si="1"/>
        <v>0</v>
      </c>
      <c r="K896" s="21"/>
      <c r="L896" s="22"/>
    </row>
    <row r="897" ht="22.5" customHeight="1">
      <c r="A897" s="28">
        <v>46114.0</v>
      </c>
      <c r="B897" s="15" t="s">
        <v>1093</v>
      </c>
      <c r="C897" s="13" t="s">
        <v>9</v>
      </c>
      <c r="D897" s="13">
        <v>80.0</v>
      </c>
      <c r="E897" s="15">
        <v>250.0</v>
      </c>
      <c r="F897" s="13" t="s">
        <v>21</v>
      </c>
      <c r="G897" s="15" t="s">
        <v>89</v>
      </c>
      <c r="H897" s="15">
        <v>360.0</v>
      </c>
      <c r="I897" s="20"/>
      <c r="J897" s="20">
        <f t="shared" si="1"/>
        <v>90</v>
      </c>
      <c r="K897" s="21"/>
      <c r="L897" s="22"/>
    </row>
    <row r="898" ht="22.5" customHeight="1">
      <c r="A898" s="28">
        <v>46114.0</v>
      </c>
      <c r="B898" s="15" t="s">
        <v>1094</v>
      </c>
      <c r="C898" s="13" t="s">
        <v>9</v>
      </c>
      <c r="D898" s="13">
        <v>80.0</v>
      </c>
      <c r="E898" s="15">
        <v>250.0</v>
      </c>
      <c r="F898" s="13" t="s">
        <v>21</v>
      </c>
      <c r="G898" s="15" t="s">
        <v>89</v>
      </c>
      <c r="H898" s="15">
        <v>0.0</v>
      </c>
      <c r="I898" s="20"/>
      <c r="J898" s="20">
        <f t="shared" si="1"/>
        <v>0</v>
      </c>
      <c r="K898" s="21"/>
      <c r="L898" s="22"/>
    </row>
    <row r="899" ht="22.5" customHeight="1">
      <c r="A899" s="28">
        <v>46114.0</v>
      </c>
      <c r="B899" s="15" t="s">
        <v>1095</v>
      </c>
      <c r="C899" s="13" t="s">
        <v>9</v>
      </c>
      <c r="D899" s="13">
        <v>80.0</v>
      </c>
      <c r="E899" s="15">
        <v>320.0</v>
      </c>
      <c r="F899" s="13" t="s">
        <v>21</v>
      </c>
      <c r="G899" s="15" t="s">
        <v>89</v>
      </c>
      <c r="H899" s="15">
        <v>640.0</v>
      </c>
      <c r="I899" s="20"/>
      <c r="J899" s="20">
        <f t="shared" si="1"/>
        <v>204.8</v>
      </c>
      <c r="K899" s="21"/>
      <c r="L899" s="22"/>
    </row>
    <row r="900" ht="22.5" customHeight="1">
      <c r="A900" s="28">
        <v>46114.0</v>
      </c>
      <c r="B900" s="15" t="s">
        <v>1096</v>
      </c>
      <c r="C900" s="13" t="s">
        <v>9</v>
      </c>
      <c r="D900" s="13">
        <v>80.0</v>
      </c>
      <c r="E900" s="15">
        <v>200.0</v>
      </c>
      <c r="F900" s="13" t="s">
        <v>27</v>
      </c>
      <c r="G900" s="15" t="s">
        <v>99</v>
      </c>
      <c r="H900" s="15">
        <v>0.0</v>
      </c>
      <c r="I900" s="20"/>
      <c r="J900" s="20">
        <f t="shared" si="1"/>
        <v>0</v>
      </c>
      <c r="K900" s="21"/>
      <c r="L900" s="22"/>
    </row>
    <row r="901" ht="22.5" customHeight="1">
      <c r="A901" s="28">
        <v>46114.0</v>
      </c>
      <c r="B901" s="15" t="s">
        <v>1097</v>
      </c>
      <c r="C901" s="13" t="s">
        <v>9</v>
      </c>
      <c r="D901" s="13">
        <v>80.0</v>
      </c>
      <c r="E901" s="15">
        <v>170.0</v>
      </c>
      <c r="F901" s="13" t="s">
        <v>21</v>
      </c>
      <c r="G901" s="15" t="s">
        <v>89</v>
      </c>
      <c r="H901" s="15">
        <v>550.0</v>
      </c>
      <c r="I901" s="20"/>
      <c r="J901" s="20">
        <f t="shared" si="1"/>
        <v>93.5</v>
      </c>
      <c r="K901" s="21"/>
      <c r="L901" s="22"/>
    </row>
    <row r="902" ht="22.5" customHeight="1">
      <c r="A902" s="28">
        <v>46114.0</v>
      </c>
      <c r="B902" s="15" t="s">
        <v>1098</v>
      </c>
      <c r="C902" s="13" t="s">
        <v>9</v>
      </c>
      <c r="D902" s="13">
        <v>80.0</v>
      </c>
      <c r="E902" s="15">
        <v>170.0</v>
      </c>
      <c r="F902" s="13" t="s">
        <v>21</v>
      </c>
      <c r="G902" s="15" t="s">
        <v>89</v>
      </c>
      <c r="H902" s="15">
        <v>280.0</v>
      </c>
      <c r="I902" s="20"/>
      <c r="J902" s="20">
        <f t="shared" si="1"/>
        <v>47.6</v>
      </c>
      <c r="K902" s="21"/>
      <c r="L902" s="22"/>
    </row>
    <row r="903" ht="22.5" customHeight="1">
      <c r="A903" s="28">
        <v>46115.0</v>
      </c>
      <c r="B903" s="15" t="s">
        <v>1099</v>
      </c>
      <c r="C903" s="13" t="s">
        <v>9</v>
      </c>
      <c r="D903" s="13">
        <v>80.0</v>
      </c>
      <c r="E903" s="15">
        <v>200.0</v>
      </c>
      <c r="F903" s="13" t="s">
        <v>27</v>
      </c>
      <c r="G903" s="15" t="s">
        <v>99</v>
      </c>
      <c r="H903" s="15">
        <v>0.0</v>
      </c>
      <c r="I903" s="20"/>
      <c r="J903" s="20">
        <f t="shared" si="1"/>
        <v>0</v>
      </c>
      <c r="K903" s="21"/>
      <c r="L903" s="22"/>
    </row>
    <row r="904" ht="22.5" customHeight="1">
      <c r="A904" s="28">
        <v>46115.0</v>
      </c>
      <c r="B904" s="15" t="s">
        <v>1100</v>
      </c>
      <c r="C904" s="13" t="s">
        <v>9</v>
      </c>
      <c r="D904" s="13">
        <v>80.0</v>
      </c>
      <c r="E904" s="15">
        <v>185.0</v>
      </c>
      <c r="F904" s="13" t="s">
        <v>27</v>
      </c>
      <c r="G904" s="15" t="s">
        <v>106</v>
      </c>
      <c r="H904" s="15">
        <v>310.0</v>
      </c>
      <c r="I904" s="20"/>
      <c r="J904" s="20">
        <f t="shared" si="1"/>
        <v>57.35</v>
      </c>
      <c r="K904" s="21"/>
      <c r="L904" s="22"/>
    </row>
    <row r="905" ht="22.5" customHeight="1">
      <c r="A905" s="28">
        <v>46115.0</v>
      </c>
      <c r="B905" s="15" t="s">
        <v>1101</v>
      </c>
      <c r="C905" s="13" t="s">
        <v>9</v>
      </c>
      <c r="D905" s="13">
        <v>80.0</v>
      </c>
      <c r="E905" s="15">
        <v>140.0</v>
      </c>
      <c r="F905" s="13" t="s">
        <v>27</v>
      </c>
      <c r="G905" s="15" t="s">
        <v>392</v>
      </c>
      <c r="H905" s="15">
        <v>1560.0</v>
      </c>
      <c r="I905" s="20"/>
      <c r="J905" s="20">
        <f t="shared" si="1"/>
        <v>218.4</v>
      </c>
      <c r="K905" s="21"/>
      <c r="L905" s="22"/>
    </row>
    <row r="906" ht="22.5" customHeight="1">
      <c r="A906" s="28">
        <v>46115.0</v>
      </c>
      <c r="B906" s="15" t="s">
        <v>1102</v>
      </c>
      <c r="C906" s="13" t="s">
        <v>9</v>
      </c>
      <c r="D906" s="13">
        <v>80.0</v>
      </c>
      <c r="E906" s="15">
        <v>140.0</v>
      </c>
      <c r="F906" s="13" t="s">
        <v>27</v>
      </c>
      <c r="G906" s="15" t="s">
        <v>99</v>
      </c>
      <c r="H906" s="15">
        <v>690.0</v>
      </c>
      <c r="I906" s="20"/>
      <c r="J906" s="20">
        <f t="shared" si="1"/>
        <v>96.6</v>
      </c>
      <c r="K906" s="21"/>
      <c r="L906" s="22"/>
    </row>
    <row r="907" ht="22.5" customHeight="1">
      <c r="A907" s="28">
        <v>46115.0</v>
      </c>
      <c r="B907" s="15" t="s">
        <v>1103</v>
      </c>
      <c r="C907" s="13" t="s">
        <v>9</v>
      </c>
      <c r="D907" s="13">
        <v>80.0</v>
      </c>
      <c r="E907" s="15">
        <v>140.0</v>
      </c>
      <c r="F907" s="13" t="s">
        <v>27</v>
      </c>
      <c r="G907" s="15" t="s">
        <v>99</v>
      </c>
      <c r="H907" s="15">
        <v>640.0</v>
      </c>
      <c r="I907" s="20"/>
      <c r="J907" s="20">
        <f t="shared" si="1"/>
        <v>89.6</v>
      </c>
      <c r="K907" s="21"/>
      <c r="L907" s="22"/>
    </row>
    <row r="908" ht="22.5" customHeight="1">
      <c r="A908" s="28">
        <v>46115.0</v>
      </c>
      <c r="B908" s="15" t="s">
        <v>1104</v>
      </c>
      <c r="C908" s="13" t="s">
        <v>9</v>
      </c>
      <c r="D908" s="13">
        <v>80.0</v>
      </c>
      <c r="E908" s="15">
        <v>140.0</v>
      </c>
      <c r="F908" s="13" t="s">
        <v>27</v>
      </c>
      <c r="G908" s="15" t="s">
        <v>99</v>
      </c>
      <c r="H908" s="15">
        <v>1560.0</v>
      </c>
      <c r="I908" s="20"/>
      <c r="J908" s="20">
        <f t="shared" si="1"/>
        <v>218.4</v>
      </c>
      <c r="K908" s="21"/>
      <c r="L908" s="22"/>
    </row>
    <row r="909" ht="22.5" customHeight="1">
      <c r="A909" s="28">
        <v>46116.0</v>
      </c>
      <c r="B909" s="15" t="s">
        <v>1105</v>
      </c>
      <c r="C909" s="13" t="s">
        <v>9</v>
      </c>
      <c r="D909" s="13">
        <v>80.0</v>
      </c>
      <c r="E909" s="15">
        <v>150.0</v>
      </c>
      <c r="F909" s="13" t="s">
        <v>21</v>
      </c>
      <c r="G909" s="15" t="s">
        <v>89</v>
      </c>
      <c r="H909" s="15">
        <v>0.0</v>
      </c>
      <c r="I909" s="20"/>
      <c r="J909" s="20">
        <f t="shared" si="1"/>
        <v>0</v>
      </c>
      <c r="K909" s="21"/>
      <c r="L909" s="22"/>
    </row>
    <row r="910" ht="22.5" customHeight="1">
      <c r="A910" s="28">
        <v>46116.0</v>
      </c>
      <c r="B910" s="15" t="s">
        <v>1106</v>
      </c>
      <c r="C910" s="13" t="s">
        <v>9</v>
      </c>
      <c r="D910" s="13">
        <v>80.0</v>
      </c>
      <c r="E910" s="15">
        <v>180.0</v>
      </c>
      <c r="F910" s="13" t="s">
        <v>21</v>
      </c>
      <c r="G910" s="15" t="s">
        <v>89</v>
      </c>
      <c r="H910" s="15">
        <v>226.0</v>
      </c>
      <c r="I910" s="20"/>
      <c r="J910" s="20">
        <f t="shared" si="1"/>
        <v>40.68</v>
      </c>
      <c r="K910" s="21"/>
      <c r="L910" s="22"/>
    </row>
    <row r="911" ht="22.5" customHeight="1">
      <c r="A911" s="28">
        <v>46116.0</v>
      </c>
      <c r="B911" s="15" t="s">
        <v>1107</v>
      </c>
      <c r="C911" s="13" t="s">
        <v>9</v>
      </c>
      <c r="D911" s="13">
        <v>80.0</v>
      </c>
      <c r="E911" s="15">
        <v>125.0</v>
      </c>
      <c r="F911" s="13" t="s">
        <v>21</v>
      </c>
      <c r="G911" s="15" t="s">
        <v>89</v>
      </c>
      <c r="H911" s="15">
        <v>1000.0</v>
      </c>
      <c r="I911" s="20"/>
      <c r="J911" s="20">
        <f t="shared" si="1"/>
        <v>125</v>
      </c>
      <c r="K911" s="21"/>
      <c r="L911" s="22"/>
    </row>
    <row r="912" ht="22.5" customHeight="1">
      <c r="A912" s="28">
        <v>46116.0</v>
      </c>
      <c r="B912" s="15" t="s">
        <v>1108</v>
      </c>
      <c r="C912" s="13" t="s">
        <v>9</v>
      </c>
      <c r="D912" s="13">
        <v>80.0</v>
      </c>
      <c r="E912" s="15">
        <v>125.0</v>
      </c>
      <c r="F912" s="13" t="s">
        <v>21</v>
      </c>
      <c r="G912" s="15" t="s">
        <v>89</v>
      </c>
      <c r="H912" s="15">
        <v>280.0</v>
      </c>
      <c r="I912" s="20"/>
      <c r="J912" s="20">
        <f t="shared" si="1"/>
        <v>35</v>
      </c>
      <c r="K912" s="21"/>
      <c r="L912" s="22"/>
    </row>
    <row r="913" ht="22.5" customHeight="1">
      <c r="A913" s="28">
        <v>46116.0</v>
      </c>
      <c r="B913" s="15" t="s">
        <v>1109</v>
      </c>
      <c r="C913" s="13" t="s">
        <v>57</v>
      </c>
      <c r="D913" s="13">
        <v>80.0</v>
      </c>
      <c r="E913" s="15">
        <v>160.0</v>
      </c>
      <c r="F913" s="13" t="s">
        <v>33</v>
      </c>
      <c r="G913" s="15" t="s">
        <v>170</v>
      </c>
      <c r="H913" s="15">
        <v>1280.0</v>
      </c>
      <c r="I913" s="20"/>
      <c r="J913" s="20">
        <f t="shared" si="1"/>
        <v>204.8</v>
      </c>
      <c r="K913" s="21"/>
      <c r="L913" s="22"/>
    </row>
    <row r="914" ht="22.5" customHeight="1">
      <c r="A914" s="28">
        <v>46116.0</v>
      </c>
      <c r="B914" s="15" t="s">
        <v>1110</v>
      </c>
      <c r="C914" s="38"/>
      <c r="D914" s="38"/>
      <c r="E914" s="15">
        <v>100.0</v>
      </c>
      <c r="F914" s="38"/>
      <c r="G914" s="15" t="s">
        <v>170</v>
      </c>
      <c r="H914" s="15">
        <v>120.0</v>
      </c>
      <c r="I914" s="20"/>
      <c r="J914" s="20">
        <f t="shared" si="1"/>
        <v>12</v>
      </c>
      <c r="K914" s="21"/>
      <c r="L914" s="22"/>
    </row>
    <row r="915" ht="22.5" customHeight="1">
      <c r="A915" s="28">
        <v>46118.0</v>
      </c>
      <c r="B915" s="15" t="s">
        <v>1111</v>
      </c>
      <c r="C915" s="13" t="s">
        <v>9</v>
      </c>
      <c r="D915" s="13">
        <v>80.0</v>
      </c>
      <c r="E915" s="15">
        <v>150.0</v>
      </c>
      <c r="F915" s="13" t="s">
        <v>21</v>
      </c>
      <c r="G915" s="15" t="s">
        <v>89</v>
      </c>
      <c r="H915" s="15">
        <v>600.0</v>
      </c>
      <c r="I915" s="20"/>
      <c r="J915" s="20">
        <f t="shared" si="1"/>
        <v>90</v>
      </c>
      <c r="K915" s="21"/>
      <c r="L915" s="22"/>
    </row>
    <row r="916" ht="22.5" customHeight="1">
      <c r="A916" s="28">
        <v>46118.0</v>
      </c>
      <c r="B916" s="15" t="s">
        <v>1112</v>
      </c>
      <c r="C916" s="13" t="s">
        <v>9</v>
      </c>
      <c r="D916" s="13">
        <v>80.0</v>
      </c>
      <c r="E916" s="15">
        <v>250.0</v>
      </c>
      <c r="F916" s="13" t="s">
        <v>21</v>
      </c>
      <c r="G916" s="15" t="s">
        <v>89</v>
      </c>
      <c r="H916" s="15">
        <v>680.0</v>
      </c>
      <c r="I916" s="20"/>
      <c r="J916" s="20">
        <f t="shared" si="1"/>
        <v>170</v>
      </c>
      <c r="K916" s="21"/>
      <c r="L916" s="22"/>
    </row>
    <row r="917" ht="22.5" customHeight="1">
      <c r="A917" s="28">
        <v>46118.0</v>
      </c>
      <c r="B917" s="15" t="s">
        <v>1113</v>
      </c>
      <c r="C917" s="13" t="s">
        <v>9</v>
      </c>
      <c r="D917" s="13">
        <v>80.0</v>
      </c>
      <c r="E917" s="15">
        <v>180.0</v>
      </c>
      <c r="F917" s="13" t="s">
        <v>21</v>
      </c>
      <c r="G917" s="15" t="s">
        <v>89</v>
      </c>
      <c r="H917" s="15">
        <v>1770.0</v>
      </c>
      <c r="I917" s="20"/>
      <c r="J917" s="20">
        <f t="shared" si="1"/>
        <v>318.6</v>
      </c>
      <c r="K917" s="21"/>
      <c r="L917" s="22"/>
    </row>
    <row r="918" ht="22.5" customHeight="1">
      <c r="A918" s="28">
        <v>46119.0</v>
      </c>
      <c r="B918" s="15" t="s">
        <v>1114</v>
      </c>
      <c r="C918" s="13" t="s">
        <v>9</v>
      </c>
      <c r="D918" s="13">
        <v>80.0</v>
      </c>
      <c r="E918" s="15">
        <v>395.0</v>
      </c>
      <c r="F918" s="13" t="s">
        <v>21</v>
      </c>
      <c r="G918" s="15" t="s">
        <v>89</v>
      </c>
      <c r="H918" s="15">
        <v>610.0</v>
      </c>
      <c r="I918" s="20"/>
      <c r="J918" s="20">
        <f t="shared" si="1"/>
        <v>240.95</v>
      </c>
      <c r="K918" s="21"/>
      <c r="L918" s="22"/>
    </row>
    <row r="919" ht="22.5" customHeight="1">
      <c r="A919" s="28">
        <v>46119.0</v>
      </c>
      <c r="B919" s="15" t="s">
        <v>1115</v>
      </c>
      <c r="C919" s="13" t="s">
        <v>9</v>
      </c>
      <c r="D919" s="13">
        <v>80.0</v>
      </c>
      <c r="E919" s="15">
        <v>210.0</v>
      </c>
      <c r="F919" s="13" t="s">
        <v>21</v>
      </c>
      <c r="G919" s="15" t="s">
        <v>89</v>
      </c>
      <c r="H919" s="15">
        <v>1560.0</v>
      </c>
      <c r="I919" s="20"/>
      <c r="J919" s="20">
        <f t="shared" si="1"/>
        <v>327.6</v>
      </c>
      <c r="K919" s="21"/>
      <c r="L919" s="22"/>
    </row>
    <row r="920" ht="22.5" customHeight="1">
      <c r="A920" s="28">
        <v>46119.0</v>
      </c>
      <c r="B920" s="15" t="s">
        <v>1116</v>
      </c>
      <c r="C920" s="13" t="s">
        <v>9</v>
      </c>
      <c r="D920" s="13">
        <v>80.0</v>
      </c>
      <c r="E920" s="15">
        <v>7750.0</v>
      </c>
      <c r="F920" s="13" t="s">
        <v>21</v>
      </c>
      <c r="G920" s="15" t="s">
        <v>89</v>
      </c>
      <c r="H920" s="15">
        <v>1090.0</v>
      </c>
      <c r="I920" s="20"/>
      <c r="J920" s="20">
        <f t="shared" si="1"/>
        <v>8447.5</v>
      </c>
      <c r="K920" s="21"/>
      <c r="L920" s="22"/>
    </row>
    <row r="921" ht="22.5" customHeight="1">
      <c r="A921" s="28">
        <v>46119.0</v>
      </c>
      <c r="B921" s="15" t="s">
        <v>1117</v>
      </c>
      <c r="C921" s="13" t="s">
        <v>9</v>
      </c>
      <c r="D921" s="13">
        <v>80.0</v>
      </c>
      <c r="E921" s="15">
        <v>300.0</v>
      </c>
      <c r="F921" s="13" t="s">
        <v>21</v>
      </c>
      <c r="G921" s="15" t="s">
        <v>89</v>
      </c>
      <c r="H921" s="15">
        <v>380.0</v>
      </c>
      <c r="I921" s="20"/>
      <c r="J921" s="20">
        <f t="shared" si="1"/>
        <v>114</v>
      </c>
      <c r="K921" s="21"/>
      <c r="L921" s="22"/>
    </row>
    <row r="922" ht="22.5" customHeight="1">
      <c r="A922" s="28">
        <v>46120.0</v>
      </c>
      <c r="B922" s="15" t="s">
        <v>1118</v>
      </c>
      <c r="C922" s="13" t="s">
        <v>9</v>
      </c>
      <c r="D922" s="13">
        <v>80.0</v>
      </c>
      <c r="E922" s="15">
        <v>395.0</v>
      </c>
      <c r="F922" s="13" t="s">
        <v>21</v>
      </c>
      <c r="G922" s="15" t="s">
        <v>89</v>
      </c>
      <c r="H922" s="15">
        <v>0.0</v>
      </c>
      <c r="I922" s="20"/>
      <c r="J922" s="20">
        <f t="shared" si="1"/>
        <v>0</v>
      </c>
      <c r="K922" s="21"/>
      <c r="L922" s="22"/>
    </row>
    <row r="923" ht="22.5" customHeight="1">
      <c r="A923" s="28">
        <v>46120.0</v>
      </c>
      <c r="B923" s="15" t="s">
        <v>1119</v>
      </c>
      <c r="C923" s="13" t="s">
        <v>9</v>
      </c>
      <c r="D923" s="13">
        <v>80.0</v>
      </c>
      <c r="E923" s="15">
        <v>250.0</v>
      </c>
      <c r="F923" s="13" t="s">
        <v>21</v>
      </c>
      <c r="G923" s="15" t="s">
        <v>89</v>
      </c>
      <c r="H923" s="15">
        <v>670.0</v>
      </c>
      <c r="I923" s="20"/>
      <c r="J923" s="20">
        <f t="shared" si="1"/>
        <v>167.5</v>
      </c>
      <c r="K923" s="21"/>
      <c r="L923" s="22"/>
    </row>
    <row r="924" ht="22.5" customHeight="1">
      <c r="A924" s="28">
        <v>46120.0</v>
      </c>
      <c r="B924" s="15" t="s">
        <v>1120</v>
      </c>
      <c r="C924" s="13" t="s">
        <v>9</v>
      </c>
      <c r="D924" s="13">
        <v>80.0</v>
      </c>
      <c r="E924" s="15">
        <v>210.0</v>
      </c>
      <c r="F924" s="13" t="s">
        <v>21</v>
      </c>
      <c r="G924" s="15" t="s">
        <v>89</v>
      </c>
      <c r="H924" s="15">
        <v>1830.0</v>
      </c>
      <c r="I924" s="20"/>
      <c r="J924" s="20">
        <f t="shared" si="1"/>
        <v>384.3</v>
      </c>
      <c r="K924" s="21"/>
      <c r="L924" s="22"/>
    </row>
    <row r="925" ht="22.5" customHeight="1">
      <c r="A925" s="28">
        <v>46120.0</v>
      </c>
      <c r="B925" s="15" t="s">
        <v>1121</v>
      </c>
      <c r="C925" s="13" t="s">
        <v>9</v>
      </c>
      <c r="D925" s="13">
        <v>80.0</v>
      </c>
      <c r="E925" s="15">
        <v>210.0</v>
      </c>
      <c r="F925" s="13" t="s">
        <v>21</v>
      </c>
      <c r="G925" s="15" t="s">
        <v>89</v>
      </c>
      <c r="H925" s="15">
        <v>680.0</v>
      </c>
      <c r="I925" s="20"/>
      <c r="J925" s="20">
        <f t="shared" si="1"/>
        <v>142.8</v>
      </c>
      <c r="K925" s="21"/>
      <c r="L925" s="22"/>
    </row>
    <row r="926" ht="22.5" customHeight="1">
      <c r="A926" s="28">
        <v>46120.0</v>
      </c>
      <c r="B926" s="15" t="s">
        <v>1122</v>
      </c>
      <c r="C926" s="13" t="s">
        <v>9</v>
      </c>
      <c r="D926" s="13">
        <v>80.0</v>
      </c>
      <c r="E926" s="15">
        <v>320.0</v>
      </c>
      <c r="F926" s="13" t="s">
        <v>21</v>
      </c>
      <c r="G926" s="15" t="s">
        <v>89</v>
      </c>
      <c r="H926" s="15">
        <v>1040.0</v>
      </c>
      <c r="I926" s="20"/>
      <c r="J926" s="20">
        <f t="shared" si="1"/>
        <v>332.8</v>
      </c>
      <c r="K926" s="21"/>
      <c r="L926" s="22"/>
    </row>
    <row r="927" ht="22.5" customHeight="1">
      <c r="A927" s="28">
        <v>46120.0</v>
      </c>
      <c r="B927" s="15" t="s">
        <v>1123</v>
      </c>
      <c r="C927" s="13" t="s">
        <v>9</v>
      </c>
      <c r="D927" s="13">
        <v>80.0</v>
      </c>
      <c r="E927" s="15">
        <v>250.0</v>
      </c>
      <c r="F927" s="13" t="s">
        <v>21</v>
      </c>
      <c r="G927" s="15" t="s">
        <v>89</v>
      </c>
      <c r="H927" s="15">
        <v>520.0</v>
      </c>
      <c r="I927" s="20"/>
      <c r="J927" s="20">
        <f t="shared" si="1"/>
        <v>130</v>
      </c>
      <c r="K927" s="21"/>
      <c r="L927" s="22"/>
    </row>
    <row r="928" ht="22.5" customHeight="1">
      <c r="A928" s="28">
        <v>46120.0</v>
      </c>
      <c r="B928" s="15" t="s">
        <v>1124</v>
      </c>
      <c r="C928" s="13" t="s">
        <v>9</v>
      </c>
      <c r="D928" s="13">
        <v>80.0</v>
      </c>
      <c r="E928" s="15">
        <v>320.0</v>
      </c>
      <c r="F928" s="13" t="s">
        <v>21</v>
      </c>
      <c r="G928" s="15" t="s">
        <v>89</v>
      </c>
      <c r="H928" s="15">
        <v>1160.0</v>
      </c>
      <c r="I928" s="20"/>
      <c r="J928" s="20">
        <f t="shared" si="1"/>
        <v>371.2</v>
      </c>
      <c r="K928" s="21"/>
      <c r="L928" s="22"/>
    </row>
    <row r="929" ht="22.5" customHeight="1">
      <c r="A929" s="28">
        <v>46120.0</v>
      </c>
      <c r="B929" s="15" t="s">
        <v>1125</v>
      </c>
      <c r="C929" s="13" t="s">
        <v>9</v>
      </c>
      <c r="D929" s="13">
        <v>80.0</v>
      </c>
      <c r="E929" s="15">
        <v>330.0</v>
      </c>
      <c r="F929" s="13" t="s">
        <v>21</v>
      </c>
      <c r="G929" s="15" t="s">
        <v>89</v>
      </c>
      <c r="H929" s="15">
        <v>230.0</v>
      </c>
      <c r="I929" s="20"/>
      <c r="J929" s="20">
        <f t="shared" si="1"/>
        <v>75.9</v>
      </c>
      <c r="K929" s="21"/>
      <c r="L929" s="22"/>
    </row>
    <row r="930" ht="22.5" customHeight="1">
      <c r="A930" s="28">
        <v>46120.0</v>
      </c>
      <c r="B930" s="15" t="s">
        <v>1126</v>
      </c>
      <c r="C930" s="13" t="s">
        <v>9</v>
      </c>
      <c r="D930" s="13">
        <v>80.0</v>
      </c>
      <c r="E930" s="15">
        <v>320.0</v>
      </c>
      <c r="F930" s="13" t="s">
        <v>21</v>
      </c>
      <c r="G930" s="15" t="s">
        <v>89</v>
      </c>
      <c r="H930" s="15">
        <v>190.0</v>
      </c>
      <c r="I930" s="20"/>
      <c r="J930" s="20">
        <f t="shared" si="1"/>
        <v>60.8</v>
      </c>
      <c r="K930" s="21"/>
      <c r="L930" s="22"/>
    </row>
    <row r="931" ht="22.5" customHeight="1">
      <c r="A931" s="28">
        <v>46121.0</v>
      </c>
      <c r="B931" s="15" t="s">
        <v>1127</v>
      </c>
      <c r="C931" s="13" t="s">
        <v>9</v>
      </c>
      <c r="D931" s="13">
        <v>80.0</v>
      </c>
      <c r="E931" s="15">
        <v>300.0</v>
      </c>
      <c r="F931" s="13" t="s">
        <v>21</v>
      </c>
      <c r="G931" s="15" t="s">
        <v>89</v>
      </c>
      <c r="H931" s="15">
        <v>500.0</v>
      </c>
      <c r="I931" s="20"/>
      <c r="J931" s="20">
        <f t="shared" si="1"/>
        <v>150</v>
      </c>
      <c r="K931" s="21"/>
      <c r="L931" s="22"/>
    </row>
    <row r="932" ht="22.5" customHeight="1">
      <c r="A932" s="28">
        <v>46121.0</v>
      </c>
      <c r="B932" s="15" t="s">
        <v>1128</v>
      </c>
      <c r="C932" s="13" t="s">
        <v>9</v>
      </c>
      <c r="D932" s="13">
        <v>80.0</v>
      </c>
      <c r="E932" s="15">
        <v>290.0</v>
      </c>
      <c r="F932" s="13" t="s">
        <v>21</v>
      </c>
      <c r="G932" s="15" t="s">
        <v>89</v>
      </c>
      <c r="H932" s="15">
        <v>940.0</v>
      </c>
      <c r="I932" s="20"/>
      <c r="J932" s="20">
        <f t="shared" si="1"/>
        <v>272.6</v>
      </c>
      <c r="K932" s="21"/>
      <c r="L932" s="22"/>
    </row>
    <row r="933" ht="22.5" customHeight="1">
      <c r="A933" s="28">
        <v>46121.0</v>
      </c>
      <c r="B933" s="15" t="s">
        <v>1129</v>
      </c>
      <c r="C933" s="13" t="s">
        <v>9</v>
      </c>
      <c r="D933" s="13">
        <v>80.0</v>
      </c>
      <c r="E933" s="15">
        <v>330.0</v>
      </c>
      <c r="F933" s="13" t="s">
        <v>21</v>
      </c>
      <c r="G933" s="15" t="s">
        <v>89</v>
      </c>
      <c r="H933" s="15">
        <v>750.0</v>
      </c>
      <c r="I933" s="20"/>
      <c r="J933" s="20">
        <f t="shared" si="1"/>
        <v>247.5</v>
      </c>
      <c r="K933" s="21"/>
      <c r="L933" s="22"/>
    </row>
    <row r="934" ht="22.5" customHeight="1">
      <c r="A934" s="28">
        <v>46121.0</v>
      </c>
      <c r="B934" s="15" t="s">
        <v>1130</v>
      </c>
      <c r="C934" s="13" t="s">
        <v>9</v>
      </c>
      <c r="D934" s="13">
        <v>80.0</v>
      </c>
      <c r="E934" s="15">
        <v>150.0</v>
      </c>
      <c r="F934" s="13" t="s">
        <v>21</v>
      </c>
      <c r="G934" s="15" t="s">
        <v>89</v>
      </c>
      <c r="H934" s="15">
        <v>0.0</v>
      </c>
      <c r="I934" s="20"/>
      <c r="J934" s="20">
        <f t="shared" si="1"/>
        <v>0</v>
      </c>
      <c r="K934" s="21"/>
      <c r="L934" s="22"/>
    </row>
    <row r="935" ht="22.5" customHeight="1">
      <c r="A935" s="28">
        <v>46121.0</v>
      </c>
      <c r="B935" s="15" t="s">
        <v>1131</v>
      </c>
      <c r="C935" s="13" t="s">
        <v>9</v>
      </c>
      <c r="D935" s="13">
        <v>80.0</v>
      </c>
      <c r="E935" s="15">
        <v>180.0</v>
      </c>
      <c r="F935" s="13" t="s">
        <v>21</v>
      </c>
      <c r="G935" s="15" t="s">
        <v>89</v>
      </c>
      <c r="H935" s="15">
        <v>450.0</v>
      </c>
      <c r="I935" s="20"/>
      <c r="J935" s="20">
        <f t="shared" si="1"/>
        <v>81</v>
      </c>
      <c r="K935" s="21"/>
      <c r="L935" s="22"/>
    </row>
    <row r="936" ht="22.5" customHeight="1">
      <c r="A936" s="28">
        <v>46121.0</v>
      </c>
      <c r="B936" s="15" t="s">
        <v>1132</v>
      </c>
      <c r="C936" s="13" t="s">
        <v>9</v>
      </c>
      <c r="D936" s="13">
        <v>80.0</v>
      </c>
      <c r="E936" s="15">
        <v>150.0</v>
      </c>
      <c r="F936" s="13" t="s">
        <v>21</v>
      </c>
      <c r="G936" s="15" t="s">
        <v>1133</v>
      </c>
      <c r="H936" s="15">
        <v>1550.0</v>
      </c>
      <c r="I936" s="20"/>
      <c r="J936" s="20">
        <f t="shared" si="1"/>
        <v>232.5</v>
      </c>
      <c r="K936" s="21"/>
      <c r="L936" s="22"/>
    </row>
    <row r="937" ht="22.5" customHeight="1">
      <c r="A937" s="28">
        <v>46122.0</v>
      </c>
      <c r="B937" s="15" t="s">
        <v>1134</v>
      </c>
      <c r="C937" s="13" t="s">
        <v>9</v>
      </c>
      <c r="D937" s="13">
        <v>80.0</v>
      </c>
      <c r="E937" s="15">
        <v>290.0</v>
      </c>
      <c r="F937" s="13" t="s">
        <v>21</v>
      </c>
      <c r="G937" s="15" t="s">
        <v>89</v>
      </c>
      <c r="H937" s="15">
        <v>1150.0</v>
      </c>
      <c r="I937" s="20"/>
      <c r="J937" s="20">
        <f t="shared" si="1"/>
        <v>333.5</v>
      </c>
      <c r="K937" s="21"/>
      <c r="L937" s="22"/>
    </row>
    <row r="938" ht="22.5" customHeight="1">
      <c r="A938" s="28">
        <v>46122.0</v>
      </c>
      <c r="B938" s="15" t="s">
        <v>1135</v>
      </c>
      <c r="C938" s="13" t="s">
        <v>26</v>
      </c>
      <c r="D938" s="13">
        <v>80.0</v>
      </c>
      <c r="E938" s="15">
        <v>150.0</v>
      </c>
      <c r="F938" s="13" t="s">
        <v>27</v>
      </c>
      <c r="G938" s="15" t="s">
        <v>392</v>
      </c>
      <c r="H938" s="15">
        <v>120.0</v>
      </c>
      <c r="I938" s="20"/>
      <c r="J938" s="20">
        <f t="shared" si="1"/>
        <v>18</v>
      </c>
      <c r="K938" s="21"/>
      <c r="L938" s="22"/>
    </row>
    <row r="939" ht="22.5" customHeight="1">
      <c r="A939" s="28">
        <v>46122.0</v>
      </c>
      <c r="B939" s="15" t="s">
        <v>1136</v>
      </c>
      <c r="C939" s="13" t="s">
        <v>9</v>
      </c>
      <c r="D939" s="13">
        <v>80.0</v>
      </c>
      <c r="E939" s="15">
        <v>125.0</v>
      </c>
      <c r="F939" s="13" t="s">
        <v>21</v>
      </c>
      <c r="G939" s="15" t="s">
        <v>89</v>
      </c>
      <c r="H939" s="15">
        <v>1400.0</v>
      </c>
      <c r="I939" s="20"/>
      <c r="J939" s="20">
        <f t="shared" si="1"/>
        <v>175</v>
      </c>
      <c r="K939" s="21"/>
      <c r="L939" s="22"/>
    </row>
    <row r="940" ht="22.5" customHeight="1">
      <c r="A940" s="28">
        <v>46122.0</v>
      </c>
      <c r="B940" s="15" t="s">
        <v>1137</v>
      </c>
      <c r="C940" s="13" t="s">
        <v>9</v>
      </c>
      <c r="D940" s="13">
        <v>80.0</v>
      </c>
      <c r="E940" s="15">
        <v>125.0</v>
      </c>
      <c r="F940" s="13" t="s">
        <v>21</v>
      </c>
      <c r="G940" s="15" t="s">
        <v>89</v>
      </c>
      <c r="H940" s="15">
        <v>1440.0</v>
      </c>
      <c r="I940" s="20"/>
      <c r="J940" s="20">
        <f t="shared" si="1"/>
        <v>180</v>
      </c>
      <c r="K940" s="21"/>
      <c r="L940" s="22"/>
    </row>
    <row r="941" ht="22.5" customHeight="1">
      <c r="A941" s="28">
        <v>46122.0</v>
      </c>
      <c r="B941" s="15" t="s">
        <v>1138</v>
      </c>
      <c r="C941" s="13" t="s">
        <v>9</v>
      </c>
      <c r="D941" s="13">
        <v>80.0</v>
      </c>
      <c r="E941" s="15">
        <v>125.0</v>
      </c>
      <c r="F941" s="13" t="s">
        <v>21</v>
      </c>
      <c r="G941" s="15" t="s">
        <v>89</v>
      </c>
      <c r="H941" s="15">
        <v>0.0</v>
      </c>
      <c r="I941" s="20"/>
      <c r="J941" s="20">
        <f t="shared" si="1"/>
        <v>0</v>
      </c>
      <c r="K941" s="21"/>
      <c r="L941" s="22"/>
    </row>
    <row r="942" ht="22.5" customHeight="1">
      <c r="A942" s="28">
        <v>46122.0</v>
      </c>
      <c r="B942" s="15" t="s">
        <v>1139</v>
      </c>
      <c r="C942" s="13" t="s">
        <v>9</v>
      </c>
      <c r="D942" s="13">
        <v>80.0</v>
      </c>
      <c r="E942" s="15">
        <v>125.0</v>
      </c>
      <c r="F942" s="13" t="s">
        <v>21</v>
      </c>
      <c r="G942" s="15" t="s">
        <v>89</v>
      </c>
      <c r="H942" s="15">
        <v>1460.0</v>
      </c>
      <c r="I942" s="20"/>
      <c r="J942" s="20">
        <f t="shared" si="1"/>
        <v>182.5</v>
      </c>
      <c r="K942" s="21"/>
      <c r="L942" s="22"/>
    </row>
    <row r="943" ht="22.5" customHeight="1">
      <c r="A943" s="28">
        <v>46122.0</v>
      </c>
      <c r="B943" s="15" t="s">
        <v>1141</v>
      </c>
      <c r="C943" s="13" t="s">
        <v>9</v>
      </c>
      <c r="D943" s="13">
        <v>80.0</v>
      </c>
      <c r="E943" s="15">
        <v>125.0</v>
      </c>
      <c r="F943" s="13" t="s">
        <v>21</v>
      </c>
      <c r="G943" s="15" t="s">
        <v>89</v>
      </c>
      <c r="H943" s="15">
        <v>510.0</v>
      </c>
      <c r="I943" s="20"/>
      <c r="J943" s="20">
        <f t="shared" si="1"/>
        <v>63.75</v>
      </c>
      <c r="K943" s="21"/>
      <c r="L943" s="22"/>
    </row>
    <row r="944" ht="22.5" customHeight="1">
      <c r="A944" s="28">
        <v>46122.0</v>
      </c>
      <c r="B944" s="15" t="s">
        <v>1142</v>
      </c>
      <c r="C944" s="13" t="s">
        <v>9</v>
      </c>
      <c r="D944" s="13">
        <v>80.0</v>
      </c>
      <c r="E944" s="15">
        <v>125.0</v>
      </c>
      <c r="F944" s="13" t="s">
        <v>21</v>
      </c>
      <c r="G944" s="15" t="s">
        <v>89</v>
      </c>
      <c r="H944" s="15">
        <v>440.0</v>
      </c>
      <c r="I944" s="20"/>
      <c r="J944" s="20">
        <f t="shared" si="1"/>
        <v>55</v>
      </c>
      <c r="K944" s="21"/>
      <c r="L944" s="22"/>
    </row>
    <row r="945" ht="22.5" customHeight="1">
      <c r="A945" s="28">
        <v>46122.0</v>
      </c>
      <c r="B945" s="15" t="s">
        <v>1143</v>
      </c>
      <c r="C945" s="13" t="s">
        <v>9</v>
      </c>
      <c r="D945" s="13">
        <v>80.0</v>
      </c>
      <c r="E945" s="15">
        <v>125.0</v>
      </c>
      <c r="F945" s="13" t="s">
        <v>21</v>
      </c>
      <c r="G945" s="15" t="s">
        <v>89</v>
      </c>
      <c r="H945" s="15">
        <v>0.0</v>
      </c>
      <c r="I945" s="20"/>
      <c r="J945" s="20">
        <f t="shared" si="1"/>
        <v>0</v>
      </c>
      <c r="K945" s="21"/>
      <c r="L945" s="22"/>
    </row>
    <row r="946" ht="22.5" customHeight="1">
      <c r="A946" s="28">
        <v>46123.0</v>
      </c>
      <c r="B946" s="15" t="s">
        <v>1144</v>
      </c>
      <c r="C946" s="13" t="s">
        <v>9</v>
      </c>
      <c r="D946" s="13">
        <v>80.0</v>
      </c>
      <c r="E946" s="15">
        <v>300.0</v>
      </c>
      <c r="F946" s="13" t="s">
        <v>21</v>
      </c>
      <c r="G946" s="15" t="s">
        <v>89</v>
      </c>
      <c r="H946" s="15">
        <v>0.0</v>
      </c>
      <c r="I946" s="20"/>
      <c r="J946" s="20">
        <f t="shared" si="1"/>
        <v>0</v>
      </c>
      <c r="K946" s="21"/>
      <c r="L946" s="22"/>
    </row>
    <row r="947" ht="22.5" customHeight="1">
      <c r="A947" s="28">
        <v>46123.0</v>
      </c>
      <c r="B947" s="15" t="s">
        <v>1145</v>
      </c>
      <c r="C947" s="13" t="s">
        <v>43</v>
      </c>
      <c r="D947" s="13">
        <v>50.0</v>
      </c>
      <c r="E947" s="15">
        <v>125.0</v>
      </c>
      <c r="F947" s="13" t="s">
        <v>27</v>
      </c>
      <c r="G947" s="15" t="s">
        <v>884</v>
      </c>
      <c r="H947" s="15">
        <v>1180.0</v>
      </c>
      <c r="I947" s="20"/>
      <c r="J947" s="20">
        <f t="shared" si="1"/>
        <v>147.5</v>
      </c>
      <c r="K947" s="21"/>
      <c r="L947" s="22"/>
    </row>
    <row r="948" ht="22.5" customHeight="1">
      <c r="A948" s="28">
        <v>46123.0</v>
      </c>
      <c r="B948" s="15" t="s">
        <v>1146</v>
      </c>
      <c r="C948" s="13" t="s">
        <v>9</v>
      </c>
      <c r="D948" s="13">
        <v>80.0</v>
      </c>
      <c r="E948" s="15">
        <v>125.0</v>
      </c>
      <c r="F948" s="13" t="s">
        <v>21</v>
      </c>
      <c r="G948" s="15" t="s">
        <v>89</v>
      </c>
      <c r="H948" s="15">
        <v>0.0</v>
      </c>
      <c r="I948" s="20"/>
      <c r="J948" s="20">
        <f t="shared" si="1"/>
        <v>0</v>
      </c>
      <c r="K948" s="21"/>
      <c r="L948" s="22"/>
    </row>
    <row r="949" ht="22.5" customHeight="1">
      <c r="A949" s="28">
        <v>46123.0</v>
      </c>
      <c r="B949" s="15" t="s">
        <v>1147</v>
      </c>
      <c r="C949" s="13" t="s">
        <v>9</v>
      </c>
      <c r="D949" s="13">
        <v>80.0</v>
      </c>
      <c r="E949" s="15">
        <v>125.0</v>
      </c>
      <c r="F949" s="13" t="s">
        <v>21</v>
      </c>
      <c r="G949" s="15" t="s">
        <v>89</v>
      </c>
      <c r="H949" s="15">
        <v>0.0</v>
      </c>
      <c r="I949" s="20"/>
      <c r="J949" s="20">
        <f t="shared" si="1"/>
        <v>0</v>
      </c>
      <c r="K949" s="21"/>
      <c r="L949" s="22"/>
    </row>
    <row r="950" ht="22.5" customHeight="1">
      <c r="A950" s="28">
        <v>46125.0</v>
      </c>
      <c r="B950" s="15" t="s">
        <v>1148</v>
      </c>
      <c r="C950" s="13" t="s">
        <v>26</v>
      </c>
      <c r="D950" s="13">
        <v>80.0</v>
      </c>
      <c r="E950" s="15">
        <v>150.0</v>
      </c>
      <c r="F950" s="38"/>
      <c r="G950" s="15" t="s">
        <v>99</v>
      </c>
      <c r="H950" s="15">
        <v>0.0</v>
      </c>
      <c r="I950" s="20"/>
      <c r="J950" s="20">
        <f t="shared" si="1"/>
        <v>0</v>
      </c>
      <c r="K950" s="21"/>
      <c r="L950" s="22"/>
    </row>
    <row r="951" ht="22.5" customHeight="1">
      <c r="A951" s="28">
        <v>46125.0</v>
      </c>
      <c r="B951" s="15" t="s">
        <v>1151</v>
      </c>
      <c r="C951" s="13" t="s">
        <v>9</v>
      </c>
      <c r="D951" s="13">
        <v>80.0</v>
      </c>
      <c r="E951" s="15">
        <v>160.0</v>
      </c>
      <c r="F951" s="13" t="s">
        <v>27</v>
      </c>
      <c r="G951" s="15" t="s">
        <v>99</v>
      </c>
      <c r="H951" s="15">
        <v>1300.0</v>
      </c>
      <c r="I951" s="20"/>
      <c r="J951" s="20">
        <f t="shared" si="1"/>
        <v>208</v>
      </c>
      <c r="K951" s="21"/>
      <c r="L951" s="22"/>
    </row>
    <row r="952" ht="22.5" customHeight="1">
      <c r="A952" s="28">
        <v>46125.0</v>
      </c>
      <c r="B952" s="15" t="s">
        <v>1152</v>
      </c>
      <c r="C952" s="13" t="s">
        <v>9</v>
      </c>
      <c r="D952" s="13">
        <v>80.0</v>
      </c>
      <c r="E952" s="15">
        <v>160.0</v>
      </c>
      <c r="F952" s="13" t="s">
        <v>27</v>
      </c>
      <c r="G952" s="15" t="s">
        <v>99</v>
      </c>
      <c r="H952" s="15">
        <v>0.0</v>
      </c>
      <c r="I952" s="20"/>
      <c r="J952" s="20">
        <f t="shared" si="1"/>
        <v>0</v>
      </c>
      <c r="K952" s="21"/>
      <c r="L952" s="22"/>
    </row>
    <row r="953" ht="22.5" customHeight="1">
      <c r="A953" s="28">
        <v>46125.0</v>
      </c>
      <c r="B953" s="15" t="s">
        <v>1153</v>
      </c>
      <c r="C953" s="13" t="s">
        <v>9</v>
      </c>
      <c r="D953" s="13">
        <v>80.0</v>
      </c>
      <c r="E953" s="15">
        <v>160.0</v>
      </c>
      <c r="F953" s="13" t="s">
        <v>27</v>
      </c>
      <c r="G953" s="15" t="s">
        <v>99</v>
      </c>
      <c r="H953" s="15">
        <v>1200.0</v>
      </c>
      <c r="I953" s="20"/>
      <c r="J953" s="20">
        <f t="shared" si="1"/>
        <v>192</v>
      </c>
      <c r="K953" s="21"/>
      <c r="L953" s="22"/>
    </row>
    <row r="954" ht="22.5" customHeight="1">
      <c r="A954" s="28">
        <v>46125.0</v>
      </c>
      <c r="B954" s="15" t="s">
        <v>1154</v>
      </c>
      <c r="C954" s="13" t="s">
        <v>9</v>
      </c>
      <c r="D954" s="13">
        <v>80.0</v>
      </c>
      <c r="E954" s="15">
        <v>160.0</v>
      </c>
      <c r="F954" s="13" t="s">
        <v>27</v>
      </c>
      <c r="G954" s="15" t="s">
        <v>99</v>
      </c>
      <c r="H954" s="15">
        <v>1500.0</v>
      </c>
      <c r="I954" s="20"/>
      <c r="J954" s="20">
        <f t="shared" si="1"/>
        <v>240</v>
      </c>
      <c r="K954" s="21"/>
      <c r="L954" s="22"/>
    </row>
    <row r="955" ht="22.5" customHeight="1">
      <c r="A955" s="28">
        <v>46125.0</v>
      </c>
      <c r="B955" s="15" t="s">
        <v>1155</v>
      </c>
      <c r="C955" s="13" t="s">
        <v>9</v>
      </c>
      <c r="D955" s="13">
        <v>80.0</v>
      </c>
      <c r="E955" s="15">
        <v>160.0</v>
      </c>
      <c r="F955" s="13" t="s">
        <v>27</v>
      </c>
      <c r="G955" s="15" t="s">
        <v>99</v>
      </c>
      <c r="H955" s="15">
        <v>598.0</v>
      </c>
      <c r="I955" s="20"/>
      <c r="J955" s="20">
        <f t="shared" si="1"/>
        <v>95.68</v>
      </c>
      <c r="K955" s="21"/>
      <c r="L955" s="22"/>
    </row>
    <row r="956" ht="22.5" customHeight="1">
      <c r="A956" s="28">
        <v>46127.0</v>
      </c>
      <c r="B956" s="15" t="s">
        <v>1156</v>
      </c>
      <c r="C956" s="13" t="s">
        <v>9</v>
      </c>
      <c r="D956" s="13">
        <v>80.0</v>
      </c>
      <c r="E956" s="15">
        <v>290.0</v>
      </c>
      <c r="F956" s="13" t="s">
        <v>21</v>
      </c>
      <c r="G956" s="15" t="s">
        <v>89</v>
      </c>
      <c r="H956" s="15">
        <v>0.0</v>
      </c>
      <c r="I956" s="20"/>
      <c r="J956" s="20">
        <f t="shared" si="1"/>
        <v>0</v>
      </c>
      <c r="K956" s="21"/>
      <c r="L956" s="22"/>
    </row>
    <row r="957" ht="22.5" customHeight="1">
      <c r="A957" s="28">
        <v>46127.0</v>
      </c>
      <c r="B957" s="15" t="s">
        <v>1158</v>
      </c>
      <c r="C957" s="13" t="s">
        <v>9</v>
      </c>
      <c r="D957" s="13">
        <v>80.0</v>
      </c>
      <c r="E957" s="15">
        <v>320.0</v>
      </c>
      <c r="F957" s="13" t="s">
        <v>21</v>
      </c>
      <c r="G957" s="15" t="s">
        <v>89</v>
      </c>
      <c r="H957" s="15">
        <v>0.0</v>
      </c>
      <c r="I957" s="20"/>
      <c r="J957" s="20">
        <f t="shared" si="1"/>
        <v>0</v>
      </c>
      <c r="K957" s="21"/>
      <c r="L957" s="22"/>
    </row>
    <row r="958" ht="22.5" customHeight="1">
      <c r="A958" s="28">
        <v>46127.0</v>
      </c>
      <c r="B958" s="15" t="s">
        <v>1159</v>
      </c>
      <c r="C958" s="13" t="s">
        <v>9</v>
      </c>
      <c r="D958" s="13">
        <v>80.0</v>
      </c>
      <c r="E958" s="15">
        <v>180.0</v>
      </c>
      <c r="F958" s="13" t="s">
        <v>21</v>
      </c>
      <c r="G958" s="15" t="s">
        <v>89</v>
      </c>
      <c r="H958" s="15">
        <v>1690.0</v>
      </c>
      <c r="I958" s="20"/>
      <c r="J958" s="20">
        <f t="shared" si="1"/>
        <v>304.2</v>
      </c>
      <c r="K958" s="21"/>
      <c r="L958" s="22"/>
    </row>
    <row r="959" ht="22.5" customHeight="1">
      <c r="A959" s="28">
        <v>46127.0</v>
      </c>
      <c r="B959" s="15" t="s">
        <v>1160</v>
      </c>
      <c r="C959" s="13" t="s">
        <v>9</v>
      </c>
      <c r="D959" s="13">
        <v>80.0</v>
      </c>
      <c r="E959" s="15">
        <v>320.0</v>
      </c>
      <c r="F959" s="13" t="s">
        <v>21</v>
      </c>
      <c r="G959" s="15" t="s">
        <v>89</v>
      </c>
      <c r="H959" s="15">
        <v>1300.0</v>
      </c>
      <c r="I959" s="20"/>
      <c r="J959" s="20">
        <f t="shared" si="1"/>
        <v>416</v>
      </c>
      <c r="K959" s="21"/>
      <c r="L959" s="22"/>
    </row>
    <row r="960" ht="22.5" customHeight="1">
      <c r="A960" s="28">
        <v>46127.0</v>
      </c>
      <c r="B960" s="15" t="s">
        <v>1161</v>
      </c>
      <c r="C960" s="13" t="s">
        <v>9</v>
      </c>
      <c r="D960" s="13">
        <v>80.0</v>
      </c>
      <c r="E960" s="15">
        <v>250.0</v>
      </c>
      <c r="F960" s="13" t="s">
        <v>21</v>
      </c>
      <c r="G960" s="15" t="s">
        <v>89</v>
      </c>
      <c r="H960" s="15">
        <v>420.0</v>
      </c>
      <c r="I960" s="20"/>
      <c r="J960" s="20">
        <f t="shared" si="1"/>
        <v>105</v>
      </c>
      <c r="K960" s="21"/>
      <c r="L960" s="22"/>
    </row>
    <row r="961" ht="22.5" customHeight="1">
      <c r="A961" s="28">
        <v>46127.0</v>
      </c>
      <c r="B961" s="15" t="s">
        <v>1162</v>
      </c>
      <c r="C961" s="13" t="s">
        <v>9</v>
      </c>
      <c r="D961" s="13">
        <v>80.0</v>
      </c>
      <c r="E961" s="15">
        <v>300.0</v>
      </c>
      <c r="F961" s="13" t="s">
        <v>21</v>
      </c>
      <c r="G961" s="15" t="s">
        <v>89</v>
      </c>
      <c r="H961" s="15">
        <v>740.0</v>
      </c>
      <c r="I961" s="20"/>
      <c r="J961" s="20">
        <f t="shared" si="1"/>
        <v>222</v>
      </c>
      <c r="K961" s="21"/>
      <c r="L961" s="22"/>
    </row>
    <row r="962" ht="22.5" customHeight="1">
      <c r="A962" s="28">
        <v>46127.0</v>
      </c>
      <c r="B962" s="15" t="s">
        <v>1163</v>
      </c>
      <c r="C962" s="13" t="s">
        <v>9</v>
      </c>
      <c r="D962" s="13">
        <v>80.0</v>
      </c>
      <c r="E962" s="15">
        <v>250.0</v>
      </c>
      <c r="F962" s="13" t="s">
        <v>21</v>
      </c>
      <c r="G962" s="15" t="s">
        <v>89</v>
      </c>
      <c r="H962" s="15">
        <v>810.0</v>
      </c>
      <c r="I962" s="20"/>
      <c r="J962" s="20">
        <f t="shared" si="1"/>
        <v>202.5</v>
      </c>
      <c r="K962" s="21"/>
      <c r="L962" s="22"/>
    </row>
    <row r="963" ht="22.5" customHeight="1">
      <c r="A963" s="28">
        <v>46127.0</v>
      </c>
      <c r="B963" s="15" t="s">
        <v>1164</v>
      </c>
      <c r="C963" s="13" t="s">
        <v>41</v>
      </c>
      <c r="D963" s="13">
        <v>150.0</v>
      </c>
      <c r="E963" s="15">
        <v>180.0</v>
      </c>
      <c r="F963" s="13" t="s">
        <v>21</v>
      </c>
      <c r="G963" s="15" t="s">
        <v>884</v>
      </c>
      <c r="H963" s="15">
        <v>210.0</v>
      </c>
      <c r="I963" s="20"/>
      <c r="J963" s="20">
        <f t="shared" si="1"/>
        <v>37.8</v>
      </c>
      <c r="K963" s="21"/>
      <c r="L963" s="22"/>
    </row>
    <row r="964" ht="22.5" customHeight="1">
      <c r="A964" s="28">
        <v>46128.0</v>
      </c>
      <c r="B964" s="15" t="s">
        <v>1165</v>
      </c>
      <c r="C964" s="13" t="s">
        <v>9</v>
      </c>
      <c r="D964" s="13">
        <v>80.0</v>
      </c>
      <c r="E964" s="15">
        <v>150.0</v>
      </c>
      <c r="F964" s="13" t="s">
        <v>21</v>
      </c>
      <c r="G964" s="15" t="s">
        <v>522</v>
      </c>
      <c r="H964" s="15">
        <v>1030.0</v>
      </c>
      <c r="I964" s="20"/>
      <c r="J964" s="20">
        <f t="shared" si="1"/>
        <v>154.5</v>
      </c>
      <c r="K964" s="21"/>
      <c r="L964" s="22"/>
    </row>
    <row r="965" ht="22.5" customHeight="1">
      <c r="A965" s="28">
        <v>46128.0</v>
      </c>
      <c r="B965" s="15" t="s">
        <v>1166</v>
      </c>
      <c r="C965" s="13" t="s">
        <v>9</v>
      </c>
      <c r="D965" s="13">
        <v>80.0</v>
      </c>
      <c r="E965" s="15">
        <v>250.0</v>
      </c>
      <c r="F965" s="13" t="s">
        <v>21</v>
      </c>
      <c r="G965" s="15" t="s">
        <v>89</v>
      </c>
      <c r="H965" s="15">
        <v>180.0</v>
      </c>
      <c r="I965" s="20"/>
      <c r="J965" s="20">
        <f t="shared" si="1"/>
        <v>45</v>
      </c>
      <c r="K965" s="21"/>
      <c r="L965" s="22"/>
    </row>
    <row r="966" ht="22.5" customHeight="1">
      <c r="A966" s="28">
        <v>46128.0</v>
      </c>
      <c r="B966" s="15" t="s">
        <v>1167</v>
      </c>
      <c r="C966" s="13" t="s">
        <v>9</v>
      </c>
      <c r="D966" s="13">
        <v>80.0</v>
      </c>
      <c r="E966" s="15">
        <v>160.0</v>
      </c>
      <c r="F966" s="13" t="s">
        <v>27</v>
      </c>
      <c r="G966" s="15" t="s">
        <v>89</v>
      </c>
      <c r="H966" s="15">
        <v>890.0</v>
      </c>
      <c r="I966" s="20"/>
      <c r="J966" s="20">
        <f t="shared" si="1"/>
        <v>142.4</v>
      </c>
      <c r="K966" s="21"/>
      <c r="L966" s="22"/>
    </row>
    <row r="967" ht="22.5" customHeight="1">
      <c r="A967" s="28">
        <v>46129.0</v>
      </c>
      <c r="B967" s="15" t="s">
        <v>1168</v>
      </c>
      <c r="C967" s="13" t="s">
        <v>9</v>
      </c>
      <c r="D967" s="13">
        <v>80.0</v>
      </c>
      <c r="E967" s="15">
        <v>230.0</v>
      </c>
      <c r="F967" s="13" t="s">
        <v>27</v>
      </c>
      <c r="G967" s="15" t="s">
        <v>99</v>
      </c>
      <c r="H967" s="15">
        <v>190.0</v>
      </c>
      <c r="I967" s="20"/>
      <c r="J967" s="20">
        <f t="shared" si="1"/>
        <v>43.7</v>
      </c>
      <c r="K967" s="21"/>
      <c r="L967" s="22"/>
    </row>
    <row r="968" ht="22.5" customHeight="1">
      <c r="A968" s="28">
        <v>46129.0</v>
      </c>
      <c r="B968" s="15" t="s">
        <v>1169</v>
      </c>
      <c r="C968" s="13" t="s">
        <v>9</v>
      </c>
      <c r="D968" s="13">
        <v>80.0</v>
      </c>
      <c r="E968" s="15">
        <v>140.0</v>
      </c>
      <c r="F968" s="13" t="s">
        <v>27</v>
      </c>
      <c r="G968" s="15" t="s">
        <v>99</v>
      </c>
      <c r="H968" s="15">
        <v>720.0</v>
      </c>
      <c r="I968" s="20"/>
      <c r="J968" s="20">
        <f t="shared" si="1"/>
        <v>100.8</v>
      </c>
      <c r="K968" s="21"/>
      <c r="L968" s="22"/>
    </row>
    <row r="969" ht="22.5" customHeight="1">
      <c r="A969" s="28">
        <v>46129.0</v>
      </c>
      <c r="B969" s="15" t="s">
        <v>1170</v>
      </c>
      <c r="C969" s="13" t="s">
        <v>9</v>
      </c>
      <c r="D969" s="13">
        <v>80.0</v>
      </c>
      <c r="E969" s="15">
        <v>230.0</v>
      </c>
      <c r="F969" s="13" t="s">
        <v>27</v>
      </c>
      <c r="G969" s="15" t="s">
        <v>99</v>
      </c>
      <c r="H969" s="15">
        <v>1080.0</v>
      </c>
      <c r="I969" s="20"/>
      <c r="J969" s="20">
        <f t="shared" si="1"/>
        <v>248.4</v>
      </c>
      <c r="K969" s="21"/>
      <c r="L969" s="22"/>
    </row>
    <row r="970" ht="22.5" customHeight="1">
      <c r="A970" s="28">
        <v>46129.0</v>
      </c>
      <c r="B970" s="15" t="s">
        <v>1171</v>
      </c>
      <c r="C970" s="13" t="s">
        <v>9</v>
      </c>
      <c r="D970" s="13">
        <v>80.0</v>
      </c>
      <c r="E970" s="15">
        <v>140.0</v>
      </c>
      <c r="F970" s="13" t="s">
        <v>27</v>
      </c>
      <c r="G970" s="15" t="s">
        <v>99</v>
      </c>
      <c r="H970" s="15">
        <v>1400.0</v>
      </c>
      <c r="I970" s="20"/>
      <c r="J970" s="20">
        <f t="shared" si="1"/>
        <v>196</v>
      </c>
      <c r="K970" s="21"/>
      <c r="L970" s="22"/>
    </row>
    <row r="971" ht="22.5" customHeight="1">
      <c r="A971" s="28">
        <v>46129.0</v>
      </c>
      <c r="B971" s="15" t="s">
        <v>1172</v>
      </c>
      <c r="C971" s="13" t="s">
        <v>9</v>
      </c>
      <c r="D971" s="13">
        <v>80.0</v>
      </c>
      <c r="E971" s="15">
        <v>140.0</v>
      </c>
      <c r="F971" s="13" t="s">
        <v>27</v>
      </c>
      <c r="G971" s="15" t="s">
        <v>99</v>
      </c>
      <c r="H971" s="15">
        <v>0.0</v>
      </c>
      <c r="I971" s="20"/>
      <c r="J971" s="20">
        <f t="shared" si="1"/>
        <v>0</v>
      </c>
      <c r="K971" s="21"/>
      <c r="L971" s="22"/>
    </row>
    <row r="972" ht="22.5" customHeight="1">
      <c r="A972" s="28">
        <v>46129.0</v>
      </c>
      <c r="B972" s="15" t="s">
        <v>1174</v>
      </c>
      <c r="C972" s="13" t="s">
        <v>9</v>
      </c>
      <c r="D972" s="13">
        <v>80.0</v>
      </c>
      <c r="E972" s="15">
        <v>185.0</v>
      </c>
      <c r="F972" s="13" t="s">
        <v>27</v>
      </c>
      <c r="G972" s="15" t="s">
        <v>99</v>
      </c>
      <c r="H972" s="15">
        <v>610.0</v>
      </c>
      <c r="I972" s="20"/>
      <c r="J972" s="20">
        <f t="shared" si="1"/>
        <v>112.85</v>
      </c>
      <c r="K972" s="21"/>
      <c r="L972" s="22"/>
    </row>
    <row r="973" ht="22.5" customHeight="1">
      <c r="A973" s="28">
        <v>46129.0</v>
      </c>
      <c r="B973" s="15" t="s">
        <v>1175</v>
      </c>
      <c r="C973" s="13" t="s">
        <v>9</v>
      </c>
      <c r="D973" s="13">
        <v>80.0</v>
      </c>
      <c r="E973" s="15">
        <v>140.0</v>
      </c>
      <c r="F973" s="13" t="s">
        <v>27</v>
      </c>
      <c r="G973" s="15" t="s">
        <v>99</v>
      </c>
      <c r="H973" s="15">
        <v>1560.0</v>
      </c>
      <c r="I973" s="20"/>
      <c r="J973" s="20">
        <f t="shared" si="1"/>
        <v>218.4</v>
      </c>
      <c r="K973" s="21"/>
      <c r="L973" s="22"/>
    </row>
    <row r="974" ht="22.5" customHeight="1">
      <c r="A974" s="28">
        <v>46129.0</v>
      </c>
      <c r="B974" s="15" t="s">
        <v>1176</v>
      </c>
      <c r="C974" s="13" t="s">
        <v>9</v>
      </c>
      <c r="D974" s="13">
        <v>80.0</v>
      </c>
      <c r="E974" s="15">
        <v>140.0</v>
      </c>
      <c r="F974" s="13" t="s">
        <v>27</v>
      </c>
      <c r="G974" s="15" t="s">
        <v>99</v>
      </c>
      <c r="H974" s="15">
        <v>390.0</v>
      </c>
      <c r="I974" s="20"/>
      <c r="J974" s="20">
        <f t="shared" si="1"/>
        <v>54.6</v>
      </c>
      <c r="K974" s="21"/>
      <c r="L974" s="22"/>
    </row>
    <row r="975" ht="22.5" customHeight="1">
      <c r="A975" s="28">
        <v>46129.0</v>
      </c>
      <c r="B975" s="15" t="s">
        <v>1177</v>
      </c>
      <c r="C975" s="13" t="s">
        <v>9</v>
      </c>
      <c r="D975" s="13">
        <v>80.0</v>
      </c>
      <c r="E975" s="15">
        <v>140.0</v>
      </c>
      <c r="F975" s="13" t="s">
        <v>27</v>
      </c>
      <c r="G975" s="15" t="s">
        <v>99</v>
      </c>
      <c r="H975" s="15">
        <v>990.0</v>
      </c>
      <c r="I975" s="20"/>
      <c r="J975" s="20">
        <f t="shared" si="1"/>
        <v>138.6</v>
      </c>
      <c r="K975" s="21"/>
      <c r="L975" s="22"/>
    </row>
    <row r="976" ht="22.5" customHeight="1">
      <c r="A976" s="28">
        <v>46129.0</v>
      </c>
      <c r="B976" s="15" t="s">
        <v>1179</v>
      </c>
      <c r="C976" s="13" t="s">
        <v>9</v>
      </c>
      <c r="D976" s="13">
        <v>80.0</v>
      </c>
      <c r="E976" s="15">
        <v>140.0</v>
      </c>
      <c r="F976" s="13" t="s">
        <v>27</v>
      </c>
      <c r="G976" s="15" t="s">
        <v>99</v>
      </c>
      <c r="H976" s="15">
        <v>1380.0</v>
      </c>
      <c r="I976" s="20"/>
      <c r="J976" s="20">
        <f t="shared" si="1"/>
        <v>193.2</v>
      </c>
      <c r="K976" s="21"/>
      <c r="L976" s="22"/>
    </row>
    <row r="977" ht="22.5" customHeight="1">
      <c r="A977" s="28">
        <v>46129.0</v>
      </c>
      <c r="B977" s="15" t="s">
        <v>1180</v>
      </c>
      <c r="C977" s="13" t="s">
        <v>9</v>
      </c>
      <c r="D977" s="13">
        <v>80.0</v>
      </c>
      <c r="E977" s="15">
        <v>230.0</v>
      </c>
      <c r="F977" s="13" t="s">
        <v>27</v>
      </c>
      <c r="G977" s="15" t="s">
        <v>99</v>
      </c>
      <c r="H977" s="15">
        <v>0.0</v>
      </c>
      <c r="I977" s="20"/>
      <c r="J977" s="20">
        <f t="shared" si="1"/>
        <v>0</v>
      </c>
      <c r="K977" s="21"/>
      <c r="L977" s="22"/>
    </row>
    <row r="978" ht="22.5" customHeight="1">
      <c r="A978" s="28">
        <v>46129.0</v>
      </c>
      <c r="B978" s="15" t="s">
        <v>1181</v>
      </c>
      <c r="C978" s="13" t="s">
        <v>26</v>
      </c>
      <c r="D978" s="13">
        <v>80.0</v>
      </c>
      <c r="E978" s="15">
        <v>250.0</v>
      </c>
      <c r="F978" s="13" t="s">
        <v>27</v>
      </c>
      <c r="G978" s="15" t="s">
        <v>99</v>
      </c>
      <c r="H978" s="15">
        <v>300.0</v>
      </c>
      <c r="I978" s="20"/>
      <c r="J978" s="20">
        <f t="shared" si="1"/>
        <v>75</v>
      </c>
      <c r="K978" s="21"/>
      <c r="L978" s="22"/>
    </row>
    <row r="979" ht="22.5" customHeight="1">
      <c r="A979" s="28">
        <v>46129.0</v>
      </c>
      <c r="B979" s="15" t="s">
        <v>1182</v>
      </c>
      <c r="C979" s="13" t="s">
        <v>26</v>
      </c>
      <c r="D979" s="13">
        <v>80.0</v>
      </c>
      <c r="E979" s="15">
        <v>190.0</v>
      </c>
      <c r="F979" s="13" t="s">
        <v>27</v>
      </c>
      <c r="G979" s="15" t="s">
        <v>99</v>
      </c>
      <c r="H979" s="15">
        <v>290.0</v>
      </c>
      <c r="I979" s="20"/>
      <c r="J979" s="20">
        <f t="shared" si="1"/>
        <v>55.1</v>
      </c>
      <c r="K979" s="21"/>
      <c r="L979" s="22"/>
    </row>
    <row r="980" ht="22.5" customHeight="1">
      <c r="A980" s="28">
        <v>46129.0</v>
      </c>
      <c r="B980" s="15" t="s">
        <v>1183</v>
      </c>
      <c r="C980" s="13" t="s">
        <v>9</v>
      </c>
      <c r="D980" s="13">
        <v>80.0</v>
      </c>
      <c r="E980" s="15">
        <v>180.0</v>
      </c>
      <c r="F980" s="13" t="s">
        <v>21</v>
      </c>
      <c r="G980" s="15" t="s">
        <v>89</v>
      </c>
      <c r="H980" s="15">
        <v>1370.0</v>
      </c>
      <c r="I980" s="20"/>
      <c r="J980" s="20">
        <f t="shared" si="1"/>
        <v>246.6</v>
      </c>
      <c r="K980" s="21"/>
      <c r="L980" s="22"/>
    </row>
    <row r="981" ht="22.5" customHeight="1">
      <c r="A981" s="28">
        <v>46130.0</v>
      </c>
      <c r="B981" s="15" t="s">
        <v>1184</v>
      </c>
      <c r="C981" s="13" t="s">
        <v>9</v>
      </c>
      <c r="D981" s="13">
        <v>80.0</v>
      </c>
      <c r="E981" s="15">
        <v>160.0</v>
      </c>
      <c r="F981" s="13" t="s">
        <v>27</v>
      </c>
      <c r="G981" s="15" t="s">
        <v>470</v>
      </c>
      <c r="H981" s="15">
        <v>0.0</v>
      </c>
      <c r="I981" s="20"/>
      <c r="J981" s="20">
        <f t="shared" si="1"/>
        <v>0</v>
      </c>
      <c r="K981" s="21"/>
      <c r="L981" s="22"/>
    </row>
    <row r="982" ht="22.5" customHeight="1">
      <c r="A982" s="28">
        <v>46130.0</v>
      </c>
      <c r="B982" s="15" t="s">
        <v>1185</v>
      </c>
      <c r="C982" s="13" t="s">
        <v>9</v>
      </c>
      <c r="D982" s="13">
        <v>80.0</v>
      </c>
      <c r="E982" s="15">
        <v>180.0</v>
      </c>
      <c r="F982" s="13" t="s">
        <v>21</v>
      </c>
      <c r="G982" s="15" t="s">
        <v>89</v>
      </c>
      <c r="H982" s="15">
        <v>650.0</v>
      </c>
      <c r="I982" s="20"/>
      <c r="J982" s="20">
        <f t="shared" si="1"/>
        <v>117</v>
      </c>
      <c r="K982" s="21"/>
      <c r="L982" s="22"/>
    </row>
    <row r="983" ht="22.5" customHeight="1">
      <c r="A983" s="28">
        <v>46130.0</v>
      </c>
      <c r="B983" s="15" t="s">
        <v>1186</v>
      </c>
      <c r="C983" s="13" t="s">
        <v>9</v>
      </c>
      <c r="D983" s="13">
        <v>80.0</v>
      </c>
      <c r="E983" s="15">
        <v>180.0</v>
      </c>
      <c r="F983" s="13" t="s">
        <v>21</v>
      </c>
      <c r="G983" s="15" t="s">
        <v>89</v>
      </c>
      <c r="H983" s="15">
        <v>250.0</v>
      </c>
      <c r="I983" s="20"/>
      <c r="J983" s="20">
        <f t="shared" si="1"/>
        <v>45</v>
      </c>
      <c r="K983" s="21"/>
      <c r="L983" s="22"/>
    </row>
    <row r="984" ht="22.5" customHeight="1">
      <c r="A984" s="21"/>
      <c r="B984" s="21"/>
      <c r="C984" s="38"/>
      <c r="D984" s="38"/>
      <c r="E984" s="21"/>
      <c r="F984" s="38"/>
      <c r="G984" s="21"/>
      <c r="H984" s="21"/>
      <c r="I984" s="20"/>
      <c r="J984" s="20">
        <f t="shared" si="1"/>
        <v>0</v>
      </c>
      <c r="K984" s="21"/>
      <c r="L984" s="22"/>
    </row>
    <row r="985" ht="22.5" customHeight="1">
      <c r="A985" s="21"/>
      <c r="B985" s="21"/>
      <c r="C985" s="38"/>
      <c r="D985" s="38"/>
      <c r="E985" s="21"/>
      <c r="F985" s="38"/>
      <c r="G985" s="21"/>
      <c r="H985" s="21"/>
      <c r="I985" s="20"/>
      <c r="J985" s="20">
        <f t="shared" si="1"/>
        <v>0</v>
      </c>
      <c r="K985" s="21"/>
      <c r="L985" s="22"/>
    </row>
    <row r="986" ht="22.5" customHeight="1">
      <c r="A986" s="21"/>
      <c r="B986" s="21"/>
      <c r="C986" s="38"/>
      <c r="D986" s="38"/>
      <c r="E986" s="21"/>
      <c r="F986" s="38"/>
      <c r="G986" s="21"/>
      <c r="H986" s="21"/>
      <c r="I986" s="20"/>
      <c r="J986" s="20">
        <f t="shared" si="1"/>
        <v>0</v>
      </c>
      <c r="K986" s="21"/>
      <c r="L986" s="22"/>
    </row>
    <row r="987" ht="22.5" customHeight="1">
      <c r="A987" s="21"/>
      <c r="B987" s="21"/>
      <c r="C987" s="38"/>
      <c r="D987" s="38"/>
      <c r="E987" s="21"/>
      <c r="F987" s="38"/>
      <c r="G987" s="21"/>
      <c r="H987" s="21"/>
      <c r="I987" s="20"/>
      <c r="J987" s="20">
        <f t="shared" si="1"/>
        <v>0</v>
      </c>
      <c r="K987" s="21"/>
      <c r="L987" s="22"/>
    </row>
    <row r="988" ht="22.5" customHeight="1">
      <c r="A988" s="21"/>
      <c r="B988" s="21"/>
      <c r="C988" s="38"/>
      <c r="D988" s="38"/>
      <c r="E988" s="21"/>
      <c r="F988" s="38"/>
      <c r="G988" s="21"/>
      <c r="H988" s="21"/>
      <c r="I988" s="20"/>
      <c r="J988" s="20">
        <f t="shared" si="1"/>
        <v>0</v>
      </c>
      <c r="K988" s="21"/>
      <c r="L988" s="22"/>
    </row>
    <row r="989" ht="22.5" customHeight="1">
      <c r="A989" s="21"/>
      <c r="B989" s="21"/>
      <c r="C989" s="38"/>
      <c r="D989" s="38"/>
      <c r="E989" s="21"/>
      <c r="F989" s="38"/>
      <c r="G989" s="21"/>
      <c r="H989" s="21"/>
      <c r="I989" s="20"/>
      <c r="J989" s="20">
        <f t="shared" si="1"/>
        <v>0</v>
      </c>
      <c r="K989" s="21"/>
      <c r="L989" s="22"/>
    </row>
    <row r="990" ht="22.5" customHeight="1">
      <c r="A990" s="21"/>
      <c r="B990" s="21"/>
      <c r="C990" s="38"/>
      <c r="D990" s="38"/>
      <c r="E990" s="21"/>
      <c r="F990" s="38"/>
      <c r="G990" s="21"/>
      <c r="H990" s="21"/>
      <c r="I990" s="20"/>
      <c r="J990" s="20">
        <f t="shared" si="1"/>
        <v>0</v>
      </c>
      <c r="K990" s="21"/>
      <c r="L990" s="22"/>
    </row>
    <row r="991" ht="22.5" customHeight="1">
      <c r="A991" s="21"/>
      <c r="B991" s="21"/>
      <c r="C991" s="38"/>
      <c r="D991" s="38"/>
      <c r="E991" s="21"/>
      <c r="F991" s="38"/>
      <c r="G991" s="21"/>
      <c r="H991" s="21"/>
      <c r="I991" s="20"/>
      <c r="J991" s="20">
        <f t="shared" si="1"/>
        <v>0</v>
      </c>
      <c r="K991" s="21"/>
      <c r="L991" s="22"/>
    </row>
    <row r="992" ht="22.5" customHeight="1">
      <c r="A992" s="21"/>
      <c r="B992" s="21"/>
      <c r="C992" s="38"/>
      <c r="D992" s="38"/>
      <c r="E992" s="21"/>
      <c r="F992" s="38"/>
      <c r="G992" s="21"/>
      <c r="H992" s="21"/>
      <c r="I992" s="20"/>
      <c r="J992" s="20">
        <f t="shared" si="1"/>
        <v>0</v>
      </c>
      <c r="K992" s="21"/>
      <c r="L992" s="22"/>
    </row>
    <row r="993" ht="22.5" customHeight="1">
      <c r="A993" s="21"/>
      <c r="B993" s="21"/>
      <c r="C993" s="38"/>
      <c r="D993" s="38"/>
      <c r="E993" s="21"/>
      <c r="F993" s="38"/>
      <c r="G993" s="21"/>
      <c r="H993" s="21"/>
      <c r="I993" s="20"/>
      <c r="J993" s="20">
        <f t="shared" si="1"/>
        <v>0</v>
      </c>
      <c r="K993" s="21"/>
      <c r="L993" s="22"/>
    </row>
    <row r="994" ht="22.5" customHeight="1">
      <c r="A994" s="21"/>
      <c r="B994" s="21"/>
      <c r="C994" s="38"/>
      <c r="D994" s="38"/>
      <c r="E994" s="21"/>
      <c r="F994" s="38"/>
      <c r="G994" s="21"/>
      <c r="H994" s="21"/>
      <c r="I994" s="20"/>
      <c r="J994" s="20">
        <f t="shared" si="1"/>
        <v>0</v>
      </c>
      <c r="K994" s="21"/>
      <c r="L994" s="22"/>
    </row>
    <row r="995" ht="22.5" customHeight="1">
      <c r="A995" s="21"/>
      <c r="B995" s="21"/>
      <c r="C995" s="38"/>
      <c r="D995" s="38"/>
      <c r="E995" s="21"/>
      <c r="F995" s="38"/>
      <c r="G995" s="21"/>
      <c r="H995" s="21"/>
      <c r="I995" s="20"/>
      <c r="J995" s="20">
        <f t="shared" si="1"/>
        <v>0</v>
      </c>
      <c r="K995" s="21"/>
      <c r="L995" s="22"/>
    </row>
  </sheetData>
  <dataValidations>
    <dataValidation type="list" allowBlank="1" showErrorMessage="1" sqref="C2:D995 F2:F995">
      <formula1>#REF!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38"/>
    <col customWidth="1" min="2" max="2" width="15.88"/>
    <col customWidth="1" min="3" max="3" width="19.88"/>
    <col customWidth="1" min="4" max="4" width="19.25"/>
    <col customWidth="1" min="5" max="5" width="16.0"/>
    <col customWidth="1" min="6" max="6" width="17.88"/>
    <col customWidth="1" min="7" max="7" width="16.25"/>
    <col customWidth="1" min="8" max="8" width="18.63"/>
    <col customWidth="1" min="9" max="12" width="21.0"/>
    <col customWidth="1" min="13" max="13" width="15.0"/>
    <col customWidth="1" min="14" max="14" width="18.25"/>
    <col customWidth="1" min="15" max="15" width="20.38"/>
  </cols>
  <sheetData>
    <row r="1" ht="22.5" customHeight="1">
      <c r="A1" s="3" t="s">
        <v>18</v>
      </c>
      <c r="B1" s="1" t="s">
        <v>4</v>
      </c>
      <c r="C1" s="3" t="s">
        <v>3</v>
      </c>
      <c r="D1" s="1" t="s">
        <v>6</v>
      </c>
      <c r="E1" s="1" t="s">
        <v>358</v>
      </c>
      <c r="F1" s="1" t="s">
        <v>359</v>
      </c>
      <c r="G1" s="1" t="s">
        <v>15</v>
      </c>
      <c r="H1" s="1" t="s">
        <v>10</v>
      </c>
      <c r="I1" s="5" t="s">
        <v>361</v>
      </c>
      <c r="J1" s="5" t="s">
        <v>362</v>
      </c>
      <c r="K1" s="5" t="s">
        <v>363</v>
      </c>
      <c r="L1" s="5" t="s">
        <v>364</v>
      </c>
      <c r="M1" s="1" t="s">
        <v>365</v>
      </c>
      <c r="N1" s="1" t="s">
        <v>366</v>
      </c>
      <c r="O1" s="1" t="s">
        <v>368</v>
      </c>
    </row>
    <row r="2" ht="22.5" customHeight="1">
      <c r="A2" s="51" t="s">
        <v>22</v>
      </c>
      <c r="B2" s="14" t="s">
        <v>26</v>
      </c>
      <c r="C2" s="14">
        <v>80.0</v>
      </c>
      <c r="D2" s="7">
        <v>280.0</v>
      </c>
      <c r="E2" s="51">
        <v>2624.0</v>
      </c>
      <c r="F2" s="26">
        <v>3290.0</v>
      </c>
      <c r="G2" s="52">
        <f>IFERROR(SUMIF(Issues!B:B, A2, Issues!H:H), 0)</f>
        <v>3290</v>
      </c>
      <c r="H2" s="52">
        <f>IFERROR(SUMIF(Returns!B:B, A2, Returns!H:H), 0)</f>
        <v>0</v>
      </c>
      <c r="I2" s="3">
        <v>132720.0</v>
      </c>
      <c r="J2" s="3">
        <v>15.0</v>
      </c>
      <c r="K2" s="3">
        <v>99.0</v>
      </c>
      <c r="L2" s="53">
        <f t="shared" ref="L2:L173" si="1">IFERROR((I2*(K2/8))/(39.3*J2),0)</f>
        <v>2786.10687</v>
      </c>
      <c r="M2" s="52">
        <f t="shared" ref="M2:M282" si="2">G2 - H2</f>
        <v>3290</v>
      </c>
      <c r="N2" s="54">
        <f t="shared" ref="N2:N282" si="3">MAX(0, G2-H2-L2)</f>
        <v>503.8931298</v>
      </c>
      <c r="O2" s="54">
        <f t="shared" ref="O2:O282" si="4">(D2*N2)/1000</f>
        <v>141.0900763</v>
      </c>
    </row>
    <row r="3" ht="22.5" customHeight="1">
      <c r="A3" s="51" t="s">
        <v>50</v>
      </c>
      <c r="B3" s="14" t="s">
        <v>9</v>
      </c>
      <c r="C3" s="14">
        <v>80.0</v>
      </c>
      <c r="D3" s="7">
        <v>125.0</v>
      </c>
      <c r="E3" s="51">
        <v>515.0</v>
      </c>
      <c r="F3" s="26">
        <v>709.0</v>
      </c>
      <c r="G3" s="52">
        <f>IFERROR(SUMIF(Issues!B:B, A3, Issues!H:H), 0)</f>
        <v>1724</v>
      </c>
      <c r="H3" s="52">
        <f>IFERROR(SUMIF(Returns!B:B, A3, Returns!H:H), 0)</f>
        <v>1015</v>
      </c>
      <c r="I3" s="3">
        <v>3490.0</v>
      </c>
      <c r="J3" s="3">
        <v>2.0</v>
      </c>
      <c r="K3" s="3">
        <v>108.0</v>
      </c>
      <c r="L3" s="53">
        <f t="shared" si="1"/>
        <v>599.4274809</v>
      </c>
      <c r="M3" s="52">
        <f t="shared" si="2"/>
        <v>709</v>
      </c>
      <c r="N3" s="54">
        <f t="shared" si="3"/>
        <v>109.5725191</v>
      </c>
      <c r="O3" s="54">
        <f t="shared" si="4"/>
        <v>13.69656489</v>
      </c>
    </row>
    <row r="4" ht="22.5" customHeight="1">
      <c r="A4" s="51" t="s">
        <v>53</v>
      </c>
      <c r="B4" s="14" t="s">
        <v>9</v>
      </c>
      <c r="C4" s="14">
        <v>80.0</v>
      </c>
      <c r="D4" s="7">
        <v>330.0</v>
      </c>
      <c r="E4" s="51">
        <v>398.0</v>
      </c>
      <c r="F4" s="26">
        <v>606.0</v>
      </c>
      <c r="G4" s="52">
        <f>IFERROR(SUMIF(Issues!B:B, A4, Issues!H:H), 0)</f>
        <v>1700</v>
      </c>
      <c r="H4" s="52">
        <f>IFERROR(SUMIF(Returns!B:B, A4, Returns!H:H), 0)</f>
        <v>1090</v>
      </c>
      <c r="I4" s="3">
        <v>5640.0</v>
      </c>
      <c r="J4" s="3">
        <v>3.0</v>
      </c>
      <c r="K4" s="3">
        <v>75.0</v>
      </c>
      <c r="L4" s="53">
        <f t="shared" si="1"/>
        <v>448.4732824</v>
      </c>
      <c r="M4" s="52">
        <f t="shared" si="2"/>
        <v>610</v>
      </c>
      <c r="N4" s="54">
        <f t="shared" si="3"/>
        <v>161.5267176</v>
      </c>
      <c r="O4" s="54">
        <f t="shared" si="4"/>
        <v>53.30381679</v>
      </c>
    </row>
    <row r="5" ht="22.5" customHeight="1">
      <c r="A5" s="51" t="s">
        <v>58</v>
      </c>
      <c r="B5" s="14" t="s">
        <v>9</v>
      </c>
      <c r="C5" s="14">
        <v>80.0</v>
      </c>
      <c r="D5" s="7">
        <v>330.0</v>
      </c>
      <c r="E5" s="26">
        <v>1193.0</v>
      </c>
      <c r="F5" s="26">
        <v>1420.0</v>
      </c>
      <c r="G5" s="52">
        <f>IFERROR(SUMIF(Issues!B:B, A5, Issues!H:H), 0)</f>
        <v>3150</v>
      </c>
      <c r="H5" s="52">
        <f>IFERROR(SUMIF(Returns!B:B, A5, Returns!H:H), 0)</f>
        <v>1730</v>
      </c>
      <c r="I5" s="3">
        <v>15000.0</v>
      </c>
      <c r="J5" s="3">
        <v>3.0</v>
      </c>
      <c r="K5" s="3">
        <v>75.0</v>
      </c>
      <c r="L5" s="53">
        <f t="shared" si="1"/>
        <v>1192.748092</v>
      </c>
      <c r="M5" s="52">
        <f t="shared" si="2"/>
        <v>1420</v>
      </c>
      <c r="N5" s="54">
        <f t="shared" si="3"/>
        <v>227.2519084</v>
      </c>
      <c r="O5" s="54">
        <f t="shared" si="4"/>
        <v>74.99312977</v>
      </c>
    </row>
    <row r="6" ht="22.5" customHeight="1">
      <c r="A6" s="51" t="s">
        <v>64</v>
      </c>
      <c r="B6" s="14" t="s">
        <v>9</v>
      </c>
      <c r="C6" s="14">
        <v>80.0</v>
      </c>
      <c r="D6" s="7">
        <v>125.0</v>
      </c>
      <c r="E6" s="26">
        <v>515.0</v>
      </c>
      <c r="F6" s="26">
        <v>686.0</v>
      </c>
      <c r="G6" s="52">
        <f>IFERROR(SUMIF(Issues!B:B, A6, Issues!H:H), 0)</f>
        <v>1370</v>
      </c>
      <c r="H6" s="52">
        <f>IFERROR(SUMIF(Returns!B:B, A6, Returns!H:H), 0)</f>
        <v>684</v>
      </c>
      <c r="I6" s="3">
        <v>3280.0</v>
      </c>
      <c r="J6" s="3">
        <v>2.0</v>
      </c>
      <c r="K6" s="3">
        <v>108.0</v>
      </c>
      <c r="L6" s="53">
        <f t="shared" si="1"/>
        <v>563.3587786</v>
      </c>
      <c r="M6" s="52">
        <f t="shared" si="2"/>
        <v>686</v>
      </c>
      <c r="N6" s="54">
        <f t="shared" si="3"/>
        <v>122.6412214</v>
      </c>
      <c r="O6" s="54">
        <f t="shared" si="4"/>
        <v>15.33015267</v>
      </c>
    </row>
    <row r="7" ht="22.5" customHeight="1">
      <c r="A7" s="51" t="s">
        <v>68</v>
      </c>
      <c r="B7" s="14" t="s">
        <v>9</v>
      </c>
      <c r="C7" s="14">
        <v>80.0</v>
      </c>
      <c r="D7" s="7">
        <v>290.0</v>
      </c>
      <c r="E7" s="26">
        <v>747.0</v>
      </c>
      <c r="F7" s="26">
        <v>930.0</v>
      </c>
      <c r="G7" s="52">
        <f>IFERROR(SUMIF(Issues!B:B, A7, Issues!H:H), 0)</f>
        <v>1000</v>
      </c>
      <c r="H7" s="52">
        <f>IFERROR(SUMIF(Returns!B:B, A7, Returns!H:H), 0)</f>
        <v>0</v>
      </c>
      <c r="I7" s="3">
        <v>5200.0</v>
      </c>
      <c r="J7" s="3">
        <v>2.0</v>
      </c>
      <c r="K7" s="3">
        <v>94.0</v>
      </c>
      <c r="L7" s="53">
        <f t="shared" si="1"/>
        <v>777.3536896</v>
      </c>
      <c r="M7" s="52">
        <f t="shared" si="2"/>
        <v>1000</v>
      </c>
      <c r="N7" s="54">
        <f t="shared" si="3"/>
        <v>222.6463104</v>
      </c>
      <c r="O7" s="54">
        <f t="shared" si="4"/>
        <v>64.56743003</v>
      </c>
    </row>
    <row r="8" ht="22.5" customHeight="1">
      <c r="A8" s="51" t="s">
        <v>83</v>
      </c>
      <c r="B8" s="14" t="s">
        <v>9</v>
      </c>
      <c r="C8" s="14">
        <v>80.0</v>
      </c>
      <c r="D8" s="7">
        <v>125.0</v>
      </c>
      <c r="E8" s="26">
        <v>687.0</v>
      </c>
      <c r="F8" s="26">
        <v>960.0</v>
      </c>
      <c r="G8" s="52">
        <f>IFERROR(SUMIF(Issues!B:B, A8, Issues!H:H), 0)</f>
        <v>2684</v>
      </c>
      <c r="H8" s="52">
        <f>IFERROR(SUMIF(Returns!B:B, A8, Returns!H:H), 0)</f>
        <v>1724</v>
      </c>
      <c r="I8" s="3">
        <v>4450.0</v>
      </c>
      <c r="J8" s="3">
        <v>2.0</v>
      </c>
      <c r="K8" s="3">
        <v>108.0</v>
      </c>
      <c r="L8" s="53">
        <f t="shared" si="1"/>
        <v>764.3129771</v>
      </c>
      <c r="M8" s="52">
        <f t="shared" si="2"/>
        <v>960</v>
      </c>
      <c r="N8" s="54">
        <f t="shared" si="3"/>
        <v>195.6870229</v>
      </c>
      <c r="O8" s="54">
        <f t="shared" si="4"/>
        <v>24.46087786</v>
      </c>
    </row>
    <row r="9" ht="22.5" customHeight="1">
      <c r="A9" s="51" t="s">
        <v>84</v>
      </c>
      <c r="B9" s="14" t="s">
        <v>61</v>
      </c>
      <c r="C9" s="14">
        <v>50.0</v>
      </c>
      <c r="D9" s="7">
        <v>165.0</v>
      </c>
      <c r="E9" s="26">
        <v>657.0</v>
      </c>
      <c r="F9" s="26">
        <v>1161.0</v>
      </c>
      <c r="G9" s="52">
        <f>IFERROR(SUMIF(Issues!B:B, A9, Issues!H:H), 0)</f>
        <v>1350</v>
      </c>
      <c r="H9" s="52">
        <f>IFERROR(SUMIF(Returns!B:B, A9, Returns!H:H), 0)</f>
        <v>0</v>
      </c>
      <c r="I9" s="3">
        <v>65300.0</v>
      </c>
      <c r="J9" s="3">
        <v>30.0</v>
      </c>
      <c r="K9" s="3">
        <v>124.0</v>
      </c>
      <c r="L9" s="53">
        <f t="shared" si="1"/>
        <v>858.4817642</v>
      </c>
      <c r="M9" s="52">
        <f t="shared" si="2"/>
        <v>1350</v>
      </c>
      <c r="N9" s="54">
        <f t="shared" si="3"/>
        <v>491.5182358</v>
      </c>
      <c r="O9" s="54">
        <f t="shared" si="4"/>
        <v>81.10050891</v>
      </c>
    </row>
    <row r="10" ht="22.5" customHeight="1">
      <c r="A10" s="51" t="s">
        <v>86</v>
      </c>
      <c r="B10" s="14" t="s">
        <v>9</v>
      </c>
      <c r="C10" s="14">
        <v>80.0</v>
      </c>
      <c r="D10" s="7">
        <v>160.0</v>
      </c>
      <c r="E10" s="26">
        <v>429.0</v>
      </c>
      <c r="F10" s="26">
        <v>697.0</v>
      </c>
      <c r="G10" s="52">
        <f>IFERROR(SUMIF(Issues!B:B, A10, Issues!H:H), 0)</f>
        <v>900</v>
      </c>
      <c r="H10" s="52">
        <f>IFERROR(SUMIF(Returns!B:B, A10, Returns!H:H), 0)</f>
        <v>203</v>
      </c>
      <c r="I10" s="3">
        <v>12720.0</v>
      </c>
      <c r="J10" s="3">
        <v>8.0</v>
      </c>
      <c r="K10" s="3">
        <v>108.0</v>
      </c>
      <c r="L10" s="53">
        <f t="shared" si="1"/>
        <v>546.1832061</v>
      </c>
      <c r="M10" s="52">
        <f t="shared" si="2"/>
        <v>697</v>
      </c>
      <c r="N10" s="54">
        <f t="shared" si="3"/>
        <v>150.8167939</v>
      </c>
      <c r="O10" s="54">
        <f t="shared" si="4"/>
        <v>24.13068702</v>
      </c>
    </row>
    <row r="11" ht="22.5" customHeight="1">
      <c r="A11" s="51" t="s">
        <v>88</v>
      </c>
      <c r="B11" s="14" t="s">
        <v>9</v>
      </c>
      <c r="C11" s="14">
        <v>80.0</v>
      </c>
      <c r="D11" s="7">
        <v>125.0</v>
      </c>
      <c r="E11" s="26">
        <v>515.0</v>
      </c>
      <c r="F11" s="26">
        <v>724.0</v>
      </c>
      <c r="G11" s="52">
        <f>IFERROR(SUMIF(Issues!B:B, A11, Issues!H:H), 0)</f>
        <v>1015</v>
      </c>
      <c r="H11" s="52">
        <f>IFERROR(SUMIF(Returns!B:B, A11, Returns!H:H), 0)</f>
        <v>290</v>
      </c>
      <c r="I11" s="3">
        <v>3150.0</v>
      </c>
      <c r="J11" s="3">
        <v>2.0</v>
      </c>
      <c r="K11" s="3">
        <v>108.0</v>
      </c>
      <c r="L11" s="53">
        <f t="shared" si="1"/>
        <v>541.0305344</v>
      </c>
      <c r="M11" s="52">
        <f t="shared" si="2"/>
        <v>725</v>
      </c>
      <c r="N11" s="54">
        <f t="shared" si="3"/>
        <v>183.9694656</v>
      </c>
      <c r="O11" s="54">
        <f t="shared" si="4"/>
        <v>22.99618321</v>
      </c>
    </row>
    <row r="12" ht="22.5" customHeight="1">
      <c r="A12" s="51" t="s">
        <v>90</v>
      </c>
      <c r="B12" s="14" t="s">
        <v>9</v>
      </c>
      <c r="C12" s="14">
        <v>80.0</v>
      </c>
      <c r="D12" s="7">
        <v>125.0</v>
      </c>
      <c r="E12" s="26">
        <v>687.0</v>
      </c>
      <c r="F12" s="26">
        <v>955.0</v>
      </c>
      <c r="G12" s="52">
        <f>IFERROR(SUMIF(Issues!B:B, A12, Issues!H:H), 0)</f>
        <v>2040</v>
      </c>
      <c r="H12" s="52">
        <f>IFERROR(SUMIF(Returns!B:B, A12, Returns!H:H), 0)</f>
        <v>1440</v>
      </c>
      <c r="I12" s="3">
        <v>4500.0</v>
      </c>
      <c r="J12" s="3">
        <v>2.0</v>
      </c>
      <c r="K12" s="3">
        <v>108.0</v>
      </c>
      <c r="L12" s="53">
        <f t="shared" si="1"/>
        <v>772.9007634</v>
      </c>
      <c r="M12" s="52">
        <f t="shared" si="2"/>
        <v>600</v>
      </c>
      <c r="N12" s="54">
        <f t="shared" si="3"/>
        <v>0</v>
      </c>
      <c r="O12" s="54">
        <f t="shared" si="4"/>
        <v>0</v>
      </c>
    </row>
    <row r="13" ht="22.5" customHeight="1">
      <c r="A13" s="51" t="s">
        <v>91</v>
      </c>
      <c r="B13" s="14" t="s">
        <v>9</v>
      </c>
      <c r="C13" s="14">
        <v>80.0</v>
      </c>
      <c r="D13" s="7">
        <v>125.0</v>
      </c>
      <c r="E13" s="26">
        <v>120.0</v>
      </c>
      <c r="F13" s="26">
        <v>259.0</v>
      </c>
      <c r="G13" s="52">
        <f>IFERROR(SUMIF(Issues!B:B, A13, Issues!H:H), 0)</f>
        <v>1440</v>
      </c>
      <c r="H13" s="52">
        <f>IFERROR(SUMIF(Returns!B:B, A13, Returns!H:H), 0)</f>
        <v>1180</v>
      </c>
      <c r="I13" s="3">
        <v>700.0</v>
      </c>
      <c r="J13" s="3">
        <v>2.0</v>
      </c>
      <c r="K13" s="3">
        <v>108.0</v>
      </c>
      <c r="L13" s="53">
        <f t="shared" si="1"/>
        <v>120.2290076</v>
      </c>
      <c r="M13" s="52">
        <f t="shared" si="2"/>
        <v>260</v>
      </c>
      <c r="N13" s="54">
        <f t="shared" si="3"/>
        <v>139.7709924</v>
      </c>
      <c r="O13" s="54">
        <f t="shared" si="4"/>
        <v>17.47137405</v>
      </c>
    </row>
    <row r="14" ht="22.5" customHeight="1">
      <c r="A14" s="51" t="s">
        <v>92</v>
      </c>
      <c r="B14" s="14" t="s">
        <v>9</v>
      </c>
      <c r="C14" s="14">
        <v>80.0</v>
      </c>
      <c r="D14" s="7">
        <v>125.0</v>
      </c>
      <c r="E14" s="26">
        <v>93.0</v>
      </c>
      <c r="F14" s="26">
        <v>272.0</v>
      </c>
      <c r="G14" s="52">
        <f>IFERROR(SUMIF(Issues!B:B, A14, Issues!H:H), 0)</f>
        <v>1180</v>
      </c>
      <c r="H14" s="52">
        <f>IFERROR(SUMIF(Returns!B:B, A14, Returns!H:H), 0)</f>
        <v>900</v>
      </c>
      <c r="I14" s="3">
        <v>540.0</v>
      </c>
      <c r="J14" s="3">
        <v>2.0</v>
      </c>
      <c r="K14" s="3">
        <v>108.0</v>
      </c>
      <c r="L14" s="53">
        <f t="shared" si="1"/>
        <v>92.7480916</v>
      </c>
      <c r="M14" s="52">
        <f t="shared" si="2"/>
        <v>280</v>
      </c>
      <c r="N14" s="54">
        <f t="shared" si="3"/>
        <v>187.2519084</v>
      </c>
      <c r="O14" s="54">
        <f t="shared" si="4"/>
        <v>23.40648855</v>
      </c>
    </row>
    <row r="15" ht="22.5" customHeight="1">
      <c r="A15" s="51" t="s">
        <v>93</v>
      </c>
      <c r="B15" s="14" t="s">
        <v>9</v>
      </c>
      <c r="C15" s="14">
        <v>80.0</v>
      </c>
      <c r="D15" s="7">
        <v>150.0</v>
      </c>
      <c r="E15" s="26">
        <v>2679.0</v>
      </c>
      <c r="F15" s="26">
        <v>3215.0</v>
      </c>
      <c r="G15" s="52">
        <f>IFERROR(SUMIF(Issues!B:B, A15, Issues!H:H), 0)</f>
        <v>4000</v>
      </c>
      <c r="H15" s="52">
        <f>IFERROR(SUMIF(Returns!B:B, A15, Returns!H:H), 0)</f>
        <v>780</v>
      </c>
      <c r="I15" s="3">
        <v>2675.0</v>
      </c>
      <c r="J15" s="3">
        <v>1.0</v>
      </c>
      <c r="K15" s="3">
        <v>81.0</v>
      </c>
      <c r="L15" s="53">
        <f t="shared" si="1"/>
        <v>689.1698473</v>
      </c>
      <c r="M15" s="52">
        <f t="shared" si="2"/>
        <v>3220</v>
      </c>
      <c r="N15" s="54">
        <f t="shared" si="3"/>
        <v>2530.830153</v>
      </c>
      <c r="O15" s="54">
        <f t="shared" si="4"/>
        <v>379.6245229</v>
      </c>
    </row>
    <row r="16" ht="22.5" customHeight="1">
      <c r="A16" s="51" t="s">
        <v>94</v>
      </c>
      <c r="B16" s="14" t="s">
        <v>9</v>
      </c>
      <c r="C16" s="14">
        <v>80.0</v>
      </c>
      <c r="D16" s="7">
        <v>160.0</v>
      </c>
      <c r="E16" s="26">
        <v>849.0</v>
      </c>
      <c r="F16" s="26">
        <v>1059.0</v>
      </c>
      <c r="G16" s="52">
        <f>IFERROR(SUMIF(Issues!B:B, A16, Issues!H:H), 0)</f>
        <v>1900</v>
      </c>
      <c r="H16" s="52">
        <f>IFERROR(SUMIF(Returns!B:B, A16, Returns!H:H), 0)</f>
        <v>840</v>
      </c>
      <c r="I16" s="3">
        <v>3150.0</v>
      </c>
      <c r="J16" s="3">
        <v>1.0</v>
      </c>
      <c r="K16" s="3">
        <v>89.0</v>
      </c>
      <c r="L16" s="53">
        <f t="shared" si="1"/>
        <v>891.6984733</v>
      </c>
      <c r="M16" s="52">
        <f t="shared" si="2"/>
        <v>1060</v>
      </c>
      <c r="N16" s="54">
        <f t="shared" si="3"/>
        <v>168.3015267</v>
      </c>
      <c r="O16" s="54">
        <f t="shared" si="4"/>
        <v>26.92824427</v>
      </c>
    </row>
    <row r="17" ht="22.5" customHeight="1">
      <c r="A17" s="51" t="s">
        <v>95</v>
      </c>
      <c r="B17" s="14" t="s">
        <v>9</v>
      </c>
      <c r="C17" s="14">
        <v>80.0</v>
      </c>
      <c r="D17" s="7">
        <v>185.0</v>
      </c>
      <c r="E17" s="51">
        <v>1132.0</v>
      </c>
      <c r="F17" s="51">
        <v>1327.0</v>
      </c>
      <c r="G17" s="52">
        <f>IFERROR(SUMIF(Issues!B:B, A17, Issues!H:H), 0)</f>
        <v>2450</v>
      </c>
      <c r="H17" s="52">
        <f>IFERROR(SUMIF(Returns!B:B, A17, Returns!H:H), 0)</f>
        <v>1100</v>
      </c>
      <c r="I17" s="3">
        <v>4300.0</v>
      </c>
      <c r="J17" s="3">
        <v>1.0</v>
      </c>
      <c r="K17" s="3">
        <v>89.0</v>
      </c>
      <c r="L17" s="53">
        <f t="shared" si="1"/>
        <v>1217.239186</v>
      </c>
      <c r="M17" s="52">
        <f t="shared" si="2"/>
        <v>1350</v>
      </c>
      <c r="N17" s="54">
        <f t="shared" si="3"/>
        <v>132.7608142</v>
      </c>
      <c r="O17" s="54">
        <f t="shared" si="4"/>
        <v>24.56075064</v>
      </c>
    </row>
    <row r="18" ht="22.5" customHeight="1">
      <c r="A18" s="51" t="s">
        <v>96</v>
      </c>
      <c r="B18" s="14" t="s">
        <v>9</v>
      </c>
      <c r="C18" s="14">
        <v>80.0</v>
      </c>
      <c r="D18" s="7">
        <v>125.0</v>
      </c>
      <c r="E18" s="26">
        <v>73.0</v>
      </c>
      <c r="F18" s="26">
        <v>561.0</v>
      </c>
      <c r="G18" s="52">
        <f>IFERROR(SUMIF(Issues!B:B, A18, Issues!H:H), 0)</f>
        <v>600</v>
      </c>
      <c r="H18" s="52">
        <f>IFERROR(SUMIF(Returns!B:B, A18, Returns!H:H), 0)</f>
        <v>0</v>
      </c>
      <c r="I18" s="3">
        <v>2900.0</v>
      </c>
      <c r="J18" s="3">
        <v>9.0</v>
      </c>
      <c r="K18" s="3">
        <v>85.0</v>
      </c>
      <c r="L18" s="53">
        <f t="shared" si="1"/>
        <v>87.11478654</v>
      </c>
      <c r="M18" s="52">
        <f t="shared" si="2"/>
        <v>600</v>
      </c>
      <c r="N18" s="54">
        <f t="shared" si="3"/>
        <v>512.8852135</v>
      </c>
      <c r="O18" s="54">
        <f t="shared" si="4"/>
        <v>64.11065168</v>
      </c>
    </row>
    <row r="19" ht="22.5" customHeight="1">
      <c r="A19" s="51" t="s">
        <v>98</v>
      </c>
      <c r="B19" s="14" t="s">
        <v>9</v>
      </c>
      <c r="C19" s="14">
        <v>80.0</v>
      </c>
      <c r="D19" s="7">
        <v>130.0</v>
      </c>
      <c r="E19" s="26">
        <v>878.0</v>
      </c>
      <c r="F19" s="26">
        <v>1190.0</v>
      </c>
      <c r="G19" s="52">
        <f>IFERROR(SUMIF(Issues!B:B, A19, Issues!H:H), 0)</f>
        <v>1600</v>
      </c>
      <c r="H19" s="52">
        <f>IFERROR(SUMIF(Returns!B:B, A19, Returns!H:H), 0)</f>
        <v>400</v>
      </c>
      <c r="I19" s="3">
        <v>4750.0</v>
      </c>
      <c r="J19" s="3">
        <v>1.0</v>
      </c>
      <c r="K19" s="3">
        <v>69.0</v>
      </c>
      <c r="L19" s="53">
        <f t="shared" si="1"/>
        <v>1042.461832</v>
      </c>
      <c r="M19" s="52">
        <f t="shared" si="2"/>
        <v>1200</v>
      </c>
      <c r="N19" s="54">
        <f t="shared" si="3"/>
        <v>157.5381679</v>
      </c>
      <c r="O19" s="54">
        <f t="shared" si="4"/>
        <v>20.47996183</v>
      </c>
    </row>
    <row r="20" ht="22.5" customHeight="1">
      <c r="A20" s="51" t="s">
        <v>100</v>
      </c>
      <c r="B20" s="14" t="s">
        <v>9</v>
      </c>
      <c r="C20" s="14">
        <v>80.0</v>
      </c>
      <c r="D20" s="7">
        <v>229.0</v>
      </c>
      <c r="E20" s="26">
        <v>394.0</v>
      </c>
      <c r="F20" s="26">
        <v>580.0</v>
      </c>
      <c r="G20" s="52">
        <f>IFERROR(SUMIF(Issues!B:B, A20, Issues!H:H), 0)</f>
        <v>1530</v>
      </c>
      <c r="H20" s="52">
        <f>IFERROR(SUMIF(Returns!B:B, A20, Returns!H:H), 0)</f>
        <v>950</v>
      </c>
      <c r="I20" s="3">
        <v>6510.0</v>
      </c>
      <c r="J20" s="3">
        <v>6.0</v>
      </c>
      <c r="K20" s="3">
        <v>124.0</v>
      </c>
      <c r="L20" s="53">
        <f t="shared" si="1"/>
        <v>427.9262087</v>
      </c>
      <c r="M20" s="52">
        <f t="shared" si="2"/>
        <v>580</v>
      </c>
      <c r="N20" s="54">
        <f t="shared" si="3"/>
        <v>152.0737913</v>
      </c>
      <c r="O20" s="54">
        <f t="shared" si="4"/>
        <v>34.82489822</v>
      </c>
    </row>
    <row r="21" ht="22.5" customHeight="1">
      <c r="A21" s="51" t="s">
        <v>101</v>
      </c>
      <c r="B21" s="14" t="s">
        <v>9</v>
      </c>
      <c r="C21" s="14">
        <v>80.0</v>
      </c>
      <c r="D21" s="7">
        <v>229.0</v>
      </c>
      <c r="E21" s="26">
        <v>394.0</v>
      </c>
      <c r="F21" s="26">
        <v>550.0</v>
      </c>
      <c r="G21" s="52">
        <f>IFERROR(SUMIF(Issues!B:B, A21, Issues!H:H), 0)</f>
        <v>950</v>
      </c>
      <c r="H21" s="52">
        <f>IFERROR(SUMIF(Returns!B:B, A21, Returns!H:H), 0)</f>
        <v>400</v>
      </c>
      <c r="I21" s="3">
        <v>5550.0</v>
      </c>
      <c r="J21" s="3">
        <v>6.0</v>
      </c>
      <c r="K21" s="3">
        <v>124.0</v>
      </c>
      <c r="L21" s="53">
        <f t="shared" si="1"/>
        <v>364.821883</v>
      </c>
      <c r="M21" s="52">
        <f t="shared" si="2"/>
        <v>550</v>
      </c>
      <c r="N21" s="54">
        <f t="shared" si="3"/>
        <v>185.178117</v>
      </c>
      <c r="O21" s="54">
        <f t="shared" si="4"/>
        <v>42.4057888</v>
      </c>
    </row>
    <row r="22" ht="22.5" customHeight="1">
      <c r="A22" s="51" t="s">
        <v>102</v>
      </c>
      <c r="B22" s="14" t="s">
        <v>9</v>
      </c>
      <c r="C22" s="14">
        <v>80.0</v>
      </c>
      <c r="D22" s="7">
        <v>260.0</v>
      </c>
      <c r="E22" s="51">
        <v>1887.0</v>
      </c>
      <c r="F22" s="26">
        <v>2560.0</v>
      </c>
      <c r="G22" s="52">
        <f>IFERROR(SUMIF(Issues!B:B, A22, Issues!H:H), 0)</f>
        <v>3150</v>
      </c>
      <c r="H22" s="52">
        <f>IFERROR(SUMIF(Returns!B:B, A22, Returns!H:H), 0)</f>
        <v>590</v>
      </c>
      <c r="I22" s="3">
        <v>22500.0</v>
      </c>
      <c r="J22" s="3">
        <v>3.0</v>
      </c>
      <c r="K22" s="3">
        <v>89.0</v>
      </c>
      <c r="L22" s="53">
        <f t="shared" si="1"/>
        <v>2123.091603</v>
      </c>
      <c r="M22" s="52">
        <f t="shared" si="2"/>
        <v>2560</v>
      </c>
      <c r="N22" s="54">
        <f t="shared" si="3"/>
        <v>436.9083969</v>
      </c>
      <c r="O22" s="54">
        <f t="shared" si="4"/>
        <v>113.5961832</v>
      </c>
    </row>
    <row r="23" ht="22.5" customHeight="1">
      <c r="A23" s="51" t="s">
        <v>103</v>
      </c>
      <c r="B23" s="14" t="s">
        <v>9</v>
      </c>
      <c r="C23" s="14">
        <v>80.0</v>
      </c>
      <c r="D23" s="7">
        <v>170.0</v>
      </c>
      <c r="E23" s="26">
        <v>349.0</v>
      </c>
      <c r="F23" s="26">
        <v>506.0</v>
      </c>
      <c r="G23" s="52">
        <f>IFERROR(SUMIF(Issues!B:B, A23, Issues!H:H), 0)</f>
        <v>1650</v>
      </c>
      <c r="H23" s="52">
        <f>IFERROR(SUMIF(Returns!B:B, A23, Returns!H:H), 0)</f>
        <v>1100</v>
      </c>
      <c r="I23" s="3">
        <v>7320.0</v>
      </c>
      <c r="J23" s="3">
        <v>6.0</v>
      </c>
      <c r="K23" s="3">
        <v>94.0</v>
      </c>
      <c r="L23" s="53">
        <f t="shared" si="1"/>
        <v>364.7582697</v>
      </c>
      <c r="M23" s="52">
        <f t="shared" si="2"/>
        <v>550</v>
      </c>
      <c r="N23" s="54">
        <f t="shared" si="3"/>
        <v>185.2417303</v>
      </c>
      <c r="O23" s="54">
        <f t="shared" si="4"/>
        <v>31.49109415</v>
      </c>
    </row>
    <row r="24" ht="22.5" customHeight="1">
      <c r="A24" s="51" t="s">
        <v>104</v>
      </c>
      <c r="B24" s="14" t="s">
        <v>9</v>
      </c>
      <c r="C24" s="14">
        <v>80.0</v>
      </c>
      <c r="D24" s="7">
        <v>125.0</v>
      </c>
      <c r="E24" s="26">
        <v>687.0</v>
      </c>
      <c r="F24" s="26">
        <v>974.0</v>
      </c>
      <c r="G24" s="52">
        <f>IFERROR(SUMIF(Issues!B:B, A24, Issues!H:H), 0)</f>
        <v>2600</v>
      </c>
      <c r="H24" s="52">
        <f>IFERROR(SUMIF(Returns!B:B, A24, Returns!H:H), 0)</f>
        <v>1620</v>
      </c>
      <c r="I24" s="3">
        <v>4510.0</v>
      </c>
      <c r="J24" s="3">
        <v>2.0</v>
      </c>
      <c r="K24" s="3">
        <v>108.0</v>
      </c>
      <c r="L24" s="53">
        <f t="shared" si="1"/>
        <v>774.6183206</v>
      </c>
      <c r="M24" s="52">
        <f t="shared" si="2"/>
        <v>980</v>
      </c>
      <c r="N24" s="54">
        <f t="shared" si="3"/>
        <v>205.3816794</v>
      </c>
      <c r="O24" s="54">
        <f t="shared" si="4"/>
        <v>25.67270992</v>
      </c>
    </row>
    <row r="25" ht="22.5" customHeight="1">
      <c r="A25" s="51" t="s">
        <v>105</v>
      </c>
      <c r="B25" s="14" t="s">
        <v>9</v>
      </c>
      <c r="C25" s="14">
        <v>80.0</v>
      </c>
      <c r="D25" s="7">
        <v>185.0</v>
      </c>
      <c r="E25" s="26">
        <v>573.0</v>
      </c>
      <c r="F25" s="26">
        <v>1000.0</v>
      </c>
      <c r="G25" s="52">
        <f>IFERROR(SUMIF(Issues!B:B, A25, Issues!H:H), 0)</f>
        <v>2400</v>
      </c>
      <c r="H25" s="52">
        <f>IFERROR(SUMIF(Returns!B:B, A25, Returns!H:H), 0)</f>
        <v>1400</v>
      </c>
      <c r="I25" s="3">
        <v>15750.0</v>
      </c>
      <c r="J25" s="3">
        <v>6.0</v>
      </c>
      <c r="K25" s="3">
        <v>72.0</v>
      </c>
      <c r="L25" s="53">
        <f t="shared" si="1"/>
        <v>601.1450382</v>
      </c>
      <c r="M25" s="52">
        <f t="shared" si="2"/>
        <v>1000</v>
      </c>
      <c r="N25" s="54">
        <f t="shared" si="3"/>
        <v>398.8549618</v>
      </c>
      <c r="O25" s="54">
        <f t="shared" si="4"/>
        <v>73.78816794</v>
      </c>
    </row>
    <row r="26" ht="22.5" customHeight="1">
      <c r="A26" s="51" t="s">
        <v>107</v>
      </c>
      <c r="B26" s="14" t="s">
        <v>9</v>
      </c>
      <c r="C26" s="14">
        <v>80.0</v>
      </c>
      <c r="D26" s="7">
        <v>185.0</v>
      </c>
      <c r="E26" s="26">
        <v>573.0</v>
      </c>
      <c r="F26" s="26">
        <v>740.0</v>
      </c>
      <c r="G26" s="52">
        <f>IFERROR(SUMIF(Issues!B:B, A26, Issues!H:H), 0)</f>
        <v>1400</v>
      </c>
      <c r="H26" s="52">
        <f>IFERROR(SUMIF(Returns!B:B, A26, Returns!H:H), 0)</f>
        <v>650</v>
      </c>
      <c r="I26" s="3">
        <v>15500.0</v>
      </c>
      <c r="J26" s="3">
        <v>6.0</v>
      </c>
      <c r="K26" s="3">
        <v>72.0</v>
      </c>
      <c r="L26" s="53">
        <f t="shared" si="1"/>
        <v>591.6030534</v>
      </c>
      <c r="M26" s="52">
        <f t="shared" si="2"/>
        <v>750</v>
      </c>
      <c r="N26" s="54">
        <f t="shared" si="3"/>
        <v>158.3969466</v>
      </c>
      <c r="O26" s="54">
        <f t="shared" si="4"/>
        <v>29.30343511</v>
      </c>
    </row>
    <row r="27" ht="22.5" customHeight="1">
      <c r="A27" s="51" t="s">
        <v>108</v>
      </c>
      <c r="B27" s="14" t="s">
        <v>43</v>
      </c>
      <c r="C27" s="14">
        <v>50.0</v>
      </c>
      <c r="D27" s="7">
        <v>165.0</v>
      </c>
      <c r="E27" s="26">
        <v>12595.0</v>
      </c>
      <c r="F27" s="26">
        <v>14000.0</v>
      </c>
      <c r="G27" s="52">
        <f>IFERROR(SUMIF(Issues!B:B, A27, Issues!H:H), 0)</f>
        <v>12595</v>
      </c>
      <c r="H27" s="52">
        <f>IFERROR(SUMIF(Returns!B:B, A27, Returns!H:H), 0)</f>
        <v>0</v>
      </c>
      <c r="I27" s="3">
        <v>31500.0</v>
      </c>
      <c r="J27" s="3">
        <v>1.0</v>
      </c>
      <c r="K27" s="3">
        <v>132.0</v>
      </c>
      <c r="L27" s="53">
        <f t="shared" si="1"/>
        <v>13225.19084</v>
      </c>
      <c r="M27" s="52">
        <f t="shared" si="2"/>
        <v>12595</v>
      </c>
      <c r="N27" s="54">
        <f t="shared" si="3"/>
        <v>0</v>
      </c>
      <c r="O27" s="54">
        <f t="shared" si="4"/>
        <v>0</v>
      </c>
    </row>
    <row r="28" ht="22.5" customHeight="1">
      <c r="A28" s="51" t="s">
        <v>110</v>
      </c>
      <c r="B28" s="14" t="s">
        <v>9</v>
      </c>
      <c r="C28" s="14">
        <v>80.0</v>
      </c>
      <c r="D28" s="7">
        <v>140.0</v>
      </c>
      <c r="E28" s="26">
        <v>4389.0</v>
      </c>
      <c r="F28" s="26">
        <v>4980.0</v>
      </c>
      <c r="G28" s="52">
        <f>IFERROR(SUMIF(Issues!B:B, A28, Issues!H:H), 0)</f>
        <v>5740</v>
      </c>
      <c r="H28" s="52">
        <f>IFERROR(SUMIF(Returns!B:B, A28, Returns!H:H), 0)</f>
        <v>750</v>
      </c>
      <c r="I28" s="3">
        <v>21580.0</v>
      </c>
      <c r="J28" s="3">
        <v>1.0</v>
      </c>
      <c r="K28" s="3">
        <v>69.0</v>
      </c>
      <c r="L28" s="53">
        <f t="shared" si="1"/>
        <v>4736.068702</v>
      </c>
      <c r="M28" s="52">
        <f t="shared" si="2"/>
        <v>4990</v>
      </c>
      <c r="N28" s="54">
        <f t="shared" si="3"/>
        <v>253.9312977</v>
      </c>
      <c r="O28" s="54">
        <f t="shared" si="4"/>
        <v>35.55038168</v>
      </c>
    </row>
    <row r="29" ht="22.5" customHeight="1">
      <c r="A29" s="51" t="s">
        <v>111</v>
      </c>
      <c r="B29" s="14" t="s">
        <v>9</v>
      </c>
      <c r="C29" s="14">
        <v>80.0</v>
      </c>
      <c r="D29" s="7">
        <v>160.0</v>
      </c>
      <c r="E29" s="26">
        <v>5662.0</v>
      </c>
      <c r="F29" s="26">
        <v>6400.0</v>
      </c>
      <c r="G29" s="52">
        <f>IFERROR(SUMIF(Issues!B:B, A29, Issues!H:H), 0)</f>
        <v>7840</v>
      </c>
      <c r="H29" s="52">
        <f>IFERROR(SUMIF(Returns!B:B, A29, Returns!H:H), 0)</f>
        <v>1400</v>
      </c>
      <c r="I29" s="3">
        <v>21450.0</v>
      </c>
      <c r="J29" s="3">
        <v>1.0</v>
      </c>
      <c r="K29" s="3">
        <v>89.0</v>
      </c>
      <c r="L29" s="53">
        <f t="shared" si="1"/>
        <v>6072.041985</v>
      </c>
      <c r="M29" s="52">
        <f t="shared" si="2"/>
        <v>6440</v>
      </c>
      <c r="N29" s="54">
        <f t="shared" si="3"/>
        <v>367.9580153</v>
      </c>
      <c r="O29" s="54">
        <f t="shared" si="4"/>
        <v>58.87328244</v>
      </c>
    </row>
    <row r="30" ht="22.5" customHeight="1">
      <c r="A30" s="51" t="s">
        <v>112</v>
      </c>
      <c r="B30" s="14" t="s">
        <v>9</v>
      </c>
      <c r="C30" s="14">
        <v>80.0</v>
      </c>
      <c r="D30" s="7">
        <v>185.0</v>
      </c>
      <c r="E30" s="26">
        <v>4246.0</v>
      </c>
      <c r="F30" s="26">
        <v>4740.0</v>
      </c>
      <c r="G30" s="52">
        <f>IFERROR(SUMIF(Issues!B:B, A30, Issues!H:H), 0)</f>
        <v>6270</v>
      </c>
      <c r="H30" s="52">
        <f>IFERROR(SUMIF(Returns!B:B, A30, Returns!H:H), 0)</f>
        <v>1100</v>
      </c>
      <c r="I30" s="3">
        <v>14950.0</v>
      </c>
      <c r="J30" s="3">
        <v>1.0</v>
      </c>
      <c r="K30" s="3">
        <v>89.0</v>
      </c>
      <c r="L30" s="53">
        <f t="shared" si="1"/>
        <v>4232.029262</v>
      </c>
      <c r="M30" s="52">
        <f t="shared" si="2"/>
        <v>5170</v>
      </c>
      <c r="N30" s="54">
        <f t="shared" si="3"/>
        <v>937.9707379</v>
      </c>
      <c r="O30" s="54">
        <f t="shared" si="4"/>
        <v>173.5245865</v>
      </c>
    </row>
    <row r="31" ht="22.5" customHeight="1">
      <c r="A31" s="51" t="s">
        <v>113</v>
      </c>
      <c r="B31" s="14" t="s">
        <v>9</v>
      </c>
      <c r="C31" s="14">
        <v>80.0</v>
      </c>
      <c r="D31" s="7">
        <v>140.0</v>
      </c>
      <c r="E31" s="26">
        <v>3292.0</v>
      </c>
      <c r="F31" s="26">
        <v>3650.0</v>
      </c>
      <c r="G31" s="52">
        <f>IFERROR(SUMIF(Issues!B:B, A31, Issues!H:H), 0)</f>
        <v>3800</v>
      </c>
      <c r="H31" s="52">
        <f>IFERROR(SUMIF(Returns!B:B, A31, Returns!H:H), 0)</f>
        <v>100</v>
      </c>
      <c r="I31" s="3">
        <v>16000.0</v>
      </c>
      <c r="J31" s="3">
        <v>1.0</v>
      </c>
      <c r="K31" s="3">
        <v>69.0</v>
      </c>
      <c r="L31" s="53">
        <f t="shared" si="1"/>
        <v>3511.450382</v>
      </c>
      <c r="M31" s="52">
        <f t="shared" si="2"/>
        <v>3700</v>
      </c>
      <c r="N31" s="54">
        <f t="shared" si="3"/>
        <v>188.5496183</v>
      </c>
      <c r="O31" s="54">
        <f t="shared" si="4"/>
        <v>26.39694656</v>
      </c>
    </row>
    <row r="32" ht="22.5" customHeight="1">
      <c r="A32" s="51" t="s">
        <v>114</v>
      </c>
      <c r="B32" s="14" t="s">
        <v>9</v>
      </c>
      <c r="C32" s="14">
        <v>80.0</v>
      </c>
      <c r="D32" s="7">
        <v>185.0</v>
      </c>
      <c r="E32" s="26">
        <v>2864.0</v>
      </c>
      <c r="F32" s="26">
        <v>3250.0</v>
      </c>
      <c r="G32" s="52">
        <f>IFERROR(SUMIF(Issues!B:B, A32, Issues!H:H), 0)</f>
        <v>4260</v>
      </c>
      <c r="H32" s="52">
        <f>IFERROR(SUMIF(Returns!B:B, A32, Returns!H:H), 0)</f>
        <v>1010</v>
      </c>
      <c r="I32" s="3">
        <v>26600.0</v>
      </c>
      <c r="J32" s="3">
        <v>2.0</v>
      </c>
      <c r="K32" s="3">
        <v>72.0</v>
      </c>
      <c r="L32" s="53">
        <f t="shared" si="1"/>
        <v>3045.801527</v>
      </c>
      <c r="M32" s="52">
        <f t="shared" si="2"/>
        <v>3250</v>
      </c>
      <c r="N32" s="54">
        <f t="shared" si="3"/>
        <v>204.1984733</v>
      </c>
      <c r="O32" s="54">
        <f t="shared" si="4"/>
        <v>37.77671756</v>
      </c>
    </row>
    <row r="33" ht="22.5" customHeight="1">
      <c r="A33" s="51" t="s">
        <v>115</v>
      </c>
      <c r="B33" s="14" t="s">
        <v>9</v>
      </c>
      <c r="C33" s="14">
        <v>80.0</v>
      </c>
      <c r="D33" s="7">
        <v>230.0</v>
      </c>
      <c r="E33" s="26">
        <v>657.0</v>
      </c>
      <c r="F33" s="26">
        <v>875.0</v>
      </c>
      <c r="G33" s="52">
        <f>IFERROR(SUMIF(Issues!B:B, A33, Issues!H:H), 0)</f>
        <v>1530</v>
      </c>
      <c r="H33" s="52">
        <f>IFERROR(SUMIF(Returns!B:B, A33, Returns!H:H), 0)</f>
        <v>650</v>
      </c>
      <c r="I33" s="3">
        <v>9870.0</v>
      </c>
      <c r="J33" s="3">
        <v>6.0</v>
      </c>
      <c r="K33" s="3">
        <v>124.0</v>
      </c>
      <c r="L33" s="53">
        <f t="shared" si="1"/>
        <v>648.7913486</v>
      </c>
      <c r="M33" s="52">
        <f t="shared" si="2"/>
        <v>880</v>
      </c>
      <c r="N33" s="54">
        <f t="shared" si="3"/>
        <v>231.2086514</v>
      </c>
      <c r="O33" s="54">
        <f t="shared" si="4"/>
        <v>53.17798982</v>
      </c>
    </row>
    <row r="34" ht="22.5" customHeight="1">
      <c r="A34" s="51" t="s">
        <v>116</v>
      </c>
      <c r="B34" s="14" t="s">
        <v>9</v>
      </c>
      <c r="C34" s="14">
        <v>80.0</v>
      </c>
      <c r="D34" s="7">
        <v>195.0</v>
      </c>
      <c r="E34" s="26">
        <v>1314.0</v>
      </c>
      <c r="F34" s="26">
        <v>1496.0</v>
      </c>
      <c r="G34" s="52">
        <f>IFERROR(SUMIF(Issues!B:B, A34, Issues!H:H), 0)</f>
        <v>1650</v>
      </c>
      <c r="H34" s="52">
        <f>IFERROR(SUMIF(Returns!B:B, A34, Returns!H:H), 0)</f>
        <v>150</v>
      </c>
      <c r="I34" s="3">
        <v>24050.0</v>
      </c>
      <c r="J34" s="3">
        <v>6.0</v>
      </c>
      <c r="K34" s="3">
        <v>124.0</v>
      </c>
      <c r="L34" s="53">
        <f t="shared" si="1"/>
        <v>1580.894826</v>
      </c>
      <c r="M34" s="52">
        <f t="shared" si="2"/>
        <v>1500</v>
      </c>
      <c r="N34" s="54">
        <f t="shared" si="3"/>
        <v>0</v>
      </c>
      <c r="O34" s="54">
        <f t="shared" si="4"/>
        <v>0</v>
      </c>
    </row>
    <row r="35" ht="22.5" customHeight="1">
      <c r="A35" s="51" t="s">
        <v>117</v>
      </c>
      <c r="B35" s="14" t="s">
        <v>9</v>
      </c>
      <c r="C35" s="14">
        <v>80.0</v>
      </c>
      <c r="D35" s="7">
        <v>160.0</v>
      </c>
      <c r="E35" s="26">
        <v>49.0</v>
      </c>
      <c r="F35" s="26">
        <v>505.0</v>
      </c>
      <c r="G35" s="52">
        <f>IFERROR(SUMIF(Issues!B:B, A35, Issues!H:H), 0)</f>
        <v>2000</v>
      </c>
      <c r="H35" s="52">
        <f>IFERROR(SUMIF(Returns!B:B, A35, Returns!H:H), 0)</f>
        <v>1490</v>
      </c>
      <c r="I35" s="3">
        <v>5450.0</v>
      </c>
      <c r="J35" s="3">
        <v>28.0</v>
      </c>
      <c r="K35" s="3">
        <v>72.0</v>
      </c>
      <c r="L35" s="53">
        <f t="shared" si="1"/>
        <v>44.57470011</v>
      </c>
      <c r="M35" s="52">
        <f t="shared" si="2"/>
        <v>510</v>
      </c>
      <c r="N35" s="54">
        <f t="shared" si="3"/>
        <v>465.4252999</v>
      </c>
      <c r="O35" s="54">
        <f t="shared" si="4"/>
        <v>74.46804798</v>
      </c>
    </row>
    <row r="36" ht="22.5" customHeight="1">
      <c r="A36" s="51" t="s">
        <v>119</v>
      </c>
      <c r="B36" s="14" t="s">
        <v>42</v>
      </c>
      <c r="C36" s="14">
        <v>50.0</v>
      </c>
      <c r="D36" s="7">
        <v>215.0</v>
      </c>
      <c r="E36" s="55">
        <v>2999.0</v>
      </c>
      <c r="F36" s="55">
        <v>2950.0</v>
      </c>
      <c r="G36" s="52">
        <f>IFERROR(SUMIF(Issues!B:B, A36, Issues!H:H), 0)</f>
        <v>3000</v>
      </c>
      <c r="H36" s="52">
        <f>IFERROR(SUMIF(Returns!B:B, A36, Returns!H:H), 0)</f>
        <v>0</v>
      </c>
      <c r="I36" s="3">
        <v>51600.0</v>
      </c>
      <c r="J36" s="3">
        <v>6.0</v>
      </c>
      <c r="K36" s="3">
        <v>92.0</v>
      </c>
      <c r="L36" s="53">
        <f t="shared" si="1"/>
        <v>2516.53944</v>
      </c>
      <c r="M36" s="52">
        <f t="shared" si="2"/>
        <v>3000</v>
      </c>
      <c r="N36" s="54">
        <f t="shared" si="3"/>
        <v>483.4605598</v>
      </c>
      <c r="O36" s="54">
        <f t="shared" si="4"/>
        <v>103.9440204</v>
      </c>
    </row>
    <row r="37" ht="22.5" customHeight="1">
      <c r="A37" s="51" t="s">
        <v>121</v>
      </c>
      <c r="B37" s="14" t="s">
        <v>42</v>
      </c>
      <c r="C37" s="14">
        <v>50.0</v>
      </c>
      <c r="D37" s="7">
        <v>225.0</v>
      </c>
      <c r="E37" s="56">
        <v>3015.0</v>
      </c>
      <c r="F37" s="56">
        <v>3015.0</v>
      </c>
      <c r="G37" s="52">
        <f>IFERROR(SUMIF(Issues!B:B, A37, Issues!H:H), 0)</f>
        <v>3000</v>
      </c>
      <c r="H37" s="52">
        <f>IFERROR(SUMIF(Returns!B:B, A37, Returns!H:H), 0)</f>
        <v>0</v>
      </c>
      <c r="I37" s="3">
        <v>61800.0</v>
      </c>
      <c r="J37" s="3">
        <v>6.0</v>
      </c>
      <c r="K37" s="3">
        <v>79.0</v>
      </c>
      <c r="L37" s="53">
        <f t="shared" si="1"/>
        <v>2588.104326</v>
      </c>
      <c r="M37" s="52">
        <f t="shared" si="2"/>
        <v>3000</v>
      </c>
      <c r="N37" s="54">
        <f t="shared" si="3"/>
        <v>411.8956743</v>
      </c>
      <c r="O37" s="54">
        <f t="shared" si="4"/>
        <v>92.67652672</v>
      </c>
    </row>
    <row r="38" ht="22.5" customHeight="1">
      <c r="A38" s="51" t="s">
        <v>122</v>
      </c>
      <c r="B38" s="14" t="s">
        <v>9</v>
      </c>
      <c r="C38" s="14">
        <v>80.0</v>
      </c>
      <c r="D38" s="7">
        <v>180.0</v>
      </c>
      <c r="E38" s="26">
        <v>1024.0</v>
      </c>
      <c r="F38" s="26">
        <v>1530.0</v>
      </c>
      <c r="G38" s="52">
        <f>IFERROR(SUMIF(Issues!B:B, A38, Issues!H:H), 0)</f>
        <v>1700</v>
      </c>
      <c r="H38" s="52">
        <f>IFERROR(SUMIF(Returns!B:B, A38, Returns!H:H), 0)</f>
        <v>170</v>
      </c>
      <c r="I38" s="3">
        <v>3540.0</v>
      </c>
      <c r="J38" s="3">
        <v>1.0</v>
      </c>
      <c r="K38" s="3">
        <v>92.0</v>
      </c>
      <c r="L38" s="53">
        <f t="shared" si="1"/>
        <v>1035.877863</v>
      </c>
      <c r="M38" s="52">
        <f t="shared" si="2"/>
        <v>1530</v>
      </c>
      <c r="N38" s="54">
        <f t="shared" si="3"/>
        <v>494.1221374</v>
      </c>
      <c r="O38" s="54">
        <f t="shared" si="4"/>
        <v>88.94198473</v>
      </c>
    </row>
    <row r="39" ht="22.5" customHeight="1">
      <c r="A39" s="51" t="s">
        <v>123</v>
      </c>
      <c r="B39" s="14" t="s">
        <v>9</v>
      </c>
      <c r="C39" s="14">
        <v>80.0</v>
      </c>
      <c r="D39" s="7">
        <v>180.0</v>
      </c>
      <c r="E39" s="55">
        <v>735.0</v>
      </c>
      <c r="F39" s="55">
        <v>1285.0</v>
      </c>
      <c r="G39" s="52">
        <f>IFERROR(SUMIF(Issues!B:B, A39, Issues!H:H), 0)</f>
        <v>2000</v>
      </c>
      <c r="H39" s="52">
        <f>IFERROR(SUMIF(Returns!B:B, A39, Returns!H:H), 0)</f>
        <v>700</v>
      </c>
      <c r="I39" s="3">
        <v>3500.0</v>
      </c>
      <c r="J39" s="3">
        <v>1.0</v>
      </c>
      <c r="K39" s="3">
        <v>66.0</v>
      </c>
      <c r="L39" s="53">
        <f t="shared" si="1"/>
        <v>734.7328244</v>
      </c>
      <c r="M39" s="52">
        <f t="shared" si="2"/>
        <v>1300</v>
      </c>
      <c r="N39" s="54">
        <f t="shared" si="3"/>
        <v>565.2671756</v>
      </c>
      <c r="O39" s="54">
        <f t="shared" si="4"/>
        <v>101.7480916</v>
      </c>
    </row>
    <row r="40" ht="22.5" customHeight="1">
      <c r="A40" s="51" t="s">
        <v>124</v>
      </c>
      <c r="B40" s="14" t="s">
        <v>9</v>
      </c>
      <c r="C40" s="14">
        <v>80.0</v>
      </c>
      <c r="D40" s="7">
        <v>190.0</v>
      </c>
      <c r="E40" s="55">
        <v>495.0</v>
      </c>
      <c r="F40" s="55">
        <v>760.0</v>
      </c>
      <c r="G40" s="52">
        <f>IFERROR(SUMIF(Issues!B:B, A40, Issues!H:H), 0)</f>
        <v>2000</v>
      </c>
      <c r="H40" s="52">
        <f>IFERROR(SUMIF(Returns!B:B, A40, Returns!H:H), 0)</f>
        <v>1240</v>
      </c>
      <c r="I40" s="3">
        <v>6930.0</v>
      </c>
      <c r="J40" s="3">
        <v>4.0</v>
      </c>
      <c r="K40" s="3">
        <v>89.0</v>
      </c>
      <c r="L40" s="53">
        <f t="shared" si="1"/>
        <v>490.4341603</v>
      </c>
      <c r="M40" s="52">
        <f t="shared" si="2"/>
        <v>760</v>
      </c>
      <c r="N40" s="54">
        <f t="shared" si="3"/>
        <v>269.5658397</v>
      </c>
      <c r="O40" s="54">
        <f t="shared" si="4"/>
        <v>51.21750954</v>
      </c>
    </row>
    <row r="41" ht="22.5" customHeight="1">
      <c r="A41" s="51" t="s">
        <v>126</v>
      </c>
      <c r="B41" s="14" t="s">
        <v>9</v>
      </c>
      <c r="C41" s="14">
        <v>80.0</v>
      </c>
      <c r="D41" s="7">
        <v>290.0</v>
      </c>
      <c r="E41" s="55">
        <v>701.0</v>
      </c>
      <c r="F41" s="55">
        <v>975.0</v>
      </c>
      <c r="G41" s="52">
        <f>IFERROR(SUMIF(Issues!B:B, A41, Issues!H:H), 0)</f>
        <v>2040</v>
      </c>
      <c r="H41" s="52">
        <f>IFERROR(SUMIF(Returns!B:B, A41, Returns!H:H), 0)</f>
        <v>1020</v>
      </c>
      <c r="I41" s="3">
        <v>12000.0</v>
      </c>
      <c r="J41" s="3">
        <v>6.0</v>
      </c>
      <c r="K41" s="3">
        <v>116.0</v>
      </c>
      <c r="L41" s="53">
        <f t="shared" si="1"/>
        <v>737.913486</v>
      </c>
      <c r="M41" s="52">
        <f t="shared" si="2"/>
        <v>1020</v>
      </c>
      <c r="N41" s="54">
        <f t="shared" si="3"/>
        <v>282.086514</v>
      </c>
      <c r="O41" s="54">
        <f t="shared" si="4"/>
        <v>81.80508906</v>
      </c>
    </row>
    <row r="42" ht="22.5" customHeight="1">
      <c r="A42" s="51" t="s">
        <v>127</v>
      </c>
      <c r="B42" s="14" t="s">
        <v>9</v>
      </c>
      <c r="C42" s="14">
        <v>80.0</v>
      </c>
      <c r="D42" s="7">
        <v>210.0</v>
      </c>
      <c r="E42" s="55">
        <v>149.0</v>
      </c>
      <c r="F42" s="55">
        <v>390.0</v>
      </c>
      <c r="G42" s="52">
        <f>IFERROR(SUMIF(Issues!B:B, A42, Issues!H:H), 0)</f>
        <v>1300</v>
      </c>
      <c r="H42" s="52">
        <f>IFERROR(SUMIF(Returns!B:B, A42, Returns!H:H), 0)</f>
        <v>900</v>
      </c>
      <c r="I42" s="3">
        <v>6400.0</v>
      </c>
      <c r="J42" s="3">
        <v>8.0</v>
      </c>
      <c r="K42" s="3">
        <v>26.76</v>
      </c>
      <c r="L42" s="53">
        <f t="shared" si="1"/>
        <v>68.09160305</v>
      </c>
      <c r="M42" s="52">
        <f t="shared" si="2"/>
        <v>400</v>
      </c>
      <c r="N42" s="54">
        <f t="shared" si="3"/>
        <v>331.9083969</v>
      </c>
      <c r="O42" s="54">
        <f t="shared" si="4"/>
        <v>69.70076336</v>
      </c>
    </row>
    <row r="43" ht="22.5" customHeight="1">
      <c r="A43" s="51" t="s">
        <v>128</v>
      </c>
      <c r="B43" s="14" t="s">
        <v>9</v>
      </c>
      <c r="C43" s="14">
        <v>80.0</v>
      </c>
      <c r="D43" s="7">
        <v>170.0</v>
      </c>
      <c r="E43" s="55">
        <v>50.0</v>
      </c>
      <c r="F43" s="55">
        <v>230.0</v>
      </c>
      <c r="G43" s="52">
        <f>IFERROR(SUMIF(Issues!B:B, A43, Issues!H:H), 0)</f>
        <v>1100</v>
      </c>
      <c r="H43" s="52">
        <f>IFERROR(SUMIF(Returns!B:B, A43, Returns!H:H), 0)</f>
        <v>850</v>
      </c>
      <c r="I43" s="3">
        <v>1800.0</v>
      </c>
      <c r="J43" s="3">
        <v>6.0</v>
      </c>
      <c r="K43" s="3">
        <v>94.0</v>
      </c>
      <c r="L43" s="53">
        <f t="shared" si="1"/>
        <v>89.69465649</v>
      </c>
      <c r="M43" s="52">
        <f t="shared" si="2"/>
        <v>250</v>
      </c>
      <c r="N43" s="54">
        <f t="shared" si="3"/>
        <v>160.3053435</v>
      </c>
      <c r="O43" s="54">
        <f t="shared" si="4"/>
        <v>27.2519084</v>
      </c>
    </row>
    <row r="44" ht="22.5" customHeight="1">
      <c r="A44" s="51" t="s">
        <v>129</v>
      </c>
      <c r="B44" s="14" t="s">
        <v>9</v>
      </c>
      <c r="C44" s="14">
        <v>80.0</v>
      </c>
      <c r="D44" s="7">
        <v>320.0</v>
      </c>
      <c r="E44" s="55">
        <v>1034.0</v>
      </c>
      <c r="F44" s="55">
        <v>1300.0</v>
      </c>
      <c r="G44" s="52">
        <f>IFERROR(SUMIF(Issues!B:B, A44, Issues!H:H), 0)</f>
        <v>2000</v>
      </c>
      <c r="H44" s="52">
        <f>IFERROR(SUMIF(Returns!B:B, A44, Returns!H:H), 0)</f>
        <v>700</v>
      </c>
      <c r="I44" s="3">
        <v>12570.0</v>
      </c>
      <c r="J44" s="3">
        <v>3.0</v>
      </c>
      <c r="K44" s="3">
        <v>12.58</v>
      </c>
      <c r="L44" s="53">
        <f t="shared" si="1"/>
        <v>167.6533079</v>
      </c>
      <c r="M44" s="52">
        <f t="shared" si="2"/>
        <v>1300</v>
      </c>
      <c r="N44" s="54">
        <f t="shared" si="3"/>
        <v>1132.346692</v>
      </c>
      <c r="O44" s="54">
        <f t="shared" si="4"/>
        <v>362.3509415</v>
      </c>
    </row>
    <row r="45" ht="22.5" customHeight="1">
      <c r="A45" s="51" t="s">
        <v>130</v>
      </c>
      <c r="B45" s="14" t="s">
        <v>9</v>
      </c>
      <c r="C45" s="14">
        <v>80.0</v>
      </c>
      <c r="D45" s="7">
        <v>125.0</v>
      </c>
      <c r="E45" s="55">
        <v>378.0</v>
      </c>
      <c r="F45" s="55">
        <v>502.0</v>
      </c>
      <c r="G45" s="52">
        <f>IFERROR(SUMIF(Issues!B:B, A45, Issues!H:H), 0)</f>
        <v>2000</v>
      </c>
      <c r="H45" s="52">
        <f>IFERROR(SUMIF(Returns!B:B, A45, Returns!H:H), 0)</f>
        <v>1590</v>
      </c>
      <c r="I45" s="3">
        <v>2250.0</v>
      </c>
      <c r="J45" s="3">
        <v>2.0</v>
      </c>
      <c r="K45" s="3">
        <v>108.0</v>
      </c>
      <c r="L45" s="53">
        <f t="shared" si="1"/>
        <v>386.4503817</v>
      </c>
      <c r="M45" s="52">
        <f t="shared" si="2"/>
        <v>410</v>
      </c>
      <c r="N45" s="54">
        <f t="shared" si="3"/>
        <v>23.54961832</v>
      </c>
      <c r="O45" s="54">
        <f t="shared" si="4"/>
        <v>2.94370229</v>
      </c>
    </row>
    <row r="46" ht="22.5" customHeight="1">
      <c r="A46" s="51" t="s">
        <v>131</v>
      </c>
      <c r="B46" s="14" t="s">
        <v>9</v>
      </c>
      <c r="C46" s="14">
        <v>80.0</v>
      </c>
      <c r="D46" s="7">
        <v>125.0</v>
      </c>
      <c r="E46" s="46">
        <v>63.0</v>
      </c>
      <c r="F46" s="46">
        <v>211.0</v>
      </c>
      <c r="G46" s="52">
        <f>IFERROR(SUMIF(Issues!B:B, A46, Issues!H:H), 0)</f>
        <v>1310</v>
      </c>
      <c r="H46" s="52">
        <f>IFERROR(SUMIF(Returns!B:B, A46, Returns!H:H), 0)</f>
        <v>1050</v>
      </c>
      <c r="I46" s="3">
        <v>401.0</v>
      </c>
      <c r="J46" s="3">
        <v>2.0</v>
      </c>
      <c r="K46" s="3">
        <v>108.0</v>
      </c>
      <c r="L46" s="53">
        <f t="shared" si="1"/>
        <v>68.8740458</v>
      </c>
      <c r="M46" s="52">
        <f t="shared" si="2"/>
        <v>260</v>
      </c>
      <c r="N46" s="54">
        <f t="shared" si="3"/>
        <v>191.1259542</v>
      </c>
      <c r="O46" s="54">
        <f t="shared" si="4"/>
        <v>23.89074427</v>
      </c>
    </row>
    <row r="47" ht="22.5" customHeight="1">
      <c r="A47" s="51" t="s">
        <v>132</v>
      </c>
      <c r="B47" s="14" t="s">
        <v>9</v>
      </c>
      <c r="C47" s="14">
        <v>80.0</v>
      </c>
      <c r="D47" s="7">
        <v>125.0</v>
      </c>
      <c r="E47" s="46">
        <v>107.0</v>
      </c>
      <c r="F47" s="46">
        <v>276.0</v>
      </c>
      <c r="G47" s="52">
        <f>IFERROR(SUMIF(Issues!B:B, A47, Issues!H:H), 0)</f>
        <v>1590</v>
      </c>
      <c r="H47" s="52">
        <f>IFERROR(SUMIF(Returns!B:B, A47, Returns!H:H), 0)</f>
        <v>1310</v>
      </c>
      <c r="I47" s="3">
        <v>450.0</v>
      </c>
      <c r="J47" s="3">
        <v>2.0</v>
      </c>
      <c r="K47" s="3">
        <v>108.0</v>
      </c>
      <c r="L47" s="53">
        <f t="shared" si="1"/>
        <v>77.29007634</v>
      </c>
      <c r="M47" s="52">
        <f t="shared" si="2"/>
        <v>280</v>
      </c>
      <c r="N47" s="54">
        <f t="shared" si="3"/>
        <v>202.7099237</v>
      </c>
      <c r="O47" s="54">
        <f t="shared" si="4"/>
        <v>25.33874046</v>
      </c>
    </row>
    <row r="48" ht="22.5" customHeight="1">
      <c r="A48" s="51" t="s">
        <v>133</v>
      </c>
      <c r="B48" s="14" t="s">
        <v>54</v>
      </c>
      <c r="C48" s="14">
        <v>50.0</v>
      </c>
      <c r="D48" s="7">
        <v>240.0</v>
      </c>
      <c r="E48" s="46">
        <v>293.0</v>
      </c>
      <c r="F48" s="46">
        <v>610.0</v>
      </c>
      <c r="G48" s="52">
        <f>IFERROR(SUMIF(Issues!B:B, A48, Issues!H:H), 0)</f>
        <v>5000</v>
      </c>
      <c r="H48" s="52">
        <f>IFERROR(SUMIF(Returns!B:B, A48, Returns!H:H), 0)</f>
        <v>4350</v>
      </c>
      <c r="I48" s="3">
        <v>3000.0</v>
      </c>
      <c r="J48" s="3">
        <v>3.0</v>
      </c>
      <c r="K48" s="3">
        <v>92.0</v>
      </c>
      <c r="L48" s="53">
        <f t="shared" si="1"/>
        <v>292.6208651</v>
      </c>
      <c r="M48" s="52">
        <f t="shared" si="2"/>
        <v>650</v>
      </c>
      <c r="N48" s="54">
        <f t="shared" si="3"/>
        <v>357.3791349</v>
      </c>
      <c r="O48" s="54">
        <f t="shared" si="4"/>
        <v>85.77099237</v>
      </c>
    </row>
    <row r="49" ht="22.5" customHeight="1">
      <c r="A49" s="51" t="s">
        <v>135</v>
      </c>
      <c r="B49" s="14" t="s">
        <v>26</v>
      </c>
      <c r="C49" s="14">
        <v>80.0</v>
      </c>
      <c r="D49" s="7">
        <v>140.0</v>
      </c>
      <c r="E49" s="46">
        <v>549.0</v>
      </c>
      <c r="F49" s="46">
        <v>734.0</v>
      </c>
      <c r="G49" s="52">
        <f>IFERROR(SUMIF(Issues!B:B, A49, Issues!H:H), 0)</f>
        <v>1530</v>
      </c>
      <c r="H49" s="52">
        <f>IFERROR(SUMIF(Returns!B:B, A49, Returns!H:H), 0)</f>
        <v>734</v>
      </c>
      <c r="I49" s="3">
        <v>10000.0</v>
      </c>
      <c r="J49" s="3">
        <v>4.0</v>
      </c>
      <c r="K49" s="3">
        <v>69.0</v>
      </c>
      <c r="L49" s="53">
        <f t="shared" si="1"/>
        <v>548.6641221</v>
      </c>
      <c r="M49" s="52">
        <f t="shared" si="2"/>
        <v>796</v>
      </c>
      <c r="N49" s="54">
        <f t="shared" si="3"/>
        <v>247.3358779</v>
      </c>
      <c r="O49" s="54">
        <f t="shared" si="4"/>
        <v>34.6270229</v>
      </c>
    </row>
    <row r="50" ht="22.5" customHeight="1">
      <c r="A50" s="51" t="s">
        <v>136</v>
      </c>
      <c r="B50" s="14" t="s">
        <v>9</v>
      </c>
      <c r="C50" s="14">
        <v>80.0</v>
      </c>
      <c r="D50" s="7">
        <v>140.0</v>
      </c>
      <c r="E50" s="46">
        <v>2634.0</v>
      </c>
      <c r="F50" s="46">
        <v>2920.0</v>
      </c>
      <c r="G50" s="52">
        <f>IFERROR(SUMIF(Issues!B:B, A50, Issues!H:H), 0)</f>
        <v>3000</v>
      </c>
      <c r="H50" s="52">
        <f>IFERROR(SUMIF(Returns!B:B, A50, Returns!H:H), 0)</f>
        <v>0</v>
      </c>
      <c r="I50" s="3">
        <v>12187.0</v>
      </c>
      <c r="J50" s="3">
        <v>1.0</v>
      </c>
      <c r="K50" s="3">
        <v>69.0</v>
      </c>
      <c r="L50" s="53">
        <f t="shared" si="1"/>
        <v>2674.627863</v>
      </c>
      <c r="M50" s="52">
        <f t="shared" si="2"/>
        <v>3000</v>
      </c>
      <c r="N50" s="54">
        <f t="shared" si="3"/>
        <v>325.3721374</v>
      </c>
      <c r="O50" s="54">
        <f t="shared" si="4"/>
        <v>45.55209924</v>
      </c>
    </row>
    <row r="51" ht="22.5" hidden="1" customHeight="1">
      <c r="A51" s="51" t="s">
        <v>138</v>
      </c>
      <c r="B51" s="14" t="s">
        <v>9</v>
      </c>
      <c r="C51" s="14">
        <v>80.0</v>
      </c>
      <c r="D51" s="7">
        <v>126.0</v>
      </c>
      <c r="E51" s="46">
        <v>596.0</v>
      </c>
      <c r="F51" s="46">
        <v>891.0</v>
      </c>
      <c r="G51" s="52">
        <f>IFERROR(SUMIF(Issues!B:B, A51, Issues!H:H), 0)</f>
        <v>1260</v>
      </c>
      <c r="H51" s="52">
        <f>IFERROR(SUMIF(Returns!B:B, A51, Returns!H:H), 0)</f>
        <v>350</v>
      </c>
      <c r="I51" s="3">
        <v>5400.0</v>
      </c>
      <c r="J51" s="52"/>
      <c r="K51" s="52"/>
      <c r="L51" s="53">
        <f t="shared" si="1"/>
        <v>0</v>
      </c>
      <c r="M51" s="52">
        <f t="shared" si="2"/>
        <v>910</v>
      </c>
      <c r="N51" s="54">
        <f t="shared" si="3"/>
        <v>910</v>
      </c>
      <c r="O51" s="54">
        <f t="shared" si="4"/>
        <v>114.66</v>
      </c>
    </row>
    <row r="52" ht="22.5" customHeight="1">
      <c r="A52" s="51" t="s">
        <v>140</v>
      </c>
      <c r="B52" s="14" t="s">
        <v>9</v>
      </c>
      <c r="C52" s="14">
        <v>80.0</v>
      </c>
      <c r="D52" s="7">
        <v>160.0</v>
      </c>
      <c r="E52" s="46">
        <v>849.0</v>
      </c>
      <c r="F52" s="58"/>
      <c r="G52" s="52">
        <f>IFERROR(SUMIF(Issues!B:B, A52, Issues!H:H), 0)</f>
        <v>1720</v>
      </c>
      <c r="H52" s="52">
        <f>IFERROR(SUMIF(Returns!B:B, A52, Returns!H:H), 0)</f>
        <v>600</v>
      </c>
      <c r="I52" s="3">
        <v>3305.0</v>
      </c>
      <c r="J52" s="3">
        <v>1.0</v>
      </c>
      <c r="K52" s="3">
        <v>89.0</v>
      </c>
      <c r="L52" s="53">
        <f t="shared" si="1"/>
        <v>935.5756997</v>
      </c>
      <c r="M52" s="52">
        <f t="shared" si="2"/>
        <v>1120</v>
      </c>
      <c r="N52" s="54">
        <f t="shared" si="3"/>
        <v>184.4243003</v>
      </c>
      <c r="O52" s="54">
        <f t="shared" si="4"/>
        <v>29.50788804</v>
      </c>
    </row>
    <row r="53" ht="22.5" hidden="1" customHeight="1">
      <c r="A53" s="51" t="s">
        <v>138</v>
      </c>
      <c r="B53" s="14" t="s">
        <v>9</v>
      </c>
      <c r="C53" s="14">
        <v>80.0</v>
      </c>
      <c r="D53" s="7">
        <v>126.0</v>
      </c>
      <c r="E53" s="46">
        <v>596.0</v>
      </c>
      <c r="F53" s="46">
        <v>891.0</v>
      </c>
      <c r="G53" s="52">
        <f>IFERROR(SUMIF(Issues!B:B, A53, Issues!H:H), 0)</f>
        <v>1260</v>
      </c>
      <c r="H53" s="52">
        <f>IFERROR(SUMIF(Returns!B:B, A53, Returns!H:H), 0)</f>
        <v>350</v>
      </c>
      <c r="I53" s="3">
        <v>5400.0</v>
      </c>
      <c r="J53" s="3">
        <v>2.0</v>
      </c>
      <c r="K53" s="3">
        <v>75.0</v>
      </c>
      <c r="L53" s="53">
        <f t="shared" si="1"/>
        <v>644.0839695</v>
      </c>
      <c r="M53" s="52">
        <f t="shared" si="2"/>
        <v>910</v>
      </c>
      <c r="N53" s="54">
        <f t="shared" si="3"/>
        <v>265.9160305</v>
      </c>
      <c r="O53" s="54">
        <f t="shared" si="4"/>
        <v>33.50541985</v>
      </c>
    </row>
    <row r="54" ht="22.5" customHeight="1">
      <c r="A54" s="51" t="s">
        <v>141</v>
      </c>
      <c r="B54" s="14" t="s">
        <v>9</v>
      </c>
      <c r="C54" s="14">
        <v>80.0</v>
      </c>
      <c r="D54" s="7">
        <v>140.0</v>
      </c>
      <c r="E54" s="46">
        <v>658.0</v>
      </c>
      <c r="F54" s="46">
        <v>970.0</v>
      </c>
      <c r="G54" s="52">
        <f>IFERROR(SUMIF(Issues!B:B, A54, Issues!H:H), 0)</f>
        <v>1500</v>
      </c>
      <c r="H54" s="52">
        <f>IFERROR(SUMIF(Returns!B:B, A54, Returns!H:H), 0)</f>
        <v>500</v>
      </c>
      <c r="I54" s="3">
        <v>3782.0</v>
      </c>
      <c r="J54" s="3">
        <v>1.0</v>
      </c>
      <c r="K54" s="3">
        <v>69.0</v>
      </c>
      <c r="L54" s="53">
        <f t="shared" si="1"/>
        <v>830.019084</v>
      </c>
      <c r="M54" s="52">
        <f t="shared" si="2"/>
        <v>1000</v>
      </c>
      <c r="N54" s="54">
        <f t="shared" si="3"/>
        <v>169.980916</v>
      </c>
      <c r="O54" s="54">
        <f t="shared" si="4"/>
        <v>23.79732824</v>
      </c>
    </row>
    <row r="55" ht="22.5" customHeight="1">
      <c r="A55" s="51" t="s">
        <v>142</v>
      </c>
      <c r="B55" s="14" t="s">
        <v>9</v>
      </c>
      <c r="C55" s="14">
        <v>80.0</v>
      </c>
      <c r="D55" s="7">
        <v>140.0</v>
      </c>
      <c r="E55" s="46">
        <v>2195.0</v>
      </c>
      <c r="F55" s="46">
        <v>2489.0</v>
      </c>
      <c r="G55" s="52">
        <f>IFERROR(SUMIF(Issues!B:B, A55, Issues!H:H), 0)</f>
        <v>3880</v>
      </c>
      <c r="H55" s="52">
        <f>IFERROR(SUMIF(Returns!B:B, A55, Returns!H:H), 0)</f>
        <v>1360</v>
      </c>
      <c r="I55" s="3">
        <v>10780.0</v>
      </c>
      <c r="J55" s="3">
        <v>1.0</v>
      </c>
      <c r="K55" s="3">
        <v>69.0</v>
      </c>
      <c r="L55" s="53">
        <f t="shared" si="1"/>
        <v>2365.839695</v>
      </c>
      <c r="M55" s="52">
        <f t="shared" si="2"/>
        <v>2520</v>
      </c>
      <c r="N55" s="54">
        <f t="shared" si="3"/>
        <v>154.1603053</v>
      </c>
      <c r="O55" s="54">
        <f t="shared" si="4"/>
        <v>21.58244275</v>
      </c>
    </row>
    <row r="56" ht="22.5" customHeight="1">
      <c r="A56" s="51" t="s">
        <v>143</v>
      </c>
      <c r="B56" s="14" t="s">
        <v>43</v>
      </c>
      <c r="C56" s="59"/>
      <c r="D56" s="7">
        <v>167.0</v>
      </c>
      <c r="E56" s="46">
        <v>314.0</v>
      </c>
      <c r="F56" s="46">
        <v>630.0</v>
      </c>
      <c r="G56" s="3">
        <v>2000.0</v>
      </c>
      <c r="H56" s="52">
        <f>IFERROR(SUMIF(Returns!B:B, A56, Returns!H:H), 0)</f>
        <v>1350</v>
      </c>
      <c r="I56" s="3">
        <v>14700.0</v>
      </c>
      <c r="J56" s="3">
        <v>9.0</v>
      </c>
      <c r="K56" s="3">
        <v>89.0</v>
      </c>
      <c r="L56" s="53">
        <f t="shared" si="1"/>
        <v>462.3621713</v>
      </c>
      <c r="M56" s="52">
        <f t="shared" si="2"/>
        <v>650</v>
      </c>
      <c r="N56" s="54">
        <f t="shared" si="3"/>
        <v>187.6378287</v>
      </c>
      <c r="O56" s="54">
        <f t="shared" si="4"/>
        <v>31.33551739</v>
      </c>
    </row>
    <row r="57" ht="22.5" customHeight="1">
      <c r="A57" s="51" t="s">
        <v>144</v>
      </c>
      <c r="B57" s="14" t="s">
        <v>9</v>
      </c>
      <c r="C57" s="14">
        <v>80.0</v>
      </c>
      <c r="D57" s="7">
        <v>320.0</v>
      </c>
      <c r="E57" s="46">
        <v>344.0</v>
      </c>
      <c r="F57" s="46">
        <v>489.0</v>
      </c>
      <c r="G57" s="52">
        <f>IFERROR(SUMIF(Issues!B:B, A57, Issues!H:H), 0)</f>
        <v>530</v>
      </c>
      <c r="H57" s="52">
        <f>IFERROR(SUMIF(Returns!B:B, A57, Returns!H:H), 0)</f>
        <v>0</v>
      </c>
      <c r="I57" s="3">
        <v>2200.0</v>
      </c>
      <c r="J57" s="3">
        <v>2.0</v>
      </c>
      <c r="K57" s="3">
        <v>108.0</v>
      </c>
      <c r="L57" s="53">
        <f t="shared" si="1"/>
        <v>377.8625954</v>
      </c>
      <c r="M57" s="52">
        <f t="shared" si="2"/>
        <v>530</v>
      </c>
      <c r="N57" s="54">
        <f t="shared" si="3"/>
        <v>152.1374046</v>
      </c>
      <c r="O57" s="54">
        <f t="shared" si="4"/>
        <v>48.68396947</v>
      </c>
    </row>
    <row r="58" ht="22.5" customHeight="1">
      <c r="A58" s="51" t="s">
        <v>145</v>
      </c>
      <c r="B58" s="14" t="s">
        <v>9</v>
      </c>
      <c r="C58" s="14">
        <v>80.0</v>
      </c>
      <c r="D58" s="7">
        <v>125.0</v>
      </c>
      <c r="E58" s="46">
        <v>1718.0</v>
      </c>
      <c r="F58" s="46">
        <v>2015.0</v>
      </c>
      <c r="G58" s="52">
        <f>IFERROR(SUMIF(Issues!B:B, A58, Issues!H:H), 0)</f>
        <v>2600</v>
      </c>
      <c r="H58" s="52">
        <f>IFERROR(SUMIF(Returns!B:B, A58, Returns!H:H), 0)</f>
        <v>700</v>
      </c>
      <c r="I58" s="3">
        <v>10600.0</v>
      </c>
      <c r="J58" s="3">
        <v>3.0</v>
      </c>
      <c r="K58" s="3">
        <v>108.0</v>
      </c>
      <c r="L58" s="53">
        <f t="shared" si="1"/>
        <v>1213.740458</v>
      </c>
      <c r="M58" s="52">
        <f t="shared" si="2"/>
        <v>1900</v>
      </c>
      <c r="N58" s="54">
        <f t="shared" si="3"/>
        <v>686.259542</v>
      </c>
      <c r="O58" s="54">
        <f t="shared" si="4"/>
        <v>85.78244275</v>
      </c>
    </row>
    <row r="59" ht="22.5" customHeight="1">
      <c r="A59" s="51" t="s">
        <v>146</v>
      </c>
      <c r="B59" s="14" t="s">
        <v>9</v>
      </c>
      <c r="C59" s="14">
        <v>80.0</v>
      </c>
      <c r="D59" s="7">
        <v>190.0</v>
      </c>
      <c r="E59" s="46">
        <v>495.0</v>
      </c>
      <c r="F59" s="46">
        <v>770.0</v>
      </c>
      <c r="G59" s="52">
        <f>IFERROR(SUMIF(Issues!B:B, A59, Issues!H:H), 0)</f>
        <v>1100</v>
      </c>
      <c r="H59" s="52">
        <f>IFERROR(SUMIF(Returns!B:B, A59, Returns!H:H), 0)</f>
        <v>300</v>
      </c>
      <c r="I59" s="3">
        <v>7000.0</v>
      </c>
      <c r="J59" s="3">
        <v>4.0</v>
      </c>
      <c r="K59" s="3">
        <v>89.0</v>
      </c>
      <c r="L59" s="53">
        <f t="shared" si="1"/>
        <v>495.3880407</v>
      </c>
      <c r="M59" s="52">
        <f t="shared" si="2"/>
        <v>800</v>
      </c>
      <c r="N59" s="54">
        <f t="shared" si="3"/>
        <v>304.6119593</v>
      </c>
      <c r="O59" s="54">
        <f t="shared" si="4"/>
        <v>57.87627226</v>
      </c>
    </row>
    <row r="60" ht="22.5" customHeight="1">
      <c r="A60" s="51" t="s">
        <v>147</v>
      </c>
      <c r="B60" s="14" t="s">
        <v>9</v>
      </c>
      <c r="C60" s="14">
        <v>80.0</v>
      </c>
      <c r="D60" s="7">
        <v>160.0</v>
      </c>
      <c r="E60" s="46">
        <v>2831.0</v>
      </c>
      <c r="F60" s="46">
        <v>3287.0</v>
      </c>
      <c r="G60" s="52">
        <f>IFERROR(SUMIF(Issues!B:B, A60, Issues!H:H), 0)</f>
        <v>3500</v>
      </c>
      <c r="H60" s="52">
        <f>IFERROR(SUMIF(Returns!B:B, A60, Returns!H:H), 0)</f>
        <v>200</v>
      </c>
      <c r="I60" s="3">
        <v>10600.0</v>
      </c>
      <c r="J60" s="3">
        <v>1.0</v>
      </c>
      <c r="K60" s="3">
        <v>89.0</v>
      </c>
      <c r="L60" s="53">
        <f t="shared" si="1"/>
        <v>3000.636132</v>
      </c>
      <c r="M60" s="52">
        <f t="shared" si="2"/>
        <v>3300</v>
      </c>
      <c r="N60" s="54">
        <f t="shared" si="3"/>
        <v>299.3638677</v>
      </c>
      <c r="O60" s="54">
        <f t="shared" si="4"/>
        <v>47.89821883</v>
      </c>
    </row>
    <row r="61" ht="22.5" customHeight="1">
      <c r="A61" s="51" t="s">
        <v>148</v>
      </c>
      <c r="B61" s="14" t="s">
        <v>9</v>
      </c>
      <c r="C61" s="14">
        <v>80.0</v>
      </c>
      <c r="D61" s="7">
        <v>160.0</v>
      </c>
      <c r="E61" s="46">
        <v>5666.0</v>
      </c>
      <c r="F61" s="46">
        <v>6113.0</v>
      </c>
      <c r="G61" s="52">
        <f>IFERROR(SUMIF(Issues!B:B, A61, Issues!H:H), 0)</f>
        <v>6650</v>
      </c>
      <c r="H61" s="52">
        <f>IFERROR(SUMIF(Returns!B:B, A61, Returns!H:H), 0)</f>
        <v>500</v>
      </c>
      <c r="I61" s="3">
        <v>20000.0</v>
      </c>
      <c r="J61" s="3">
        <v>1.0</v>
      </c>
      <c r="K61" s="3">
        <v>89.0</v>
      </c>
      <c r="L61" s="53">
        <f t="shared" si="1"/>
        <v>5661.577608</v>
      </c>
      <c r="M61" s="52">
        <f t="shared" si="2"/>
        <v>6150</v>
      </c>
      <c r="N61" s="54">
        <f t="shared" si="3"/>
        <v>488.4223919</v>
      </c>
      <c r="O61" s="54">
        <f t="shared" si="4"/>
        <v>78.1475827</v>
      </c>
    </row>
    <row r="62" ht="22.5" customHeight="1">
      <c r="A62" s="51" t="s">
        <v>149</v>
      </c>
      <c r="B62" s="14" t="s">
        <v>9</v>
      </c>
      <c r="C62" s="14">
        <v>80.0</v>
      </c>
      <c r="D62" s="7">
        <v>160.0</v>
      </c>
      <c r="E62" s="46">
        <v>1415.0</v>
      </c>
      <c r="F62" s="46">
        <v>1756.0</v>
      </c>
      <c r="G62" s="52">
        <f>IFERROR(SUMIF(Issues!B:B, A62, Issues!H:H), 0)</f>
        <v>1750</v>
      </c>
      <c r="H62" s="52">
        <f>IFERROR(SUMIF(Returns!B:B, A62, Returns!H:H), 0)</f>
        <v>0</v>
      </c>
      <c r="I62" s="3">
        <v>5717.0</v>
      </c>
      <c r="J62" s="3">
        <v>1.0</v>
      </c>
      <c r="K62" s="3">
        <v>89.0</v>
      </c>
      <c r="L62" s="53">
        <f t="shared" si="1"/>
        <v>1618.361959</v>
      </c>
      <c r="M62" s="52">
        <f t="shared" si="2"/>
        <v>1750</v>
      </c>
      <c r="N62" s="54">
        <f t="shared" si="3"/>
        <v>131.6380407</v>
      </c>
      <c r="O62" s="54">
        <f t="shared" si="4"/>
        <v>21.06208651</v>
      </c>
    </row>
    <row r="63" ht="22.5" customHeight="1">
      <c r="A63" s="51" t="s">
        <v>150</v>
      </c>
      <c r="B63" s="14" t="s">
        <v>9</v>
      </c>
      <c r="C63" s="14">
        <v>80.0</v>
      </c>
      <c r="D63" s="7">
        <v>140.0</v>
      </c>
      <c r="E63" s="46">
        <v>732.0</v>
      </c>
      <c r="F63" s="46">
        <v>917.0</v>
      </c>
      <c r="G63" s="52">
        <f>IFERROR(SUMIF(Issues!B:B, A63, Issues!H:H), 0)</f>
        <v>1300</v>
      </c>
      <c r="H63" s="52">
        <f>IFERROR(SUMIF(Returns!B:B, A63, Returns!H:H), 0)</f>
        <v>380</v>
      </c>
      <c r="I63" s="3">
        <v>10990.0</v>
      </c>
      <c r="J63" s="3">
        <v>4.0</v>
      </c>
      <c r="K63" s="3">
        <v>92.0</v>
      </c>
      <c r="L63" s="53">
        <f t="shared" si="1"/>
        <v>803.975827</v>
      </c>
      <c r="M63" s="52">
        <f t="shared" si="2"/>
        <v>920</v>
      </c>
      <c r="N63" s="54">
        <f t="shared" si="3"/>
        <v>116.024173</v>
      </c>
      <c r="O63" s="54">
        <f t="shared" si="4"/>
        <v>16.24338422</v>
      </c>
    </row>
    <row r="64" ht="22.5" customHeight="1">
      <c r="A64" s="46" t="s">
        <v>151</v>
      </c>
      <c r="B64" s="14" t="s">
        <v>9</v>
      </c>
      <c r="C64" s="14">
        <v>80.0</v>
      </c>
      <c r="D64" s="15">
        <v>230.0</v>
      </c>
      <c r="E64" s="46">
        <v>657.0</v>
      </c>
      <c r="F64" s="46">
        <v>818.0</v>
      </c>
      <c r="G64" s="52">
        <f>IFERROR(SUMIF(Issues!B:B, A64, Issues!H:H), 0)</f>
        <v>1300</v>
      </c>
      <c r="H64" s="52">
        <f>IFERROR(SUMIF(Returns!B:B, A64, Returns!H:H), 0)</f>
        <v>450</v>
      </c>
      <c r="I64" s="3">
        <v>10390.0</v>
      </c>
      <c r="J64" s="3">
        <v>6.0</v>
      </c>
      <c r="K64" s="3">
        <v>124.0</v>
      </c>
      <c r="L64" s="53">
        <f t="shared" si="1"/>
        <v>682.9728584</v>
      </c>
      <c r="M64" s="52">
        <f t="shared" si="2"/>
        <v>850</v>
      </c>
      <c r="N64" s="54">
        <f t="shared" si="3"/>
        <v>167.0271416</v>
      </c>
      <c r="O64" s="54">
        <f t="shared" si="4"/>
        <v>38.41624258</v>
      </c>
    </row>
    <row r="65" ht="22.5" customHeight="1">
      <c r="A65" s="46" t="s">
        <v>152</v>
      </c>
      <c r="B65" s="14" t="s">
        <v>9</v>
      </c>
      <c r="C65" s="14">
        <v>80.0</v>
      </c>
      <c r="D65" s="15">
        <v>230.0</v>
      </c>
      <c r="E65" s="46">
        <v>263.0</v>
      </c>
      <c r="F65" s="46">
        <v>470.0</v>
      </c>
      <c r="G65" s="52">
        <f>IFERROR(SUMIF(Issues!B:B, A65, Issues!H:H), 0)</f>
        <v>1780</v>
      </c>
      <c r="H65" s="52">
        <f>IFERROR(SUMIF(Returns!B:B, A65, Returns!H:H), 0)</f>
        <v>1300</v>
      </c>
      <c r="I65" s="3">
        <v>6060.0</v>
      </c>
      <c r="J65" s="3">
        <v>6.0</v>
      </c>
      <c r="K65" s="3">
        <v>124.0</v>
      </c>
      <c r="L65" s="53">
        <f t="shared" si="1"/>
        <v>398.346056</v>
      </c>
      <c r="M65" s="52">
        <f t="shared" si="2"/>
        <v>480</v>
      </c>
      <c r="N65" s="54">
        <f t="shared" si="3"/>
        <v>81.65394402</v>
      </c>
      <c r="O65" s="54">
        <f t="shared" si="4"/>
        <v>18.78040712</v>
      </c>
    </row>
    <row r="66" ht="22.5" customHeight="1">
      <c r="A66" s="46" t="s">
        <v>153</v>
      </c>
      <c r="B66" s="14" t="s">
        <v>9</v>
      </c>
      <c r="C66" s="14">
        <v>80.0</v>
      </c>
      <c r="D66" s="15">
        <v>230.0</v>
      </c>
      <c r="E66" s="46">
        <v>4126.0</v>
      </c>
      <c r="F66" s="46">
        <v>4400.0</v>
      </c>
      <c r="G66" s="52">
        <f>IFERROR(SUMIF(Issues!B:B, A66, Issues!H:H), 0)</f>
        <v>5200</v>
      </c>
      <c r="H66" s="52">
        <f>IFERROR(SUMIF(Returns!B:B, A66, Returns!H:H), 0)</f>
        <v>700</v>
      </c>
      <c r="I66" s="3">
        <v>29137.0</v>
      </c>
      <c r="J66" s="3">
        <v>2.0</v>
      </c>
      <c r="K66" s="3">
        <v>92.0</v>
      </c>
      <c r="L66" s="53">
        <f t="shared" si="1"/>
        <v>4263.047074</v>
      </c>
      <c r="M66" s="52">
        <f t="shared" si="2"/>
        <v>4500</v>
      </c>
      <c r="N66" s="54">
        <f t="shared" si="3"/>
        <v>236.9529262</v>
      </c>
      <c r="O66" s="54">
        <f t="shared" si="4"/>
        <v>54.49917303</v>
      </c>
    </row>
    <row r="67" ht="22.5" customHeight="1">
      <c r="A67" s="46" t="s">
        <v>154</v>
      </c>
      <c r="B67" s="14" t="s">
        <v>9</v>
      </c>
      <c r="C67" s="14">
        <v>80.0</v>
      </c>
      <c r="D67" s="15">
        <v>210.0</v>
      </c>
      <c r="E67" s="46">
        <v>1535.0</v>
      </c>
      <c r="F67" s="46"/>
      <c r="G67" s="52">
        <f>IFERROR(SUMIF(Issues!B:B, A67, Issues!H:H), 0)</f>
        <v>1800</v>
      </c>
      <c r="H67" s="52">
        <f>IFERROR(SUMIF(Returns!B:B, A67, Returns!H:H), 0)</f>
        <v>0</v>
      </c>
      <c r="I67" s="3">
        <v>24025.0</v>
      </c>
      <c r="J67" s="3">
        <v>6.0</v>
      </c>
      <c r="K67" s="3">
        <v>124.0</v>
      </c>
      <c r="L67" s="53">
        <f t="shared" si="1"/>
        <v>1579.251484</v>
      </c>
      <c r="M67" s="52">
        <f t="shared" si="2"/>
        <v>1800</v>
      </c>
      <c r="N67" s="54">
        <f t="shared" si="3"/>
        <v>220.7485157</v>
      </c>
      <c r="O67" s="54">
        <f t="shared" si="4"/>
        <v>46.3571883</v>
      </c>
    </row>
    <row r="68" ht="22.5" customHeight="1">
      <c r="A68" s="46" t="s">
        <v>155</v>
      </c>
      <c r="B68" s="14" t="s">
        <v>9</v>
      </c>
      <c r="C68" s="14">
        <v>80.0</v>
      </c>
      <c r="D68" s="15">
        <v>126.0</v>
      </c>
      <c r="E68" s="46">
        <v>754.0</v>
      </c>
      <c r="F68" s="46">
        <v>1131.0</v>
      </c>
      <c r="G68" s="52">
        <f>IFERROR(SUMIF(Issues!B:B, A68, Issues!H:H), 0)</f>
        <v>1700</v>
      </c>
      <c r="H68" s="52">
        <f>IFERROR(SUMIF(Returns!B:B, A68, Returns!H:H), 0)</f>
        <v>580</v>
      </c>
      <c r="I68" s="3">
        <v>3500.0</v>
      </c>
      <c r="J68" s="3">
        <v>1.0</v>
      </c>
      <c r="K68" s="3">
        <v>79.0</v>
      </c>
      <c r="L68" s="53">
        <f t="shared" si="1"/>
        <v>879.4529262</v>
      </c>
      <c r="M68" s="52">
        <f t="shared" si="2"/>
        <v>1120</v>
      </c>
      <c r="N68" s="54">
        <f t="shared" si="3"/>
        <v>240.5470738</v>
      </c>
      <c r="O68" s="54">
        <f t="shared" si="4"/>
        <v>30.3089313</v>
      </c>
    </row>
    <row r="69" ht="22.5" customHeight="1">
      <c r="A69" s="46" t="s">
        <v>156</v>
      </c>
      <c r="B69" s="14" t="s">
        <v>9</v>
      </c>
      <c r="C69" s="14">
        <v>80.0</v>
      </c>
      <c r="D69" s="15">
        <v>140.0</v>
      </c>
      <c r="E69" s="46">
        <v>945.0</v>
      </c>
      <c r="F69" s="46">
        <v>1300.0</v>
      </c>
      <c r="G69" s="52">
        <f>IFERROR(SUMIF(Issues!B:B, A69, Issues!H:H), 0)</f>
        <v>1300</v>
      </c>
      <c r="H69" s="52">
        <f>IFERROR(SUMIF(Returns!B:B, A69, Returns!H:H), 0)</f>
        <v>0</v>
      </c>
      <c r="I69" s="3">
        <v>3350.0</v>
      </c>
      <c r="J69" s="3">
        <v>1.0</v>
      </c>
      <c r="K69" s="3">
        <v>99.0</v>
      </c>
      <c r="L69" s="53">
        <f t="shared" si="1"/>
        <v>1054.866412</v>
      </c>
      <c r="M69" s="52">
        <f t="shared" si="2"/>
        <v>1300</v>
      </c>
      <c r="N69" s="54">
        <f t="shared" si="3"/>
        <v>245.1335878</v>
      </c>
      <c r="O69" s="54">
        <f t="shared" si="4"/>
        <v>34.31870229</v>
      </c>
    </row>
    <row r="70" ht="22.5" customHeight="1">
      <c r="A70" s="46" t="s">
        <v>157</v>
      </c>
      <c r="B70" s="14" t="s">
        <v>9</v>
      </c>
      <c r="C70" s="14">
        <v>80.0</v>
      </c>
      <c r="D70" s="15">
        <v>140.0</v>
      </c>
      <c r="E70" s="46">
        <v>366.0</v>
      </c>
      <c r="F70" s="46">
        <v>540.0</v>
      </c>
      <c r="G70" s="52">
        <f>IFERROR(SUMIF(Issues!B:B, A70, Issues!H:H), 0)</f>
        <v>1900</v>
      </c>
      <c r="H70" s="52">
        <f>IFERROR(SUMIF(Returns!B:B, A70, Returns!H:H), 0)</f>
        <v>1360</v>
      </c>
      <c r="I70" s="3">
        <v>5600.0</v>
      </c>
      <c r="J70" s="3">
        <v>4.0</v>
      </c>
      <c r="K70" s="3">
        <v>92.0</v>
      </c>
      <c r="L70" s="53">
        <f t="shared" si="1"/>
        <v>409.6692112</v>
      </c>
      <c r="M70" s="52">
        <f t="shared" si="2"/>
        <v>540</v>
      </c>
      <c r="N70" s="54">
        <f t="shared" si="3"/>
        <v>130.3307888</v>
      </c>
      <c r="O70" s="54">
        <f t="shared" si="4"/>
        <v>18.24631043</v>
      </c>
    </row>
    <row r="71" ht="22.5" customHeight="1">
      <c r="A71" s="51" t="s">
        <v>158</v>
      </c>
      <c r="B71" s="14" t="s">
        <v>9</v>
      </c>
      <c r="C71" s="14">
        <v>80.0</v>
      </c>
      <c r="D71" s="15">
        <v>230.0</v>
      </c>
      <c r="E71" s="46">
        <v>394.0</v>
      </c>
      <c r="F71" s="46">
        <v>583.0</v>
      </c>
      <c r="G71" s="52">
        <f>IFERROR(SUMIF(Issues!B:B, A71, Issues!H:H), 0)</f>
        <v>700</v>
      </c>
      <c r="H71" s="52">
        <f>IFERROR(SUMIF(Returns!B:B, A71, Returns!H:H), 0)</f>
        <v>100</v>
      </c>
      <c r="I71" s="3">
        <v>7500.0</v>
      </c>
      <c r="J71" s="3">
        <v>6.0</v>
      </c>
      <c r="K71" s="3">
        <v>124.0</v>
      </c>
      <c r="L71" s="53">
        <f t="shared" si="1"/>
        <v>493.0025445</v>
      </c>
      <c r="M71" s="52">
        <f t="shared" si="2"/>
        <v>600</v>
      </c>
      <c r="N71" s="54">
        <f t="shared" si="3"/>
        <v>106.9974555</v>
      </c>
      <c r="O71" s="54">
        <f t="shared" si="4"/>
        <v>24.60941476</v>
      </c>
    </row>
    <row r="72" ht="22.5" customHeight="1">
      <c r="A72" s="46" t="s">
        <v>159</v>
      </c>
      <c r="B72" s="14" t="s">
        <v>9</v>
      </c>
      <c r="C72" s="14">
        <v>80.0</v>
      </c>
      <c r="D72" s="15">
        <v>230.0</v>
      </c>
      <c r="E72" s="46">
        <v>394.0</v>
      </c>
      <c r="F72" s="46">
        <v>620.0</v>
      </c>
      <c r="G72" s="52">
        <f>IFERROR(SUMIF(Issues!B:B, A72, Issues!H:H), 0)</f>
        <v>900</v>
      </c>
      <c r="H72" s="52">
        <f>IFERROR(SUMIF(Returns!B:B, A72, Returns!H:H), 0)</f>
        <v>280</v>
      </c>
      <c r="I72" s="3">
        <v>7710.0</v>
      </c>
      <c r="J72" s="3">
        <v>6.0</v>
      </c>
      <c r="K72" s="3">
        <v>124.0</v>
      </c>
      <c r="L72" s="53">
        <f t="shared" si="1"/>
        <v>506.8066158</v>
      </c>
      <c r="M72" s="52">
        <f t="shared" si="2"/>
        <v>620</v>
      </c>
      <c r="N72" s="54">
        <f t="shared" si="3"/>
        <v>113.1933842</v>
      </c>
      <c r="O72" s="54">
        <f t="shared" si="4"/>
        <v>26.03447837</v>
      </c>
    </row>
    <row r="73" ht="22.5" customHeight="1">
      <c r="A73" s="46" t="s">
        <v>160</v>
      </c>
      <c r="B73" s="14" t="s">
        <v>9</v>
      </c>
      <c r="C73" s="14">
        <v>80.0</v>
      </c>
      <c r="D73" s="15">
        <v>230.0</v>
      </c>
      <c r="E73" s="46">
        <v>329.0</v>
      </c>
      <c r="F73" s="46">
        <v>500.0</v>
      </c>
      <c r="G73" s="52">
        <f>IFERROR(SUMIF(Issues!B:B, A73, Issues!H:H), 0)</f>
        <v>1400</v>
      </c>
      <c r="H73" s="52">
        <f>IFERROR(SUMIF(Returns!B:B, A73, Returns!H:H), 0)</f>
        <v>900</v>
      </c>
      <c r="I73" s="3">
        <v>6290.0</v>
      </c>
      <c r="J73" s="3">
        <v>6.0</v>
      </c>
      <c r="K73" s="3">
        <v>124.0</v>
      </c>
      <c r="L73" s="53">
        <f t="shared" si="1"/>
        <v>413.4648007</v>
      </c>
      <c r="M73" s="52">
        <f t="shared" si="2"/>
        <v>500</v>
      </c>
      <c r="N73" s="54">
        <f t="shared" si="3"/>
        <v>86.53519932</v>
      </c>
      <c r="O73" s="54">
        <f t="shared" si="4"/>
        <v>19.90309584</v>
      </c>
    </row>
    <row r="74" ht="22.5" customHeight="1">
      <c r="A74" s="46" t="s">
        <v>161</v>
      </c>
      <c r="B74" s="14" t="s">
        <v>9</v>
      </c>
      <c r="C74" s="14">
        <v>80.0</v>
      </c>
      <c r="D74" s="15">
        <v>260.0</v>
      </c>
      <c r="E74" s="46">
        <v>1887.0</v>
      </c>
      <c r="F74" s="46">
        <v>2225.0</v>
      </c>
      <c r="G74" s="52">
        <f>IFERROR(SUMIF(Issues!B:B, A74, Issues!H:H), 0)</f>
        <v>2400</v>
      </c>
      <c r="H74" s="52">
        <f>IFERROR(SUMIF(Returns!B:B, A74, Returns!H:H), 0)</f>
        <v>150</v>
      </c>
      <c r="I74" s="3">
        <v>20635.0</v>
      </c>
      <c r="J74" s="3">
        <v>3.0</v>
      </c>
      <c r="K74" s="3">
        <v>89.0</v>
      </c>
      <c r="L74" s="53">
        <f t="shared" si="1"/>
        <v>1947.110899</v>
      </c>
      <c r="M74" s="52">
        <f t="shared" si="2"/>
        <v>2250</v>
      </c>
      <c r="N74" s="54">
        <f t="shared" si="3"/>
        <v>302.8891009</v>
      </c>
      <c r="O74" s="54">
        <f t="shared" si="4"/>
        <v>78.75116624</v>
      </c>
    </row>
    <row r="75" ht="22.5" customHeight="1">
      <c r="A75" s="46" t="s">
        <v>162</v>
      </c>
      <c r="B75" s="14" t="s">
        <v>9</v>
      </c>
      <c r="C75" s="14">
        <v>80.0</v>
      </c>
      <c r="D75" s="15">
        <v>126.0</v>
      </c>
      <c r="E75" s="46">
        <v>628.0</v>
      </c>
      <c r="F75" s="46">
        <v>800.0</v>
      </c>
      <c r="G75" s="52">
        <f>IFERROR(SUMIF(Issues!B:B, A75, Issues!H:H), 0)</f>
        <v>1250</v>
      </c>
      <c r="H75" s="52">
        <f>IFERROR(SUMIF(Returns!B:B, A75, Returns!H:H), 0)</f>
        <v>400</v>
      </c>
      <c r="I75" s="3">
        <v>2850.0</v>
      </c>
      <c r="J75" s="3">
        <v>1.0</v>
      </c>
      <c r="K75" s="3">
        <v>79.0</v>
      </c>
      <c r="L75" s="53">
        <f t="shared" si="1"/>
        <v>716.1259542</v>
      </c>
      <c r="M75" s="52">
        <f t="shared" si="2"/>
        <v>850</v>
      </c>
      <c r="N75" s="54">
        <f t="shared" si="3"/>
        <v>133.8740458</v>
      </c>
      <c r="O75" s="54">
        <f t="shared" si="4"/>
        <v>16.86812977</v>
      </c>
    </row>
    <row r="76" ht="22.5" customHeight="1">
      <c r="A76" s="46" t="s">
        <v>163</v>
      </c>
      <c r="B76" s="14" t="s">
        <v>9</v>
      </c>
      <c r="C76" s="14">
        <v>80.0</v>
      </c>
      <c r="D76" s="15">
        <v>140.0</v>
      </c>
      <c r="E76" s="46">
        <v>262.0</v>
      </c>
      <c r="F76" s="46">
        <v>457.0</v>
      </c>
      <c r="G76" s="52">
        <f>IFERROR(SUMIF(Issues!B:B, A76, Issues!H:H), 0)</f>
        <v>650</v>
      </c>
      <c r="H76" s="52">
        <f>IFERROR(SUMIF(Returns!B:B, A76, Returns!H:H), 0)</f>
        <v>150</v>
      </c>
      <c r="I76" s="3">
        <v>3000.0</v>
      </c>
      <c r="J76" s="3">
        <v>2.0</v>
      </c>
      <c r="K76" s="3">
        <v>66.0</v>
      </c>
      <c r="L76" s="53">
        <f t="shared" si="1"/>
        <v>314.8854962</v>
      </c>
      <c r="M76" s="52">
        <f t="shared" si="2"/>
        <v>500</v>
      </c>
      <c r="N76" s="54">
        <f t="shared" si="3"/>
        <v>185.1145038</v>
      </c>
      <c r="O76" s="54">
        <f t="shared" si="4"/>
        <v>25.91603053</v>
      </c>
    </row>
    <row r="77" ht="22.5" customHeight="1">
      <c r="A77" s="46" t="s">
        <v>164</v>
      </c>
      <c r="B77" s="14" t="s">
        <v>9</v>
      </c>
      <c r="C77" s="14">
        <v>80.0</v>
      </c>
      <c r="D77" s="15">
        <v>160.0</v>
      </c>
      <c r="E77" s="46">
        <v>1698.0</v>
      </c>
      <c r="F77" s="46">
        <v>2014.0</v>
      </c>
      <c r="G77" s="52">
        <f>IFERROR(SUMIF(Issues!B:B, A77, Issues!H:H), 0)</f>
        <v>2100</v>
      </c>
      <c r="H77" s="52">
        <f>IFERROR(SUMIF(Returns!B:B, A77, Returns!H:H), 0)</f>
        <v>0</v>
      </c>
      <c r="I77" s="3">
        <v>6670.0</v>
      </c>
      <c r="J77" s="3">
        <v>1.0</v>
      </c>
      <c r="K77" s="3">
        <v>89.0</v>
      </c>
      <c r="L77" s="53">
        <f t="shared" si="1"/>
        <v>1888.136132</v>
      </c>
      <c r="M77" s="52">
        <f t="shared" si="2"/>
        <v>2100</v>
      </c>
      <c r="N77" s="54">
        <f t="shared" si="3"/>
        <v>211.8638677</v>
      </c>
      <c r="O77" s="54">
        <f t="shared" si="4"/>
        <v>33.89821883</v>
      </c>
    </row>
    <row r="78" ht="22.5" customHeight="1">
      <c r="A78" s="46" t="s">
        <v>165</v>
      </c>
      <c r="B78" s="14" t="s">
        <v>9</v>
      </c>
      <c r="C78" s="14">
        <v>80.0</v>
      </c>
      <c r="D78" s="15">
        <v>330.0</v>
      </c>
      <c r="E78" s="46">
        <v>3414.0</v>
      </c>
      <c r="F78" s="46">
        <v>3902.0</v>
      </c>
      <c r="G78" s="52">
        <f>IFERROR(SUMIF(Issues!B:B, A78, Issues!H:H), 0)</f>
        <v>3980</v>
      </c>
      <c r="H78" s="52">
        <f>IFERROR(SUMIF(Returns!B:B, A78, Returns!H:H), 0)</f>
        <v>0</v>
      </c>
      <c r="I78" s="3">
        <v>210000.0</v>
      </c>
      <c r="J78" s="3">
        <v>18.0</v>
      </c>
      <c r="K78" s="3">
        <v>92.0</v>
      </c>
      <c r="L78" s="53">
        <f t="shared" si="1"/>
        <v>3413.910093</v>
      </c>
      <c r="M78" s="52">
        <f t="shared" si="2"/>
        <v>3980</v>
      </c>
      <c r="N78" s="54">
        <f t="shared" si="3"/>
        <v>566.0899067</v>
      </c>
      <c r="O78" s="54">
        <f t="shared" si="4"/>
        <v>186.8096692</v>
      </c>
    </row>
    <row r="79" ht="22.5" customHeight="1">
      <c r="A79" s="46" t="s">
        <v>167</v>
      </c>
      <c r="B79" s="14" t="s">
        <v>9</v>
      </c>
      <c r="C79" s="14">
        <v>80.0</v>
      </c>
      <c r="D79" s="15">
        <v>160.0</v>
      </c>
      <c r="E79" s="46">
        <v>2114.0</v>
      </c>
      <c r="F79" s="46">
        <v>2650.0</v>
      </c>
      <c r="G79" s="52">
        <f>IFERROR(SUMIF(Issues!B:B, A79, Issues!H:H), 0)</f>
        <v>2700</v>
      </c>
      <c r="H79" s="52">
        <f>IFERROR(SUMIF(Returns!B:B, A79, Returns!H:H), 0)</f>
        <v>0</v>
      </c>
      <c r="I79" s="3">
        <v>5060.0</v>
      </c>
      <c r="J79" s="3">
        <v>1.0</v>
      </c>
      <c r="K79" s="3">
        <v>92.0</v>
      </c>
      <c r="L79" s="53">
        <f t="shared" si="1"/>
        <v>1480.661578</v>
      </c>
      <c r="M79" s="52">
        <f t="shared" si="2"/>
        <v>2700</v>
      </c>
      <c r="N79" s="54">
        <f t="shared" si="3"/>
        <v>1219.338422</v>
      </c>
      <c r="O79" s="54">
        <f t="shared" si="4"/>
        <v>195.0941476</v>
      </c>
    </row>
    <row r="80" ht="22.5" customHeight="1">
      <c r="A80" s="46" t="s">
        <v>168</v>
      </c>
      <c r="B80" s="14" t="s">
        <v>9</v>
      </c>
      <c r="C80" s="14">
        <v>80.0</v>
      </c>
      <c r="D80" s="15">
        <v>160.0</v>
      </c>
      <c r="E80" s="46">
        <v>1317.0</v>
      </c>
      <c r="F80" s="46">
        <v>1536.0</v>
      </c>
      <c r="G80" s="52">
        <f>IFERROR(SUMIF(Issues!B:B, A80, Issues!H:H), 0)</f>
        <v>1600</v>
      </c>
      <c r="H80" s="52">
        <f>IFERROR(SUMIF(Returns!B:B, A80, Returns!H:H), 0)</f>
        <v>0</v>
      </c>
      <c r="I80" s="3">
        <v>6393.0</v>
      </c>
      <c r="J80" s="3">
        <v>1.0</v>
      </c>
      <c r="K80" s="3">
        <v>69.0</v>
      </c>
      <c r="L80" s="53">
        <f t="shared" si="1"/>
        <v>1403.043893</v>
      </c>
      <c r="M80" s="52">
        <f t="shared" si="2"/>
        <v>1600</v>
      </c>
      <c r="N80" s="54">
        <f t="shared" si="3"/>
        <v>196.9561069</v>
      </c>
      <c r="O80" s="54">
        <f t="shared" si="4"/>
        <v>31.5129771</v>
      </c>
    </row>
    <row r="81" ht="22.5" customHeight="1">
      <c r="A81" s="46" t="s">
        <v>169</v>
      </c>
      <c r="B81" s="14" t="s">
        <v>9</v>
      </c>
      <c r="C81" s="14">
        <v>80.0</v>
      </c>
      <c r="D81" s="15">
        <v>160.0</v>
      </c>
      <c r="E81" s="46">
        <v>98.0</v>
      </c>
      <c r="F81" s="46">
        <v>269.0</v>
      </c>
      <c r="G81" s="52">
        <f>IFERROR(SUMIF(Issues!B:B, A81, Issues!H:H), 0)</f>
        <v>1100</v>
      </c>
      <c r="H81" s="52">
        <f>IFERROR(SUMIF(Returns!B:B, A81, Returns!H:H), 0)</f>
        <v>830</v>
      </c>
      <c r="I81" s="3">
        <v>11160.0</v>
      </c>
      <c r="J81" s="3">
        <v>28.0</v>
      </c>
      <c r="K81" s="3">
        <v>72.0</v>
      </c>
      <c r="L81" s="53">
        <f t="shared" si="1"/>
        <v>91.27589967</v>
      </c>
      <c r="M81" s="52">
        <f t="shared" si="2"/>
        <v>270</v>
      </c>
      <c r="N81" s="54">
        <f t="shared" si="3"/>
        <v>178.7241003</v>
      </c>
      <c r="O81" s="54">
        <f t="shared" si="4"/>
        <v>28.59585605</v>
      </c>
    </row>
    <row r="82" ht="22.5" customHeight="1">
      <c r="A82" s="46" t="s">
        <v>171</v>
      </c>
      <c r="B82" s="14" t="s">
        <v>9</v>
      </c>
      <c r="C82" s="14">
        <v>80.0</v>
      </c>
      <c r="D82" s="15">
        <v>160.0</v>
      </c>
      <c r="E82" s="46">
        <v>82.0</v>
      </c>
      <c r="F82" s="46">
        <v>276.0</v>
      </c>
      <c r="G82" s="52">
        <f>IFERROR(SUMIF(Issues!B:B, A82, Issues!H:H), 0)</f>
        <v>1400</v>
      </c>
      <c r="H82" s="52">
        <f>IFERROR(SUMIF(Returns!B:B, A82, Returns!H:H), 0)</f>
        <v>1100</v>
      </c>
      <c r="I82" s="3">
        <v>8190.0</v>
      </c>
      <c r="J82" s="3">
        <v>28.0</v>
      </c>
      <c r="K82" s="3">
        <v>72.0</v>
      </c>
      <c r="L82" s="53">
        <f t="shared" si="1"/>
        <v>66.98473282</v>
      </c>
      <c r="M82" s="52">
        <f t="shared" si="2"/>
        <v>300</v>
      </c>
      <c r="N82" s="54">
        <f t="shared" si="3"/>
        <v>233.0152672</v>
      </c>
      <c r="O82" s="54">
        <f t="shared" si="4"/>
        <v>37.28244275</v>
      </c>
    </row>
    <row r="83" ht="22.5" customHeight="1">
      <c r="A83" s="46" t="s">
        <v>172</v>
      </c>
      <c r="B83" s="14" t="s">
        <v>9</v>
      </c>
      <c r="C83" s="14">
        <v>80.0</v>
      </c>
      <c r="D83" s="15">
        <v>160.0</v>
      </c>
      <c r="E83" s="46">
        <v>25.0</v>
      </c>
      <c r="F83" s="46">
        <v>250.0</v>
      </c>
      <c r="G83" s="52">
        <f>IFERROR(SUMIF(Issues!B:B, A83, Issues!H:H), 0)</f>
        <v>250</v>
      </c>
      <c r="H83" s="52">
        <f>IFERROR(SUMIF(Returns!B:B, A83, Returns!H:H), 0)</f>
        <v>580</v>
      </c>
      <c r="I83" s="3">
        <v>3000.0</v>
      </c>
      <c r="J83" s="3">
        <v>28.0</v>
      </c>
      <c r="K83" s="3">
        <v>72.0</v>
      </c>
      <c r="L83" s="53">
        <f t="shared" si="1"/>
        <v>24.53653217</v>
      </c>
      <c r="M83" s="52">
        <f t="shared" si="2"/>
        <v>-330</v>
      </c>
      <c r="N83" s="54">
        <f t="shared" si="3"/>
        <v>0</v>
      </c>
      <c r="O83" s="54">
        <f t="shared" si="4"/>
        <v>0</v>
      </c>
    </row>
    <row r="84" ht="22.5" customHeight="1">
      <c r="A84" s="46" t="s">
        <v>173</v>
      </c>
      <c r="B84" s="14" t="s">
        <v>43</v>
      </c>
      <c r="C84" s="14">
        <v>60.0</v>
      </c>
      <c r="D84" s="15">
        <v>100.0</v>
      </c>
      <c r="E84" s="46">
        <v>80.0</v>
      </c>
      <c r="F84" s="46">
        <v>234.0</v>
      </c>
      <c r="G84" s="52">
        <f>IFERROR(SUMIF(Issues!B:B, A84, Issues!H:H), 0)</f>
        <v>2000</v>
      </c>
      <c r="H84" s="52">
        <f>IFERROR(SUMIF(Returns!B:B, A84, Returns!H:H), 0)</f>
        <v>1760</v>
      </c>
      <c r="I84" s="52"/>
      <c r="J84" s="3">
        <v>2.0</v>
      </c>
      <c r="K84" s="3">
        <v>99.0</v>
      </c>
      <c r="L84" s="53">
        <f t="shared" si="1"/>
        <v>0</v>
      </c>
      <c r="M84" s="52">
        <f t="shared" si="2"/>
        <v>240</v>
      </c>
      <c r="N84" s="54">
        <f t="shared" si="3"/>
        <v>240</v>
      </c>
      <c r="O84" s="54">
        <f t="shared" si="4"/>
        <v>24</v>
      </c>
    </row>
    <row r="85" ht="22.5" customHeight="1">
      <c r="A85" s="46" t="s">
        <v>174</v>
      </c>
      <c r="B85" s="14" t="s">
        <v>43</v>
      </c>
      <c r="C85" s="14">
        <v>60.0</v>
      </c>
      <c r="D85" s="15">
        <v>160.0</v>
      </c>
      <c r="E85" s="46">
        <v>435.0</v>
      </c>
      <c r="F85" s="46">
        <v>638.0</v>
      </c>
      <c r="G85" s="52">
        <f>IFERROR(SUMIF(Issues!B:B, A85, Issues!H:H), 0)</f>
        <v>1960</v>
      </c>
      <c r="H85" s="52">
        <f>IFERROR(SUMIF(Returns!B:B, A85, Returns!H:H), 0)</f>
        <v>1300</v>
      </c>
      <c r="I85" s="52"/>
      <c r="J85" s="3">
        <v>2.0</v>
      </c>
      <c r="K85" s="3">
        <v>66.0</v>
      </c>
      <c r="L85" s="53">
        <f t="shared" si="1"/>
        <v>0</v>
      </c>
      <c r="M85" s="52">
        <f t="shared" si="2"/>
        <v>660</v>
      </c>
      <c r="N85" s="54">
        <f t="shared" si="3"/>
        <v>660</v>
      </c>
      <c r="O85" s="54">
        <f t="shared" si="4"/>
        <v>105.6</v>
      </c>
    </row>
    <row r="86" ht="22.5" customHeight="1">
      <c r="A86" s="46" t="s">
        <v>175</v>
      </c>
      <c r="B86" s="14" t="s">
        <v>9</v>
      </c>
      <c r="C86" s="14">
        <v>80.0</v>
      </c>
      <c r="D86" s="15">
        <v>160.0</v>
      </c>
      <c r="E86" s="46">
        <v>394.0</v>
      </c>
      <c r="F86" s="46">
        <v>670.0</v>
      </c>
      <c r="G86" s="52">
        <f>IFERROR(SUMIF(Issues!B:B, A86, Issues!H:H), 0)</f>
        <v>900</v>
      </c>
      <c r="H86" s="52">
        <f>IFERROR(SUMIF(Returns!B:B, A86, Returns!H:H), 0)</f>
        <v>180</v>
      </c>
      <c r="I86" s="3">
        <v>4580.0</v>
      </c>
      <c r="J86" s="3">
        <v>4.0</v>
      </c>
      <c r="K86" s="3">
        <v>99.0</v>
      </c>
      <c r="L86" s="53">
        <f t="shared" si="1"/>
        <v>360.5438931</v>
      </c>
      <c r="M86" s="52">
        <f t="shared" si="2"/>
        <v>720</v>
      </c>
      <c r="N86" s="54">
        <f t="shared" si="3"/>
        <v>359.4561069</v>
      </c>
      <c r="O86" s="54">
        <f t="shared" si="4"/>
        <v>57.5129771</v>
      </c>
    </row>
    <row r="87" ht="22.5" customHeight="1">
      <c r="A87" s="46" t="s">
        <v>177</v>
      </c>
      <c r="B87" s="14" t="s">
        <v>9</v>
      </c>
      <c r="C87" s="14">
        <v>80.0</v>
      </c>
      <c r="D87" s="15">
        <v>185.0</v>
      </c>
      <c r="E87" s="46">
        <v>3436.0</v>
      </c>
      <c r="F87" s="46">
        <v>3790.0</v>
      </c>
      <c r="G87" s="52">
        <f>IFERROR(SUMIF(Issues!B:B, A87, Issues!H:H), 0)</f>
        <v>4790</v>
      </c>
      <c r="H87" s="52">
        <f>IFERROR(SUMIF(Returns!B:B, A87, Returns!H:H), 0)</f>
        <v>1000</v>
      </c>
      <c r="I87" s="3">
        <v>31180.0</v>
      </c>
      <c r="J87" s="3">
        <v>2.0</v>
      </c>
      <c r="K87" s="3">
        <v>72.0</v>
      </c>
      <c r="L87" s="53">
        <f t="shared" si="1"/>
        <v>3570.229008</v>
      </c>
      <c r="M87" s="52">
        <f t="shared" si="2"/>
        <v>3790</v>
      </c>
      <c r="N87" s="54">
        <f t="shared" si="3"/>
        <v>219.7709924</v>
      </c>
      <c r="O87" s="54">
        <f t="shared" si="4"/>
        <v>40.65763359</v>
      </c>
    </row>
    <row r="88" ht="22.5" customHeight="1">
      <c r="A88" s="46" t="s">
        <v>178</v>
      </c>
      <c r="B88" s="14" t="s">
        <v>9</v>
      </c>
      <c r="C88" s="14">
        <v>80.0</v>
      </c>
      <c r="D88" s="15">
        <v>290.0</v>
      </c>
      <c r="E88" s="46">
        <v>747.0</v>
      </c>
      <c r="F88" s="46">
        <v>922.0</v>
      </c>
      <c r="G88" s="52">
        <f>IFERROR(SUMIF(Issues!B:B, A88, Issues!H:H), 0)</f>
        <v>1000</v>
      </c>
      <c r="H88" s="52">
        <f>IFERROR(SUMIF(Returns!B:B, A88, Returns!H:H), 0)</f>
        <v>0</v>
      </c>
      <c r="I88" s="3">
        <v>5460.0</v>
      </c>
      <c r="J88" s="3">
        <v>2.0</v>
      </c>
      <c r="K88" s="3">
        <v>94.0</v>
      </c>
      <c r="L88" s="53">
        <f t="shared" si="1"/>
        <v>816.221374</v>
      </c>
      <c r="M88" s="52">
        <f t="shared" si="2"/>
        <v>1000</v>
      </c>
      <c r="N88" s="54">
        <f t="shared" si="3"/>
        <v>183.778626</v>
      </c>
      <c r="O88" s="54">
        <f t="shared" si="4"/>
        <v>53.29580153</v>
      </c>
    </row>
    <row r="89" ht="22.5" customHeight="1">
      <c r="A89" s="46" t="s">
        <v>179</v>
      </c>
      <c r="B89" s="14" t="s">
        <v>9</v>
      </c>
      <c r="C89" s="14">
        <v>80.0</v>
      </c>
      <c r="D89" s="15">
        <v>125.0</v>
      </c>
      <c r="E89" s="46">
        <v>1013.0</v>
      </c>
      <c r="F89" s="46">
        <v>1185.0</v>
      </c>
      <c r="G89" s="52">
        <f>IFERROR(SUMIF(Issues!B:B, A89, Issues!H:H), 0)</f>
        <v>2100</v>
      </c>
      <c r="H89" s="52">
        <f>IFERROR(SUMIF(Returns!B:B, A89, Returns!H:H), 0)</f>
        <v>900</v>
      </c>
      <c r="I89" s="3">
        <v>6770.0</v>
      </c>
      <c r="J89" s="3">
        <v>2.0</v>
      </c>
      <c r="K89" s="3">
        <v>108.0</v>
      </c>
      <c r="L89" s="53">
        <f t="shared" si="1"/>
        <v>1162.78626</v>
      </c>
      <c r="M89" s="52">
        <f t="shared" si="2"/>
        <v>1200</v>
      </c>
      <c r="N89" s="54">
        <f t="shared" si="3"/>
        <v>37.21374046</v>
      </c>
      <c r="O89" s="54">
        <f t="shared" si="4"/>
        <v>4.651717557</v>
      </c>
    </row>
    <row r="90" ht="22.5" customHeight="1">
      <c r="A90" s="46" t="s">
        <v>180</v>
      </c>
      <c r="B90" s="14" t="s">
        <v>9</v>
      </c>
      <c r="C90" s="14">
        <v>80.0</v>
      </c>
      <c r="D90" s="15">
        <v>320.0</v>
      </c>
      <c r="E90" s="46">
        <v>2451.0</v>
      </c>
      <c r="F90" s="46">
        <v>2751.0</v>
      </c>
      <c r="G90" s="52">
        <f>IFERROR(SUMIF(Issues!B:B, A90, Issues!H:H), 0)</f>
        <v>4000</v>
      </c>
      <c r="H90" s="52">
        <f>IFERROR(SUMIF(Returns!B:B, A90, Returns!H:H), 0)</f>
        <v>1240</v>
      </c>
      <c r="I90" s="3">
        <v>69500.0</v>
      </c>
      <c r="J90" s="3">
        <v>8.0</v>
      </c>
      <c r="K90" s="3">
        <v>94.0</v>
      </c>
      <c r="L90" s="53">
        <f t="shared" si="1"/>
        <v>2597.407761</v>
      </c>
      <c r="M90" s="52">
        <f t="shared" si="2"/>
        <v>2760</v>
      </c>
      <c r="N90" s="54">
        <f t="shared" si="3"/>
        <v>162.5922392</v>
      </c>
      <c r="O90" s="54">
        <f t="shared" si="4"/>
        <v>52.02951654</v>
      </c>
    </row>
    <row r="91" ht="22.5" customHeight="1">
      <c r="A91" s="46" t="s">
        <v>181</v>
      </c>
      <c r="B91" s="14" t="s">
        <v>26</v>
      </c>
      <c r="C91" s="14">
        <v>80.0</v>
      </c>
      <c r="D91" s="15">
        <v>140.0</v>
      </c>
      <c r="E91" s="46">
        <v>1097.0</v>
      </c>
      <c r="F91" s="46">
        <v>1427.0</v>
      </c>
      <c r="G91" s="52">
        <f>IFERROR(SUMIF(Issues!B:B, A91, Issues!H:H), 0)</f>
        <v>1500</v>
      </c>
      <c r="H91" s="52">
        <f>IFERROR(SUMIF(Returns!B:B, A91, Returns!H:H), 0)</f>
        <v>0</v>
      </c>
      <c r="I91" s="3">
        <v>5450.0</v>
      </c>
      <c r="J91" s="3">
        <v>1.0</v>
      </c>
      <c r="K91" s="3">
        <v>69.0</v>
      </c>
      <c r="L91" s="53">
        <f t="shared" si="1"/>
        <v>1196.087786</v>
      </c>
      <c r="M91" s="52">
        <f t="shared" si="2"/>
        <v>1500</v>
      </c>
      <c r="N91" s="54">
        <f t="shared" si="3"/>
        <v>303.9122137</v>
      </c>
      <c r="O91" s="54">
        <f t="shared" si="4"/>
        <v>42.54770992</v>
      </c>
    </row>
    <row r="92" ht="22.5" customHeight="1">
      <c r="A92" s="46" t="s">
        <v>182</v>
      </c>
      <c r="B92" s="14" t="s">
        <v>26</v>
      </c>
      <c r="C92" s="14">
        <v>80.0</v>
      </c>
      <c r="D92" s="15">
        <v>280.0</v>
      </c>
      <c r="E92" s="46">
        <v>1024.0</v>
      </c>
      <c r="F92" s="46">
        <v>1500.0</v>
      </c>
      <c r="G92" s="52">
        <f>IFERROR(SUMIF(Issues!B:B, A92, Issues!H:H), 0)</f>
        <v>1500</v>
      </c>
      <c r="H92" s="52">
        <f>IFERROR(SUMIF(Returns!B:B, A92, Returns!H:H), 0)</f>
        <v>0</v>
      </c>
      <c r="I92" s="3">
        <v>7220.0</v>
      </c>
      <c r="J92" s="3">
        <v>1.0</v>
      </c>
      <c r="K92" s="3">
        <v>92.0</v>
      </c>
      <c r="L92" s="53">
        <f t="shared" si="1"/>
        <v>2112.722646</v>
      </c>
      <c r="M92" s="52">
        <f t="shared" si="2"/>
        <v>1500</v>
      </c>
      <c r="N92" s="54">
        <f t="shared" si="3"/>
        <v>0</v>
      </c>
      <c r="O92" s="54">
        <f t="shared" si="4"/>
        <v>0</v>
      </c>
    </row>
    <row r="93" ht="22.5" customHeight="1">
      <c r="A93" s="46" t="s">
        <v>183</v>
      </c>
      <c r="B93" s="14" t="s">
        <v>9</v>
      </c>
      <c r="C93" s="14">
        <v>80.0</v>
      </c>
      <c r="D93" s="15">
        <v>180.0</v>
      </c>
      <c r="E93" s="46">
        <v>283.0</v>
      </c>
      <c r="F93" s="46">
        <v>528.0</v>
      </c>
      <c r="G93" s="52">
        <f>IFERROR(SUMIF(Issues!B:B, A93, Issues!H:H), 0)</f>
        <v>600</v>
      </c>
      <c r="H93" s="52">
        <f>IFERROR(SUMIF(Returns!B:B, A93, Returns!H:H), 0)</f>
        <v>0</v>
      </c>
      <c r="I93" s="3">
        <v>1490.0</v>
      </c>
      <c r="J93" s="3">
        <v>1.0</v>
      </c>
      <c r="K93" s="3">
        <v>89.0</v>
      </c>
      <c r="L93" s="53">
        <f t="shared" si="1"/>
        <v>421.7875318</v>
      </c>
      <c r="M93" s="52">
        <f t="shared" si="2"/>
        <v>600</v>
      </c>
      <c r="N93" s="54">
        <f t="shared" si="3"/>
        <v>178.2124682</v>
      </c>
      <c r="O93" s="54">
        <f t="shared" si="4"/>
        <v>32.07824427</v>
      </c>
    </row>
    <row r="94" ht="22.5" customHeight="1">
      <c r="A94" s="46" t="s">
        <v>184</v>
      </c>
      <c r="B94" s="14" t="s">
        <v>9</v>
      </c>
      <c r="C94" s="14">
        <v>80.0</v>
      </c>
      <c r="D94" s="15">
        <v>290.0</v>
      </c>
      <c r="E94" s="46">
        <v>747.0</v>
      </c>
      <c r="F94" s="46">
        <v>997.0</v>
      </c>
      <c r="G94" s="52">
        <f>IFERROR(SUMIF(Issues!B:B, A94, Issues!H:H), 0)</f>
        <v>2200</v>
      </c>
      <c r="H94" s="52">
        <f>IFERROR(SUMIF(Returns!B:B, A94, Returns!H:H), 0)</f>
        <v>1200</v>
      </c>
      <c r="I94" s="3">
        <v>5900.0</v>
      </c>
      <c r="J94" s="3">
        <v>2.0</v>
      </c>
      <c r="K94" s="3">
        <v>94.0</v>
      </c>
      <c r="L94" s="53">
        <f t="shared" si="1"/>
        <v>881.9974555</v>
      </c>
      <c r="M94" s="52">
        <f t="shared" si="2"/>
        <v>1000</v>
      </c>
      <c r="N94" s="54">
        <f t="shared" si="3"/>
        <v>118.0025445</v>
      </c>
      <c r="O94" s="54">
        <f t="shared" si="4"/>
        <v>34.22073791</v>
      </c>
    </row>
    <row r="95" ht="22.5" customHeight="1">
      <c r="A95" s="46" t="s">
        <v>185</v>
      </c>
      <c r="B95" s="14" t="s">
        <v>9</v>
      </c>
      <c r="C95" s="14">
        <v>80.0</v>
      </c>
      <c r="D95" s="15">
        <v>290.0</v>
      </c>
      <c r="E95" s="46">
        <v>1495.0</v>
      </c>
      <c r="F95" s="46">
        <v>1770.0</v>
      </c>
      <c r="G95" s="52">
        <f>IFERROR(SUMIF(Issues!B:B, A95, Issues!H:H), 0)</f>
        <v>2000</v>
      </c>
      <c r="H95" s="52">
        <f>IFERROR(SUMIF(Returns!B:B, A95, Returns!H:H), 0)</f>
        <v>200</v>
      </c>
      <c r="I95" s="3">
        <v>7640.0</v>
      </c>
      <c r="J95" s="3">
        <v>2.0</v>
      </c>
      <c r="K95" s="3">
        <v>94.0</v>
      </c>
      <c r="L95" s="53">
        <f t="shared" si="1"/>
        <v>1142.111959</v>
      </c>
      <c r="M95" s="52">
        <f t="shared" si="2"/>
        <v>1800</v>
      </c>
      <c r="N95" s="54">
        <f t="shared" si="3"/>
        <v>657.8880407</v>
      </c>
      <c r="O95" s="54">
        <f t="shared" si="4"/>
        <v>190.7875318</v>
      </c>
    </row>
    <row r="96" ht="22.5" customHeight="1">
      <c r="A96" s="46" t="s">
        <v>186</v>
      </c>
      <c r="B96" s="14" t="s">
        <v>9</v>
      </c>
      <c r="C96" s="14">
        <v>80.0</v>
      </c>
      <c r="D96" s="15">
        <v>210.0</v>
      </c>
      <c r="E96" s="46">
        <v>3812.0</v>
      </c>
      <c r="F96" s="46">
        <v>4155.0</v>
      </c>
      <c r="G96" s="52">
        <f>IFERROR(SUMIF(Issues!B:B, A96, Issues!H:H), 0)</f>
        <v>6000</v>
      </c>
      <c r="H96" s="52">
        <f>IFERROR(SUMIF(Returns!B:B, A96, Returns!H:H), 0)</f>
        <v>1800</v>
      </c>
      <c r="I96" s="3">
        <v>11300.0</v>
      </c>
      <c r="J96" s="3">
        <v>1.0</v>
      </c>
      <c r="K96" s="3">
        <v>112.0</v>
      </c>
      <c r="L96" s="53">
        <f t="shared" si="1"/>
        <v>4025.445293</v>
      </c>
      <c r="M96" s="52">
        <f t="shared" si="2"/>
        <v>4200</v>
      </c>
      <c r="N96" s="54">
        <f t="shared" si="3"/>
        <v>174.5547074</v>
      </c>
      <c r="O96" s="54">
        <f t="shared" si="4"/>
        <v>36.65648855</v>
      </c>
    </row>
    <row r="97" ht="22.5" customHeight="1">
      <c r="A97" s="46" t="s">
        <v>187</v>
      </c>
      <c r="B97" s="14" t="s">
        <v>9</v>
      </c>
      <c r="C97" s="14">
        <v>80.0</v>
      </c>
      <c r="D97" s="15">
        <v>160.0</v>
      </c>
      <c r="E97" s="46">
        <v>1273.0</v>
      </c>
      <c r="F97" s="46">
        <v>1400.0</v>
      </c>
      <c r="G97" s="52">
        <f>IFERROR(SUMIF(Issues!B:B, A97, Issues!H:H), 0)</f>
        <v>2000</v>
      </c>
      <c r="H97" s="52">
        <f>IFERROR(SUMIF(Returns!B:B, A97, Returns!H:H), 0)</f>
        <v>550</v>
      </c>
      <c r="I97" s="52"/>
      <c r="J97" s="3">
        <v>1.0</v>
      </c>
      <c r="K97" s="3">
        <v>92.0</v>
      </c>
      <c r="L97" s="53">
        <f t="shared" si="1"/>
        <v>0</v>
      </c>
      <c r="M97" s="52">
        <f t="shared" si="2"/>
        <v>1450</v>
      </c>
      <c r="N97" s="54">
        <f t="shared" si="3"/>
        <v>1450</v>
      </c>
      <c r="O97" s="54">
        <f t="shared" si="4"/>
        <v>232</v>
      </c>
    </row>
    <row r="98" ht="22.5" customHeight="1">
      <c r="A98" s="46" t="s">
        <v>188</v>
      </c>
      <c r="B98" s="14" t="s">
        <v>43</v>
      </c>
      <c r="C98" s="14">
        <v>50.0</v>
      </c>
      <c r="D98" s="15">
        <v>160.0</v>
      </c>
      <c r="E98" s="46">
        <v>76.0</v>
      </c>
      <c r="F98" s="46">
        <v>240.0</v>
      </c>
      <c r="G98" s="52">
        <f>IFERROR(SUMIF(Issues!B:B, A98, Issues!H:H), 0)</f>
        <v>600</v>
      </c>
      <c r="H98" s="52">
        <f>IFERROR(SUMIF(Returns!B:B, A98, Returns!H:H), 0)</f>
        <v>300</v>
      </c>
      <c r="I98" s="52"/>
      <c r="J98" s="3">
        <v>2.0</v>
      </c>
      <c r="K98" s="3">
        <v>94.0</v>
      </c>
      <c r="L98" s="53">
        <f t="shared" si="1"/>
        <v>0</v>
      </c>
      <c r="M98" s="52">
        <f t="shared" si="2"/>
        <v>300</v>
      </c>
      <c r="N98" s="54">
        <f t="shared" si="3"/>
        <v>300</v>
      </c>
      <c r="O98" s="54">
        <f t="shared" si="4"/>
        <v>48</v>
      </c>
    </row>
    <row r="99" ht="22.5" customHeight="1">
      <c r="A99" s="46" t="s">
        <v>189</v>
      </c>
      <c r="B99" s="14" t="s">
        <v>9</v>
      </c>
      <c r="C99" s="14">
        <v>80.0</v>
      </c>
      <c r="D99" s="15">
        <v>330.0</v>
      </c>
      <c r="E99" s="46">
        <v>157.0</v>
      </c>
      <c r="F99" s="46">
        <v>363.0</v>
      </c>
      <c r="G99" s="52">
        <f>IFERROR(SUMIF(Issues!B:B, A99, Issues!H:H), 0)</f>
        <v>1100</v>
      </c>
      <c r="H99" s="52">
        <f>IFERROR(SUMIF(Returns!B:B, A99, Returns!H:H), 0)</f>
        <v>700</v>
      </c>
      <c r="I99" s="3">
        <v>4240.0</v>
      </c>
      <c r="J99" s="3">
        <v>4.0</v>
      </c>
      <c r="K99" s="3">
        <v>66.0</v>
      </c>
      <c r="L99" s="53">
        <f t="shared" si="1"/>
        <v>222.519084</v>
      </c>
      <c r="M99" s="52">
        <f t="shared" si="2"/>
        <v>400</v>
      </c>
      <c r="N99" s="54">
        <f t="shared" si="3"/>
        <v>177.480916</v>
      </c>
      <c r="O99" s="54">
        <f t="shared" si="4"/>
        <v>58.56870229</v>
      </c>
    </row>
    <row r="100" ht="22.5" customHeight="1">
      <c r="A100" s="46" t="s">
        <v>190</v>
      </c>
      <c r="B100" s="14" t="s">
        <v>9</v>
      </c>
      <c r="C100" s="14">
        <v>80.0</v>
      </c>
      <c r="D100" s="15">
        <v>180.0</v>
      </c>
      <c r="E100" s="46">
        <v>335.0</v>
      </c>
      <c r="F100" s="46">
        <v>523.0</v>
      </c>
      <c r="G100" s="52">
        <f>IFERROR(SUMIF(Issues!B:B, A100, Issues!H:H), 0)</f>
        <v>2000</v>
      </c>
      <c r="H100" s="52">
        <f>IFERROR(SUMIF(Returns!B:B, A100, Returns!H:H), 0)</f>
        <v>1450</v>
      </c>
      <c r="I100" s="3">
        <v>6000.0</v>
      </c>
      <c r="J100" s="3">
        <v>6.0</v>
      </c>
      <c r="K100" s="3">
        <v>108.0</v>
      </c>
      <c r="L100" s="53">
        <f t="shared" si="1"/>
        <v>343.5114504</v>
      </c>
      <c r="M100" s="52">
        <f t="shared" si="2"/>
        <v>550</v>
      </c>
      <c r="N100" s="54">
        <f t="shared" si="3"/>
        <v>206.4885496</v>
      </c>
      <c r="O100" s="54">
        <f t="shared" si="4"/>
        <v>37.16793893</v>
      </c>
    </row>
    <row r="101" ht="22.5" customHeight="1">
      <c r="A101" s="46" t="s">
        <v>191</v>
      </c>
      <c r="B101" s="14" t="s">
        <v>9</v>
      </c>
      <c r="C101" s="14">
        <v>80.0</v>
      </c>
      <c r="D101" s="15">
        <v>125.0</v>
      </c>
      <c r="E101" s="46">
        <v>389.0</v>
      </c>
      <c r="F101" s="46">
        <v>565.0</v>
      </c>
      <c r="G101" s="52">
        <f>IFERROR(SUMIF(Issues!B:B, A101, Issues!H:H), 0)</f>
        <v>650</v>
      </c>
      <c r="H101" s="52">
        <f>IFERROR(SUMIF(Returns!B:B, A101, Returns!H:H), 0)</f>
        <v>0</v>
      </c>
      <c r="I101" s="3">
        <v>1920.0</v>
      </c>
      <c r="J101" s="3">
        <v>1.0</v>
      </c>
      <c r="K101" s="3">
        <v>72.0</v>
      </c>
      <c r="L101" s="53">
        <f t="shared" si="1"/>
        <v>439.6946565</v>
      </c>
      <c r="M101" s="52">
        <f t="shared" si="2"/>
        <v>650</v>
      </c>
      <c r="N101" s="54">
        <f t="shared" si="3"/>
        <v>210.3053435</v>
      </c>
      <c r="O101" s="54">
        <f t="shared" si="4"/>
        <v>26.28816794</v>
      </c>
    </row>
    <row r="102" ht="22.5" customHeight="1">
      <c r="A102" s="46" t="s">
        <v>192</v>
      </c>
      <c r="B102" s="14" t="s">
        <v>9</v>
      </c>
      <c r="C102" s="14">
        <v>80.0</v>
      </c>
      <c r="D102" s="15">
        <v>230.0</v>
      </c>
      <c r="E102" s="46">
        <v>5937.0</v>
      </c>
      <c r="F102" s="46">
        <v>6300.0</v>
      </c>
      <c r="G102" s="52">
        <f>IFERROR(SUMIF(Issues!B:B, A102, Issues!H:H), 0)</f>
        <v>8000</v>
      </c>
      <c r="H102" s="52">
        <f>IFERROR(SUMIF(Returns!B:B, A102, Returns!H:H), 0)</f>
        <v>1000</v>
      </c>
      <c r="I102" s="3">
        <v>51780.0</v>
      </c>
      <c r="J102" s="3">
        <v>3.0</v>
      </c>
      <c r="K102" s="3">
        <v>112.0</v>
      </c>
      <c r="L102" s="53">
        <f t="shared" si="1"/>
        <v>6148.600509</v>
      </c>
      <c r="M102" s="52">
        <f t="shared" si="2"/>
        <v>7000</v>
      </c>
      <c r="N102" s="54">
        <f t="shared" si="3"/>
        <v>851.3994911</v>
      </c>
      <c r="O102" s="54">
        <f t="shared" si="4"/>
        <v>195.821883</v>
      </c>
    </row>
    <row r="103" ht="22.5" customHeight="1">
      <c r="A103" s="46" t="s">
        <v>194</v>
      </c>
      <c r="B103" s="14" t="s">
        <v>9</v>
      </c>
      <c r="C103" s="14">
        <v>80.0</v>
      </c>
      <c r="D103" s="15">
        <v>250.0</v>
      </c>
      <c r="E103" s="46">
        <v>954.0</v>
      </c>
      <c r="F103" s="46">
        <v>1100.0</v>
      </c>
      <c r="G103" s="52">
        <f>IFERROR(SUMIF(Issues!B:B, A103, Issues!H:H), 0)</f>
        <v>2000</v>
      </c>
      <c r="H103" s="52">
        <f>IFERROR(SUMIF(Returns!B:B, A103, Returns!H:H), 0)</f>
        <v>850</v>
      </c>
      <c r="I103" s="3">
        <v>12870.0</v>
      </c>
      <c r="J103" s="3">
        <v>3.0</v>
      </c>
      <c r="K103" s="3">
        <v>75.0</v>
      </c>
      <c r="L103" s="53">
        <f t="shared" si="1"/>
        <v>1023.377863</v>
      </c>
      <c r="M103" s="52">
        <f t="shared" si="2"/>
        <v>1150</v>
      </c>
      <c r="N103" s="54">
        <f t="shared" si="3"/>
        <v>126.6221374</v>
      </c>
      <c r="O103" s="54">
        <f t="shared" si="4"/>
        <v>31.65553435</v>
      </c>
    </row>
    <row r="104" ht="22.5" customHeight="1">
      <c r="A104" s="46" t="s">
        <v>195</v>
      </c>
      <c r="B104" s="14" t="s">
        <v>9</v>
      </c>
      <c r="C104" s="14">
        <v>80.0</v>
      </c>
      <c r="D104" s="15">
        <v>170.0</v>
      </c>
      <c r="E104" s="46">
        <v>369.0</v>
      </c>
      <c r="F104" s="46">
        <v>567.0</v>
      </c>
      <c r="G104" s="52">
        <f>IFERROR(SUMIF(Issues!B:B, A104, Issues!H:H), 0)</f>
        <v>2050</v>
      </c>
      <c r="H104" s="52">
        <f>IFERROR(SUMIF(Returns!B:B, A104, Returns!H:H), 0)</f>
        <v>1450</v>
      </c>
      <c r="I104" s="3">
        <v>4800.0</v>
      </c>
      <c r="J104" s="3">
        <v>4.0</v>
      </c>
      <c r="K104" s="3">
        <v>116.0</v>
      </c>
      <c r="L104" s="53">
        <f t="shared" si="1"/>
        <v>442.7480916</v>
      </c>
      <c r="M104" s="52">
        <f t="shared" si="2"/>
        <v>600</v>
      </c>
      <c r="N104" s="54">
        <f t="shared" si="3"/>
        <v>157.2519084</v>
      </c>
      <c r="O104" s="54">
        <f t="shared" si="4"/>
        <v>26.73282443</v>
      </c>
    </row>
    <row r="105" ht="22.5" customHeight="1">
      <c r="A105" s="46" t="s">
        <v>196</v>
      </c>
      <c r="B105" s="14" t="s">
        <v>9</v>
      </c>
      <c r="C105" s="14">
        <v>80.0</v>
      </c>
      <c r="D105" s="15">
        <v>160.0</v>
      </c>
      <c r="E105" s="46">
        <v>859.0</v>
      </c>
      <c r="F105" s="46">
        <v>1185.0</v>
      </c>
      <c r="G105" s="52">
        <f>IFERROR(SUMIF(Issues!B:B, A105, Issues!H:H), 0)</f>
        <v>1900</v>
      </c>
      <c r="H105" s="52">
        <f>IFERROR(SUMIF(Returns!B:B, A105, Returns!H:H), 0)</f>
        <v>700</v>
      </c>
      <c r="I105" s="3">
        <v>1800.0</v>
      </c>
      <c r="J105" s="3">
        <v>1.0</v>
      </c>
      <c r="K105" s="3">
        <v>180.0</v>
      </c>
      <c r="L105" s="53">
        <f t="shared" si="1"/>
        <v>1030.534351</v>
      </c>
      <c r="M105" s="52">
        <f t="shared" si="2"/>
        <v>1200</v>
      </c>
      <c r="N105" s="54">
        <f t="shared" si="3"/>
        <v>169.4656489</v>
      </c>
      <c r="O105" s="54">
        <f t="shared" si="4"/>
        <v>27.11450382</v>
      </c>
    </row>
    <row r="106" ht="22.5" customHeight="1">
      <c r="A106" s="46" t="s">
        <v>197</v>
      </c>
      <c r="B106" s="14" t="s">
        <v>9</v>
      </c>
      <c r="C106" s="14">
        <v>80.0</v>
      </c>
      <c r="D106" s="15">
        <v>290.0</v>
      </c>
      <c r="E106" s="46">
        <v>747.0</v>
      </c>
      <c r="F106" s="46">
        <v>931.0</v>
      </c>
      <c r="G106" s="52">
        <f>IFERROR(SUMIF(Issues!B:B, A106, Issues!H:H), 0)</f>
        <v>2000</v>
      </c>
      <c r="H106" s="52">
        <f>IFERROR(SUMIF(Returns!B:B, A106, Returns!H:H), 0)</f>
        <v>1030</v>
      </c>
      <c r="I106" s="3">
        <v>5340.0</v>
      </c>
      <c r="J106" s="3">
        <v>2.0</v>
      </c>
      <c r="K106" s="3">
        <v>94.0</v>
      </c>
      <c r="L106" s="53">
        <f t="shared" si="1"/>
        <v>798.2824427</v>
      </c>
      <c r="M106" s="52">
        <f t="shared" si="2"/>
        <v>970</v>
      </c>
      <c r="N106" s="54">
        <f t="shared" si="3"/>
        <v>171.7175573</v>
      </c>
      <c r="O106" s="54">
        <f t="shared" si="4"/>
        <v>49.7980916</v>
      </c>
    </row>
    <row r="107" ht="22.5" customHeight="1">
      <c r="A107" s="46" t="s">
        <v>198</v>
      </c>
      <c r="B107" s="14" t="s">
        <v>43</v>
      </c>
      <c r="C107" s="14">
        <v>50.0</v>
      </c>
      <c r="D107" s="15">
        <v>190.0</v>
      </c>
      <c r="E107" s="46">
        <v>600.0</v>
      </c>
      <c r="F107" s="46">
        <v>886.0</v>
      </c>
      <c r="G107" s="52">
        <f>IFERROR(SUMIF(Issues!B:B, A107, Issues!H:H), 0)</f>
        <v>1050</v>
      </c>
      <c r="H107" s="52">
        <f>IFERROR(SUMIF(Returns!B:B, A107, Returns!H:H), 0)</f>
        <v>100</v>
      </c>
      <c r="I107" s="3">
        <v>4600.0</v>
      </c>
      <c r="J107" s="3">
        <v>2.0</v>
      </c>
      <c r="K107" s="3">
        <v>94.0</v>
      </c>
      <c r="L107" s="53">
        <f t="shared" si="1"/>
        <v>687.6590331</v>
      </c>
      <c r="M107" s="52">
        <f t="shared" si="2"/>
        <v>950</v>
      </c>
      <c r="N107" s="54">
        <f t="shared" si="3"/>
        <v>262.3409669</v>
      </c>
      <c r="O107" s="54">
        <f t="shared" si="4"/>
        <v>49.84478372</v>
      </c>
    </row>
    <row r="108" ht="22.5" customHeight="1">
      <c r="A108" s="46" t="s">
        <v>200</v>
      </c>
      <c r="B108" s="14" t="s">
        <v>9</v>
      </c>
      <c r="C108" s="14">
        <v>80.0</v>
      </c>
      <c r="D108" s="15">
        <v>230.0</v>
      </c>
      <c r="E108" s="46">
        <v>3562.0</v>
      </c>
      <c r="F108" s="46">
        <v>4300.0</v>
      </c>
      <c r="G108" s="52">
        <f>IFERROR(SUMIF(Issues!B:B, A108, Issues!H:H), 0)</f>
        <v>5050</v>
      </c>
      <c r="H108" s="52">
        <f>IFERROR(SUMIF(Returns!B:B, A108, Returns!H:H), 0)</f>
        <v>500</v>
      </c>
      <c r="I108" s="3">
        <v>32870.0</v>
      </c>
      <c r="J108" s="3">
        <v>3.0</v>
      </c>
      <c r="K108" s="3">
        <v>112.0</v>
      </c>
      <c r="L108" s="53">
        <f t="shared" si="1"/>
        <v>3903.138253</v>
      </c>
      <c r="M108" s="52">
        <f t="shared" si="2"/>
        <v>4550</v>
      </c>
      <c r="N108" s="54">
        <f t="shared" si="3"/>
        <v>646.8617472</v>
      </c>
      <c r="O108" s="54">
        <f t="shared" si="4"/>
        <v>148.7782019</v>
      </c>
    </row>
    <row r="109" ht="22.5" customHeight="1">
      <c r="A109" s="46" t="s">
        <v>201</v>
      </c>
      <c r="B109" s="14" t="s">
        <v>9</v>
      </c>
      <c r="C109" s="14">
        <v>80.0</v>
      </c>
      <c r="D109" s="15">
        <v>250.0</v>
      </c>
      <c r="E109" s="46">
        <v>11874.0</v>
      </c>
      <c r="F109" s="46">
        <v>12736.0</v>
      </c>
      <c r="G109" s="52">
        <f>IFERROR(SUMIF(Issues!B:B, A109, Issues!H:H), 0)</f>
        <v>12750</v>
      </c>
      <c r="H109" s="52">
        <f>IFERROR(SUMIF(Returns!B:B, A109, Returns!H:H), 0)</f>
        <v>0</v>
      </c>
      <c r="I109" s="3">
        <v>103020.0</v>
      </c>
      <c r="J109" s="3">
        <v>3.0</v>
      </c>
      <c r="K109" s="3">
        <v>112.0</v>
      </c>
      <c r="L109" s="53">
        <f t="shared" si="1"/>
        <v>12233.07888</v>
      </c>
      <c r="M109" s="52">
        <f t="shared" si="2"/>
        <v>12750</v>
      </c>
      <c r="N109" s="54">
        <f t="shared" si="3"/>
        <v>516.9211196</v>
      </c>
      <c r="O109" s="54">
        <f t="shared" si="4"/>
        <v>129.2302799</v>
      </c>
    </row>
    <row r="110" ht="22.5" customHeight="1">
      <c r="A110" s="46" t="s">
        <v>202</v>
      </c>
      <c r="B110" s="14" t="s">
        <v>9</v>
      </c>
      <c r="C110" s="14">
        <v>80.0</v>
      </c>
      <c r="D110" s="15">
        <v>170.0</v>
      </c>
      <c r="E110" s="46">
        <v>2212.0</v>
      </c>
      <c r="F110" s="46">
        <v>2620.0</v>
      </c>
      <c r="G110" s="52">
        <f>IFERROR(SUMIF(Issues!B:B, A110, Issues!H:H), 0)</f>
        <v>2800</v>
      </c>
      <c r="H110" s="52">
        <f>IFERROR(SUMIF(Returns!B:B, A110, Returns!H:H), 0)</f>
        <v>180</v>
      </c>
      <c r="I110" s="3">
        <v>7990.0</v>
      </c>
      <c r="J110" s="3">
        <v>1.0</v>
      </c>
      <c r="K110" s="3">
        <v>94.0</v>
      </c>
      <c r="L110" s="53">
        <f t="shared" si="1"/>
        <v>2388.867684</v>
      </c>
      <c r="M110" s="52">
        <f t="shared" si="2"/>
        <v>2620</v>
      </c>
      <c r="N110" s="54">
        <f t="shared" si="3"/>
        <v>231.1323155</v>
      </c>
      <c r="O110" s="54">
        <f t="shared" si="4"/>
        <v>39.29249364</v>
      </c>
    </row>
    <row r="111" ht="22.5" customHeight="1">
      <c r="A111" s="46" t="s">
        <v>203</v>
      </c>
      <c r="B111" s="14" t="s">
        <v>9</v>
      </c>
      <c r="C111" s="14">
        <v>80.0</v>
      </c>
      <c r="D111" s="15">
        <v>160.0</v>
      </c>
      <c r="E111" s="46">
        <v>86.0</v>
      </c>
      <c r="F111" s="46">
        <v>275.0</v>
      </c>
      <c r="G111" s="52">
        <f>IFERROR(SUMIF(Issues!B:B, A111, Issues!H:H), 0)</f>
        <v>600</v>
      </c>
      <c r="H111" s="52">
        <f>IFERROR(SUMIF(Returns!B:B, A111, Returns!H:H), 0)</f>
        <v>300</v>
      </c>
      <c r="I111" s="3">
        <v>1815.0</v>
      </c>
      <c r="J111" s="3">
        <v>3.0</v>
      </c>
      <c r="K111" s="3">
        <v>81.0</v>
      </c>
      <c r="L111" s="53">
        <f t="shared" si="1"/>
        <v>155.8683206</v>
      </c>
      <c r="M111" s="52">
        <f t="shared" si="2"/>
        <v>300</v>
      </c>
      <c r="N111" s="54">
        <f t="shared" si="3"/>
        <v>144.1316794</v>
      </c>
      <c r="O111" s="54">
        <f t="shared" si="4"/>
        <v>23.0610687</v>
      </c>
    </row>
    <row r="112" ht="22.5" customHeight="1">
      <c r="A112" s="46" t="s">
        <v>204</v>
      </c>
      <c r="B112" s="14" t="s">
        <v>9</v>
      </c>
      <c r="C112" s="14">
        <v>80.0</v>
      </c>
      <c r="D112" s="15">
        <v>125.0</v>
      </c>
      <c r="E112" s="46">
        <v>515.0</v>
      </c>
      <c r="F112" s="46">
        <v>614.0</v>
      </c>
      <c r="G112" s="52">
        <f>IFERROR(SUMIF(Issues!B:B, A112, Issues!H:H), 0)</f>
        <v>1300</v>
      </c>
      <c r="H112" s="52">
        <f>IFERROR(SUMIF(Returns!B:B, A112, Returns!H:H), 0)</f>
        <v>650</v>
      </c>
      <c r="I112" s="3">
        <v>3710.0</v>
      </c>
      <c r="J112" s="3">
        <v>2.0</v>
      </c>
      <c r="K112" s="3">
        <v>108.0</v>
      </c>
      <c r="L112" s="53">
        <f t="shared" si="1"/>
        <v>637.2137405</v>
      </c>
      <c r="M112" s="52">
        <f t="shared" si="2"/>
        <v>650</v>
      </c>
      <c r="N112" s="54">
        <f t="shared" si="3"/>
        <v>12.78625954</v>
      </c>
      <c r="O112" s="54">
        <f t="shared" si="4"/>
        <v>1.598282443</v>
      </c>
    </row>
    <row r="113" ht="22.5" customHeight="1">
      <c r="A113" s="46" t="s">
        <v>205</v>
      </c>
      <c r="B113" s="14" t="s">
        <v>9</v>
      </c>
      <c r="C113" s="14">
        <v>80.0</v>
      </c>
      <c r="D113" s="15">
        <v>125.0</v>
      </c>
      <c r="E113" s="46">
        <v>366.0</v>
      </c>
      <c r="F113" s="46">
        <v>622.0</v>
      </c>
      <c r="G113" s="52">
        <f>IFERROR(SUMIF(Issues!B:B, A113, Issues!H:H), 0)</f>
        <v>686</v>
      </c>
      <c r="H113" s="52">
        <f>IFERROR(SUMIF(Returns!B:B, A113, Returns!H:H), 0)</f>
        <v>0</v>
      </c>
      <c r="I113" s="3">
        <v>2560.0</v>
      </c>
      <c r="J113" s="3">
        <v>1.0</v>
      </c>
      <c r="K113" s="3">
        <v>72.0</v>
      </c>
      <c r="L113" s="53">
        <f t="shared" si="1"/>
        <v>586.259542</v>
      </c>
      <c r="M113" s="52">
        <f t="shared" si="2"/>
        <v>686</v>
      </c>
      <c r="N113" s="54">
        <f t="shared" si="3"/>
        <v>99.74045802</v>
      </c>
      <c r="O113" s="54">
        <f t="shared" si="4"/>
        <v>12.46755725</v>
      </c>
    </row>
    <row r="114" ht="22.5" customHeight="1">
      <c r="A114" s="46" t="s">
        <v>206</v>
      </c>
      <c r="B114" s="14" t="s">
        <v>9</v>
      </c>
      <c r="C114" s="14">
        <v>80.0</v>
      </c>
      <c r="D114" s="15">
        <v>250.0</v>
      </c>
      <c r="E114" s="46">
        <v>1778.0</v>
      </c>
      <c r="F114" s="46">
        <v>2020.0</v>
      </c>
      <c r="G114" s="52">
        <f>IFERROR(SUMIF(Issues!B:B, A114, Issues!H:H), 0)</f>
        <v>2050</v>
      </c>
      <c r="H114" s="52">
        <f>IFERROR(SUMIF(Returns!B:B, A114, Returns!H:H), 0)</f>
        <v>0</v>
      </c>
      <c r="I114" s="3">
        <v>41030.0</v>
      </c>
      <c r="J114" s="3">
        <v>8.0</v>
      </c>
      <c r="K114" s="3">
        <v>108.0</v>
      </c>
      <c r="L114" s="53">
        <f t="shared" si="1"/>
        <v>1761.784351</v>
      </c>
      <c r="M114" s="52">
        <f t="shared" si="2"/>
        <v>2050</v>
      </c>
      <c r="N114" s="54">
        <f t="shared" si="3"/>
        <v>288.2156489</v>
      </c>
      <c r="O114" s="54">
        <f t="shared" si="4"/>
        <v>72.05391221</v>
      </c>
    </row>
    <row r="115" ht="22.5" customHeight="1">
      <c r="A115" s="46" t="s">
        <v>208</v>
      </c>
      <c r="B115" s="14" t="s">
        <v>9</v>
      </c>
      <c r="C115" s="14">
        <v>80.0</v>
      </c>
      <c r="D115" s="15">
        <v>180.0</v>
      </c>
      <c r="E115" s="46">
        <v>286.0</v>
      </c>
      <c r="F115" s="46">
        <v>526.0</v>
      </c>
      <c r="G115" s="52">
        <f>IFERROR(SUMIF(Issues!B:B, A115, Issues!H:H), 0)</f>
        <v>2000</v>
      </c>
      <c r="H115" s="52">
        <f>IFERROR(SUMIF(Returns!B:B, A115, Returns!H:H), 0)</f>
        <v>1450</v>
      </c>
      <c r="I115" s="3">
        <v>685.0</v>
      </c>
      <c r="J115" s="3">
        <v>1.0</v>
      </c>
      <c r="K115" s="3">
        <v>180.0</v>
      </c>
      <c r="L115" s="53">
        <f t="shared" si="1"/>
        <v>392.1755725</v>
      </c>
      <c r="M115" s="52">
        <f t="shared" si="2"/>
        <v>550</v>
      </c>
      <c r="N115" s="54">
        <f t="shared" si="3"/>
        <v>157.8244275</v>
      </c>
      <c r="O115" s="54">
        <f t="shared" si="4"/>
        <v>28.40839695</v>
      </c>
    </row>
    <row r="116" ht="22.5" customHeight="1">
      <c r="A116" s="46" t="s">
        <v>209</v>
      </c>
      <c r="B116" s="14" t="s">
        <v>9</v>
      </c>
      <c r="C116" s="14">
        <v>80.0</v>
      </c>
      <c r="D116" s="15">
        <v>210.0</v>
      </c>
      <c r="E116" s="46">
        <v>2766.0</v>
      </c>
      <c r="F116" s="46">
        <v>3107.0</v>
      </c>
      <c r="G116" s="52">
        <f>IFERROR(SUMIF(Issues!B:B, A116, Issues!H:H), 0)</f>
        <v>4400</v>
      </c>
      <c r="H116" s="52">
        <f>IFERROR(SUMIF(Returns!B:B, A116, Returns!H:H), 0)</f>
        <v>1290</v>
      </c>
      <c r="I116" s="3">
        <v>38000.0</v>
      </c>
      <c r="J116" s="52"/>
      <c r="K116" s="52"/>
      <c r="L116" s="53">
        <f t="shared" si="1"/>
        <v>0</v>
      </c>
      <c r="M116" s="52">
        <f t="shared" si="2"/>
        <v>3110</v>
      </c>
      <c r="N116" s="54">
        <f t="shared" si="3"/>
        <v>3110</v>
      </c>
      <c r="O116" s="54">
        <f t="shared" si="4"/>
        <v>653.1</v>
      </c>
    </row>
    <row r="117" ht="22.5" customHeight="1">
      <c r="A117" s="46" t="s">
        <v>210</v>
      </c>
      <c r="B117" s="14" t="s">
        <v>9</v>
      </c>
      <c r="C117" s="14">
        <v>80.0</v>
      </c>
      <c r="D117" s="15">
        <v>250.0</v>
      </c>
      <c r="E117" s="46">
        <v>2302.0</v>
      </c>
      <c r="F117" s="46">
        <v>2617.0</v>
      </c>
      <c r="G117" s="52">
        <f>IFERROR(SUMIF(Issues!B:B, A117, Issues!H:H), 0)</f>
        <v>2950</v>
      </c>
      <c r="H117" s="52">
        <f>IFERROR(SUMIF(Returns!B:B, A117, Returns!H:H), 0)</f>
        <v>300</v>
      </c>
      <c r="I117" s="3">
        <v>24600.0</v>
      </c>
      <c r="J117" s="3">
        <v>3.0</v>
      </c>
      <c r="K117" s="3">
        <v>94.0</v>
      </c>
      <c r="L117" s="53">
        <f t="shared" si="1"/>
        <v>2451.653944</v>
      </c>
      <c r="M117" s="52">
        <f t="shared" si="2"/>
        <v>2650</v>
      </c>
      <c r="N117" s="54">
        <f t="shared" si="3"/>
        <v>198.346056</v>
      </c>
      <c r="O117" s="54">
        <f t="shared" si="4"/>
        <v>49.58651399</v>
      </c>
    </row>
    <row r="118" ht="22.5" customHeight="1">
      <c r="A118" s="46" t="s">
        <v>212</v>
      </c>
      <c r="B118" s="14" t="s">
        <v>9</v>
      </c>
      <c r="C118" s="14">
        <v>80.0</v>
      </c>
      <c r="D118" s="15">
        <v>290.0</v>
      </c>
      <c r="E118" s="46">
        <v>221.0</v>
      </c>
      <c r="F118" s="46">
        <v>420.0</v>
      </c>
      <c r="G118" s="52">
        <f>IFERROR(SUMIF(Issues!B:B, A118, Issues!H:H), 0)</f>
        <v>1050</v>
      </c>
      <c r="H118" s="52">
        <f>IFERROR(SUMIF(Returns!B:B, A118, Returns!H:H), 0)</f>
        <v>600</v>
      </c>
      <c r="I118" s="3">
        <v>4710.0</v>
      </c>
      <c r="J118" s="3">
        <v>6.0</v>
      </c>
      <c r="K118" s="3">
        <v>116.0</v>
      </c>
      <c r="L118" s="53">
        <f t="shared" si="1"/>
        <v>289.6310433</v>
      </c>
      <c r="M118" s="52">
        <f t="shared" si="2"/>
        <v>450</v>
      </c>
      <c r="N118" s="54">
        <f t="shared" si="3"/>
        <v>160.3689567</v>
      </c>
      <c r="O118" s="54">
        <f t="shared" si="4"/>
        <v>46.50699746</v>
      </c>
    </row>
    <row r="119" ht="22.5" customHeight="1">
      <c r="A119" s="46" t="s">
        <v>214</v>
      </c>
      <c r="B119" s="14" t="s">
        <v>9</v>
      </c>
      <c r="C119" s="14">
        <v>80.0</v>
      </c>
      <c r="D119" s="15">
        <v>125.0</v>
      </c>
      <c r="E119" s="46">
        <v>515.0</v>
      </c>
      <c r="F119" s="46">
        <v>730.0</v>
      </c>
      <c r="G119" s="52">
        <f>IFERROR(SUMIF(Issues!B:B, A119, Issues!H:H), 0)</f>
        <v>1000</v>
      </c>
      <c r="H119" s="52">
        <f>IFERROR(SUMIF(Returns!B:B, A119, Returns!H:H), 0)</f>
        <v>0</v>
      </c>
      <c r="I119" s="3">
        <v>3760.0</v>
      </c>
      <c r="J119" s="3">
        <v>2.0</v>
      </c>
      <c r="K119" s="3">
        <v>108.0</v>
      </c>
      <c r="L119" s="53">
        <f t="shared" si="1"/>
        <v>645.8015267</v>
      </c>
      <c r="M119" s="52">
        <f t="shared" si="2"/>
        <v>1000</v>
      </c>
      <c r="N119" s="54">
        <f t="shared" si="3"/>
        <v>354.1984733</v>
      </c>
      <c r="O119" s="54">
        <f t="shared" si="4"/>
        <v>44.27480916</v>
      </c>
    </row>
    <row r="120" ht="22.5" customHeight="1">
      <c r="A120" s="46" t="s">
        <v>216</v>
      </c>
      <c r="B120" s="14" t="s">
        <v>26</v>
      </c>
      <c r="C120" s="14">
        <v>80.0</v>
      </c>
      <c r="D120" s="15">
        <v>167.0</v>
      </c>
      <c r="E120" s="46">
        <v>5852.0</v>
      </c>
      <c r="F120" s="46">
        <v>6464.0</v>
      </c>
      <c r="G120" s="52">
        <f>IFERROR(SUMIF(Issues!B:B, A120, Issues!H:H), 0)</f>
        <v>7500</v>
      </c>
      <c r="H120" s="52">
        <f>IFERROR(SUMIF(Returns!B:B, A120, Returns!H:H), 0)</f>
        <v>1000</v>
      </c>
      <c r="I120" s="3">
        <v>20950.0</v>
      </c>
      <c r="J120" s="3">
        <v>1.0</v>
      </c>
      <c r="K120" s="3">
        <v>92.0</v>
      </c>
      <c r="L120" s="53">
        <f t="shared" si="1"/>
        <v>6130.407125</v>
      </c>
      <c r="M120" s="52">
        <f t="shared" si="2"/>
        <v>6500</v>
      </c>
      <c r="N120" s="54">
        <f t="shared" si="3"/>
        <v>369.5928753</v>
      </c>
      <c r="O120" s="54">
        <f t="shared" si="4"/>
        <v>61.72201018</v>
      </c>
    </row>
    <row r="121" ht="22.5" customHeight="1">
      <c r="A121" s="46" t="s">
        <v>218</v>
      </c>
      <c r="B121" s="14" t="s">
        <v>26</v>
      </c>
      <c r="C121" s="14">
        <v>80.0</v>
      </c>
      <c r="D121" s="15">
        <v>280.0</v>
      </c>
      <c r="E121" s="46">
        <v>2290.0</v>
      </c>
      <c r="F121" s="46">
        <v>2664.0</v>
      </c>
      <c r="G121" s="52">
        <f>IFERROR(SUMIF(Issues!B:B, A121, Issues!H:H), 0)</f>
        <v>3000</v>
      </c>
      <c r="H121" s="52">
        <f>IFERROR(SUMIF(Returns!B:B, A121, Returns!H:H), 0)</f>
        <v>200</v>
      </c>
      <c r="I121" s="3">
        <v>10990.0</v>
      </c>
      <c r="J121" s="3">
        <v>1.0</v>
      </c>
      <c r="K121" s="3">
        <v>72.0</v>
      </c>
      <c r="L121" s="53">
        <f t="shared" si="1"/>
        <v>2516.793893</v>
      </c>
      <c r="M121" s="52">
        <f t="shared" si="2"/>
        <v>2800</v>
      </c>
      <c r="N121" s="54">
        <f t="shared" si="3"/>
        <v>283.2061069</v>
      </c>
      <c r="O121" s="54">
        <f t="shared" si="4"/>
        <v>79.29770992</v>
      </c>
    </row>
    <row r="122" ht="22.5" customHeight="1">
      <c r="A122" s="46" t="s">
        <v>219</v>
      </c>
      <c r="B122" s="14" t="s">
        <v>43</v>
      </c>
      <c r="C122" s="14">
        <v>50.0</v>
      </c>
      <c r="D122" s="15">
        <v>125.0</v>
      </c>
      <c r="E122" s="46">
        <v>429.0</v>
      </c>
      <c r="F122" s="46">
        <v>635.0</v>
      </c>
      <c r="G122" s="52">
        <f>IFERROR(SUMIF(Issues!B:B, A122, Issues!H:H), 0)</f>
        <v>2010</v>
      </c>
      <c r="H122" s="52">
        <f>IFERROR(SUMIF(Returns!B:B, A122, Returns!H:H), 0)</f>
        <v>1350</v>
      </c>
      <c r="I122" s="3">
        <v>5770.0</v>
      </c>
      <c r="J122" s="3">
        <v>4.0</v>
      </c>
      <c r="K122" s="3">
        <v>108.0</v>
      </c>
      <c r="L122" s="53">
        <f t="shared" si="1"/>
        <v>495.5152672</v>
      </c>
      <c r="M122" s="52">
        <f t="shared" si="2"/>
        <v>660</v>
      </c>
      <c r="N122" s="54">
        <f t="shared" si="3"/>
        <v>164.4847328</v>
      </c>
      <c r="O122" s="54">
        <f t="shared" si="4"/>
        <v>20.5605916</v>
      </c>
    </row>
    <row r="123" ht="22.5" customHeight="1">
      <c r="A123" s="46" t="s">
        <v>220</v>
      </c>
      <c r="B123" s="14" t="s">
        <v>9</v>
      </c>
      <c r="C123" s="14">
        <v>80.0</v>
      </c>
      <c r="D123" s="15">
        <v>125.0</v>
      </c>
      <c r="E123" s="46">
        <v>860.0</v>
      </c>
      <c r="F123" s="46">
        <v>1142.0</v>
      </c>
      <c r="G123" s="52">
        <f>IFERROR(SUMIF(Issues!B:B, A123, Issues!H:H), 0)</f>
        <v>2300</v>
      </c>
      <c r="H123" s="52">
        <f>IFERROR(SUMIF(Returns!B:B, A123, Returns!H:H), 0)</f>
        <v>1150</v>
      </c>
      <c r="I123" s="3">
        <v>5870.0</v>
      </c>
      <c r="J123" s="3">
        <v>2.0</v>
      </c>
      <c r="K123" s="3">
        <v>108.0</v>
      </c>
      <c r="L123" s="53">
        <f t="shared" si="1"/>
        <v>1008.206107</v>
      </c>
      <c r="M123" s="52">
        <f t="shared" si="2"/>
        <v>1150</v>
      </c>
      <c r="N123" s="54">
        <f t="shared" si="3"/>
        <v>141.7938931</v>
      </c>
      <c r="O123" s="54">
        <f t="shared" si="4"/>
        <v>17.72423664</v>
      </c>
    </row>
    <row r="124" ht="22.5" customHeight="1">
      <c r="A124" s="46" t="s">
        <v>221</v>
      </c>
      <c r="B124" s="14" t="s">
        <v>9</v>
      </c>
      <c r="C124" s="14">
        <v>80.0</v>
      </c>
      <c r="D124" s="15">
        <v>250.0</v>
      </c>
      <c r="E124" s="46">
        <v>377.0</v>
      </c>
      <c r="F124" s="46">
        <v>600.0</v>
      </c>
      <c r="G124" s="52">
        <f>IFERROR(SUMIF(Issues!B:B, A124, Issues!H:H), 0)</f>
        <v>2000</v>
      </c>
      <c r="H124" s="52">
        <f>IFERROR(SUMIF(Returns!B:B, A124, Returns!H:H), 0)</f>
        <v>1400</v>
      </c>
      <c r="I124" s="3">
        <v>16770.0</v>
      </c>
      <c r="J124" s="3">
        <v>8.0</v>
      </c>
      <c r="K124" s="3">
        <v>94.0</v>
      </c>
      <c r="L124" s="53">
        <f t="shared" si="1"/>
        <v>626.7414122</v>
      </c>
      <c r="M124" s="52">
        <f t="shared" si="2"/>
        <v>600</v>
      </c>
      <c r="N124" s="54">
        <f t="shared" si="3"/>
        <v>0</v>
      </c>
      <c r="O124" s="54">
        <f t="shared" si="4"/>
        <v>0</v>
      </c>
    </row>
    <row r="125" ht="22.5" customHeight="1">
      <c r="A125" s="46" t="s">
        <v>222</v>
      </c>
      <c r="B125" s="14" t="s">
        <v>9</v>
      </c>
      <c r="C125" s="14">
        <v>80.0</v>
      </c>
      <c r="D125" s="15">
        <v>230.0</v>
      </c>
      <c r="E125" s="46">
        <v>430.0</v>
      </c>
      <c r="F125" s="46">
        <v>710.0</v>
      </c>
      <c r="G125" s="52">
        <f>IFERROR(SUMIF(Issues!B:B, A125, Issues!H:H), 0)</f>
        <v>1350</v>
      </c>
      <c r="H125" s="52">
        <f>IFERROR(SUMIF(Returns!B:B, A125, Returns!H:H), 0)</f>
        <v>200</v>
      </c>
      <c r="I125" s="3">
        <v>6240.0</v>
      </c>
      <c r="J125" s="3">
        <v>4.0</v>
      </c>
      <c r="K125" s="3">
        <v>108.0</v>
      </c>
      <c r="L125" s="53">
        <f t="shared" si="1"/>
        <v>535.8778626</v>
      </c>
      <c r="M125" s="52">
        <f t="shared" si="2"/>
        <v>1150</v>
      </c>
      <c r="N125" s="54">
        <f t="shared" si="3"/>
        <v>614.1221374</v>
      </c>
      <c r="O125" s="54">
        <f t="shared" si="4"/>
        <v>141.2480916</v>
      </c>
    </row>
    <row r="126" ht="22.5" customHeight="1">
      <c r="A126" s="46" t="s">
        <v>223</v>
      </c>
      <c r="B126" s="14" t="s">
        <v>9</v>
      </c>
      <c r="C126" s="14">
        <v>80.0</v>
      </c>
      <c r="D126" s="15">
        <v>160.0</v>
      </c>
      <c r="E126" s="46">
        <v>354.0</v>
      </c>
      <c r="F126" s="46">
        <v>600.0</v>
      </c>
      <c r="G126" s="52">
        <f>IFERROR(SUMIF(Issues!B:B, A126, Issues!H:H), 0)</f>
        <v>1700</v>
      </c>
      <c r="H126" s="52">
        <f>IFERROR(SUMIF(Returns!B:B, A126, Returns!H:H), 0)</f>
        <v>1100</v>
      </c>
      <c r="I126" s="3">
        <v>6280.0</v>
      </c>
      <c r="J126" s="3">
        <v>4.0</v>
      </c>
      <c r="K126" s="3">
        <v>89.0</v>
      </c>
      <c r="L126" s="53">
        <f t="shared" si="1"/>
        <v>444.4338422</v>
      </c>
      <c r="M126" s="52">
        <f t="shared" si="2"/>
        <v>600</v>
      </c>
      <c r="N126" s="54">
        <f t="shared" si="3"/>
        <v>155.5661578</v>
      </c>
      <c r="O126" s="54">
        <f t="shared" si="4"/>
        <v>24.89058524</v>
      </c>
    </row>
    <row r="127" ht="22.5" customHeight="1">
      <c r="A127" s="46" t="s">
        <v>224</v>
      </c>
      <c r="B127" s="14" t="s">
        <v>26</v>
      </c>
      <c r="C127" s="14">
        <v>80.0</v>
      </c>
      <c r="D127" s="15">
        <v>280.0</v>
      </c>
      <c r="E127" s="46">
        <v>525.0</v>
      </c>
      <c r="F127" s="46">
        <v>800.0</v>
      </c>
      <c r="G127" s="52">
        <f>IFERROR(SUMIF(Issues!B:B, A127, Issues!H:H), 0)</f>
        <v>920</v>
      </c>
      <c r="H127" s="52">
        <f>IFERROR(SUMIF(Returns!B:B, A127, Returns!H:H), 0)</f>
        <v>100</v>
      </c>
      <c r="I127" s="3">
        <v>4970.0</v>
      </c>
      <c r="J127" s="3">
        <v>2.0</v>
      </c>
      <c r="K127" s="3">
        <v>66.0</v>
      </c>
      <c r="L127" s="53">
        <f t="shared" si="1"/>
        <v>521.6603053</v>
      </c>
      <c r="M127" s="52">
        <f t="shared" si="2"/>
        <v>820</v>
      </c>
      <c r="N127" s="54">
        <f t="shared" si="3"/>
        <v>298.3396947</v>
      </c>
      <c r="O127" s="54">
        <f t="shared" si="4"/>
        <v>83.5351145</v>
      </c>
    </row>
    <row r="128" ht="22.5" customHeight="1">
      <c r="A128" s="46" t="s">
        <v>225</v>
      </c>
      <c r="B128" s="14" t="s">
        <v>9</v>
      </c>
      <c r="C128" s="14">
        <v>80.0</v>
      </c>
      <c r="D128" s="15">
        <v>160.0</v>
      </c>
      <c r="E128" s="46">
        <v>5666.0</v>
      </c>
      <c r="F128" s="46">
        <v>6052.0</v>
      </c>
      <c r="G128" s="52">
        <f>IFERROR(SUMIF(Issues!B:B, A128, Issues!H:H), 0)</f>
        <v>6200</v>
      </c>
      <c r="H128" s="52">
        <f>IFERROR(SUMIF(Returns!B:B, A128, Returns!H:H), 0)</f>
        <v>140</v>
      </c>
      <c r="I128" s="3">
        <v>20805.0</v>
      </c>
      <c r="J128" s="3">
        <v>1.0</v>
      </c>
      <c r="K128" s="3">
        <v>89.0</v>
      </c>
      <c r="L128" s="53">
        <f t="shared" si="1"/>
        <v>5889.456107</v>
      </c>
      <c r="M128" s="52">
        <f t="shared" si="2"/>
        <v>6060</v>
      </c>
      <c r="N128" s="54">
        <f t="shared" si="3"/>
        <v>170.5438931</v>
      </c>
      <c r="O128" s="54">
        <f t="shared" si="4"/>
        <v>27.2870229</v>
      </c>
    </row>
    <row r="129" ht="22.5" customHeight="1">
      <c r="A129" s="46" t="s">
        <v>226</v>
      </c>
      <c r="B129" s="14" t="s">
        <v>9</v>
      </c>
      <c r="C129" s="14">
        <v>80.0</v>
      </c>
      <c r="D129" s="15">
        <v>160.0</v>
      </c>
      <c r="E129" s="46">
        <v>2831.0</v>
      </c>
      <c r="F129" s="46">
        <v>3103.0</v>
      </c>
      <c r="G129" s="52">
        <f>IFERROR(SUMIF(Issues!B:B, A129, Issues!H:H), 0)</f>
        <v>3500</v>
      </c>
      <c r="H129" s="52">
        <f>IFERROR(SUMIF(Returns!B:B, A129, Returns!H:H), 0)</f>
        <v>390</v>
      </c>
      <c r="I129" s="3">
        <v>10355.0</v>
      </c>
      <c r="J129" s="3">
        <v>1.0</v>
      </c>
      <c r="K129" s="3">
        <v>89.0</v>
      </c>
      <c r="L129" s="53">
        <f t="shared" si="1"/>
        <v>2931.281807</v>
      </c>
      <c r="M129" s="52">
        <f t="shared" si="2"/>
        <v>3110</v>
      </c>
      <c r="N129" s="54">
        <f t="shared" si="3"/>
        <v>178.7181934</v>
      </c>
      <c r="O129" s="54">
        <f t="shared" si="4"/>
        <v>28.59491094</v>
      </c>
    </row>
    <row r="130" ht="22.5" customHeight="1">
      <c r="A130" s="46" t="s">
        <v>227</v>
      </c>
      <c r="B130" s="14" t="s">
        <v>9</v>
      </c>
      <c r="C130" s="14">
        <v>80.0</v>
      </c>
      <c r="D130" s="15">
        <v>140.0</v>
      </c>
      <c r="E130" s="46">
        <v>2195.0</v>
      </c>
      <c r="F130" s="46">
        <v>2510.0</v>
      </c>
      <c r="G130" s="52">
        <f>IFERROR(SUMIF(Issues!B:B, A130, Issues!H:H), 0)</f>
        <v>3100</v>
      </c>
      <c r="H130" s="52">
        <f>IFERROR(SUMIF(Returns!B:B, A130, Returns!H:H), 0)</f>
        <v>590</v>
      </c>
      <c r="I130" s="3">
        <v>10866.0</v>
      </c>
      <c r="J130" s="3">
        <v>1.0</v>
      </c>
      <c r="K130" s="3">
        <v>69.0</v>
      </c>
      <c r="L130" s="53">
        <f t="shared" si="1"/>
        <v>2384.71374</v>
      </c>
      <c r="M130" s="52">
        <f t="shared" si="2"/>
        <v>2510</v>
      </c>
      <c r="N130" s="54">
        <f t="shared" si="3"/>
        <v>125.2862595</v>
      </c>
      <c r="O130" s="54">
        <f t="shared" si="4"/>
        <v>17.54007634</v>
      </c>
    </row>
    <row r="131" ht="22.5" customHeight="1">
      <c r="A131" s="46" t="s">
        <v>228</v>
      </c>
      <c r="B131" s="14" t="s">
        <v>9</v>
      </c>
      <c r="C131" s="14">
        <v>80.0</v>
      </c>
      <c r="D131" s="15">
        <v>195.0</v>
      </c>
      <c r="E131" s="46">
        <v>573.0</v>
      </c>
      <c r="F131" s="46">
        <v>796.0</v>
      </c>
      <c r="G131" s="52">
        <f>IFERROR(SUMIF(Issues!B:B, A131, Issues!H:H), 0)</f>
        <v>2070</v>
      </c>
      <c r="H131" s="52">
        <f>IFERROR(SUMIF(Returns!B:B, A131, Returns!H:H), 0)</f>
        <v>1270</v>
      </c>
      <c r="I131" s="3">
        <v>15210.0</v>
      </c>
      <c r="J131" s="3">
        <v>6.0</v>
      </c>
      <c r="K131" s="3">
        <v>72.0</v>
      </c>
      <c r="L131" s="53">
        <f t="shared" si="1"/>
        <v>580.5343511</v>
      </c>
      <c r="M131" s="52">
        <f t="shared" si="2"/>
        <v>800</v>
      </c>
      <c r="N131" s="54">
        <f t="shared" si="3"/>
        <v>219.4656489</v>
      </c>
      <c r="O131" s="54">
        <f t="shared" si="4"/>
        <v>42.79580153</v>
      </c>
    </row>
    <row r="132" ht="22.5" customHeight="1">
      <c r="A132" s="46" t="s">
        <v>229</v>
      </c>
      <c r="B132" s="14" t="s">
        <v>9</v>
      </c>
      <c r="C132" s="14">
        <v>80.0</v>
      </c>
      <c r="D132" s="15">
        <v>185.0</v>
      </c>
      <c r="E132" s="46">
        <v>573.0</v>
      </c>
      <c r="F132" s="46">
        <v>795.0</v>
      </c>
      <c r="G132" s="52">
        <f>IFERROR(SUMIF(Issues!B:B, A132, Issues!H:H), 0)</f>
        <v>1250</v>
      </c>
      <c r="H132" s="52">
        <f>IFERROR(SUMIF(Returns!B:B, A132, Returns!H:H), 0)</f>
        <v>450</v>
      </c>
      <c r="I132" s="3">
        <v>16050.0</v>
      </c>
      <c r="J132" s="3">
        <v>6.0</v>
      </c>
      <c r="K132" s="3">
        <v>72.0</v>
      </c>
      <c r="L132" s="53">
        <f t="shared" si="1"/>
        <v>612.5954198</v>
      </c>
      <c r="M132" s="52">
        <f t="shared" si="2"/>
        <v>800</v>
      </c>
      <c r="N132" s="54">
        <f t="shared" si="3"/>
        <v>187.4045802</v>
      </c>
      <c r="O132" s="54">
        <f t="shared" si="4"/>
        <v>34.66984733</v>
      </c>
    </row>
    <row r="133" ht="22.5" customHeight="1">
      <c r="A133" s="46" t="s">
        <v>230</v>
      </c>
      <c r="B133" s="14" t="s">
        <v>9</v>
      </c>
      <c r="C133" s="14">
        <v>80.0</v>
      </c>
      <c r="D133" s="15">
        <v>195.0</v>
      </c>
      <c r="E133" s="46">
        <v>573.0</v>
      </c>
      <c r="F133" s="46">
        <v>735.0</v>
      </c>
      <c r="G133" s="52">
        <f>IFERROR(SUMIF(Issues!B:B, A133, Issues!H:H), 0)</f>
        <v>1270</v>
      </c>
      <c r="H133" s="52">
        <f>IFERROR(SUMIF(Returns!B:B, A133, Returns!H:H), 0)</f>
        <v>530</v>
      </c>
      <c r="I133" s="3">
        <v>15150.0</v>
      </c>
      <c r="J133" s="3">
        <v>6.0</v>
      </c>
      <c r="K133" s="3">
        <v>72.0</v>
      </c>
      <c r="L133" s="53">
        <f t="shared" si="1"/>
        <v>578.2442748</v>
      </c>
      <c r="M133" s="52">
        <f t="shared" si="2"/>
        <v>740</v>
      </c>
      <c r="N133" s="54">
        <f t="shared" si="3"/>
        <v>161.7557252</v>
      </c>
      <c r="O133" s="54">
        <f t="shared" si="4"/>
        <v>31.54236641</v>
      </c>
    </row>
    <row r="134" ht="22.5" customHeight="1">
      <c r="A134" s="46" t="s">
        <v>231</v>
      </c>
      <c r="B134" s="14" t="s">
        <v>9</v>
      </c>
      <c r="C134" s="14">
        <v>80.0</v>
      </c>
      <c r="D134" s="15">
        <v>2230.0</v>
      </c>
      <c r="E134" s="46">
        <v>573.0</v>
      </c>
      <c r="F134" s="46">
        <v>789.0</v>
      </c>
      <c r="G134" s="52">
        <f>IFERROR(SUMIF(Issues!B:B, A134, Issues!H:H), 0)</f>
        <v>2230</v>
      </c>
      <c r="H134" s="52">
        <f>IFERROR(SUMIF(Returns!B:B, A134, Returns!H:H), 0)</f>
        <v>1440</v>
      </c>
      <c r="I134" s="3">
        <v>15750.0</v>
      </c>
      <c r="J134" s="3">
        <v>6.0</v>
      </c>
      <c r="K134" s="3">
        <v>72.0</v>
      </c>
      <c r="L134" s="53">
        <f t="shared" si="1"/>
        <v>601.1450382</v>
      </c>
      <c r="M134" s="52">
        <f t="shared" si="2"/>
        <v>790</v>
      </c>
      <c r="N134" s="54">
        <f t="shared" si="3"/>
        <v>188.8549618</v>
      </c>
      <c r="O134" s="54">
        <f t="shared" si="4"/>
        <v>421.1465649</v>
      </c>
    </row>
    <row r="135" ht="22.5" customHeight="1">
      <c r="A135" s="46" t="s">
        <v>233</v>
      </c>
      <c r="B135" s="14" t="s">
        <v>9</v>
      </c>
      <c r="C135" s="14">
        <v>80.0</v>
      </c>
      <c r="D135" s="15">
        <v>140.0</v>
      </c>
      <c r="E135" s="46">
        <v>2195.0</v>
      </c>
      <c r="F135" s="46">
        <v>2439.0</v>
      </c>
      <c r="G135" s="52">
        <f>IFERROR(SUMIF(Issues!B:B, A135, Issues!H:H), 0)</f>
        <v>3430</v>
      </c>
      <c r="H135" s="52">
        <f>IFERROR(SUMIF(Returns!B:B, A135, Returns!H:H), 0)</f>
        <v>960</v>
      </c>
      <c r="I135" s="3">
        <v>10755.0</v>
      </c>
      <c r="J135" s="3">
        <v>1.0</v>
      </c>
      <c r="K135" s="3">
        <v>69.0</v>
      </c>
      <c r="L135" s="53">
        <f t="shared" si="1"/>
        <v>2360.353053</v>
      </c>
      <c r="M135" s="52">
        <f t="shared" si="2"/>
        <v>2470</v>
      </c>
      <c r="N135" s="54">
        <f t="shared" si="3"/>
        <v>109.6469466</v>
      </c>
      <c r="O135" s="54">
        <f t="shared" si="4"/>
        <v>15.35057252</v>
      </c>
    </row>
    <row r="136" ht="22.5" customHeight="1">
      <c r="A136" s="46" t="s">
        <v>235</v>
      </c>
      <c r="B136" s="14" t="s">
        <v>9</v>
      </c>
      <c r="C136" s="14">
        <v>80.0</v>
      </c>
      <c r="D136" s="15">
        <v>140.0</v>
      </c>
      <c r="E136" s="46">
        <v>1050.0</v>
      </c>
      <c r="F136" s="46">
        <v>1202.0</v>
      </c>
      <c r="G136" s="52">
        <f>IFERROR(SUMIF(Issues!B:B, A136, Issues!H:H), 0)</f>
        <v>2160</v>
      </c>
      <c r="H136" s="52">
        <f>IFERROR(SUMIF(Returns!B:B, A136, Returns!H:H), 0)</f>
        <v>950</v>
      </c>
      <c r="I136" s="3">
        <v>20508.0</v>
      </c>
      <c r="J136" s="3">
        <v>6.0</v>
      </c>
      <c r="K136" s="3">
        <v>99.0</v>
      </c>
      <c r="L136" s="53">
        <f t="shared" si="1"/>
        <v>1076.278626</v>
      </c>
      <c r="M136" s="52">
        <f t="shared" si="2"/>
        <v>1210</v>
      </c>
      <c r="N136" s="54">
        <f t="shared" si="3"/>
        <v>133.721374</v>
      </c>
      <c r="O136" s="54">
        <f t="shared" si="4"/>
        <v>18.72099237</v>
      </c>
    </row>
    <row r="137" ht="22.5" customHeight="1">
      <c r="A137" s="46" t="s">
        <v>236</v>
      </c>
      <c r="B137" s="14" t="s">
        <v>9</v>
      </c>
      <c r="C137" s="14">
        <v>80.0</v>
      </c>
      <c r="D137" s="15">
        <v>140.0</v>
      </c>
      <c r="E137" s="46">
        <v>236.0</v>
      </c>
      <c r="F137" s="46">
        <v>393.0</v>
      </c>
      <c r="G137" s="52">
        <f>IFERROR(SUMIF(Issues!B:B, A137, Issues!H:H), 0)</f>
        <v>950</v>
      </c>
      <c r="H137" s="52">
        <f>IFERROR(SUMIF(Returns!B:B, A137, Returns!H:H), 0)</f>
        <v>550</v>
      </c>
      <c r="I137" s="3">
        <v>5930.0</v>
      </c>
      <c r="J137" s="3">
        <v>6.0</v>
      </c>
      <c r="K137" s="3">
        <v>89.0</v>
      </c>
      <c r="L137" s="53">
        <f t="shared" si="1"/>
        <v>279.7762935</v>
      </c>
      <c r="M137" s="52">
        <f t="shared" si="2"/>
        <v>400</v>
      </c>
      <c r="N137" s="54">
        <f t="shared" si="3"/>
        <v>120.2237065</v>
      </c>
      <c r="O137" s="54">
        <f t="shared" si="4"/>
        <v>16.83131891</v>
      </c>
    </row>
    <row r="138" ht="22.5" customHeight="1">
      <c r="A138" s="46" t="s">
        <v>237</v>
      </c>
      <c r="B138" s="59"/>
      <c r="C138" s="59"/>
      <c r="D138" s="27"/>
      <c r="E138" s="58"/>
      <c r="F138" s="58"/>
      <c r="G138" s="52">
        <f>IFERROR(SUMIF(Issues!B:B, A138, Issues!H:H), 0)</f>
        <v>1710</v>
      </c>
      <c r="H138" s="52">
        <f>IFERROR(SUMIF(Returns!B:B, A138, Returns!H:H), 0)</f>
        <v>0</v>
      </c>
      <c r="I138" s="3">
        <v>52440.0</v>
      </c>
      <c r="J138" s="3">
        <v>12.0</v>
      </c>
      <c r="K138" s="3">
        <v>89.0</v>
      </c>
      <c r="L138" s="53">
        <f t="shared" si="1"/>
        <v>1237.054707</v>
      </c>
      <c r="M138" s="52">
        <f t="shared" si="2"/>
        <v>1710</v>
      </c>
      <c r="N138" s="54">
        <f t="shared" si="3"/>
        <v>472.9452926</v>
      </c>
      <c r="O138" s="54">
        <f t="shared" si="4"/>
        <v>0</v>
      </c>
    </row>
    <row r="139" ht="22.5" customHeight="1">
      <c r="A139" s="46" t="s">
        <v>238</v>
      </c>
      <c r="B139" s="59"/>
      <c r="C139" s="59"/>
      <c r="D139" s="58"/>
      <c r="E139" s="46">
        <v>21.0</v>
      </c>
      <c r="F139" s="46">
        <v>173.0</v>
      </c>
      <c r="G139" s="52">
        <f>IFERROR(SUMIF(Issues!B:B, A139, Issues!H:H), 0)</f>
        <v>173</v>
      </c>
      <c r="H139" s="52">
        <f>IFERROR(SUMIF(Returns!B:B, A139, Returns!H:H), 0)</f>
        <v>0</v>
      </c>
      <c r="I139" s="3">
        <v>500.0</v>
      </c>
      <c r="J139" s="52"/>
      <c r="K139" s="52"/>
      <c r="L139" s="53">
        <f t="shared" si="1"/>
        <v>0</v>
      </c>
      <c r="M139" s="52">
        <f t="shared" si="2"/>
        <v>173</v>
      </c>
      <c r="N139" s="54">
        <f t="shared" si="3"/>
        <v>173</v>
      </c>
      <c r="O139" s="54">
        <f t="shared" si="4"/>
        <v>0</v>
      </c>
    </row>
    <row r="140" ht="22.5" customHeight="1">
      <c r="A140" s="46" t="s">
        <v>239</v>
      </c>
      <c r="B140" s="14" t="s">
        <v>9</v>
      </c>
      <c r="C140" s="14">
        <v>80.0</v>
      </c>
      <c r="D140" s="15">
        <v>125.0</v>
      </c>
      <c r="E140" s="46">
        <v>40.0</v>
      </c>
      <c r="F140" s="46">
        <v>171.0</v>
      </c>
      <c r="G140" s="52">
        <f>IFERROR(SUMIF(Issues!B:B, A140, Issues!H:H), 0)</f>
        <v>1000</v>
      </c>
      <c r="H140" s="52">
        <f>IFERROR(SUMIF(Returns!B:B, A140, Returns!H:H), 0)</f>
        <v>820</v>
      </c>
      <c r="I140" s="3">
        <v>270.0</v>
      </c>
      <c r="J140" s="3">
        <v>2.0</v>
      </c>
      <c r="K140" s="3">
        <v>108.0</v>
      </c>
      <c r="L140" s="53">
        <f t="shared" si="1"/>
        <v>46.3740458</v>
      </c>
      <c r="M140" s="52">
        <f t="shared" si="2"/>
        <v>180</v>
      </c>
      <c r="N140" s="54">
        <f t="shared" si="3"/>
        <v>133.6259542</v>
      </c>
      <c r="O140" s="54">
        <f t="shared" si="4"/>
        <v>16.70324427</v>
      </c>
    </row>
    <row r="141" ht="22.5" customHeight="1">
      <c r="A141" s="46" t="s">
        <v>241</v>
      </c>
      <c r="B141" s="14" t="s">
        <v>43</v>
      </c>
      <c r="C141" s="14">
        <v>50.0</v>
      </c>
      <c r="D141" s="15">
        <v>190.0</v>
      </c>
      <c r="E141" s="46">
        <v>471.0</v>
      </c>
      <c r="F141" s="46">
        <v>469.0</v>
      </c>
      <c r="G141" s="52">
        <f>IFERROR(SUMIF(Issues!B:B, A141, Issues!H:H), 0)</f>
        <v>700</v>
      </c>
      <c r="H141" s="52">
        <f>IFERROR(SUMIF(Returns!B:B, A141, Returns!H:H), 0)</f>
        <v>230</v>
      </c>
      <c r="I141" s="3">
        <v>6740.0</v>
      </c>
      <c r="J141" s="3">
        <v>9.0</v>
      </c>
      <c r="K141" s="3">
        <v>89.0</v>
      </c>
      <c r="L141" s="53">
        <f t="shared" si="1"/>
        <v>211.9946282</v>
      </c>
      <c r="M141" s="52">
        <f t="shared" si="2"/>
        <v>470</v>
      </c>
      <c r="N141" s="54">
        <f t="shared" si="3"/>
        <v>258.0053718</v>
      </c>
      <c r="O141" s="54">
        <f t="shared" si="4"/>
        <v>49.02102064</v>
      </c>
    </row>
    <row r="142" ht="22.5" customHeight="1">
      <c r="A142" s="46" t="s">
        <v>242</v>
      </c>
      <c r="B142" s="14" t="s">
        <v>43</v>
      </c>
      <c r="C142" s="14">
        <v>50.0</v>
      </c>
      <c r="D142" s="15">
        <v>300.0</v>
      </c>
      <c r="E142" s="46">
        <v>410.0</v>
      </c>
      <c r="F142" s="46">
        <v>650.0</v>
      </c>
      <c r="G142" s="52">
        <f>IFERROR(SUMIF(Issues!B:B, A142, Issues!H:H), 0)</f>
        <v>650</v>
      </c>
      <c r="H142" s="52">
        <f>IFERROR(SUMIF(Returns!B:B, A142, Returns!H:H), 0)</f>
        <v>0</v>
      </c>
      <c r="I142" s="3">
        <v>10000.0</v>
      </c>
      <c r="J142" s="3">
        <v>6.0</v>
      </c>
      <c r="K142" s="3">
        <v>69.0</v>
      </c>
      <c r="L142" s="53">
        <f t="shared" si="1"/>
        <v>365.7760814</v>
      </c>
      <c r="M142" s="52">
        <f t="shared" si="2"/>
        <v>650</v>
      </c>
      <c r="N142" s="54">
        <f t="shared" si="3"/>
        <v>284.2239186</v>
      </c>
      <c r="O142" s="54">
        <f t="shared" si="4"/>
        <v>85.26717557</v>
      </c>
    </row>
    <row r="143" ht="22.5" customHeight="1">
      <c r="A143" s="46" t="s">
        <v>244</v>
      </c>
      <c r="B143" s="14" t="s">
        <v>9</v>
      </c>
      <c r="C143" s="14">
        <v>80.0</v>
      </c>
      <c r="D143" s="15">
        <v>126.0</v>
      </c>
      <c r="E143" s="46">
        <v>122.0</v>
      </c>
      <c r="F143" s="46">
        <v>280.0</v>
      </c>
      <c r="G143" s="52">
        <f>IFERROR(SUMIF(Issues!B:B, A143, Issues!H:H), 0)</f>
        <v>500</v>
      </c>
      <c r="H143" s="52">
        <f>IFERROR(SUMIF(Returns!B:B, A143, Returns!H:H), 0)</f>
        <v>200</v>
      </c>
      <c r="I143" s="3">
        <v>2790.0</v>
      </c>
      <c r="J143" s="3">
        <v>6.0</v>
      </c>
      <c r="K143" s="3">
        <v>92.0</v>
      </c>
      <c r="L143" s="53">
        <f t="shared" si="1"/>
        <v>136.0687023</v>
      </c>
      <c r="M143" s="52">
        <f t="shared" si="2"/>
        <v>300</v>
      </c>
      <c r="N143" s="54">
        <f t="shared" si="3"/>
        <v>163.9312977</v>
      </c>
      <c r="O143" s="54">
        <f t="shared" si="4"/>
        <v>20.65534351</v>
      </c>
    </row>
    <row r="144" ht="22.5" customHeight="1">
      <c r="A144" s="46" t="s">
        <v>245</v>
      </c>
      <c r="B144" s="14" t="s">
        <v>9</v>
      </c>
      <c r="C144" s="14">
        <v>80.0</v>
      </c>
      <c r="D144" s="15">
        <v>290.0</v>
      </c>
      <c r="E144" s="46">
        <v>448.0</v>
      </c>
      <c r="F144" s="46">
        <v>612.0</v>
      </c>
      <c r="G144" s="52">
        <f>IFERROR(SUMIF(Issues!B:B, A144, Issues!H:H), 0)</f>
        <v>2000</v>
      </c>
      <c r="H144" s="52">
        <f>IFERROR(SUMIF(Returns!B:B, A144, Returns!H:H), 0)</f>
        <v>1350</v>
      </c>
      <c r="I144" s="3">
        <v>3320.0</v>
      </c>
      <c r="J144" s="3">
        <v>2.0</v>
      </c>
      <c r="K144" s="3">
        <v>94.0</v>
      </c>
      <c r="L144" s="53">
        <f t="shared" si="1"/>
        <v>496.3104326</v>
      </c>
      <c r="M144" s="52">
        <f t="shared" si="2"/>
        <v>650</v>
      </c>
      <c r="N144" s="54">
        <f t="shared" si="3"/>
        <v>153.6895674</v>
      </c>
      <c r="O144" s="54">
        <f t="shared" si="4"/>
        <v>44.56997455</v>
      </c>
    </row>
    <row r="145" ht="22.5" customHeight="1">
      <c r="A145" s="46" t="s">
        <v>247</v>
      </c>
      <c r="B145" s="14" t="s">
        <v>9</v>
      </c>
      <c r="C145" s="14">
        <v>80.0</v>
      </c>
      <c r="D145" s="15">
        <v>210.0</v>
      </c>
      <c r="E145" s="46">
        <v>187.0</v>
      </c>
      <c r="F145" s="46">
        <v>340.0</v>
      </c>
      <c r="G145" s="52">
        <f>IFERROR(SUMIF(Issues!B:B, A145, Issues!H:H), 0)</f>
        <v>2000</v>
      </c>
      <c r="H145" s="52">
        <f>IFERROR(SUMIF(Returns!B:B, A145, Returns!H:H), 0)</f>
        <v>1650</v>
      </c>
      <c r="I145" s="3">
        <v>6160.0</v>
      </c>
      <c r="J145" s="3">
        <v>8.0</v>
      </c>
      <c r="K145" s="3">
        <v>94.0</v>
      </c>
      <c r="L145" s="53">
        <f t="shared" si="1"/>
        <v>230.216285</v>
      </c>
      <c r="M145" s="52">
        <f t="shared" si="2"/>
        <v>350</v>
      </c>
      <c r="N145" s="54">
        <f t="shared" si="3"/>
        <v>119.783715</v>
      </c>
      <c r="O145" s="54">
        <f t="shared" si="4"/>
        <v>25.15458015</v>
      </c>
    </row>
    <row r="146" ht="22.5" customHeight="1">
      <c r="A146" s="46" t="s">
        <v>248</v>
      </c>
      <c r="B146" s="14" t="s">
        <v>9</v>
      </c>
      <c r="C146" s="14">
        <v>80.0</v>
      </c>
      <c r="D146" s="15">
        <v>290.0</v>
      </c>
      <c r="E146" s="46">
        <v>2152.0</v>
      </c>
      <c r="F146" s="46">
        <v>2430.0</v>
      </c>
      <c r="G146" s="52">
        <f>IFERROR(SUMIF(Issues!B:B, A146, Issues!H:H), 0)</f>
        <v>2600</v>
      </c>
      <c r="H146" s="52">
        <f>IFERROR(SUMIF(Returns!B:B, A146, Returns!H:H), 0)</f>
        <v>170</v>
      </c>
      <c r="I146" s="3">
        <v>36240.0</v>
      </c>
      <c r="J146" s="3">
        <v>6.0</v>
      </c>
      <c r="K146" s="3">
        <v>116.0</v>
      </c>
      <c r="L146" s="53">
        <f t="shared" si="1"/>
        <v>2228.498728</v>
      </c>
      <c r="M146" s="52">
        <f t="shared" si="2"/>
        <v>2430</v>
      </c>
      <c r="N146" s="54">
        <f t="shared" si="3"/>
        <v>201.5012723</v>
      </c>
      <c r="O146" s="54">
        <f t="shared" si="4"/>
        <v>58.43536896</v>
      </c>
    </row>
    <row r="147" ht="22.5" customHeight="1">
      <c r="A147" s="46" t="s">
        <v>249</v>
      </c>
      <c r="B147" s="14" t="s">
        <v>9</v>
      </c>
      <c r="C147" s="14">
        <v>80.0</v>
      </c>
      <c r="D147" s="15">
        <v>320.0</v>
      </c>
      <c r="E147" s="46">
        <v>795.0</v>
      </c>
      <c r="F147" s="46">
        <v>972.0</v>
      </c>
      <c r="G147" s="52">
        <f>IFERROR(SUMIF(Issues!B:B, A147, Issues!H:H), 0)</f>
        <v>1050</v>
      </c>
      <c r="H147" s="52">
        <f>IFERROR(SUMIF(Returns!B:B, A147, Returns!H:H), 0)</f>
        <v>0</v>
      </c>
      <c r="I147" s="3">
        <v>11030.0</v>
      </c>
      <c r="J147" s="3">
        <v>3.0</v>
      </c>
      <c r="K147" s="3">
        <v>75.0</v>
      </c>
      <c r="L147" s="53">
        <f t="shared" si="1"/>
        <v>877.06743</v>
      </c>
      <c r="M147" s="52">
        <f t="shared" si="2"/>
        <v>1050</v>
      </c>
      <c r="N147" s="54">
        <f t="shared" si="3"/>
        <v>172.93257</v>
      </c>
      <c r="O147" s="54">
        <f t="shared" si="4"/>
        <v>55.33842239</v>
      </c>
    </row>
    <row r="148" ht="22.5" customHeight="1">
      <c r="A148" s="46" t="s">
        <v>250</v>
      </c>
      <c r="B148" s="14" t="s">
        <v>9</v>
      </c>
      <c r="C148" s="14">
        <v>80.0</v>
      </c>
      <c r="D148" s="15">
        <v>290.0</v>
      </c>
      <c r="E148" s="46">
        <v>369.0</v>
      </c>
      <c r="F148" s="46">
        <v>509.0</v>
      </c>
      <c r="G148" s="52">
        <f>IFERROR(SUMIF(Issues!B:B, A148, Issues!H:H), 0)</f>
        <v>1450</v>
      </c>
      <c r="H148" s="52">
        <f>IFERROR(SUMIF(Returns!B:B, A148, Returns!H:H), 0)</f>
        <v>930</v>
      </c>
      <c r="I148" s="3">
        <v>6600.0</v>
      </c>
      <c r="J148" s="3">
        <v>6.0</v>
      </c>
      <c r="K148" s="3">
        <v>116.0</v>
      </c>
      <c r="L148" s="53">
        <f t="shared" si="1"/>
        <v>405.8524173</v>
      </c>
      <c r="M148" s="52">
        <f t="shared" si="2"/>
        <v>520</v>
      </c>
      <c r="N148" s="54">
        <f t="shared" si="3"/>
        <v>114.1475827</v>
      </c>
      <c r="O148" s="54">
        <f t="shared" si="4"/>
        <v>33.10279898</v>
      </c>
    </row>
    <row r="149" ht="22.5" customHeight="1">
      <c r="A149" s="46" t="s">
        <v>251</v>
      </c>
      <c r="B149" s="14" t="s">
        <v>9</v>
      </c>
      <c r="C149" s="14">
        <v>80.0</v>
      </c>
      <c r="D149" s="15">
        <v>185.0</v>
      </c>
      <c r="E149" s="46">
        <v>110.0</v>
      </c>
      <c r="F149" s="46">
        <v>255.0</v>
      </c>
      <c r="G149" s="52">
        <f>IFERROR(SUMIF(Issues!B:B, A149, Issues!H:H), 0)</f>
        <v>1100</v>
      </c>
      <c r="H149" s="52">
        <f>IFERROR(SUMIF(Returns!B:B, A149, Returns!H:H), 0)</f>
        <v>840</v>
      </c>
      <c r="I149" s="3">
        <v>2850.0</v>
      </c>
      <c r="J149" s="3">
        <v>5.0</v>
      </c>
      <c r="K149" s="3">
        <v>69.0</v>
      </c>
      <c r="L149" s="53">
        <f t="shared" si="1"/>
        <v>125.0954198</v>
      </c>
      <c r="M149" s="52">
        <f t="shared" si="2"/>
        <v>260</v>
      </c>
      <c r="N149" s="54">
        <f t="shared" si="3"/>
        <v>134.9045802</v>
      </c>
      <c r="O149" s="54">
        <f t="shared" si="4"/>
        <v>24.95734733</v>
      </c>
    </row>
    <row r="150" ht="22.5" customHeight="1">
      <c r="A150" s="46" t="s">
        <v>253</v>
      </c>
      <c r="B150" s="14" t="s">
        <v>9</v>
      </c>
      <c r="C150" s="14">
        <v>80.0</v>
      </c>
      <c r="D150" s="15">
        <v>126.0</v>
      </c>
      <c r="E150" s="46">
        <v>549.0</v>
      </c>
      <c r="F150" s="46">
        <v>900.0</v>
      </c>
      <c r="G150" s="52">
        <f>IFERROR(SUMIF(Issues!B:B, A150, Issues!H:H), 0)</f>
        <v>1300</v>
      </c>
      <c r="H150" s="52">
        <f>IFERROR(SUMIF(Returns!B:B, A150, Returns!H:H), 0)</f>
        <v>400</v>
      </c>
      <c r="I150" s="3">
        <v>3000.0</v>
      </c>
      <c r="J150" s="3">
        <v>1.0</v>
      </c>
      <c r="K150" s="3">
        <v>69.0</v>
      </c>
      <c r="L150" s="53">
        <f t="shared" si="1"/>
        <v>658.3969466</v>
      </c>
      <c r="M150" s="52">
        <f t="shared" si="2"/>
        <v>900</v>
      </c>
      <c r="N150" s="54">
        <f t="shared" si="3"/>
        <v>241.6030534</v>
      </c>
      <c r="O150" s="54">
        <f t="shared" si="4"/>
        <v>30.44198473</v>
      </c>
    </row>
    <row r="151" ht="22.5" customHeight="1">
      <c r="A151" s="46" t="s">
        <v>254</v>
      </c>
      <c r="B151" s="14" t="s">
        <v>9</v>
      </c>
      <c r="C151" s="14">
        <v>80.0</v>
      </c>
      <c r="D151" s="15">
        <v>210.0</v>
      </c>
      <c r="E151" s="46">
        <v>169.0</v>
      </c>
      <c r="F151" s="46">
        <v>351.0</v>
      </c>
      <c r="G151" s="52">
        <f>IFERROR(SUMIF(Issues!B:B, A151, Issues!H:H), 0)</f>
        <v>1500</v>
      </c>
      <c r="H151" s="52">
        <f>IFERROR(SUMIF(Returns!B:B, A151, Returns!H:H), 0)</f>
        <v>1140</v>
      </c>
      <c r="I151" s="3">
        <v>2630.0</v>
      </c>
      <c r="J151" s="3">
        <v>4.0</v>
      </c>
      <c r="K151" s="3">
        <v>85.0</v>
      </c>
      <c r="L151" s="53">
        <f t="shared" si="1"/>
        <v>177.7592239</v>
      </c>
      <c r="M151" s="52">
        <f t="shared" si="2"/>
        <v>360</v>
      </c>
      <c r="N151" s="54">
        <f t="shared" si="3"/>
        <v>182.2407761</v>
      </c>
      <c r="O151" s="54">
        <f t="shared" si="4"/>
        <v>38.27056298</v>
      </c>
    </row>
    <row r="152" ht="22.5" customHeight="1">
      <c r="A152" s="46" t="s">
        <v>255</v>
      </c>
      <c r="B152" s="14" t="s">
        <v>9</v>
      </c>
      <c r="C152" s="14">
        <v>80.0</v>
      </c>
      <c r="D152" s="15">
        <v>210.0</v>
      </c>
      <c r="E152" s="46">
        <v>1069.0</v>
      </c>
      <c r="F152" s="46">
        <v>1258.0</v>
      </c>
      <c r="G152" s="52">
        <f>IFERROR(SUMIF(Issues!B:B, A152, Issues!H:H), 0)</f>
        <v>1650</v>
      </c>
      <c r="H152" s="52">
        <f>IFERROR(SUMIF(Returns!B:B, A152, Returns!H:H), 0)</f>
        <v>350</v>
      </c>
      <c r="I152" s="3">
        <v>3225.0</v>
      </c>
      <c r="J152" s="3">
        <v>1.0</v>
      </c>
      <c r="K152" s="3">
        <v>112.0</v>
      </c>
      <c r="L152" s="53">
        <f t="shared" si="1"/>
        <v>1148.854962</v>
      </c>
      <c r="M152" s="52">
        <f t="shared" si="2"/>
        <v>1300</v>
      </c>
      <c r="N152" s="54">
        <f t="shared" si="3"/>
        <v>151.1450382</v>
      </c>
      <c r="O152" s="54">
        <f t="shared" si="4"/>
        <v>31.74045802</v>
      </c>
    </row>
    <row r="153" ht="22.5" customHeight="1">
      <c r="A153" s="46" t="s">
        <v>256</v>
      </c>
      <c r="B153" s="14" t="s">
        <v>43</v>
      </c>
      <c r="C153" s="14">
        <v>50.0</v>
      </c>
      <c r="D153" s="7">
        <v>160.0</v>
      </c>
      <c r="E153" s="46">
        <v>761.0</v>
      </c>
      <c r="F153" s="46">
        <v>930.0</v>
      </c>
      <c r="G153" s="52">
        <f>IFERROR(SUMIF(Issues!B:B, A153, Issues!H:H), 0)</f>
        <v>1130</v>
      </c>
      <c r="H153" s="52">
        <f>IFERROR(SUMIF(Returns!B:B, A153, Returns!H:H), 0)</f>
        <v>0</v>
      </c>
      <c r="I153" s="52"/>
      <c r="J153" s="52"/>
      <c r="K153" s="52"/>
      <c r="L153" s="53">
        <f t="shared" si="1"/>
        <v>0</v>
      </c>
      <c r="M153" s="52">
        <f t="shared" si="2"/>
        <v>1130</v>
      </c>
      <c r="N153" s="54">
        <f t="shared" si="3"/>
        <v>1130</v>
      </c>
      <c r="O153" s="54">
        <f t="shared" si="4"/>
        <v>180.8</v>
      </c>
    </row>
    <row r="154" ht="22.5" customHeight="1">
      <c r="A154" s="46" t="s">
        <v>257</v>
      </c>
      <c r="B154" s="14" t="s">
        <v>9</v>
      </c>
      <c r="C154" s="14">
        <v>80.0</v>
      </c>
      <c r="D154" s="7">
        <v>125.0</v>
      </c>
      <c r="E154" s="46">
        <v>859.0</v>
      </c>
      <c r="F154" s="46">
        <v>1050.0</v>
      </c>
      <c r="G154" s="52">
        <f>IFERROR(SUMIF(Issues!B:B, A154, Issues!H:H), 0)</f>
        <v>2700</v>
      </c>
      <c r="H154" s="52">
        <f>IFERROR(SUMIF(Returns!B:B, A154, Returns!H:H), 0)</f>
        <v>1650</v>
      </c>
      <c r="I154" s="3">
        <v>5080.0</v>
      </c>
      <c r="J154" s="3">
        <v>2.0</v>
      </c>
      <c r="K154" s="3">
        <v>108.0</v>
      </c>
      <c r="L154" s="53">
        <f t="shared" si="1"/>
        <v>872.519084</v>
      </c>
      <c r="M154" s="52">
        <f t="shared" si="2"/>
        <v>1050</v>
      </c>
      <c r="N154" s="54">
        <f t="shared" si="3"/>
        <v>177.480916</v>
      </c>
      <c r="O154" s="54">
        <f t="shared" si="4"/>
        <v>22.1851145</v>
      </c>
    </row>
    <row r="155" ht="22.5" customHeight="1">
      <c r="A155" s="46" t="s">
        <v>258</v>
      </c>
      <c r="B155" s="14" t="s">
        <v>9</v>
      </c>
      <c r="C155" s="14">
        <v>80.0</v>
      </c>
      <c r="D155" s="15">
        <v>290.0</v>
      </c>
      <c r="E155" s="46">
        <v>598.0</v>
      </c>
      <c r="F155" s="46">
        <v>840.0</v>
      </c>
      <c r="G155" s="52">
        <f>IFERROR(SUMIF(Issues!B:B, A155, Issues!H:H), 0)</f>
        <v>2000</v>
      </c>
      <c r="H155" s="52">
        <f>IFERROR(SUMIF(Returns!B:B, A155, Returns!H:H), 0)</f>
        <v>1040</v>
      </c>
      <c r="I155" s="3">
        <v>5100.0</v>
      </c>
      <c r="J155" s="3">
        <v>2.0</v>
      </c>
      <c r="K155" s="3">
        <v>94.0</v>
      </c>
      <c r="L155" s="53">
        <f t="shared" si="1"/>
        <v>762.4045802</v>
      </c>
      <c r="M155" s="52">
        <f t="shared" si="2"/>
        <v>960</v>
      </c>
      <c r="N155" s="54">
        <f t="shared" si="3"/>
        <v>197.5954198</v>
      </c>
      <c r="O155" s="54">
        <f t="shared" si="4"/>
        <v>57.30267176</v>
      </c>
    </row>
    <row r="156" ht="22.5" customHeight="1">
      <c r="A156" s="46" t="s">
        <v>259</v>
      </c>
      <c r="B156" s="14" t="s">
        <v>9</v>
      </c>
      <c r="C156" s="14">
        <v>80.0</v>
      </c>
      <c r="D156" s="15">
        <v>180.0</v>
      </c>
      <c r="E156" s="46">
        <v>262.0</v>
      </c>
      <c r="F156" s="46">
        <v>424.0</v>
      </c>
      <c r="G156" s="52">
        <f>IFERROR(SUMIF(Issues!B:B, A156, Issues!H:H), 0)</f>
        <v>2000</v>
      </c>
      <c r="H156" s="52">
        <f>IFERROR(SUMIF(Returns!B:B, A156, Returns!H:H), 0)</f>
        <v>1570</v>
      </c>
      <c r="I156" s="3">
        <v>5805.0</v>
      </c>
      <c r="J156" s="3">
        <v>6.0</v>
      </c>
      <c r="K156" s="3">
        <v>99.0</v>
      </c>
      <c r="L156" s="53">
        <f t="shared" si="1"/>
        <v>304.6517176</v>
      </c>
      <c r="M156" s="52">
        <f t="shared" si="2"/>
        <v>430</v>
      </c>
      <c r="N156" s="54">
        <f t="shared" si="3"/>
        <v>125.3482824</v>
      </c>
      <c r="O156" s="54">
        <f t="shared" si="4"/>
        <v>22.56269084</v>
      </c>
    </row>
    <row r="157" ht="22.5" customHeight="1">
      <c r="A157" s="46" t="s">
        <v>260</v>
      </c>
      <c r="B157" s="14" t="s">
        <v>9</v>
      </c>
      <c r="C157" s="14">
        <v>80.0</v>
      </c>
      <c r="D157" s="15">
        <v>330.0</v>
      </c>
      <c r="E157" s="46">
        <v>307.0</v>
      </c>
      <c r="F157" s="46">
        <v>457.0</v>
      </c>
      <c r="G157" s="52">
        <f>IFERROR(SUMIF(Issues!B:B, A157, Issues!H:H), 0)</f>
        <v>1400</v>
      </c>
      <c r="H157" s="52">
        <f>IFERROR(SUMIF(Returns!B:B, A157, Returns!H:H), 0)</f>
        <v>940</v>
      </c>
      <c r="I157" s="3">
        <v>6000.0</v>
      </c>
      <c r="J157" s="3">
        <v>6.0</v>
      </c>
      <c r="K157" s="3">
        <v>116.0</v>
      </c>
      <c r="L157" s="53">
        <f t="shared" si="1"/>
        <v>368.956743</v>
      </c>
      <c r="M157" s="52">
        <f t="shared" si="2"/>
        <v>460</v>
      </c>
      <c r="N157" s="54">
        <f t="shared" si="3"/>
        <v>91.043257</v>
      </c>
      <c r="O157" s="54">
        <f t="shared" si="4"/>
        <v>30.04427481</v>
      </c>
    </row>
    <row r="158" ht="22.5" customHeight="1">
      <c r="A158" s="46" t="s">
        <v>261</v>
      </c>
      <c r="B158" s="14" t="s">
        <v>9</v>
      </c>
      <c r="C158" s="14">
        <v>80.0</v>
      </c>
      <c r="D158" s="15">
        <v>330.0</v>
      </c>
      <c r="E158" s="46">
        <v>398.0</v>
      </c>
      <c r="F158" s="46">
        <v>590.0</v>
      </c>
      <c r="G158" s="52">
        <f>IFERROR(SUMIF(Issues!B:B, A158, Issues!H:H), 0)</f>
        <v>2000</v>
      </c>
      <c r="H158" s="52">
        <f>IFERROR(SUMIF(Returns!B:B, A158, Returns!H:H), 0)</f>
        <v>1400</v>
      </c>
      <c r="I158" s="3">
        <v>5500.0</v>
      </c>
      <c r="J158" s="3">
        <v>3.0</v>
      </c>
      <c r="K158" s="3">
        <v>75.0</v>
      </c>
      <c r="L158" s="53">
        <f t="shared" si="1"/>
        <v>437.3409669</v>
      </c>
      <c r="M158" s="52">
        <f t="shared" si="2"/>
        <v>600</v>
      </c>
      <c r="N158" s="54">
        <f t="shared" si="3"/>
        <v>162.6590331</v>
      </c>
      <c r="O158" s="54">
        <f t="shared" si="4"/>
        <v>53.67748092</v>
      </c>
    </row>
    <row r="159" ht="22.5" customHeight="1">
      <c r="A159" s="46" t="s">
        <v>262</v>
      </c>
      <c r="B159" s="14" t="s">
        <v>9</v>
      </c>
      <c r="C159" s="14">
        <v>80.0</v>
      </c>
      <c r="D159" s="15">
        <v>280.0</v>
      </c>
      <c r="E159" s="46">
        <v>732.0</v>
      </c>
      <c r="F159" s="46">
        <v>951.0</v>
      </c>
      <c r="G159" s="52">
        <f>IFERROR(SUMIF(Issues!B:B, A159, Issues!H:H), 0)</f>
        <v>1400</v>
      </c>
      <c r="H159" s="52">
        <f>IFERROR(SUMIF(Returns!B:B, A159, Returns!H:H), 0)</f>
        <v>440</v>
      </c>
      <c r="I159" s="3">
        <v>5740.0</v>
      </c>
      <c r="J159" s="3">
        <v>2.0</v>
      </c>
      <c r="K159" s="3">
        <v>92.0</v>
      </c>
      <c r="L159" s="53">
        <f t="shared" si="1"/>
        <v>839.821883</v>
      </c>
      <c r="M159" s="52">
        <f t="shared" si="2"/>
        <v>960</v>
      </c>
      <c r="N159" s="54">
        <f t="shared" si="3"/>
        <v>120.178117</v>
      </c>
      <c r="O159" s="54">
        <f t="shared" si="4"/>
        <v>33.64987277</v>
      </c>
    </row>
    <row r="160" ht="22.5" customHeight="1">
      <c r="A160" s="46" t="s">
        <v>263</v>
      </c>
      <c r="B160" s="14" t="s">
        <v>9</v>
      </c>
      <c r="C160" s="14">
        <v>80.0</v>
      </c>
      <c r="D160" s="15">
        <v>330.0</v>
      </c>
      <c r="E160" s="46">
        <v>398.0</v>
      </c>
      <c r="F160" s="46">
        <v>611.0</v>
      </c>
      <c r="G160" s="52">
        <f>IFERROR(SUMIF(Issues!B:B, A160, Issues!H:H), 0)</f>
        <v>950</v>
      </c>
      <c r="H160" s="52">
        <f>IFERROR(SUMIF(Returns!B:B, A160, Returns!H:H), 0)</f>
        <v>330</v>
      </c>
      <c r="I160" s="3">
        <v>5500.0</v>
      </c>
      <c r="J160" s="3">
        <v>3.0</v>
      </c>
      <c r="K160" s="3">
        <v>75.0</v>
      </c>
      <c r="L160" s="53">
        <f t="shared" si="1"/>
        <v>437.3409669</v>
      </c>
      <c r="M160" s="52">
        <f t="shared" si="2"/>
        <v>620</v>
      </c>
      <c r="N160" s="54">
        <f t="shared" si="3"/>
        <v>182.6590331</v>
      </c>
      <c r="O160" s="54">
        <f t="shared" si="4"/>
        <v>60.27748092</v>
      </c>
    </row>
    <row r="161" ht="22.5" customHeight="1">
      <c r="A161" s="46" t="s">
        <v>265</v>
      </c>
      <c r="B161" s="14" t="s">
        <v>9</v>
      </c>
      <c r="C161" s="14">
        <v>80.0</v>
      </c>
      <c r="D161" s="15">
        <v>250.0</v>
      </c>
      <c r="E161" s="46">
        <v>1718.0</v>
      </c>
      <c r="F161" s="46">
        <v>1906.0</v>
      </c>
      <c r="G161" s="52">
        <f>IFERROR(SUMIF(Issues!B:B, A161, Issues!H:H), 0)</f>
        <v>2000</v>
      </c>
      <c r="H161" s="52">
        <f>IFERROR(SUMIF(Returns!B:B, A161, Returns!H:H), 0)</f>
        <v>50</v>
      </c>
      <c r="I161" s="3">
        <v>3135.0</v>
      </c>
      <c r="J161" s="3">
        <v>1.0</v>
      </c>
      <c r="K161" s="3">
        <v>180.0</v>
      </c>
      <c r="L161" s="53">
        <f t="shared" si="1"/>
        <v>1794.847328</v>
      </c>
      <c r="M161" s="52">
        <f t="shared" si="2"/>
        <v>1950</v>
      </c>
      <c r="N161" s="54">
        <f t="shared" si="3"/>
        <v>155.1526718</v>
      </c>
      <c r="O161" s="54">
        <f t="shared" si="4"/>
        <v>38.78816794</v>
      </c>
    </row>
    <row r="162" ht="22.5" customHeight="1">
      <c r="A162" s="46" t="s">
        <v>266</v>
      </c>
      <c r="B162" s="14" t="s">
        <v>9</v>
      </c>
      <c r="C162" s="14">
        <v>80.0</v>
      </c>
      <c r="D162" s="15">
        <v>250.0</v>
      </c>
      <c r="E162" s="46">
        <v>747.0</v>
      </c>
      <c r="F162" s="46">
        <v>970.0</v>
      </c>
      <c r="G162" s="52">
        <f>IFERROR(SUMIF(Issues!B:B, A162, Issues!H:H), 0)</f>
        <v>2300</v>
      </c>
      <c r="H162" s="52">
        <f>IFERROR(SUMIF(Returns!B:B, A162, Returns!H:H), 0)</f>
        <v>1330</v>
      </c>
      <c r="I162" s="3">
        <v>21480.0</v>
      </c>
      <c r="J162" s="3">
        <v>8.0</v>
      </c>
      <c r="K162" s="3">
        <v>94.0</v>
      </c>
      <c r="L162" s="53">
        <f t="shared" si="1"/>
        <v>802.7671756</v>
      </c>
      <c r="M162" s="52">
        <f t="shared" si="2"/>
        <v>970</v>
      </c>
      <c r="N162" s="54">
        <f t="shared" si="3"/>
        <v>167.2328244</v>
      </c>
      <c r="O162" s="54">
        <f t="shared" si="4"/>
        <v>41.80820611</v>
      </c>
    </row>
    <row r="163" ht="22.5" customHeight="1">
      <c r="A163" s="46" t="s">
        <v>267</v>
      </c>
      <c r="B163" s="14" t="s">
        <v>9</v>
      </c>
      <c r="C163" s="14">
        <v>80.0</v>
      </c>
      <c r="D163" s="15">
        <v>210.0</v>
      </c>
      <c r="E163" s="46">
        <v>60.0</v>
      </c>
      <c r="F163" s="46">
        <v>203.0</v>
      </c>
      <c r="G163" s="52">
        <f>IFERROR(SUMIF(Issues!B:B, A163, Issues!H:H), 0)</f>
        <v>1500</v>
      </c>
      <c r="H163" s="52">
        <f>IFERROR(SUMIF(Returns!B:B, A163, Returns!H:H), 0)</f>
        <v>1280</v>
      </c>
      <c r="I163" s="3">
        <v>2690.0</v>
      </c>
      <c r="J163" s="3">
        <v>6.0</v>
      </c>
      <c r="K163" s="3">
        <v>94.0</v>
      </c>
      <c r="L163" s="53">
        <f t="shared" si="1"/>
        <v>134.0436811</v>
      </c>
      <c r="M163" s="52">
        <f t="shared" si="2"/>
        <v>220</v>
      </c>
      <c r="N163" s="54">
        <f t="shared" si="3"/>
        <v>85.95631891</v>
      </c>
      <c r="O163" s="54">
        <f t="shared" si="4"/>
        <v>18.05082697</v>
      </c>
    </row>
    <row r="164" ht="22.5" customHeight="1">
      <c r="A164" s="46" t="s">
        <v>268</v>
      </c>
      <c r="B164" s="14" t="s">
        <v>43</v>
      </c>
      <c r="C164" s="14">
        <v>50.0</v>
      </c>
      <c r="D164" s="15">
        <v>180.0</v>
      </c>
      <c r="E164" s="46">
        <v>876.0</v>
      </c>
      <c r="F164" s="46">
        <v>1094.0</v>
      </c>
      <c r="G164" s="52">
        <f>IFERROR(SUMIF(Issues!B:B, A164, Issues!H:H), 0)</f>
        <v>1300</v>
      </c>
      <c r="H164" s="52">
        <f>IFERROR(SUMIF(Returns!B:B, A164, Returns!H:H), 0)</f>
        <v>150</v>
      </c>
      <c r="I164" s="3">
        <v>10810.0</v>
      </c>
      <c r="J164" s="3">
        <v>4.0</v>
      </c>
      <c r="K164" s="3">
        <v>108.0</v>
      </c>
      <c r="L164" s="53">
        <f t="shared" si="1"/>
        <v>928.3396947</v>
      </c>
      <c r="M164" s="52">
        <f t="shared" si="2"/>
        <v>1150</v>
      </c>
      <c r="N164" s="54">
        <f t="shared" si="3"/>
        <v>221.6603053</v>
      </c>
      <c r="O164" s="54">
        <f t="shared" si="4"/>
        <v>39.89885496</v>
      </c>
    </row>
    <row r="165" ht="22.5" customHeight="1">
      <c r="A165" s="46" t="s">
        <v>269</v>
      </c>
      <c r="B165" s="14" t="s">
        <v>9</v>
      </c>
      <c r="C165" s="14">
        <v>80.0</v>
      </c>
      <c r="D165" s="15">
        <v>125.0</v>
      </c>
      <c r="E165" s="46">
        <v>344.0</v>
      </c>
      <c r="F165" s="46">
        <v>427.0</v>
      </c>
      <c r="G165" s="52">
        <f>IFERROR(SUMIF(Issues!B:B, A165, Issues!H:H), 0)</f>
        <v>1650</v>
      </c>
      <c r="H165" s="52">
        <f>IFERROR(SUMIF(Returns!B:B, A165, Returns!H:H), 0)</f>
        <v>1200</v>
      </c>
      <c r="I165" s="3">
        <v>2300.0</v>
      </c>
      <c r="J165" s="3">
        <v>2.0</v>
      </c>
      <c r="K165" s="3">
        <v>108.0</v>
      </c>
      <c r="L165" s="53">
        <f t="shared" si="1"/>
        <v>395.0381679</v>
      </c>
      <c r="M165" s="52">
        <f t="shared" si="2"/>
        <v>450</v>
      </c>
      <c r="N165" s="54">
        <f t="shared" si="3"/>
        <v>54.96183206</v>
      </c>
      <c r="O165" s="54">
        <f t="shared" si="4"/>
        <v>6.870229008</v>
      </c>
    </row>
    <row r="166" ht="22.5" customHeight="1">
      <c r="A166" s="46" t="s">
        <v>270</v>
      </c>
      <c r="B166" s="14" t="s">
        <v>9</v>
      </c>
      <c r="C166" s="14">
        <v>80.0</v>
      </c>
      <c r="D166" s="15">
        <v>229.0</v>
      </c>
      <c r="E166" s="46">
        <v>526.0</v>
      </c>
      <c r="F166" s="46">
        <v>797.0</v>
      </c>
      <c r="G166" s="52">
        <f>IFERROR(SUMIF(Issues!B:B, A166, Issues!H:H), 0)</f>
        <v>1500</v>
      </c>
      <c r="H166" s="52">
        <f>IFERROR(SUMIF(Returns!B:B, A166, Returns!H:H), 0)</f>
        <v>700</v>
      </c>
      <c r="I166" s="3">
        <v>10230.0</v>
      </c>
      <c r="J166" s="3">
        <v>6.0</v>
      </c>
      <c r="K166" s="3">
        <v>124.0</v>
      </c>
      <c r="L166" s="53">
        <f t="shared" si="1"/>
        <v>672.4554707</v>
      </c>
      <c r="M166" s="52">
        <f t="shared" si="2"/>
        <v>800</v>
      </c>
      <c r="N166" s="54">
        <f t="shared" si="3"/>
        <v>127.5445293</v>
      </c>
      <c r="O166" s="54">
        <f t="shared" si="4"/>
        <v>29.2076972</v>
      </c>
    </row>
    <row r="167" ht="22.5" customHeight="1">
      <c r="A167" s="46" t="s">
        <v>271</v>
      </c>
      <c r="B167" s="14" t="s">
        <v>9</v>
      </c>
      <c r="C167" s="14">
        <v>80.0</v>
      </c>
      <c r="D167" s="15">
        <v>160.0</v>
      </c>
      <c r="E167" s="46">
        <v>1415.0</v>
      </c>
      <c r="F167" s="46">
        <v>1650.0</v>
      </c>
      <c r="G167" s="52">
        <f>IFERROR(SUMIF(Issues!B:B, A167, Issues!H:H), 0)</f>
        <v>1700</v>
      </c>
      <c r="H167" s="52">
        <f>IFERROR(SUMIF(Returns!B:B, A167, Returns!H:H), 0)</f>
        <v>0</v>
      </c>
      <c r="I167" s="3">
        <v>5205.0</v>
      </c>
      <c r="J167" s="3">
        <v>1.0</v>
      </c>
      <c r="K167" s="3">
        <v>89.0</v>
      </c>
      <c r="L167" s="53">
        <f t="shared" si="1"/>
        <v>1473.425573</v>
      </c>
      <c r="M167" s="52">
        <f t="shared" si="2"/>
        <v>1700</v>
      </c>
      <c r="N167" s="54">
        <f t="shared" si="3"/>
        <v>226.5744275</v>
      </c>
      <c r="O167" s="54">
        <f t="shared" si="4"/>
        <v>36.2519084</v>
      </c>
    </row>
    <row r="168" ht="22.5" customHeight="1">
      <c r="A168" s="46" t="s">
        <v>273</v>
      </c>
      <c r="B168" s="14" t="s">
        <v>34</v>
      </c>
      <c r="C168" s="14">
        <v>120.0</v>
      </c>
      <c r="D168" s="15">
        <v>250.0</v>
      </c>
      <c r="E168" s="46">
        <v>1288.0</v>
      </c>
      <c r="F168" s="46">
        <v>1485.0</v>
      </c>
      <c r="G168" s="52">
        <f>IFERROR(SUMIF(Issues!B:B, A168, Issues!H:H), 0)</f>
        <v>1800</v>
      </c>
      <c r="H168" s="52">
        <f>IFERROR(SUMIF(Returns!B:B, A168, Returns!H:H), 0)</f>
        <v>315</v>
      </c>
      <c r="I168" s="3">
        <v>20000.0</v>
      </c>
      <c r="J168" s="52"/>
      <c r="K168" s="52"/>
      <c r="L168" s="53">
        <f t="shared" si="1"/>
        <v>0</v>
      </c>
      <c r="M168" s="52">
        <f t="shared" si="2"/>
        <v>1485</v>
      </c>
      <c r="N168" s="54">
        <f t="shared" si="3"/>
        <v>1485</v>
      </c>
      <c r="O168" s="54">
        <f t="shared" si="4"/>
        <v>371.25</v>
      </c>
    </row>
    <row r="169" ht="22.5" customHeight="1">
      <c r="A169" s="46" t="s">
        <v>276</v>
      </c>
      <c r="B169" s="14" t="s">
        <v>34</v>
      </c>
      <c r="C169" s="14">
        <v>120.0</v>
      </c>
      <c r="D169" s="15">
        <v>180.0</v>
      </c>
      <c r="E169" s="46">
        <v>1352.0</v>
      </c>
      <c r="F169" s="46">
        <v>1570.0</v>
      </c>
      <c r="G169" s="52">
        <f>IFERROR(SUMIF(Issues!B:B, A169, Issues!H:H), 0)</f>
        <v>1580</v>
      </c>
      <c r="H169" s="52">
        <f>IFERROR(SUMIF(Returns!B:B, A169, Returns!H:H), 0)</f>
        <v>0</v>
      </c>
      <c r="I169" s="3">
        <v>10000.0</v>
      </c>
      <c r="J169" s="52"/>
      <c r="K169" s="52"/>
      <c r="L169" s="53">
        <f t="shared" si="1"/>
        <v>0</v>
      </c>
      <c r="M169" s="52">
        <f t="shared" si="2"/>
        <v>1580</v>
      </c>
      <c r="N169" s="54">
        <f t="shared" si="3"/>
        <v>1580</v>
      </c>
      <c r="O169" s="54">
        <f t="shared" si="4"/>
        <v>284.4</v>
      </c>
    </row>
    <row r="170" ht="22.5" customHeight="1">
      <c r="A170" s="46" t="s">
        <v>277</v>
      </c>
      <c r="B170" s="14" t="s">
        <v>43</v>
      </c>
      <c r="C170" s="14">
        <v>50.0</v>
      </c>
      <c r="D170" s="7">
        <v>125.0</v>
      </c>
      <c r="E170" s="46">
        <v>876.0</v>
      </c>
      <c r="F170" s="46">
        <v>1130.0</v>
      </c>
      <c r="G170" s="52">
        <f>IFERROR(SUMIF(Issues!B:B, A170, Issues!H:H), 0)</f>
        <v>2000</v>
      </c>
      <c r="H170" s="52">
        <f>IFERROR(SUMIF(Returns!B:B, A170, Returns!H:H), 0)</f>
        <v>850</v>
      </c>
      <c r="I170" s="3">
        <v>11250.0</v>
      </c>
      <c r="J170" s="3">
        <v>4.0</v>
      </c>
      <c r="K170" s="3">
        <v>108.0</v>
      </c>
      <c r="L170" s="53">
        <f t="shared" si="1"/>
        <v>966.1259542</v>
      </c>
      <c r="M170" s="52">
        <f t="shared" si="2"/>
        <v>1150</v>
      </c>
      <c r="N170" s="54">
        <f t="shared" si="3"/>
        <v>183.8740458</v>
      </c>
      <c r="O170" s="54">
        <f t="shared" si="4"/>
        <v>22.98425573</v>
      </c>
    </row>
    <row r="171" ht="22.5" customHeight="1">
      <c r="A171" s="46" t="s">
        <v>279</v>
      </c>
      <c r="B171" s="14" t="s">
        <v>43</v>
      </c>
      <c r="C171" s="14">
        <v>50.0</v>
      </c>
      <c r="D171" s="7">
        <v>125.0</v>
      </c>
      <c r="E171" s="46">
        <v>876.0</v>
      </c>
      <c r="F171" s="46">
        <v>1110.0</v>
      </c>
      <c r="G171" s="52">
        <f>IFERROR(SUMIF(Issues!B:B, A171, Issues!H:H), 0)</f>
        <v>2850</v>
      </c>
      <c r="H171" s="52">
        <f>IFERROR(SUMIF(Returns!B:B, A171, Returns!H:H), 0)</f>
        <v>1720</v>
      </c>
      <c r="I171" s="3">
        <v>11670.0</v>
      </c>
      <c r="J171" s="3">
        <v>4.0</v>
      </c>
      <c r="K171" s="3">
        <v>108.0</v>
      </c>
      <c r="L171" s="53">
        <f t="shared" si="1"/>
        <v>1002.194656</v>
      </c>
      <c r="M171" s="52">
        <f t="shared" si="2"/>
        <v>1130</v>
      </c>
      <c r="N171" s="54">
        <f t="shared" si="3"/>
        <v>127.8053435</v>
      </c>
      <c r="O171" s="54">
        <f t="shared" si="4"/>
        <v>15.97566794</v>
      </c>
    </row>
    <row r="172" ht="22.5" customHeight="1">
      <c r="A172" s="46" t="s">
        <v>280</v>
      </c>
      <c r="B172" s="14" t="s">
        <v>9</v>
      </c>
      <c r="C172" s="14">
        <v>80.0</v>
      </c>
      <c r="D172" s="15">
        <v>126.0</v>
      </c>
      <c r="E172" s="46">
        <v>174.0</v>
      </c>
      <c r="F172" s="46">
        <v>410.0</v>
      </c>
      <c r="G172" s="52">
        <f>IFERROR(SUMIF(Issues!B:B, A172, Issues!H:H), 0)</f>
        <v>500</v>
      </c>
      <c r="H172" s="52">
        <f>IFERROR(SUMIF(Returns!B:B, A172, Returns!H:H), 0)</f>
        <v>50</v>
      </c>
      <c r="I172" s="3">
        <v>5250.0</v>
      </c>
      <c r="J172" s="3">
        <v>6.0</v>
      </c>
      <c r="K172" s="3">
        <v>66.0</v>
      </c>
      <c r="L172" s="53">
        <f t="shared" si="1"/>
        <v>183.6832061</v>
      </c>
      <c r="M172" s="52">
        <f t="shared" si="2"/>
        <v>450</v>
      </c>
      <c r="N172" s="54">
        <f t="shared" si="3"/>
        <v>266.3167939</v>
      </c>
      <c r="O172" s="54">
        <f t="shared" si="4"/>
        <v>33.55591603</v>
      </c>
    </row>
    <row r="173" ht="22.5" customHeight="1">
      <c r="A173" s="46" t="s">
        <v>281</v>
      </c>
      <c r="B173" s="14" t="s">
        <v>9</v>
      </c>
      <c r="C173" s="14">
        <v>80.0</v>
      </c>
      <c r="D173" s="15">
        <v>180.0</v>
      </c>
      <c r="E173" s="46">
        <v>149.0</v>
      </c>
      <c r="F173" s="46">
        <v>325.0</v>
      </c>
      <c r="G173" s="52">
        <f>IFERROR(SUMIF(Issues!B:B, A173, Issues!H:H), 0)</f>
        <v>1280</v>
      </c>
      <c r="H173" s="52">
        <f>IFERROR(SUMIF(Returns!B:B, A173, Returns!H:H), 0)</f>
        <v>950</v>
      </c>
      <c r="I173" s="3">
        <v>3300.0</v>
      </c>
      <c r="J173" s="3">
        <v>6.0</v>
      </c>
      <c r="K173" s="3">
        <v>94.0</v>
      </c>
      <c r="L173" s="53">
        <f t="shared" si="1"/>
        <v>164.4402036</v>
      </c>
      <c r="M173" s="52">
        <f t="shared" si="2"/>
        <v>330</v>
      </c>
      <c r="N173" s="54">
        <f t="shared" si="3"/>
        <v>165.5597964</v>
      </c>
      <c r="O173" s="54">
        <f t="shared" si="4"/>
        <v>29.80076336</v>
      </c>
    </row>
    <row r="174" ht="22.5" customHeight="1">
      <c r="A174" s="46" t="s">
        <v>282</v>
      </c>
      <c r="B174" s="14" t="s">
        <v>9</v>
      </c>
      <c r="C174" s="14">
        <v>80.0</v>
      </c>
      <c r="D174" s="15">
        <v>290.0</v>
      </c>
      <c r="E174" s="46">
        <v>15024.0</v>
      </c>
      <c r="F174" s="46">
        <v>16079.0</v>
      </c>
      <c r="G174" s="52">
        <f>IFERROR(SUMIF(Issues!B:B, A174, Issues!H:H), 0)</f>
        <v>16700</v>
      </c>
      <c r="H174" s="52">
        <f>IFERROR(SUMIF(Returns!B:B, A174, Returns!H:H), 0)</f>
        <v>600</v>
      </c>
      <c r="I174" s="3">
        <v>102770.0</v>
      </c>
      <c r="J174" s="3">
        <v>2.0</v>
      </c>
      <c r="K174" s="3">
        <v>94.0</v>
      </c>
      <c r="L174" s="53">
        <f>IFERROR((#REF!*(#REF!/8))/(39.3*#REF!),0)</f>
        <v>0</v>
      </c>
      <c r="M174" s="52">
        <f t="shared" si="2"/>
        <v>16100</v>
      </c>
      <c r="N174" s="54">
        <f t="shared" si="3"/>
        <v>16100</v>
      </c>
      <c r="O174" s="54">
        <f t="shared" si="4"/>
        <v>4669</v>
      </c>
    </row>
    <row r="175" ht="22.5" customHeight="1">
      <c r="A175" s="46" t="s">
        <v>283</v>
      </c>
      <c r="B175" s="14" t="s">
        <v>9</v>
      </c>
      <c r="C175" s="14">
        <v>80.0</v>
      </c>
      <c r="D175" s="15">
        <v>180.0</v>
      </c>
      <c r="E175" s="46">
        <v>149.0</v>
      </c>
      <c r="F175" s="46">
        <v>297.0</v>
      </c>
      <c r="G175" s="52">
        <f>IFERROR(SUMIF(Issues!B:B, A175, Issues!H:H), 0)</f>
        <v>2232</v>
      </c>
      <c r="H175" s="52">
        <f>IFERROR(SUMIF(Returns!B:B, A175, Returns!H:H), 0)</f>
        <v>1620</v>
      </c>
      <c r="I175" s="3">
        <v>3135.0</v>
      </c>
      <c r="J175" s="3">
        <v>6.0</v>
      </c>
      <c r="K175" s="3">
        <v>94.0</v>
      </c>
      <c r="L175" s="53">
        <f t="shared" ref="L175:L781" si="5">IFERROR((I175*(K175/8))/(39.3*J175),0)</f>
        <v>156.2181934</v>
      </c>
      <c r="M175" s="52">
        <f t="shared" si="2"/>
        <v>612</v>
      </c>
      <c r="N175" s="54">
        <f t="shared" si="3"/>
        <v>455.7818066</v>
      </c>
      <c r="O175" s="54">
        <f t="shared" si="4"/>
        <v>82.04072519</v>
      </c>
    </row>
    <row r="176" ht="22.5" customHeight="1">
      <c r="A176" s="46" t="s">
        <v>284</v>
      </c>
      <c r="B176" s="14" t="s">
        <v>9</v>
      </c>
      <c r="C176" s="14">
        <v>80.0</v>
      </c>
      <c r="D176" s="15">
        <v>180.0</v>
      </c>
      <c r="E176" s="46">
        <v>149.0</v>
      </c>
      <c r="F176" s="46">
        <v>284.0</v>
      </c>
      <c r="G176" s="52">
        <f>IFERROR(SUMIF(Issues!B:B, A176, Issues!H:H), 0)</f>
        <v>2800</v>
      </c>
      <c r="H176" s="52">
        <f>IFERROR(SUMIF(Returns!B:B, A176, Returns!H:H), 0)</f>
        <v>2232</v>
      </c>
      <c r="I176" s="3">
        <v>3450.0</v>
      </c>
      <c r="J176" s="3">
        <v>6.0</v>
      </c>
      <c r="K176" s="3">
        <v>94.0</v>
      </c>
      <c r="L176" s="53">
        <f t="shared" si="5"/>
        <v>171.9147583</v>
      </c>
      <c r="M176" s="52">
        <f t="shared" si="2"/>
        <v>568</v>
      </c>
      <c r="N176" s="54">
        <f t="shared" si="3"/>
        <v>396.0852417</v>
      </c>
      <c r="O176" s="54">
        <f t="shared" si="4"/>
        <v>71.29534351</v>
      </c>
    </row>
    <row r="177" ht="22.5" customHeight="1">
      <c r="A177" s="46" t="s">
        <v>285</v>
      </c>
      <c r="B177" s="14" t="s">
        <v>9</v>
      </c>
      <c r="C177" s="14">
        <v>80.0</v>
      </c>
      <c r="D177" s="15">
        <v>330.0</v>
      </c>
      <c r="E177" s="46">
        <v>2409.0</v>
      </c>
      <c r="F177" s="46">
        <v>3030.0</v>
      </c>
      <c r="G177" s="52">
        <f>IFERROR(SUMIF(Issues!B:B, A177, Issues!H:H), 0)</f>
        <v>6000</v>
      </c>
      <c r="H177" s="52">
        <f>IFERROR(SUMIF(Returns!B:B, A177, Returns!H:H), 0)</f>
        <v>0</v>
      </c>
      <c r="I177" s="3">
        <v>33780.0</v>
      </c>
      <c r="J177" s="3">
        <v>3.0</v>
      </c>
      <c r="K177" s="3">
        <v>75.0</v>
      </c>
      <c r="L177" s="53">
        <f t="shared" si="5"/>
        <v>2686.068702</v>
      </c>
      <c r="M177" s="52">
        <f t="shared" si="2"/>
        <v>6000</v>
      </c>
      <c r="N177" s="54">
        <f t="shared" si="3"/>
        <v>3313.931298</v>
      </c>
      <c r="O177" s="54">
        <f t="shared" si="4"/>
        <v>1093.597328</v>
      </c>
    </row>
    <row r="178" ht="22.5" customHeight="1">
      <c r="A178" s="46" t="s">
        <v>286</v>
      </c>
      <c r="B178" s="14" t="s">
        <v>9</v>
      </c>
      <c r="C178" s="14">
        <v>80.0</v>
      </c>
      <c r="D178" s="15">
        <v>180.0</v>
      </c>
      <c r="E178" s="46">
        <v>149.0</v>
      </c>
      <c r="F178" s="46">
        <v>317.0</v>
      </c>
      <c r="G178" s="52">
        <f>IFERROR(SUMIF(Issues!B:B, A178, Issues!H:H), 0)</f>
        <v>1620</v>
      </c>
      <c r="H178" s="52">
        <f>IFERROR(SUMIF(Returns!B:B, A178, Returns!H:H), 0)</f>
        <v>960</v>
      </c>
      <c r="I178" s="3">
        <v>3540.0</v>
      </c>
      <c r="J178" s="3">
        <v>6.0</v>
      </c>
      <c r="K178" s="3">
        <v>94.0</v>
      </c>
      <c r="L178" s="53">
        <f t="shared" si="5"/>
        <v>176.3994911</v>
      </c>
      <c r="M178" s="52">
        <f t="shared" si="2"/>
        <v>660</v>
      </c>
      <c r="N178" s="54">
        <f t="shared" si="3"/>
        <v>483.6005089</v>
      </c>
      <c r="O178" s="54">
        <f t="shared" si="4"/>
        <v>87.0480916</v>
      </c>
    </row>
    <row r="179" ht="22.5" customHeight="1">
      <c r="A179" s="46" t="s">
        <v>283</v>
      </c>
      <c r="B179" s="14" t="s">
        <v>9</v>
      </c>
      <c r="C179" s="14">
        <v>80.0</v>
      </c>
      <c r="D179" s="15">
        <v>180.0</v>
      </c>
      <c r="E179" s="46">
        <v>149.0</v>
      </c>
      <c r="F179" s="46">
        <v>297.0</v>
      </c>
      <c r="G179" s="52">
        <f>IFERROR(SUMIF(Issues!B:B, A179, Issues!H:H), 0)</f>
        <v>2232</v>
      </c>
      <c r="H179" s="52">
        <f>IFERROR(SUMIF(Returns!B:B, A179, Returns!H:H), 0)</f>
        <v>1620</v>
      </c>
      <c r="I179" s="3">
        <v>3300.0</v>
      </c>
      <c r="J179" s="3">
        <v>6.0</v>
      </c>
      <c r="K179" s="3">
        <v>94.0</v>
      </c>
      <c r="L179" s="53">
        <f t="shared" si="5"/>
        <v>164.4402036</v>
      </c>
      <c r="M179" s="52">
        <f t="shared" si="2"/>
        <v>612</v>
      </c>
      <c r="N179" s="54">
        <f t="shared" si="3"/>
        <v>447.5597964</v>
      </c>
      <c r="O179" s="54">
        <f t="shared" si="4"/>
        <v>80.56076336</v>
      </c>
    </row>
    <row r="180" ht="22.5" customHeight="1">
      <c r="A180" s="46" t="s">
        <v>284</v>
      </c>
      <c r="B180" s="14" t="s">
        <v>9</v>
      </c>
      <c r="C180" s="14">
        <v>80.0</v>
      </c>
      <c r="D180" s="15">
        <v>180.0</v>
      </c>
      <c r="E180" s="46">
        <v>149.0</v>
      </c>
      <c r="F180" s="46">
        <v>284.0</v>
      </c>
      <c r="G180" s="52">
        <f>IFERROR(SUMIF(Issues!B:B, A180, Issues!H:H), 0)</f>
        <v>2800</v>
      </c>
      <c r="H180" s="52">
        <f>IFERROR(SUMIF(Returns!B:B, A180, Returns!H:H), 0)</f>
        <v>2232</v>
      </c>
      <c r="I180" s="3">
        <v>3450.0</v>
      </c>
      <c r="J180" s="3">
        <v>6.0</v>
      </c>
      <c r="K180" s="3">
        <v>94.0</v>
      </c>
      <c r="L180" s="53">
        <f t="shared" si="5"/>
        <v>171.9147583</v>
      </c>
      <c r="M180" s="52">
        <f t="shared" si="2"/>
        <v>568</v>
      </c>
      <c r="N180" s="54">
        <f t="shared" si="3"/>
        <v>396.0852417</v>
      </c>
      <c r="O180" s="54">
        <f t="shared" si="4"/>
        <v>71.29534351</v>
      </c>
    </row>
    <row r="181" ht="22.5" customHeight="1">
      <c r="A181" s="46" t="s">
        <v>289</v>
      </c>
      <c r="B181" s="14" t="s">
        <v>9</v>
      </c>
      <c r="C181" s="14">
        <v>80.0</v>
      </c>
      <c r="D181" s="15">
        <v>190.0</v>
      </c>
      <c r="E181" s="46">
        <v>495.0</v>
      </c>
      <c r="F181" s="46">
        <v>710.0</v>
      </c>
      <c r="G181" s="52">
        <f>IFERROR(SUMIF(Issues!B:B, A181, Issues!H:H), 0)</f>
        <v>1000</v>
      </c>
      <c r="H181" s="52">
        <f>IFERROR(SUMIF(Returns!B:B, A181, Returns!H:H), 0)</f>
        <v>250</v>
      </c>
      <c r="I181" s="3">
        <v>8572.0</v>
      </c>
      <c r="J181" s="3">
        <v>4.0</v>
      </c>
      <c r="K181" s="3">
        <v>89.0</v>
      </c>
      <c r="L181" s="53">
        <f t="shared" si="5"/>
        <v>606.6380407</v>
      </c>
      <c r="M181" s="52">
        <f t="shared" si="2"/>
        <v>750</v>
      </c>
      <c r="N181" s="54">
        <f t="shared" si="3"/>
        <v>143.3619593</v>
      </c>
      <c r="O181" s="54">
        <f t="shared" si="4"/>
        <v>27.23877226</v>
      </c>
    </row>
    <row r="182" ht="22.5" customHeight="1">
      <c r="A182" s="46" t="s">
        <v>291</v>
      </c>
      <c r="B182" s="14" t="s">
        <v>9</v>
      </c>
      <c r="C182" s="14">
        <v>80.0</v>
      </c>
      <c r="D182" s="15">
        <v>190.0</v>
      </c>
      <c r="E182" s="46">
        <v>495.0</v>
      </c>
      <c r="F182" s="46">
        <v>744.0</v>
      </c>
      <c r="G182" s="52">
        <f>IFERROR(SUMIF(Issues!B:B, A182, Issues!H:H), 0)</f>
        <v>1450</v>
      </c>
      <c r="H182" s="52">
        <f>IFERROR(SUMIF(Returns!B:B, A182, Returns!H:H), 0)</f>
        <v>700</v>
      </c>
      <c r="I182" s="3">
        <v>7712.0</v>
      </c>
      <c r="J182" s="3">
        <v>4.0</v>
      </c>
      <c r="K182" s="3">
        <v>89.0</v>
      </c>
      <c r="L182" s="53">
        <f t="shared" si="5"/>
        <v>545.7760814</v>
      </c>
      <c r="M182" s="52">
        <f t="shared" si="2"/>
        <v>750</v>
      </c>
      <c r="N182" s="54">
        <f t="shared" si="3"/>
        <v>204.2239186</v>
      </c>
      <c r="O182" s="54">
        <f t="shared" si="4"/>
        <v>38.80254453</v>
      </c>
    </row>
    <row r="183" ht="22.5" customHeight="1">
      <c r="A183" s="46" t="s">
        <v>292</v>
      </c>
      <c r="B183" s="14" t="s">
        <v>43</v>
      </c>
      <c r="C183" s="14">
        <v>50.0</v>
      </c>
      <c r="D183" s="15">
        <v>100.0</v>
      </c>
      <c r="E183" s="46">
        <v>869.0</v>
      </c>
      <c r="F183" s="46">
        <v>1335.0</v>
      </c>
      <c r="G183" s="52">
        <f>IFERROR(SUMIF(Issues!B:B, A183, Issues!H:H), 0)</f>
        <v>1750</v>
      </c>
      <c r="H183" s="52">
        <f>IFERROR(SUMIF(Returns!B:B, A183, Returns!H:H), 0)</f>
        <v>400</v>
      </c>
      <c r="I183" s="3">
        <v>4400.0</v>
      </c>
      <c r="J183" s="3">
        <v>1.0</v>
      </c>
      <c r="K183" s="3">
        <v>66.0</v>
      </c>
      <c r="L183" s="53">
        <f t="shared" si="5"/>
        <v>923.6641221</v>
      </c>
      <c r="M183" s="52">
        <f t="shared" si="2"/>
        <v>1350</v>
      </c>
      <c r="N183" s="54">
        <f t="shared" si="3"/>
        <v>426.3358779</v>
      </c>
      <c r="O183" s="54">
        <f t="shared" si="4"/>
        <v>42.63358779</v>
      </c>
    </row>
    <row r="184" ht="22.5" customHeight="1">
      <c r="A184" s="46" t="s">
        <v>294</v>
      </c>
      <c r="B184" s="14" t="s">
        <v>36</v>
      </c>
      <c r="C184" s="14">
        <v>70.0</v>
      </c>
      <c r="D184" s="15">
        <v>190.0</v>
      </c>
      <c r="E184" s="7">
        <v>2465.0</v>
      </c>
      <c r="F184" s="46">
        <v>2884.0</v>
      </c>
      <c r="G184" s="52">
        <f>IFERROR(SUMIF(Issues!B:B, A184, Issues!H:H), 0)</f>
        <v>3000</v>
      </c>
      <c r="H184" s="52">
        <f>IFERROR(SUMIF(Returns!B:B, A184, Returns!H:H), 0)</f>
        <v>100</v>
      </c>
      <c r="I184" s="3">
        <v>49000.0</v>
      </c>
      <c r="J184" s="3">
        <v>8.0</v>
      </c>
      <c r="K184" s="3">
        <v>124.0</v>
      </c>
      <c r="L184" s="53">
        <f t="shared" si="5"/>
        <v>2415.712468</v>
      </c>
      <c r="M184" s="52">
        <f t="shared" si="2"/>
        <v>2900</v>
      </c>
      <c r="N184" s="54">
        <f t="shared" si="3"/>
        <v>484.2875318</v>
      </c>
      <c r="O184" s="54">
        <f t="shared" si="4"/>
        <v>92.01463104</v>
      </c>
    </row>
    <row r="185" ht="22.5" customHeight="1">
      <c r="A185" s="46" t="s">
        <v>296</v>
      </c>
      <c r="B185" s="14" t="s">
        <v>9</v>
      </c>
      <c r="C185" s="14">
        <v>80.0</v>
      </c>
      <c r="D185" s="21"/>
      <c r="E185" s="7">
        <v>76.0</v>
      </c>
      <c r="F185" s="46">
        <v>419.0</v>
      </c>
      <c r="G185" s="52">
        <f>IFERROR(SUMIF(Issues!B:B, A185, Issues!H:H), 0)</f>
        <v>0</v>
      </c>
      <c r="H185" s="52">
        <f>IFERROR(SUMIF(Returns!B:B, A185, Returns!H:H), 0)</f>
        <v>1320</v>
      </c>
      <c r="I185" s="3">
        <v>910.0</v>
      </c>
      <c r="J185" s="3">
        <v>2.0</v>
      </c>
      <c r="K185" s="3">
        <v>94.0</v>
      </c>
      <c r="L185" s="53">
        <f t="shared" si="5"/>
        <v>136.0368957</v>
      </c>
      <c r="M185" s="52">
        <f t="shared" si="2"/>
        <v>-1320</v>
      </c>
      <c r="N185" s="54">
        <f t="shared" si="3"/>
        <v>0</v>
      </c>
      <c r="O185" s="54">
        <f t="shared" si="4"/>
        <v>0</v>
      </c>
    </row>
    <row r="186" ht="22.5" customHeight="1">
      <c r="A186" s="46" t="s">
        <v>298</v>
      </c>
      <c r="B186" s="14" t="s">
        <v>9</v>
      </c>
      <c r="C186" s="14">
        <v>80.0</v>
      </c>
      <c r="D186" s="15">
        <v>290.0</v>
      </c>
      <c r="E186" s="7">
        <v>747.0</v>
      </c>
      <c r="F186" s="46">
        <v>990.0</v>
      </c>
      <c r="G186" s="52">
        <f>IFERROR(SUMIF(Issues!B:B, A186, Issues!H:H), 0)</f>
        <v>2000</v>
      </c>
      <c r="H186" s="52">
        <f>IFERROR(SUMIF(Returns!B:B, A186, Returns!H:H), 0)</f>
        <v>1000</v>
      </c>
      <c r="I186" s="3">
        <v>5780.0</v>
      </c>
      <c r="J186" s="3">
        <v>2.0</v>
      </c>
      <c r="K186" s="3">
        <v>94.0</v>
      </c>
      <c r="L186" s="53">
        <f t="shared" si="5"/>
        <v>864.0585242</v>
      </c>
      <c r="M186" s="52">
        <f t="shared" si="2"/>
        <v>1000</v>
      </c>
      <c r="N186" s="54">
        <f t="shared" si="3"/>
        <v>135.9414758</v>
      </c>
      <c r="O186" s="54">
        <f t="shared" si="4"/>
        <v>39.42302799</v>
      </c>
    </row>
    <row r="187" ht="22.5" customHeight="1">
      <c r="A187" s="46" t="s">
        <v>299</v>
      </c>
      <c r="B187" s="14" t="s">
        <v>9</v>
      </c>
      <c r="C187" s="14">
        <v>80.0</v>
      </c>
      <c r="D187" s="15">
        <v>280.0</v>
      </c>
      <c r="E187" s="7">
        <v>1024.0</v>
      </c>
      <c r="F187" s="46">
        <v>1261.0</v>
      </c>
      <c r="G187" s="52">
        <f>IFERROR(SUMIF(Issues!B:B, A187, Issues!H:H), 0)</f>
        <v>2040</v>
      </c>
      <c r="H187" s="52">
        <f>IFERROR(SUMIF(Returns!B:B, A187, Returns!H:H), 0)</f>
        <v>770</v>
      </c>
      <c r="I187" s="3">
        <v>7300.0</v>
      </c>
      <c r="J187" s="3">
        <v>2.0</v>
      </c>
      <c r="K187" s="3">
        <v>92.0</v>
      </c>
      <c r="L187" s="53">
        <f t="shared" si="5"/>
        <v>1068.066158</v>
      </c>
      <c r="M187" s="52">
        <f t="shared" si="2"/>
        <v>1270</v>
      </c>
      <c r="N187" s="54">
        <f t="shared" si="3"/>
        <v>201.9338422</v>
      </c>
      <c r="O187" s="54">
        <f t="shared" si="4"/>
        <v>56.54147583</v>
      </c>
    </row>
    <row r="188" ht="22.5" customHeight="1">
      <c r="A188" s="46" t="s">
        <v>300</v>
      </c>
      <c r="B188" s="14" t="s">
        <v>9</v>
      </c>
      <c r="C188" s="14">
        <v>80.0</v>
      </c>
      <c r="D188" s="15">
        <v>290.0</v>
      </c>
      <c r="E188" s="7">
        <v>448.0</v>
      </c>
      <c r="F188" s="46">
        <v>621.0</v>
      </c>
      <c r="G188" s="52">
        <f>IFERROR(SUMIF(Issues!B:B, A188, Issues!H:H), 0)</f>
        <v>800</v>
      </c>
      <c r="H188" s="52">
        <f>IFERROR(SUMIF(Returns!B:B, A188, Returns!H:H), 0)</f>
        <v>170</v>
      </c>
      <c r="I188" s="3">
        <v>3200.0</v>
      </c>
      <c r="J188" s="3">
        <v>2.0</v>
      </c>
      <c r="K188" s="3">
        <v>94.0</v>
      </c>
      <c r="L188" s="53">
        <f t="shared" si="5"/>
        <v>478.3715013</v>
      </c>
      <c r="M188" s="52">
        <f t="shared" si="2"/>
        <v>630</v>
      </c>
      <c r="N188" s="54">
        <f t="shared" si="3"/>
        <v>151.6284987</v>
      </c>
      <c r="O188" s="54">
        <f t="shared" si="4"/>
        <v>43.97226463</v>
      </c>
    </row>
    <row r="189" ht="22.5" customHeight="1">
      <c r="A189" s="46" t="s">
        <v>301</v>
      </c>
      <c r="B189" s="14" t="s">
        <v>9</v>
      </c>
      <c r="C189" s="14">
        <v>80.0</v>
      </c>
      <c r="D189" s="15">
        <v>290.0</v>
      </c>
      <c r="E189" s="7">
        <v>149.0</v>
      </c>
      <c r="F189" s="46">
        <v>285.0</v>
      </c>
      <c r="G189" s="52">
        <f>IFERROR(SUMIF(Issues!B:B, A189, Issues!H:H), 0)</f>
        <v>2120</v>
      </c>
      <c r="H189" s="52">
        <f>IFERROR(SUMIF(Returns!B:B, A189, Returns!H:H), 0)</f>
        <v>1880</v>
      </c>
      <c r="I189" s="3">
        <v>1200.0</v>
      </c>
      <c r="J189" s="3">
        <v>2.0</v>
      </c>
      <c r="K189" s="3">
        <v>94.0</v>
      </c>
      <c r="L189" s="53">
        <f t="shared" si="5"/>
        <v>179.389313</v>
      </c>
      <c r="M189" s="52">
        <f t="shared" si="2"/>
        <v>240</v>
      </c>
      <c r="N189" s="54">
        <f t="shared" si="3"/>
        <v>60.61068702</v>
      </c>
      <c r="O189" s="54">
        <f t="shared" si="4"/>
        <v>17.57709924</v>
      </c>
    </row>
    <row r="190" ht="22.5" customHeight="1">
      <c r="A190" s="46" t="s">
        <v>303</v>
      </c>
      <c r="B190" s="14" t="s">
        <v>9</v>
      </c>
      <c r="C190" s="14">
        <v>80.0</v>
      </c>
      <c r="D190" s="15">
        <v>280.0</v>
      </c>
      <c r="E190" s="7">
        <v>732.0</v>
      </c>
      <c r="F190" s="46">
        <v>957.0</v>
      </c>
      <c r="G190" s="52">
        <f>IFERROR(SUMIF(Issues!B:B, A190, Issues!H:H), 0)</f>
        <v>2000</v>
      </c>
      <c r="H190" s="52">
        <f>IFERROR(SUMIF(Returns!B:B, A190, Returns!H:H), 0)</f>
        <v>1040</v>
      </c>
      <c r="I190" s="3">
        <v>5780.0</v>
      </c>
      <c r="J190" s="3">
        <v>2.0</v>
      </c>
      <c r="K190" s="3">
        <v>92.0</v>
      </c>
      <c r="L190" s="53">
        <f t="shared" si="5"/>
        <v>845.6743003</v>
      </c>
      <c r="M190" s="52">
        <f t="shared" si="2"/>
        <v>960</v>
      </c>
      <c r="N190" s="54">
        <f t="shared" si="3"/>
        <v>114.3256997</v>
      </c>
      <c r="O190" s="54">
        <f t="shared" si="4"/>
        <v>32.01119593</v>
      </c>
    </row>
    <row r="191" ht="22.5" customHeight="1">
      <c r="A191" s="46" t="s">
        <v>305</v>
      </c>
      <c r="B191" s="14" t="s">
        <v>9</v>
      </c>
      <c r="C191" s="14">
        <v>80.0</v>
      </c>
      <c r="D191" s="15">
        <v>125.0</v>
      </c>
      <c r="E191" s="7">
        <v>515.0</v>
      </c>
      <c r="F191" s="46">
        <v>699.0</v>
      </c>
      <c r="G191" s="52">
        <f>IFERROR(SUMIF(Issues!B:B, A191, Issues!H:H), 0)</f>
        <v>2000</v>
      </c>
      <c r="H191" s="52">
        <f>IFERROR(SUMIF(Returns!B:B, A191, Returns!H:H), 0)</f>
        <v>1300</v>
      </c>
      <c r="I191" s="3">
        <v>3520.0</v>
      </c>
      <c r="J191" s="3">
        <v>2.0</v>
      </c>
      <c r="K191" s="3">
        <v>108.0</v>
      </c>
      <c r="L191" s="53">
        <f t="shared" si="5"/>
        <v>604.5801527</v>
      </c>
      <c r="M191" s="52">
        <f t="shared" si="2"/>
        <v>700</v>
      </c>
      <c r="N191" s="54">
        <f t="shared" si="3"/>
        <v>95.41984733</v>
      </c>
      <c r="O191" s="54">
        <f t="shared" si="4"/>
        <v>11.92748092</v>
      </c>
    </row>
    <row r="192" ht="22.5" customHeight="1">
      <c r="A192" s="46" t="s">
        <v>306</v>
      </c>
      <c r="B192" s="14" t="s">
        <v>9</v>
      </c>
      <c r="C192" s="14">
        <v>80.0</v>
      </c>
      <c r="D192" s="15">
        <v>180.0</v>
      </c>
      <c r="E192" s="7">
        <v>149.0</v>
      </c>
      <c r="F192" s="46">
        <v>259.0</v>
      </c>
      <c r="G192" s="52">
        <f>IFERROR(SUMIF(Issues!B:B, A192, Issues!H:H), 0)</f>
        <v>480</v>
      </c>
      <c r="H192" s="52">
        <f>IFERROR(SUMIF(Returns!B:B, A192, Returns!H:H), 0)</f>
        <v>200</v>
      </c>
      <c r="I192" s="3">
        <v>3600.0</v>
      </c>
      <c r="J192" s="3">
        <v>6.0</v>
      </c>
      <c r="K192" s="3">
        <v>94.0</v>
      </c>
      <c r="L192" s="53">
        <f t="shared" si="5"/>
        <v>179.389313</v>
      </c>
      <c r="M192" s="52">
        <f t="shared" si="2"/>
        <v>280</v>
      </c>
      <c r="N192" s="54">
        <f t="shared" si="3"/>
        <v>100.610687</v>
      </c>
      <c r="O192" s="54">
        <f t="shared" si="4"/>
        <v>18.10992366</v>
      </c>
    </row>
    <row r="193" ht="22.5" customHeight="1">
      <c r="A193" s="46" t="s">
        <v>307</v>
      </c>
      <c r="B193" s="14" t="s">
        <v>9</v>
      </c>
      <c r="C193" s="14">
        <v>80.0</v>
      </c>
      <c r="D193" s="15">
        <v>290.0</v>
      </c>
      <c r="E193" s="7">
        <v>1495.0</v>
      </c>
      <c r="F193" s="46">
        <v>1791.0</v>
      </c>
      <c r="G193" s="52">
        <f>IFERROR(SUMIF(Issues!B:B, A193, Issues!H:H), 0)</f>
        <v>1880</v>
      </c>
      <c r="H193" s="52">
        <f>IFERROR(SUMIF(Returns!B:B, A193, Returns!H:H), 0)</f>
        <v>0</v>
      </c>
      <c r="I193" s="3">
        <v>11000.0</v>
      </c>
      <c r="J193" s="3">
        <v>2.0</v>
      </c>
      <c r="K193" s="3">
        <v>94.0</v>
      </c>
      <c r="L193" s="53">
        <f t="shared" si="5"/>
        <v>1644.402036</v>
      </c>
      <c r="M193" s="52">
        <f t="shared" si="2"/>
        <v>1880</v>
      </c>
      <c r="N193" s="54">
        <f t="shared" si="3"/>
        <v>235.5979644</v>
      </c>
      <c r="O193" s="54">
        <f t="shared" si="4"/>
        <v>68.32340967</v>
      </c>
    </row>
    <row r="194" ht="22.5" customHeight="1">
      <c r="A194" s="46" t="s">
        <v>308</v>
      </c>
      <c r="B194" s="14" t="s">
        <v>9</v>
      </c>
      <c r="C194" s="14">
        <v>80.0</v>
      </c>
      <c r="D194" s="15">
        <v>330.0</v>
      </c>
      <c r="E194" s="46">
        <v>398.0</v>
      </c>
      <c r="F194" s="46">
        <v>557.0</v>
      </c>
      <c r="G194" s="52">
        <f>IFERROR(SUMIF(Issues!B:B, A194, Issues!H:H), 0)</f>
        <v>1600</v>
      </c>
      <c r="H194" s="52">
        <f>IFERROR(SUMIF(Returns!B:B, A194, Returns!H:H), 0)</f>
        <v>1000</v>
      </c>
      <c r="I194" s="3">
        <v>5940.0</v>
      </c>
      <c r="J194" s="3">
        <v>3.0</v>
      </c>
      <c r="K194" s="3">
        <v>75.0</v>
      </c>
      <c r="L194" s="53">
        <f t="shared" si="5"/>
        <v>472.3282443</v>
      </c>
      <c r="M194" s="52">
        <f t="shared" si="2"/>
        <v>600</v>
      </c>
      <c r="N194" s="54">
        <f t="shared" si="3"/>
        <v>127.6717557</v>
      </c>
      <c r="O194" s="54">
        <f t="shared" si="4"/>
        <v>42.13167939</v>
      </c>
    </row>
    <row r="195" ht="22.5" customHeight="1">
      <c r="A195" s="46" t="s">
        <v>309</v>
      </c>
      <c r="B195" s="14" t="s">
        <v>9</v>
      </c>
      <c r="C195" s="14">
        <v>80.0</v>
      </c>
      <c r="D195" s="15">
        <v>125.0</v>
      </c>
      <c r="E195" s="7">
        <v>515.0</v>
      </c>
      <c r="F195" s="46">
        <v>626.0</v>
      </c>
      <c r="G195" s="52">
        <f>IFERROR(SUMIF(Issues!B:B, A195, Issues!H:H), 0)</f>
        <v>1800</v>
      </c>
      <c r="H195" s="52">
        <f>IFERROR(SUMIF(Returns!B:B, A195, Returns!H:H), 0)</f>
        <v>1174</v>
      </c>
      <c r="I195" s="3">
        <v>3450.0</v>
      </c>
      <c r="J195" s="3">
        <v>2.0</v>
      </c>
      <c r="K195" s="3">
        <v>108.0</v>
      </c>
      <c r="L195" s="53">
        <f t="shared" si="5"/>
        <v>592.5572519</v>
      </c>
      <c r="M195" s="52">
        <f t="shared" si="2"/>
        <v>626</v>
      </c>
      <c r="N195" s="54">
        <f t="shared" si="3"/>
        <v>33.44274809</v>
      </c>
      <c r="O195" s="54">
        <f t="shared" si="4"/>
        <v>4.180343511</v>
      </c>
    </row>
    <row r="196" ht="22.5" customHeight="1">
      <c r="A196" s="46" t="s">
        <v>310</v>
      </c>
      <c r="B196" s="14" t="s">
        <v>9</v>
      </c>
      <c r="C196" s="14">
        <v>80.0</v>
      </c>
      <c r="D196" s="15">
        <v>250.0</v>
      </c>
      <c r="E196" s="7">
        <v>159.0</v>
      </c>
      <c r="F196" s="46">
        <v>342.0</v>
      </c>
      <c r="G196" s="52">
        <f>IFERROR(SUMIF(Issues!B:B, A196, Issues!H:H), 0)</f>
        <v>1400</v>
      </c>
      <c r="H196" s="52">
        <f>IFERROR(SUMIF(Returns!B:B, A196, Returns!H:H), 0)</f>
        <v>1050</v>
      </c>
      <c r="I196" s="3">
        <v>3240.0</v>
      </c>
      <c r="J196" s="3">
        <v>3.0</v>
      </c>
      <c r="K196" s="3">
        <v>75.0</v>
      </c>
      <c r="L196" s="53">
        <f t="shared" si="5"/>
        <v>257.6335878</v>
      </c>
      <c r="M196" s="52">
        <f t="shared" si="2"/>
        <v>350</v>
      </c>
      <c r="N196" s="54">
        <f t="shared" si="3"/>
        <v>92.36641221</v>
      </c>
      <c r="O196" s="54">
        <f t="shared" si="4"/>
        <v>23.09160305</v>
      </c>
    </row>
    <row r="197" ht="22.5" customHeight="1">
      <c r="A197" s="46" t="s">
        <v>311</v>
      </c>
      <c r="B197" s="14" t="s">
        <v>9</v>
      </c>
      <c r="C197" s="14">
        <v>80.0</v>
      </c>
      <c r="D197" s="15">
        <v>330.0</v>
      </c>
      <c r="E197" s="46">
        <v>172.0</v>
      </c>
      <c r="F197" s="46">
        <v>352.0</v>
      </c>
      <c r="G197" s="52">
        <f>IFERROR(SUMIF(Issues!B:B, A197, Issues!H:H), 0)</f>
        <v>1990</v>
      </c>
      <c r="H197" s="52">
        <f>IFERROR(SUMIF(Returns!B:B, A197, Returns!H:H), 0)</f>
        <v>1600</v>
      </c>
      <c r="I197" s="3">
        <v>1590.0</v>
      </c>
      <c r="J197" s="3">
        <v>2.0</v>
      </c>
      <c r="K197" s="3">
        <v>108.0</v>
      </c>
      <c r="L197" s="53">
        <f t="shared" si="5"/>
        <v>273.0916031</v>
      </c>
      <c r="M197" s="52">
        <f t="shared" si="2"/>
        <v>390</v>
      </c>
      <c r="N197" s="54">
        <f t="shared" si="3"/>
        <v>116.9083969</v>
      </c>
      <c r="O197" s="54">
        <f t="shared" si="4"/>
        <v>38.57977099</v>
      </c>
    </row>
    <row r="198" ht="22.5" customHeight="1">
      <c r="A198" s="46" t="s">
        <v>312</v>
      </c>
      <c r="B198" s="14" t="s">
        <v>9</v>
      </c>
      <c r="C198" s="14">
        <v>80.0</v>
      </c>
      <c r="D198" s="15">
        <v>125.0</v>
      </c>
      <c r="E198" s="7">
        <v>1546.0</v>
      </c>
      <c r="F198" s="46">
        <v>1824.0</v>
      </c>
      <c r="G198" s="52">
        <f>IFERROR(SUMIF(Issues!B:B, A198, Issues!H:H), 0)</f>
        <v>3600</v>
      </c>
      <c r="H198" s="52">
        <f>IFERROR(SUMIF(Returns!B:B, A198, Returns!H:H), 0)</f>
        <v>1770</v>
      </c>
      <c r="I198" s="3">
        <v>9940.0</v>
      </c>
      <c r="J198" s="3">
        <v>2.0</v>
      </c>
      <c r="K198" s="3">
        <v>108.0</v>
      </c>
      <c r="L198" s="53">
        <f t="shared" si="5"/>
        <v>1707.251908</v>
      </c>
      <c r="M198" s="52">
        <f t="shared" si="2"/>
        <v>1830</v>
      </c>
      <c r="N198" s="54">
        <f t="shared" si="3"/>
        <v>122.7480916</v>
      </c>
      <c r="O198" s="54">
        <f t="shared" si="4"/>
        <v>15.34351145</v>
      </c>
    </row>
    <row r="199" ht="22.5" customHeight="1">
      <c r="A199" s="46" t="s">
        <v>313</v>
      </c>
      <c r="B199" s="14" t="s">
        <v>9</v>
      </c>
      <c r="C199" s="14">
        <v>80.0</v>
      </c>
      <c r="D199" s="15">
        <v>125.0</v>
      </c>
      <c r="E199" s="7">
        <v>687.0</v>
      </c>
      <c r="F199" s="46">
        <v>867.0</v>
      </c>
      <c r="G199" s="52">
        <f>IFERROR(SUMIF(Issues!B:B, A199, Issues!H:H), 0)</f>
        <v>1300</v>
      </c>
      <c r="H199" s="52">
        <f>IFERROR(SUMIF(Returns!B:B, A199, Returns!H:H), 0)</f>
        <v>400</v>
      </c>
      <c r="I199" s="3">
        <v>4300.0</v>
      </c>
      <c r="J199" s="3">
        <v>2.0</v>
      </c>
      <c r="K199" s="3">
        <v>108.0</v>
      </c>
      <c r="L199" s="53">
        <f t="shared" si="5"/>
        <v>738.5496183</v>
      </c>
      <c r="M199" s="52">
        <f t="shared" si="2"/>
        <v>900</v>
      </c>
      <c r="N199" s="54">
        <f t="shared" si="3"/>
        <v>161.4503817</v>
      </c>
      <c r="O199" s="54">
        <f t="shared" si="4"/>
        <v>20.18129771</v>
      </c>
    </row>
    <row r="200" ht="22.5" customHeight="1">
      <c r="A200" s="46" t="s">
        <v>314</v>
      </c>
      <c r="B200" s="14" t="s">
        <v>9</v>
      </c>
      <c r="C200" s="14">
        <v>80.0</v>
      </c>
      <c r="D200" s="15">
        <v>125.0</v>
      </c>
      <c r="E200" s="7">
        <v>1718.0</v>
      </c>
      <c r="F200" s="46">
        <v>1970.0</v>
      </c>
      <c r="G200" s="52">
        <f>IFERROR(SUMIF(Issues!B:B, A200, Issues!H:H), 0)</f>
        <v>3770</v>
      </c>
      <c r="H200" s="52">
        <f>IFERROR(SUMIF(Returns!B:B, A200, Returns!H:H), 0)</f>
        <v>1800</v>
      </c>
      <c r="I200" s="3">
        <v>11100.0</v>
      </c>
      <c r="J200" s="3">
        <v>2.0</v>
      </c>
      <c r="K200" s="3">
        <v>108.0</v>
      </c>
      <c r="L200" s="53">
        <f t="shared" si="5"/>
        <v>1906.48855</v>
      </c>
      <c r="M200" s="52">
        <f t="shared" si="2"/>
        <v>1970</v>
      </c>
      <c r="N200" s="54">
        <f t="shared" si="3"/>
        <v>63.51145038</v>
      </c>
      <c r="O200" s="54">
        <f t="shared" si="4"/>
        <v>7.938931298</v>
      </c>
    </row>
    <row r="201" ht="22.5" customHeight="1">
      <c r="A201" s="46" t="s">
        <v>315</v>
      </c>
      <c r="B201" s="14" t="s">
        <v>43</v>
      </c>
      <c r="C201" s="14">
        <v>50.0</v>
      </c>
      <c r="D201" s="15">
        <v>125.0</v>
      </c>
      <c r="E201" s="7">
        <v>215.0</v>
      </c>
      <c r="F201" s="46">
        <v>340.0</v>
      </c>
      <c r="G201" s="52">
        <f>IFERROR(SUMIF(Issues!B:B, A201, Issues!H:H), 0)</f>
        <v>2010</v>
      </c>
      <c r="H201" s="52">
        <f>IFERROR(SUMIF(Returns!B:B, A201, Returns!H:H), 0)</f>
        <v>1660</v>
      </c>
      <c r="I201" s="3">
        <v>10710.0</v>
      </c>
      <c r="J201" s="3">
        <v>4.0</v>
      </c>
      <c r="K201" s="3">
        <v>108.0</v>
      </c>
      <c r="L201" s="53">
        <f t="shared" si="5"/>
        <v>919.7519084</v>
      </c>
      <c r="M201" s="52">
        <f t="shared" si="2"/>
        <v>350</v>
      </c>
      <c r="N201" s="54">
        <f t="shared" si="3"/>
        <v>0</v>
      </c>
      <c r="O201" s="54">
        <f t="shared" si="4"/>
        <v>0</v>
      </c>
    </row>
    <row r="202" ht="22.5" customHeight="1">
      <c r="A202" s="46" t="s">
        <v>316</v>
      </c>
      <c r="B202" s="14" t="s">
        <v>9</v>
      </c>
      <c r="C202" s="14">
        <v>80.0</v>
      </c>
      <c r="D202" s="15">
        <v>210.0</v>
      </c>
      <c r="E202" s="7">
        <v>1175.0</v>
      </c>
      <c r="F202" s="46">
        <v>1498.0</v>
      </c>
      <c r="G202" s="52">
        <f>IFERROR(SUMIF(Issues!B:B, A202, Issues!H:H), 0)</f>
        <v>2370</v>
      </c>
      <c r="H202" s="52">
        <f>IFERROR(SUMIF(Returns!B:B, A202, Returns!H:H), 0)</f>
        <v>850</v>
      </c>
      <c r="I202" s="3">
        <v>4900.0</v>
      </c>
      <c r="J202" s="3">
        <v>1.0</v>
      </c>
      <c r="K202" s="3">
        <v>89.0</v>
      </c>
      <c r="L202" s="53">
        <f t="shared" si="5"/>
        <v>1387.086514</v>
      </c>
      <c r="M202" s="52">
        <f t="shared" si="2"/>
        <v>1520</v>
      </c>
      <c r="N202" s="54">
        <f t="shared" si="3"/>
        <v>132.913486</v>
      </c>
      <c r="O202" s="54">
        <f t="shared" si="4"/>
        <v>27.91183206</v>
      </c>
    </row>
    <row r="203" ht="22.5" customHeight="1">
      <c r="A203" s="46" t="s">
        <v>318</v>
      </c>
      <c r="B203" s="14" t="s">
        <v>9</v>
      </c>
      <c r="C203" s="14">
        <v>80.0</v>
      </c>
      <c r="D203" s="15">
        <v>210.0</v>
      </c>
      <c r="E203" s="7">
        <v>1175.0</v>
      </c>
      <c r="F203" s="46">
        <v>1630.0</v>
      </c>
      <c r="G203" s="52">
        <f>IFERROR(SUMIF(Issues!B:B, A203, Issues!H:H), 0)</f>
        <v>2000</v>
      </c>
      <c r="H203" s="52">
        <f>IFERROR(SUMIF(Returns!B:B, A203, Returns!H:H), 0)</f>
        <v>370</v>
      </c>
      <c r="I203" s="3">
        <v>500.0</v>
      </c>
      <c r="J203" s="3">
        <v>1.0</v>
      </c>
      <c r="K203" s="3">
        <v>89.0</v>
      </c>
      <c r="L203" s="53">
        <f t="shared" si="5"/>
        <v>141.5394402</v>
      </c>
      <c r="M203" s="52">
        <f t="shared" si="2"/>
        <v>1630</v>
      </c>
      <c r="N203" s="54">
        <f t="shared" si="3"/>
        <v>1488.46056</v>
      </c>
      <c r="O203" s="54">
        <f t="shared" si="4"/>
        <v>312.5767176</v>
      </c>
    </row>
    <row r="204" ht="22.5" customHeight="1">
      <c r="A204" s="46" t="s">
        <v>319</v>
      </c>
      <c r="B204" s="14" t="s">
        <v>9</v>
      </c>
      <c r="C204" s="14">
        <v>80.0</v>
      </c>
      <c r="D204" s="15">
        <v>320.0</v>
      </c>
      <c r="E204" s="7">
        <v>1426.0</v>
      </c>
      <c r="F204" s="46">
        <v>1561.0</v>
      </c>
      <c r="G204" s="52">
        <f>IFERROR(SUMIF(Issues!B:B, A204, Issues!H:H), 0)</f>
        <v>2000</v>
      </c>
      <c r="H204" s="52">
        <f>IFERROR(SUMIF(Returns!B:B, A204, Returns!H:H), 0)</f>
        <v>400</v>
      </c>
      <c r="I204" s="3">
        <v>8700.0</v>
      </c>
      <c r="J204" s="3">
        <v>2.0</v>
      </c>
      <c r="K204" s="3">
        <v>108.0</v>
      </c>
      <c r="L204" s="53">
        <f t="shared" si="5"/>
        <v>1494.274809</v>
      </c>
      <c r="M204" s="52">
        <f t="shared" si="2"/>
        <v>1600</v>
      </c>
      <c r="N204" s="54">
        <f t="shared" si="3"/>
        <v>105.7251908</v>
      </c>
      <c r="O204" s="54">
        <f t="shared" si="4"/>
        <v>33.83206107</v>
      </c>
    </row>
    <row r="205" ht="22.5" customHeight="1">
      <c r="A205" s="46" t="s">
        <v>320</v>
      </c>
      <c r="B205" s="14" t="s">
        <v>9</v>
      </c>
      <c r="C205" s="14">
        <v>80.0</v>
      </c>
      <c r="D205" s="15">
        <v>125.0</v>
      </c>
      <c r="E205" s="7">
        <v>859.0</v>
      </c>
      <c r="F205" s="46">
        <v>1043.0</v>
      </c>
      <c r="G205" s="52">
        <f>IFERROR(SUMIF(Issues!B:B, A205, Issues!H:H), 0)</f>
        <v>2800</v>
      </c>
      <c r="H205" s="52">
        <f>IFERROR(SUMIF(Returns!B:B, A205, Returns!H:H), 0)</f>
        <v>1707</v>
      </c>
      <c r="I205" s="3">
        <v>5330.0</v>
      </c>
      <c r="J205" s="3">
        <v>2.0</v>
      </c>
      <c r="K205" s="3">
        <v>108.0</v>
      </c>
      <c r="L205" s="53">
        <f t="shared" si="5"/>
        <v>915.4580153</v>
      </c>
      <c r="M205" s="52">
        <f t="shared" si="2"/>
        <v>1093</v>
      </c>
      <c r="N205" s="54">
        <f t="shared" si="3"/>
        <v>177.5419847</v>
      </c>
      <c r="O205" s="54">
        <f t="shared" si="4"/>
        <v>22.19274809</v>
      </c>
    </row>
    <row r="206" ht="22.5" customHeight="1">
      <c r="A206" s="46" t="s">
        <v>322</v>
      </c>
      <c r="B206" s="14" t="s">
        <v>36</v>
      </c>
      <c r="C206" s="14">
        <v>70.0</v>
      </c>
      <c r="D206" s="15">
        <v>130.0</v>
      </c>
      <c r="E206" s="27"/>
      <c r="F206" s="46">
        <v>215.0</v>
      </c>
      <c r="G206" s="52">
        <f>IFERROR(SUMIF(Issues!B:B, A206, Issues!H:H), 0)</f>
        <v>3000</v>
      </c>
      <c r="H206" s="52">
        <f>IFERROR(SUMIF(Returns!B:B, A206, Returns!H:H), 0)</f>
        <v>2750</v>
      </c>
      <c r="I206" s="3">
        <v>200.0</v>
      </c>
      <c r="J206" s="3">
        <v>2.0</v>
      </c>
      <c r="K206" s="3">
        <v>92.0</v>
      </c>
      <c r="L206" s="53">
        <f t="shared" si="5"/>
        <v>29.26208651</v>
      </c>
      <c r="M206" s="52">
        <f t="shared" si="2"/>
        <v>250</v>
      </c>
      <c r="N206" s="54">
        <f t="shared" si="3"/>
        <v>220.7379135</v>
      </c>
      <c r="O206" s="54">
        <f t="shared" si="4"/>
        <v>28.69592875</v>
      </c>
    </row>
    <row r="207" ht="22.5" customHeight="1">
      <c r="A207" s="46" t="s">
        <v>325</v>
      </c>
      <c r="B207" s="14" t="s">
        <v>36</v>
      </c>
      <c r="C207" s="14">
        <v>70.0</v>
      </c>
      <c r="D207" s="15">
        <v>255.0</v>
      </c>
      <c r="E207" s="27"/>
      <c r="F207" s="46">
        <v>194.0</v>
      </c>
      <c r="G207" s="52">
        <f>IFERROR(SUMIF(Issues!B:B, A207, Issues!H:H), 0)</f>
        <v>2830</v>
      </c>
      <c r="H207" s="52">
        <f>IFERROR(SUMIF(Returns!B:B, A207, Returns!H:H), 0)</f>
        <v>2636</v>
      </c>
      <c r="I207" s="3">
        <v>200.0</v>
      </c>
      <c r="J207" s="3">
        <v>2.0</v>
      </c>
      <c r="K207" s="3">
        <v>85.0</v>
      </c>
      <c r="L207" s="53">
        <f t="shared" si="5"/>
        <v>27.03562341</v>
      </c>
      <c r="M207" s="52">
        <f t="shared" si="2"/>
        <v>194</v>
      </c>
      <c r="N207" s="54">
        <f t="shared" si="3"/>
        <v>166.9643766</v>
      </c>
      <c r="O207" s="54">
        <f t="shared" si="4"/>
        <v>42.57591603</v>
      </c>
    </row>
    <row r="208" ht="22.5" customHeight="1">
      <c r="A208" s="46" t="s">
        <v>327</v>
      </c>
      <c r="B208" s="14" t="s">
        <v>36</v>
      </c>
      <c r="C208" s="14">
        <v>70.0</v>
      </c>
      <c r="D208" s="15">
        <v>255.0</v>
      </c>
      <c r="E208" s="27"/>
      <c r="F208" s="46">
        <v>170.0</v>
      </c>
      <c r="G208" s="52">
        <f>IFERROR(SUMIF(Issues!B:B, A208, Issues!H:H), 0)</f>
        <v>3000</v>
      </c>
      <c r="H208" s="52">
        <f>IFERROR(SUMIF(Returns!B:B, A208, Returns!H:H), 0)</f>
        <v>2830</v>
      </c>
      <c r="I208" s="3">
        <v>200.0</v>
      </c>
      <c r="J208" s="3">
        <v>2.0</v>
      </c>
      <c r="K208" s="3">
        <v>85.0</v>
      </c>
      <c r="L208" s="53">
        <f t="shared" si="5"/>
        <v>27.03562341</v>
      </c>
      <c r="M208" s="52">
        <f t="shared" si="2"/>
        <v>170</v>
      </c>
      <c r="N208" s="54">
        <f t="shared" si="3"/>
        <v>142.9643766</v>
      </c>
      <c r="O208" s="54">
        <f t="shared" si="4"/>
        <v>36.45591603</v>
      </c>
    </row>
    <row r="209" ht="22.5" customHeight="1">
      <c r="A209" s="46" t="s">
        <v>328</v>
      </c>
      <c r="B209" s="14" t="s">
        <v>36</v>
      </c>
      <c r="C209" s="14">
        <v>70.0</v>
      </c>
      <c r="D209" s="15">
        <v>255.0</v>
      </c>
      <c r="E209" s="27"/>
      <c r="F209" s="46">
        <v>162.0</v>
      </c>
      <c r="G209" s="52">
        <f>IFERROR(SUMIF(Issues!B:B, A209, Issues!H:H), 0)</f>
        <v>2636</v>
      </c>
      <c r="H209" s="52">
        <f>IFERROR(SUMIF(Returns!B:B, A209, Returns!H:H), 0)</f>
        <v>2450</v>
      </c>
      <c r="I209" s="3">
        <v>200.0</v>
      </c>
      <c r="J209" s="3">
        <v>2.0</v>
      </c>
      <c r="K209" s="3">
        <v>85.0</v>
      </c>
      <c r="L209" s="53">
        <f t="shared" si="5"/>
        <v>27.03562341</v>
      </c>
      <c r="M209" s="52">
        <f t="shared" si="2"/>
        <v>186</v>
      </c>
      <c r="N209" s="54">
        <f t="shared" si="3"/>
        <v>158.9643766</v>
      </c>
      <c r="O209" s="54">
        <f t="shared" si="4"/>
        <v>40.53591603</v>
      </c>
    </row>
    <row r="210" ht="22.5" customHeight="1">
      <c r="A210" s="46" t="s">
        <v>329</v>
      </c>
      <c r="B210" s="14" t="s">
        <v>9</v>
      </c>
      <c r="C210" s="14">
        <v>80.0</v>
      </c>
      <c r="D210" s="15">
        <v>395.0</v>
      </c>
      <c r="E210" s="7">
        <v>1495.0</v>
      </c>
      <c r="F210" s="46">
        <v>1777.0</v>
      </c>
      <c r="G210" s="52">
        <f>IFERROR(SUMIF(Issues!B:B, A210, Issues!H:H), 0)</f>
        <v>2000</v>
      </c>
      <c r="H210" s="52">
        <f>IFERROR(SUMIF(Returns!B:B, A210, Returns!H:H), 0)</f>
        <v>200</v>
      </c>
      <c r="I210" s="3">
        <v>54620.0</v>
      </c>
      <c r="J210" s="3">
        <v>10.0</v>
      </c>
      <c r="K210" s="3">
        <v>94.0</v>
      </c>
      <c r="L210" s="53">
        <f t="shared" si="5"/>
        <v>1633.040712</v>
      </c>
      <c r="M210" s="52">
        <f t="shared" si="2"/>
        <v>1800</v>
      </c>
      <c r="N210" s="54">
        <f t="shared" si="3"/>
        <v>166.9592875</v>
      </c>
      <c r="O210" s="54">
        <f t="shared" si="4"/>
        <v>65.94891858</v>
      </c>
    </row>
    <row r="211" ht="22.5" customHeight="1">
      <c r="A211" s="46" t="s">
        <v>330</v>
      </c>
      <c r="B211" s="14" t="s">
        <v>54</v>
      </c>
      <c r="C211" s="14">
        <v>40.0</v>
      </c>
      <c r="D211" s="15">
        <v>240.0</v>
      </c>
      <c r="E211" s="7">
        <v>1145.0</v>
      </c>
      <c r="F211" s="46">
        <v>1500.0</v>
      </c>
      <c r="G211" s="52">
        <f>IFERROR(SUMIF(Issues!B:B, A211, Issues!H:H), 0)</f>
        <v>2800</v>
      </c>
      <c r="H211" s="52">
        <f>IFERROR(SUMIF(Returns!B:B, A211, Returns!H:H), 0)</f>
        <v>1300</v>
      </c>
      <c r="I211" s="3">
        <v>10200.0</v>
      </c>
      <c r="J211" s="3">
        <v>2.0</v>
      </c>
      <c r="K211" s="3">
        <v>72.0</v>
      </c>
      <c r="L211" s="53">
        <f t="shared" si="5"/>
        <v>1167.938931</v>
      </c>
      <c r="M211" s="52">
        <f t="shared" si="2"/>
        <v>1500</v>
      </c>
      <c r="N211" s="54">
        <f t="shared" si="3"/>
        <v>332.0610687</v>
      </c>
      <c r="O211" s="54">
        <f t="shared" si="4"/>
        <v>79.69465649</v>
      </c>
    </row>
    <row r="212" ht="22.5" customHeight="1">
      <c r="A212" s="46" t="s">
        <v>332</v>
      </c>
      <c r="B212" s="14" t="s">
        <v>54</v>
      </c>
      <c r="C212" s="14">
        <v>40.0</v>
      </c>
      <c r="D212" s="15">
        <v>240.0</v>
      </c>
      <c r="E212" s="7">
        <v>1145.0</v>
      </c>
      <c r="F212" s="46">
        <v>1525.0</v>
      </c>
      <c r="G212" s="52">
        <f>IFERROR(SUMIF(Issues!B:B, A212, Issues!H:H), 0)</f>
        <v>4686</v>
      </c>
      <c r="H212" s="52">
        <f>IFERROR(SUMIF(Returns!B:B, A212, Returns!H:H), 0)</f>
        <v>3161</v>
      </c>
      <c r="I212" s="3">
        <v>11000.0</v>
      </c>
      <c r="J212" s="3">
        <v>2.0</v>
      </c>
      <c r="K212" s="3">
        <v>72.0</v>
      </c>
      <c r="L212" s="53">
        <f t="shared" si="5"/>
        <v>1259.541985</v>
      </c>
      <c r="M212" s="52">
        <f t="shared" si="2"/>
        <v>1525</v>
      </c>
      <c r="N212" s="54">
        <f t="shared" si="3"/>
        <v>265.4580153</v>
      </c>
      <c r="O212" s="54">
        <f t="shared" si="4"/>
        <v>63.70992366</v>
      </c>
    </row>
    <row r="213" ht="22.5" customHeight="1">
      <c r="A213" s="46" t="s">
        <v>333</v>
      </c>
      <c r="B213" s="14" t="s">
        <v>54</v>
      </c>
      <c r="C213" s="14">
        <v>40.0</v>
      </c>
      <c r="D213" s="15">
        <v>240.0</v>
      </c>
      <c r="E213" s="7">
        <v>573.0</v>
      </c>
      <c r="F213" s="46">
        <v>843.0</v>
      </c>
      <c r="G213" s="52">
        <f>IFERROR(SUMIF(Issues!B:B, A213, Issues!H:H), 0)</f>
        <v>3161</v>
      </c>
      <c r="H213" s="52">
        <f>IFERROR(SUMIF(Returns!B:B, A213, Returns!H:H), 0)</f>
        <v>2318</v>
      </c>
      <c r="I213" s="3">
        <v>6100.0</v>
      </c>
      <c r="J213" s="3">
        <v>2.0</v>
      </c>
      <c r="K213" s="3">
        <v>72.0</v>
      </c>
      <c r="L213" s="53">
        <f t="shared" si="5"/>
        <v>698.4732824</v>
      </c>
      <c r="M213" s="52">
        <f t="shared" si="2"/>
        <v>843</v>
      </c>
      <c r="N213" s="54">
        <f t="shared" si="3"/>
        <v>144.5267176</v>
      </c>
      <c r="O213" s="54">
        <f t="shared" si="4"/>
        <v>34.68641221</v>
      </c>
    </row>
    <row r="214" ht="22.5" customHeight="1">
      <c r="A214" s="46" t="s">
        <v>335</v>
      </c>
      <c r="B214" s="14" t="s">
        <v>54</v>
      </c>
      <c r="C214" s="14">
        <v>40.0</v>
      </c>
      <c r="D214" s="15">
        <v>240.0</v>
      </c>
      <c r="E214" s="7">
        <v>1145.0</v>
      </c>
      <c r="F214" s="46">
        <v>1614.0</v>
      </c>
      <c r="G214" s="52">
        <f>IFERROR(SUMIF(Issues!B:B, A214, Issues!H:H), 0)</f>
        <v>6300</v>
      </c>
      <c r="H214" s="52">
        <f>IFERROR(SUMIF(Returns!B:B, A214, Returns!H:H), 0)</f>
        <v>4686</v>
      </c>
      <c r="I214" s="3">
        <v>10200.0</v>
      </c>
      <c r="J214" s="3">
        <v>2.0</v>
      </c>
      <c r="K214" s="3">
        <v>72.0</v>
      </c>
      <c r="L214" s="53">
        <f t="shared" si="5"/>
        <v>1167.938931</v>
      </c>
      <c r="M214" s="52">
        <f t="shared" si="2"/>
        <v>1614</v>
      </c>
      <c r="N214" s="54">
        <f t="shared" si="3"/>
        <v>446.0610687</v>
      </c>
      <c r="O214" s="54">
        <f t="shared" si="4"/>
        <v>107.0546565</v>
      </c>
    </row>
    <row r="215" ht="22.5" customHeight="1">
      <c r="A215" s="46" t="s">
        <v>336</v>
      </c>
      <c r="B215" s="14" t="s">
        <v>54</v>
      </c>
      <c r="C215" s="14">
        <v>40.0</v>
      </c>
      <c r="D215" s="15">
        <v>240.0</v>
      </c>
      <c r="E215" s="7">
        <v>573.0</v>
      </c>
      <c r="F215" s="46">
        <v>877.0</v>
      </c>
      <c r="G215" s="52">
        <f>IFERROR(SUMIF(Issues!B:B, A215, Issues!H:H), 0)</f>
        <v>2318</v>
      </c>
      <c r="H215" s="52">
        <f>IFERROR(SUMIF(Returns!B:B, A215, Returns!H:H), 0)</f>
        <v>1441</v>
      </c>
      <c r="I215" s="3">
        <v>5700.0</v>
      </c>
      <c r="J215" s="3">
        <v>2.0</v>
      </c>
      <c r="K215" s="3">
        <v>72.0</v>
      </c>
      <c r="L215" s="53">
        <f t="shared" si="5"/>
        <v>652.6717557</v>
      </c>
      <c r="M215" s="52">
        <f t="shared" si="2"/>
        <v>877</v>
      </c>
      <c r="N215" s="54">
        <f t="shared" si="3"/>
        <v>224.3282443</v>
      </c>
      <c r="O215" s="54">
        <f t="shared" si="4"/>
        <v>53.83877863</v>
      </c>
    </row>
    <row r="216" ht="22.5" customHeight="1">
      <c r="A216" s="46" t="s">
        <v>337</v>
      </c>
      <c r="B216" s="14" t="s">
        <v>9</v>
      </c>
      <c r="C216" s="14">
        <v>80.0</v>
      </c>
      <c r="D216" s="15">
        <v>250.0</v>
      </c>
      <c r="E216" s="7">
        <v>4222.0</v>
      </c>
      <c r="F216" s="46">
        <v>4655.0</v>
      </c>
      <c r="G216" s="52">
        <f>IFERROR(SUMIF(Issues!B:B, A216, Issues!H:H), 0)</f>
        <v>5000</v>
      </c>
      <c r="H216" s="52">
        <f>IFERROR(SUMIF(Returns!B:B, A216, Returns!H:H), 0)</f>
        <v>300</v>
      </c>
      <c r="I216" s="3">
        <v>47000.0</v>
      </c>
      <c r="J216" s="3">
        <v>4.0</v>
      </c>
      <c r="K216" s="3">
        <v>118.0</v>
      </c>
      <c r="L216" s="53">
        <f t="shared" si="5"/>
        <v>4409.987277</v>
      </c>
      <c r="M216" s="52">
        <f t="shared" si="2"/>
        <v>4700</v>
      </c>
      <c r="N216" s="54">
        <f t="shared" si="3"/>
        <v>290.0127226</v>
      </c>
      <c r="O216" s="54">
        <f t="shared" si="4"/>
        <v>72.50318066</v>
      </c>
    </row>
    <row r="217" ht="22.5" customHeight="1">
      <c r="A217" s="46" t="s">
        <v>338</v>
      </c>
      <c r="B217" s="14" t="s">
        <v>9</v>
      </c>
      <c r="C217" s="14">
        <v>80.0</v>
      </c>
      <c r="D217" s="15">
        <v>160.0</v>
      </c>
      <c r="E217" s="7">
        <v>2265.0</v>
      </c>
      <c r="F217" s="46">
        <v>2667.0</v>
      </c>
      <c r="G217" s="52">
        <f>IFERROR(SUMIF(Issues!B:B, A217, Issues!H:H), 0)</f>
        <v>3200</v>
      </c>
      <c r="H217" s="52">
        <f>IFERROR(SUMIF(Returns!B:B, A217, Returns!H:H), 0)</f>
        <v>500</v>
      </c>
      <c r="I217" s="3">
        <v>8550.0</v>
      </c>
      <c r="J217" s="3">
        <v>1.0</v>
      </c>
      <c r="K217" s="3">
        <v>89.0</v>
      </c>
      <c r="L217" s="53">
        <f t="shared" si="5"/>
        <v>2420.324427</v>
      </c>
      <c r="M217" s="52">
        <f t="shared" si="2"/>
        <v>2700</v>
      </c>
      <c r="N217" s="54">
        <f t="shared" si="3"/>
        <v>279.6755725</v>
      </c>
      <c r="O217" s="54">
        <f t="shared" si="4"/>
        <v>44.7480916</v>
      </c>
    </row>
    <row r="218" ht="22.5" customHeight="1">
      <c r="A218" s="46" t="s">
        <v>340</v>
      </c>
      <c r="B218" s="14" t="s">
        <v>9</v>
      </c>
      <c r="C218" s="14">
        <v>80.0</v>
      </c>
      <c r="D218" s="15">
        <v>125.0</v>
      </c>
      <c r="E218" s="7">
        <v>189.0</v>
      </c>
      <c r="F218" s="46">
        <v>424.0</v>
      </c>
      <c r="G218" s="52">
        <f>IFERROR(SUMIF(Issues!B:B, A218, Issues!H:H), 0)</f>
        <v>1700</v>
      </c>
      <c r="H218" s="52">
        <f>IFERROR(SUMIF(Returns!B:B, A218, Returns!H:H), 0)</f>
        <v>1150</v>
      </c>
      <c r="I218" s="3">
        <v>1950.0</v>
      </c>
      <c r="J218" s="3">
        <v>2.0</v>
      </c>
      <c r="K218" s="3">
        <v>108.0</v>
      </c>
      <c r="L218" s="53">
        <f t="shared" si="5"/>
        <v>334.9236641</v>
      </c>
      <c r="M218" s="52">
        <f t="shared" si="2"/>
        <v>550</v>
      </c>
      <c r="N218" s="54">
        <f t="shared" si="3"/>
        <v>215.0763359</v>
      </c>
      <c r="O218" s="54">
        <f t="shared" si="4"/>
        <v>26.88454198</v>
      </c>
    </row>
    <row r="219" ht="22.5" customHeight="1">
      <c r="A219" s="46" t="s">
        <v>341</v>
      </c>
      <c r="B219" s="14" t="s">
        <v>43</v>
      </c>
      <c r="C219" s="14">
        <v>50.0</v>
      </c>
      <c r="D219" s="15">
        <v>220.0</v>
      </c>
      <c r="E219" s="7">
        <v>548.0</v>
      </c>
      <c r="F219" s="46">
        <v>850.0</v>
      </c>
      <c r="G219" s="52">
        <f>IFERROR(SUMIF(Issues!B:B, A219, Issues!H:H), 0)</f>
        <v>1090</v>
      </c>
      <c r="H219" s="52">
        <f>IFERROR(SUMIF(Returns!B:B, A219, Returns!H:H), 0)</f>
        <v>200</v>
      </c>
      <c r="I219" s="3">
        <v>18050.0</v>
      </c>
      <c r="J219" s="3">
        <v>6.0</v>
      </c>
      <c r="K219" s="3">
        <v>69.0</v>
      </c>
      <c r="L219" s="53">
        <f t="shared" si="5"/>
        <v>660.225827</v>
      </c>
      <c r="M219" s="52">
        <f t="shared" si="2"/>
        <v>890</v>
      </c>
      <c r="N219" s="54">
        <f t="shared" si="3"/>
        <v>229.774173</v>
      </c>
      <c r="O219" s="54">
        <f t="shared" si="4"/>
        <v>50.55031807</v>
      </c>
    </row>
    <row r="220" ht="22.5" customHeight="1">
      <c r="A220" s="46" t="s">
        <v>342</v>
      </c>
      <c r="B220" s="14" t="s">
        <v>34</v>
      </c>
      <c r="C220" s="14">
        <v>120.0</v>
      </c>
      <c r="D220" s="15">
        <v>250.0</v>
      </c>
      <c r="E220" s="7">
        <v>3488.0</v>
      </c>
      <c r="F220" s="46">
        <v>4330.0</v>
      </c>
      <c r="G220" s="52">
        <f>IFERROR(SUMIF(Issues!B:B, A220, Issues!H:H), 0)</f>
        <v>4300</v>
      </c>
      <c r="H220" s="52">
        <f>IFERROR(SUMIF(Returns!B:B, A220, Returns!H:H), 0)</f>
        <v>0</v>
      </c>
      <c r="I220" s="3">
        <v>30000.0</v>
      </c>
      <c r="J220" s="52"/>
      <c r="K220" s="52"/>
      <c r="L220" s="53">
        <f t="shared" si="5"/>
        <v>0</v>
      </c>
      <c r="M220" s="52">
        <f t="shared" si="2"/>
        <v>4300</v>
      </c>
      <c r="N220" s="54">
        <f t="shared" si="3"/>
        <v>4300</v>
      </c>
      <c r="O220" s="54">
        <f t="shared" si="4"/>
        <v>1075</v>
      </c>
    </row>
    <row r="221" ht="22.5" customHeight="1">
      <c r="A221" s="46" t="s">
        <v>343</v>
      </c>
      <c r="B221" s="14" t="s">
        <v>9</v>
      </c>
      <c r="C221" s="14">
        <v>80.0</v>
      </c>
      <c r="D221" s="15">
        <v>140.0</v>
      </c>
      <c r="E221" s="7">
        <v>374.0</v>
      </c>
      <c r="F221" s="46">
        <v>540.0</v>
      </c>
      <c r="G221" s="52">
        <f>IFERROR(SUMIF(Issues!B:B, A221, Issues!H:H), 0)</f>
        <v>1690</v>
      </c>
      <c r="H221" s="52">
        <f>IFERROR(SUMIF(Returns!B:B, A221, Returns!H:H), 0)</f>
        <v>1100</v>
      </c>
      <c r="I221" s="3">
        <v>5580.0</v>
      </c>
      <c r="J221" s="3">
        <v>4.0</v>
      </c>
      <c r="K221" s="3">
        <v>94.0</v>
      </c>
      <c r="L221" s="53">
        <f t="shared" si="5"/>
        <v>417.0801527</v>
      </c>
      <c r="M221" s="52">
        <f t="shared" si="2"/>
        <v>590</v>
      </c>
      <c r="N221" s="54">
        <f t="shared" si="3"/>
        <v>172.9198473</v>
      </c>
      <c r="O221" s="54">
        <f t="shared" si="4"/>
        <v>24.20877863</v>
      </c>
    </row>
    <row r="222" ht="22.5" customHeight="1">
      <c r="A222" s="46" t="s">
        <v>344</v>
      </c>
      <c r="B222" s="14" t="s">
        <v>9</v>
      </c>
      <c r="C222" s="14">
        <v>80.0</v>
      </c>
      <c r="D222" s="15">
        <v>230.0</v>
      </c>
      <c r="E222" s="7">
        <v>329.0</v>
      </c>
      <c r="F222" s="46">
        <v>517.0</v>
      </c>
      <c r="G222" s="52">
        <f>IFERROR(SUMIF(Issues!B:B, A222, Issues!H:H), 0)</f>
        <v>500</v>
      </c>
      <c r="H222" s="52">
        <f>IFERROR(SUMIF(Returns!B:B, A222, Returns!H:H), 0)</f>
        <v>0</v>
      </c>
      <c r="I222" s="3">
        <v>5640.0</v>
      </c>
      <c r="J222" s="3">
        <v>6.0</v>
      </c>
      <c r="K222" s="3">
        <v>124.0</v>
      </c>
      <c r="L222" s="53">
        <f t="shared" si="5"/>
        <v>370.7379135</v>
      </c>
      <c r="M222" s="52">
        <f t="shared" si="2"/>
        <v>500</v>
      </c>
      <c r="N222" s="54">
        <f t="shared" si="3"/>
        <v>129.2620865</v>
      </c>
      <c r="O222" s="54">
        <f t="shared" si="4"/>
        <v>29.7302799</v>
      </c>
    </row>
    <row r="223" ht="22.5" customHeight="1">
      <c r="A223" s="46" t="s">
        <v>345</v>
      </c>
      <c r="B223" s="14" t="s">
        <v>9</v>
      </c>
      <c r="C223" s="14">
        <v>80.0</v>
      </c>
      <c r="D223" s="15">
        <v>260.0</v>
      </c>
      <c r="E223" s="7">
        <v>1887.0</v>
      </c>
      <c r="F223" s="46">
        <v>2188.0</v>
      </c>
      <c r="G223" s="52">
        <f>IFERROR(SUMIF(Issues!B:B, A223, Issues!H:H), 0)</f>
        <v>2490</v>
      </c>
      <c r="H223" s="52">
        <f>IFERROR(SUMIF(Returns!B:B, A223, Returns!H:H), 0)</f>
        <v>250</v>
      </c>
      <c r="I223" s="3">
        <v>20900.0</v>
      </c>
      <c r="J223" s="3">
        <v>3.0</v>
      </c>
      <c r="K223" s="3">
        <v>89.0</v>
      </c>
      <c r="L223" s="53">
        <f t="shared" si="5"/>
        <v>1972.1162</v>
      </c>
      <c r="M223" s="52">
        <f t="shared" si="2"/>
        <v>2240</v>
      </c>
      <c r="N223" s="54">
        <f t="shared" si="3"/>
        <v>267.8837998</v>
      </c>
      <c r="O223" s="54">
        <f t="shared" si="4"/>
        <v>69.64978796</v>
      </c>
    </row>
    <row r="224" ht="22.5" customHeight="1">
      <c r="A224" s="46" t="s">
        <v>346</v>
      </c>
      <c r="B224" s="14" t="s">
        <v>9</v>
      </c>
      <c r="C224" s="14">
        <v>80.0</v>
      </c>
      <c r="D224" s="15">
        <v>160.0</v>
      </c>
      <c r="E224" s="7">
        <v>589.0</v>
      </c>
      <c r="F224" s="46">
        <v>1090.0</v>
      </c>
      <c r="G224" s="52">
        <f>IFERROR(SUMIF(Issues!B:B, A224, Issues!H:H), 0)</f>
        <v>2150</v>
      </c>
      <c r="H224" s="52">
        <f>IFERROR(SUMIF(Returns!B:B, A224, Returns!H:H), 0)</f>
        <v>1000</v>
      </c>
      <c r="I224" s="3">
        <v>20130.0</v>
      </c>
      <c r="J224" s="3">
        <v>8.0</v>
      </c>
      <c r="K224" s="3">
        <v>108.0</v>
      </c>
      <c r="L224" s="53">
        <f t="shared" si="5"/>
        <v>864.360687</v>
      </c>
      <c r="M224" s="52">
        <f t="shared" si="2"/>
        <v>1150</v>
      </c>
      <c r="N224" s="54">
        <f t="shared" si="3"/>
        <v>285.639313</v>
      </c>
      <c r="O224" s="54">
        <f t="shared" si="4"/>
        <v>45.70229008</v>
      </c>
    </row>
    <row r="225" ht="22.5" customHeight="1">
      <c r="A225" s="46" t="s">
        <v>347</v>
      </c>
      <c r="B225" s="14" t="s">
        <v>9</v>
      </c>
      <c r="C225" s="14">
        <v>80.0</v>
      </c>
      <c r="D225" s="15">
        <v>160.0</v>
      </c>
      <c r="E225" s="7">
        <v>890.0</v>
      </c>
      <c r="F225" s="46">
        <v>1217.0</v>
      </c>
      <c r="G225" s="52">
        <f>IFERROR(SUMIF(Issues!B:B, A225, Issues!H:H), 0)</f>
        <v>1600</v>
      </c>
      <c r="H225" s="52">
        <f>IFERROR(SUMIF(Returns!B:B, A225, Returns!H:H), 0)</f>
        <v>350</v>
      </c>
      <c r="I225" s="3">
        <v>12000.0</v>
      </c>
      <c r="J225" s="3">
        <v>4.0</v>
      </c>
      <c r="K225" s="3">
        <v>99.0</v>
      </c>
      <c r="L225" s="53">
        <f t="shared" si="5"/>
        <v>944.6564885</v>
      </c>
      <c r="M225" s="52">
        <f t="shared" si="2"/>
        <v>1250</v>
      </c>
      <c r="N225" s="54">
        <f t="shared" si="3"/>
        <v>305.3435115</v>
      </c>
      <c r="O225" s="54">
        <f t="shared" si="4"/>
        <v>48.85496183</v>
      </c>
    </row>
    <row r="226" ht="22.5" customHeight="1">
      <c r="A226" s="46" t="s">
        <v>348</v>
      </c>
      <c r="B226" s="14" t="s">
        <v>9</v>
      </c>
      <c r="C226" s="14">
        <v>80.0</v>
      </c>
      <c r="D226" s="15">
        <v>210.0</v>
      </c>
      <c r="E226" s="7">
        <v>107.0</v>
      </c>
      <c r="F226" s="46">
        <v>290.0</v>
      </c>
      <c r="G226" s="52">
        <f>IFERROR(SUMIF(Issues!B:B, A226, Issues!H:H), 0)</f>
        <v>600</v>
      </c>
      <c r="H226" s="52">
        <f>IFERROR(SUMIF(Returns!B:B, A226, Returns!H:H), 0)</f>
        <v>380</v>
      </c>
      <c r="I226" s="3">
        <v>4360.0</v>
      </c>
      <c r="J226" s="3">
        <v>8.0</v>
      </c>
      <c r="K226" s="3">
        <v>108.0</v>
      </c>
      <c r="L226" s="53">
        <f t="shared" si="5"/>
        <v>187.2137405</v>
      </c>
      <c r="M226" s="52">
        <f t="shared" si="2"/>
        <v>220</v>
      </c>
      <c r="N226" s="54">
        <f t="shared" si="3"/>
        <v>32.78625954</v>
      </c>
      <c r="O226" s="54">
        <f t="shared" si="4"/>
        <v>6.885114504</v>
      </c>
    </row>
    <row r="227" ht="22.5" customHeight="1">
      <c r="A227" s="46" t="s">
        <v>349</v>
      </c>
      <c r="B227" s="14" t="s">
        <v>9</v>
      </c>
      <c r="C227" s="14">
        <v>80.0</v>
      </c>
      <c r="D227" s="15">
        <v>180.0</v>
      </c>
      <c r="E227" s="7">
        <v>199.0</v>
      </c>
      <c r="F227" s="46">
        <v>366.0</v>
      </c>
      <c r="G227" s="52">
        <f>IFERROR(SUMIF(Issues!B:B, A227, Issues!H:H), 0)</f>
        <v>2100</v>
      </c>
      <c r="H227" s="52">
        <f>IFERROR(SUMIF(Returns!B:B, A227, Returns!H:H), 0)</f>
        <v>1700</v>
      </c>
      <c r="I227" s="3">
        <v>4500.0</v>
      </c>
      <c r="J227" s="3">
        <v>6.0</v>
      </c>
      <c r="K227" s="3">
        <v>94.0</v>
      </c>
      <c r="L227" s="53">
        <f t="shared" si="5"/>
        <v>224.2366412</v>
      </c>
      <c r="M227" s="52">
        <f t="shared" si="2"/>
        <v>400</v>
      </c>
      <c r="N227" s="54">
        <f t="shared" si="3"/>
        <v>175.7633588</v>
      </c>
      <c r="O227" s="54">
        <f t="shared" si="4"/>
        <v>31.63740458</v>
      </c>
    </row>
    <row r="228" ht="22.5" customHeight="1">
      <c r="A228" s="46" t="s">
        <v>350</v>
      </c>
      <c r="B228" s="14" t="s">
        <v>9</v>
      </c>
      <c r="C228" s="14">
        <v>80.0</v>
      </c>
      <c r="D228" s="15">
        <v>250.0</v>
      </c>
      <c r="E228" s="7">
        <v>1407.0</v>
      </c>
      <c r="F228" s="46">
        <v>1675.0</v>
      </c>
      <c r="G228" s="52">
        <f>IFERROR(SUMIF(Issues!B:B, A228, Issues!H:H), 0)</f>
        <v>2200</v>
      </c>
      <c r="H228" s="52">
        <f>IFERROR(SUMIF(Returns!B:B, A228, Returns!H:H), 0)</f>
        <v>500</v>
      </c>
      <c r="I228" s="3">
        <v>15820.0</v>
      </c>
      <c r="J228" s="3">
        <v>4.0</v>
      </c>
      <c r="K228" s="3">
        <v>118.0</v>
      </c>
      <c r="L228" s="53">
        <f t="shared" si="5"/>
        <v>1484.382952</v>
      </c>
      <c r="M228" s="52">
        <f t="shared" si="2"/>
        <v>1700</v>
      </c>
      <c r="N228" s="54">
        <f t="shared" si="3"/>
        <v>215.6170483</v>
      </c>
      <c r="O228" s="54">
        <f t="shared" si="4"/>
        <v>53.90426209</v>
      </c>
    </row>
    <row r="229" ht="22.5" customHeight="1">
      <c r="A229" s="46" t="s">
        <v>351</v>
      </c>
      <c r="B229" s="14" t="s">
        <v>9</v>
      </c>
      <c r="C229" s="14">
        <v>80.0</v>
      </c>
      <c r="D229" s="15">
        <v>210.0</v>
      </c>
      <c r="E229" s="7">
        <v>445.0</v>
      </c>
      <c r="F229" s="46">
        <v>634.0</v>
      </c>
      <c r="G229" s="52">
        <f>IFERROR(SUMIF(Issues!B:B, A229, Issues!H:H), 0)</f>
        <v>1600</v>
      </c>
      <c r="H229" s="52">
        <f>IFERROR(SUMIF(Returns!B:B, A229, Returns!H:H), 0)</f>
        <v>930</v>
      </c>
      <c r="I229" s="3">
        <v>11420.0</v>
      </c>
      <c r="J229" s="3">
        <v>8.0</v>
      </c>
      <c r="K229" s="3">
        <v>94.0</v>
      </c>
      <c r="L229" s="53">
        <f t="shared" si="5"/>
        <v>426.7970738</v>
      </c>
      <c r="M229" s="52">
        <f t="shared" si="2"/>
        <v>670</v>
      </c>
      <c r="N229" s="54">
        <f t="shared" si="3"/>
        <v>243.2029262</v>
      </c>
      <c r="O229" s="54">
        <f t="shared" si="4"/>
        <v>51.0726145</v>
      </c>
    </row>
    <row r="230" ht="22.5" customHeight="1">
      <c r="A230" s="46" t="s">
        <v>352</v>
      </c>
      <c r="B230" s="14" t="s">
        <v>9</v>
      </c>
      <c r="C230" s="14">
        <v>80.0</v>
      </c>
      <c r="D230" s="15">
        <v>280.0</v>
      </c>
      <c r="E230" s="7">
        <v>1317.0</v>
      </c>
      <c r="F230" s="46">
        <v>1546.0</v>
      </c>
      <c r="G230" s="52">
        <f>IFERROR(SUMIF(Issues!B:B, A230, Issues!H:H), 0)</f>
        <v>2300</v>
      </c>
      <c r="H230" s="52">
        <f>IFERROR(SUMIF(Returns!B:B, A230, Returns!H:H), 0)</f>
        <v>700</v>
      </c>
      <c r="I230" s="3">
        <v>10160.0</v>
      </c>
      <c r="J230" s="3">
        <v>2.0</v>
      </c>
      <c r="K230" s="3">
        <v>92.0</v>
      </c>
      <c r="L230" s="53">
        <f t="shared" si="5"/>
        <v>1486.513995</v>
      </c>
      <c r="M230" s="52">
        <f t="shared" si="2"/>
        <v>1600</v>
      </c>
      <c r="N230" s="54">
        <f t="shared" si="3"/>
        <v>113.4860051</v>
      </c>
      <c r="O230" s="54">
        <f t="shared" si="4"/>
        <v>31.77608142</v>
      </c>
    </row>
    <row r="231" ht="22.5" customHeight="1">
      <c r="A231" s="46" t="s">
        <v>353</v>
      </c>
      <c r="B231" s="14" t="s">
        <v>9</v>
      </c>
      <c r="C231" s="14">
        <v>80.0</v>
      </c>
      <c r="D231" s="15">
        <v>210.0</v>
      </c>
      <c r="E231" s="7">
        <v>112.0</v>
      </c>
      <c r="F231" s="46">
        <v>238.0</v>
      </c>
      <c r="G231" s="52">
        <f>IFERROR(SUMIF(Issues!B:B, A231, Issues!H:H), 0)</f>
        <v>930</v>
      </c>
      <c r="H231" s="52">
        <f>IFERROR(SUMIF(Returns!B:B, A231, Returns!H:H), 0)</f>
        <v>650</v>
      </c>
      <c r="I231" s="3">
        <v>3900.0</v>
      </c>
      <c r="J231" s="3">
        <v>8.0</v>
      </c>
      <c r="K231" s="3">
        <v>94.0</v>
      </c>
      <c r="L231" s="53">
        <f t="shared" si="5"/>
        <v>145.7538168</v>
      </c>
      <c r="M231" s="52">
        <f t="shared" si="2"/>
        <v>280</v>
      </c>
      <c r="N231" s="54">
        <f t="shared" si="3"/>
        <v>134.2461832</v>
      </c>
      <c r="O231" s="54">
        <f t="shared" si="4"/>
        <v>28.19169847</v>
      </c>
    </row>
    <row r="232" ht="22.5" customHeight="1">
      <c r="A232" s="46" t="s">
        <v>354</v>
      </c>
      <c r="B232" s="14" t="s">
        <v>9</v>
      </c>
      <c r="C232" s="14">
        <v>80.0</v>
      </c>
      <c r="D232" s="15">
        <v>290.0</v>
      </c>
      <c r="E232" s="7">
        <v>3737.0</v>
      </c>
      <c r="F232" s="46">
        <v>3975.0</v>
      </c>
      <c r="G232" s="52">
        <f>IFERROR(SUMIF(Issues!B:B, A232, Issues!H:H), 0)</f>
        <v>4100</v>
      </c>
      <c r="H232" s="52">
        <f>IFERROR(SUMIF(Returns!B:B, A232, Returns!H:H), 0)</f>
        <v>0</v>
      </c>
      <c r="I232" s="3">
        <v>25400.0</v>
      </c>
      <c r="J232" s="3">
        <v>2.0</v>
      </c>
      <c r="K232" s="3">
        <v>94.0</v>
      </c>
      <c r="L232" s="53">
        <f t="shared" si="5"/>
        <v>3797.073791</v>
      </c>
      <c r="M232" s="52">
        <f t="shared" si="2"/>
        <v>4100</v>
      </c>
      <c r="N232" s="54">
        <f t="shared" si="3"/>
        <v>302.9262087</v>
      </c>
      <c r="O232" s="54">
        <f t="shared" si="4"/>
        <v>87.84860051</v>
      </c>
    </row>
    <row r="233" ht="22.5" customHeight="1">
      <c r="A233" s="46" t="s">
        <v>355</v>
      </c>
      <c r="B233" s="14" t="s">
        <v>9</v>
      </c>
      <c r="C233" s="14">
        <v>80.0</v>
      </c>
      <c r="D233" s="15">
        <v>290.0</v>
      </c>
      <c r="E233" s="7">
        <v>1495.0</v>
      </c>
      <c r="F233" s="46">
        <v>1744.0</v>
      </c>
      <c r="G233" s="52">
        <f>IFERROR(SUMIF(Issues!B:B, A233, Issues!H:H), 0)</f>
        <v>2000</v>
      </c>
      <c r="H233" s="52">
        <f>IFERROR(SUMIF(Returns!B:B, A233, Returns!H:H), 0)</f>
        <v>200</v>
      </c>
      <c r="I233" s="3">
        <v>10660.0</v>
      </c>
      <c r="J233" s="3">
        <v>2.0</v>
      </c>
      <c r="K233" s="3">
        <v>94.0</v>
      </c>
      <c r="L233" s="53">
        <f t="shared" si="5"/>
        <v>1593.575064</v>
      </c>
      <c r="M233" s="52">
        <f t="shared" si="2"/>
        <v>1800</v>
      </c>
      <c r="N233" s="54">
        <f t="shared" si="3"/>
        <v>206.4249364</v>
      </c>
      <c r="O233" s="54">
        <f t="shared" si="4"/>
        <v>59.86323155</v>
      </c>
    </row>
    <row r="234" ht="22.5" customHeight="1">
      <c r="A234" s="46" t="s">
        <v>356</v>
      </c>
      <c r="B234" s="14" t="s">
        <v>26</v>
      </c>
      <c r="C234" s="14">
        <v>80.0</v>
      </c>
      <c r="D234" s="15">
        <v>167.0</v>
      </c>
      <c r="E234" s="7">
        <v>0.0</v>
      </c>
      <c r="F234" s="46">
        <v>400.0</v>
      </c>
      <c r="G234" s="52">
        <f>IFERROR(SUMIF(Issues!B:B, A234, Issues!H:H), 0)</f>
        <v>900</v>
      </c>
      <c r="H234" s="52">
        <f>IFERROR(SUMIF(Returns!B:B, A234, Returns!H:H), 0)</f>
        <v>450</v>
      </c>
      <c r="I234" s="52"/>
      <c r="J234" s="52"/>
      <c r="K234" s="52"/>
      <c r="L234" s="53">
        <f t="shared" si="5"/>
        <v>0</v>
      </c>
      <c r="M234" s="52">
        <f t="shared" si="2"/>
        <v>450</v>
      </c>
      <c r="N234" s="54">
        <f t="shared" si="3"/>
        <v>450</v>
      </c>
      <c r="O234" s="54">
        <f t="shared" si="4"/>
        <v>75.15</v>
      </c>
    </row>
    <row r="235" ht="22.5" customHeight="1">
      <c r="A235" s="46" t="s">
        <v>360</v>
      </c>
      <c r="B235" s="14" t="s">
        <v>9</v>
      </c>
      <c r="C235" s="14">
        <v>80.0</v>
      </c>
      <c r="D235" s="15">
        <v>300.0</v>
      </c>
      <c r="E235" s="7">
        <v>0.0</v>
      </c>
      <c r="F235" s="46">
        <v>419.0</v>
      </c>
      <c r="G235" s="52">
        <f>IFERROR(SUMIF(Issues!B:B, A235, Issues!H:H), 0)</f>
        <v>1800</v>
      </c>
      <c r="H235" s="52">
        <f>IFERROR(SUMIF(Returns!B:B, A235, Returns!H:H), 0)</f>
        <v>1250</v>
      </c>
      <c r="I235" s="52"/>
      <c r="J235" s="52"/>
      <c r="K235" s="52"/>
      <c r="L235" s="53">
        <f t="shared" si="5"/>
        <v>0</v>
      </c>
      <c r="M235" s="52">
        <f t="shared" si="2"/>
        <v>550</v>
      </c>
      <c r="N235" s="54">
        <f t="shared" si="3"/>
        <v>550</v>
      </c>
      <c r="O235" s="54">
        <f t="shared" si="4"/>
        <v>165</v>
      </c>
    </row>
    <row r="236" ht="22.5" customHeight="1">
      <c r="A236" s="46" t="s">
        <v>367</v>
      </c>
      <c r="B236" s="14" t="s">
        <v>9</v>
      </c>
      <c r="C236" s="14">
        <v>80.0</v>
      </c>
      <c r="D236" s="7">
        <v>330.0</v>
      </c>
      <c r="E236" s="46">
        <v>636.0</v>
      </c>
      <c r="F236" s="46">
        <v>810.0</v>
      </c>
      <c r="G236" s="52">
        <f>IFERROR(SUMIF(Issues!B:B, A236, Issues!H:H), 0)</f>
        <v>1000</v>
      </c>
      <c r="H236" s="52">
        <f>IFERROR(SUMIF(Returns!B:B, A236, Returns!H:H), 0)</f>
        <v>190</v>
      </c>
      <c r="I236" s="3">
        <v>8160.0</v>
      </c>
      <c r="J236" s="3">
        <v>3.0</v>
      </c>
      <c r="K236" s="3">
        <v>75.0</v>
      </c>
      <c r="L236" s="53">
        <f t="shared" si="5"/>
        <v>648.8549618</v>
      </c>
      <c r="M236" s="52">
        <f t="shared" si="2"/>
        <v>810</v>
      </c>
      <c r="N236" s="54">
        <f t="shared" si="3"/>
        <v>161.1450382</v>
      </c>
      <c r="O236" s="54">
        <f t="shared" si="4"/>
        <v>53.1778626</v>
      </c>
    </row>
    <row r="237" ht="22.5" customHeight="1">
      <c r="A237" s="46" t="s">
        <v>369</v>
      </c>
      <c r="B237" s="14" t="s">
        <v>9</v>
      </c>
      <c r="C237" s="14">
        <v>80.0</v>
      </c>
      <c r="D237" s="15">
        <v>280.0</v>
      </c>
      <c r="E237" s="7">
        <v>439.0</v>
      </c>
      <c r="F237" s="46">
        <v>624.0</v>
      </c>
      <c r="G237" s="52">
        <f>IFERROR(SUMIF(Issues!B:B, A237, Issues!H:H), 0)</f>
        <v>650</v>
      </c>
      <c r="H237" s="52">
        <f>IFERROR(SUMIF(Returns!B:B, A237, Returns!H:H), 0)</f>
        <v>0</v>
      </c>
      <c r="I237" s="3">
        <v>3430.0</v>
      </c>
      <c r="J237" s="3">
        <v>2.0</v>
      </c>
      <c r="K237" s="3">
        <v>92.0</v>
      </c>
      <c r="L237" s="53">
        <f t="shared" si="5"/>
        <v>501.8447837</v>
      </c>
      <c r="M237" s="52">
        <f t="shared" si="2"/>
        <v>650</v>
      </c>
      <c r="N237" s="54">
        <f t="shared" si="3"/>
        <v>148.1552163</v>
      </c>
      <c r="O237" s="54">
        <f t="shared" si="4"/>
        <v>41.48346056</v>
      </c>
    </row>
    <row r="238" ht="22.5" customHeight="1">
      <c r="A238" s="46" t="s">
        <v>370</v>
      </c>
      <c r="B238" s="14" t="s">
        <v>9</v>
      </c>
      <c r="C238" s="14">
        <v>80.0</v>
      </c>
      <c r="D238" s="15">
        <v>290.0</v>
      </c>
      <c r="E238" s="7">
        <v>234.0</v>
      </c>
      <c r="F238" s="46">
        <v>400.0</v>
      </c>
      <c r="G238" s="52">
        <f>IFERROR(SUMIF(Issues!B:B, A238, Issues!H:H), 0)</f>
        <v>2250</v>
      </c>
      <c r="H238" s="52">
        <f>IFERROR(SUMIF(Returns!B:B, A238, Returns!H:H), 0)</f>
        <v>1800</v>
      </c>
      <c r="I238" s="3">
        <v>4800.0</v>
      </c>
      <c r="J238" s="3">
        <v>6.0</v>
      </c>
      <c r="K238" s="3">
        <v>116.0</v>
      </c>
      <c r="L238" s="53">
        <f t="shared" si="5"/>
        <v>295.1653944</v>
      </c>
      <c r="M238" s="52">
        <f t="shared" si="2"/>
        <v>450</v>
      </c>
      <c r="N238" s="54">
        <f t="shared" si="3"/>
        <v>154.8346056</v>
      </c>
      <c r="O238" s="54">
        <f t="shared" si="4"/>
        <v>44.90203562</v>
      </c>
    </row>
    <row r="239" ht="22.5" customHeight="1">
      <c r="A239" s="46" t="s">
        <v>371</v>
      </c>
      <c r="B239" s="14" t="s">
        <v>9</v>
      </c>
      <c r="C239" s="14">
        <v>80.0</v>
      </c>
      <c r="D239" s="15">
        <v>160.0</v>
      </c>
      <c r="E239" s="7">
        <v>573.0</v>
      </c>
      <c r="F239" s="46">
        <v>772.0</v>
      </c>
      <c r="G239" s="52">
        <f>IFERROR(SUMIF(Issues!B:B, A239, Issues!H:H), 0)</f>
        <v>1150</v>
      </c>
      <c r="H239" s="52">
        <f>IFERROR(SUMIF(Returns!B:B, A239, Returns!H:H), 0)</f>
        <v>350</v>
      </c>
      <c r="I239" s="3">
        <v>1150.0</v>
      </c>
      <c r="J239" s="3">
        <v>1.0</v>
      </c>
      <c r="K239" s="3">
        <v>180.0</v>
      </c>
      <c r="L239" s="53">
        <f t="shared" si="5"/>
        <v>658.3969466</v>
      </c>
      <c r="M239" s="52">
        <f t="shared" si="2"/>
        <v>800</v>
      </c>
      <c r="N239" s="54">
        <f t="shared" si="3"/>
        <v>141.6030534</v>
      </c>
      <c r="O239" s="54">
        <f t="shared" si="4"/>
        <v>22.65648855</v>
      </c>
    </row>
    <row r="240" ht="22.5" customHeight="1">
      <c r="A240" s="46" t="s">
        <v>372</v>
      </c>
      <c r="B240" s="14" t="s">
        <v>9</v>
      </c>
      <c r="C240" s="14">
        <v>80.0</v>
      </c>
      <c r="D240" s="15">
        <v>280.0</v>
      </c>
      <c r="E240" s="7">
        <v>439.0</v>
      </c>
      <c r="F240" s="46">
        <v>718.0</v>
      </c>
      <c r="G240" s="52">
        <f>IFERROR(SUMIF(Issues!B:B, A240, Issues!H:H), 0)</f>
        <v>1800</v>
      </c>
      <c r="H240" s="52">
        <f>IFERROR(SUMIF(Returns!B:B, A240, Returns!H:H), 0)</f>
        <v>1050</v>
      </c>
      <c r="I240" s="3">
        <v>4360.0</v>
      </c>
      <c r="J240" s="3">
        <v>2.0</v>
      </c>
      <c r="K240" s="3">
        <v>92.0</v>
      </c>
      <c r="L240" s="53">
        <f t="shared" si="5"/>
        <v>637.913486</v>
      </c>
      <c r="M240" s="52">
        <f t="shared" si="2"/>
        <v>750</v>
      </c>
      <c r="N240" s="54">
        <f t="shared" si="3"/>
        <v>112.086514</v>
      </c>
      <c r="O240" s="54">
        <f t="shared" si="4"/>
        <v>31.38422392</v>
      </c>
    </row>
    <row r="241" ht="22.5" customHeight="1">
      <c r="A241" s="46" t="s">
        <v>373</v>
      </c>
      <c r="B241" s="14" t="s">
        <v>9</v>
      </c>
      <c r="C241" s="14">
        <v>80.0</v>
      </c>
      <c r="D241" s="15">
        <v>160.0</v>
      </c>
      <c r="E241" s="7">
        <v>573.0</v>
      </c>
      <c r="F241" s="46">
        <v>804.0</v>
      </c>
      <c r="G241" s="52">
        <f>IFERROR(SUMIF(Issues!B:B, A241, Issues!H:H), 0)</f>
        <v>2000</v>
      </c>
      <c r="H241" s="52">
        <f>IFERROR(SUMIF(Returns!B:B, A241, Returns!H:H), 0)</f>
        <v>1150</v>
      </c>
      <c r="I241" s="3">
        <v>1140.0</v>
      </c>
      <c r="J241" s="3">
        <v>1.0</v>
      </c>
      <c r="K241" s="3">
        <v>180.0</v>
      </c>
      <c r="L241" s="53">
        <f t="shared" si="5"/>
        <v>652.6717557</v>
      </c>
      <c r="M241" s="52">
        <f t="shared" si="2"/>
        <v>850</v>
      </c>
      <c r="N241" s="54">
        <f t="shared" si="3"/>
        <v>197.3282443</v>
      </c>
      <c r="O241" s="54">
        <f t="shared" si="4"/>
        <v>31.57251908</v>
      </c>
    </row>
    <row r="242" ht="22.5" customHeight="1">
      <c r="A242" s="46" t="s">
        <v>374</v>
      </c>
      <c r="B242" s="14" t="s">
        <v>26</v>
      </c>
      <c r="C242" s="14">
        <v>80.0</v>
      </c>
      <c r="D242" s="15">
        <v>145.0</v>
      </c>
      <c r="E242" s="7">
        <v>1352.0</v>
      </c>
      <c r="F242" s="46">
        <v>1776.0</v>
      </c>
      <c r="G242" s="52">
        <f>IFERROR(SUMIF(Issues!B:B, A242, Issues!H:H), 0)</f>
        <v>2000</v>
      </c>
      <c r="H242" s="52">
        <f>IFERROR(SUMIF(Returns!B:B, A242, Returns!H:H), 0)</f>
        <v>150</v>
      </c>
      <c r="I242" s="3">
        <v>11700.0</v>
      </c>
      <c r="J242" s="3">
        <v>2.0</v>
      </c>
      <c r="K242" s="3">
        <v>85.0</v>
      </c>
      <c r="L242" s="53">
        <f t="shared" si="5"/>
        <v>1581.583969</v>
      </c>
      <c r="M242" s="52">
        <f t="shared" si="2"/>
        <v>1850</v>
      </c>
      <c r="N242" s="54">
        <f t="shared" si="3"/>
        <v>268.4160305</v>
      </c>
      <c r="O242" s="54">
        <f t="shared" si="4"/>
        <v>38.92032443</v>
      </c>
    </row>
    <row r="243" ht="22.5" customHeight="1">
      <c r="A243" s="46" t="s">
        <v>376</v>
      </c>
      <c r="B243" s="14" t="s">
        <v>26</v>
      </c>
      <c r="C243" s="14">
        <v>80.0</v>
      </c>
      <c r="D243" s="15">
        <v>230.0</v>
      </c>
      <c r="E243" s="7">
        <v>1352.0</v>
      </c>
      <c r="F243" s="46">
        <v>1533.0</v>
      </c>
      <c r="G243" s="52">
        <f>IFERROR(SUMIF(Issues!B:B, A243, Issues!H:H), 0)</f>
        <v>3000</v>
      </c>
      <c r="H243" s="52">
        <f>IFERROR(SUMIF(Returns!B:B, A243, Returns!H:H), 0)</f>
        <v>500</v>
      </c>
      <c r="I243" s="3">
        <v>10320.0</v>
      </c>
      <c r="J243" s="3">
        <v>2.0</v>
      </c>
      <c r="K243" s="3">
        <v>85.0</v>
      </c>
      <c r="L243" s="53">
        <f t="shared" si="5"/>
        <v>1395.038168</v>
      </c>
      <c r="M243" s="52">
        <f t="shared" si="2"/>
        <v>2500</v>
      </c>
      <c r="N243" s="54">
        <f t="shared" si="3"/>
        <v>1104.961832</v>
      </c>
      <c r="O243" s="54">
        <f t="shared" si="4"/>
        <v>254.1412214</v>
      </c>
    </row>
    <row r="244" ht="22.5" customHeight="1">
      <c r="A244" s="46" t="s">
        <v>377</v>
      </c>
      <c r="B244" s="14" t="s">
        <v>9</v>
      </c>
      <c r="C244" s="14">
        <v>80.0</v>
      </c>
      <c r="D244" s="15">
        <v>185.0</v>
      </c>
      <c r="E244" s="7">
        <v>2290.0</v>
      </c>
      <c r="F244" s="46">
        <v>2504.0</v>
      </c>
      <c r="G244" s="52">
        <f>IFERROR(SUMIF(Issues!B:B, A244, Issues!H:H), 0)</f>
        <v>3700</v>
      </c>
      <c r="H244" s="52">
        <f>IFERROR(SUMIF(Returns!B:B, A244, Returns!H:H), 0)</f>
        <v>1190</v>
      </c>
      <c r="I244" s="3">
        <v>20480.0</v>
      </c>
      <c r="J244" s="3">
        <v>2.0</v>
      </c>
      <c r="K244" s="3">
        <v>72.0</v>
      </c>
      <c r="L244" s="53">
        <f t="shared" si="5"/>
        <v>2345.038168</v>
      </c>
      <c r="M244" s="52">
        <f t="shared" si="2"/>
        <v>2510</v>
      </c>
      <c r="N244" s="54">
        <f t="shared" si="3"/>
        <v>164.9618321</v>
      </c>
      <c r="O244" s="54">
        <f t="shared" si="4"/>
        <v>30.51793893</v>
      </c>
    </row>
    <row r="245" ht="22.5" customHeight="1">
      <c r="A245" s="46" t="s">
        <v>378</v>
      </c>
      <c r="B245" s="14" t="s">
        <v>9</v>
      </c>
      <c r="C245" s="14">
        <v>80.0</v>
      </c>
      <c r="D245" s="15">
        <v>125.0</v>
      </c>
      <c r="E245" s="7">
        <v>515.0</v>
      </c>
      <c r="F245" s="46">
        <v>770.0</v>
      </c>
      <c r="G245" s="52">
        <f>IFERROR(SUMIF(Issues!B:B, A245, Issues!H:H), 0)</f>
        <v>2000</v>
      </c>
      <c r="H245" s="52">
        <f>IFERROR(SUMIF(Returns!B:B, A245, Returns!H:H), 0)</f>
        <v>1200</v>
      </c>
      <c r="I245" s="3">
        <v>3950.0</v>
      </c>
      <c r="J245" s="3">
        <v>2.0</v>
      </c>
      <c r="K245" s="3">
        <v>108.0</v>
      </c>
      <c r="L245" s="53">
        <f t="shared" si="5"/>
        <v>678.4351145</v>
      </c>
      <c r="M245" s="52">
        <f t="shared" si="2"/>
        <v>800</v>
      </c>
      <c r="N245" s="54">
        <f t="shared" si="3"/>
        <v>121.5648855</v>
      </c>
      <c r="O245" s="54">
        <f t="shared" si="4"/>
        <v>15.19561069</v>
      </c>
    </row>
    <row r="246" ht="22.5" customHeight="1">
      <c r="A246" s="46" t="s">
        <v>379</v>
      </c>
      <c r="B246" s="14" t="s">
        <v>9</v>
      </c>
      <c r="C246" s="14">
        <v>80.0</v>
      </c>
      <c r="D246" s="15">
        <v>125.0</v>
      </c>
      <c r="E246" s="7">
        <v>515.0</v>
      </c>
      <c r="F246" s="46">
        <v>900.0</v>
      </c>
      <c r="G246" s="52">
        <f>IFERROR(SUMIF(Issues!B:B, A246, Issues!H:H), 0)</f>
        <v>2995</v>
      </c>
      <c r="H246" s="52">
        <f>IFERROR(SUMIF(Returns!B:B, A246, Returns!H:H), 0)</f>
        <v>2000</v>
      </c>
      <c r="I246" s="3">
        <v>4620.0</v>
      </c>
      <c r="J246" s="3">
        <v>2.0</v>
      </c>
      <c r="K246" s="3">
        <v>108.0</v>
      </c>
      <c r="L246" s="53">
        <f t="shared" si="5"/>
        <v>793.5114504</v>
      </c>
      <c r="M246" s="52">
        <f t="shared" si="2"/>
        <v>995</v>
      </c>
      <c r="N246" s="54">
        <f t="shared" si="3"/>
        <v>201.4885496</v>
      </c>
      <c r="O246" s="54">
        <f t="shared" si="4"/>
        <v>25.1860687</v>
      </c>
    </row>
    <row r="247" ht="22.5" customHeight="1">
      <c r="A247" s="46" t="s">
        <v>380</v>
      </c>
      <c r="B247" s="14" t="s">
        <v>9</v>
      </c>
      <c r="C247" s="14">
        <v>80.0</v>
      </c>
      <c r="D247" s="15">
        <v>125.0</v>
      </c>
      <c r="E247" s="7">
        <v>515.0</v>
      </c>
      <c r="F247" s="46">
        <v>790.0</v>
      </c>
      <c r="G247" s="52">
        <f>IFERROR(SUMIF(Issues!B:B, A247, Issues!H:H), 0)</f>
        <v>1200</v>
      </c>
      <c r="H247" s="52">
        <f>IFERROR(SUMIF(Returns!B:B, A247, Returns!H:H), 0)</f>
        <v>350</v>
      </c>
      <c r="I247" s="3">
        <v>3940.0</v>
      </c>
      <c r="J247" s="3">
        <v>2.0</v>
      </c>
      <c r="K247" s="3">
        <v>108.0</v>
      </c>
      <c r="L247" s="53">
        <f t="shared" si="5"/>
        <v>676.7175573</v>
      </c>
      <c r="M247" s="52">
        <f t="shared" si="2"/>
        <v>850</v>
      </c>
      <c r="N247" s="54">
        <f t="shared" si="3"/>
        <v>173.2824427</v>
      </c>
      <c r="O247" s="54">
        <f t="shared" si="4"/>
        <v>21.66030534</v>
      </c>
    </row>
    <row r="248" ht="22.5" customHeight="1">
      <c r="A248" s="46" t="s">
        <v>381</v>
      </c>
      <c r="B248" s="14" t="s">
        <v>9</v>
      </c>
      <c r="C248" s="14">
        <v>80.0</v>
      </c>
      <c r="D248" s="15">
        <v>180.0</v>
      </c>
      <c r="E248" s="7">
        <v>262.0</v>
      </c>
      <c r="F248" s="46">
        <v>432.0</v>
      </c>
      <c r="G248" s="52">
        <f>IFERROR(SUMIF(Issues!B:B, A248, Issues!H:H), 0)</f>
        <v>1700</v>
      </c>
      <c r="H248" s="52">
        <f>IFERROR(SUMIF(Returns!B:B, A248, Returns!H:H), 0)</f>
        <v>1220</v>
      </c>
      <c r="I248" s="3">
        <v>5910.0</v>
      </c>
      <c r="J248" s="3">
        <v>6.0</v>
      </c>
      <c r="K248" s="3">
        <v>99.0</v>
      </c>
      <c r="L248" s="53">
        <f t="shared" si="5"/>
        <v>310.1622137</v>
      </c>
      <c r="M248" s="52">
        <f t="shared" si="2"/>
        <v>480</v>
      </c>
      <c r="N248" s="54">
        <f t="shared" si="3"/>
        <v>169.8377863</v>
      </c>
      <c r="O248" s="54">
        <f t="shared" si="4"/>
        <v>30.57080153</v>
      </c>
    </row>
    <row r="249" ht="22.5" customHeight="1">
      <c r="A249" s="46" t="s">
        <v>382</v>
      </c>
      <c r="B249" s="14" t="s">
        <v>9</v>
      </c>
      <c r="C249" s="14">
        <v>80.0</v>
      </c>
      <c r="D249" s="15">
        <v>125.0</v>
      </c>
      <c r="E249" s="7">
        <v>515.0</v>
      </c>
      <c r="F249" s="46">
        <v>750.0</v>
      </c>
      <c r="G249" s="52">
        <f>IFERROR(SUMIF(Issues!B:B, A249, Issues!H:H), 0)</f>
        <v>1150</v>
      </c>
      <c r="H249" s="52">
        <f>IFERROR(SUMIF(Returns!B:B, A249, Returns!H:H), 0)</f>
        <v>400</v>
      </c>
      <c r="I249" s="3">
        <v>3850.0</v>
      </c>
      <c r="J249" s="3">
        <v>2.0</v>
      </c>
      <c r="K249" s="3">
        <v>108.0</v>
      </c>
      <c r="L249" s="53">
        <f t="shared" si="5"/>
        <v>661.259542</v>
      </c>
      <c r="M249" s="52">
        <f t="shared" si="2"/>
        <v>750</v>
      </c>
      <c r="N249" s="54">
        <f t="shared" si="3"/>
        <v>88.74045802</v>
      </c>
      <c r="O249" s="54">
        <f t="shared" si="4"/>
        <v>11.09255725</v>
      </c>
    </row>
    <row r="250" ht="22.5" customHeight="1">
      <c r="A250" s="46" t="s">
        <v>384</v>
      </c>
      <c r="B250" s="14" t="s">
        <v>9</v>
      </c>
      <c r="C250" s="14">
        <v>80.0</v>
      </c>
      <c r="D250" s="15">
        <v>125.0</v>
      </c>
      <c r="E250" s="7">
        <v>1193.0</v>
      </c>
      <c r="F250" s="58"/>
      <c r="G250" s="52">
        <f>IFERROR(SUMIF(Issues!B:B, A250, Issues!H:H), 0)</f>
        <v>2800</v>
      </c>
      <c r="H250" s="52">
        <f>IFERROR(SUMIF(Returns!B:B, A250, Returns!H:H), 0)</f>
        <v>1350</v>
      </c>
      <c r="I250" s="3">
        <v>5700.0</v>
      </c>
      <c r="J250" s="3">
        <v>1.0</v>
      </c>
      <c r="K250" s="3">
        <v>75.0</v>
      </c>
      <c r="L250" s="53">
        <f t="shared" si="5"/>
        <v>1359.732824</v>
      </c>
      <c r="M250" s="52">
        <f t="shared" si="2"/>
        <v>1450</v>
      </c>
      <c r="N250" s="54">
        <f t="shared" si="3"/>
        <v>90.26717557</v>
      </c>
      <c r="O250" s="54">
        <f t="shared" si="4"/>
        <v>11.28339695</v>
      </c>
    </row>
    <row r="251" ht="22.5" customHeight="1">
      <c r="A251" s="46" t="s">
        <v>385</v>
      </c>
      <c r="B251" s="14" t="s">
        <v>9</v>
      </c>
      <c r="C251" s="14">
        <v>80.0</v>
      </c>
      <c r="D251" s="15">
        <v>290.0</v>
      </c>
      <c r="E251" s="7">
        <v>747.0</v>
      </c>
      <c r="F251" s="46">
        <v>930.0</v>
      </c>
      <c r="G251" s="52">
        <f>IFERROR(SUMIF(Issues!B:B, A251, Issues!H:H), 0)</f>
        <v>1500</v>
      </c>
      <c r="H251" s="52">
        <f>IFERROR(SUMIF(Returns!B:B, A251, Returns!H:H), 0)</f>
        <v>570</v>
      </c>
      <c r="I251" s="3">
        <v>5340.0</v>
      </c>
      <c r="J251" s="3">
        <v>2.0</v>
      </c>
      <c r="K251" s="3">
        <v>94.0</v>
      </c>
      <c r="L251" s="53">
        <f t="shared" si="5"/>
        <v>798.2824427</v>
      </c>
      <c r="M251" s="52">
        <f t="shared" si="2"/>
        <v>930</v>
      </c>
      <c r="N251" s="54">
        <f t="shared" si="3"/>
        <v>131.7175573</v>
      </c>
      <c r="O251" s="54">
        <f t="shared" si="4"/>
        <v>38.1980916</v>
      </c>
    </row>
    <row r="252" ht="22.5" customHeight="1">
      <c r="A252" s="46" t="s">
        <v>386</v>
      </c>
      <c r="B252" s="14" t="s">
        <v>9</v>
      </c>
      <c r="C252" s="14">
        <v>80.0</v>
      </c>
      <c r="D252" s="15">
        <v>125.0</v>
      </c>
      <c r="E252" s="7">
        <v>515.0</v>
      </c>
      <c r="F252" s="46">
        <v>814.0</v>
      </c>
      <c r="G252" s="52">
        <f>IFERROR(SUMIF(Issues!B:B, A252, Issues!H:H), 0)</f>
        <v>1970</v>
      </c>
      <c r="H252" s="52">
        <f>IFERROR(SUMIF(Returns!B:B, A252, Returns!H:H), 0)</f>
        <v>1150</v>
      </c>
      <c r="I252" s="3">
        <v>3950.0</v>
      </c>
      <c r="J252" s="3">
        <v>2.0</v>
      </c>
      <c r="K252" s="3">
        <v>108.0</v>
      </c>
      <c r="L252" s="53">
        <f t="shared" si="5"/>
        <v>678.4351145</v>
      </c>
      <c r="M252" s="52">
        <f t="shared" si="2"/>
        <v>820</v>
      </c>
      <c r="N252" s="54">
        <f t="shared" si="3"/>
        <v>141.5648855</v>
      </c>
      <c r="O252" s="54">
        <f t="shared" si="4"/>
        <v>17.69561069</v>
      </c>
    </row>
    <row r="253" ht="22.5" customHeight="1">
      <c r="A253" s="46" t="s">
        <v>388</v>
      </c>
      <c r="B253" s="14" t="s">
        <v>9</v>
      </c>
      <c r="C253" s="14">
        <v>80.0</v>
      </c>
      <c r="D253" s="15">
        <v>125.0</v>
      </c>
      <c r="E253" s="7">
        <v>515.0</v>
      </c>
      <c r="F253" s="46">
        <v>809.0</v>
      </c>
      <c r="G253" s="52">
        <f>IFERROR(SUMIF(Issues!B:B, A253, Issues!H:H), 0)</f>
        <v>900</v>
      </c>
      <c r="H253" s="52">
        <f>IFERROR(SUMIF(Returns!B:B, A253, Returns!H:H), 0)</f>
        <v>0</v>
      </c>
      <c r="I253" s="3">
        <v>4800.0</v>
      </c>
      <c r="J253" s="3">
        <v>2.0</v>
      </c>
      <c r="K253" s="3">
        <v>108.0</v>
      </c>
      <c r="L253" s="53">
        <f t="shared" si="5"/>
        <v>824.4274809</v>
      </c>
      <c r="M253" s="52">
        <f t="shared" si="2"/>
        <v>900</v>
      </c>
      <c r="N253" s="54">
        <f t="shared" si="3"/>
        <v>75.57251908</v>
      </c>
      <c r="O253" s="54">
        <f t="shared" si="4"/>
        <v>9.446564885</v>
      </c>
    </row>
    <row r="254" ht="22.5" customHeight="1">
      <c r="A254" s="46" t="s">
        <v>389</v>
      </c>
      <c r="B254" s="14" t="s">
        <v>9</v>
      </c>
      <c r="C254" s="14">
        <v>80.0</v>
      </c>
      <c r="D254" s="15">
        <v>125.0</v>
      </c>
      <c r="E254" s="7">
        <v>515.0</v>
      </c>
      <c r="F254" s="46">
        <v>686.0</v>
      </c>
      <c r="G254" s="52">
        <f>IFERROR(SUMIF(Issues!B:B, A254, Issues!H:H), 0)</f>
        <v>1350</v>
      </c>
      <c r="H254" s="52">
        <f>IFERROR(SUMIF(Returns!B:B, A254, Returns!H:H), 0)</f>
        <v>0</v>
      </c>
      <c r="I254" s="3">
        <v>3420.0</v>
      </c>
      <c r="J254" s="3">
        <v>2.0</v>
      </c>
      <c r="K254" s="3">
        <v>108.0</v>
      </c>
      <c r="L254" s="53">
        <f t="shared" si="5"/>
        <v>587.4045802</v>
      </c>
      <c r="M254" s="52">
        <f t="shared" si="2"/>
        <v>1350</v>
      </c>
      <c r="N254" s="54">
        <f t="shared" si="3"/>
        <v>762.5954198</v>
      </c>
      <c r="O254" s="54">
        <f t="shared" si="4"/>
        <v>95.32442748</v>
      </c>
    </row>
    <row r="255" ht="22.5" customHeight="1">
      <c r="A255" s="46" t="s">
        <v>390</v>
      </c>
      <c r="B255" s="14" t="s">
        <v>9</v>
      </c>
      <c r="C255" s="14">
        <v>80.0</v>
      </c>
      <c r="D255" s="15">
        <v>125.0</v>
      </c>
      <c r="E255" s="7">
        <v>3436.0</v>
      </c>
      <c r="F255" s="46">
        <v>4010.0</v>
      </c>
      <c r="G255" s="52">
        <f>IFERROR(SUMIF(Issues!B:B, A255, Issues!H:H), 0)</f>
        <v>4860</v>
      </c>
      <c r="H255" s="52">
        <f>IFERROR(SUMIF(Returns!B:B, A255, Returns!H:H), 0)</f>
        <v>0</v>
      </c>
      <c r="I255" s="3">
        <v>22200.0</v>
      </c>
      <c r="J255" s="3">
        <v>2.0</v>
      </c>
      <c r="K255" s="3">
        <v>108.0</v>
      </c>
      <c r="L255" s="53">
        <f t="shared" si="5"/>
        <v>3812.977099</v>
      </c>
      <c r="M255" s="52">
        <f t="shared" si="2"/>
        <v>4860</v>
      </c>
      <c r="N255" s="54">
        <f t="shared" si="3"/>
        <v>1047.022901</v>
      </c>
      <c r="O255" s="54">
        <f t="shared" si="4"/>
        <v>130.8778626</v>
      </c>
    </row>
    <row r="256" ht="22.5" customHeight="1">
      <c r="A256" s="46" t="s">
        <v>391</v>
      </c>
      <c r="B256" s="14" t="s">
        <v>9</v>
      </c>
      <c r="C256" s="14">
        <v>80.0</v>
      </c>
      <c r="D256" s="15">
        <v>125.0</v>
      </c>
      <c r="E256" s="7">
        <v>2244.0</v>
      </c>
      <c r="F256" s="46">
        <v>2300.0</v>
      </c>
      <c r="G256" s="52">
        <f>IFERROR(SUMIF(Issues!B:B, A256, Issues!H:H), 0)</f>
        <v>2800</v>
      </c>
      <c r="H256" s="52">
        <f>IFERROR(SUMIF(Returns!B:B, A256, Returns!H:H), 0)</f>
        <v>450</v>
      </c>
      <c r="I256" s="3">
        <v>127500.0</v>
      </c>
      <c r="J256" s="3">
        <v>14.0</v>
      </c>
      <c r="K256" s="3">
        <v>79.0</v>
      </c>
      <c r="L256" s="53">
        <f t="shared" si="5"/>
        <v>2288.37241</v>
      </c>
      <c r="M256" s="52">
        <f t="shared" si="2"/>
        <v>2350</v>
      </c>
      <c r="N256" s="54">
        <f t="shared" si="3"/>
        <v>61.62758997</v>
      </c>
      <c r="O256" s="54">
        <f t="shared" si="4"/>
        <v>7.703448746</v>
      </c>
    </row>
    <row r="257" ht="22.5" customHeight="1">
      <c r="A257" s="46" t="s">
        <v>393</v>
      </c>
      <c r="B257" s="14" t="s">
        <v>9</v>
      </c>
      <c r="C257" s="14">
        <v>80.0</v>
      </c>
      <c r="D257" s="15">
        <v>250.0</v>
      </c>
      <c r="E257" s="7">
        <v>1718.0</v>
      </c>
      <c r="F257" s="46">
        <v>2031.0</v>
      </c>
      <c r="G257" s="52">
        <f>IFERROR(SUMIF(Issues!B:B, A257, Issues!H:H), 0)</f>
        <v>2000</v>
      </c>
      <c r="H257" s="52">
        <f>IFERROR(SUMIF(Returns!B:B, A257, Returns!H:H), 0)</f>
        <v>0</v>
      </c>
      <c r="I257" s="3">
        <v>11230.0</v>
      </c>
      <c r="J257" s="3">
        <v>2.0</v>
      </c>
      <c r="K257" s="3">
        <v>108.0</v>
      </c>
      <c r="L257" s="53">
        <f t="shared" si="5"/>
        <v>1928.816794</v>
      </c>
      <c r="M257" s="52">
        <f t="shared" si="2"/>
        <v>2000</v>
      </c>
      <c r="N257" s="54">
        <f t="shared" si="3"/>
        <v>71.18320611</v>
      </c>
      <c r="O257" s="54">
        <f t="shared" si="4"/>
        <v>17.79580153</v>
      </c>
    </row>
    <row r="258" ht="22.5" customHeight="1">
      <c r="A258" s="46" t="s">
        <v>394</v>
      </c>
      <c r="B258" s="14" t="s">
        <v>9</v>
      </c>
      <c r="C258" s="14">
        <v>80.0</v>
      </c>
      <c r="D258" s="15">
        <v>395.0</v>
      </c>
      <c r="E258" s="7">
        <v>1495.0</v>
      </c>
      <c r="F258" s="46">
        <v>1690.0</v>
      </c>
      <c r="G258" s="52">
        <f>IFERROR(SUMIF(Issues!B:B, A258, Issues!H:H), 0)</f>
        <v>2100</v>
      </c>
      <c r="H258" s="52">
        <f>IFERROR(SUMIF(Returns!B:B, A258, Returns!H:H), 0)</f>
        <v>0</v>
      </c>
      <c r="I258" s="3">
        <v>45520.0</v>
      </c>
      <c r="J258" s="3">
        <v>10.0</v>
      </c>
      <c r="K258" s="3">
        <v>94.0</v>
      </c>
      <c r="L258" s="53">
        <f t="shared" si="5"/>
        <v>1360.966921</v>
      </c>
      <c r="M258" s="52">
        <f t="shared" si="2"/>
        <v>2100</v>
      </c>
      <c r="N258" s="54">
        <f t="shared" si="3"/>
        <v>739.0330789</v>
      </c>
      <c r="O258" s="54">
        <f t="shared" si="4"/>
        <v>291.9180662</v>
      </c>
    </row>
    <row r="259" ht="22.5" customHeight="1">
      <c r="A259" s="46" t="s">
        <v>396</v>
      </c>
      <c r="B259" s="14" t="s">
        <v>42</v>
      </c>
      <c r="C259" s="14">
        <v>50.0</v>
      </c>
      <c r="D259" s="15">
        <v>200.0</v>
      </c>
      <c r="E259" s="7">
        <v>5248.0</v>
      </c>
      <c r="F259" s="46">
        <v>5799.0</v>
      </c>
      <c r="G259" s="52">
        <f>IFERROR(SUMIF(Issues!B:B, A259, Issues!H:H), 0)</f>
        <v>6400</v>
      </c>
      <c r="H259" s="52">
        <f>IFERROR(SUMIF(Returns!B:B, A259, Returns!H:H), 0)</f>
        <v>0</v>
      </c>
      <c r="I259" s="3">
        <v>98010.0</v>
      </c>
      <c r="J259" s="3">
        <v>6.0</v>
      </c>
      <c r="K259" s="3">
        <v>99.0</v>
      </c>
      <c r="L259" s="53">
        <f t="shared" si="5"/>
        <v>5143.65458</v>
      </c>
      <c r="M259" s="52">
        <f t="shared" si="2"/>
        <v>6400</v>
      </c>
      <c r="N259" s="54">
        <f t="shared" si="3"/>
        <v>1256.34542</v>
      </c>
      <c r="O259" s="54">
        <f t="shared" si="4"/>
        <v>251.269084</v>
      </c>
    </row>
    <row r="260" ht="22.5" customHeight="1">
      <c r="A260" s="46" t="s">
        <v>397</v>
      </c>
      <c r="B260" s="14" t="s">
        <v>26</v>
      </c>
      <c r="C260" s="14">
        <v>80.0</v>
      </c>
      <c r="D260" s="15">
        <v>125.0</v>
      </c>
      <c r="E260" s="7">
        <v>4486.0</v>
      </c>
      <c r="F260" s="46">
        <v>4800.0</v>
      </c>
      <c r="G260" s="52">
        <f>IFERROR(SUMIF(Issues!B:B, A260, Issues!H:H), 0)</f>
        <v>4800</v>
      </c>
      <c r="H260" s="52">
        <f>IFERROR(SUMIF(Returns!B:B, A260, Returns!H:H), 0)</f>
        <v>390</v>
      </c>
      <c r="I260" s="3">
        <v>128200.0</v>
      </c>
      <c r="J260" s="3">
        <v>7.0</v>
      </c>
      <c r="K260" s="3">
        <v>79.0</v>
      </c>
      <c r="L260" s="53">
        <f t="shared" si="5"/>
        <v>4601.872047</v>
      </c>
      <c r="M260" s="52">
        <f t="shared" si="2"/>
        <v>4410</v>
      </c>
      <c r="N260" s="54">
        <f t="shared" si="3"/>
        <v>0</v>
      </c>
      <c r="O260" s="54">
        <f t="shared" si="4"/>
        <v>0</v>
      </c>
    </row>
    <row r="261" ht="22.5" customHeight="1">
      <c r="A261" s="46" t="s">
        <v>399</v>
      </c>
      <c r="B261" s="14" t="s">
        <v>9</v>
      </c>
      <c r="C261" s="14">
        <v>80.0</v>
      </c>
      <c r="D261" s="15">
        <v>300.0</v>
      </c>
      <c r="E261" s="7">
        <v>922.0</v>
      </c>
      <c r="F261" s="46">
        <v>1219.0</v>
      </c>
      <c r="G261" s="52">
        <f>IFERROR(SUMIF(Issues!B:B, A261, Issues!H:H), 0)</f>
        <v>1200</v>
      </c>
      <c r="H261" s="52">
        <f>IFERROR(SUMIF(Returns!B:B, A261, Returns!H:H), 0)</f>
        <v>0</v>
      </c>
      <c r="I261" s="3">
        <v>15780.0</v>
      </c>
      <c r="J261" s="3">
        <v>6.0</v>
      </c>
      <c r="K261" s="3">
        <v>116.0</v>
      </c>
      <c r="L261" s="53">
        <f t="shared" si="5"/>
        <v>970.3562341</v>
      </c>
      <c r="M261" s="52">
        <f t="shared" si="2"/>
        <v>1200</v>
      </c>
      <c r="N261" s="54">
        <f t="shared" si="3"/>
        <v>229.6437659</v>
      </c>
      <c r="O261" s="54">
        <f t="shared" si="4"/>
        <v>68.89312977</v>
      </c>
    </row>
    <row r="262" ht="22.5" customHeight="1">
      <c r="A262" s="46" t="s">
        <v>401</v>
      </c>
      <c r="B262" s="14" t="s">
        <v>9</v>
      </c>
      <c r="C262" s="14">
        <v>80.0</v>
      </c>
      <c r="D262" s="15">
        <v>185.0</v>
      </c>
      <c r="E262" s="7">
        <v>132.0</v>
      </c>
      <c r="F262" s="46">
        <v>277.0</v>
      </c>
      <c r="G262" s="52">
        <f>IFERROR(SUMIF(Issues!B:B, A262, Issues!H:H), 0)</f>
        <v>500</v>
      </c>
      <c r="H262" s="52">
        <f>IFERROR(SUMIF(Returns!B:B, A262, Returns!H:H), 0)</f>
        <v>190</v>
      </c>
      <c r="I262" s="3">
        <v>3625.0</v>
      </c>
      <c r="J262" s="3">
        <v>5.0</v>
      </c>
      <c r="K262" s="3">
        <v>69.0</v>
      </c>
      <c r="L262" s="53">
        <f t="shared" si="5"/>
        <v>159.1125954</v>
      </c>
      <c r="M262" s="52">
        <f t="shared" si="2"/>
        <v>310</v>
      </c>
      <c r="N262" s="54">
        <f t="shared" si="3"/>
        <v>150.8874046</v>
      </c>
      <c r="O262" s="54">
        <f t="shared" si="4"/>
        <v>27.91416985</v>
      </c>
    </row>
    <row r="263" ht="22.5" customHeight="1">
      <c r="A263" s="46" t="s">
        <v>403</v>
      </c>
      <c r="B263" s="14" t="s">
        <v>9</v>
      </c>
      <c r="C263" s="14">
        <v>80.0</v>
      </c>
      <c r="D263" s="15">
        <v>210.0</v>
      </c>
      <c r="E263" s="7">
        <v>203.0</v>
      </c>
      <c r="F263" s="46">
        <v>370.0</v>
      </c>
      <c r="G263" s="52">
        <f>IFERROR(SUMIF(Issues!B:B, A263, Issues!H:H), 0)</f>
        <v>1140</v>
      </c>
      <c r="H263" s="52">
        <f>IFERROR(SUMIF(Returns!B:B, A263, Returns!H:H), 0)</f>
        <v>770</v>
      </c>
      <c r="I263" s="3">
        <v>4200.0</v>
      </c>
      <c r="J263" s="3">
        <v>4.0</v>
      </c>
      <c r="K263" s="3">
        <v>85.0</v>
      </c>
      <c r="L263" s="53">
        <f t="shared" si="5"/>
        <v>283.8740458</v>
      </c>
      <c r="M263" s="52">
        <f t="shared" si="2"/>
        <v>370</v>
      </c>
      <c r="N263" s="54">
        <f t="shared" si="3"/>
        <v>86.1259542</v>
      </c>
      <c r="O263" s="54">
        <f t="shared" si="4"/>
        <v>18.08645038</v>
      </c>
    </row>
    <row r="264" ht="22.5" customHeight="1">
      <c r="A264" s="46" t="s">
        <v>404</v>
      </c>
      <c r="B264" s="14" t="s">
        <v>43</v>
      </c>
      <c r="C264" s="14">
        <v>50.0</v>
      </c>
      <c r="D264" s="15">
        <v>125.0</v>
      </c>
      <c r="E264" s="7">
        <v>876.0</v>
      </c>
      <c r="F264" s="46">
        <v>1076.0</v>
      </c>
      <c r="G264" s="52">
        <f>IFERROR(SUMIF(Issues!B:B, A264, Issues!H:H), 0)</f>
        <v>1600</v>
      </c>
      <c r="H264" s="52">
        <f>IFERROR(SUMIF(Returns!B:B, A264, Returns!H:H), 0)</f>
        <v>500</v>
      </c>
      <c r="I264" s="3">
        <v>2400.0</v>
      </c>
      <c r="J264" s="3">
        <v>4.0</v>
      </c>
      <c r="K264" s="3">
        <v>108.0</v>
      </c>
      <c r="L264" s="53">
        <f t="shared" si="5"/>
        <v>206.1068702</v>
      </c>
      <c r="M264" s="52">
        <f t="shared" si="2"/>
        <v>1100</v>
      </c>
      <c r="N264" s="54">
        <f t="shared" si="3"/>
        <v>893.8931298</v>
      </c>
      <c r="O264" s="54">
        <f t="shared" si="4"/>
        <v>111.7366412</v>
      </c>
    </row>
    <row r="265" ht="22.5" customHeight="1">
      <c r="A265" s="46" t="s">
        <v>405</v>
      </c>
      <c r="B265" s="14" t="s">
        <v>43</v>
      </c>
      <c r="C265" s="14">
        <v>50.0</v>
      </c>
      <c r="D265" s="15">
        <v>125.0</v>
      </c>
      <c r="E265" s="7">
        <v>876.0</v>
      </c>
      <c r="F265" s="46">
        <v>1100.0</v>
      </c>
      <c r="G265" s="52">
        <f>IFERROR(SUMIF(Issues!B:B, A265, Issues!H:H), 0)</f>
        <v>2200</v>
      </c>
      <c r="H265" s="52">
        <f>IFERROR(SUMIF(Returns!B:B, A265, Returns!H:H), 0)</f>
        <v>1000</v>
      </c>
      <c r="I265" s="3">
        <v>10700.0</v>
      </c>
      <c r="J265" s="3">
        <v>4.0</v>
      </c>
      <c r="K265" s="3">
        <v>108.0</v>
      </c>
      <c r="L265" s="53">
        <f t="shared" si="5"/>
        <v>918.8931298</v>
      </c>
      <c r="M265" s="52">
        <f t="shared" si="2"/>
        <v>1200</v>
      </c>
      <c r="N265" s="54">
        <f t="shared" si="3"/>
        <v>281.1068702</v>
      </c>
      <c r="O265" s="54">
        <f t="shared" si="4"/>
        <v>35.13835878</v>
      </c>
    </row>
    <row r="266" ht="22.5" customHeight="1">
      <c r="A266" s="46" t="s">
        <v>406</v>
      </c>
      <c r="B266" s="14" t="s">
        <v>9</v>
      </c>
      <c r="C266" s="14">
        <v>80.0</v>
      </c>
      <c r="D266" s="15">
        <v>160.0</v>
      </c>
      <c r="E266" s="7">
        <v>628.0</v>
      </c>
      <c r="F266" s="46">
        <v>795.0</v>
      </c>
      <c r="G266" s="52">
        <f>IFERROR(SUMIF(Issues!B:B, A266, Issues!H:H), 0)</f>
        <v>1280</v>
      </c>
      <c r="H266" s="52">
        <f>IFERROR(SUMIF(Returns!B:B, A266, Returns!H:H), 0)</f>
        <v>450</v>
      </c>
      <c r="I266" s="3">
        <v>2205.0</v>
      </c>
      <c r="J266" s="3">
        <v>1.0</v>
      </c>
      <c r="K266" s="3">
        <v>94.0</v>
      </c>
      <c r="L266" s="53">
        <f t="shared" si="5"/>
        <v>659.2557252</v>
      </c>
      <c r="M266" s="52">
        <f t="shared" si="2"/>
        <v>830</v>
      </c>
      <c r="N266" s="54">
        <f t="shared" si="3"/>
        <v>170.7442748</v>
      </c>
      <c r="O266" s="54">
        <f t="shared" si="4"/>
        <v>27.31908397</v>
      </c>
    </row>
    <row r="267" ht="22.5" customHeight="1">
      <c r="A267" s="46" t="s">
        <v>407</v>
      </c>
      <c r="B267" s="14" t="s">
        <v>9</v>
      </c>
      <c r="C267" s="14">
        <v>80.0</v>
      </c>
      <c r="D267" s="15">
        <v>160.0</v>
      </c>
      <c r="E267" s="7">
        <v>594.0</v>
      </c>
      <c r="F267" s="46">
        <v>778.0</v>
      </c>
      <c r="G267" s="52">
        <f>IFERROR(SUMIF(Issues!B:B, A267, Issues!H:H), 0)</f>
        <v>2000</v>
      </c>
      <c r="H267" s="52">
        <f>IFERROR(SUMIF(Returns!B:B, A267, Returns!H:H), 0)</f>
        <v>1280</v>
      </c>
      <c r="I267" s="3">
        <v>2205.0</v>
      </c>
      <c r="J267" s="3">
        <v>1.0</v>
      </c>
      <c r="K267" s="3">
        <v>89.0</v>
      </c>
      <c r="L267" s="53">
        <f t="shared" si="5"/>
        <v>624.1889313</v>
      </c>
      <c r="M267" s="52">
        <f t="shared" si="2"/>
        <v>720</v>
      </c>
      <c r="N267" s="54">
        <f t="shared" si="3"/>
        <v>95.8110687</v>
      </c>
      <c r="O267" s="54">
        <f t="shared" si="4"/>
        <v>15.32977099</v>
      </c>
    </row>
    <row r="268" ht="22.5" customHeight="1">
      <c r="A268" s="46" t="s">
        <v>408</v>
      </c>
      <c r="B268" s="14" t="s">
        <v>9</v>
      </c>
      <c r="C268" s="14">
        <v>80.0</v>
      </c>
      <c r="D268" s="15">
        <v>160.0</v>
      </c>
      <c r="E268" s="7">
        <v>386.0</v>
      </c>
      <c r="F268" s="46">
        <v>502.0</v>
      </c>
      <c r="G268" s="52">
        <f>IFERROR(SUMIF(Issues!B:B, A268, Issues!H:H), 0)</f>
        <v>850</v>
      </c>
      <c r="H268" s="52">
        <f>IFERROR(SUMIF(Returns!B:B, A268, Returns!H:H), 0)</f>
        <v>300</v>
      </c>
      <c r="I268" s="3">
        <v>4724.0</v>
      </c>
      <c r="J268" s="3">
        <v>4.0</v>
      </c>
      <c r="K268" s="3">
        <v>108.0</v>
      </c>
      <c r="L268" s="53">
        <f t="shared" si="5"/>
        <v>405.6870229</v>
      </c>
      <c r="M268" s="52">
        <f t="shared" si="2"/>
        <v>550</v>
      </c>
      <c r="N268" s="54">
        <f t="shared" si="3"/>
        <v>144.3129771</v>
      </c>
      <c r="O268" s="54">
        <f t="shared" si="4"/>
        <v>23.09007634</v>
      </c>
    </row>
    <row r="269" ht="22.5" customHeight="1">
      <c r="A269" s="46" t="s">
        <v>409</v>
      </c>
      <c r="B269" s="14" t="s">
        <v>9</v>
      </c>
      <c r="C269" s="14">
        <v>80.0</v>
      </c>
      <c r="D269" s="15">
        <v>160.0</v>
      </c>
      <c r="E269" s="7">
        <v>245.0</v>
      </c>
      <c r="F269" s="46">
        <v>528.0</v>
      </c>
      <c r="G269" s="52">
        <f>IFERROR(SUMIF(Issues!B:B, A269, Issues!H:H), 0)</f>
        <v>500</v>
      </c>
      <c r="H269" s="52">
        <f>IFERROR(SUMIF(Returns!B:B, A269, Returns!H:H), 0)</f>
        <v>0</v>
      </c>
      <c r="I269" s="3">
        <v>30500.0</v>
      </c>
      <c r="J269" s="3">
        <v>28.0</v>
      </c>
      <c r="K269" s="3">
        <v>72.0</v>
      </c>
      <c r="L269" s="53">
        <f t="shared" si="5"/>
        <v>249.4547437</v>
      </c>
      <c r="M269" s="52">
        <f t="shared" si="2"/>
        <v>500</v>
      </c>
      <c r="N269" s="54">
        <f t="shared" si="3"/>
        <v>250.5452563</v>
      </c>
      <c r="O269" s="54">
        <f t="shared" si="4"/>
        <v>40.087241</v>
      </c>
    </row>
    <row r="270" ht="22.5" customHeight="1">
      <c r="A270" s="46" t="s">
        <v>410</v>
      </c>
      <c r="B270" s="14" t="s">
        <v>9</v>
      </c>
      <c r="C270" s="14">
        <v>80.0</v>
      </c>
      <c r="D270" s="15">
        <v>170.0</v>
      </c>
      <c r="E270" s="7">
        <v>8237.0</v>
      </c>
      <c r="F270" s="46">
        <v>8830.0</v>
      </c>
      <c r="G270" s="52">
        <f>IFERROR(SUMIF(Issues!B:B, A270, Issues!H:H), 0)</f>
        <v>10000</v>
      </c>
      <c r="H270" s="52">
        <f>IFERROR(SUMIF(Returns!B:B, A270, Returns!H:H), 0)</f>
        <v>1150</v>
      </c>
      <c r="I270" s="3">
        <v>111150.0</v>
      </c>
      <c r="J270" s="3">
        <v>4.0</v>
      </c>
      <c r="K270" s="3">
        <v>94.0</v>
      </c>
      <c r="L270" s="53">
        <f t="shared" si="5"/>
        <v>8307.967557</v>
      </c>
      <c r="M270" s="52">
        <f t="shared" si="2"/>
        <v>8850</v>
      </c>
      <c r="N270" s="54">
        <f t="shared" si="3"/>
        <v>542.0324427</v>
      </c>
      <c r="O270" s="54">
        <f t="shared" si="4"/>
        <v>92.14551527</v>
      </c>
    </row>
    <row r="271" ht="22.5" customHeight="1">
      <c r="A271" s="46" t="s">
        <v>412</v>
      </c>
      <c r="B271" s="14" t="s">
        <v>9</v>
      </c>
      <c r="C271" s="14">
        <v>80.0</v>
      </c>
      <c r="D271" s="15">
        <v>140.0</v>
      </c>
      <c r="E271" s="7">
        <v>859.0</v>
      </c>
      <c r="F271" s="46">
        <v>1189.0</v>
      </c>
      <c r="G271" s="52">
        <f>IFERROR(SUMIF(Issues!B:B, A271, Issues!H:H), 0)</f>
        <v>2990</v>
      </c>
      <c r="H271" s="52">
        <f>IFERROR(SUMIF(Returns!B:B, A271, Returns!H:H), 0)</f>
        <v>1750</v>
      </c>
      <c r="I271" s="3">
        <v>11140.0</v>
      </c>
      <c r="J271" s="3">
        <v>4.0</v>
      </c>
      <c r="K271" s="3">
        <v>108.0</v>
      </c>
      <c r="L271" s="53">
        <f t="shared" si="5"/>
        <v>956.6793893</v>
      </c>
      <c r="M271" s="52">
        <f t="shared" si="2"/>
        <v>1240</v>
      </c>
      <c r="N271" s="54">
        <f t="shared" si="3"/>
        <v>283.3206107</v>
      </c>
      <c r="O271" s="54">
        <f t="shared" si="4"/>
        <v>39.6648855</v>
      </c>
    </row>
    <row r="272" ht="22.5" customHeight="1">
      <c r="A272" s="46" t="s">
        <v>414</v>
      </c>
      <c r="B272" s="14" t="s">
        <v>9</v>
      </c>
      <c r="C272" s="14">
        <v>80.0</v>
      </c>
      <c r="D272" s="15">
        <v>140.0</v>
      </c>
      <c r="E272" s="7">
        <v>859.0</v>
      </c>
      <c r="F272" s="46">
        <v>1300.0</v>
      </c>
      <c r="G272" s="52">
        <f>IFERROR(SUMIF(Issues!B:B, A272, Issues!H:H), 0)</f>
        <v>1300</v>
      </c>
      <c r="H272" s="52">
        <f>IFERROR(SUMIF(Returns!B:B, A272, Returns!H:H), 0)</f>
        <v>0</v>
      </c>
      <c r="I272" s="3">
        <v>10500.0</v>
      </c>
      <c r="J272" s="3">
        <v>4.0</v>
      </c>
      <c r="K272" s="3">
        <v>108.0</v>
      </c>
      <c r="L272" s="53">
        <f t="shared" si="5"/>
        <v>901.7175573</v>
      </c>
      <c r="M272" s="52">
        <f t="shared" si="2"/>
        <v>1300</v>
      </c>
      <c r="N272" s="54">
        <f t="shared" si="3"/>
        <v>398.2824427</v>
      </c>
      <c r="O272" s="54">
        <f t="shared" si="4"/>
        <v>55.75954198</v>
      </c>
    </row>
    <row r="273" ht="22.5" customHeight="1">
      <c r="A273" s="46" t="s">
        <v>416</v>
      </c>
      <c r="B273" s="14" t="s">
        <v>9</v>
      </c>
      <c r="C273" s="14">
        <v>80.0</v>
      </c>
      <c r="D273" s="15">
        <v>140.0</v>
      </c>
      <c r="E273" s="7">
        <v>859.0</v>
      </c>
      <c r="F273" s="46">
        <v>1153.0</v>
      </c>
      <c r="G273" s="52">
        <f>IFERROR(SUMIF(Issues!B:B, A273, Issues!H:H), 0)</f>
        <v>3400</v>
      </c>
      <c r="H273" s="52">
        <f>IFERROR(SUMIF(Returns!B:B, A273, Returns!H:H), 0)</f>
        <v>2000</v>
      </c>
      <c r="I273" s="3">
        <v>10540.0</v>
      </c>
      <c r="J273" s="3">
        <v>4.0</v>
      </c>
      <c r="K273" s="3">
        <v>108.0</v>
      </c>
      <c r="L273" s="53">
        <f t="shared" si="5"/>
        <v>905.1526718</v>
      </c>
      <c r="M273" s="52">
        <f t="shared" si="2"/>
        <v>1400</v>
      </c>
      <c r="N273" s="54">
        <f t="shared" si="3"/>
        <v>494.8473282</v>
      </c>
      <c r="O273" s="54">
        <f t="shared" si="4"/>
        <v>69.27862595</v>
      </c>
    </row>
    <row r="274" ht="22.5" customHeight="1">
      <c r="A274" s="46" t="s">
        <v>417</v>
      </c>
      <c r="B274" s="14" t="s">
        <v>9</v>
      </c>
      <c r="C274" s="14">
        <v>80.0</v>
      </c>
      <c r="D274" s="15">
        <v>170.0</v>
      </c>
      <c r="E274" s="7">
        <v>149.0</v>
      </c>
      <c r="F274" s="46">
        <v>282.0</v>
      </c>
      <c r="G274" s="52">
        <f>IFERROR(SUMIF(Issues!B:B, A274, Issues!H:H), 0)</f>
        <v>1150</v>
      </c>
      <c r="H274" s="52">
        <f>IFERROR(SUMIF(Returns!B:B, A274, Returns!H:H), 0)</f>
        <v>820</v>
      </c>
      <c r="I274" s="3">
        <v>3600.0</v>
      </c>
      <c r="J274" s="3">
        <v>6.0</v>
      </c>
      <c r="K274" s="3">
        <v>94.0</v>
      </c>
      <c r="L274" s="53">
        <f t="shared" si="5"/>
        <v>179.389313</v>
      </c>
      <c r="M274" s="52">
        <f t="shared" si="2"/>
        <v>330</v>
      </c>
      <c r="N274" s="54">
        <f t="shared" si="3"/>
        <v>150.610687</v>
      </c>
      <c r="O274" s="54">
        <f t="shared" si="4"/>
        <v>25.60381679</v>
      </c>
    </row>
    <row r="275" ht="22.5" customHeight="1">
      <c r="A275" s="46" t="s">
        <v>418</v>
      </c>
      <c r="B275" s="14" t="s">
        <v>9</v>
      </c>
      <c r="C275" s="14">
        <v>80.0</v>
      </c>
      <c r="D275" s="15">
        <v>180.0</v>
      </c>
      <c r="E275" s="7">
        <v>1679.0</v>
      </c>
      <c r="F275" s="46">
        <v>2066.0</v>
      </c>
      <c r="G275" s="52">
        <f>IFERROR(SUMIF(Issues!B:B, A275, Issues!H:H), 0)</f>
        <v>3200</v>
      </c>
      <c r="H275" s="52">
        <f>IFERROR(SUMIF(Returns!B:B, A275, Returns!H:H), 0)</f>
        <v>0</v>
      </c>
      <c r="I275" s="3">
        <v>8780.0</v>
      </c>
      <c r="J275" s="3">
        <v>2.0</v>
      </c>
      <c r="K275" s="3">
        <v>132.0</v>
      </c>
      <c r="L275" s="53">
        <f t="shared" si="5"/>
        <v>1843.129771</v>
      </c>
      <c r="M275" s="52">
        <f t="shared" si="2"/>
        <v>3200</v>
      </c>
      <c r="N275" s="54">
        <f t="shared" si="3"/>
        <v>1356.870229</v>
      </c>
      <c r="O275" s="54">
        <f t="shared" si="4"/>
        <v>244.2366412</v>
      </c>
    </row>
    <row r="276" ht="22.5" customHeight="1">
      <c r="A276" s="46" t="s">
        <v>419</v>
      </c>
      <c r="B276" s="14" t="s">
        <v>9</v>
      </c>
      <c r="C276" s="14">
        <v>80.0</v>
      </c>
      <c r="D276" s="15">
        <v>330.0</v>
      </c>
      <c r="E276" s="46">
        <v>2545.0</v>
      </c>
      <c r="F276" s="46">
        <v>2920.0</v>
      </c>
      <c r="G276" s="52">
        <f>IFERROR(SUMIF(Issues!B:B, A276, Issues!H:H), 0)</f>
        <v>8000</v>
      </c>
      <c r="H276" s="52">
        <f>IFERROR(SUMIF(Returns!B:B, A276, Returns!H:H), 0)</f>
        <v>2100</v>
      </c>
      <c r="I276" s="3">
        <v>31580.0</v>
      </c>
      <c r="J276" s="3">
        <v>3.0</v>
      </c>
      <c r="K276" s="3">
        <v>75.0</v>
      </c>
      <c r="L276" s="53">
        <f t="shared" si="5"/>
        <v>2511.132316</v>
      </c>
      <c r="M276" s="52">
        <f t="shared" si="2"/>
        <v>5900</v>
      </c>
      <c r="N276" s="54">
        <f t="shared" si="3"/>
        <v>3388.867684</v>
      </c>
      <c r="O276" s="54">
        <f t="shared" si="4"/>
        <v>1118.326336</v>
      </c>
    </row>
    <row r="277" ht="22.5" customHeight="1">
      <c r="A277" s="46" t="s">
        <v>420</v>
      </c>
      <c r="B277" s="14" t="s">
        <v>9</v>
      </c>
      <c r="C277" s="14">
        <v>80.0</v>
      </c>
      <c r="D277" s="15">
        <v>140.0</v>
      </c>
      <c r="E277" s="7">
        <v>859.0</v>
      </c>
      <c r="F277" s="46">
        <v>1200.0</v>
      </c>
      <c r="G277" s="52">
        <f>IFERROR(SUMIF(Issues!B:B, A277, Issues!H:H), 0)</f>
        <v>1200</v>
      </c>
      <c r="H277" s="52">
        <f>IFERROR(SUMIF(Returns!B:B, A277, Returns!H:H), 0)</f>
        <v>0</v>
      </c>
      <c r="I277" s="3">
        <v>15780.0</v>
      </c>
      <c r="J277" s="3">
        <v>4.0</v>
      </c>
      <c r="K277" s="3">
        <v>108.0</v>
      </c>
      <c r="L277" s="53">
        <f t="shared" si="5"/>
        <v>1355.152672</v>
      </c>
      <c r="M277" s="52">
        <f t="shared" si="2"/>
        <v>1200</v>
      </c>
      <c r="N277" s="54">
        <f t="shared" si="3"/>
        <v>0</v>
      </c>
      <c r="O277" s="54">
        <f t="shared" si="4"/>
        <v>0</v>
      </c>
    </row>
    <row r="278" ht="22.5" customHeight="1">
      <c r="A278" s="46" t="s">
        <v>421</v>
      </c>
      <c r="B278" s="14" t="s">
        <v>52</v>
      </c>
      <c r="C278" s="14">
        <v>50.0</v>
      </c>
      <c r="D278" s="7">
        <v>148.0</v>
      </c>
      <c r="E278" s="7">
        <v>938.0</v>
      </c>
      <c r="F278" s="46">
        <v>1267.0</v>
      </c>
      <c r="G278" s="52">
        <f>IFERROR(SUMIF(Issues!B:B, A278, Issues!H:H), 0)</f>
        <v>1500</v>
      </c>
      <c r="H278" s="52">
        <f>IFERROR(SUMIF(Returns!B:B, A278, Returns!H:H), 0)</f>
        <v>200</v>
      </c>
      <c r="I278" s="3">
        <v>10140.0</v>
      </c>
      <c r="J278" s="3">
        <v>4.0</v>
      </c>
      <c r="K278" s="3">
        <v>118.0</v>
      </c>
      <c r="L278" s="53">
        <f t="shared" si="5"/>
        <v>951.4312977</v>
      </c>
      <c r="M278" s="52">
        <f t="shared" si="2"/>
        <v>1300</v>
      </c>
      <c r="N278" s="54">
        <f t="shared" si="3"/>
        <v>348.5687023</v>
      </c>
      <c r="O278" s="54">
        <f t="shared" si="4"/>
        <v>51.58816794</v>
      </c>
    </row>
    <row r="279" ht="22.5" customHeight="1">
      <c r="A279" s="46" t="s">
        <v>422</v>
      </c>
      <c r="B279" s="14" t="s">
        <v>9</v>
      </c>
      <c r="C279" s="14">
        <v>80.0</v>
      </c>
      <c r="D279" s="15">
        <v>290.0</v>
      </c>
      <c r="E279" s="7">
        <v>747.0</v>
      </c>
      <c r="F279" s="46">
        <v>1020.0</v>
      </c>
      <c r="G279" s="52">
        <f>IFERROR(SUMIF(Issues!B:B, A279, Issues!H:H), 0)</f>
        <v>2800</v>
      </c>
      <c r="H279" s="52">
        <f>IFERROR(SUMIF(Returns!B:B, A279, Returns!H:H), 0)</f>
        <v>1780</v>
      </c>
      <c r="I279" s="3">
        <v>6200.0</v>
      </c>
      <c r="J279" s="3">
        <v>2.0</v>
      </c>
      <c r="K279" s="3">
        <v>94.0</v>
      </c>
      <c r="L279" s="53">
        <f t="shared" si="5"/>
        <v>926.8447837</v>
      </c>
      <c r="M279" s="52">
        <f t="shared" si="2"/>
        <v>1020</v>
      </c>
      <c r="N279" s="54">
        <f t="shared" si="3"/>
        <v>93.15521628</v>
      </c>
      <c r="O279" s="54">
        <f t="shared" si="4"/>
        <v>27.01501272</v>
      </c>
    </row>
    <row r="280" ht="22.5" customHeight="1">
      <c r="A280" s="46" t="s">
        <v>423</v>
      </c>
      <c r="B280" s="14" t="s">
        <v>9</v>
      </c>
      <c r="C280" s="14">
        <v>80.0</v>
      </c>
      <c r="D280" s="15">
        <v>180.0</v>
      </c>
      <c r="E280" s="7">
        <v>2204.0</v>
      </c>
      <c r="F280" s="46">
        <v>2518.0</v>
      </c>
      <c r="G280" s="52">
        <f>IFERROR(SUMIF(Issues!B:B, A280, Issues!H:H), 0)</f>
        <v>3200</v>
      </c>
      <c r="H280" s="52">
        <f>IFERROR(SUMIF(Returns!B:B, A280, Returns!H:H), 0)</f>
        <v>680</v>
      </c>
      <c r="I280" s="3">
        <v>43380.0</v>
      </c>
      <c r="J280" s="3">
        <v>6.0</v>
      </c>
      <c r="K280" s="3">
        <v>99.0</v>
      </c>
      <c r="L280" s="53">
        <f t="shared" si="5"/>
        <v>2276.622137</v>
      </c>
      <c r="M280" s="52">
        <f t="shared" si="2"/>
        <v>2520</v>
      </c>
      <c r="N280" s="54">
        <f t="shared" si="3"/>
        <v>243.3778626</v>
      </c>
      <c r="O280" s="54">
        <f t="shared" si="4"/>
        <v>43.80801527</v>
      </c>
    </row>
    <row r="281" ht="22.5" customHeight="1">
      <c r="A281" s="46" t="s">
        <v>424</v>
      </c>
      <c r="B281" s="14" t="s">
        <v>36</v>
      </c>
      <c r="C281" s="14">
        <v>70.0</v>
      </c>
      <c r="D281" s="15">
        <v>190.0</v>
      </c>
      <c r="E281" s="7">
        <v>2704.0</v>
      </c>
      <c r="F281" s="46">
        <v>3538.0</v>
      </c>
      <c r="G281" s="52">
        <f>IFERROR(SUMIF(Issues!B:B, A281, Issues!H:H), 0)</f>
        <v>3600</v>
      </c>
      <c r="H281" s="52">
        <f>IFERROR(SUMIF(Returns!B:B, A281, Returns!H:H), 0)</f>
        <v>0</v>
      </c>
      <c r="I281" s="3">
        <v>12350.0</v>
      </c>
      <c r="J281" s="3">
        <v>2.0</v>
      </c>
      <c r="K281" s="3">
        <v>85.0</v>
      </c>
      <c r="L281" s="53">
        <f t="shared" si="5"/>
        <v>1669.449746</v>
      </c>
      <c r="M281" s="52">
        <f t="shared" si="2"/>
        <v>3600</v>
      </c>
      <c r="N281" s="54">
        <f t="shared" si="3"/>
        <v>1930.550254</v>
      </c>
      <c r="O281" s="54">
        <f t="shared" si="4"/>
        <v>366.8045483</v>
      </c>
    </row>
    <row r="282" ht="22.5" customHeight="1">
      <c r="A282" s="46" t="s">
        <v>425</v>
      </c>
      <c r="B282" s="14" t="s">
        <v>36</v>
      </c>
      <c r="C282" s="14">
        <v>70.0</v>
      </c>
      <c r="D282" s="15">
        <v>255.0</v>
      </c>
      <c r="E282" s="7">
        <v>1352.0</v>
      </c>
      <c r="F282" s="46">
        <v>1795.0</v>
      </c>
      <c r="G282" s="52">
        <f>IFERROR(SUMIF(Issues!B:B, A282, Issues!H:H), 0)</f>
        <v>2400</v>
      </c>
      <c r="H282" s="52">
        <f>IFERROR(SUMIF(Returns!B:B, #REF!, Returns!H:H), 0)</f>
        <v>0</v>
      </c>
      <c r="I282" s="3">
        <v>14850.0</v>
      </c>
      <c r="J282" s="3">
        <v>2.0</v>
      </c>
      <c r="K282" s="3">
        <v>85.0</v>
      </c>
      <c r="L282" s="53">
        <f t="shared" si="5"/>
        <v>2007.395038</v>
      </c>
      <c r="M282" s="52">
        <f t="shared" si="2"/>
        <v>2400</v>
      </c>
      <c r="N282" s="54">
        <f t="shared" si="3"/>
        <v>392.6049618</v>
      </c>
      <c r="O282" s="54">
        <f t="shared" si="4"/>
        <v>100.1142653</v>
      </c>
    </row>
    <row r="283" ht="22.5" customHeight="1">
      <c r="A283" s="46" t="s">
        <v>426</v>
      </c>
      <c r="B283" s="73" t="s">
        <v>9</v>
      </c>
      <c r="C283" s="73">
        <v>80.0</v>
      </c>
      <c r="D283" s="15">
        <v>140.0</v>
      </c>
      <c r="E283" s="7">
        <v>374.0</v>
      </c>
      <c r="F283" s="46">
        <v>520.0</v>
      </c>
      <c r="G283" s="52">
        <f>IFERROR(SUMIF(Issues!B:B, A283, Issues!H:H), 0)</f>
        <v>800</v>
      </c>
      <c r="H283" s="52">
        <f>IFERROR(SUMIF(Returns!B:B, A282, Returns!H:H), 0)</f>
        <v>0</v>
      </c>
      <c r="I283" s="3">
        <v>5450.0</v>
      </c>
      <c r="J283" s="3">
        <v>4.0</v>
      </c>
      <c r="K283" s="3">
        <v>92.0</v>
      </c>
      <c r="L283" s="53">
        <f t="shared" si="5"/>
        <v>398.6959288</v>
      </c>
      <c r="M283" s="52">
        <f>G282 - H283</f>
        <v>2400</v>
      </c>
      <c r="N283" s="54">
        <f>MAX(0, G282-H283-L283)</f>
        <v>2001.304071</v>
      </c>
      <c r="O283" s="54">
        <f>(D282*N283)/1000</f>
        <v>510.3325382</v>
      </c>
    </row>
    <row r="284" ht="22.5" customHeight="1">
      <c r="A284" s="46" t="s">
        <v>427</v>
      </c>
      <c r="B284" s="14" t="s">
        <v>9</v>
      </c>
      <c r="C284" s="14">
        <v>80.0</v>
      </c>
      <c r="D284" s="15">
        <v>140.0</v>
      </c>
      <c r="E284" s="7">
        <v>732.0</v>
      </c>
      <c r="F284" s="46">
        <v>886.0</v>
      </c>
      <c r="G284" s="52">
        <f>IFERROR(SUMIF(Issues!B:B, A284, Issues!H:H), 0)</f>
        <v>1700</v>
      </c>
      <c r="H284" s="52">
        <f>IFERROR(SUMIF(Returns!B:B, A284, Returns!H:H), 0)</f>
        <v>800</v>
      </c>
      <c r="I284" s="3">
        <v>9900.0</v>
      </c>
      <c r="J284" s="3">
        <v>4.0</v>
      </c>
      <c r="K284" s="3">
        <v>92.0</v>
      </c>
      <c r="L284" s="53">
        <f t="shared" si="5"/>
        <v>724.2366412</v>
      </c>
      <c r="M284" s="52">
        <f t="shared" ref="M284:M977" si="6">G284 - H284</f>
        <v>900</v>
      </c>
      <c r="N284" s="54">
        <f t="shared" ref="N284:N977" si="7">MAX(0, G284-H284-L284)</f>
        <v>175.7633588</v>
      </c>
      <c r="O284" s="54">
        <f t="shared" ref="O284:O977" si="8">(D284*N284)/1000</f>
        <v>24.60687023</v>
      </c>
    </row>
    <row r="285" ht="22.5" customHeight="1">
      <c r="A285" s="46" t="s">
        <v>429</v>
      </c>
      <c r="B285" s="14" t="s">
        <v>9</v>
      </c>
      <c r="C285" s="14">
        <v>80.0</v>
      </c>
      <c r="D285" s="15">
        <v>395.0</v>
      </c>
      <c r="E285" s="7">
        <v>2990.0</v>
      </c>
      <c r="F285" s="46">
        <v>3244.0</v>
      </c>
      <c r="G285" s="52">
        <f>IFERROR(SUMIF(Issues!B:B, A285, Issues!H:H), 0)</f>
        <v>4300</v>
      </c>
      <c r="H285" s="52">
        <f>IFERROR(SUMIF(Returns!B:B, A285, Returns!H:H), 0)</f>
        <v>1000</v>
      </c>
      <c r="I285" s="3">
        <v>103270.0</v>
      </c>
      <c r="J285" s="3">
        <v>10.0</v>
      </c>
      <c r="K285" s="3">
        <v>94.0</v>
      </c>
      <c r="L285" s="53">
        <f t="shared" si="5"/>
        <v>3087.589059</v>
      </c>
      <c r="M285" s="52">
        <f t="shared" si="6"/>
        <v>3300</v>
      </c>
      <c r="N285" s="54">
        <f t="shared" si="7"/>
        <v>212.4109415</v>
      </c>
      <c r="O285" s="54">
        <f t="shared" si="8"/>
        <v>83.90232188</v>
      </c>
    </row>
    <row r="286" ht="22.5" customHeight="1">
      <c r="A286" s="46" t="s">
        <v>430</v>
      </c>
      <c r="B286" s="14" t="s">
        <v>9</v>
      </c>
      <c r="C286" s="14">
        <v>80.0</v>
      </c>
      <c r="D286" s="15">
        <v>250.0</v>
      </c>
      <c r="E286" s="7">
        <v>1877.0</v>
      </c>
      <c r="F286" s="46">
        <v>2220.0</v>
      </c>
      <c r="G286" s="52">
        <f>IFERROR(SUMIF(Issues!B:B, A286, Issues!H:H), 0)</f>
        <v>2550</v>
      </c>
      <c r="H286" s="52">
        <f>IFERROR(SUMIF(Returns!B:B, A286, Returns!H:H), 0)</f>
        <v>300</v>
      </c>
      <c r="I286" s="3">
        <v>22840.0</v>
      </c>
      <c r="J286" s="3">
        <v>4.0</v>
      </c>
      <c r="K286" s="3">
        <v>118.0</v>
      </c>
      <c r="L286" s="53">
        <f t="shared" si="5"/>
        <v>2143.066158</v>
      </c>
      <c r="M286" s="52">
        <f t="shared" si="6"/>
        <v>2250</v>
      </c>
      <c r="N286" s="54">
        <f t="shared" si="7"/>
        <v>106.9338422</v>
      </c>
      <c r="O286" s="54">
        <f t="shared" si="8"/>
        <v>26.73346056</v>
      </c>
    </row>
    <row r="287" ht="22.5" customHeight="1">
      <c r="A287" s="46" t="s">
        <v>431</v>
      </c>
      <c r="B287" s="14" t="s">
        <v>9</v>
      </c>
      <c r="C287" s="14">
        <v>80.0</v>
      </c>
      <c r="D287" s="15">
        <v>160.0</v>
      </c>
      <c r="E287" s="7">
        <v>354.0</v>
      </c>
      <c r="F287" s="46">
        <v>540.0</v>
      </c>
      <c r="G287" s="52">
        <f>IFERROR(SUMIF(Issues!B:B, A287, Issues!H:H), 0)</f>
        <v>1530</v>
      </c>
      <c r="H287" s="52">
        <f>IFERROR(SUMIF(Returns!B:B, A287, Returns!H:H), 0)</f>
        <v>990</v>
      </c>
      <c r="I287" s="3">
        <v>5000.0</v>
      </c>
      <c r="J287" s="3">
        <v>4.0</v>
      </c>
      <c r="K287" s="3">
        <v>89.0</v>
      </c>
      <c r="L287" s="53">
        <f t="shared" si="5"/>
        <v>353.8486005</v>
      </c>
      <c r="M287" s="52">
        <f t="shared" si="6"/>
        <v>540</v>
      </c>
      <c r="N287" s="54">
        <f t="shared" si="7"/>
        <v>186.1513995</v>
      </c>
      <c r="O287" s="54">
        <f t="shared" si="8"/>
        <v>29.78422392</v>
      </c>
    </row>
    <row r="288" ht="22.5" customHeight="1">
      <c r="A288" s="46" t="s">
        <v>432</v>
      </c>
      <c r="B288" s="14" t="s">
        <v>9</v>
      </c>
      <c r="C288" s="14">
        <v>80.0</v>
      </c>
      <c r="D288" s="15">
        <v>160.0</v>
      </c>
      <c r="E288" s="7">
        <v>849.0</v>
      </c>
      <c r="F288" s="46">
        <v>1336.0</v>
      </c>
      <c r="G288" s="52">
        <f>IFERROR(SUMIF(Issues!B:B, A288, Issues!H:H), 0)</f>
        <v>2500</v>
      </c>
      <c r="H288" s="52">
        <f>IFERROR(SUMIF(Returns!B:B, A288, Returns!H:H), 0)</f>
        <v>1166</v>
      </c>
      <c r="I288" s="3">
        <v>3500.0</v>
      </c>
      <c r="J288" s="3">
        <v>1.0</v>
      </c>
      <c r="K288" s="3">
        <v>89.0</v>
      </c>
      <c r="L288" s="53">
        <f t="shared" si="5"/>
        <v>990.7760814</v>
      </c>
      <c r="M288" s="52">
        <f t="shared" si="6"/>
        <v>1334</v>
      </c>
      <c r="N288" s="54">
        <f t="shared" si="7"/>
        <v>343.2239186</v>
      </c>
      <c r="O288" s="54">
        <f t="shared" si="8"/>
        <v>54.91582697</v>
      </c>
    </row>
    <row r="289" ht="22.5" customHeight="1">
      <c r="A289" s="46" t="s">
        <v>433</v>
      </c>
      <c r="B289" s="14" t="s">
        <v>9</v>
      </c>
      <c r="C289" s="14">
        <v>80.0</v>
      </c>
      <c r="D289" s="15">
        <v>330.0</v>
      </c>
      <c r="E289" s="15">
        <v>26.0</v>
      </c>
      <c r="F289" s="46">
        <v>202.0</v>
      </c>
      <c r="G289" s="52">
        <f>IFERROR(SUMIF(Issues!B:B, A289, Issues!H:H), 0)</f>
        <v>1000</v>
      </c>
      <c r="H289" s="52">
        <f>IFERROR(SUMIF(Returns!B:B, A289, Returns!H:H), 0)</f>
        <v>750</v>
      </c>
      <c r="I289" s="3">
        <v>150.0</v>
      </c>
      <c r="J289" s="3">
        <v>2.0</v>
      </c>
      <c r="K289" s="3">
        <v>108.0</v>
      </c>
      <c r="L289" s="53">
        <f t="shared" si="5"/>
        <v>25.76335878</v>
      </c>
      <c r="M289" s="52">
        <f t="shared" si="6"/>
        <v>250</v>
      </c>
      <c r="N289" s="54">
        <f t="shared" si="7"/>
        <v>224.2366412</v>
      </c>
      <c r="O289" s="54">
        <f t="shared" si="8"/>
        <v>73.9980916</v>
      </c>
    </row>
    <row r="290" ht="22.5" customHeight="1">
      <c r="A290" s="46" t="s">
        <v>434</v>
      </c>
      <c r="B290" s="14" t="s">
        <v>9</v>
      </c>
      <c r="C290" s="14">
        <v>80.0</v>
      </c>
      <c r="D290" s="15">
        <v>330.0</v>
      </c>
      <c r="E290" s="15">
        <v>351.0</v>
      </c>
      <c r="F290" s="46">
        <v>537.0</v>
      </c>
      <c r="G290" s="52">
        <f>IFERROR(SUMIF(Issues!B:B, A290, Issues!H:H), 0)</f>
        <v>750</v>
      </c>
      <c r="H290" s="52">
        <f>IFERROR(SUMIF(Returns!B:B, A290, Returns!H:H), 0)</f>
        <v>150</v>
      </c>
      <c r="I290" s="3">
        <v>1200.0</v>
      </c>
      <c r="J290" s="3">
        <v>1.0</v>
      </c>
      <c r="K290" s="3">
        <v>92.0</v>
      </c>
      <c r="L290" s="53">
        <f t="shared" si="5"/>
        <v>351.1450382</v>
      </c>
      <c r="M290" s="52">
        <f t="shared" si="6"/>
        <v>600</v>
      </c>
      <c r="N290" s="54">
        <f t="shared" si="7"/>
        <v>248.8549618</v>
      </c>
      <c r="O290" s="54">
        <f t="shared" si="8"/>
        <v>82.1221374</v>
      </c>
    </row>
    <row r="291" ht="22.5" customHeight="1">
      <c r="A291" s="46" t="s">
        <v>436</v>
      </c>
      <c r="B291" s="14" t="s">
        <v>9</v>
      </c>
      <c r="C291" s="14">
        <v>80.0</v>
      </c>
      <c r="D291" s="15">
        <v>280.0</v>
      </c>
      <c r="E291" s="7">
        <v>412.0</v>
      </c>
      <c r="F291" s="46">
        <v>640.0</v>
      </c>
      <c r="G291" s="52">
        <f>IFERROR(SUMIF(Issues!B:B, A291, Issues!H:H), 0)</f>
        <v>1300</v>
      </c>
      <c r="H291" s="52">
        <f>IFERROR(SUMIF(Returns!B:B, A291, Returns!H:H), 0)</f>
        <v>660</v>
      </c>
      <c r="I291" s="3">
        <v>2080.0</v>
      </c>
      <c r="J291" s="3">
        <v>1.0</v>
      </c>
      <c r="K291" s="3">
        <v>81.0</v>
      </c>
      <c r="L291" s="53">
        <f t="shared" si="5"/>
        <v>535.8778626</v>
      </c>
      <c r="M291" s="52">
        <f t="shared" si="6"/>
        <v>640</v>
      </c>
      <c r="N291" s="54">
        <f t="shared" si="7"/>
        <v>104.1221374</v>
      </c>
      <c r="O291" s="54">
        <f t="shared" si="8"/>
        <v>29.15419847</v>
      </c>
    </row>
    <row r="292" ht="22.5" customHeight="1">
      <c r="A292" s="46" t="s">
        <v>437</v>
      </c>
      <c r="B292" s="14" t="s">
        <v>9</v>
      </c>
      <c r="C292" s="14">
        <v>80.0</v>
      </c>
      <c r="D292" s="15">
        <v>180.0</v>
      </c>
      <c r="E292" s="7">
        <v>249.0</v>
      </c>
      <c r="F292" s="46">
        <v>400.0</v>
      </c>
      <c r="G292" s="52">
        <f>IFERROR(SUMIF(Issues!B:B, A292, Issues!H:H), 0)</f>
        <v>500</v>
      </c>
      <c r="H292" s="52">
        <f>IFERROR(SUMIF(Returns!B:B, A292, Returns!H:H), 0)</f>
        <v>100</v>
      </c>
      <c r="I292" s="3">
        <v>5550.0</v>
      </c>
      <c r="J292" s="3">
        <v>6.0</v>
      </c>
      <c r="K292" s="3">
        <v>94.0</v>
      </c>
      <c r="L292" s="53">
        <f t="shared" si="5"/>
        <v>276.5585242</v>
      </c>
      <c r="M292" s="52">
        <f t="shared" si="6"/>
        <v>400</v>
      </c>
      <c r="N292" s="54">
        <f t="shared" si="7"/>
        <v>123.4414758</v>
      </c>
      <c r="O292" s="54">
        <f t="shared" si="8"/>
        <v>22.21946565</v>
      </c>
    </row>
    <row r="293" ht="22.5" customHeight="1">
      <c r="A293" s="46" t="s">
        <v>438</v>
      </c>
      <c r="B293" s="14" t="s">
        <v>9</v>
      </c>
      <c r="C293" s="14">
        <v>80.0</v>
      </c>
      <c r="D293" s="15">
        <v>210.0</v>
      </c>
      <c r="E293" s="7">
        <v>374.0</v>
      </c>
      <c r="F293" s="46">
        <v>540.0</v>
      </c>
      <c r="G293" s="52">
        <f>IFERROR(SUMIF(Issues!B:B, A293, Issues!H:H), 0)</f>
        <v>650</v>
      </c>
      <c r="H293" s="52">
        <f>IFERROR(SUMIF(Returns!B:B, A293, Returns!H:H), 0)</f>
        <v>100</v>
      </c>
      <c r="I293" s="3">
        <v>10600.0</v>
      </c>
      <c r="J293" s="3">
        <v>8.0</v>
      </c>
      <c r="K293" s="3">
        <v>94.0</v>
      </c>
      <c r="L293" s="53">
        <f t="shared" si="5"/>
        <v>396.1513995</v>
      </c>
      <c r="M293" s="52">
        <f t="shared" si="6"/>
        <v>550</v>
      </c>
      <c r="N293" s="54">
        <f t="shared" si="7"/>
        <v>153.8486005</v>
      </c>
      <c r="O293" s="54">
        <f t="shared" si="8"/>
        <v>32.30820611</v>
      </c>
    </row>
    <row r="294" ht="22.5" customHeight="1">
      <c r="A294" s="46" t="s">
        <v>440</v>
      </c>
      <c r="B294" s="14" t="s">
        <v>9</v>
      </c>
      <c r="C294" s="14">
        <v>80.0</v>
      </c>
      <c r="D294" s="15">
        <v>290.0</v>
      </c>
      <c r="E294" s="7">
        <v>747.0</v>
      </c>
      <c r="F294" s="46">
        <v>932.0</v>
      </c>
      <c r="G294" s="52">
        <f>IFERROR(SUMIF(Issues!B:B, A294, Issues!H:H), 0)</f>
        <v>1700</v>
      </c>
      <c r="H294" s="52">
        <f>IFERROR(SUMIF(Returns!B:B, A294, Returns!H:H), 0)</f>
        <v>760</v>
      </c>
      <c r="I294" s="3">
        <v>5400.0</v>
      </c>
      <c r="J294" s="3">
        <v>2.0</v>
      </c>
      <c r="K294" s="3">
        <v>94.0</v>
      </c>
      <c r="L294" s="53">
        <f t="shared" si="5"/>
        <v>807.2519084</v>
      </c>
      <c r="M294" s="52">
        <f t="shared" si="6"/>
        <v>940</v>
      </c>
      <c r="N294" s="54">
        <f t="shared" si="7"/>
        <v>132.7480916</v>
      </c>
      <c r="O294" s="54">
        <f t="shared" si="8"/>
        <v>38.49694656</v>
      </c>
    </row>
    <row r="295" ht="22.5" customHeight="1">
      <c r="A295" s="46" t="s">
        <v>441</v>
      </c>
      <c r="B295" s="14" t="s">
        <v>9</v>
      </c>
      <c r="C295" s="14">
        <v>80.0</v>
      </c>
      <c r="D295" s="15">
        <v>280.0</v>
      </c>
      <c r="E295" s="7">
        <v>293.0</v>
      </c>
      <c r="F295" s="46">
        <v>438.0</v>
      </c>
      <c r="G295" s="52">
        <f>IFERROR(SUMIF(Issues!B:B, A295, Issues!H:H), 0)</f>
        <v>600</v>
      </c>
      <c r="H295" s="52">
        <f>IFERROR(SUMIF(Returns!B:B, A295, Returns!H:H), 0)</f>
        <v>160</v>
      </c>
      <c r="I295" s="3">
        <v>2200.0</v>
      </c>
      <c r="J295" s="3">
        <v>2.0</v>
      </c>
      <c r="K295" s="3">
        <v>92.0</v>
      </c>
      <c r="L295" s="53">
        <f t="shared" si="5"/>
        <v>321.8829517</v>
      </c>
      <c r="M295" s="52">
        <f t="shared" si="6"/>
        <v>440</v>
      </c>
      <c r="N295" s="54">
        <f t="shared" si="7"/>
        <v>118.1170483</v>
      </c>
      <c r="O295" s="54">
        <f t="shared" si="8"/>
        <v>33.07277354</v>
      </c>
    </row>
    <row r="296" ht="22.5" customHeight="1">
      <c r="A296" s="46" t="s">
        <v>443</v>
      </c>
      <c r="B296" s="14" t="s">
        <v>9</v>
      </c>
      <c r="C296" s="14">
        <v>80.0</v>
      </c>
      <c r="D296" s="15">
        <v>165.0</v>
      </c>
      <c r="E296" s="7">
        <v>25.0</v>
      </c>
      <c r="F296" s="46">
        <v>222.0</v>
      </c>
      <c r="G296" s="52">
        <f>IFERROR(SUMIF(Issues!B:B, A296, Issues!H:H), 0)</f>
        <v>900</v>
      </c>
      <c r="H296" s="52">
        <f>IFERROR(SUMIF(Returns!B:B, A296, Returns!H:H), 0)</f>
        <v>670</v>
      </c>
      <c r="I296" s="3">
        <v>2700.0</v>
      </c>
      <c r="J296" s="3">
        <v>28.0</v>
      </c>
      <c r="K296" s="3">
        <v>72.0</v>
      </c>
      <c r="L296" s="53">
        <f t="shared" si="5"/>
        <v>22.08287895</v>
      </c>
      <c r="M296" s="52">
        <f t="shared" si="6"/>
        <v>230</v>
      </c>
      <c r="N296" s="54">
        <f t="shared" si="7"/>
        <v>207.917121</v>
      </c>
      <c r="O296" s="54">
        <f t="shared" si="8"/>
        <v>34.30632497</v>
      </c>
    </row>
    <row r="297" ht="22.5" customHeight="1">
      <c r="A297" s="46" t="s">
        <v>444</v>
      </c>
      <c r="B297" s="14" t="s">
        <v>9</v>
      </c>
      <c r="C297" s="14">
        <v>80.0</v>
      </c>
      <c r="D297" s="15">
        <v>165.0</v>
      </c>
      <c r="E297" s="7">
        <v>41.0</v>
      </c>
      <c r="F297" s="46">
        <v>164.0</v>
      </c>
      <c r="G297" s="52">
        <f>IFERROR(SUMIF(Issues!B:B, A297, Issues!H:H), 0)</f>
        <v>670</v>
      </c>
      <c r="H297" s="52">
        <f>IFERROR(SUMIF(Returns!B:B, A297, Returns!H:H), 0)</f>
        <v>500</v>
      </c>
      <c r="I297" s="3">
        <v>5050.0</v>
      </c>
      <c r="J297" s="3">
        <v>28.0</v>
      </c>
      <c r="K297" s="3">
        <v>72.0</v>
      </c>
      <c r="L297" s="53">
        <f t="shared" si="5"/>
        <v>41.30316249</v>
      </c>
      <c r="M297" s="52">
        <f t="shared" si="6"/>
        <v>170</v>
      </c>
      <c r="N297" s="54">
        <f t="shared" si="7"/>
        <v>128.6968375</v>
      </c>
      <c r="O297" s="54">
        <f t="shared" si="8"/>
        <v>21.23497819</v>
      </c>
    </row>
    <row r="298" ht="22.5" customHeight="1">
      <c r="A298" s="46" t="s">
        <v>446</v>
      </c>
      <c r="B298" s="14" t="s">
        <v>9</v>
      </c>
      <c r="C298" s="14">
        <v>80.0</v>
      </c>
      <c r="D298" s="15">
        <v>165.0</v>
      </c>
      <c r="E298" s="7">
        <v>82.0</v>
      </c>
      <c r="F298" s="46">
        <v>255.0</v>
      </c>
      <c r="G298" s="52">
        <f>IFERROR(SUMIF(Issues!B:B, A298, Issues!H:H), 0)</f>
        <v>1700</v>
      </c>
      <c r="H298" s="52">
        <f>IFERROR(SUMIF(Returns!B:B, A298, Returns!H:H), 0)</f>
        <v>1400</v>
      </c>
      <c r="I298" s="3">
        <v>10000.0</v>
      </c>
      <c r="J298" s="3">
        <v>28.0</v>
      </c>
      <c r="K298" s="3">
        <v>72.0</v>
      </c>
      <c r="L298" s="53">
        <f t="shared" si="5"/>
        <v>81.78844057</v>
      </c>
      <c r="M298" s="52">
        <f t="shared" si="6"/>
        <v>300</v>
      </c>
      <c r="N298" s="54">
        <f t="shared" si="7"/>
        <v>218.2115594</v>
      </c>
      <c r="O298" s="54">
        <f t="shared" si="8"/>
        <v>36.00490731</v>
      </c>
    </row>
    <row r="299" ht="22.5" customHeight="1">
      <c r="A299" s="46" t="s">
        <v>447</v>
      </c>
      <c r="B299" s="14" t="s">
        <v>9</v>
      </c>
      <c r="C299" s="14">
        <v>80.0</v>
      </c>
      <c r="D299" s="15">
        <v>165.0</v>
      </c>
      <c r="E299" s="7">
        <v>82.0</v>
      </c>
      <c r="F299" s="46">
        <v>262.0</v>
      </c>
      <c r="G299" s="52">
        <f>IFERROR(SUMIF(Issues!B:B, A299, Issues!H:H), 0)</f>
        <v>1400</v>
      </c>
      <c r="H299" s="52">
        <f>IFERROR(SUMIF(Returns!B:B, A299, Returns!H:H), 0)</f>
        <v>1130</v>
      </c>
      <c r="I299" s="3">
        <v>9820.0</v>
      </c>
      <c r="J299" s="3">
        <v>28.0</v>
      </c>
      <c r="K299" s="3">
        <v>72.0</v>
      </c>
      <c r="L299" s="53">
        <f t="shared" si="5"/>
        <v>80.31624864</v>
      </c>
      <c r="M299" s="52">
        <f t="shared" si="6"/>
        <v>270</v>
      </c>
      <c r="N299" s="54">
        <f t="shared" si="7"/>
        <v>189.6837514</v>
      </c>
      <c r="O299" s="54">
        <f t="shared" si="8"/>
        <v>31.29781897</v>
      </c>
    </row>
    <row r="300" ht="22.5" customHeight="1">
      <c r="A300" s="46" t="s">
        <v>448</v>
      </c>
      <c r="B300" s="14" t="s">
        <v>9</v>
      </c>
      <c r="C300" s="14">
        <v>80.0</v>
      </c>
      <c r="D300" s="15">
        <v>165.0</v>
      </c>
      <c r="E300" s="7">
        <v>25.0</v>
      </c>
      <c r="F300" s="46">
        <v>200.0</v>
      </c>
      <c r="G300" s="52">
        <f>IFERROR(SUMIF(Issues!B:B, A300, Issues!H:H), 0)</f>
        <v>1100</v>
      </c>
      <c r="H300" s="52">
        <f>IFERROR(SUMIF(Returns!B:B, A300, Returns!H:H), 0)</f>
        <v>900</v>
      </c>
      <c r="I300" s="3">
        <v>3350.0</v>
      </c>
      <c r="J300" s="3">
        <v>28.0</v>
      </c>
      <c r="K300" s="3">
        <v>72.0</v>
      </c>
      <c r="L300" s="53">
        <f t="shared" si="5"/>
        <v>27.39912759</v>
      </c>
      <c r="M300" s="52">
        <f t="shared" si="6"/>
        <v>200</v>
      </c>
      <c r="N300" s="54">
        <f t="shared" si="7"/>
        <v>172.6008724</v>
      </c>
      <c r="O300" s="54">
        <f t="shared" si="8"/>
        <v>28.47914395</v>
      </c>
    </row>
    <row r="301" ht="22.5" customHeight="1">
      <c r="A301" s="46" t="s">
        <v>449</v>
      </c>
      <c r="B301" s="14" t="s">
        <v>26</v>
      </c>
      <c r="C301" s="14">
        <v>80.0</v>
      </c>
      <c r="D301" s="7">
        <v>167.0</v>
      </c>
      <c r="E301" s="7">
        <v>1050.0</v>
      </c>
      <c r="F301" s="46">
        <v>1460.0</v>
      </c>
      <c r="G301" s="52">
        <f>IFERROR(SUMIF(Issues!B:B, A301, Issues!H:H), 0)</f>
        <v>1500</v>
      </c>
      <c r="H301" s="52">
        <f>IFERROR(SUMIF(Returns!B:B, A301, Returns!H:H), 0)</f>
        <v>0</v>
      </c>
      <c r="I301" s="3">
        <v>10400.0</v>
      </c>
      <c r="J301" s="3">
        <v>2.0</v>
      </c>
      <c r="K301" s="3">
        <v>66.0</v>
      </c>
      <c r="L301" s="53">
        <f t="shared" si="5"/>
        <v>1091.603053</v>
      </c>
      <c r="M301" s="52">
        <f t="shared" si="6"/>
        <v>1500</v>
      </c>
      <c r="N301" s="54">
        <f t="shared" si="7"/>
        <v>408.3969466</v>
      </c>
      <c r="O301" s="54">
        <f t="shared" si="8"/>
        <v>68.20229008</v>
      </c>
    </row>
    <row r="302" ht="22.5" customHeight="1">
      <c r="A302" s="46" t="s">
        <v>451</v>
      </c>
      <c r="B302" s="14" t="s">
        <v>9</v>
      </c>
      <c r="C302" s="14">
        <v>80.0</v>
      </c>
      <c r="D302" s="15">
        <v>140.0</v>
      </c>
      <c r="E302" s="7">
        <v>512.0</v>
      </c>
      <c r="F302" s="46">
        <v>800.0</v>
      </c>
      <c r="G302" s="52">
        <f>IFERROR(SUMIF(Issues!B:B, A302, Issues!H:H), 0)</f>
        <v>1920</v>
      </c>
      <c r="H302" s="52">
        <f>IFERROR(SUMIF(Returns!B:B, A302, Returns!H:H), 0)</f>
        <v>550</v>
      </c>
      <c r="I302" s="3">
        <v>6500.0</v>
      </c>
      <c r="J302" s="3">
        <v>4.0</v>
      </c>
      <c r="K302" s="3">
        <v>99.0</v>
      </c>
      <c r="L302" s="53">
        <f t="shared" si="5"/>
        <v>511.6889313</v>
      </c>
      <c r="M302" s="52">
        <f t="shared" si="6"/>
        <v>1370</v>
      </c>
      <c r="N302" s="54">
        <f t="shared" si="7"/>
        <v>858.3110687</v>
      </c>
      <c r="O302" s="54">
        <f t="shared" si="8"/>
        <v>120.1635496</v>
      </c>
    </row>
    <row r="303" ht="22.5" customHeight="1">
      <c r="A303" s="46" t="s">
        <v>452</v>
      </c>
      <c r="B303" s="14" t="s">
        <v>9</v>
      </c>
      <c r="C303" s="14">
        <v>80.0</v>
      </c>
      <c r="D303" s="15">
        <v>170.0</v>
      </c>
      <c r="E303" s="7">
        <v>249.0</v>
      </c>
      <c r="F303" s="46">
        <v>421.0</v>
      </c>
      <c r="G303" s="52">
        <f>IFERROR(SUMIF(Issues!B:B, A303, Issues!H:H), 0)</f>
        <v>400</v>
      </c>
      <c r="H303" s="52">
        <f>IFERROR(SUMIF(Returns!B:B, A303, Returns!H:H), 0)</f>
        <v>0</v>
      </c>
      <c r="I303" s="3">
        <v>5700.0</v>
      </c>
      <c r="J303" s="3">
        <v>6.0</v>
      </c>
      <c r="K303" s="3">
        <v>94.0</v>
      </c>
      <c r="L303" s="53">
        <f t="shared" si="5"/>
        <v>284.0330789</v>
      </c>
      <c r="M303" s="52">
        <f t="shared" si="6"/>
        <v>400</v>
      </c>
      <c r="N303" s="54">
        <f t="shared" si="7"/>
        <v>115.9669211</v>
      </c>
      <c r="O303" s="54">
        <f t="shared" si="8"/>
        <v>19.71437659</v>
      </c>
    </row>
    <row r="304" ht="22.5" customHeight="1">
      <c r="A304" s="46" t="s">
        <v>453</v>
      </c>
      <c r="B304" s="14" t="s">
        <v>9</v>
      </c>
      <c r="C304" s="14">
        <v>80.0</v>
      </c>
      <c r="D304" s="15">
        <v>395.0</v>
      </c>
      <c r="E304" s="7">
        <v>2242.0</v>
      </c>
      <c r="F304" s="46">
        <v>2510.0</v>
      </c>
      <c r="G304" s="52">
        <f>IFERROR(SUMIF(Issues!B:B, A304, Issues!H:H), 0)</f>
        <v>2900</v>
      </c>
      <c r="H304" s="52">
        <f>IFERROR(SUMIF(Returns!B:B, A304, Returns!H:H), 0)</f>
        <v>350</v>
      </c>
      <c r="I304" s="3">
        <v>77180.0</v>
      </c>
      <c r="J304" s="3">
        <v>10.0</v>
      </c>
      <c r="K304" s="3">
        <v>94.0</v>
      </c>
      <c r="L304" s="53">
        <f t="shared" si="5"/>
        <v>2307.544529</v>
      </c>
      <c r="M304" s="52">
        <f t="shared" si="6"/>
        <v>2550</v>
      </c>
      <c r="N304" s="54">
        <f t="shared" si="7"/>
        <v>242.4554707</v>
      </c>
      <c r="O304" s="54">
        <f t="shared" si="8"/>
        <v>95.76991094</v>
      </c>
    </row>
    <row r="305" ht="22.5" customHeight="1">
      <c r="A305" s="46" t="s">
        <v>454</v>
      </c>
      <c r="B305" s="14" t="s">
        <v>9</v>
      </c>
      <c r="C305" s="14">
        <v>80.0</v>
      </c>
      <c r="D305" s="15">
        <v>250.0</v>
      </c>
      <c r="E305" s="7">
        <v>7037.0</v>
      </c>
      <c r="F305" s="46">
        <v>7403.0</v>
      </c>
      <c r="G305" s="52">
        <f>IFERROR(SUMIF(Issues!B:B, A305, Issues!H:H), 0)</f>
        <v>8250</v>
      </c>
      <c r="H305" s="52">
        <f>IFERROR(SUMIF(Returns!B:B, A305, Returns!H:H), 0)</f>
        <v>800</v>
      </c>
      <c r="I305" s="3">
        <v>76140.0</v>
      </c>
      <c r="J305" s="3">
        <v>4.0</v>
      </c>
      <c r="K305" s="3">
        <v>118.0</v>
      </c>
      <c r="L305" s="53">
        <f t="shared" si="5"/>
        <v>7144.179389</v>
      </c>
      <c r="M305" s="52">
        <f t="shared" si="6"/>
        <v>7450</v>
      </c>
      <c r="N305" s="54">
        <f t="shared" si="7"/>
        <v>305.8206107</v>
      </c>
      <c r="O305" s="54">
        <f t="shared" si="8"/>
        <v>76.45515267</v>
      </c>
    </row>
    <row r="306" ht="22.5" customHeight="1">
      <c r="A306" s="46" t="s">
        <v>455</v>
      </c>
      <c r="B306" s="14" t="s">
        <v>9</v>
      </c>
      <c r="C306" s="14">
        <v>80.0</v>
      </c>
      <c r="D306" s="15">
        <v>210.0</v>
      </c>
      <c r="E306" s="7">
        <v>561.0</v>
      </c>
      <c r="F306" s="46">
        <v>707.0</v>
      </c>
      <c r="G306" s="52">
        <f>IFERROR(SUMIF(Issues!B:B, A306, Issues!H:H), 0)</f>
        <v>2230</v>
      </c>
      <c r="H306" s="52">
        <f>IFERROR(SUMIF(Returns!B:B, A306, Returns!H:H), 0)</f>
        <v>1500</v>
      </c>
      <c r="I306" s="3">
        <v>17180.0</v>
      </c>
      <c r="J306" s="3">
        <v>8.0</v>
      </c>
      <c r="K306" s="3">
        <v>94.0</v>
      </c>
      <c r="L306" s="53">
        <f t="shared" si="5"/>
        <v>642.0642494</v>
      </c>
      <c r="M306" s="52">
        <f t="shared" si="6"/>
        <v>730</v>
      </c>
      <c r="N306" s="54">
        <f t="shared" si="7"/>
        <v>87.93575064</v>
      </c>
      <c r="O306" s="54">
        <f t="shared" si="8"/>
        <v>18.46650763</v>
      </c>
    </row>
    <row r="307" ht="22.5" customHeight="1">
      <c r="A307" s="46" t="s">
        <v>456</v>
      </c>
      <c r="B307" s="14" t="s">
        <v>9</v>
      </c>
      <c r="C307" s="14">
        <v>80.0</v>
      </c>
      <c r="D307" s="15">
        <v>170.0</v>
      </c>
      <c r="E307" s="7">
        <v>100.0</v>
      </c>
      <c r="F307" s="46">
        <v>234.0</v>
      </c>
      <c r="G307" s="52">
        <f>IFERROR(SUMIF(Issues!B:B, A307, Issues!H:H), 0)</f>
        <v>300</v>
      </c>
      <c r="H307" s="52">
        <f>IFERROR(SUMIF(Returns!B:B, A307, Returns!H:H), 0)</f>
        <v>0</v>
      </c>
      <c r="I307" s="3">
        <v>3090.0</v>
      </c>
      <c r="J307" s="3">
        <v>6.0</v>
      </c>
      <c r="K307" s="3">
        <v>94.0</v>
      </c>
      <c r="L307" s="53">
        <f t="shared" si="5"/>
        <v>153.975827</v>
      </c>
      <c r="M307" s="52">
        <f t="shared" si="6"/>
        <v>300</v>
      </c>
      <c r="N307" s="54">
        <f t="shared" si="7"/>
        <v>146.024173</v>
      </c>
      <c r="O307" s="54">
        <f t="shared" si="8"/>
        <v>24.82410941</v>
      </c>
    </row>
    <row r="308" ht="22.5" customHeight="1">
      <c r="A308" s="46" t="s">
        <v>457</v>
      </c>
      <c r="B308" s="14" t="s">
        <v>43</v>
      </c>
      <c r="C308" s="14">
        <v>50.0</v>
      </c>
      <c r="D308" s="15">
        <v>125.0</v>
      </c>
      <c r="E308" s="7">
        <v>876.0</v>
      </c>
      <c r="F308" s="46">
        <v>1146.0</v>
      </c>
      <c r="G308" s="52">
        <f>IFERROR(SUMIF(Issues!B:B, A308, Issues!H:H), 0)</f>
        <v>2170</v>
      </c>
      <c r="H308" s="52">
        <f>IFERROR(SUMIF(Returns!B:B, A308, Returns!H:H), 0)</f>
        <v>1000</v>
      </c>
      <c r="I308" s="3">
        <v>10960.0</v>
      </c>
      <c r="J308" s="3">
        <v>4.0</v>
      </c>
      <c r="K308" s="3">
        <v>108.0</v>
      </c>
      <c r="L308" s="53">
        <f t="shared" si="5"/>
        <v>941.221374</v>
      </c>
      <c r="M308" s="52">
        <f t="shared" si="6"/>
        <v>1170</v>
      </c>
      <c r="N308" s="54">
        <f t="shared" si="7"/>
        <v>228.778626</v>
      </c>
      <c r="O308" s="54">
        <f t="shared" si="8"/>
        <v>28.59732824</v>
      </c>
    </row>
    <row r="309" ht="22.5" customHeight="1">
      <c r="A309" s="46" t="s">
        <v>458</v>
      </c>
      <c r="B309" s="14" t="s">
        <v>43</v>
      </c>
      <c r="C309" s="14">
        <v>50.0</v>
      </c>
      <c r="D309" s="15">
        <v>125.0</v>
      </c>
      <c r="E309" s="7">
        <v>876.0</v>
      </c>
      <c r="F309" s="46">
        <v>1155.0</v>
      </c>
      <c r="G309" s="52">
        <f>IFERROR(SUMIF(Issues!B:B, A309, Issues!H:H), 0)</f>
        <v>3000</v>
      </c>
      <c r="H309" s="52">
        <f>IFERROR(SUMIF(Returns!B:B, A309, Returns!H:H), 0)</f>
        <v>1845</v>
      </c>
      <c r="I309" s="3">
        <v>11800.0</v>
      </c>
      <c r="J309" s="3">
        <v>4.0</v>
      </c>
      <c r="K309" s="3">
        <v>108.0</v>
      </c>
      <c r="L309" s="53">
        <f t="shared" si="5"/>
        <v>1013.358779</v>
      </c>
      <c r="M309" s="52">
        <f t="shared" si="6"/>
        <v>1155</v>
      </c>
      <c r="N309" s="54">
        <f t="shared" si="7"/>
        <v>141.6412214</v>
      </c>
      <c r="O309" s="54">
        <f t="shared" si="8"/>
        <v>17.70515267</v>
      </c>
    </row>
    <row r="310" ht="22.5" customHeight="1">
      <c r="A310" s="46" t="s">
        <v>459</v>
      </c>
      <c r="B310" s="14" t="s">
        <v>43</v>
      </c>
      <c r="C310" s="14">
        <v>50.0</v>
      </c>
      <c r="D310" s="7">
        <v>135.0</v>
      </c>
      <c r="E310" s="7">
        <v>876.0</v>
      </c>
      <c r="F310" s="46">
        <v>1143.0</v>
      </c>
      <c r="G310" s="52">
        <f>IFERROR(SUMIF(Issues!B:B, A310, Issues!H:H), 0)</f>
        <v>1845</v>
      </c>
      <c r="H310" s="52">
        <f>IFERROR(SUMIF(Returns!B:B, A310, Returns!H:H), 0)</f>
        <v>650</v>
      </c>
      <c r="I310" s="3">
        <v>10700.0</v>
      </c>
      <c r="J310" s="3">
        <v>4.0</v>
      </c>
      <c r="K310" s="3">
        <v>108.0</v>
      </c>
      <c r="L310" s="53">
        <f t="shared" si="5"/>
        <v>918.8931298</v>
      </c>
      <c r="M310" s="52">
        <f t="shared" si="6"/>
        <v>1195</v>
      </c>
      <c r="N310" s="54">
        <f t="shared" si="7"/>
        <v>276.1068702</v>
      </c>
      <c r="O310" s="54">
        <f t="shared" si="8"/>
        <v>37.27442748</v>
      </c>
    </row>
    <row r="311" ht="22.5" customHeight="1">
      <c r="A311" s="46" t="s">
        <v>460</v>
      </c>
      <c r="B311" s="14" t="s">
        <v>9</v>
      </c>
      <c r="C311" s="14">
        <v>80.0</v>
      </c>
      <c r="D311" s="15">
        <v>195.0</v>
      </c>
      <c r="E311" s="7">
        <v>1081.0</v>
      </c>
      <c r="F311" s="46">
        <v>1397.0</v>
      </c>
      <c r="G311" s="52">
        <f>IFERROR(SUMIF(Issues!B:B, A311, Issues!H:H), 0)</f>
        <v>1700</v>
      </c>
      <c r="H311" s="52">
        <f>IFERROR(SUMIF(Returns!B:B, A311, Returns!H:H), 0)</f>
        <v>300</v>
      </c>
      <c r="I311" s="3">
        <v>4550.0</v>
      </c>
      <c r="J311" s="3">
        <v>1.0</v>
      </c>
      <c r="K311" s="3">
        <v>85.0</v>
      </c>
      <c r="L311" s="53">
        <f t="shared" si="5"/>
        <v>1230.120865</v>
      </c>
      <c r="M311" s="52">
        <f t="shared" si="6"/>
        <v>1400</v>
      </c>
      <c r="N311" s="54">
        <f t="shared" si="7"/>
        <v>169.8791349</v>
      </c>
      <c r="O311" s="54">
        <f t="shared" si="8"/>
        <v>33.1264313</v>
      </c>
    </row>
    <row r="312" ht="22.5" customHeight="1">
      <c r="A312" s="46" t="s">
        <v>462</v>
      </c>
      <c r="B312" s="14" t="s">
        <v>9</v>
      </c>
      <c r="C312" s="14">
        <v>80.0</v>
      </c>
      <c r="D312" s="15">
        <v>210.0</v>
      </c>
      <c r="E312" s="7">
        <v>1288.0</v>
      </c>
      <c r="F312" s="46">
        <v>1604.0</v>
      </c>
      <c r="G312" s="52">
        <f>IFERROR(SUMIF(Issues!B:B, A312, Issues!H:H), 0)</f>
        <v>3000</v>
      </c>
      <c r="H312" s="52">
        <f>IFERROR(SUMIF(Returns!B:B, A312, Returns!H:H), 0)</f>
        <v>1195</v>
      </c>
      <c r="I312" s="3">
        <v>15530.0</v>
      </c>
      <c r="J312" s="3">
        <v>4.0</v>
      </c>
      <c r="K312" s="3">
        <v>108.0</v>
      </c>
      <c r="L312" s="53">
        <f t="shared" si="5"/>
        <v>1333.683206</v>
      </c>
      <c r="M312" s="52">
        <f t="shared" si="6"/>
        <v>1805</v>
      </c>
      <c r="N312" s="54">
        <f t="shared" si="7"/>
        <v>471.3167939</v>
      </c>
      <c r="O312" s="54">
        <f t="shared" si="8"/>
        <v>98.97652672</v>
      </c>
    </row>
    <row r="313" ht="22.5" customHeight="1">
      <c r="A313" s="46" t="s">
        <v>463</v>
      </c>
      <c r="B313" s="14" t="s">
        <v>9</v>
      </c>
      <c r="C313" s="14">
        <v>80.0</v>
      </c>
      <c r="D313" s="15">
        <v>185.0</v>
      </c>
      <c r="E313" s="7">
        <v>1352.0</v>
      </c>
      <c r="F313" s="46">
        <v>1805.0</v>
      </c>
      <c r="G313" s="52">
        <f>IFERROR(SUMIF(Issues!B:B, A313, Issues!H:H), 0)</f>
        <v>2980</v>
      </c>
      <c r="H313" s="52">
        <f>IFERROR(SUMIF(Returns!B:B, A313, Returns!H:H), 0)</f>
        <v>1000</v>
      </c>
      <c r="I313" s="3">
        <v>5808.0</v>
      </c>
      <c r="J313" s="3">
        <v>1.0</v>
      </c>
      <c r="K313" s="3">
        <v>85.0</v>
      </c>
      <c r="L313" s="53">
        <f t="shared" si="5"/>
        <v>1570.229008</v>
      </c>
      <c r="M313" s="52">
        <f t="shared" si="6"/>
        <v>1980</v>
      </c>
      <c r="N313" s="54">
        <f t="shared" si="7"/>
        <v>409.7709924</v>
      </c>
      <c r="O313" s="54">
        <f t="shared" si="8"/>
        <v>75.80763359</v>
      </c>
    </row>
    <row r="314" ht="22.5" customHeight="1">
      <c r="A314" s="46" t="s">
        <v>464</v>
      </c>
      <c r="B314" s="14" t="s">
        <v>9</v>
      </c>
      <c r="C314" s="14">
        <v>80.0</v>
      </c>
      <c r="D314" s="15">
        <v>195.0</v>
      </c>
      <c r="E314" s="7">
        <v>2147.0</v>
      </c>
      <c r="F314" s="46">
        <v>2523.0</v>
      </c>
      <c r="G314" s="52">
        <f>IFERROR(SUMIF(Issues!B:B, A314, Issues!H:H), 0)</f>
        <v>3080</v>
      </c>
      <c r="H314" s="52">
        <f>IFERROR(SUMIF(Returns!B:B, A314, Returns!H:H), 0)</f>
        <v>550</v>
      </c>
      <c r="I314" s="3">
        <v>26780.0</v>
      </c>
      <c r="J314" s="3">
        <v>4.0</v>
      </c>
      <c r="K314" s="3">
        <v>108.0</v>
      </c>
      <c r="L314" s="53">
        <f t="shared" si="5"/>
        <v>2299.80916</v>
      </c>
      <c r="M314" s="52">
        <f t="shared" si="6"/>
        <v>2530</v>
      </c>
      <c r="N314" s="54">
        <f t="shared" si="7"/>
        <v>230.1908397</v>
      </c>
      <c r="O314" s="54">
        <f t="shared" si="8"/>
        <v>44.88721374</v>
      </c>
    </row>
    <row r="315" ht="22.5" customHeight="1">
      <c r="A315" s="46" t="s">
        <v>465</v>
      </c>
      <c r="B315" s="14" t="s">
        <v>9</v>
      </c>
      <c r="C315" s="14">
        <v>80.0</v>
      </c>
      <c r="D315" s="15">
        <v>210.0</v>
      </c>
      <c r="E315" s="7">
        <v>1288.0</v>
      </c>
      <c r="F315" s="46">
        <v>1559.0</v>
      </c>
      <c r="G315" s="52">
        <f>IFERROR(SUMIF(Issues!B:B, A315, Issues!H:H), 0)</f>
        <v>1795</v>
      </c>
      <c r="H315" s="52">
        <f>IFERROR(SUMIF(Returns!B:B, A315, Returns!H:H), 0)</f>
        <v>150</v>
      </c>
      <c r="I315" s="3">
        <v>16200.0</v>
      </c>
      <c r="J315" s="3">
        <v>4.0</v>
      </c>
      <c r="K315" s="3">
        <v>108.0</v>
      </c>
      <c r="L315" s="53">
        <f t="shared" si="5"/>
        <v>1391.221374</v>
      </c>
      <c r="M315" s="52">
        <f t="shared" si="6"/>
        <v>1645</v>
      </c>
      <c r="N315" s="54">
        <f t="shared" si="7"/>
        <v>253.778626</v>
      </c>
      <c r="O315" s="54">
        <f t="shared" si="8"/>
        <v>53.29351145</v>
      </c>
    </row>
    <row r="316" ht="22.5" customHeight="1">
      <c r="A316" s="46" t="s">
        <v>467</v>
      </c>
      <c r="B316" s="14" t="s">
        <v>9</v>
      </c>
      <c r="C316" s="14">
        <v>80.0</v>
      </c>
      <c r="D316" s="15">
        <v>195.0</v>
      </c>
      <c r="E316" s="7">
        <v>541.0</v>
      </c>
      <c r="F316" s="46">
        <v>1099.0</v>
      </c>
      <c r="G316" s="52">
        <f>IFERROR(SUMIF(Issues!B:B, A316, Issues!H:H), 0)</f>
        <v>2940</v>
      </c>
      <c r="H316" s="52">
        <f>IFERROR(SUMIF(Returns!B:B, A316, Returns!H:H), 0)</f>
        <v>1840</v>
      </c>
      <c r="I316" s="3">
        <v>3280.0</v>
      </c>
      <c r="J316" s="3">
        <v>1.0</v>
      </c>
      <c r="K316" s="3">
        <v>85.0</v>
      </c>
      <c r="L316" s="53">
        <f t="shared" si="5"/>
        <v>886.7684478</v>
      </c>
      <c r="M316" s="52">
        <f t="shared" si="6"/>
        <v>1100</v>
      </c>
      <c r="N316" s="54">
        <f t="shared" si="7"/>
        <v>213.2315522</v>
      </c>
      <c r="O316" s="54">
        <f t="shared" si="8"/>
        <v>41.58015267</v>
      </c>
    </row>
    <row r="317" ht="22.5" customHeight="1">
      <c r="A317" s="46" t="s">
        <v>468</v>
      </c>
      <c r="B317" s="14" t="s">
        <v>43</v>
      </c>
      <c r="C317" s="14">
        <v>50.0</v>
      </c>
      <c r="D317" s="15">
        <v>125.0</v>
      </c>
      <c r="E317" s="7">
        <v>876.0</v>
      </c>
      <c r="F317" s="46">
        <v>1130.0</v>
      </c>
      <c r="G317" s="52">
        <f>IFERROR(SUMIF(Issues!B:B, A317, Issues!H:H), 0)</f>
        <v>2000</v>
      </c>
      <c r="H317" s="52">
        <f>IFERROR(SUMIF(Returns!B:B, A317, Returns!H:H), 0)</f>
        <v>850</v>
      </c>
      <c r="I317" s="3">
        <v>10700.0</v>
      </c>
      <c r="J317" s="3">
        <v>4.0</v>
      </c>
      <c r="K317" s="3">
        <v>108.0</v>
      </c>
      <c r="L317" s="53">
        <f t="shared" si="5"/>
        <v>918.8931298</v>
      </c>
      <c r="M317" s="52">
        <f t="shared" si="6"/>
        <v>1150</v>
      </c>
      <c r="N317" s="54">
        <f t="shared" si="7"/>
        <v>231.1068702</v>
      </c>
      <c r="O317" s="54">
        <f t="shared" si="8"/>
        <v>28.88835878</v>
      </c>
    </row>
    <row r="318" ht="22.5" customHeight="1">
      <c r="A318" s="46" t="s">
        <v>469</v>
      </c>
      <c r="B318" s="14" t="s">
        <v>9</v>
      </c>
      <c r="C318" s="14">
        <v>80.0</v>
      </c>
      <c r="D318" s="15">
        <v>160.0</v>
      </c>
      <c r="E318" s="7">
        <v>938.0</v>
      </c>
      <c r="F318" s="46">
        <v>1316.0</v>
      </c>
      <c r="G318" s="52">
        <f>IFERROR(SUMIF(Issues!B:B, A318, Issues!H:H), 0)</f>
        <v>1500</v>
      </c>
      <c r="H318" s="52">
        <f>IFERROR(SUMIF(Returns!B:B, A318, Returns!H:H), 0)</f>
        <v>150</v>
      </c>
      <c r="I318" s="3">
        <v>10520.0</v>
      </c>
      <c r="J318" s="3">
        <v>4.0</v>
      </c>
      <c r="K318" s="3">
        <v>118.0</v>
      </c>
      <c r="L318" s="53">
        <f t="shared" si="5"/>
        <v>987.086514</v>
      </c>
      <c r="M318" s="52">
        <f t="shared" si="6"/>
        <v>1350</v>
      </c>
      <c r="N318" s="54">
        <f t="shared" si="7"/>
        <v>362.913486</v>
      </c>
      <c r="O318" s="54">
        <f t="shared" si="8"/>
        <v>58.06615776</v>
      </c>
    </row>
    <row r="319" ht="22.5" customHeight="1">
      <c r="A319" s="46" t="s">
        <v>471</v>
      </c>
      <c r="B319" s="14" t="s">
        <v>9</v>
      </c>
      <c r="C319" s="14">
        <v>80.0</v>
      </c>
      <c r="D319" s="15">
        <v>140.0</v>
      </c>
      <c r="E319" s="7">
        <v>859.0</v>
      </c>
      <c r="F319" s="46">
        <v>600.0</v>
      </c>
      <c r="G319" s="52">
        <f>IFERROR(SUMIF(Issues!B:B, A319, Issues!H:H), 0)</f>
        <v>2200</v>
      </c>
      <c r="H319" s="52">
        <f>IFERROR(SUMIF(Returns!B:B, A319, Returns!H:H), 0)</f>
        <v>600</v>
      </c>
      <c r="I319" s="3">
        <v>11100.0</v>
      </c>
      <c r="J319" s="3">
        <v>4.0</v>
      </c>
      <c r="K319" s="3">
        <v>108.0</v>
      </c>
      <c r="L319" s="53">
        <f t="shared" si="5"/>
        <v>953.2442748</v>
      </c>
      <c r="M319" s="52">
        <f t="shared" si="6"/>
        <v>1600</v>
      </c>
      <c r="N319" s="54">
        <f t="shared" si="7"/>
        <v>646.7557252</v>
      </c>
      <c r="O319" s="54">
        <f t="shared" si="8"/>
        <v>90.54580153</v>
      </c>
    </row>
    <row r="320" ht="22.5" customHeight="1">
      <c r="A320" s="46" t="s">
        <v>472</v>
      </c>
      <c r="B320" s="14" t="s">
        <v>52</v>
      </c>
      <c r="C320" s="14">
        <v>50.0</v>
      </c>
      <c r="D320" s="15">
        <v>165.0</v>
      </c>
      <c r="E320" s="7">
        <v>859.0</v>
      </c>
      <c r="F320" s="46">
        <v>1157.0</v>
      </c>
      <c r="G320" s="52">
        <f>IFERROR(SUMIF(Issues!B:B, A320, Issues!H:H), 0)</f>
        <v>1900</v>
      </c>
      <c r="H320" s="52">
        <f>IFERROR(SUMIF(Returns!B:B, A320, Returns!H:H), 0)</f>
        <v>600</v>
      </c>
      <c r="I320" s="3">
        <v>10354.0</v>
      </c>
      <c r="J320" s="3">
        <v>4.0</v>
      </c>
      <c r="K320" s="3">
        <v>108.0</v>
      </c>
      <c r="L320" s="53">
        <f t="shared" si="5"/>
        <v>889.1793893</v>
      </c>
      <c r="M320" s="52">
        <f t="shared" si="6"/>
        <v>1300</v>
      </c>
      <c r="N320" s="54">
        <f t="shared" si="7"/>
        <v>410.8206107</v>
      </c>
      <c r="O320" s="54">
        <f t="shared" si="8"/>
        <v>67.78540076</v>
      </c>
    </row>
    <row r="321" ht="22.5" customHeight="1">
      <c r="A321" s="46" t="s">
        <v>473</v>
      </c>
      <c r="B321" s="14" t="s">
        <v>36</v>
      </c>
      <c r="C321" s="14">
        <v>70.0</v>
      </c>
      <c r="D321" s="15">
        <v>260.0</v>
      </c>
      <c r="E321" s="7">
        <v>4055.0</v>
      </c>
      <c r="F321" s="7">
        <v>2984.0</v>
      </c>
      <c r="G321" s="52">
        <f>IFERROR(SUMIF(Issues!B:B, A321, Issues!H:H), 0)</f>
        <v>3000</v>
      </c>
      <c r="H321" s="52">
        <f>IFERROR(SUMIF(Returns!B:B, A321, Returns!H:H), 0)</f>
        <v>0</v>
      </c>
      <c r="I321" s="3">
        <v>19200.0</v>
      </c>
      <c r="J321" s="3">
        <v>2.0</v>
      </c>
      <c r="K321" s="3">
        <v>85.0</v>
      </c>
      <c r="L321" s="53">
        <f t="shared" si="5"/>
        <v>2595.419847</v>
      </c>
      <c r="M321" s="52">
        <f t="shared" si="6"/>
        <v>3000</v>
      </c>
      <c r="N321" s="54">
        <f t="shared" si="7"/>
        <v>404.5801527</v>
      </c>
      <c r="O321" s="54">
        <f t="shared" si="8"/>
        <v>105.1908397</v>
      </c>
    </row>
    <row r="322" ht="22.5" customHeight="1">
      <c r="A322" s="46" t="s">
        <v>474</v>
      </c>
      <c r="B322" s="14" t="s">
        <v>9</v>
      </c>
      <c r="C322" s="14">
        <v>80.0</v>
      </c>
      <c r="D322" s="15">
        <v>140.0</v>
      </c>
      <c r="E322" s="7">
        <v>859.0</v>
      </c>
      <c r="F322" s="7">
        <v>1537.0</v>
      </c>
      <c r="G322" s="52">
        <f>IFERROR(SUMIF(Issues!B:B, A322, Issues!H:H), 0)</f>
        <v>2000</v>
      </c>
      <c r="H322" s="52">
        <f>IFERROR(SUMIF(Returns!B:B, A322, Returns!H:H), 0)</f>
        <v>400</v>
      </c>
      <c r="I322" s="3">
        <v>12300.0</v>
      </c>
      <c r="J322" s="3">
        <v>4.0</v>
      </c>
      <c r="K322" s="3">
        <v>108.0</v>
      </c>
      <c r="L322" s="53">
        <f t="shared" si="5"/>
        <v>1056.29771</v>
      </c>
      <c r="M322" s="52">
        <f t="shared" si="6"/>
        <v>1600</v>
      </c>
      <c r="N322" s="54">
        <f t="shared" si="7"/>
        <v>543.7022901</v>
      </c>
      <c r="O322" s="54">
        <f t="shared" si="8"/>
        <v>76.11832061</v>
      </c>
    </row>
    <row r="323" ht="22.5" customHeight="1">
      <c r="A323" s="46" t="s">
        <v>475</v>
      </c>
      <c r="B323" s="14" t="s">
        <v>9</v>
      </c>
      <c r="C323" s="14">
        <v>80.0</v>
      </c>
      <c r="D323" s="15">
        <v>140.0</v>
      </c>
      <c r="E323" s="7">
        <v>429.0</v>
      </c>
      <c r="F323" s="7">
        <v>616.0</v>
      </c>
      <c r="G323" s="52">
        <f>IFERROR(SUMIF(Issues!B:B, A323, Issues!H:H), 0)</f>
        <v>1990</v>
      </c>
      <c r="H323" s="52">
        <f>IFERROR(SUMIF(Returns!B:B, A323, Returns!H:H), 0)</f>
        <v>1330</v>
      </c>
      <c r="I323" s="3">
        <v>6000.0</v>
      </c>
      <c r="J323" s="3">
        <v>4.0</v>
      </c>
      <c r="K323" s="3">
        <v>108.0</v>
      </c>
      <c r="L323" s="53">
        <f t="shared" si="5"/>
        <v>515.2671756</v>
      </c>
      <c r="M323" s="52">
        <f t="shared" si="6"/>
        <v>660</v>
      </c>
      <c r="N323" s="54">
        <f t="shared" si="7"/>
        <v>144.7328244</v>
      </c>
      <c r="O323" s="54">
        <f t="shared" si="8"/>
        <v>20.26259542</v>
      </c>
    </row>
    <row r="324" ht="22.5" customHeight="1">
      <c r="A324" s="46" t="s">
        <v>476</v>
      </c>
      <c r="B324" s="14" t="s">
        <v>9</v>
      </c>
      <c r="C324" s="14">
        <v>80.0</v>
      </c>
      <c r="D324" s="15">
        <v>160.0</v>
      </c>
      <c r="E324" s="7">
        <v>986.0</v>
      </c>
      <c r="F324" s="7">
        <v>1657.0</v>
      </c>
      <c r="G324" s="52">
        <f>IFERROR(SUMIF(Issues!B:B, A324, Issues!H:H), 0)</f>
        <v>3000</v>
      </c>
      <c r="H324" s="52">
        <f>IFERROR(SUMIF(Returns!B:B, A324, Returns!H:H), 0)</f>
        <v>1300</v>
      </c>
      <c r="I324" s="3">
        <v>12180.0</v>
      </c>
      <c r="J324" s="3">
        <v>4.0</v>
      </c>
      <c r="K324" s="3">
        <v>124.0</v>
      </c>
      <c r="L324" s="53">
        <f t="shared" si="5"/>
        <v>1200.954198</v>
      </c>
      <c r="M324" s="52">
        <f t="shared" si="6"/>
        <v>1700</v>
      </c>
      <c r="N324" s="54">
        <f t="shared" si="7"/>
        <v>499.0458015</v>
      </c>
      <c r="O324" s="54">
        <f t="shared" si="8"/>
        <v>79.84732824</v>
      </c>
    </row>
    <row r="325" ht="22.5" customHeight="1">
      <c r="A325" s="46" t="s">
        <v>478</v>
      </c>
      <c r="B325" s="14" t="s">
        <v>9</v>
      </c>
      <c r="C325" s="14">
        <v>80.0</v>
      </c>
      <c r="D325" s="15">
        <v>140.0</v>
      </c>
      <c r="E325" s="7">
        <v>2147.0</v>
      </c>
      <c r="F325" s="7">
        <v>2490.0</v>
      </c>
      <c r="G325" s="52">
        <f>IFERROR(SUMIF(Issues!B:B, A325, Issues!H:H), 0)</f>
        <v>3550</v>
      </c>
      <c r="H325" s="52">
        <f>IFERROR(SUMIF(Returns!B:B, A325, Returns!H:H), 0)</f>
        <v>1030</v>
      </c>
      <c r="I325" s="3">
        <v>26800.0</v>
      </c>
      <c r="J325" s="3">
        <v>4.0</v>
      </c>
      <c r="K325" s="3">
        <v>108.0</v>
      </c>
      <c r="L325" s="53">
        <f t="shared" si="5"/>
        <v>2301.526718</v>
      </c>
      <c r="M325" s="52">
        <f t="shared" si="6"/>
        <v>2520</v>
      </c>
      <c r="N325" s="54">
        <f t="shared" si="7"/>
        <v>218.4732824</v>
      </c>
      <c r="O325" s="54">
        <f t="shared" si="8"/>
        <v>30.58625954</v>
      </c>
    </row>
    <row r="326" ht="22.5" customHeight="1">
      <c r="A326" s="46" t="s">
        <v>480</v>
      </c>
      <c r="B326" s="14" t="s">
        <v>9</v>
      </c>
      <c r="C326" s="14">
        <v>80.0</v>
      </c>
      <c r="D326" s="15">
        <v>140.0</v>
      </c>
      <c r="E326" s="7">
        <v>859.0</v>
      </c>
      <c r="F326" s="7">
        <v>1105.0</v>
      </c>
      <c r="G326" s="52">
        <f>IFERROR(SUMIF(Issues!B:B, A326, Issues!H:H), 0)</f>
        <v>1690</v>
      </c>
      <c r="H326" s="52">
        <f>IFERROR(SUMIF(Returns!B:B, A326, Returns!H:H), 0)</f>
        <v>550</v>
      </c>
      <c r="I326" s="3">
        <v>10919.0</v>
      </c>
      <c r="J326" s="3">
        <v>4.0</v>
      </c>
      <c r="K326" s="3">
        <v>108.0</v>
      </c>
      <c r="L326" s="53">
        <f t="shared" si="5"/>
        <v>937.7003817</v>
      </c>
      <c r="M326" s="52">
        <f t="shared" si="6"/>
        <v>1140</v>
      </c>
      <c r="N326" s="54">
        <f t="shared" si="7"/>
        <v>202.2996183</v>
      </c>
      <c r="O326" s="54">
        <f t="shared" si="8"/>
        <v>28.32194656</v>
      </c>
    </row>
    <row r="327" ht="22.5" customHeight="1">
      <c r="A327" s="46" t="s">
        <v>482</v>
      </c>
      <c r="B327" s="14" t="s">
        <v>9</v>
      </c>
      <c r="C327" s="14">
        <v>80.0</v>
      </c>
      <c r="D327" s="15">
        <v>160.0</v>
      </c>
      <c r="E327" s="7">
        <v>4246.0</v>
      </c>
      <c r="F327" s="7">
        <v>4630.0</v>
      </c>
      <c r="G327" s="52">
        <f>IFERROR(SUMIF(Issues!B:B, A327, Issues!H:H), 0)</f>
        <v>5100</v>
      </c>
      <c r="H327" s="52">
        <f>IFERROR(SUMIF(Returns!B:B, A327, Returns!H:H), 0)</f>
        <v>450</v>
      </c>
      <c r="I327" s="3">
        <v>15634.0</v>
      </c>
      <c r="J327" s="3">
        <v>1.0</v>
      </c>
      <c r="K327" s="3">
        <v>89.0</v>
      </c>
      <c r="L327" s="53">
        <f t="shared" si="5"/>
        <v>4425.655216</v>
      </c>
      <c r="M327" s="52">
        <f t="shared" si="6"/>
        <v>4650</v>
      </c>
      <c r="N327" s="54">
        <f t="shared" si="7"/>
        <v>224.3447837</v>
      </c>
      <c r="O327" s="54">
        <f t="shared" si="8"/>
        <v>35.89516539</v>
      </c>
    </row>
    <row r="328" ht="22.5" customHeight="1">
      <c r="A328" s="46" t="s">
        <v>483</v>
      </c>
      <c r="B328" s="14" t="s">
        <v>9</v>
      </c>
      <c r="C328" s="14">
        <v>80.0</v>
      </c>
      <c r="D328" s="15">
        <v>160.0</v>
      </c>
      <c r="E328" s="7">
        <v>3292.0</v>
      </c>
      <c r="F328" s="7">
        <v>3635.0</v>
      </c>
      <c r="G328" s="52">
        <f>IFERROR(SUMIF(Issues!B:B, A328, Issues!H:H), 0)</f>
        <v>4150</v>
      </c>
      <c r="H328" s="52">
        <f>IFERROR(SUMIF(Returns!B:B, A328, Returns!H:H), 0)</f>
        <v>500</v>
      </c>
      <c r="I328" s="3">
        <v>14900.0</v>
      </c>
      <c r="J328" s="3">
        <v>1.0</v>
      </c>
      <c r="K328" s="3">
        <v>69.0</v>
      </c>
      <c r="L328" s="53">
        <f t="shared" si="5"/>
        <v>3270.038168</v>
      </c>
      <c r="M328" s="52">
        <f t="shared" si="6"/>
        <v>3650</v>
      </c>
      <c r="N328" s="54">
        <f t="shared" si="7"/>
        <v>379.9618321</v>
      </c>
      <c r="O328" s="54">
        <f t="shared" si="8"/>
        <v>60.79389313</v>
      </c>
    </row>
    <row r="329" ht="22.5" customHeight="1">
      <c r="A329" s="46" t="s">
        <v>484</v>
      </c>
      <c r="B329" s="14" t="s">
        <v>36</v>
      </c>
      <c r="C329" s="14">
        <v>70.0</v>
      </c>
      <c r="D329" s="15">
        <v>190.0</v>
      </c>
      <c r="E329" s="7">
        <v>2465.0</v>
      </c>
      <c r="F329" s="7">
        <v>2790.0</v>
      </c>
      <c r="G329" s="52">
        <f>IFERROR(SUMIF(Issues!B:B, A329, Issues!H:H), 0)</f>
        <v>3000</v>
      </c>
      <c r="H329" s="52">
        <f>IFERROR(SUMIF(Returns!B:B, A329, Returns!H:H), 0)</f>
        <v>180</v>
      </c>
      <c r="I329" s="3">
        <v>47000.0</v>
      </c>
      <c r="J329" s="3">
        <v>8.0</v>
      </c>
      <c r="K329" s="3">
        <v>124.0</v>
      </c>
      <c r="L329" s="53">
        <f t="shared" si="5"/>
        <v>2317.111959</v>
      </c>
      <c r="M329" s="52">
        <f t="shared" si="6"/>
        <v>2820</v>
      </c>
      <c r="N329" s="54">
        <f t="shared" si="7"/>
        <v>502.8880407</v>
      </c>
      <c r="O329" s="54">
        <f t="shared" si="8"/>
        <v>95.54872774</v>
      </c>
    </row>
    <row r="330" ht="22.5" customHeight="1">
      <c r="A330" s="46" t="s">
        <v>487</v>
      </c>
      <c r="B330" s="14" t="s">
        <v>36</v>
      </c>
      <c r="C330" s="14">
        <v>70.0</v>
      </c>
      <c r="D330" s="15">
        <v>190.0</v>
      </c>
      <c r="E330" s="7">
        <v>2465.0</v>
      </c>
      <c r="F330" s="7">
        <v>2800.0</v>
      </c>
      <c r="G330" s="52">
        <f>IFERROR(SUMIF(Issues!B:B, A330, Issues!H:H), 0)</f>
        <v>3180</v>
      </c>
      <c r="H330" s="52">
        <f>IFERROR(SUMIF(Returns!B:B, A330, Returns!H:H), 0)</f>
        <v>350</v>
      </c>
      <c r="I330" s="3">
        <v>47000.0</v>
      </c>
      <c r="J330" s="3">
        <v>8.0</v>
      </c>
      <c r="K330" s="3">
        <v>124.0</v>
      </c>
      <c r="L330" s="53">
        <f t="shared" si="5"/>
        <v>2317.111959</v>
      </c>
      <c r="M330" s="52">
        <f t="shared" si="6"/>
        <v>2830</v>
      </c>
      <c r="N330" s="54">
        <f t="shared" si="7"/>
        <v>512.8880407</v>
      </c>
      <c r="O330" s="54">
        <f t="shared" si="8"/>
        <v>97.44872774</v>
      </c>
    </row>
    <row r="331" ht="22.5" customHeight="1">
      <c r="A331" s="46" t="s">
        <v>489</v>
      </c>
      <c r="B331" s="14" t="s">
        <v>9</v>
      </c>
      <c r="C331" s="14">
        <v>80.0</v>
      </c>
      <c r="D331" s="15">
        <v>230.0</v>
      </c>
      <c r="E331" s="7">
        <v>986.0</v>
      </c>
      <c r="F331" s="7">
        <v>1122.0</v>
      </c>
      <c r="G331" s="52">
        <f>IFERROR(SUMIF(Issues!B:B, A331, Issues!H:H), 0)</f>
        <v>1500</v>
      </c>
      <c r="H331" s="52">
        <f>IFERROR(SUMIF(Returns!B:B, A331, Returns!H:H), 0)</f>
        <v>350</v>
      </c>
      <c r="I331" s="3">
        <v>15490.0</v>
      </c>
      <c r="J331" s="3">
        <v>6.0</v>
      </c>
      <c r="K331" s="3">
        <v>124.0</v>
      </c>
      <c r="L331" s="53">
        <f t="shared" si="5"/>
        <v>1018.214589</v>
      </c>
      <c r="M331" s="52">
        <f t="shared" si="6"/>
        <v>1150</v>
      </c>
      <c r="N331" s="54">
        <f t="shared" si="7"/>
        <v>131.7854114</v>
      </c>
      <c r="O331" s="54">
        <f t="shared" si="8"/>
        <v>30.31064461</v>
      </c>
    </row>
    <row r="332" ht="22.5" customHeight="1">
      <c r="A332" s="46" t="s">
        <v>490</v>
      </c>
      <c r="B332" s="14" t="s">
        <v>9</v>
      </c>
      <c r="C332" s="14">
        <v>80.0</v>
      </c>
      <c r="D332" s="15">
        <v>126.0</v>
      </c>
      <c r="E332" s="7">
        <v>2990.0</v>
      </c>
      <c r="F332" s="7">
        <v>3505.0</v>
      </c>
      <c r="G332" s="52">
        <f>IFERROR(SUMIF(Issues!B:B, A332, Issues!H:H), 0)</f>
        <v>4600</v>
      </c>
      <c r="H332" s="52">
        <f>IFERROR(SUMIF(Returns!B:B, A332, Returns!H:H), 0)</f>
        <v>0</v>
      </c>
      <c r="I332" s="3">
        <v>20000.0</v>
      </c>
      <c r="J332" s="3">
        <v>2.0</v>
      </c>
      <c r="K332" s="3">
        <v>94.0</v>
      </c>
      <c r="L332" s="53">
        <f t="shared" si="5"/>
        <v>2989.821883</v>
      </c>
      <c r="M332" s="52">
        <f t="shared" si="6"/>
        <v>4600</v>
      </c>
      <c r="N332" s="54">
        <f t="shared" si="7"/>
        <v>1610.178117</v>
      </c>
      <c r="O332" s="54">
        <f t="shared" si="8"/>
        <v>202.8824427</v>
      </c>
    </row>
    <row r="333" ht="22.5" customHeight="1">
      <c r="A333" s="46" t="s">
        <v>492</v>
      </c>
      <c r="B333" s="14" t="s">
        <v>9</v>
      </c>
      <c r="C333" s="14">
        <v>80.0</v>
      </c>
      <c r="D333" s="15">
        <v>280.0</v>
      </c>
      <c r="E333" s="7">
        <v>1514.0</v>
      </c>
      <c r="F333" s="7">
        <v>1750.0</v>
      </c>
      <c r="G333" s="52">
        <f>IFERROR(SUMIF(Issues!B:B, A333, Issues!H:H), 0)</f>
        <v>1730</v>
      </c>
      <c r="H333" s="52">
        <f>IFERROR(SUMIF(Returns!B:B, A333, Returns!H:H), 0)</f>
        <v>0</v>
      </c>
      <c r="I333" s="3">
        <v>8500.0</v>
      </c>
      <c r="J333" s="3">
        <v>2.0</v>
      </c>
      <c r="K333" s="3">
        <v>112.0</v>
      </c>
      <c r="L333" s="53">
        <f t="shared" si="5"/>
        <v>1513.994911</v>
      </c>
      <c r="M333" s="52">
        <f t="shared" si="6"/>
        <v>1730</v>
      </c>
      <c r="N333" s="54">
        <f t="shared" si="7"/>
        <v>216.0050891</v>
      </c>
      <c r="O333" s="54">
        <f t="shared" si="8"/>
        <v>60.48142494</v>
      </c>
    </row>
    <row r="334" ht="22.5" customHeight="1">
      <c r="A334" s="46" t="s">
        <v>493</v>
      </c>
      <c r="B334" s="14" t="s">
        <v>9</v>
      </c>
      <c r="C334" s="14">
        <v>80.0</v>
      </c>
      <c r="D334" s="15">
        <v>280.0</v>
      </c>
      <c r="E334" s="7">
        <v>1514.0</v>
      </c>
      <c r="F334" s="7">
        <v>1751.0</v>
      </c>
      <c r="G334" s="52">
        <f>IFERROR(SUMIF(Issues!B:B, A334, Issues!H:H), 0)</f>
        <v>2750</v>
      </c>
      <c r="H334" s="52">
        <f>IFERROR(SUMIF(Returns!B:B, A334, Returns!H:H), 0)</f>
        <v>1000</v>
      </c>
      <c r="I334" s="3">
        <v>8500.0</v>
      </c>
      <c r="J334" s="3">
        <v>2.0</v>
      </c>
      <c r="K334" s="3">
        <v>112.0</v>
      </c>
      <c r="L334" s="53">
        <f t="shared" si="5"/>
        <v>1513.994911</v>
      </c>
      <c r="M334" s="52">
        <f t="shared" si="6"/>
        <v>1750</v>
      </c>
      <c r="N334" s="54">
        <f t="shared" si="7"/>
        <v>236.0050891</v>
      </c>
      <c r="O334" s="54">
        <f t="shared" si="8"/>
        <v>66.08142494</v>
      </c>
    </row>
    <row r="335" ht="22.5" customHeight="1">
      <c r="A335" s="46" t="s">
        <v>494</v>
      </c>
      <c r="B335" s="14" t="s">
        <v>9</v>
      </c>
      <c r="C335" s="14">
        <v>80.0</v>
      </c>
      <c r="D335" s="15">
        <v>210.0</v>
      </c>
      <c r="E335" s="7">
        <v>103.0</v>
      </c>
      <c r="F335" s="7">
        <v>285.0</v>
      </c>
      <c r="G335" s="52">
        <f>IFERROR(SUMIF(Issues!B:B, A335, Issues!H:H), 0)</f>
        <v>1500</v>
      </c>
      <c r="H335" s="52">
        <f>IFERROR(SUMIF(Returns!B:B, A335, Returns!H:H), 0)</f>
        <v>1270</v>
      </c>
      <c r="I335" s="3">
        <v>900.0</v>
      </c>
      <c r="J335" s="3">
        <v>2.0</v>
      </c>
      <c r="K335" s="3">
        <v>72.0</v>
      </c>
      <c r="L335" s="53">
        <f t="shared" si="5"/>
        <v>103.0534351</v>
      </c>
      <c r="M335" s="52">
        <f t="shared" si="6"/>
        <v>230</v>
      </c>
      <c r="N335" s="54">
        <f t="shared" si="7"/>
        <v>126.9465649</v>
      </c>
      <c r="O335" s="54">
        <f t="shared" si="8"/>
        <v>26.65877863</v>
      </c>
    </row>
    <row r="336" ht="22.5" customHeight="1">
      <c r="A336" s="46" t="s">
        <v>495</v>
      </c>
      <c r="B336" s="14" t="s">
        <v>9</v>
      </c>
      <c r="C336" s="14">
        <v>80.0</v>
      </c>
      <c r="D336" s="15">
        <v>185.0</v>
      </c>
      <c r="E336" s="7">
        <v>132.0</v>
      </c>
      <c r="F336" s="7">
        <v>260.0</v>
      </c>
      <c r="G336" s="52">
        <f>IFERROR(SUMIF(Issues!B:B, A336, Issues!H:H), 0)</f>
        <v>260</v>
      </c>
      <c r="H336" s="52">
        <f>IFERROR(SUMIF(Returns!B:B, A336, Returns!H:H), 0)</f>
        <v>0</v>
      </c>
      <c r="I336" s="3">
        <v>3100.0</v>
      </c>
      <c r="J336" s="3">
        <v>5.0</v>
      </c>
      <c r="K336" s="3">
        <v>69.0</v>
      </c>
      <c r="L336" s="53">
        <f t="shared" si="5"/>
        <v>136.0687023</v>
      </c>
      <c r="M336" s="52">
        <f t="shared" si="6"/>
        <v>260</v>
      </c>
      <c r="N336" s="54">
        <f t="shared" si="7"/>
        <v>123.9312977</v>
      </c>
      <c r="O336" s="54">
        <f t="shared" si="8"/>
        <v>22.92729008</v>
      </c>
    </row>
    <row r="337" ht="22.5" customHeight="1">
      <c r="A337" s="46" t="s">
        <v>496</v>
      </c>
      <c r="B337" s="14" t="s">
        <v>9</v>
      </c>
      <c r="C337" s="14">
        <v>80.0</v>
      </c>
      <c r="D337" s="15">
        <v>250.0</v>
      </c>
      <c r="E337" s="7">
        <v>515.0</v>
      </c>
      <c r="F337" s="7">
        <v>638.0</v>
      </c>
      <c r="G337" s="52">
        <f>IFERROR(SUMIF(Issues!B:B, A337, Issues!H:H), 0)</f>
        <v>950</v>
      </c>
      <c r="H337" s="52">
        <f>IFERROR(SUMIF(Returns!B:B, A337, Returns!H:H), 0)</f>
        <v>300</v>
      </c>
      <c r="I337" s="3">
        <v>3100.0</v>
      </c>
      <c r="J337" s="3">
        <v>2.0</v>
      </c>
      <c r="K337" s="3">
        <v>108.0</v>
      </c>
      <c r="L337" s="53">
        <f t="shared" si="5"/>
        <v>532.4427481</v>
      </c>
      <c r="M337" s="52">
        <f t="shared" si="6"/>
        <v>650</v>
      </c>
      <c r="N337" s="54">
        <f t="shared" si="7"/>
        <v>117.5572519</v>
      </c>
      <c r="O337" s="54">
        <f t="shared" si="8"/>
        <v>29.38931298</v>
      </c>
    </row>
    <row r="338" ht="22.5" customHeight="1">
      <c r="A338" s="46" t="s">
        <v>497</v>
      </c>
      <c r="B338" s="14" t="s">
        <v>9</v>
      </c>
      <c r="C338" s="14">
        <v>80.0</v>
      </c>
      <c r="D338" s="15">
        <v>290.0</v>
      </c>
      <c r="E338" s="7">
        <v>505.0</v>
      </c>
      <c r="F338" s="7">
        <v>649.0</v>
      </c>
      <c r="G338" s="52">
        <f>IFERROR(SUMIF(Issues!B:B, A338, Issues!H:H), 0)</f>
        <v>1000</v>
      </c>
      <c r="H338" s="52">
        <f>IFERROR(SUMIF(Returns!B:B, A338, Returns!H:H), 0)</f>
        <v>300</v>
      </c>
      <c r="I338" s="3">
        <v>10700.0</v>
      </c>
      <c r="J338" s="3">
        <v>6.0</v>
      </c>
      <c r="K338" s="3">
        <v>89.0</v>
      </c>
      <c r="L338" s="53">
        <f t="shared" si="5"/>
        <v>504.8240034</v>
      </c>
      <c r="M338" s="52">
        <f t="shared" si="6"/>
        <v>700</v>
      </c>
      <c r="N338" s="54">
        <f t="shared" si="7"/>
        <v>195.1759966</v>
      </c>
      <c r="O338" s="54">
        <f t="shared" si="8"/>
        <v>56.60103902</v>
      </c>
    </row>
    <row r="339" ht="22.5" customHeight="1">
      <c r="A339" s="46" t="s">
        <v>499</v>
      </c>
      <c r="B339" s="14" t="s">
        <v>9</v>
      </c>
      <c r="C339" s="14">
        <v>80.0</v>
      </c>
      <c r="D339" s="15">
        <v>330.0</v>
      </c>
      <c r="E339" s="7">
        <v>259.0</v>
      </c>
      <c r="F339" s="7">
        <v>522.0</v>
      </c>
      <c r="G339" s="52">
        <f>IFERROR(SUMIF(Issues!B:B, A339, Issues!H:H), 0)</f>
        <v>1470</v>
      </c>
      <c r="H339" s="52">
        <f>IFERROR(SUMIF(Returns!B:B, A339, Returns!H:H), 0)</f>
        <v>250</v>
      </c>
      <c r="I339" s="3">
        <v>5500.0</v>
      </c>
      <c r="J339" s="3">
        <v>6.0</v>
      </c>
      <c r="K339" s="3">
        <v>89.0</v>
      </c>
      <c r="L339" s="53">
        <f t="shared" si="5"/>
        <v>259.4889737</v>
      </c>
      <c r="M339" s="52">
        <f t="shared" si="6"/>
        <v>1220</v>
      </c>
      <c r="N339" s="54">
        <f t="shared" si="7"/>
        <v>960.5110263</v>
      </c>
      <c r="O339" s="54">
        <f t="shared" si="8"/>
        <v>316.9686387</v>
      </c>
    </row>
    <row r="340" ht="22.5" customHeight="1">
      <c r="A340" s="46" t="s">
        <v>500</v>
      </c>
      <c r="B340" s="14" t="s">
        <v>9</v>
      </c>
      <c r="C340" s="14">
        <v>80.0</v>
      </c>
      <c r="D340" s="15">
        <v>330.0</v>
      </c>
      <c r="E340" s="7">
        <v>755.0</v>
      </c>
      <c r="F340" s="7">
        <v>993.0</v>
      </c>
      <c r="G340" s="52">
        <f>IFERROR(SUMIF(Issues!B:B, A340, Issues!H:H), 0)</f>
        <v>1600</v>
      </c>
      <c r="H340" s="52">
        <f>IFERROR(SUMIF(Returns!B:B, A340, Returns!H:H), 0)</f>
        <v>670</v>
      </c>
      <c r="I340" s="3">
        <v>16000.0</v>
      </c>
      <c r="J340" s="3">
        <v>6.0</v>
      </c>
      <c r="K340" s="3">
        <v>89.0</v>
      </c>
      <c r="L340" s="53">
        <f t="shared" si="5"/>
        <v>754.8770144</v>
      </c>
      <c r="M340" s="52">
        <f t="shared" si="6"/>
        <v>930</v>
      </c>
      <c r="N340" s="54">
        <f t="shared" si="7"/>
        <v>175.1229856</v>
      </c>
      <c r="O340" s="54">
        <f t="shared" si="8"/>
        <v>57.79058524</v>
      </c>
    </row>
    <row r="341" ht="22.5" customHeight="1">
      <c r="A341" s="46" t="s">
        <v>501</v>
      </c>
      <c r="B341" s="14" t="s">
        <v>9</v>
      </c>
      <c r="C341" s="14">
        <v>80.0</v>
      </c>
      <c r="D341" s="15">
        <v>160.0</v>
      </c>
      <c r="E341" s="7">
        <v>2831.0</v>
      </c>
      <c r="F341" s="7">
        <v>3085.0</v>
      </c>
      <c r="G341" s="52">
        <f>IFERROR(SUMIF(Issues!B:B, A341, Issues!H:H), 0)</f>
        <v>3160</v>
      </c>
      <c r="H341" s="52">
        <f>IFERROR(SUMIF(Returns!B:B, A341, Returns!H:H), 0)</f>
        <v>0</v>
      </c>
      <c r="I341" s="3">
        <v>10615.0</v>
      </c>
      <c r="J341" s="3">
        <v>1.0</v>
      </c>
      <c r="K341" s="3">
        <v>89.0</v>
      </c>
      <c r="L341" s="53">
        <f t="shared" si="5"/>
        <v>3004.882316</v>
      </c>
      <c r="M341" s="52">
        <f t="shared" si="6"/>
        <v>3160</v>
      </c>
      <c r="N341" s="54">
        <f t="shared" si="7"/>
        <v>155.1176845</v>
      </c>
      <c r="O341" s="54">
        <f t="shared" si="8"/>
        <v>24.81882952</v>
      </c>
    </row>
    <row r="342" ht="22.5" customHeight="1">
      <c r="A342" s="46" t="s">
        <v>502</v>
      </c>
      <c r="B342" s="14" t="s">
        <v>9</v>
      </c>
      <c r="C342" s="14">
        <v>80.0</v>
      </c>
      <c r="D342" s="15">
        <v>140.0</v>
      </c>
      <c r="E342" s="7">
        <v>859.0</v>
      </c>
      <c r="F342" s="7">
        <v>1113.0</v>
      </c>
      <c r="G342" s="52">
        <f>IFERROR(SUMIF(Issues!B:B, A342, Issues!H:H), 0)</f>
        <v>1690</v>
      </c>
      <c r="H342" s="52">
        <f>IFERROR(SUMIF(Returns!B:B, A342, Returns!H:H), 0)</f>
        <v>530</v>
      </c>
      <c r="I342" s="3">
        <v>22056.0</v>
      </c>
      <c r="J342" s="3">
        <v>8.0</v>
      </c>
      <c r="K342" s="3">
        <v>108.0</v>
      </c>
      <c r="L342" s="53">
        <f t="shared" si="5"/>
        <v>947.0610687</v>
      </c>
      <c r="M342" s="52">
        <f t="shared" si="6"/>
        <v>1160</v>
      </c>
      <c r="N342" s="54">
        <f t="shared" si="7"/>
        <v>212.9389313</v>
      </c>
      <c r="O342" s="54">
        <f t="shared" si="8"/>
        <v>29.81145038</v>
      </c>
    </row>
    <row r="343" ht="22.5" customHeight="1">
      <c r="A343" s="46" t="s">
        <v>503</v>
      </c>
      <c r="B343" s="14" t="s">
        <v>9</v>
      </c>
      <c r="C343" s="14">
        <v>80.0</v>
      </c>
      <c r="D343" s="15">
        <v>160.0</v>
      </c>
      <c r="E343" s="7">
        <v>1698.0</v>
      </c>
      <c r="F343" s="7">
        <v>1935.0</v>
      </c>
      <c r="G343" s="52">
        <f>IFERROR(SUMIF(Issues!B:B, A343, Issues!H:H), 0)</f>
        <v>3400</v>
      </c>
      <c r="H343" s="52">
        <f>IFERROR(SUMIF(Returns!B:B, A343, Returns!H:H), 0)</f>
        <v>1460</v>
      </c>
      <c r="I343" s="3">
        <v>6360.0</v>
      </c>
      <c r="J343" s="3">
        <v>1.0</v>
      </c>
      <c r="K343" s="3">
        <v>89.0</v>
      </c>
      <c r="L343" s="53">
        <f t="shared" si="5"/>
        <v>1800.381679</v>
      </c>
      <c r="M343" s="52">
        <f t="shared" si="6"/>
        <v>1940</v>
      </c>
      <c r="N343" s="54">
        <f t="shared" si="7"/>
        <v>139.6183206</v>
      </c>
      <c r="O343" s="54">
        <f t="shared" si="8"/>
        <v>22.3389313</v>
      </c>
    </row>
    <row r="344" ht="22.5" customHeight="1">
      <c r="A344" s="46" t="s">
        <v>504</v>
      </c>
      <c r="B344" s="14" t="s">
        <v>9</v>
      </c>
      <c r="C344" s="14">
        <v>80.0</v>
      </c>
      <c r="D344" s="15">
        <v>140.0</v>
      </c>
      <c r="E344" s="7">
        <v>1317.0</v>
      </c>
      <c r="F344" s="7">
        <v>1753.0</v>
      </c>
      <c r="G344" s="52">
        <f>IFERROR(SUMIF(Issues!B:B, A344, Issues!H:H), 0)</f>
        <v>2090</v>
      </c>
      <c r="H344" s="52">
        <f>IFERROR(SUMIF(Returns!B:B, A344, Returns!H:H), 0)</f>
        <v>300</v>
      </c>
      <c r="I344" s="3">
        <v>6340.0</v>
      </c>
      <c r="J344" s="3">
        <v>1.0</v>
      </c>
      <c r="K344" s="3">
        <v>69.0</v>
      </c>
      <c r="L344" s="53">
        <f t="shared" si="5"/>
        <v>1391.412214</v>
      </c>
      <c r="M344" s="52">
        <f t="shared" si="6"/>
        <v>1790</v>
      </c>
      <c r="N344" s="54">
        <f t="shared" si="7"/>
        <v>398.5877863</v>
      </c>
      <c r="O344" s="54">
        <f t="shared" si="8"/>
        <v>55.80229008</v>
      </c>
    </row>
    <row r="345" ht="22.5" customHeight="1">
      <c r="A345" s="46" t="s">
        <v>505</v>
      </c>
      <c r="B345" s="14" t="s">
        <v>9</v>
      </c>
      <c r="C345" s="14">
        <v>80.0</v>
      </c>
      <c r="D345" s="15">
        <v>230.0</v>
      </c>
      <c r="E345" s="7">
        <v>460.0</v>
      </c>
      <c r="F345" s="7">
        <v>581.0</v>
      </c>
      <c r="G345" s="52">
        <f>IFERROR(SUMIF(Issues!B:B, A345, Issues!H:H), 0)</f>
        <v>1900</v>
      </c>
      <c r="H345" s="52">
        <f>IFERROR(SUMIF(Returns!B:B, A345, Returns!H:H), 0)</f>
        <v>1300</v>
      </c>
      <c r="I345" s="3">
        <v>7400.0</v>
      </c>
      <c r="J345" s="3">
        <v>6.0</v>
      </c>
      <c r="K345" s="3">
        <v>124.0</v>
      </c>
      <c r="L345" s="53">
        <f t="shared" si="5"/>
        <v>486.4291773</v>
      </c>
      <c r="M345" s="52">
        <f t="shared" si="6"/>
        <v>600</v>
      </c>
      <c r="N345" s="54">
        <f t="shared" si="7"/>
        <v>113.5708227</v>
      </c>
      <c r="O345" s="54">
        <f t="shared" si="8"/>
        <v>26.12128923</v>
      </c>
    </row>
    <row r="346" ht="22.5" customHeight="1">
      <c r="A346" s="46" t="s">
        <v>506</v>
      </c>
      <c r="B346" s="14" t="s">
        <v>9</v>
      </c>
      <c r="C346" s="14">
        <v>80.0</v>
      </c>
      <c r="D346" s="15">
        <v>140.0</v>
      </c>
      <c r="E346" s="7">
        <v>366.0</v>
      </c>
      <c r="F346" s="7">
        <v>504.0</v>
      </c>
      <c r="G346" s="52">
        <f>IFERROR(SUMIF(Issues!B:B, A346, Issues!H:H), 0)</f>
        <v>460</v>
      </c>
      <c r="H346" s="52">
        <f>IFERROR(SUMIF(Returns!B:B, A346, Returns!H:H), 0)</f>
        <v>0</v>
      </c>
      <c r="I346" s="3">
        <v>5670.0</v>
      </c>
      <c r="J346" s="3">
        <v>4.0</v>
      </c>
      <c r="K346" s="3">
        <v>92.0</v>
      </c>
      <c r="L346" s="53">
        <f t="shared" si="5"/>
        <v>414.7900763</v>
      </c>
      <c r="M346" s="52">
        <f t="shared" si="6"/>
        <v>460</v>
      </c>
      <c r="N346" s="54">
        <f t="shared" si="7"/>
        <v>45.20992366</v>
      </c>
      <c r="O346" s="54">
        <f t="shared" si="8"/>
        <v>6.329389313</v>
      </c>
    </row>
    <row r="347" ht="22.5" customHeight="1">
      <c r="A347" s="46" t="s">
        <v>508</v>
      </c>
      <c r="B347" s="14" t="s">
        <v>9</v>
      </c>
      <c r="C347" s="14">
        <v>80.0</v>
      </c>
      <c r="D347" s="15">
        <v>140.0</v>
      </c>
      <c r="E347" s="7">
        <v>472.0</v>
      </c>
      <c r="F347" s="7">
        <v>608.0</v>
      </c>
      <c r="G347" s="52">
        <f>IFERROR(SUMIF(Issues!B:B, A347, Issues!H:H), 0)</f>
        <v>1950</v>
      </c>
      <c r="H347" s="52">
        <f>IFERROR(SUMIF(Returns!B:B, A347, Returns!H:H), 0)</f>
        <v>1050</v>
      </c>
      <c r="I347" s="3">
        <v>9666.0</v>
      </c>
      <c r="J347" s="3">
        <v>6.0</v>
      </c>
      <c r="K347" s="3">
        <v>89.0</v>
      </c>
      <c r="L347" s="53">
        <f t="shared" si="5"/>
        <v>456.0400763</v>
      </c>
      <c r="M347" s="52">
        <f t="shared" si="6"/>
        <v>900</v>
      </c>
      <c r="N347" s="54">
        <f t="shared" si="7"/>
        <v>443.9599237</v>
      </c>
      <c r="O347" s="54">
        <f t="shared" si="8"/>
        <v>62.15438931</v>
      </c>
    </row>
    <row r="348" ht="22.5" customHeight="1">
      <c r="A348" s="46" t="s">
        <v>510</v>
      </c>
      <c r="B348" s="14" t="s">
        <v>9</v>
      </c>
      <c r="C348" s="14">
        <v>80.0</v>
      </c>
      <c r="D348" s="15">
        <v>140.0</v>
      </c>
      <c r="E348" s="7">
        <v>366.0</v>
      </c>
      <c r="F348" s="7">
        <v>522.0</v>
      </c>
      <c r="G348" s="52">
        <f>IFERROR(SUMIF(Issues!B:B, A348, Issues!H:H), 0)</f>
        <v>1050</v>
      </c>
      <c r="H348" s="52">
        <f>IFERROR(SUMIF(Returns!B:B, A348, Returns!H:H), 0)</f>
        <v>450</v>
      </c>
      <c r="I348" s="3">
        <v>5810.0</v>
      </c>
      <c r="J348" s="3">
        <v>4.0</v>
      </c>
      <c r="K348" s="3">
        <v>92.0</v>
      </c>
      <c r="L348" s="53">
        <f t="shared" si="5"/>
        <v>425.0318066</v>
      </c>
      <c r="M348" s="52">
        <f t="shared" si="6"/>
        <v>600</v>
      </c>
      <c r="N348" s="54">
        <f t="shared" si="7"/>
        <v>174.9681934</v>
      </c>
      <c r="O348" s="54">
        <f t="shared" si="8"/>
        <v>24.49554707</v>
      </c>
    </row>
    <row r="349" ht="22.5" customHeight="1">
      <c r="A349" s="46" t="s">
        <v>511</v>
      </c>
      <c r="B349" s="14" t="s">
        <v>9</v>
      </c>
      <c r="C349" s="14">
        <v>80.0</v>
      </c>
      <c r="D349" s="15">
        <v>290.0</v>
      </c>
      <c r="E349" s="7">
        <v>19733.0</v>
      </c>
      <c r="F349" s="7">
        <v>20593.0</v>
      </c>
      <c r="G349" s="52">
        <f>IFERROR(SUMIF(Issues!B:B, A349, Issues!H:H), 0)</f>
        <v>21000</v>
      </c>
      <c r="H349" s="52">
        <f>IFERROR(SUMIF(Returns!B:B, A349, Returns!H:H), 0)</f>
        <v>400</v>
      </c>
      <c r="I349" s="3">
        <v>131450.0</v>
      </c>
      <c r="J349" s="3">
        <v>2.0</v>
      </c>
      <c r="K349" s="3">
        <v>94.0</v>
      </c>
      <c r="L349" s="53">
        <f t="shared" si="5"/>
        <v>19650.60433</v>
      </c>
      <c r="M349" s="52">
        <f t="shared" si="6"/>
        <v>20600</v>
      </c>
      <c r="N349" s="54">
        <f t="shared" si="7"/>
        <v>949.3956743</v>
      </c>
      <c r="O349" s="54">
        <f t="shared" si="8"/>
        <v>275.3247455</v>
      </c>
    </row>
    <row r="350" ht="22.5" customHeight="1">
      <c r="A350" s="46" t="s">
        <v>512</v>
      </c>
      <c r="B350" s="14" t="s">
        <v>9</v>
      </c>
      <c r="C350" s="14">
        <v>80.0</v>
      </c>
      <c r="D350" s="15">
        <v>180.0</v>
      </c>
      <c r="E350" s="7">
        <v>293.0</v>
      </c>
      <c r="F350" s="7">
        <v>584.0</v>
      </c>
      <c r="G350" s="52">
        <f>IFERROR(SUMIF(Issues!B:B, A350, Issues!H:H), 0)</f>
        <v>2000</v>
      </c>
      <c r="H350" s="52">
        <f>IFERROR(SUMIF(Returns!B:B, A350, Returns!H:H), 0)</f>
        <v>1400</v>
      </c>
      <c r="I350" s="3">
        <v>10080.0</v>
      </c>
      <c r="J350" s="3">
        <v>1.0</v>
      </c>
      <c r="K350" s="3">
        <v>92.0</v>
      </c>
      <c r="L350" s="53">
        <f t="shared" si="5"/>
        <v>2949.618321</v>
      </c>
      <c r="M350" s="52">
        <f t="shared" si="6"/>
        <v>600</v>
      </c>
      <c r="N350" s="54">
        <f t="shared" si="7"/>
        <v>0</v>
      </c>
      <c r="O350" s="54">
        <f t="shared" si="8"/>
        <v>0</v>
      </c>
    </row>
    <row r="351" ht="22.5" customHeight="1">
      <c r="A351" s="46" t="s">
        <v>514</v>
      </c>
      <c r="B351" s="14" t="s">
        <v>9</v>
      </c>
      <c r="C351" s="14">
        <v>80.0</v>
      </c>
      <c r="D351" s="15">
        <v>210.0</v>
      </c>
      <c r="E351" s="7">
        <v>374.0</v>
      </c>
      <c r="F351" s="7">
        <v>640.0</v>
      </c>
      <c r="G351" s="52">
        <f>IFERROR(SUMIF(Issues!B:B, A351, Issues!H:H), 0)</f>
        <v>1270</v>
      </c>
      <c r="H351" s="52">
        <f>IFERROR(SUMIF(Returns!B:B, A351, Returns!H:H), 0)</f>
        <v>600</v>
      </c>
      <c r="I351" s="3">
        <v>14000.0</v>
      </c>
      <c r="J351" s="3">
        <v>8.0</v>
      </c>
      <c r="K351" s="3">
        <v>94.0</v>
      </c>
      <c r="L351" s="53">
        <f t="shared" si="5"/>
        <v>523.2188295</v>
      </c>
      <c r="M351" s="52">
        <f t="shared" si="6"/>
        <v>670</v>
      </c>
      <c r="N351" s="54">
        <f t="shared" si="7"/>
        <v>146.7811705</v>
      </c>
      <c r="O351" s="54">
        <f t="shared" si="8"/>
        <v>30.8240458</v>
      </c>
    </row>
    <row r="352" ht="22.5" customHeight="1">
      <c r="A352" s="46" t="s">
        <v>515</v>
      </c>
      <c r="B352" s="14" t="s">
        <v>9</v>
      </c>
      <c r="C352" s="14">
        <v>80.0</v>
      </c>
      <c r="D352" s="15">
        <v>290.0</v>
      </c>
      <c r="E352" s="7">
        <v>922.0</v>
      </c>
      <c r="F352" s="7">
        <v>1136.0</v>
      </c>
      <c r="G352" s="52">
        <f>IFERROR(SUMIF(Issues!B:B, A352, Issues!H:H), 0)</f>
        <v>2400</v>
      </c>
      <c r="H352" s="52">
        <f>IFERROR(SUMIF(Returns!B:B, A352, Returns!H:H), 0)</f>
        <v>1200</v>
      </c>
      <c r="I352" s="3">
        <v>16275.0</v>
      </c>
      <c r="J352" s="3">
        <v>6.0</v>
      </c>
      <c r="K352" s="3">
        <v>116.0</v>
      </c>
      <c r="L352" s="53">
        <f t="shared" si="5"/>
        <v>1000.795165</v>
      </c>
      <c r="M352" s="52">
        <f t="shared" si="6"/>
        <v>1200</v>
      </c>
      <c r="N352" s="54">
        <f t="shared" si="7"/>
        <v>199.2048346</v>
      </c>
      <c r="O352" s="54">
        <f t="shared" si="8"/>
        <v>57.76940204</v>
      </c>
    </row>
    <row r="353" ht="22.5" customHeight="1">
      <c r="A353" s="46" t="s">
        <v>517</v>
      </c>
      <c r="B353" s="14" t="s">
        <v>9</v>
      </c>
      <c r="C353" s="14">
        <v>80.0</v>
      </c>
      <c r="D353" s="15">
        <v>320.0</v>
      </c>
      <c r="E353" s="7">
        <v>398.0</v>
      </c>
      <c r="F353" s="7">
        <v>567.0</v>
      </c>
      <c r="G353" s="52">
        <f>IFERROR(SUMIF(Issues!B:B, A353, Issues!H:H), 0)</f>
        <v>550</v>
      </c>
      <c r="H353" s="52">
        <f>IFERROR(SUMIF(Returns!B:B, A353, Returns!H:H), 0)</f>
        <v>0</v>
      </c>
      <c r="I353" s="3">
        <v>6300.0</v>
      </c>
      <c r="J353" s="3">
        <v>3.0</v>
      </c>
      <c r="K353" s="3">
        <v>75.0</v>
      </c>
      <c r="L353" s="53">
        <f t="shared" si="5"/>
        <v>500.9541985</v>
      </c>
      <c r="M353" s="52">
        <f t="shared" si="6"/>
        <v>550</v>
      </c>
      <c r="N353" s="54">
        <f t="shared" si="7"/>
        <v>49.04580153</v>
      </c>
      <c r="O353" s="54">
        <f t="shared" si="8"/>
        <v>15.69465649</v>
      </c>
    </row>
    <row r="354" ht="22.5" customHeight="1">
      <c r="A354" s="46" t="s">
        <v>518</v>
      </c>
      <c r="B354" s="14" t="s">
        <v>9</v>
      </c>
      <c r="C354" s="14">
        <v>80.0</v>
      </c>
      <c r="D354" s="15">
        <v>290.0</v>
      </c>
      <c r="E354" s="7">
        <v>1868.0</v>
      </c>
      <c r="F354" s="7">
        <v>2320.0</v>
      </c>
      <c r="G354" s="52">
        <f>IFERROR(SUMIF(Issues!B:B, A354, Issues!H:H), 0)</f>
        <v>2300</v>
      </c>
      <c r="H354" s="52">
        <f>IFERROR(SUMIF(Returns!B:B, A354, Returns!H:H), 0)</f>
        <v>0</v>
      </c>
      <c r="I354" s="3">
        <v>6600.0</v>
      </c>
      <c r="J354" s="3">
        <v>1.0</v>
      </c>
      <c r="K354" s="3">
        <v>89.0</v>
      </c>
      <c r="L354" s="53">
        <f t="shared" si="5"/>
        <v>1868.320611</v>
      </c>
      <c r="M354" s="52">
        <f t="shared" si="6"/>
        <v>2300</v>
      </c>
      <c r="N354" s="54">
        <f t="shared" si="7"/>
        <v>431.6793893</v>
      </c>
      <c r="O354" s="54">
        <f t="shared" si="8"/>
        <v>125.1870229</v>
      </c>
    </row>
    <row r="355" ht="22.5" customHeight="1">
      <c r="A355" s="46" t="s">
        <v>519</v>
      </c>
      <c r="B355" s="14" t="s">
        <v>9</v>
      </c>
      <c r="C355" s="14">
        <v>80.0</v>
      </c>
      <c r="D355" s="15">
        <v>125.0</v>
      </c>
      <c r="E355" s="7">
        <v>2608.0</v>
      </c>
      <c r="F355" s="7">
        <v>2906.0</v>
      </c>
      <c r="G355" s="52">
        <f>IFERROR(SUMIF(Issues!B:B, A355, Issues!H:H), 0)</f>
        <v>4050</v>
      </c>
      <c r="H355" s="52">
        <f>IFERROR(SUMIF(Returns!B:B, A355, Returns!H:H), 0)</f>
        <v>1100</v>
      </c>
      <c r="I355" s="3">
        <v>11390.0</v>
      </c>
      <c r="J355" s="3">
        <v>1.0</v>
      </c>
      <c r="K355" s="3">
        <v>72.0</v>
      </c>
      <c r="L355" s="53">
        <f t="shared" si="5"/>
        <v>2608.396947</v>
      </c>
      <c r="M355" s="52">
        <f t="shared" si="6"/>
        <v>2950</v>
      </c>
      <c r="N355" s="54">
        <f t="shared" si="7"/>
        <v>341.6030534</v>
      </c>
      <c r="O355" s="54">
        <f t="shared" si="8"/>
        <v>42.70038168</v>
      </c>
    </row>
    <row r="356" ht="22.5" customHeight="1">
      <c r="A356" s="46" t="s">
        <v>520</v>
      </c>
      <c r="B356" s="14" t="s">
        <v>26</v>
      </c>
      <c r="C356" s="14">
        <v>80.0</v>
      </c>
      <c r="D356" s="15">
        <v>160.0</v>
      </c>
      <c r="E356" s="7">
        <v>1097.0</v>
      </c>
      <c r="F356" s="7">
        <v>1394.0</v>
      </c>
      <c r="G356" s="52">
        <f>IFERROR(SUMIF(Issues!B:B, A356, Issues!H:H), 0)</f>
        <v>1970</v>
      </c>
      <c r="H356" s="52">
        <f>IFERROR(SUMIF(Returns!B:B, A356, Returns!H:H), 0)</f>
        <v>550</v>
      </c>
      <c r="I356" s="3">
        <v>5690.0</v>
      </c>
      <c r="J356" s="3">
        <v>1.0</v>
      </c>
      <c r="K356" s="3">
        <v>69.0</v>
      </c>
      <c r="L356" s="53">
        <f t="shared" si="5"/>
        <v>1248.759542</v>
      </c>
      <c r="M356" s="52">
        <f t="shared" si="6"/>
        <v>1420</v>
      </c>
      <c r="N356" s="54">
        <f t="shared" si="7"/>
        <v>171.240458</v>
      </c>
      <c r="O356" s="54">
        <f t="shared" si="8"/>
        <v>27.39847328</v>
      </c>
    </row>
    <row r="357" ht="22.5" customHeight="1">
      <c r="A357" s="46" t="s">
        <v>521</v>
      </c>
      <c r="B357" s="14" t="s">
        <v>9</v>
      </c>
      <c r="C357" s="14">
        <v>80.0</v>
      </c>
      <c r="D357" s="15">
        <v>330.0</v>
      </c>
      <c r="E357" s="7">
        <v>451.0</v>
      </c>
      <c r="F357" s="7">
        <v>580.0</v>
      </c>
      <c r="G357" s="52">
        <f>IFERROR(SUMIF(Issues!B:B, A357, Issues!H:H), 0)</f>
        <v>600</v>
      </c>
      <c r="H357" s="52">
        <f>IFERROR(SUMIF(Returns!B:B, A357, Returns!H:H), 0)</f>
        <v>0</v>
      </c>
      <c r="I357" s="3">
        <v>17000.0</v>
      </c>
      <c r="J357" s="3">
        <v>9.0</v>
      </c>
      <c r="K357" s="3">
        <v>85.0</v>
      </c>
      <c r="L357" s="53">
        <f t="shared" si="5"/>
        <v>510.6728866</v>
      </c>
      <c r="M357" s="52">
        <f t="shared" si="6"/>
        <v>600</v>
      </c>
      <c r="N357" s="54">
        <f t="shared" si="7"/>
        <v>89.32711337</v>
      </c>
      <c r="O357" s="54">
        <f t="shared" si="8"/>
        <v>29.47794741</v>
      </c>
    </row>
    <row r="358" ht="22.5" customHeight="1">
      <c r="A358" s="46" t="s">
        <v>523</v>
      </c>
      <c r="B358" s="14" t="s">
        <v>9</v>
      </c>
      <c r="C358" s="14">
        <v>80.0</v>
      </c>
      <c r="D358" s="15">
        <v>230.0</v>
      </c>
      <c r="E358" s="7">
        <v>986.0</v>
      </c>
      <c r="F358" s="7">
        <v>1224.0</v>
      </c>
      <c r="G358" s="52">
        <f>IFERROR(SUMIF(Issues!B:B, A358, Issues!H:H), 0)</f>
        <v>1200</v>
      </c>
      <c r="H358" s="52">
        <f>IFERROR(SUMIF(Returns!B:B, A358, Returns!H:H), 0)</f>
        <v>0</v>
      </c>
      <c r="I358" s="3">
        <v>16120.0</v>
      </c>
      <c r="J358" s="3">
        <v>6.0</v>
      </c>
      <c r="K358" s="3">
        <v>124.0</v>
      </c>
      <c r="L358" s="53">
        <f t="shared" si="5"/>
        <v>1059.626802</v>
      </c>
      <c r="M358" s="52">
        <f t="shared" si="6"/>
        <v>1200</v>
      </c>
      <c r="N358" s="54">
        <f t="shared" si="7"/>
        <v>140.3731976</v>
      </c>
      <c r="O358" s="54">
        <f t="shared" si="8"/>
        <v>32.28583545</v>
      </c>
    </row>
    <row r="359" ht="22.5" customHeight="1">
      <c r="A359" s="46" t="s">
        <v>525</v>
      </c>
      <c r="B359" s="14" t="s">
        <v>9</v>
      </c>
      <c r="C359" s="14">
        <v>80.0</v>
      </c>
      <c r="D359" s="15">
        <v>140.0</v>
      </c>
      <c r="E359" s="7">
        <v>1097.0</v>
      </c>
      <c r="F359" s="7">
        <v>1203.0</v>
      </c>
      <c r="G359" s="52">
        <f>IFERROR(SUMIF(Issues!B:B, A359, Issues!H:H), 0)</f>
        <v>1690</v>
      </c>
      <c r="H359" s="52">
        <f>IFERROR(SUMIF(Returns!B:B, A359, Returns!H:H), 0)</f>
        <v>450</v>
      </c>
      <c r="I359" s="3">
        <v>15000.0</v>
      </c>
      <c r="J359" s="3">
        <v>4.0</v>
      </c>
      <c r="K359" s="3">
        <v>92.0</v>
      </c>
      <c r="L359" s="53">
        <f t="shared" si="5"/>
        <v>1097.328244</v>
      </c>
      <c r="M359" s="52">
        <f t="shared" si="6"/>
        <v>1240</v>
      </c>
      <c r="N359" s="54">
        <f t="shared" si="7"/>
        <v>142.6717557</v>
      </c>
      <c r="O359" s="54">
        <f t="shared" si="8"/>
        <v>19.9740458</v>
      </c>
    </row>
    <row r="360" ht="22.5" customHeight="1">
      <c r="A360" s="46" t="s">
        <v>526</v>
      </c>
      <c r="B360" s="14" t="s">
        <v>43</v>
      </c>
      <c r="C360" s="14">
        <v>50.0</v>
      </c>
      <c r="D360" s="15">
        <v>110.0</v>
      </c>
      <c r="E360" s="7">
        <v>6997.0</v>
      </c>
      <c r="F360" s="7">
        <v>7103.0</v>
      </c>
      <c r="G360" s="52">
        <f>IFERROR(SUMIF(Issues!B:B, A360, Issues!H:H), 0)</f>
        <v>8160</v>
      </c>
      <c r="H360" s="52">
        <f>IFERROR(SUMIF(Returns!B:B, A360, Returns!H:H), 0)</f>
        <v>1000</v>
      </c>
      <c r="I360" s="3">
        <v>92700.0</v>
      </c>
      <c r="J360" s="3">
        <v>3.0</v>
      </c>
      <c r="K360" s="3">
        <v>66.0</v>
      </c>
      <c r="L360" s="53">
        <f t="shared" si="5"/>
        <v>6486.641221</v>
      </c>
      <c r="M360" s="52">
        <f t="shared" si="6"/>
        <v>7160</v>
      </c>
      <c r="N360" s="54">
        <f t="shared" si="7"/>
        <v>673.3587786</v>
      </c>
      <c r="O360" s="54">
        <f t="shared" si="8"/>
        <v>74.06946565</v>
      </c>
    </row>
    <row r="361" ht="22.5" customHeight="1">
      <c r="A361" s="46" t="s">
        <v>528</v>
      </c>
      <c r="B361" s="14" t="s">
        <v>9</v>
      </c>
      <c r="C361" s="14">
        <v>80.0</v>
      </c>
      <c r="D361" s="15">
        <v>290.0</v>
      </c>
      <c r="E361" s="7">
        <v>1495.0</v>
      </c>
      <c r="F361" s="7">
        <v>1691.0</v>
      </c>
      <c r="G361" s="52">
        <f>IFERROR(SUMIF(Issues!B:B, A361, Issues!H:H), 0)</f>
        <v>3100</v>
      </c>
      <c r="H361" s="52">
        <f>IFERROR(SUMIF(Returns!B:B, A361, Returns!H:H), 0)</f>
        <v>1400</v>
      </c>
      <c r="I361" s="3">
        <v>10080.0</v>
      </c>
      <c r="J361" s="3">
        <v>2.0</v>
      </c>
      <c r="K361" s="3">
        <v>94.0</v>
      </c>
      <c r="L361" s="53">
        <f t="shared" si="5"/>
        <v>1506.870229</v>
      </c>
      <c r="M361" s="52">
        <f t="shared" si="6"/>
        <v>1700</v>
      </c>
      <c r="N361" s="54">
        <f t="shared" si="7"/>
        <v>193.129771</v>
      </c>
      <c r="O361" s="54">
        <f t="shared" si="8"/>
        <v>56.00763359</v>
      </c>
    </row>
    <row r="362" ht="22.5" customHeight="1">
      <c r="A362" s="46" t="s">
        <v>531</v>
      </c>
      <c r="B362" s="14" t="s">
        <v>9</v>
      </c>
      <c r="C362" s="14">
        <v>80.0</v>
      </c>
      <c r="D362" s="15">
        <v>125.0</v>
      </c>
      <c r="E362" s="7">
        <v>515.0</v>
      </c>
      <c r="F362" s="7">
        <v>721.0</v>
      </c>
      <c r="G362" s="52">
        <f>IFERROR(SUMIF(Issues!B:B, A362, Issues!H:H), 0)</f>
        <v>1300</v>
      </c>
      <c r="H362" s="52">
        <f>IFERROR(SUMIF(Returns!B:B, A362, Returns!H:H), 0)</f>
        <v>550</v>
      </c>
      <c r="I362" s="3">
        <v>3440.0</v>
      </c>
      <c r="J362" s="3">
        <v>2.0</v>
      </c>
      <c r="K362" s="3">
        <v>108.0</v>
      </c>
      <c r="L362" s="53">
        <f t="shared" si="5"/>
        <v>590.8396947</v>
      </c>
      <c r="M362" s="52">
        <f t="shared" si="6"/>
        <v>750</v>
      </c>
      <c r="N362" s="54">
        <f t="shared" si="7"/>
        <v>159.1603053</v>
      </c>
      <c r="O362" s="54">
        <f t="shared" si="8"/>
        <v>19.89503817</v>
      </c>
    </row>
    <row r="363" ht="22.5" customHeight="1">
      <c r="A363" s="46" t="s">
        <v>532</v>
      </c>
      <c r="B363" s="14" t="s">
        <v>9</v>
      </c>
      <c r="C363" s="14">
        <v>80.0</v>
      </c>
      <c r="D363" s="15">
        <v>125.0</v>
      </c>
      <c r="E363" s="7">
        <v>1031.0</v>
      </c>
      <c r="F363" s="7">
        <v>1216.0</v>
      </c>
      <c r="G363" s="52">
        <f>IFERROR(SUMIF(Issues!B:B, A363, Issues!H:H), 0)</f>
        <v>2550</v>
      </c>
      <c r="H363" s="52">
        <f>IFERROR(SUMIF(Returns!B:B, A363, Returns!H:H), 0)</f>
        <v>1300</v>
      </c>
      <c r="I363" s="3">
        <v>6900.0</v>
      </c>
      <c r="J363" s="3">
        <v>2.0</v>
      </c>
      <c r="K363" s="3">
        <v>108.0</v>
      </c>
      <c r="L363" s="53">
        <f t="shared" si="5"/>
        <v>1185.114504</v>
      </c>
      <c r="M363" s="52">
        <f t="shared" si="6"/>
        <v>1250</v>
      </c>
      <c r="N363" s="54">
        <f t="shared" si="7"/>
        <v>64.88549618</v>
      </c>
      <c r="O363" s="54">
        <f t="shared" si="8"/>
        <v>8.110687023</v>
      </c>
    </row>
    <row r="364" ht="22.5" customHeight="1">
      <c r="A364" s="46" t="s">
        <v>533</v>
      </c>
      <c r="B364" s="14" t="s">
        <v>9</v>
      </c>
      <c r="C364" s="14">
        <v>80.0</v>
      </c>
      <c r="D364" s="15">
        <v>125.0</v>
      </c>
      <c r="E364" s="7">
        <v>1031.0</v>
      </c>
      <c r="F364" s="7">
        <v>1229.0</v>
      </c>
      <c r="G364" s="52">
        <f>IFERROR(SUMIF(Issues!B:B, A364, Issues!H:H), 0)</f>
        <v>1300</v>
      </c>
      <c r="H364" s="52">
        <f>IFERROR(SUMIF(Returns!B:B, A364, Returns!H:H), 0)</f>
        <v>50</v>
      </c>
      <c r="I364" s="3">
        <v>5700.0</v>
      </c>
      <c r="J364" s="3">
        <v>2.0</v>
      </c>
      <c r="K364" s="3">
        <v>108.0</v>
      </c>
      <c r="L364" s="53">
        <f t="shared" si="5"/>
        <v>979.0076336</v>
      </c>
      <c r="M364" s="52">
        <f t="shared" si="6"/>
        <v>1250</v>
      </c>
      <c r="N364" s="54">
        <f t="shared" si="7"/>
        <v>270.9923664</v>
      </c>
      <c r="O364" s="54">
        <f t="shared" si="8"/>
        <v>33.8740458</v>
      </c>
    </row>
    <row r="365" ht="22.5" customHeight="1">
      <c r="A365" s="46" t="s">
        <v>534</v>
      </c>
      <c r="B365" s="14" t="s">
        <v>9</v>
      </c>
      <c r="C365" s="14">
        <v>80.0</v>
      </c>
      <c r="D365" s="15">
        <v>280.0</v>
      </c>
      <c r="E365" s="7">
        <v>1463.0</v>
      </c>
      <c r="F365" s="7">
        <v>1708.0</v>
      </c>
      <c r="G365" s="52">
        <f>IFERROR(SUMIF(Issues!B:B, A365, Issues!H:H), 0)</f>
        <v>2000</v>
      </c>
      <c r="H365" s="52">
        <f>IFERROR(SUMIF(Returns!B:B, A365, Returns!H:H), 0)</f>
        <v>250</v>
      </c>
      <c r="I365" s="3">
        <v>10540.0</v>
      </c>
      <c r="J365" s="3">
        <v>2.0</v>
      </c>
      <c r="K365" s="3">
        <v>92.0</v>
      </c>
      <c r="L365" s="53">
        <f t="shared" si="5"/>
        <v>1542.111959</v>
      </c>
      <c r="M365" s="52">
        <f t="shared" si="6"/>
        <v>1750</v>
      </c>
      <c r="N365" s="54">
        <f t="shared" si="7"/>
        <v>207.8880407</v>
      </c>
      <c r="O365" s="54">
        <f t="shared" si="8"/>
        <v>58.2086514</v>
      </c>
    </row>
    <row r="366" ht="22.5" customHeight="1">
      <c r="A366" s="46" t="s">
        <v>535</v>
      </c>
      <c r="B366" s="14" t="s">
        <v>9</v>
      </c>
      <c r="C366" s="14">
        <v>80.0</v>
      </c>
      <c r="D366" s="15">
        <v>290.0</v>
      </c>
      <c r="E366" s="7">
        <v>307.0</v>
      </c>
      <c r="F366" s="7">
        <v>459.0</v>
      </c>
      <c r="G366" s="52">
        <f>IFERROR(SUMIF(Issues!B:B, A366, Issues!H:H), 0)</f>
        <v>1400</v>
      </c>
      <c r="H366" s="52">
        <f>IFERROR(SUMIF(Returns!B:B, A366, Returns!H:H), 0)</f>
        <v>900</v>
      </c>
      <c r="I366" s="3">
        <v>5100.0</v>
      </c>
      <c r="J366" s="3">
        <v>6.0</v>
      </c>
      <c r="K366" s="3">
        <v>116.0</v>
      </c>
      <c r="L366" s="53">
        <f t="shared" si="5"/>
        <v>313.6132316</v>
      </c>
      <c r="M366" s="52">
        <f t="shared" si="6"/>
        <v>500</v>
      </c>
      <c r="N366" s="54">
        <f t="shared" si="7"/>
        <v>186.3867684</v>
      </c>
      <c r="O366" s="54">
        <f t="shared" si="8"/>
        <v>54.05216285</v>
      </c>
    </row>
    <row r="367" ht="22.5" customHeight="1">
      <c r="A367" s="46" t="s">
        <v>536</v>
      </c>
      <c r="B367" s="14" t="s">
        <v>9</v>
      </c>
      <c r="C367" s="14">
        <v>80.0</v>
      </c>
      <c r="D367" s="15">
        <v>280.0</v>
      </c>
      <c r="E367" s="7">
        <v>5121.0</v>
      </c>
      <c r="F367" s="7">
        <v>5310.0</v>
      </c>
      <c r="G367" s="52">
        <f>IFERROR(SUMIF(Issues!B:B, A367, Issues!H:H), 0)</f>
        <v>6250</v>
      </c>
      <c r="H367" s="52">
        <f>IFERROR(SUMIF(Returns!B:B, A367, Returns!H:H), 0)</f>
        <v>900</v>
      </c>
      <c r="I367" s="3">
        <v>35560.0</v>
      </c>
      <c r="J367" s="3">
        <v>2.0</v>
      </c>
      <c r="K367" s="3">
        <v>92.0</v>
      </c>
      <c r="L367" s="53">
        <f t="shared" si="5"/>
        <v>5202.798982</v>
      </c>
      <c r="M367" s="52">
        <f t="shared" si="6"/>
        <v>5350</v>
      </c>
      <c r="N367" s="54">
        <f t="shared" si="7"/>
        <v>147.2010178</v>
      </c>
      <c r="O367" s="54">
        <f t="shared" si="8"/>
        <v>41.21628499</v>
      </c>
    </row>
    <row r="368" ht="22.5" customHeight="1">
      <c r="A368" s="46" t="s">
        <v>537</v>
      </c>
      <c r="B368" s="14" t="s">
        <v>9</v>
      </c>
      <c r="C368" s="14">
        <v>80.0</v>
      </c>
      <c r="D368" s="15">
        <v>290.0</v>
      </c>
      <c r="E368" s="7">
        <v>747.0</v>
      </c>
      <c r="F368" s="7">
        <v>1034.0</v>
      </c>
      <c r="G368" s="52">
        <f>IFERROR(SUMIF(Issues!B:B, A368, Issues!H:H), 0)</f>
        <v>2500</v>
      </c>
      <c r="H368" s="52">
        <f>IFERROR(SUMIF(Returns!B:B, A368, Returns!H:H), 0)</f>
        <v>1400</v>
      </c>
      <c r="I368" s="3">
        <v>6200.0</v>
      </c>
      <c r="J368" s="3">
        <v>2.0</v>
      </c>
      <c r="K368" s="3">
        <v>94.0</v>
      </c>
      <c r="L368" s="53">
        <f t="shared" si="5"/>
        <v>926.8447837</v>
      </c>
      <c r="M368" s="52">
        <f t="shared" si="6"/>
        <v>1100</v>
      </c>
      <c r="N368" s="54">
        <f t="shared" si="7"/>
        <v>173.1552163</v>
      </c>
      <c r="O368" s="54">
        <f t="shared" si="8"/>
        <v>50.21501272</v>
      </c>
    </row>
    <row r="369" ht="22.5" customHeight="1">
      <c r="A369" s="46" t="s">
        <v>538</v>
      </c>
      <c r="B369" s="14" t="s">
        <v>9</v>
      </c>
      <c r="C369" s="14">
        <v>80.0</v>
      </c>
      <c r="D369" s="15">
        <v>160.0</v>
      </c>
      <c r="E369" s="7">
        <v>461.0</v>
      </c>
      <c r="F369" s="7">
        <v>571.0</v>
      </c>
      <c r="G369" s="52">
        <f>IFERROR(SUMIF(Issues!B:B, A369, Issues!H:H), 0)</f>
        <v>1350</v>
      </c>
      <c r="H369" s="52">
        <f>IFERROR(SUMIF(Returns!B:B, A369, Returns!H:H), 0)</f>
        <v>750</v>
      </c>
      <c r="I369" s="3">
        <v>5400.0</v>
      </c>
      <c r="J369" s="3">
        <v>4.0</v>
      </c>
      <c r="K369" s="3">
        <v>116.0</v>
      </c>
      <c r="L369" s="53">
        <f t="shared" si="5"/>
        <v>498.0916031</v>
      </c>
      <c r="M369" s="52">
        <f t="shared" si="6"/>
        <v>600</v>
      </c>
      <c r="N369" s="54">
        <f t="shared" si="7"/>
        <v>101.9083969</v>
      </c>
      <c r="O369" s="54">
        <f t="shared" si="8"/>
        <v>16.30534351</v>
      </c>
    </row>
    <row r="370" ht="22.5" customHeight="1">
      <c r="A370" s="46" t="s">
        <v>539</v>
      </c>
      <c r="B370" s="14" t="s">
        <v>9</v>
      </c>
      <c r="C370" s="14">
        <v>80.0</v>
      </c>
      <c r="D370" s="15">
        <v>160.0</v>
      </c>
      <c r="E370" s="7">
        <v>461.0</v>
      </c>
      <c r="F370" s="7">
        <v>565.0</v>
      </c>
      <c r="G370" s="52">
        <f>IFERROR(SUMIF(Issues!B:B, A370, Issues!H:H), 0)</f>
        <v>750</v>
      </c>
      <c r="H370" s="52">
        <f>IFERROR(SUMIF(Returns!B:B, A370, Returns!H:H), 0)</f>
        <v>150</v>
      </c>
      <c r="I370" s="3">
        <v>5560.0</v>
      </c>
      <c r="J370" s="3">
        <v>4.0</v>
      </c>
      <c r="K370" s="3">
        <v>116.0</v>
      </c>
      <c r="L370" s="53">
        <f t="shared" si="5"/>
        <v>512.8498728</v>
      </c>
      <c r="M370" s="52">
        <f t="shared" si="6"/>
        <v>600</v>
      </c>
      <c r="N370" s="54">
        <f t="shared" si="7"/>
        <v>87.15012723</v>
      </c>
      <c r="O370" s="54">
        <f t="shared" si="8"/>
        <v>13.94402036</v>
      </c>
    </row>
    <row r="371" ht="22.5" customHeight="1">
      <c r="A371" s="46" t="s">
        <v>540</v>
      </c>
      <c r="B371" s="14" t="s">
        <v>9</v>
      </c>
      <c r="C371" s="14">
        <v>80.0</v>
      </c>
      <c r="D371" s="15">
        <v>160.0</v>
      </c>
      <c r="E371" s="7">
        <v>461.0</v>
      </c>
      <c r="F371" s="7">
        <v>620.0</v>
      </c>
      <c r="G371" s="52">
        <f>IFERROR(SUMIF(Issues!B:B, A371, Issues!H:H), 0)</f>
        <v>1000</v>
      </c>
      <c r="H371" s="52">
        <f>IFERROR(SUMIF(Returns!B:B, A371, Returns!H:H), 0)</f>
        <v>350</v>
      </c>
      <c r="I371" s="52"/>
      <c r="J371" s="3">
        <v>4.0</v>
      </c>
      <c r="K371" s="3">
        <v>116.0</v>
      </c>
      <c r="L371" s="53">
        <f t="shared" si="5"/>
        <v>0</v>
      </c>
      <c r="M371" s="52">
        <f t="shared" si="6"/>
        <v>650</v>
      </c>
      <c r="N371" s="54">
        <f t="shared" si="7"/>
        <v>650</v>
      </c>
      <c r="O371" s="54">
        <f t="shared" si="8"/>
        <v>104</v>
      </c>
    </row>
    <row r="372" ht="22.5" customHeight="1">
      <c r="A372" s="46" t="s">
        <v>541</v>
      </c>
      <c r="B372" s="14" t="s">
        <v>9</v>
      </c>
      <c r="C372" s="14">
        <v>80.0</v>
      </c>
      <c r="D372" s="15">
        <v>290.0</v>
      </c>
      <c r="E372" s="7">
        <v>747.0</v>
      </c>
      <c r="F372" s="7">
        <v>1083.0</v>
      </c>
      <c r="G372" s="52">
        <f>IFERROR(SUMIF(Issues!B:B, A372, Issues!H:H), 0)</f>
        <v>2000</v>
      </c>
      <c r="H372" s="52">
        <f>IFERROR(SUMIF(Returns!B:B, A372, Returns!H:H), 0)</f>
        <v>900</v>
      </c>
      <c r="I372" s="3">
        <v>5400.0</v>
      </c>
      <c r="J372" s="3">
        <v>2.0</v>
      </c>
      <c r="K372" s="3">
        <v>94.0</v>
      </c>
      <c r="L372" s="53">
        <f t="shared" si="5"/>
        <v>807.2519084</v>
      </c>
      <c r="M372" s="52">
        <f t="shared" si="6"/>
        <v>1100</v>
      </c>
      <c r="N372" s="54">
        <f t="shared" si="7"/>
        <v>292.7480916</v>
      </c>
      <c r="O372" s="54">
        <f t="shared" si="8"/>
        <v>84.89694656</v>
      </c>
    </row>
    <row r="373" ht="22.5" customHeight="1">
      <c r="A373" s="46" t="s">
        <v>542</v>
      </c>
      <c r="B373" s="14" t="s">
        <v>9</v>
      </c>
      <c r="C373" s="14">
        <v>80.0</v>
      </c>
      <c r="D373" s="15">
        <v>290.0</v>
      </c>
      <c r="E373" s="7">
        <v>573.0</v>
      </c>
      <c r="F373" s="7">
        <v>790.0</v>
      </c>
      <c r="G373" s="52">
        <f>IFERROR(SUMIF(Issues!B:B, A373, Issues!H:H), 0)</f>
        <v>1400</v>
      </c>
      <c r="H373" s="52">
        <f>IFERROR(SUMIF(Returns!B:B, A373, Returns!H:H), 0)</f>
        <v>600</v>
      </c>
      <c r="I373" s="3">
        <v>1170.0</v>
      </c>
      <c r="J373" s="3">
        <v>1.0</v>
      </c>
      <c r="K373" s="3">
        <v>180.0</v>
      </c>
      <c r="L373" s="53">
        <f t="shared" si="5"/>
        <v>669.8473282</v>
      </c>
      <c r="M373" s="52">
        <f t="shared" si="6"/>
        <v>800</v>
      </c>
      <c r="N373" s="54">
        <f t="shared" si="7"/>
        <v>130.1526718</v>
      </c>
      <c r="O373" s="54">
        <f t="shared" si="8"/>
        <v>37.74427481</v>
      </c>
    </row>
    <row r="374" ht="22.5" customHeight="1">
      <c r="A374" s="46" t="s">
        <v>544</v>
      </c>
      <c r="B374" s="14" t="s">
        <v>9</v>
      </c>
      <c r="C374" s="14">
        <v>80.0</v>
      </c>
      <c r="D374" s="15">
        <v>150.0</v>
      </c>
      <c r="E374" s="7">
        <v>3562.0</v>
      </c>
      <c r="F374" s="7">
        <v>3959.0</v>
      </c>
      <c r="G374" s="52">
        <f>IFERROR(SUMIF(Issues!B:B, A374, Issues!H:H), 0)</f>
        <v>4000</v>
      </c>
      <c r="H374" s="52">
        <f>IFERROR(SUMIF(Returns!B:B, A374, Returns!H:H), 0)</f>
        <v>0</v>
      </c>
      <c r="I374" s="3">
        <v>10550.0</v>
      </c>
      <c r="J374" s="3">
        <v>1.0</v>
      </c>
      <c r="K374" s="3">
        <v>112.0</v>
      </c>
      <c r="L374" s="53">
        <f t="shared" si="5"/>
        <v>3758.26972</v>
      </c>
      <c r="M374" s="52">
        <f t="shared" si="6"/>
        <v>4000</v>
      </c>
      <c r="N374" s="54">
        <f t="shared" si="7"/>
        <v>241.7302799</v>
      </c>
      <c r="O374" s="54">
        <f t="shared" si="8"/>
        <v>36.25954198</v>
      </c>
    </row>
    <row r="375" ht="22.5" customHeight="1">
      <c r="A375" s="46" t="s">
        <v>545</v>
      </c>
      <c r="B375" s="14" t="s">
        <v>9</v>
      </c>
      <c r="C375" s="14">
        <v>80.0</v>
      </c>
      <c r="D375" s="15">
        <v>170.0</v>
      </c>
      <c r="E375" s="7">
        <v>747.0</v>
      </c>
      <c r="F375" s="7">
        <v>2073.0</v>
      </c>
      <c r="G375" s="52">
        <f>IFERROR(SUMIF(Issues!B:B, A375, Issues!H:H), 0)</f>
        <v>2850</v>
      </c>
      <c r="H375" s="52">
        <f>IFERROR(SUMIF(Returns!B:B, A375, Returns!H:H), 0)</f>
        <v>770</v>
      </c>
      <c r="I375" s="3">
        <v>5220.0</v>
      </c>
      <c r="J375" s="3">
        <v>2.0</v>
      </c>
      <c r="K375" s="3">
        <v>94.0</v>
      </c>
      <c r="L375" s="53">
        <f t="shared" si="5"/>
        <v>780.3435115</v>
      </c>
      <c r="M375" s="52">
        <f t="shared" si="6"/>
        <v>2080</v>
      </c>
      <c r="N375" s="54">
        <f t="shared" si="7"/>
        <v>1299.656489</v>
      </c>
      <c r="O375" s="54">
        <f t="shared" si="8"/>
        <v>220.9416031</v>
      </c>
    </row>
    <row r="376" ht="22.5" customHeight="1">
      <c r="A376" s="46" t="s">
        <v>546</v>
      </c>
      <c r="B376" s="14" t="s">
        <v>57</v>
      </c>
      <c r="C376" s="14">
        <v>80.0</v>
      </c>
      <c r="D376" s="15">
        <v>160.0</v>
      </c>
      <c r="E376" s="7">
        <v>82.0</v>
      </c>
      <c r="F376" s="7">
        <v>420.0</v>
      </c>
      <c r="G376" s="52">
        <f>IFERROR(SUMIF(Issues!B:B, A376, Issues!H:H), 0)</f>
        <v>500</v>
      </c>
      <c r="H376" s="52">
        <f>IFERROR(SUMIF(Returns!B:B, A376, Returns!H:H), 0)</f>
        <v>0</v>
      </c>
      <c r="I376" s="3">
        <v>11850.0</v>
      </c>
      <c r="J376" s="3">
        <v>28.0</v>
      </c>
      <c r="K376" s="3">
        <v>72.0</v>
      </c>
      <c r="L376" s="53">
        <f t="shared" si="5"/>
        <v>96.91930207</v>
      </c>
      <c r="M376" s="52">
        <f t="shared" si="6"/>
        <v>500</v>
      </c>
      <c r="N376" s="54">
        <f t="shared" si="7"/>
        <v>403.0806979</v>
      </c>
      <c r="O376" s="54">
        <f t="shared" si="8"/>
        <v>64.49291167</v>
      </c>
    </row>
    <row r="377" ht="22.5" customHeight="1">
      <c r="A377" s="46" t="s">
        <v>547</v>
      </c>
      <c r="B377" s="14" t="s">
        <v>57</v>
      </c>
      <c r="C377" s="14">
        <v>80.0</v>
      </c>
      <c r="D377" s="15">
        <v>160.0</v>
      </c>
      <c r="E377" s="7">
        <v>82.0</v>
      </c>
      <c r="F377" s="7">
        <v>387.0</v>
      </c>
      <c r="G377" s="52">
        <f>IFERROR(SUMIF(Issues!B:B, A377, Issues!H:H), 0)</f>
        <v>2000</v>
      </c>
      <c r="H377" s="52">
        <f>IFERROR(SUMIF(Returns!B:B, A377, Returns!H:H), 0)</f>
        <v>1600</v>
      </c>
      <c r="I377" s="3">
        <v>10250.0</v>
      </c>
      <c r="J377" s="3">
        <v>28.0</v>
      </c>
      <c r="K377" s="3">
        <v>72.0</v>
      </c>
      <c r="L377" s="53">
        <f t="shared" si="5"/>
        <v>83.83315158</v>
      </c>
      <c r="M377" s="52">
        <f t="shared" si="6"/>
        <v>400</v>
      </c>
      <c r="N377" s="54">
        <f t="shared" si="7"/>
        <v>316.1668484</v>
      </c>
      <c r="O377" s="54">
        <f t="shared" si="8"/>
        <v>50.58669575</v>
      </c>
    </row>
    <row r="378" ht="22.5" customHeight="1">
      <c r="A378" s="46" t="s">
        <v>548</v>
      </c>
      <c r="B378" s="14" t="s">
        <v>57</v>
      </c>
      <c r="C378" s="14">
        <v>80.0</v>
      </c>
      <c r="D378" s="15">
        <v>160.0</v>
      </c>
      <c r="E378" s="7">
        <v>82.0</v>
      </c>
      <c r="F378" s="7">
        <v>362.0</v>
      </c>
      <c r="G378" s="52">
        <f>IFERROR(SUMIF(Issues!B:B, A378, Issues!H:H), 0)</f>
        <v>1600</v>
      </c>
      <c r="H378" s="52">
        <f>IFERROR(SUMIF(Returns!B:B, A378, Returns!H:H), 0)</f>
        <v>1238</v>
      </c>
      <c r="I378" s="3">
        <v>11470.0</v>
      </c>
      <c r="J378" s="3">
        <v>28.0</v>
      </c>
      <c r="K378" s="3">
        <v>72.0</v>
      </c>
      <c r="L378" s="53">
        <f t="shared" si="5"/>
        <v>93.81134133</v>
      </c>
      <c r="M378" s="52">
        <f t="shared" si="6"/>
        <v>362</v>
      </c>
      <c r="N378" s="54">
        <f t="shared" si="7"/>
        <v>268.1886587</v>
      </c>
      <c r="O378" s="54">
        <f t="shared" si="8"/>
        <v>42.91018539</v>
      </c>
    </row>
    <row r="379" ht="22.5" customHeight="1">
      <c r="A379" s="46" t="s">
        <v>549</v>
      </c>
      <c r="B379" s="14" t="s">
        <v>43</v>
      </c>
      <c r="C379" s="14">
        <v>50.0</v>
      </c>
      <c r="D379" s="7">
        <v>125.0</v>
      </c>
      <c r="E379" s="7">
        <v>876.0</v>
      </c>
      <c r="F379" s="7">
        <v>1165.0</v>
      </c>
      <c r="G379" s="52">
        <f>IFERROR(SUMIF(Issues!B:B, A379, Issues!H:H), 0)</f>
        <v>2600</v>
      </c>
      <c r="H379" s="52">
        <f>IFERROR(SUMIF(Returns!B:B, A379, Returns!H:H), 0)</f>
        <v>1430</v>
      </c>
      <c r="I379" s="3">
        <v>11900.0</v>
      </c>
      <c r="J379" s="3">
        <v>4.0</v>
      </c>
      <c r="K379" s="3">
        <v>108.0</v>
      </c>
      <c r="L379" s="53">
        <f t="shared" si="5"/>
        <v>1021.946565</v>
      </c>
      <c r="M379" s="52">
        <f t="shared" si="6"/>
        <v>1170</v>
      </c>
      <c r="N379" s="54">
        <f t="shared" si="7"/>
        <v>148.0534351</v>
      </c>
      <c r="O379" s="54">
        <f t="shared" si="8"/>
        <v>18.50667939</v>
      </c>
    </row>
    <row r="380" ht="22.5" customHeight="1">
      <c r="A380" s="46" t="s">
        <v>550</v>
      </c>
      <c r="B380" s="14" t="s">
        <v>43</v>
      </c>
      <c r="C380" s="14">
        <v>50.0</v>
      </c>
      <c r="D380" s="7">
        <v>125.0</v>
      </c>
      <c r="E380" s="7">
        <v>876.0</v>
      </c>
      <c r="F380" s="7">
        <v>1108.0</v>
      </c>
      <c r="G380" s="52">
        <f>IFERROR(SUMIF(Issues!B:B, A380, Issues!H:H), 0)</f>
        <v>1430</v>
      </c>
      <c r="H380" s="52">
        <f>IFERROR(SUMIF(Returns!B:B, A380, Returns!H:H), 0)</f>
        <v>300</v>
      </c>
      <c r="I380" s="3">
        <v>11380.0</v>
      </c>
      <c r="J380" s="3">
        <v>4.0</v>
      </c>
      <c r="K380" s="3">
        <v>108.0</v>
      </c>
      <c r="L380" s="53">
        <f t="shared" si="5"/>
        <v>977.2900763</v>
      </c>
      <c r="M380" s="52">
        <f t="shared" si="6"/>
        <v>1130</v>
      </c>
      <c r="N380" s="54">
        <f t="shared" si="7"/>
        <v>152.7099237</v>
      </c>
      <c r="O380" s="54">
        <f t="shared" si="8"/>
        <v>19.08874046</v>
      </c>
    </row>
    <row r="381" ht="22.5" customHeight="1">
      <c r="A381" s="46" t="s">
        <v>551</v>
      </c>
      <c r="B381" s="14" t="s">
        <v>9</v>
      </c>
      <c r="C381" s="14">
        <v>80.0</v>
      </c>
      <c r="D381" s="15">
        <v>290.0</v>
      </c>
      <c r="E381" s="7">
        <v>3414.0</v>
      </c>
      <c r="F381" s="7">
        <v>3857.0</v>
      </c>
      <c r="G381" s="52">
        <f>IFERROR(SUMIF(Issues!B:B, A381, Issues!H:H), 0)</f>
        <v>2000</v>
      </c>
      <c r="H381" s="52">
        <f>IFERROR(SUMIF(Returns!B:B, A381, Returns!H:H), 0)</f>
        <v>0</v>
      </c>
      <c r="I381" s="3">
        <v>220500.0</v>
      </c>
      <c r="J381" s="3">
        <v>18.0</v>
      </c>
      <c r="K381" s="3">
        <v>92.0</v>
      </c>
      <c r="L381" s="53">
        <f t="shared" si="5"/>
        <v>3584.605598</v>
      </c>
      <c r="M381" s="52">
        <f t="shared" si="6"/>
        <v>2000</v>
      </c>
      <c r="N381" s="54">
        <f t="shared" si="7"/>
        <v>0</v>
      </c>
      <c r="O381" s="54">
        <f t="shared" si="8"/>
        <v>0</v>
      </c>
    </row>
    <row r="382" ht="22.5" customHeight="1">
      <c r="A382" s="46" t="s">
        <v>552</v>
      </c>
      <c r="B382" s="14" t="s">
        <v>9</v>
      </c>
      <c r="C382" s="14">
        <v>80.0</v>
      </c>
      <c r="D382" s="15">
        <v>225.0</v>
      </c>
      <c r="E382" s="7">
        <v>32061.0</v>
      </c>
      <c r="F382" s="7">
        <v>33506.0</v>
      </c>
      <c r="G382" s="52">
        <f>IFERROR(SUMIF(Issues!B:B, A382, Issues!H:H), 0)</f>
        <v>34000</v>
      </c>
      <c r="H382" s="52">
        <f>IFERROR(SUMIF(Returns!B:B, A382, Returns!H:H), 0)</f>
        <v>450</v>
      </c>
      <c r="I382" s="3">
        <v>271380.0</v>
      </c>
      <c r="J382" s="3">
        <v>3.0</v>
      </c>
      <c r="K382" s="3">
        <v>112.0</v>
      </c>
      <c r="L382" s="53">
        <f t="shared" si="5"/>
        <v>32224.93639</v>
      </c>
      <c r="M382" s="52">
        <f t="shared" si="6"/>
        <v>33550</v>
      </c>
      <c r="N382" s="54">
        <f t="shared" si="7"/>
        <v>1325.063613</v>
      </c>
      <c r="O382" s="54">
        <f t="shared" si="8"/>
        <v>298.139313</v>
      </c>
    </row>
    <row r="383" ht="22.5" customHeight="1">
      <c r="A383" s="46" t="s">
        <v>553</v>
      </c>
      <c r="B383" s="14" t="s">
        <v>9</v>
      </c>
      <c r="C383" s="14">
        <v>80.0</v>
      </c>
      <c r="D383" s="15">
        <v>290.0</v>
      </c>
      <c r="E383" s="7">
        <v>747.0</v>
      </c>
      <c r="F383" s="7">
        <v>1060.0</v>
      </c>
      <c r="G383" s="52">
        <f>IFERROR(SUMIF(Issues!B:B, A383, Issues!H:H), 0)</f>
        <v>2000</v>
      </c>
      <c r="H383" s="52">
        <f>IFERROR(SUMIF(Returns!B:B, A383, Returns!H:H), 0)</f>
        <v>900</v>
      </c>
      <c r="I383" s="3">
        <v>6200.0</v>
      </c>
      <c r="J383" s="3">
        <v>2.0</v>
      </c>
      <c r="K383" s="3">
        <v>94.0</v>
      </c>
      <c r="L383" s="53">
        <f t="shared" si="5"/>
        <v>926.8447837</v>
      </c>
      <c r="M383" s="52">
        <f t="shared" si="6"/>
        <v>1100</v>
      </c>
      <c r="N383" s="54">
        <f t="shared" si="7"/>
        <v>173.1552163</v>
      </c>
      <c r="O383" s="54">
        <f t="shared" si="8"/>
        <v>50.21501272</v>
      </c>
    </row>
    <row r="384" ht="22.5" customHeight="1">
      <c r="A384" s="46" t="s">
        <v>554</v>
      </c>
      <c r="B384" s="14" t="s">
        <v>9</v>
      </c>
      <c r="C384" s="14">
        <v>80.0</v>
      </c>
      <c r="D384" s="15">
        <v>140.0</v>
      </c>
      <c r="E384" s="7">
        <v>366.0</v>
      </c>
      <c r="F384" s="7">
        <v>637.0</v>
      </c>
      <c r="G384" s="52">
        <f>IFERROR(SUMIF(Issues!B:B, A384, Issues!H:H), 0)</f>
        <v>750</v>
      </c>
      <c r="H384" s="52">
        <f>IFERROR(SUMIF(Returns!B:B, A384, Returns!H:H), 0)</f>
        <v>0</v>
      </c>
      <c r="I384" s="3">
        <v>6466.0</v>
      </c>
      <c r="J384" s="3">
        <v>4.0</v>
      </c>
      <c r="K384" s="3">
        <v>92.0</v>
      </c>
      <c r="L384" s="53">
        <f t="shared" si="5"/>
        <v>473.0216285</v>
      </c>
      <c r="M384" s="52">
        <f t="shared" si="6"/>
        <v>750</v>
      </c>
      <c r="N384" s="54">
        <f t="shared" si="7"/>
        <v>276.9783715</v>
      </c>
      <c r="O384" s="54">
        <f t="shared" si="8"/>
        <v>38.77697201</v>
      </c>
    </row>
    <row r="385" ht="22.5" customHeight="1">
      <c r="A385" s="46" t="s">
        <v>555</v>
      </c>
      <c r="B385" s="14" t="s">
        <v>9</v>
      </c>
      <c r="C385" s="14">
        <v>80.0</v>
      </c>
      <c r="D385" s="15">
        <v>195.0</v>
      </c>
      <c r="E385" s="7">
        <v>811.0</v>
      </c>
      <c r="F385" s="7">
        <v>1147.0</v>
      </c>
      <c r="G385" s="52">
        <f>IFERROR(SUMIF(Issues!B:B, A385, Issues!H:H), 0)</f>
        <v>1840</v>
      </c>
      <c r="H385" s="52">
        <f>IFERROR(SUMIF(Returns!B:B, A385, Returns!H:H), 0)</f>
        <v>650</v>
      </c>
      <c r="I385" s="3">
        <v>3400.0</v>
      </c>
      <c r="J385" s="3">
        <v>1.0</v>
      </c>
      <c r="K385" s="3">
        <v>85.0</v>
      </c>
      <c r="L385" s="53">
        <f t="shared" si="5"/>
        <v>919.2111959</v>
      </c>
      <c r="M385" s="52">
        <f t="shared" si="6"/>
        <v>1190</v>
      </c>
      <c r="N385" s="54">
        <f t="shared" si="7"/>
        <v>270.7888041</v>
      </c>
      <c r="O385" s="54">
        <f t="shared" si="8"/>
        <v>52.80381679</v>
      </c>
    </row>
    <row r="386" ht="22.5" customHeight="1">
      <c r="A386" s="46" t="s">
        <v>556</v>
      </c>
      <c r="B386" s="14" t="s">
        <v>9</v>
      </c>
      <c r="C386" s="14">
        <v>80.0</v>
      </c>
      <c r="D386" s="15">
        <v>300.0</v>
      </c>
      <c r="E386" s="7">
        <v>1288.0</v>
      </c>
      <c r="F386" s="7">
        <v>1619.0</v>
      </c>
      <c r="G386" s="52">
        <f>IFERROR(SUMIF(Issues!B:B, A386, Issues!H:H), 0)</f>
        <v>1600</v>
      </c>
      <c r="H386" s="52">
        <f>IFERROR(SUMIF(Returns!B:B, A386, Returns!H:H), 0)</f>
        <v>0</v>
      </c>
      <c r="I386" s="3">
        <v>5500.0</v>
      </c>
      <c r="J386" s="3">
        <v>1.0</v>
      </c>
      <c r="K386" s="3">
        <v>81.0</v>
      </c>
      <c r="L386" s="53">
        <f t="shared" si="5"/>
        <v>1416.984733</v>
      </c>
      <c r="M386" s="52">
        <f t="shared" si="6"/>
        <v>1600</v>
      </c>
      <c r="N386" s="54">
        <f t="shared" si="7"/>
        <v>183.0152672</v>
      </c>
      <c r="O386" s="54">
        <f t="shared" si="8"/>
        <v>54.90458015</v>
      </c>
    </row>
    <row r="387" ht="22.5" customHeight="1">
      <c r="A387" s="46" t="s">
        <v>558</v>
      </c>
      <c r="B387" s="14" t="s">
        <v>9</v>
      </c>
      <c r="C387" s="14">
        <v>80.0</v>
      </c>
      <c r="D387" s="15">
        <v>160.0</v>
      </c>
      <c r="E387" s="7">
        <v>2831.0</v>
      </c>
      <c r="F387" s="7">
        <v>3347.0</v>
      </c>
      <c r="G387" s="52">
        <f>IFERROR(SUMIF(Issues!B:B, A387, Issues!H:H), 0)</f>
        <v>3400</v>
      </c>
      <c r="H387" s="52">
        <f>IFERROR(SUMIF(Returns!B:B, A387, Returns!H:H), 0)</f>
        <v>0</v>
      </c>
      <c r="I387" s="3">
        <v>10785.0</v>
      </c>
      <c r="J387" s="3">
        <v>1.0</v>
      </c>
      <c r="K387" s="3">
        <v>89.0</v>
      </c>
      <c r="L387" s="53">
        <f t="shared" si="5"/>
        <v>3053.005725</v>
      </c>
      <c r="M387" s="52">
        <f t="shared" si="6"/>
        <v>3400</v>
      </c>
      <c r="N387" s="54">
        <f t="shared" si="7"/>
        <v>346.9942748</v>
      </c>
      <c r="O387" s="54">
        <f t="shared" si="8"/>
        <v>55.51908397</v>
      </c>
    </row>
    <row r="388" ht="22.5" customHeight="1">
      <c r="A388" s="46" t="s">
        <v>559</v>
      </c>
      <c r="B388" s="14" t="s">
        <v>9</v>
      </c>
      <c r="C388" s="14">
        <v>80.0</v>
      </c>
      <c r="D388" s="15">
        <v>140.0</v>
      </c>
      <c r="E388" s="7">
        <v>2195.0</v>
      </c>
      <c r="F388" s="7">
        <v>2620.0</v>
      </c>
      <c r="G388" s="52">
        <f>IFERROR(SUMIF(Issues!B:B, A388, Issues!H:H), 0)</f>
        <v>3400</v>
      </c>
      <c r="H388" s="52">
        <f>IFERROR(SUMIF(Returns!B:B, A388, Returns!H:H), 0)</f>
        <v>750</v>
      </c>
      <c r="I388" s="3">
        <v>11202.0</v>
      </c>
      <c r="J388" s="3">
        <v>1.0</v>
      </c>
      <c r="K388" s="3">
        <v>69.0</v>
      </c>
      <c r="L388" s="53">
        <f t="shared" si="5"/>
        <v>2458.454198</v>
      </c>
      <c r="M388" s="52">
        <f t="shared" si="6"/>
        <v>2650</v>
      </c>
      <c r="N388" s="54">
        <f t="shared" si="7"/>
        <v>191.5458015</v>
      </c>
      <c r="O388" s="54">
        <f t="shared" si="8"/>
        <v>26.81641221</v>
      </c>
    </row>
    <row r="389" ht="22.5" customHeight="1">
      <c r="A389" s="46" t="s">
        <v>561</v>
      </c>
      <c r="B389" s="14" t="s">
        <v>26</v>
      </c>
      <c r="C389" s="14">
        <v>80.0</v>
      </c>
      <c r="D389" s="7">
        <v>210.0</v>
      </c>
      <c r="E389" s="7">
        <v>5025.0</v>
      </c>
      <c r="F389" s="7">
        <v>5434.0</v>
      </c>
      <c r="G389" s="52">
        <f>IFERROR(SUMIF(Issues!B:B, A389, Issues!H:H), 0)</f>
        <v>6660</v>
      </c>
      <c r="H389" s="52">
        <f>IFERROR(SUMIF(Returns!B:B, A389, Returns!H:H), 0)</f>
        <v>1220</v>
      </c>
      <c r="I389" s="3">
        <v>197600.0</v>
      </c>
      <c r="J389" s="3">
        <v>10.0</v>
      </c>
      <c r="K389" s="3">
        <v>79.0</v>
      </c>
      <c r="L389" s="53">
        <f t="shared" si="5"/>
        <v>4965.139949</v>
      </c>
      <c r="M389" s="52">
        <f t="shared" si="6"/>
        <v>5440</v>
      </c>
      <c r="N389" s="54">
        <f t="shared" si="7"/>
        <v>474.8600509</v>
      </c>
      <c r="O389" s="54">
        <f t="shared" si="8"/>
        <v>99.72061069</v>
      </c>
    </row>
    <row r="390" ht="22.5" customHeight="1">
      <c r="A390" s="46" t="s">
        <v>564</v>
      </c>
      <c r="B390" s="14" t="s">
        <v>9</v>
      </c>
      <c r="C390" s="14">
        <v>80.0</v>
      </c>
      <c r="D390" s="15">
        <v>160.0</v>
      </c>
      <c r="E390" s="7">
        <v>549.0</v>
      </c>
      <c r="F390" s="7">
        <v>878.0</v>
      </c>
      <c r="G390" s="52">
        <f>IFERROR(SUMIF(Issues!B:B, A390, Issues!H:H), 0)</f>
        <v>900</v>
      </c>
      <c r="H390" s="52">
        <f>IFERROR(SUMIF(Returns!B:B, A390, Returns!H:H), 0)</f>
        <v>0</v>
      </c>
      <c r="I390" s="3">
        <v>11200.0</v>
      </c>
      <c r="J390" s="3">
        <v>4.0</v>
      </c>
      <c r="K390" s="3">
        <v>69.0</v>
      </c>
      <c r="L390" s="53">
        <f t="shared" si="5"/>
        <v>614.5038168</v>
      </c>
      <c r="M390" s="52">
        <f t="shared" si="6"/>
        <v>900</v>
      </c>
      <c r="N390" s="54">
        <f t="shared" si="7"/>
        <v>285.4961832</v>
      </c>
      <c r="O390" s="54">
        <f t="shared" si="8"/>
        <v>45.67938931</v>
      </c>
    </row>
    <row r="391" ht="22.5" customHeight="1">
      <c r="A391" s="46" t="s">
        <v>567</v>
      </c>
      <c r="B391" s="14" t="s">
        <v>57</v>
      </c>
      <c r="C391" s="14">
        <v>80.0</v>
      </c>
      <c r="D391" s="15">
        <v>160.0</v>
      </c>
      <c r="E391" s="7">
        <v>123.0</v>
      </c>
      <c r="F391" s="7">
        <v>388.0</v>
      </c>
      <c r="G391" s="52">
        <f>IFERROR(SUMIF(Issues!B:B, A391, Issues!H:H), 0)</f>
        <v>780</v>
      </c>
      <c r="H391" s="52">
        <f>IFERROR(SUMIF(Returns!B:B, A391, Returns!H:H), 0)</f>
        <v>390</v>
      </c>
      <c r="I391" s="3">
        <v>15900.0</v>
      </c>
      <c r="J391" s="3">
        <v>28.0</v>
      </c>
      <c r="K391" s="3">
        <v>72.0</v>
      </c>
      <c r="L391" s="53">
        <f t="shared" si="5"/>
        <v>130.0436205</v>
      </c>
      <c r="M391" s="52">
        <f t="shared" si="6"/>
        <v>390</v>
      </c>
      <c r="N391" s="54">
        <f t="shared" si="7"/>
        <v>259.9563795</v>
      </c>
      <c r="O391" s="54">
        <f t="shared" si="8"/>
        <v>41.59302072</v>
      </c>
    </row>
    <row r="392" ht="22.5" customHeight="1">
      <c r="A392" s="46" t="s">
        <v>568</v>
      </c>
      <c r="B392" s="14" t="s">
        <v>57</v>
      </c>
      <c r="C392" s="14">
        <v>80.0</v>
      </c>
      <c r="D392" s="15">
        <v>160.0</v>
      </c>
      <c r="E392" s="7">
        <v>164.0</v>
      </c>
      <c r="F392" s="7">
        <v>419.0</v>
      </c>
      <c r="G392" s="52">
        <f>IFERROR(SUMIF(Issues!B:B, A392, Issues!H:H), 0)</f>
        <v>1200</v>
      </c>
      <c r="H392" s="52">
        <f>IFERROR(SUMIF(Returns!B:B, A392, Returns!H:H), 0)</f>
        <v>780</v>
      </c>
      <c r="I392" s="3">
        <v>20000.0</v>
      </c>
      <c r="J392" s="3">
        <v>28.0</v>
      </c>
      <c r="K392" s="3">
        <v>72.0</v>
      </c>
      <c r="L392" s="53">
        <f t="shared" si="5"/>
        <v>163.5768811</v>
      </c>
      <c r="M392" s="52">
        <f t="shared" si="6"/>
        <v>420</v>
      </c>
      <c r="N392" s="54">
        <f t="shared" si="7"/>
        <v>256.4231189</v>
      </c>
      <c r="O392" s="54">
        <f t="shared" si="8"/>
        <v>41.02769902</v>
      </c>
    </row>
    <row r="393" ht="22.5" customHeight="1">
      <c r="A393" s="46" t="s">
        <v>569</v>
      </c>
      <c r="B393" s="14" t="s">
        <v>43</v>
      </c>
      <c r="C393" s="14">
        <v>50.0</v>
      </c>
      <c r="D393" s="15">
        <v>190.0</v>
      </c>
      <c r="E393" s="7">
        <v>149.0</v>
      </c>
      <c r="F393" s="7">
        <v>267.0</v>
      </c>
      <c r="G393" s="52">
        <f>IFERROR(SUMIF(Issues!B:B, A393, Issues!H:H), 0)</f>
        <v>320</v>
      </c>
      <c r="H393" s="52">
        <f>IFERROR(SUMIF(Returns!B:B, A393, Returns!H:H), 0)</f>
        <v>0</v>
      </c>
      <c r="I393" s="3">
        <v>1680.0</v>
      </c>
      <c r="J393" s="3">
        <v>2.0</v>
      </c>
      <c r="K393" s="3">
        <v>94.0</v>
      </c>
      <c r="L393" s="53">
        <f t="shared" si="5"/>
        <v>251.1450382</v>
      </c>
      <c r="M393" s="52">
        <f t="shared" si="6"/>
        <v>320</v>
      </c>
      <c r="N393" s="54">
        <f t="shared" si="7"/>
        <v>68.85496183</v>
      </c>
      <c r="O393" s="54">
        <f t="shared" si="8"/>
        <v>13.08244275</v>
      </c>
    </row>
    <row r="394" ht="22.5" customHeight="1">
      <c r="A394" s="46" t="s">
        <v>570</v>
      </c>
      <c r="B394" s="14" t="s">
        <v>43</v>
      </c>
      <c r="C394" s="14">
        <v>50.0</v>
      </c>
      <c r="D394" s="15">
        <v>190.0</v>
      </c>
      <c r="E394" s="7">
        <v>448.0</v>
      </c>
      <c r="F394" s="7">
        <v>742.0</v>
      </c>
      <c r="G394" s="52">
        <f>IFERROR(SUMIF(Issues!B:B, A394, Issues!H:H), 0)</f>
        <v>1070</v>
      </c>
      <c r="H394" s="52">
        <f>IFERROR(SUMIF(Returns!B:B, A394, Returns!H:H), 0)</f>
        <v>320</v>
      </c>
      <c r="I394" s="3">
        <v>4200.0</v>
      </c>
      <c r="J394" s="3">
        <v>2.0</v>
      </c>
      <c r="K394" s="3">
        <v>94.0</v>
      </c>
      <c r="L394" s="53">
        <f t="shared" si="5"/>
        <v>627.8625954</v>
      </c>
      <c r="M394" s="52">
        <f t="shared" si="6"/>
        <v>750</v>
      </c>
      <c r="N394" s="54">
        <f t="shared" si="7"/>
        <v>122.1374046</v>
      </c>
      <c r="O394" s="54">
        <f t="shared" si="8"/>
        <v>23.20610687</v>
      </c>
    </row>
    <row r="395" ht="22.5" customHeight="1">
      <c r="A395" s="46" t="s">
        <v>571</v>
      </c>
      <c r="B395" s="14" t="s">
        <v>9</v>
      </c>
      <c r="C395" s="14">
        <v>80.0</v>
      </c>
      <c r="D395" s="15">
        <v>395.0</v>
      </c>
      <c r="E395" s="7">
        <v>859.0</v>
      </c>
      <c r="F395" s="7">
        <v>1075.0</v>
      </c>
      <c r="G395" s="52">
        <f>IFERROR(SUMIF(Issues!B:B, A395, Issues!H:H), 0)</f>
        <v>400</v>
      </c>
      <c r="H395" s="52">
        <f>IFERROR(SUMIF(Returns!B:B, A395, Returns!H:H), 0)</f>
        <v>120</v>
      </c>
      <c r="I395" s="3">
        <v>5500.0</v>
      </c>
      <c r="J395" s="3">
        <v>2.0</v>
      </c>
      <c r="K395" s="3">
        <v>108.0</v>
      </c>
      <c r="L395" s="53">
        <f t="shared" si="5"/>
        <v>944.6564885</v>
      </c>
      <c r="M395" s="52">
        <f t="shared" si="6"/>
        <v>280</v>
      </c>
      <c r="N395" s="54">
        <f t="shared" si="7"/>
        <v>0</v>
      </c>
      <c r="O395" s="54">
        <f t="shared" si="8"/>
        <v>0</v>
      </c>
    </row>
    <row r="396" ht="22.5" customHeight="1">
      <c r="A396" s="46" t="s">
        <v>573</v>
      </c>
      <c r="B396" s="14" t="s">
        <v>9</v>
      </c>
      <c r="C396" s="14">
        <v>80.0</v>
      </c>
      <c r="D396" s="15">
        <v>180.0</v>
      </c>
      <c r="E396" s="7">
        <v>458.0</v>
      </c>
      <c r="F396" s="7">
        <v>640.0</v>
      </c>
      <c r="G396" s="52">
        <f>IFERROR(SUMIF(Issues!B:B, A396, Issues!H:H), 0)</f>
        <v>1400</v>
      </c>
      <c r="H396" s="52">
        <f>IFERROR(SUMIF(Returns!B:B, A396, Returns!H:H), 0)</f>
        <v>730</v>
      </c>
      <c r="I396" s="52"/>
      <c r="J396" s="3">
        <v>6.0</v>
      </c>
      <c r="K396" s="3">
        <v>108.0</v>
      </c>
      <c r="L396" s="53">
        <f t="shared" si="5"/>
        <v>0</v>
      </c>
      <c r="M396" s="52">
        <f t="shared" si="6"/>
        <v>670</v>
      </c>
      <c r="N396" s="54">
        <f t="shared" si="7"/>
        <v>670</v>
      </c>
      <c r="O396" s="54">
        <f t="shared" si="8"/>
        <v>120.6</v>
      </c>
    </row>
    <row r="397" ht="22.5" customHeight="1">
      <c r="A397" s="46" t="s">
        <v>575</v>
      </c>
      <c r="B397" s="14" t="s">
        <v>9</v>
      </c>
      <c r="C397" s="14">
        <v>80.0</v>
      </c>
      <c r="D397" s="15">
        <v>210.0</v>
      </c>
      <c r="E397" s="7">
        <v>357.0</v>
      </c>
      <c r="F397" s="7">
        <v>533.0</v>
      </c>
      <c r="G397" s="52">
        <f>IFERROR(SUMIF(Issues!B:B, A397, Issues!H:H), 0)</f>
        <v>1700</v>
      </c>
      <c r="H397" s="52">
        <f>IFERROR(SUMIF(Returns!B:B, A397, Returns!H:H), 0)</f>
        <v>1100</v>
      </c>
      <c r="I397" s="3">
        <v>3540.0</v>
      </c>
      <c r="J397" s="3">
        <v>2.0</v>
      </c>
      <c r="K397" s="3">
        <v>75.0</v>
      </c>
      <c r="L397" s="53">
        <f t="shared" si="5"/>
        <v>422.2328244</v>
      </c>
      <c r="M397" s="52">
        <f t="shared" si="6"/>
        <v>600</v>
      </c>
      <c r="N397" s="54">
        <f t="shared" si="7"/>
        <v>177.7671756</v>
      </c>
      <c r="O397" s="54">
        <f t="shared" si="8"/>
        <v>37.33110687</v>
      </c>
    </row>
    <row r="398" ht="22.5" customHeight="1">
      <c r="A398" s="46" t="s">
        <v>577</v>
      </c>
      <c r="B398" s="14" t="s">
        <v>9</v>
      </c>
      <c r="C398" s="14">
        <v>80.0</v>
      </c>
      <c r="D398" s="15">
        <v>290.0</v>
      </c>
      <c r="E398" s="7">
        <v>448.0</v>
      </c>
      <c r="F398" s="7">
        <v>689.0</v>
      </c>
      <c r="G398" s="52">
        <f>IFERROR(SUMIF(Issues!B:B, A398, Issues!H:H), 0)</f>
        <v>1600</v>
      </c>
      <c r="H398" s="52">
        <f>IFERROR(SUMIF(Returns!B:B, A398, Returns!H:H), 0)</f>
        <v>800</v>
      </c>
      <c r="I398" s="3">
        <v>4000.0</v>
      </c>
      <c r="J398" s="3">
        <v>2.0</v>
      </c>
      <c r="K398" s="3">
        <v>94.0</v>
      </c>
      <c r="L398" s="53">
        <f t="shared" si="5"/>
        <v>597.9643766</v>
      </c>
      <c r="M398" s="52">
        <f t="shared" si="6"/>
        <v>800</v>
      </c>
      <c r="N398" s="54">
        <f t="shared" si="7"/>
        <v>202.0356234</v>
      </c>
      <c r="O398" s="54">
        <f t="shared" si="8"/>
        <v>58.59033079</v>
      </c>
    </row>
    <row r="399" ht="22.5" customHeight="1">
      <c r="A399" s="46" t="s">
        <v>578</v>
      </c>
      <c r="B399" s="14" t="s">
        <v>9</v>
      </c>
      <c r="C399" s="14">
        <v>80.0</v>
      </c>
      <c r="D399" s="15">
        <v>160.0</v>
      </c>
      <c r="E399" s="7">
        <v>906.0</v>
      </c>
      <c r="F399" s="7">
        <v>1152.0</v>
      </c>
      <c r="G399" s="52">
        <f>IFERROR(SUMIF(Issues!B:B, A399, Issues!H:H), 0)</f>
        <v>1600</v>
      </c>
      <c r="H399" s="52">
        <f>IFERROR(SUMIF(Returns!B:B, A399, Returns!H:H), 0)</f>
        <v>400</v>
      </c>
      <c r="I399" s="3">
        <v>3200.0</v>
      </c>
      <c r="J399" s="3">
        <v>1.0</v>
      </c>
      <c r="K399" s="3">
        <v>89.0</v>
      </c>
      <c r="L399" s="53">
        <f t="shared" si="5"/>
        <v>905.8524173</v>
      </c>
      <c r="M399" s="52">
        <f t="shared" si="6"/>
        <v>1200</v>
      </c>
      <c r="N399" s="54">
        <f t="shared" si="7"/>
        <v>294.1475827</v>
      </c>
      <c r="O399" s="54">
        <f t="shared" si="8"/>
        <v>47.06361323</v>
      </c>
    </row>
    <row r="400" ht="22.5" customHeight="1">
      <c r="A400" s="46" t="s">
        <v>579</v>
      </c>
      <c r="B400" s="14" t="s">
        <v>9</v>
      </c>
      <c r="C400" s="14">
        <v>80.0</v>
      </c>
      <c r="D400" s="15">
        <v>210.0</v>
      </c>
      <c r="E400" s="7">
        <v>448.0</v>
      </c>
      <c r="F400" s="7">
        <v>700.0</v>
      </c>
      <c r="G400" s="52">
        <f>IFERROR(SUMIF(Issues!B:B, A400, Issues!H:H), 0)</f>
        <v>2400</v>
      </c>
      <c r="H400" s="52">
        <f>IFERROR(SUMIF(Returns!B:B, A400, Returns!H:H), 0)</f>
        <v>1700</v>
      </c>
      <c r="I400" s="3">
        <v>3300.0</v>
      </c>
      <c r="J400" s="3">
        <v>2.0</v>
      </c>
      <c r="K400" s="3">
        <v>94.0</v>
      </c>
      <c r="L400" s="53">
        <f t="shared" si="5"/>
        <v>493.3206107</v>
      </c>
      <c r="M400" s="52">
        <f t="shared" si="6"/>
        <v>700</v>
      </c>
      <c r="N400" s="54">
        <f t="shared" si="7"/>
        <v>206.6793893</v>
      </c>
      <c r="O400" s="54">
        <f t="shared" si="8"/>
        <v>43.40267176</v>
      </c>
    </row>
    <row r="401" ht="22.5" customHeight="1">
      <c r="A401" s="46" t="s">
        <v>580</v>
      </c>
      <c r="B401" s="14" t="s">
        <v>9</v>
      </c>
      <c r="C401" s="14">
        <v>80.0</v>
      </c>
      <c r="D401" s="15">
        <v>180.0</v>
      </c>
      <c r="E401" s="7">
        <v>549.0</v>
      </c>
      <c r="F401" s="7">
        <v>685.0</v>
      </c>
      <c r="G401" s="52">
        <f>IFERROR(SUMIF(Issues!B:B, A401, Issues!H:H), 0)</f>
        <v>700</v>
      </c>
      <c r="H401" s="52">
        <f>IFERROR(SUMIF(Returns!B:B, A401, Returns!H:H), 0)</f>
        <v>0</v>
      </c>
      <c r="I401" s="52"/>
      <c r="J401" s="3">
        <v>8.0</v>
      </c>
      <c r="K401" s="3">
        <v>92.0</v>
      </c>
      <c r="L401" s="53">
        <f t="shared" si="5"/>
        <v>0</v>
      </c>
      <c r="M401" s="52">
        <f t="shared" si="6"/>
        <v>700</v>
      </c>
      <c r="N401" s="54">
        <f t="shared" si="7"/>
        <v>700</v>
      </c>
      <c r="O401" s="54">
        <f t="shared" si="8"/>
        <v>126</v>
      </c>
    </row>
    <row r="402" ht="22.5" customHeight="1">
      <c r="A402" s="46" t="s">
        <v>581</v>
      </c>
      <c r="B402" s="14" t="s">
        <v>9</v>
      </c>
      <c r="C402" s="14">
        <v>80.0</v>
      </c>
      <c r="D402" s="15">
        <v>160.0</v>
      </c>
      <c r="E402" s="7">
        <v>429.0</v>
      </c>
      <c r="F402" s="7">
        <v>792.0</v>
      </c>
      <c r="G402" s="52">
        <f>IFERROR(SUMIF(Issues!B:B, A402, Issues!H:H), 0)</f>
        <v>900</v>
      </c>
      <c r="H402" s="52">
        <f>IFERROR(SUMIF(Returns!B:B, A402, Returns!H:H), 0)</f>
        <v>100</v>
      </c>
      <c r="I402" s="3">
        <v>6800.0</v>
      </c>
      <c r="J402" s="3">
        <v>4.0</v>
      </c>
      <c r="K402" s="3">
        <v>108.0</v>
      </c>
      <c r="L402" s="53">
        <f t="shared" si="5"/>
        <v>583.9694656</v>
      </c>
      <c r="M402" s="52">
        <f t="shared" si="6"/>
        <v>800</v>
      </c>
      <c r="N402" s="54">
        <f t="shared" si="7"/>
        <v>216.0305344</v>
      </c>
      <c r="O402" s="54">
        <f t="shared" si="8"/>
        <v>34.5648855</v>
      </c>
    </row>
    <row r="403" ht="22.5" customHeight="1">
      <c r="A403" s="46" t="s">
        <v>582</v>
      </c>
      <c r="B403" s="14" t="s">
        <v>9</v>
      </c>
      <c r="C403" s="14">
        <v>80.0</v>
      </c>
      <c r="D403" s="15">
        <v>180.0</v>
      </c>
      <c r="E403" s="7">
        <v>1947.0</v>
      </c>
      <c r="F403" s="7">
        <v>2192.0</v>
      </c>
      <c r="G403" s="52">
        <f>IFERROR(SUMIF(Issues!B:B, A403, Issues!H:H), 0)</f>
        <v>4000</v>
      </c>
      <c r="H403" s="52">
        <f>IFERROR(SUMIF(Returns!B:B, A403, Returns!H:H), 0)</f>
        <v>1800</v>
      </c>
      <c r="I403" s="3">
        <v>35250.0</v>
      </c>
      <c r="J403" s="3">
        <v>6.0</v>
      </c>
      <c r="K403" s="3">
        <v>108.0</v>
      </c>
      <c r="L403" s="53">
        <f t="shared" si="5"/>
        <v>2018.129771</v>
      </c>
      <c r="M403" s="52">
        <f t="shared" si="6"/>
        <v>2200</v>
      </c>
      <c r="N403" s="54">
        <f t="shared" si="7"/>
        <v>181.870229</v>
      </c>
      <c r="O403" s="54">
        <f t="shared" si="8"/>
        <v>32.73664122</v>
      </c>
    </row>
    <row r="404" ht="22.5" customHeight="1">
      <c r="A404" s="46" t="s">
        <v>583</v>
      </c>
      <c r="B404" s="14" t="s">
        <v>9</v>
      </c>
      <c r="C404" s="14">
        <v>80.0</v>
      </c>
      <c r="D404" s="15">
        <v>125.0</v>
      </c>
      <c r="E404" s="7">
        <v>893.0</v>
      </c>
      <c r="F404" s="7">
        <v>1064.0</v>
      </c>
      <c r="G404" s="52">
        <f>IFERROR(SUMIF(Issues!B:B, A404, Issues!H:H), 0)</f>
        <v>2000</v>
      </c>
      <c r="H404" s="52">
        <f>IFERROR(SUMIF(Returns!B:B, A404, Returns!H:H), 0)</f>
        <v>900</v>
      </c>
      <c r="I404" s="3">
        <v>4040.0</v>
      </c>
      <c r="J404" s="3">
        <v>1.0</v>
      </c>
      <c r="K404" s="3">
        <v>72.0</v>
      </c>
      <c r="L404" s="53">
        <f t="shared" si="5"/>
        <v>925.1908397</v>
      </c>
      <c r="M404" s="52">
        <f t="shared" si="6"/>
        <v>1100</v>
      </c>
      <c r="N404" s="54">
        <f t="shared" si="7"/>
        <v>174.8091603</v>
      </c>
      <c r="O404" s="54">
        <f t="shared" si="8"/>
        <v>21.85114504</v>
      </c>
    </row>
    <row r="405" ht="22.5" customHeight="1">
      <c r="A405" s="46" t="s">
        <v>584</v>
      </c>
      <c r="B405" s="14" t="s">
        <v>26</v>
      </c>
      <c r="C405" s="14">
        <v>80.0</v>
      </c>
      <c r="D405" s="15">
        <v>126.0</v>
      </c>
      <c r="E405" s="7">
        <v>4089.0</v>
      </c>
      <c r="F405" s="7">
        <v>4672.0</v>
      </c>
      <c r="G405" s="52">
        <f>IFERROR(SUMIF(Issues!B:B, A405, Issues!H:H), 0)</f>
        <v>5040</v>
      </c>
      <c r="H405" s="52">
        <f>IFERROR(SUMIF(Returns!B:B, A405, Returns!H:H), 0)</f>
        <v>300</v>
      </c>
      <c r="I405" s="3">
        <v>260120.0</v>
      </c>
      <c r="J405" s="3">
        <v>14.0</v>
      </c>
      <c r="K405" s="3">
        <v>72.0</v>
      </c>
      <c r="L405" s="53">
        <f t="shared" si="5"/>
        <v>4254.961832</v>
      </c>
      <c r="M405" s="52">
        <f t="shared" si="6"/>
        <v>4740</v>
      </c>
      <c r="N405" s="54">
        <f t="shared" si="7"/>
        <v>485.0381679</v>
      </c>
      <c r="O405" s="54">
        <f t="shared" si="8"/>
        <v>61.11480916</v>
      </c>
    </row>
    <row r="406" ht="22.5" customHeight="1">
      <c r="A406" s="46" t="s">
        <v>585</v>
      </c>
      <c r="B406" s="14" t="s">
        <v>57</v>
      </c>
      <c r="C406" s="14">
        <v>80.0</v>
      </c>
      <c r="D406" s="15">
        <v>160.0</v>
      </c>
      <c r="E406" s="7">
        <v>82.0</v>
      </c>
      <c r="F406" s="7">
        <v>359.0</v>
      </c>
      <c r="G406" s="52">
        <f>IFERROR(SUMIF(Issues!B:B, A406, Issues!H:H), 0)</f>
        <v>300</v>
      </c>
      <c r="H406" s="52">
        <f>IFERROR(SUMIF(Returns!B:B, A406, Returns!H:H), 0)</f>
        <v>0</v>
      </c>
      <c r="I406" s="3">
        <v>10000.0</v>
      </c>
      <c r="J406" s="3">
        <v>28.0</v>
      </c>
      <c r="K406" s="3">
        <v>72.0</v>
      </c>
      <c r="L406" s="53">
        <f t="shared" si="5"/>
        <v>81.78844057</v>
      </c>
      <c r="M406" s="52">
        <f t="shared" si="6"/>
        <v>300</v>
      </c>
      <c r="N406" s="54">
        <f t="shared" si="7"/>
        <v>218.2115594</v>
      </c>
      <c r="O406" s="54">
        <f t="shared" si="8"/>
        <v>34.91384951</v>
      </c>
    </row>
    <row r="407" ht="22.5" customHeight="1">
      <c r="A407" s="46" t="s">
        <v>587</v>
      </c>
      <c r="B407" s="14" t="s">
        <v>9</v>
      </c>
      <c r="C407" s="14">
        <v>80.0</v>
      </c>
      <c r="D407" s="15">
        <v>180.0</v>
      </c>
      <c r="E407" s="7">
        <v>1902.0</v>
      </c>
      <c r="F407" s="7">
        <v>2158.0</v>
      </c>
      <c r="G407" s="52">
        <f>IFERROR(SUMIF(Issues!B:B, A407, Issues!H:H), 0)</f>
        <v>2500</v>
      </c>
      <c r="H407" s="52">
        <f>IFERROR(SUMIF(Returns!B:B, A407, Returns!H:H), 0)</f>
        <v>300</v>
      </c>
      <c r="I407" s="3">
        <v>6790.0</v>
      </c>
      <c r="J407" s="3">
        <v>1.0</v>
      </c>
      <c r="K407" s="3">
        <v>92.0</v>
      </c>
      <c r="L407" s="53">
        <f t="shared" si="5"/>
        <v>1986.895674</v>
      </c>
      <c r="M407" s="52">
        <f t="shared" si="6"/>
        <v>2200</v>
      </c>
      <c r="N407" s="54">
        <f t="shared" si="7"/>
        <v>213.1043257</v>
      </c>
      <c r="O407" s="54">
        <f t="shared" si="8"/>
        <v>38.35877863</v>
      </c>
    </row>
    <row r="408" ht="22.5" customHeight="1">
      <c r="A408" s="46" t="s">
        <v>588</v>
      </c>
      <c r="B408" s="14" t="s">
        <v>9</v>
      </c>
      <c r="C408" s="14">
        <v>80.0</v>
      </c>
      <c r="D408" s="15">
        <v>180.0</v>
      </c>
      <c r="E408" s="7">
        <v>945.0</v>
      </c>
      <c r="F408" s="7">
        <v>1261.0</v>
      </c>
      <c r="G408" s="52">
        <f>IFERROR(SUMIF(Issues!B:B, A408, Issues!H:H), 0)</f>
        <v>1800</v>
      </c>
      <c r="H408" s="52">
        <f>IFERROR(SUMIF(Returns!B:B, A408, Returns!H:H), 0)</f>
        <v>500</v>
      </c>
      <c r="I408" s="3">
        <v>4700.0</v>
      </c>
      <c r="J408" s="3">
        <v>1.0</v>
      </c>
      <c r="K408" s="3">
        <v>66.0</v>
      </c>
      <c r="L408" s="53">
        <f t="shared" si="5"/>
        <v>986.6412214</v>
      </c>
      <c r="M408" s="52">
        <f t="shared" si="6"/>
        <v>1300</v>
      </c>
      <c r="N408" s="54">
        <f t="shared" si="7"/>
        <v>313.3587786</v>
      </c>
      <c r="O408" s="54">
        <f t="shared" si="8"/>
        <v>56.40458015</v>
      </c>
    </row>
    <row r="409" ht="22.5" customHeight="1">
      <c r="A409" s="46" t="s">
        <v>589</v>
      </c>
      <c r="B409" s="14" t="s">
        <v>9</v>
      </c>
      <c r="C409" s="14">
        <v>80.0</v>
      </c>
      <c r="D409" s="15">
        <v>160.0</v>
      </c>
      <c r="E409" s="7">
        <v>849.0</v>
      </c>
      <c r="F409" s="7">
        <v>1126.0</v>
      </c>
      <c r="G409" s="52">
        <f>IFERROR(SUMIF(Issues!B:B, A409, Issues!H:H), 0)</f>
        <v>2000</v>
      </c>
      <c r="H409" s="52">
        <f>IFERROR(SUMIF(Returns!B:B, A409, Returns!H:H), 0)</f>
        <v>850</v>
      </c>
      <c r="I409" s="3">
        <v>3310.0</v>
      </c>
      <c r="J409" s="3">
        <v>1.0</v>
      </c>
      <c r="K409" s="3">
        <v>89.0</v>
      </c>
      <c r="L409" s="53">
        <f t="shared" si="5"/>
        <v>936.9910941</v>
      </c>
      <c r="M409" s="52">
        <f t="shared" si="6"/>
        <v>1150</v>
      </c>
      <c r="N409" s="54">
        <f t="shared" si="7"/>
        <v>213.0089059</v>
      </c>
      <c r="O409" s="54">
        <f t="shared" si="8"/>
        <v>34.08142494</v>
      </c>
    </row>
    <row r="410" ht="22.5" customHeight="1">
      <c r="A410" s="46" t="s">
        <v>590</v>
      </c>
      <c r="B410" s="14" t="s">
        <v>9</v>
      </c>
      <c r="C410" s="14">
        <v>80.0</v>
      </c>
      <c r="D410" s="15">
        <v>300.0</v>
      </c>
      <c r="E410" s="7">
        <v>420.0</v>
      </c>
      <c r="F410" s="7">
        <v>682.0</v>
      </c>
      <c r="G410" s="52">
        <f>IFERROR(SUMIF(Issues!B:B, A410, Issues!H:H), 0)</f>
        <v>2000</v>
      </c>
      <c r="H410" s="52">
        <f>IFERROR(SUMIF(Returns!B:B, A410, Returns!H:H), 0)</f>
        <v>1300</v>
      </c>
      <c r="I410" s="3">
        <v>8100.0</v>
      </c>
      <c r="J410" s="3">
        <v>4.0</v>
      </c>
      <c r="K410" s="3">
        <v>66.0</v>
      </c>
      <c r="L410" s="53">
        <f t="shared" si="5"/>
        <v>425.0954198</v>
      </c>
      <c r="M410" s="52">
        <f t="shared" si="6"/>
        <v>700</v>
      </c>
      <c r="N410" s="54">
        <f t="shared" si="7"/>
        <v>274.9045802</v>
      </c>
      <c r="O410" s="54">
        <f t="shared" si="8"/>
        <v>82.47137405</v>
      </c>
    </row>
    <row r="411" ht="22.5" customHeight="1">
      <c r="A411" s="46" t="s">
        <v>591</v>
      </c>
      <c r="B411" s="14" t="s">
        <v>9</v>
      </c>
      <c r="C411" s="14">
        <v>80.0</v>
      </c>
      <c r="D411" s="15">
        <v>280.0</v>
      </c>
      <c r="E411" s="7">
        <v>2926.0</v>
      </c>
      <c r="F411" s="7">
        <v>3173.0</v>
      </c>
      <c r="G411" s="52">
        <f>IFERROR(SUMIF(Issues!B:B, A411, Issues!H:H), 0)</f>
        <v>4000</v>
      </c>
      <c r="H411" s="52">
        <f>IFERROR(SUMIF(Returns!B:B, A411, Returns!H:H), 0)</f>
        <v>750</v>
      </c>
      <c r="I411" s="3">
        <v>20480.0</v>
      </c>
      <c r="J411" s="3">
        <v>2.0</v>
      </c>
      <c r="K411" s="3">
        <v>92.0</v>
      </c>
      <c r="L411" s="53">
        <f t="shared" si="5"/>
        <v>2996.437659</v>
      </c>
      <c r="M411" s="52">
        <f t="shared" si="6"/>
        <v>3250</v>
      </c>
      <c r="N411" s="54">
        <f t="shared" si="7"/>
        <v>253.562341</v>
      </c>
      <c r="O411" s="54">
        <f t="shared" si="8"/>
        <v>70.99745547</v>
      </c>
    </row>
    <row r="412" ht="22.5" customHeight="1">
      <c r="A412" s="46" t="s">
        <v>592</v>
      </c>
      <c r="B412" s="14" t="s">
        <v>9</v>
      </c>
      <c r="C412" s="14">
        <v>80.0</v>
      </c>
      <c r="D412" s="15">
        <v>320.0</v>
      </c>
      <c r="E412" s="7">
        <v>795.0</v>
      </c>
      <c r="F412" s="7">
        <v>1013.0</v>
      </c>
      <c r="G412" s="52">
        <f>IFERROR(SUMIF(Issues!B:B, A412, Issues!H:H), 0)</f>
        <v>2000</v>
      </c>
      <c r="H412" s="52">
        <f>IFERROR(SUMIF(Returns!B:B, A412, Returns!H:H), 0)</f>
        <v>950</v>
      </c>
      <c r="I412" s="3">
        <v>10570.0</v>
      </c>
      <c r="J412" s="3">
        <v>3.0</v>
      </c>
      <c r="K412" s="3">
        <v>75.0</v>
      </c>
      <c r="L412" s="53">
        <f t="shared" si="5"/>
        <v>840.4898219</v>
      </c>
      <c r="M412" s="52">
        <f t="shared" si="6"/>
        <v>1050</v>
      </c>
      <c r="N412" s="54">
        <f t="shared" si="7"/>
        <v>209.5101781</v>
      </c>
      <c r="O412" s="54">
        <f t="shared" si="8"/>
        <v>67.043257</v>
      </c>
    </row>
    <row r="413" ht="22.5" customHeight="1">
      <c r="A413" s="15" t="s">
        <v>593</v>
      </c>
      <c r="B413" s="14" t="s">
        <v>9</v>
      </c>
      <c r="C413" s="14">
        <v>80.0</v>
      </c>
      <c r="D413" s="15">
        <v>250.0</v>
      </c>
      <c r="E413" s="7">
        <v>2346.0</v>
      </c>
      <c r="F413" s="7">
        <v>2569.0</v>
      </c>
      <c r="G413" s="52">
        <f>IFERROR(SUMIF(Issues!B:B, A413, Issues!H:H), 0)</f>
        <v>3600</v>
      </c>
      <c r="H413" s="52">
        <f>IFERROR(SUMIF(Returns!B:B, A413, Returns!H:H), 0)</f>
        <v>1000</v>
      </c>
      <c r="I413" s="3">
        <v>26200.0</v>
      </c>
      <c r="J413" s="3">
        <v>4.0</v>
      </c>
      <c r="K413" s="3">
        <v>118.0</v>
      </c>
      <c r="L413" s="53">
        <f t="shared" si="5"/>
        <v>2458.333333</v>
      </c>
      <c r="M413" s="52">
        <f t="shared" si="6"/>
        <v>2600</v>
      </c>
      <c r="N413" s="54">
        <f t="shared" si="7"/>
        <v>141.6666667</v>
      </c>
      <c r="O413" s="54">
        <f t="shared" si="8"/>
        <v>35.41666667</v>
      </c>
    </row>
    <row r="414" ht="22.5" customHeight="1">
      <c r="A414" s="15" t="s">
        <v>594</v>
      </c>
      <c r="B414" s="14" t="s">
        <v>9</v>
      </c>
      <c r="C414" s="14">
        <v>80.0</v>
      </c>
      <c r="D414" s="15">
        <v>125.0</v>
      </c>
      <c r="E414" s="7">
        <v>515.0</v>
      </c>
      <c r="F414" s="7">
        <v>690.0</v>
      </c>
      <c r="G414" s="52">
        <f>IFERROR(SUMIF(Issues!B:B, A414, Issues!H:H), 0)</f>
        <v>900</v>
      </c>
      <c r="H414" s="52">
        <f>IFERROR(SUMIF(Returns!B:B, A414, Returns!H:H), 0)</f>
        <v>200</v>
      </c>
      <c r="I414" s="3">
        <v>3360.0</v>
      </c>
      <c r="J414" s="3">
        <v>2.0</v>
      </c>
      <c r="K414" s="3">
        <v>108.0</v>
      </c>
      <c r="L414" s="53">
        <f t="shared" si="5"/>
        <v>577.0992366</v>
      </c>
      <c r="M414" s="52">
        <f t="shared" si="6"/>
        <v>700</v>
      </c>
      <c r="N414" s="54">
        <f t="shared" si="7"/>
        <v>122.9007634</v>
      </c>
      <c r="O414" s="54">
        <f t="shared" si="8"/>
        <v>15.36259542</v>
      </c>
    </row>
    <row r="415" ht="22.5" customHeight="1">
      <c r="A415" s="15" t="s">
        <v>595</v>
      </c>
      <c r="B415" s="14" t="s">
        <v>9</v>
      </c>
      <c r="C415" s="14">
        <v>80.0</v>
      </c>
      <c r="D415" s="15">
        <v>290.0</v>
      </c>
      <c r="E415" s="7">
        <v>1230.0</v>
      </c>
      <c r="F415" s="7">
        <v>1485.0</v>
      </c>
      <c r="G415" s="52">
        <f>IFERROR(SUMIF(Issues!B:B, A415, Issues!H:H), 0)</f>
        <v>3100</v>
      </c>
      <c r="H415" s="52">
        <f>IFERROR(SUMIF(Returns!B:B, A415, Returns!H:H), 0)</f>
        <v>1600</v>
      </c>
      <c r="I415" s="3">
        <v>19530.0</v>
      </c>
      <c r="J415" s="3">
        <v>6.0</v>
      </c>
      <c r="K415" s="3">
        <v>116.0</v>
      </c>
      <c r="L415" s="53">
        <f t="shared" si="5"/>
        <v>1200.954198</v>
      </c>
      <c r="M415" s="52">
        <f t="shared" si="6"/>
        <v>1500</v>
      </c>
      <c r="N415" s="54">
        <f t="shared" si="7"/>
        <v>299.0458015</v>
      </c>
      <c r="O415" s="54">
        <f t="shared" si="8"/>
        <v>86.72328244</v>
      </c>
    </row>
    <row r="416" ht="22.5" customHeight="1">
      <c r="A416" s="15" t="s">
        <v>597</v>
      </c>
      <c r="B416" s="14" t="s">
        <v>9</v>
      </c>
      <c r="C416" s="14">
        <v>80.0</v>
      </c>
      <c r="D416" s="15">
        <v>125.0</v>
      </c>
      <c r="E416" s="7">
        <v>515.0</v>
      </c>
      <c r="F416" s="7">
        <v>732.0</v>
      </c>
      <c r="G416" s="52">
        <f>IFERROR(SUMIF(Issues!B:B, A416, Issues!H:H), 0)</f>
        <v>2150</v>
      </c>
      <c r="H416" s="52">
        <f>IFERROR(SUMIF(Returns!B:B, A416, Returns!H:H), 0)</f>
        <v>1400</v>
      </c>
      <c r="I416" s="3">
        <v>3530.0</v>
      </c>
      <c r="J416" s="3">
        <v>2.0</v>
      </c>
      <c r="K416" s="3">
        <v>108.0</v>
      </c>
      <c r="L416" s="53">
        <f t="shared" si="5"/>
        <v>606.2977099</v>
      </c>
      <c r="M416" s="52">
        <f t="shared" si="6"/>
        <v>750</v>
      </c>
      <c r="N416" s="54">
        <f t="shared" si="7"/>
        <v>143.7022901</v>
      </c>
      <c r="O416" s="54">
        <f t="shared" si="8"/>
        <v>17.96278626</v>
      </c>
    </row>
    <row r="417" ht="22.5" customHeight="1">
      <c r="A417" s="15" t="s">
        <v>598</v>
      </c>
      <c r="B417" s="14" t="s">
        <v>9</v>
      </c>
      <c r="C417" s="14">
        <v>80.0</v>
      </c>
      <c r="D417" s="15">
        <v>250.0</v>
      </c>
      <c r="E417" s="7">
        <v>238.0</v>
      </c>
      <c r="F417" s="7">
        <v>353.0</v>
      </c>
      <c r="G417" s="52">
        <f>IFERROR(SUMIF(Issues!B:B, A417, Issues!H:H), 0)</f>
        <v>2000</v>
      </c>
      <c r="H417" s="52">
        <f>IFERROR(SUMIF(Returns!B:B, A417, Returns!H:H), 0)</f>
        <v>1600</v>
      </c>
      <c r="I417" s="3">
        <v>3470.0</v>
      </c>
      <c r="J417" s="3">
        <v>3.0</v>
      </c>
      <c r="K417" s="3">
        <v>75.0</v>
      </c>
      <c r="L417" s="53">
        <f t="shared" si="5"/>
        <v>275.9223919</v>
      </c>
      <c r="M417" s="52">
        <f t="shared" si="6"/>
        <v>400</v>
      </c>
      <c r="N417" s="54">
        <f t="shared" si="7"/>
        <v>124.0776081</v>
      </c>
      <c r="O417" s="54">
        <f t="shared" si="8"/>
        <v>31.01940204</v>
      </c>
    </row>
    <row r="418" ht="22.5" customHeight="1">
      <c r="A418" s="15" t="s">
        <v>599</v>
      </c>
      <c r="B418" s="14" t="s">
        <v>9</v>
      </c>
      <c r="C418" s="14">
        <v>80.0</v>
      </c>
      <c r="D418" s="15">
        <v>290.0</v>
      </c>
      <c r="E418" s="7">
        <v>299.0</v>
      </c>
      <c r="F418" s="7">
        <v>445.0</v>
      </c>
      <c r="G418" s="52">
        <f>IFERROR(SUMIF(Issues!B:B, A418, Issues!H:H), 0)</f>
        <v>1600</v>
      </c>
      <c r="H418" s="52">
        <f>IFERROR(SUMIF(Returns!B:B, A418, Returns!H:H), 0)</f>
        <v>1100</v>
      </c>
      <c r="I418" s="3">
        <v>2200.0</v>
      </c>
      <c r="J418" s="3">
        <v>2.0</v>
      </c>
      <c r="K418" s="3">
        <v>94.0</v>
      </c>
      <c r="L418" s="53">
        <f t="shared" si="5"/>
        <v>328.8804071</v>
      </c>
      <c r="M418" s="52">
        <f t="shared" si="6"/>
        <v>500</v>
      </c>
      <c r="N418" s="54">
        <f t="shared" si="7"/>
        <v>171.1195929</v>
      </c>
      <c r="O418" s="54">
        <f t="shared" si="8"/>
        <v>49.62468193</v>
      </c>
    </row>
    <row r="419" ht="22.5" customHeight="1">
      <c r="A419" s="15" t="s">
        <v>600</v>
      </c>
      <c r="B419" s="14" t="s">
        <v>9</v>
      </c>
      <c r="C419" s="14">
        <v>80.0</v>
      </c>
      <c r="D419" s="15">
        <v>125.0</v>
      </c>
      <c r="E419" s="7">
        <v>1718.0</v>
      </c>
      <c r="F419" s="7">
        <v>2122.0</v>
      </c>
      <c r="G419" s="52">
        <f>IFERROR(SUMIF(Issues!B:B, A419, Issues!H:H), 0)</f>
        <v>3400</v>
      </c>
      <c r="H419" s="52">
        <f>IFERROR(SUMIF(Returns!B:B, A419, Returns!H:H), 0)</f>
        <v>1750</v>
      </c>
      <c r="I419" s="3">
        <v>10280.0</v>
      </c>
      <c r="J419" s="3">
        <v>2.0</v>
      </c>
      <c r="K419" s="3">
        <v>108.0</v>
      </c>
      <c r="L419" s="53">
        <f t="shared" si="5"/>
        <v>1765.648855</v>
      </c>
      <c r="M419" s="52">
        <f t="shared" si="6"/>
        <v>1650</v>
      </c>
      <c r="N419" s="54">
        <f t="shared" si="7"/>
        <v>0</v>
      </c>
      <c r="O419" s="54">
        <f t="shared" si="8"/>
        <v>0</v>
      </c>
    </row>
    <row r="420" ht="22.5" customHeight="1">
      <c r="A420" s="15" t="s">
        <v>601</v>
      </c>
      <c r="B420" s="14" t="s">
        <v>26</v>
      </c>
      <c r="C420" s="14">
        <v>80.0</v>
      </c>
      <c r="D420" s="15">
        <v>140.0</v>
      </c>
      <c r="E420" s="7">
        <v>4089.0</v>
      </c>
      <c r="F420" s="7">
        <v>4592.0</v>
      </c>
      <c r="G420" s="52">
        <f>IFERROR(SUMIF(Issues!B:B, A420, Issues!H:H), 0)</f>
        <v>6000</v>
      </c>
      <c r="H420" s="52">
        <f>IFERROR(SUMIF(Returns!B:B, A420, Returns!H:H), 0)</f>
        <v>1400</v>
      </c>
      <c r="I420" s="3">
        <v>259880.0</v>
      </c>
      <c r="J420" s="3">
        <v>14.0</v>
      </c>
      <c r="K420" s="3">
        <v>72.0</v>
      </c>
      <c r="L420" s="53">
        <f t="shared" si="5"/>
        <v>4251.035987</v>
      </c>
      <c r="M420" s="52">
        <f t="shared" si="6"/>
        <v>4600</v>
      </c>
      <c r="N420" s="54">
        <f t="shared" si="7"/>
        <v>348.9640131</v>
      </c>
      <c r="O420" s="54">
        <f t="shared" si="8"/>
        <v>48.85496183</v>
      </c>
    </row>
    <row r="421" ht="22.5" customHeight="1">
      <c r="A421" s="15" t="s">
        <v>602</v>
      </c>
      <c r="B421" s="14" t="s">
        <v>9</v>
      </c>
      <c r="C421" s="14">
        <v>80.0</v>
      </c>
      <c r="D421" s="7">
        <v>250.0</v>
      </c>
      <c r="E421" s="7">
        <v>985.0</v>
      </c>
      <c r="F421" s="7">
        <v>1851.0</v>
      </c>
      <c r="G421" s="52">
        <f>IFERROR(SUMIF(Issues!B:B, A421, Issues!H:H), 0)</f>
        <v>2130</v>
      </c>
      <c r="H421" s="52">
        <f>IFERROR(SUMIF(Returns!B:B, A421, Returns!H:H), 0)</f>
        <v>250</v>
      </c>
      <c r="I421" s="3">
        <v>17800.0</v>
      </c>
      <c r="J421" s="3">
        <v>4.0</v>
      </c>
      <c r="K421" s="3">
        <v>81.0</v>
      </c>
      <c r="L421" s="53">
        <f t="shared" si="5"/>
        <v>1146.469466</v>
      </c>
      <c r="M421" s="52">
        <f t="shared" si="6"/>
        <v>1880</v>
      </c>
      <c r="N421" s="54">
        <f t="shared" si="7"/>
        <v>733.5305344</v>
      </c>
      <c r="O421" s="54">
        <f t="shared" si="8"/>
        <v>183.3826336</v>
      </c>
    </row>
    <row r="422" ht="22.5" customHeight="1">
      <c r="A422" s="15" t="s">
        <v>603</v>
      </c>
      <c r="B422" s="14" t="s">
        <v>9</v>
      </c>
      <c r="C422" s="14">
        <v>80.0</v>
      </c>
      <c r="D422" s="15">
        <v>140.0</v>
      </c>
      <c r="E422" s="7">
        <v>219.0</v>
      </c>
      <c r="F422" s="7">
        <v>626.0</v>
      </c>
      <c r="G422" s="52">
        <f>IFERROR(SUMIF(Issues!B:B, A422, Issues!H:H), 0)</f>
        <v>1300</v>
      </c>
      <c r="H422" s="52">
        <f>IFERROR(SUMIF(Returns!B:B, A422, Returns!H:H), 0)</f>
        <v>650</v>
      </c>
      <c r="I422" s="3">
        <v>1000.0</v>
      </c>
      <c r="J422" s="3">
        <v>1.0</v>
      </c>
      <c r="K422" s="3">
        <v>69.0</v>
      </c>
      <c r="L422" s="53">
        <f t="shared" si="5"/>
        <v>219.4656489</v>
      </c>
      <c r="M422" s="52">
        <f t="shared" si="6"/>
        <v>650</v>
      </c>
      <c r="N422" s="54">
        <f t="shared" si="7"/>
        <v>430.5343511</v>
      </c>
      <c r="O422" s="54">
        <f t="shared" si="8"/>
        <v>60.27480916</v>
      </c>
    </row>
    <row r="423" ht="22.5" customHeight="1">
      <c r="A423" s="15" t="s">
        <v>604</v>
      </c>
      <c r="B423" s="14" t="s">
        <v>9</v>
      </c>
      <c r="C423" s="14">
        <v>80.0</v>
      </c>
      <c r="D423" s="15">
        <v>125.0</v>
      </c>
      <c r="E423" s="7">
        <v>859.0</v>
      </c>
      <c r="F423" s="7">
        <v>987.0</v>
      </c>
      <c r="G423" s="52">
        <f>IFERROR(SUMIF(Issues!B:B, A423, Issues!H:H), 0)</f>
        <v>1100</v>
      </c>
      <c r="H423" s="52">
        <f>IFERROR(SUMIF(Returns!B:B, A423, Returns!H:H), 0)</f>
        <v>100</v>
      </c>
      <c r="I423" s="3">
        <v>5500.0</v>
      </c>
      <c r="J423" s="3">
        <v>2.0</v>
      </c>
      <c r="K423" s="3">
        <v>108.0</v>
      </c>
      <c r="L423" s="53">
        <f t="shared" si="5"/>
        <v>944.6564885</v>
      </c>
      <c r="M423" s="52">
        <f t="shared" si="6"/>
        <v>1000</v>
      </c>
      <c r="N423" s="54">
        <f t="shared" si="7"/>
        <v>55.34351145</v>
      </c>
      <c r="O423" s="54">
        <f t="shared" si="8"/>
        <v>6.917938931</v>
      </c>
    </row>
    <row r="424" ht="22.5" customHeight="1">
      <c r="A424" s="15" t="s">
        <v>606</v>
      </c>
      <c r="B424" s="14" t="s">
        <v>9</v>
      </c>
      <c r="C424" s="14">
        <v>80.0</v>
      </c>
      <c r="D424" s="15">
        <v>180.0</v>
      </c>
      <c r="E424" s="7">
        <v>249.0</v>
      </c>
      <c r="F424" s="7">
        <v>401.0</v>
      </c>
      <c r="G424" s="52">
        <f>IFERROR(SUMIF(Issues!B:B, A424, Issues!H:H), 0)</f>
        <v>500</v>
      </c>
      <c r="H424" s="52">
        <f>IFERROR(SUMIF(Returns!B:B, A424, Returns!H:H), 0)</f>
        <v>50</v>
      </c>
      <c r="I424" s="3">
        <v>5280.0</v>
      </c>
      <c r="J424" s="3">
        <v>6.0</v>
      </c>
      <c r="K424" s="3">
        <v>94.0</v>
      </c>
      <c r="L424" s="53">
        <f t="shared" si="5"/>
        <v>263.1043257</v>
      </c>
      <c r="M424" s="52">
        <f t="shared" si="6"/>
        <v>450</v>
      </c>
      <c r="N424" s="54">
        <f t="shared" si="7"/>
        <v>186.8956743</v>
      </c>
      <c r="O424" s="54">
        <f t="shared" si="8"/>
        <v>33.64122137</v>
      </c>
    </row>
    <row r="425" ht="22.5" customHeight="1">
      <c r="A425" s="15" t="s">
        <v>607</v>
      </c>
      <c r="B425" s="14" t="s">
        <v>9</v>
      </c>
      <c r="C425" s="14">
        <v>80.0</v>
      </c>
      <c r="D425" s="15">
        <v>140.0</v>
      </c>
      <c r="E425" s="7">
        <v>585.0</v>
      </c>
      <c r="F425" s="7">
        <v>784.0</v>
      </c>
      <c r="G425" s="52">
        <f>IFERROR(SUMIF(Issues!B:B, A425, Issues!H:H), 0)</f>
        <v>700</v>
      </c>
      <c r="H425" s="52">
        <f>IFERROR(SUMIF(Returns!B:B, A425, Returns!H:H), 0)</f>
        <v>0</v>
      </c>
      <c r="I425" s="3">
        <v>9250.0</v>
      </c>
      <c r="J425" s="3">
        <v>4.0</v>
      </c>
      <c r="K425" s="3">
        <v>92.0</v>
      </c>
      <c r="L425" s="53">
        <f t="shared" si="5"/>
        <v>676.6857506</v>
      </c>
      <c r="M425" s="52">
        <f t="shared" si="6"/>
        <v>700</v>
      </c>
      <c r="N425" s="54">
        <f t="shared" si="7"/>
        <v>23.31424936</v>
      </c>
      <c r="O425" s="54">
        <f t="shared" si="8"/>
        <v>3.263994911</v>
      </c>
    </row>
    <row r="426" ht="22.5" customHeight="1">
      <c r="A426" s="15" t="s">
        <v>608</v>
      </c>
      <c r="B426" s="14" t="s">
        <v>9</v>
      </c>
      <c r="C426" s="14">
        <v>80.0</v>
      </c>
      <c r="D426" s="15">
        <v>140.0</v>
      </c>
      <c r="E426" s="7">
        <v>236.0</v>
      </c>
      <c r="F426" s="7">
        <v>370.0</v>
      </c>
      <c r="G426" s="52">
        <f>IFERROR(SUMIF(Issues!B:B, A426, Issues!H:H), 0)</f>
        <v>1470</v>
      </c>
      <c r="H426" s="52">
        <f>IFERROR(SUMIF(Returns!B:B, A426, Returns!H:H), 0)</f>
        <v>1050</v>
      </c>
      <c r="I426" s="3">
        <v>6030.0</v>
      </c>
      <c r="J426" s="3">
        <v>6.0</v>
      </c>
      <c r="K426" s="3">
        <v>89.0</v>
      </c>
      <c r="L426" s="53">
        <f t="shared" si="5"/>
        <v>284.4942748</v>
      </c>
      <c r="M426" s="52">
        <f t="shared" si="6"/>
        <v>420</v>
      </c>
      <c r="N426" s="54">
        <f t="shared" si="7"/>
        <v>135.5057252</v>
      </c>
      <c r="O426" s="54">
        <f t="shared" si="8"/>
        <v>18.97080153</v>
      </c>
    </row>
    <row r="427" ht="22.5" customHeight="1">
      <c r="A427" s="15" t="s">
        <v>609</v>
      </c>
      <c r="B427" s="14" t="s">
        <v>9</v>
      </c>
      <c r="C427" s="14">
        <v>80.0</v>
      </c>
      <c r="D427" s="15">
        <v>180.0</v>
      </c>
      <c r="E427" s="7">
        <v>1024.0</v>
      </c>
      <c r="F427" s="7">
        <v>1444.0</v>
      </c>
      <c r="G427" s="52">
        <f>IFERROR(SUMIF(Issues!B:B, A427, Issues!H:H), 0)</f>
        <v>1970</v>
      </c>
      <c r="H427" s="52">
        <f>IFERROR(SUMIF(Returns!B:B, A427, Returns!H:H), 0)</f>
        <v>500</v>
      </c>
      <c r="I427" s="3">
        <v>3740.0</v>
      </c>
      <c r="J427" s="3">
        <v>1.0</v>
      </c>
      <c r="K427" s="3">
        <v>92.0</v>
      </c>
      <c r="L427" s="53">
        <f t="shared" si="5"/>
        <v>1094.402036</v>
      </c>
      <c r="M427" s="52">
        <f t="shared" si="6"/>
        <v>1470</v>
      </c>
      <c r="N427" s="54">
        <f t="shared" si="7"/>
        <v>375.5979644</v>
      </c>
      <c r="O427" s="54">
        <f t="shared" si="8"/>
        <v>67.60763359</v>
      </c>
    </row>
    <row r="428" ht="22.5" customHeight="1">
      <c r="A428" s="15" t="s">
        <v>610</v>
      </c>
      <c r="B428" s="14" t="s">
        <v>9</v>
      </c>
      <c r="C428" s="14">
        <v>80.0</v>
      </c>
      <c r="D428" s="15">
        <v>140.0</v>
      </c>
      <c r="E428" s="7">
        <v>905.0</v>
      </c>
      <c r="F428" s="7">
        <v>1161.0</v>
      </c>
      <c r="G428" s="52">
        <f>IFERROR(SUMIF(Issues!B:B, A428, Issues!H:H), 0)</f>
        <v>1150</v>
      </c>
      <c r="H428" s="52">
        <f>IFERROR(SUMIF(Returns!B:B, A428, Returns!H:H), 0)</f>
        <v>0</v>
      </c>
      <c r="I428" s="3">
        <v>12460.0</v>
      </c>
      <c r="J428" s="3">
        <v>4.0</v>
      </c>
      <c r="K428" s="3">
        <v>99.0</v>
      </c>
      <c r="L428" s="53">
        <f t="shared" si="5"/>
        <v>980.8683206</v>
      </c>
      <c r="M428" s="52">
        <f t="shared" si="6"/>
        <v>1150</v>
      </c>
      <c r="N428" s="54">
        <f t="shared" si="7"/>
        <v>169.1316794</v>
      </c>
      <c r="O428" s="54">
        <f t="shared" si="8"/>
        <v>23.67843511</v>
      </c>
    </row>
    <row r="429" ht="22.5" customHeight="1">
      <c r="A429" s="15" t="s">
        <v>612</v>
      </c>
      <c r="B429" s="14" t="s">
        <v>9</v>
      </c>
      <c r="C429" s="14">
        <v>80.0</v>
      </c>
      <c r="D429" s="15">
        <v>140.0</v>
      </c>
      <c r="E429" s="7">
        <v>716.0</v>
      </c>
      <c r="F429" s="7">
        <v>1042.0</v>
      </c>
      <c r="G429" s="52">
        <f>IFERROR(SUMIF(Issues!B:B, A429, Issues!H:H), 0)</f>
        <v>1480</v>
      </c>
      <c r="H429" s="52">
        <f>IFERROR(SUMIF(Returns!B:B, A429, Returns!H:H), 0)</f>
        <v>430</v>
      </c>
      <c r="I429" s="3">
        <v>3870.0</v>
      </c>
      <c r="J429" s="3">
        <v>1.0</v>
      </c>
      <c r="K429" s="3">
        <v>75.0</v>
      </c>
      <c r="L429" s="53">
        <f t="shared" si="5"/>
        <v>923.1870229</v>
      </c>
      <c r="M429" s="52">
        <f t="shared" si="6"/>
        <v>1050</v>
      </c>
      <c r="N429" s="54">
        <f t="shared" si="7"/>
        <v>126.8129771</v>
      </c>
      <c r="O429" s="54">
        <f t="shared" si="8"/>
        <v>17.75381679</v>
      </c>
    </row>
    <row r="430" ht="22.5" customHeight="1">
      <c r="A430" s="15" t="s">
        <v>613</v>
      </c>
      <c r="B430" s="14" t="s">
        <v>9</v>
      </c>
      <c r="C430" s="14">
        <v>80.0</v>
      </c>
      <c r="D430" s="15">
        <v>140.0</v>
      </c>
      <c r="E430" s="7">
        <v>229.0</v>
      </c>
      <c r="F430" s="7">
        <v>368.0</v>
      </c>
      <c r="G430" s="52">
        <f>IFERROR(SUMIF(Issues!B:B, A430, Issues!H:H), 0)</f>
        <v>430</v>
      </c>
      <c r="H430" s="52">
        <f>IFERROR(SUMIF(Returns!B:B, A430, Returns!H:H), 0)</f>
        <v>0</v>
      </c>
      <c r="I430" s="3">
        <v>6180.0</v>
      </c>
      <c r="J430" s="3">
        <v>6.0</v>
      </c>
      <c r="K430" s="3">
        <v>72.0</v>
      </c>
      <c r="L430" s="53">
        <f t="shared" si="5"/>
        <v>235.8778626</v>
      </c>
      <c r="M430" s="52">
        <f t="shared" si="6"/>
        <v>430</v>
      </c>
      <c r="N430" s="54">
        <f t="shared" si="7"/>
        <v>194.1221374</v>
      </c>
      <c r="O430" s="54">
        <f t="shared" si="8"/>
        <v>27.17709924</v>
      </c>
    </row>
    <row r="431" ht="22.5" customHeight="1">
      <c r="A431" s="15" t="s">
        <v>614</v>
      </c>
      <c r="B431" s="14" t="s">
        <v>9</v>
      </c>
      <c r="C431" s="14">
        <v>80.0</v>
      </c>
      <c r="D431" s="15">
        <v>126.0</v>
      </c>
      <c r="E431" s="7">
        <v>258.0</v>
      </c>
      <c r="F431" s="7">
        <v>400.0</v>
      </c>
      <c r="G431" s="52">
        <f>IFERROR(SUMIF(Issues!B:B, A431, Issues!H:H), 0)</f>
        <v>400</v>
      </c>
      <c r="H431" s="52">
        <f>IFERROR(SUMIF(Returns!B:B, A431, Returns!H:H), 0)</f>
        <v>0</v>
      </c>
      <c r="I431" s="3">
        <v>6180.0</v>
      </c>
      <c r="J431" s="3">
        <v>4.0</v>
      </c>
      <c r="K431" s="3">
        <v>108.0</v>
      </c>
      <c r="L431" s="53">
        <f t="shared" si="5"/>
        <v>530.7251908</v>
      </c>
      <c r="M431" s="52">
        <f t="shared" si="6"/>
        <v>400</v>
      </c>
      <c r="N431" s="54">
        <f t="shared" si="7"/>
        <v>0</v>
      </c>
      <c r="O431" s="54">
        <f t="shared" si="8"/>
        <v>0</v>
      </c>
    </row>
    <row r="432" ht="22.5" customHeight="1">
      <c r="A432" s="15" t="s">
        <v>615</v>
      </c>
      <c r="B432" s="14" t="s">
        <v>9</v>
      </c>
      <c r="C432" s="14">
        <v>80.0</v>
      </c>
      <c r="D432" s="15">
        <v>230.0</v>
      </c>
      <c r="E432" s="7">
        <v>263.0</v>
      </c>
      <c r="F432" s="7">
        <v>446.0</v>
      </c>
      <c r="G432" s="52">
        <f>IFERROR(SUMIF(Issues!B:B, A432, Issues!H:H), 0)</f>
        <v>600</v>
      </c>
      <c r="H432" s="52">
        <f>IFERROR(SUMIF(Returns!B:B, A432, Returns!H:H), 0)</f>
        <v>446</v>
      </c>
      <c r="I432" s="3">
        <v>4080.0</v>
      </c>
      <c r="J432" s="3">
        <v>6.0</v>
      </c>
      <c r="K432" s="3">
        <v>124.0</v>
      </c>
      <c r="L432" s="53">
        <f t="shared" si="5"/>
        <v>268.1933842</v>
      </c>
      <c r="M432" s="52">
        <f t="shared" si="6"/>
        <v>154</v>
      </c>
      <c r="N432" s="54">
        <f t="shared" si="7"/>
        <v>0</v>
      </c>
      <c r="O432" s="54">
        <f t="shared" si="8"/>
        <v>0</v>
      </c>
    </row>
    <row r="433" ht="22.5" customHeight="1">
      <c r="A433" s="15" t="s">
        <v>616</v>
      </c>
      <c r="B433" s="14" t="s">
        <v>9</v>
      </c>
      <c r="C433" s="14">
        <v>80.0</v>
      </c>
      <c r="D433" s="15">
        <v>195.0</v>
      </c>
      <c r="E433" s="7">
        <v>986.0</v>
      </c>
      <c r="F433" s="7">
        <v>1164.0</v>
      </c>
      <c r="G433" s="52">
        <f>IFERROR(SUMIF(Issues!B:B, A433, Issues!H:H), 0)</f>
        <v>1960</v>
      </c>
      <c r="H433" s="52">
        <f>IFERROR(SUMIF(Returns!B:B, A433, Returns!H:H), 0)</f>
        <v>790</v>
      </c>
      <c r="I433" s="3">
        <v>15850.0</v>
      </c>
      <c r="J433" s="3">
        <v>6.0</v>
      </c>
      <c r="K433" s="3">
        <v>124.0</v>
      </c>
      <c r="L433" s="53">
        <f t="shared" si="5"/>
        <v>1041.878711</v>
      </c>
      <c r="M433" s="52">
        <f t="shared" si="6"/>
        <v>1170</v>
      </c>
      <c r="N433" s="54">
        <f t="shared" si="7"/>
        <v>128.1212892</v>
      </c>
      <c r="O433" s="54">
        <f t="shared" si="8"/>
        <v>24.9836514</v>
      </c>
    </row>
    <row r="434" ht="22.5" customHeight="1">
      <c r="A434" s="15" t="s">
        <v>617</v>
      </c>
      <c r="B434" s="14" t="s">
        <v>9</v>
      </c>
      <c r="C434" s="14">
        <v>80.0</v>
      </c>
      <c r="D434" s="15">
        <v>160.0</v>
      </c>
      <c r="E434" s="7">
        <v>1415.0</v>
      </c>
      <c r="F434" s="7">
        <v>1680.0</v>
      </c>
      <c r="G434" s="52">
        <f>IFERROR(SUMIF(Issues!B:B, A434, Issues!H:H), 0)</f>
        <v>2980</v>
      </c>
      <c r="H434" s="52">
        <f>IFERROR(SUMIF(Returns!B:B, A434, Returns!H:H), 0)</f>
        <v>1300</v>
      </c>
      <c r="I434" s="3">
        <v>5400.0</v>
      </c>
      <c r="J434" s="3">
        <v>1.0</v>
      </c>
      <c r="K434" s="3">
        <v>89.0</v>
      </c>
      <c r="L434" s="53">
        <f t="shared" si="5"/>
        <v>1528.625954</v>
      </c>
      <c r="M434" s="52">
        <f t="shared" si="6"/>
        <v>1680</v>
      </c>
      <c r="N434" s="54">
        <f t="shared" si="7"/>
        <v>151.3740458</v>
      </c>
      <c r="O434" s="54">
        <f t="shared" si="8"/>
        <v>24.21984733</v>
      </c>
    </row>
    <row r="435" ht="22.5" customHeight="1">
      <c r="A435" s="15" t="s">
        <v>619</v>
      </c>
      <c r="B435" s="14" t="s">
        <v>9</v>
      </c>
      <c r="C435" s="14">
        <v>80.0</v>
      </c>
      <c r="D435" s="15">
        <v>160.0</v>
      </c>
      <c r="E435" s="7">
        <v>1698.0</v>
      </c>
      <c r="F435" s="7">
        <v>2100.0</v>
      </c>
      <c r="G435" s="52">
        <f>IFERROR(SUMIF(Issues!B:B, A435, Issues!H:H), 0)</f>
        <v>2800</v>
      </c>
      <c r="H435" s="52">
        <f>IFERROR(SUMIF(Returns!B:B, A435, Returns!H:H), 0)</f>
        <v>700</v>
      </c>
      <c r="I435" s="3">
        <v>6210.0</v>
      </c>
      <c r="J435" s="3">
        <v>1.0</v>
      </c>
      <c r="K435" s="3">
        <v>89.0</v>
      </c>
      <c r="L435" s="53">
        <f t="shared" si="5"/>
        <v>1757.919847</v>
      </c>
      <c r="M435" s="52">
        <f t="shared" si="6"/>
        <v>2100</v>
      </c>
      <c r="N435" s="54">
        <f t="shared" si="7"/>
        <v>342.0801527</v>
      </c>
      <c r="O435" s="54">
        <f t="shared" si="8"/>
        <v>54.73282443</v>
      </c>
    </row>
    <row r="436" ht="22.5" customHeight="1">
      <c r="A436" s="15" t="s">
        <v>620</v>
      </c>
      <c r="B436" s="14" t="s">
        <v>9</v>
      </c>
      <c r="C436" s="14">
        <v>80.0</v>
      </c>
      <c r="D436" s="15">
        <v>230.0</v>
      </c>
      <c r="E436" s="7">
        <v>657.0</v>
      </c>
      <c r="F436" s="7">
        <v>882.0</v>
      </c>
      <c r="G436" s="52">
        <f>IFERROR(SUMIF(Issues!B:B, A436, Issues!H:H), 0)</f>
        <v>1500</v>
      </c>
      <c r="H436" s="52">
        <f>IFERROR(SUMIF(Returns!B:B, A436, Returns!H:H), 0)</f>
        <v>600</v>
      </c>
      <c r="I436" s="3">
        <v>10430.0</v>
      </c>
      <c r="J436" s="3">
        <v>6.0</v>
      </c>
      <c r="K436" s="3">
        <v>124.0</v>
      </c>
      <c r="L436" s="53">
        <f t="shared" si="5"/>
        <v>685.6022053</v>
      </c>
      <c r="M436" s="52">
        <f t="shared" si="6"/>
        <v>900</v>
      </c>
      <c r="N436" s="54">
        <f t="shared" si="7"/>
        <v>214.3977947</v>
      </c>
      <c r="O436" s="54">
        <f t="shared" si="8"/>
        <v>49.31149279</v>
      </c>
    </row>
    <row r="437" ht="22.5" customHeight="1">
      <c r="A437" s="15" t="s">
        <v>621</v>
      </c>
      <c r="B437" s="14" t="s">
        <v>26</v>
      </c>
      <c r="C437" s="14">
        <v>80.0</v>
      </c>
      <c r="D437" s="15">
        <v>200.0</v>
      </c>
      <c r="E437" s="7">
        <v>5407.0</v>
      </c>
      <c r="F437" s="7">
        <v>3390.0</v>
      </c>
      <c r="G437" s="52">
        <f>IFERROR(SUMIF(Issues!B:B, A437, Issues!H:H), 0)</f>
        <v>3430</v>
      </c>
      <c r="H437" s="52">
        <f>IFERROR(SUMIF(Returns!B:B, A437, Returns!H:H), 0)</f>
        <v>0</v>
      </c>
      <c r="I437" s="3">
        <v>10020.0</v>
      </c>
      <c r="J437" s="3">
        <v>1.0</v>
      </c>
      <c r="K437" s="3">
        <v>85.0</v>
      </c>
      <c r="L437" s="53">
        <f t="shared" si="5"/>
        <v>2708.969466</v>
      </c>
      <c r="M437" s="52">
        <f t="shared" si="6"/>
        <v>3430</v>
      </c>
      <c r="N437" s="54">
        <f t="shared" si="7"/>
        <v>721.0305344</v>
      </c>
      <c r="O437" s="54">
        <f t="shared" si="8"/>
        <v>144.2061069</v>
      </c>
    </row>
    <row r="438" ht="22.5" customHeight="1">
      <c r="A438" s="15" t="s">
        <v>623</v>
      </c>
      <c r="B438" s="14" t="s">
        <v>26</v>
      </c>
      <c r="C438" s="14">
        <v>80.0</v>
      </c>
      <c r="D438" s="15">
        <v>200.0</v>
      </c>
      <c r="E438" s="7">
        <v>2704.0</v>
      </c>
      <c r="F438" s="7">
        <v>3060.0</v>
      </c>
      <c r="G438" s="52">
        <f>IFERROR(SUMIF(Issues!B:B, A438, Issues!H:H), 0)</f>
        <v>3060</v>
      </c>
      <c r="H438" s="52">
        <f>IFERROR(SUMIF(Returns!B:B, A438, Returns!H:H), 0)</f>
        <v>400</v>
      </c>
      <c r="I438" s="3">
        <v>18190.0</v>
      </c>
      <c r="J438" s="3">
        <v>1.0</v>
      </c>
      <c r="K438" s="3">
        <v>85.0</v>
      </c>
      <c r="L438" s="53">
        <f t="shared" si="5"/>
        <v>4917.779898</v>
      </c>
      <c r="M438" s="52">
        <f t="shared" si="6"/>
        <v>2660</v>
      </c>
      <c r="N438" s="54">
        <f t="shared" si="7"/>
        <v>0</v>
      </c>
      <c r="O438" s="54">
        <f t="shared" si="8"/>
        <v>0</v>
      </c>
    </row>
    <row r="439" ht="22.5" customHeight="1">
      <c r="A439" s="15" t="s">
        <v>624</v>
      </c>
      <c r="B439" s="14" t="s">
        <v>9</v>
      </c>
      <c r="C439" s="14">
        <v>80.0</v>
      </c>
      <c r="D439" s="15">
        <v>140.0</v>
      </c>
      <c r="E439" s="7">
        <v>293.0</v>
      </c>
      <c r="F439" s="7">
        <v>404.0</v>
      </c>
      <c r="G439" s="52">
        <f>IFERROR(SUMIF(Issues!B:B, A439, Issues!H:H), 0)</f>
        <v>1480</v>
      </c>
      <c r="H439" s="52">
        <f>IFERROR(SUMIF(Returns!B:B, A439, Returns!H:H), 0)</f>
        <v>1070</v>
      </c>
      <c r="I439" s="3">
        <v>4725.0</v>
      </c>
      <c r="J439" s="3">
        <v>4.0</v>
      </c>
      <c r="K439" s="3">
        <v>92.0</v>
      </c>
      <c r="L439" s="53">
        <f t="shared" si="5"/>
        <v>345.6583969</v>
      </c>
      <c r="M439" s="52">
        <f t="shared" si="6"/>
        <v>410</v>
      </c>
      <c r="N439" s="54">
        <f t="shared" si="7"/>
        <v>64.34160305</v>
      </c>
      <c r="O439" s="54">
        <f t="shared" si="8"/>
        <v>9.007824427</v>
      </c>
    </row>
    <row r="440" ht="22.5" customHeight="1">
      <c r="A440" s="15" t="s">
        <v>625</v>
      </c>
      <c r="B440" s="14" t="s">
        <v>9</v>
      </c>
      <c r="C440" s="14">
        <v>80.0</v>
      </c>
      <c r="D440" s="15">
        <v>140.0</v>
      </c>
      <c r="E440" s="7">
        <v>1317.0</v>
      </c>
      <c r="F440" s="7">
        <v>1488.0</v>
      </c>
      <c r="G440" s="52">
        <f>IFERROR(SUMIF(Issues!B:B, A440, Issues!H:H), 0)</f>
        <v>1470</v>
      </c>
      <c r="H440" s="3">
        <v>6170.0</v>
      </c>
      <c r="I440" s="3">
        <v>6170.0</v>
      </c>
      <c r="J440" s="3">
        <v>1.0</v>
      </c>
      <c r="K440" s="3">
        <v>69.0</v>
      </c>
      <c r="L440" s="53">
        <f t="shared" si="5"/>
        <v>1354.103053</v>
      </c>
      <c r="M440" s="52">
        <f t="shared" si="6"/>
        <v>-4700</v>
      </c>
      <c r="N440" s="54">
        <f t="shared" si="7"/>
        <v>0</v>
      </c>
      <c r="O440" s="54">
        <f t="shared" si="8"/>
        <v>0</v>
      </c>
    </row>
    <row r="441" ht="22.5" customHeight="1">
      <c r="A441" s="15" t="s">
        <v>626</v>
      </c>
      <c r="B441" s="14" t="s">
        <v>9</v>
      </c>
      <c r="C441" s="14">
        <v>80.0</v>
      </c>
      <c r="D441" s="15">
        <v>260.0</v>
      </c>
      <c r="E441" s="7">
        <v>1887.0</v>
      </c>
      <c r="F441" s="7">
        <v>2236.0</v>
      </c>
      <c r="G441" s="52">
        <f>IFERROR(SUMIF(Issues!B:B, A441, Issues!H:H), 0)</f>
        <v>3400</v>
      </c>
      <c r="H441" s="52">
        <f>IFERROR(SUMIF(Returns!B:B, A441, Returns!H:H), 0)</f>
        <v>1160</v>
      </c>
      <c r="I441" s="3">
        <v>20112.0</v>
      </c>
      <c r="J441" s="3">
        <v>3.0</v>
      </c>
      <c r="K441" s="3">
        <v>89.0</v>
      </c>
      <c r="L441" s="53">
        <f t="shared" si="5"/>
        <v>1897.760814</v>
      </c>
      <c r="M441" s="52">
        <f t="shared" si="6"/>
        <v>2240</v>
      </c>
      <c r="N441" s="54">
        <f t="shared" si="7"/>
        <v>342.2391858</v>
      </c>
      <c r="O441" s="54">
        <f t="shared" si="8"/>
        <v>88.9821883</v>
      </c>
    </row>
    <row r="442" ht="22.5" customHeight="1">
      <c r="A442" s="15" t="s">
        <v>628</v>
      </c>
      <c r="B442" s="14" t="s">
        <v>9</v>
      </c>
      <c r="C442" s="14">
        <v>80.0</v>
      </c>
      <c r="D442" s="15">
        <v>260.0</v>
      </c>
      <c r="E442" s="7">
        <v>394.0</v>
      </c>
      <c r="F442" s="7">
        <v>580.0</v>
      </c>
      <c r="G442" s="52">
        <f>IFERROR(SUMIF(Issues!B:B, A442, Issues!H:H), 0)</f>
        <v>1000</v>
      </c>
      <c r="H442" s="52">
        <f>IFERROR(SUMIF(Returns!B:B, A442, Returns!H:H), 0)</f>
        <v>400</v>
      </c>
      <c r="I442" s="3">
        <v>6370.0</v>
      </c>
      <c r="J442" s="3">
        <v>6.0</v>
      </c>
      <c r="K442" s="3">
        <v>124.0</v>
      </c>
      <c r="L442" s="53">
        <f t="shared" si="5"/>
        <v>418.7234945</v>
      </c>
      <c r="M442" s="52">
        <f t="shared" si="6"/>
        <v>600</v>
      </c>
      <c r="N442" s="54">
        <f t="shared" si="7"/>
        <v>181.2765055</v>
      </c>
      <c r="O442" s="54">
        <f t="shared" si="8"/>
        <v>47.13189143</v>
      </c>
    </row>
    <row r="443" ht="22.5" customHeight="1">
      <c r="A443" s="15" t="s">
        <v>630</v>
      </c>
      <c r="B443" s="14" t="s">
        <v>9</v>
      </c>
      <c r="C443" s="14">
        <v>80.0</v>
      </c>
      <c r="D443" s="15">
        <v>160.0</v>
      </c>
      <c r="E443" s="7">
        <v>566.0</v>
      </c>
      <c r="F443" s="7">
        <v>820.0</v>
      </c>
      <c r="G443" s="52">
        <f>IFERROR(SUMIF(Issues!B:B, A443, Issues!H:H), 0)</f>
        <v>1480</v>
      </c>
      <c r="H443" s="52">
        <f>IFERROR(SUMIF(Returns!B:B, A443, Returns!H:H), 0)</f>
        <v>620</v>
      </c>
      <c r="I443" s="3">
        <v>2028.0</v>
      </c>
      <c r="J443" s="3">
        <v>1.0</v>
      </c>
      <c r="K443" s="3">
        <v>89.0</v>
      </c>
      <c r="L443" s="53">
        <f t="shared" si="5"/>
        <v>574.0839695</v>
      </c>
      <c r="M443" s="52">
        <f t="shared" si="6"/>
        <v>860</v>
      </c>
      <c r="N443" s="54">
        <f t="shared" si="7"/>
        <v>285.9160305</v>
      </c>
      <c r="O443" s="54">
        <f t="shared" si="8"/>
        <v>45.74656489</v>
      </c>
    </row>
    <row r="444" ht="22.5" customHeight="1">
      <c r="A444" s="15" t="s">
        <v>631</v>
      </c>
      <c r="B444" s="14" t="s">
        <v>9</v>
      </c>
      <c r="C444" s="14">
        <v>80.0</v>
      </c>
      <c r="D444" s="15">
        <v>140.0</v>
      </c>
      <c r="E444" s="7">
        <v>439.0</v>
      </c>
      <c r="F444" s="7">
        <v>619.0</v>
      </c>
      <c r="G444" s="52">
        <f>IFERROR(SUMIF(Issues!B:B, A444, Issues!H:H), 0)</f>
        <v>800</v>
      </c>
      <c r="H444" s="52">
        <f>IFERROR(SUMIF(Returns!B:B, A444, Returns!H:H), 0)</f>
        <v>180</v>
      </c>
      <c r="I444" s="3">
        <v>2495.0</v>
      </c>
      <c r="J444" s="3">
        <v>1.0</v>
      </c>
      <c r="K444" s="3">
        <v>69.0</v>
      </c>
      <c r="L444" s="53">
        <f t="shared" si="5"/>
        <v>547.5667939</v>
      </c>
      <c r="M444" s="52">
        <f t="shared" si="6"/>
        <v>620</v>
      </c>
      <c r="N444" s="54">
        <f t="shared" si="7"/>
        <v>72.43320611</v>
      </c>
      <c r="O444" s="54">
        <f t="shared" si="8"/>
        <v>10.14064885</v>
      </c>
    </row>
    <row r="445" ht="22.5" customHeight="1">
      <c r="A445" s="15" t="s">
        <v>633</v>
      </c>
      <c r="B445" s="14" t="s">
        <v>9</v>
      </c>
      <c r="C445" s="14">
        <v>80.0</v>
      </c>
      <c r="D445" s="15">
        <v>250.0</v>
      </c>
      <c r="E445" s="7">
        <v>657.0</v>
      </c>
      <c r="F445" s="7">
        <v>1000.0</v>
      </c>
      <c r="G445" s="52">
        <f>IFERROR(SUMIF(Issues!B:B, A445, Issues!H:H), 0)</f>
        <v>2200</v>
      </c>
      <c r="H445" s="52">
        <f>IFERROR(SUMIF(Returns!B:B, A445, Returns!H:H), 0)</f>
        <v>1000</v>
      </c>
      <c r="I445" s="3">
        <v>11500.0</v>
      </c>
      <c r="J445" s="3">
        <v>4.0</v>
      </c>
      <c r="K445" s="3">
        <v>81.0</v>
      </c>
      <c r="L445" s="53">
        <f t="shared" si="5"/>
        <v>740.6965649</v>
      </c>
      <c r="M445" s="52">
        <f t="shared" si="6"/>
        <v>1200</v>
      </c>
      <c r="N445" s="54">
        <f t="shared" si="7"/>
        <v>459.3034351</v>
      </c>
      <c r="O445" s="54">
        <f t="shared" si="8"/>
        <v>114.8258588</v>
      </c>
    </row>
    <row r="446" ht="22.5" customHeight="1">
      <c r="A446" s="15" t="s">
        <v>634</v>
      </c>
      <c r="B446" s="14" t="s">
        <v>26</v>
      </c>
      <c r="C446" s="14">
        <v>80.0</v>
      </c>
      <c r="D446" s="15">
        <v>160.0</v>
      </c>
      <c r="E446" s="7">
        <v>849.0</v>
      </c>
      <c r="F446" s="7">
        <v>1005.0</v>
      </c>
      <c r="G446" s="52">
        <f>IFERROR(SUMIF(Issues!B:B, A446, Issues!H:H), 0)</f>
        <v>1050</v>
      </c>
      <c r="H446" s="52">
        <f>IFERROR(SUMIF(Returns!B:B, A446, Returns!H:H), 0)</f>
        <v>0</v>
      </c>
      <c r="I446" s="3">
        <v>2425.0</v>
      </c>
      <c r="J446" s="3">
        <v>1.0</v>
      </c>
      <c r="K446" s="3">
        <v>89.0</v>
      </c>
      <c r="L446" s="53">
        <f t="shared" si="5"/>
        <v>686.466285</v>
      </c>
      <c r="M446" s="52">
        <f t="shared" si="6"/>
        <v>1050</v>
      </c>
      <c r="N446" s="54">
        <f t="shared" si="7"/>
        <v>363.533715</v>
      </c>
      <c r="O446" s="54">
        <f t="shared" si="8"/>
        <v>58.1653944</v>
      </c>
    </row>
    <row r="447" ht="22.5" customHeight="1">
      <c r="A447" s="15" t="s">
        <v>635</v>
      </c>
      <c r="B447" s="14" t="s">
        <v>9</v>
      </c>
      <c r="C447" s="14">
        <v>80.0</v>
      </c>
      <c r="D447" s="15">
        <v>210.0</v>
      </c>
      <c r="E447" s="7">
        <v>747.0</v>
      </c>
      <c r="F447" s="7">
        <v>890.0</v>
      </c>
      <c r="G447" s="52">
        <f>IFERROR(SUMIF(Issues!B:B, A447, Issues!H:H), 0)</f>
        <v>2000</v>
      </c>
      <c r="H447" s="52">
        <f>IFERROR(SUMIF(Returns!B:B, A447, Returns!H:H), 0)</f>
        <v>1080</v>
      </c>
      <c r="I447" s="3">
        <v>5480.0</v>
      </c>
      <c r="J447" s="3">
        <v>2.0</v>
      </c>
      <c r="K447" s="3">
        <v>94.0</v>
      </c>
      <c r="L447" s="53">
        <f t="shared" si="5"/>
        <v>819.2111959</v>
      </c>
      <c r="M447" s="52">
        <f t="shared" si="6"/>
        <v>920</v>
      </c>
      <c r="N447" s="54">
        <f t="shared" si="7"/>
        <v>100.7888041</v>
      </c>
      <c r="O447" s="54">
        <f t="shared" si="8"/>
        <v>21.16564885</v>
      </c>
    </row>
    <row r="448" ht="22.5" customHeight="1">
      <c r="A448" s="15" t="s">
        <v>637</v>
      </c>
      <c r="B448" s="13" t="s">
        <v>9</v>
      </c>
      <c r="C448" s="13">
        <v>80.0</v>
      </c>
      <c r="D448" s="15">
        <v>140.0</v>
      </c>
      <c r="E448" s="7">
        <v>1317.0</v>
      </c>
      <c r="F448" s="7">
        <v>1600.0</v>
      </c>
      <c r="G448" s="52">
        <f>IFERROR(SUMIF(Issues!B:B, A448, Issues!H:H), 0)</f>
        <v>1730</v>
      </c>
      <c r="H448" s="52">
        <f>IFERROR(SUMIF(Returns!B:B, A448, Returns!H:H), 0)</f>
        <v>130</v>
      </c>
      <c r="I448" s="3">
        <v>6710.0</v>
      </c>
      <c r="J448" s="3">
        <v>1.0</v>
      </c>
      <c r="K448" s="3">
        <v>69.0</v>
      </c>
      <c r="L448" s="53">
        <f t="shared" si="5"/>
        <v>1472.614504</v>
      </c>
      <c r="M448" s="52">
        <f t="shared" si="6"/>
        <v>1600</v>
      </c>
      <c r="N448" s="54">
        <f t="shared" si="7"/>
        <v>127.3854962</v>
      </c>
      <c r="O448" s="54">
        <f t="shared" si="8"/>
        <v>17.83396947</v>
      </c>
    </row>
    <row r="449" ht="22.5" customHeight="1">
      <c r="A449" s="15" t="s">
        <v>638</v>
      </c>
      <c r="B449" s="13" t="s">
        <v>54</v>
      </c>
      <c r="C449" s="13">
        <v>40.0</v>
      </c>
      <c r="D449" s="15">
        <v>240.0</v>
      </c>
      <c r="E449" s="7">
        <v>1193.0</v>
      </c>
      <c r="F449" s="7">
        <v>1560.0</v>
      </c>
      <c r="G449" s="52">
        <f>IFERROR(SUMIF(Issues!B:B, A449, Issues!H:H), 0)</f>
        <v>2000</v>
      </c>
      <c r="H449" s="52">
        <f>IFERROR(SUMIF(Returns!B:B, A449, Returns!H:H), 0)</f>
        <v>400</v>
      </c>
      <c r="I449" s="3">
        <v>10850.0</v>
      </c>
      <c r="J449" s="3">
        <v>2.0</v>
      </c>
      <c r="K449" s="3">
        <v>75.0</v>
      </c>
      <c r="L449" s="53">
        <f t="shared" si="5"/>
        <v>1294.131679</v>
      </c>
      <c r="M449" s="52">
        <f t="shared" si="6"/>
        <v>1600</v>
      </c>
      <c r="N449" s="54">
        <f t="shared" si="7"/>
        <v>305.8683206</v>
      </c>
      <c r="O449" s="54">
        <f t="shared" si="8"/>
        <v>73.40839695</v>
      </c>
    </row>
    <row r="450" ht="22.5" customHeight="1">
      <c r="A450" s="15" t="s">
        <v>641</v>
      </c>
      <c r="B450" s="13" t="s">
        <v>43</v>
      </c>
      <c r="C450" s="13">
        <v>50.0</v>
      </c>
      <c r="D450" s="15">
        <v>125.0</v>
      </c>
      <c r="E450" s="7">
        <v>876.0</v>
      </c>
      <c r="F450" s="7">
        <v>1143.0</v>
      </c>
      <c r="G450" s="52">
        <f>IFERROR(SUMIF(Issues!B:B, A450, Issues!H:H), 0)</f>
        <v>2000</v>
      </c>
      <c r="H450" s="52">
        <f>IFERROR(SUMIF(Returns!B:B, A450, Returns!H:H), 0)</f>
        <v>850</v>
      </c>
      <c r="I450" s="3">
        <v>11160.0</v>
      </c>
      <c r="J450" s="3">
        <v>4.0</v>
      </c>
      <c r="K450" s="3">
        <v>108.0</v>
      </c>
      <c r="L450" s="53">
        <f t="shared" si="5"/>
        <v>958.3969466</v>
      </c>
      <c r="M450" s="52">
        <f t="shared" si="6"/>
        <v>1150</v>
      </c>
      <c r="N450" s="54">
        <f t="shared" si="7"/>
        <v>191.6030534</v>
      </c>
      <c r="O450" s="54">
        <f t="shared" si="8"/>
        <v>23.95038168</v>
      </c>
    </row>
    <row r="451" ht="22.5" customHeight="1">
      <c r="A451" s="15" t="s">
        <v>643</v>
      </c>
      <c r="B451" s="13" t="s">
        <v>43</v>
      </c>
      <c r="C451" s="13">
        <v>50.0</v>
      </c>
      <c r="D451" s="15">
        <v>125.0</v>
      </c>
      <c r="E451" s="7">
        <v>732.0</v>
      </c>
      <c r="F451" s="7">
        <v>901.0</v>
      </c>
      <c r="G451" s="52">
        <f>IFERROR(SUMIF(Issues!B:B, A451, Issues!H:H), 0)</f>
        <v>1600</v>
      </c>
      <c r="H451" s="52">
        <f>IFERROR(SUMIF(Returns!B:B, A451, Returns!H:H), 0)</f>
        <v>690</v>
      </c>
      <c r="I451" s="3">
        <v>24100.0</v>
      </c>
      <c r="J451" s="3">
        <v>6.0</v>
      </c>
      <c r="K451" s="3">
        <v>69.0</v>
      </c>
      <c r="L451" s="53">
        <f t="shared" si="5"/>
        <v>881.5203562</v>
      </c>
      <c r="M451" s="52">
        <f t="shared" si="6"/>
        <v>910</v>
      </c>
      <c r="N451" s="54">
        <f t="shared" si="7"/>
        <v>28.47964377</v>
      </c>
      <c r="O451" s="54">
        <f t="shared" si="8"/>
        <v>3.559955471</v>
      </c>
    </row>
    <row r="452" ht="22.5" customHeight="1">
      <c r="A452" s="15" t="s">
        <v>645</v>
      </c>
      <c r="B452" s="13" t="s">
        <v>9</v>
      </c>
      <c r="C452" s="13">
        <v>80.0</v>
      </c>
      <c r="D452" s="15">
        <v>250.0</v>
      </c>
      <c r="E452" s="7">
        <v>189.0</v>
      </c>
      <c r="F452" s="7">
        <v>500.0</v>
      </c>
      <c r="G452" s="52">
        <f>IFERROR(SUMIF(Issues!B:B, A452, Issues!H:H), 0)</f>
        <v>950</v>
      </c>
      <c r="H452" s="52">
        <f>IFERROR(SUMIF(Returns!B:B, A452, Returns!H:H), 0)</f>
        <v>450</v>
      </c>
      <c r="I452" s="3">
        <v>2115.0</v>
      </c>
      <c r="J452" s="3">
        <v>2.0</v>
      </c>
      <c r="K452" s="3">
        <v>108.0</v>
      </c>
      <c r="L452" s="53">
        <f t="shared" si="5"/>
        <v>363.2633588</v>
      </c>
      <c r="M452" s="52">
        <f t="shared" si="6"/>
        <v>500</v>
      </c>
      <c r="N452" s="54">
        <f t="shared" si="7"/>
        <v>136.7366412</v>
      </c>
      <c r="O452" s="54">
        <f t="shared" si="8"/>
        <v>34.18416031</v>
      </c>
    </row>
    <row r="453" ht="22.5" customHeight="1">
      <c r="A453" s="15" t="s">
        <v>646</v>
      </c>
      <c r="B453" s="13" t="s">
        <v>9</v>
      </c>
      <c r="C453" s="13">
        <v>80.0</v>
      </c>
      <c r="D453" s="15">
        <v>300.0</v>
      </c>
      <c r="E453" s="7">
        <v>4380.0</v>
      </c>
      <c r="F453" s="7">
        <v>5183.0</v>
      </c>
      <c r="G453" s="52">
        <f>IFERROR(SUMIF(Issues!B:B, A453, Issues!H:H), 0)</f>
        <v>5200</v>
      </c>
      <c r="H453" s="52">
        <f>IFERROR(SUMIF(Returns!B:B, A453, Returns!H:H), 0)</f>
        <v>0</v>
      </c>
      <c r="I453" s="3">
        <v>18000.0</v>
      </c>
      <c r="J453" s="3">
        <v>1.0</v>
      </c>
      <c r="K453" s="3">
        <v>81.0</v>
      </c>
      <c r="L453" s="53">
        <f t="shared" si="5"/>
        <v>4637.40458</v>
      </c>
      <c r="M453" s="52">
        <f t="shared" si="6"/>
        <v>5200</v>
      </c>
      <c r="N453" s="54">
        <f t="shared" si="7"/>
        <v>562.5954198</v>
      </c>
      <c r="O453" s="54">
        <f t="shared" si="8"/>
        <v>168.778626</v>
      </c>
    </row>
    <row r="454" ht="22.5" customHeight="1">
      <c r="A454" s="15" t="s">
        <v>647</v>
      </c>
      <c r="B454" s="13" t="s">
        <v>9</v>
      </c>
      <c r="C454" s="13">
        <v>80.0</v>
      </c>
      <c r="D454" s="15">
        <v>160.0</v>
      </c>
      <c r="E454" s="7">
        <v>1698.0</v>
      </c>
      <c r="F454" s="7">
        <v>2046.0</v>
      </c>
      <c r="G454" s="52">
        <f>IFERROR(SUMIF(Issues!B:B, A454, Issues!H:H), 0)</f>
        <v>2440</v>
      </c>
      <c r="H454" s="52">
        <f>IFERROR(SUMIF(Returns!B:B, A454, Returns!H:H), 0)</f>
        <v>350</v>
      </c>
      <c r="I454" s="3">
        <v>6800.0</v>
      </c>
      <c r="J454" s="3">
        <v>1.0</v>
      </c>
      <c r="K454" s="3">
        <v>89.0</v>
      </c>
      <c r="L454" s="53">
        <f t="shared" si="5"/>
        <v>1924.936387</v>
      </c>
      <c r="M454" s="52">
        <f t="shared" si="6"/>
        <v>2090</v>
      </c>
      <c r="N454" s="54">
        <f t="shared" si="7"/>
        <v>165.0636132</v>
      </c>
      <c r="O454" s="54">
        <f t="shared" si="8"/>
        <v>26.41017812</v>
      </c>
    </row>
    <row r="455" ht="22.5" customHeight="1">
      <c r="A455" s="15" t="s">
        <v>648</v>
      </c>
      <c r="B455" s="13" t="s">
        <v>9</v>
      </c>
      <c r="C455" s="13">
        <v>80.0</v>
      </c>
      <c r="D455" s="15">
        <v>230.0</v>
      </c>
      <c r="E455" s="7">
        <v>2195.0</v>
      </c>
      <c r="F455" s="7">
        <v>2500.0</v>
      </c>
      <c r="G455" s="52">
        <f>IFERROR(SUMIF(Issues!B:B, A455, Issues!H:H), 0)</f>
        <v>3560</v>
      </c>
      <c r="H455" s="52">
        <f>IFERROR(SUMIF(Returns!B:B, A455, Returns!H:H), 0)</f>
        <v>1000</v>
      </c>
      <c r="I455" s="3">
        <v>15915.0</v>
      </c>
      <c r="J455" s="3">
        <v>2.0</v>
      </c>
      <c r="K455" s="3">
        <v>92.0</v>
      </c>
      <c r="L455" s="53">
        <f t="shared" si="5"/>
        <v>2328.530534</v>
      </c>
      <c r="M455" s="52">
        <f t="shared" si="6"/>
        <v>2560</v>
      </c>
      <c r="N455" s="54">
        <f t="shared" si="7"/>
        <v>231.4694656</v>
      </c>
      <c r="O455" s="54">
        <f t="shared" si="8"/>
        <v>53.2379771</v>
      </c>
    </row>
    <row r="456" ht="22.5" customHeight="1">
      <c r="A456" s="15" t="s">
        <v>649</v>
      </c>
      <c r="B456" s="13" t="s">
        <v>9</v>
      </c>
      <c r="C456" s="13">
        <v>80.0</v>
      </c>
      <c r="D456" s="15">
        <v>195.0</v>
      </c>
      <c r="E456" s="7">
        <v>1718.0</v>
      </c>
      <c r="F456" s="7">
        <v>1945.0</v>
      </c>
      <c r="G456" s="52">
        <f>IFERROR(SUMIF(Issues!B:B, A456, Issues!H:H), 0)</f>
        <v>2960</v>
      </c>
      <c r="H456" s="52">
        <f>IFERROR(SUMIF(Returns!B:B, A456, Returns!H:H), 0)</f>
        <v>1000</v>
      </c>
      <c r="I456" s="3">
        <v>15580.0</v>
      </c>
      <c r="J456" s="3">
        <v>2.0</v>
      </c>
      <c r="K456" s="3">
        <v>72.0</v>
      </c>
      <c r="L456" s="53">
        <f t="shared" si="5"/>
        <v>1783.969466</v>
      </c>
      <c r="M456" s="52">
        <f t="shared" si="6"/>
        <v>1960</v>
      </c>
      <c r="N456" s="54">
        <f t="shared" si="7"/>
        <v>176.0305344</v>
      </c>
      <c r="O456" s="54">
        <f t="shared" si="8"/>
        <v>34.3259542</v>
      </c>
    </row>
    <row r="457" ht="22.5" customHeight="1">
      <c r="A457" s="15" t="s">
        <v>650</v>
      </c>
      <c r="B457" s="13" t="s">
        <v>9</v>
      </c>
      <c r="C457" s="13">
        <v>80.0</v>
      </c>
      <c r="D457" s="15">
        <v>195.0</v>
      </c>
      <c r="E457" s="7">
        <v>986.0</v>
      </c>
      <c r="F457" s="7">
        <v>1141.0</v>
      </c>
      <c r="G457" s="52">
        <f>IFERROR(SUMIF(Issues!B:B, A457, Issues!H:H), 0)</f>
        <v>1960</v>
      </c>
      <c r="H457" s="52">
        <f>IFERROR(SUMIF(Returns!B:B, A457, Returns!H:H), 0)</f>
        <v>800</v>
      </c>
      <c r="I457" s="3">
        <v>15670.0</v>
      </c>
      <c r="J457" s="3">
        <v>6.0</v>
      </c>
      <c r="K457" s="3">
        <v>124.0</v>
      </c>
      <c r="L457" s="53">
        <f t="shared" si="5"/>
        <v>1030.04665</v>
      </c>
      <c r="M457" s="52">
        <f t="shared" si="6"/>
        <v>1160</v>
      </c>
      <c r="N457" s="54">
        <f t="shared" si="7"/>
        <v>129.9533503</v>
      </c>
      <c r="O457" s="54">
        <f t="shared" si="8"/>
        <v>25.34090331</v>
      </c>
    </row>
    <row r="458" ht="22.5" customHeight="1">
      <c r="A458" s="15" t="s">
        <v>651</v>
      </c>
      <c r="B458" s="13" t="s">
        <v>9</v>
      </c>
      <c r="C458" s="13">
        <v>80.0</v>
      </c>
      <c r="D458" s="15">
        <v>230.0</v>
      </c>
      <c r="E458" s="7">
        <v>657.0</v>
      </c>
      <c r="F458" s="7">
        <v>795.0</v>
      </c>
      <c r="G458" s="52">
        <f>IFERROR(SUMIF(Issues!B:B, A458, Issues!H:H), 0)</f>
        <v>1360</v>
      </c>
      <c r="H458" s="52">
        <f>IFERROR(SUMIF(Returns!B:B, A458, Returns!H:H), 0)</f>
        <v>560</v>
      </c>
      <c r="I458" s="3">
        <v>10730.0</v>
      </c>
      <c r="J458" s="3">
        <v>6.0</v>
      </c>
      <c r="K458" s="3">
        <v>124.0</v>
      </c>
      <c r="L458" s="53">
        <f t="shared" si="5"/>
        <v>705.322307</v>
      </c>
      <c r="M458" s="52">
        <f t="shared" si="6"/>
        <v>800</v>
      </c>
      <c r="N458" s="54">
        <f t="shared" si="7"/>
        <v>94.67769296</v>
      </c>
      <c r="O458" s="54">
        <f t="shared" si="8"/>
        <v>21.77586938</v>
      </c>
    </row>
    <row r="459" ht="22.5" customHeight="1">
      <c r="A459" s="15" t="s">
        <v>653</v>
      </c>
      <c r="B459" s="13" t="s">
        <v>9</v>
      </c>
      <c r="C459" s="13">
        <v>80.0</v>
      </c>
      <c r="D459" s="15">
        <v>140.0</v>
      </c>
      <c r="E459" s="7">
        <v>1050.0</v>
      </c>
      <c r="F459" s="7">
        <v>1181.0</v>
      </c>
      <c r="G459" s="52">
        <f>IFERROR(SUMIF(Issues!B:B, A459, Issues!H:H), 0)</f>
        <v>1470</v>
      </c>
      <c r="H459" s="52">
        <f>IFERROR(SUMIF(Returns!B:B, A459, Returns!H:H), 0)</f>
        <v>280</v>
      </c>
      <c r="I459" s="3">
        <v>20380.0</v>
      </c>
      <c r="J459" s="3">
        <v>6.0</v>
      </c>
      <c r="K459" s="3">
        <v>99.0</v>
      </c>
      <c r="L459" s="53">
        <f t="shared" si="5"/>
        <v>1069.561069</v>
      </c>
      <c r="M459" s="52">
        <f t="shared" si="6"/>
        <v>1190</v>
      </c>
      <c r="N459" s="54">
        <f t="shared" si="7"/>
        <v>120.4389313</v>
      </c>
      <c r="O459" s="54">
        <f t="shared" si="8"/>
        <v>16.86145038</v>
      </c>
    </row>
    <row r="460" ht="22.5" customHeight="1">
      <c r="A460" s="15" t="s">
        <v>654</v>
      </c>
      <c r="B460" s="13" t="s">
        <v>26</v>
      </c>
      <c r="C460" s="13">
        <v>80.0</v>
      </c>
      <c r="D460" s="15">
        <v>130.0</v>
      </c>
      <c r="E460" s="7">
        <v>486.0</v>
      </c>
      <c r="F460" s="7">
        <v>800.0</v>
      </c>
      <c r="G460" s="52">
        <f>IFERROR(SUMIF(Issues!B:B, A460, Issues!H:H), 0)</f>
        <v>1500</v>
      </c>
      <c r="H460" s="52">
        <f>IFERROR(SUMIF(Returns!B:B, A460, Returns!H:H), 0)</f>
        <v>650</v>
      </c>
      <c r="I460" s="3">
        <v>2580.0</v>
      </c>
      <c r="J460" s="3">
        <v>1.0</v>
      </c>
      <c r="K460" s="3">
        <v>85.0</v>
      </c>
      <c r="L460" s="53">
        <f t="shared" si="5"/>
        <v>697.519084</v>
      </c>
      <c r="M460" s="52">
        <f t="shared" si="6"/>
        <v>850</v>
      </c>
      <c r="N460" s="54">
        <f t="shared" si="7"/>
        <v>152.480916</v>
      </c>
      <c r="O460" s="54">
        <f t="shared" si="8"/>
        <v>19.82251908</v>
      </c>
    </row>
    <row r="461" ht="22.5" customHeight="1">
      <c r="A461" s="15" t="s">
        <v>655</v>
      </c>
      <c r="B461" s="13" t="s">
        <v>26</v>
      </c>
      <c r="C461" s="13">
        <v>80.0</v>
      </c>
      <c r="D461" s="15">
        <v>185.0</v>
      </c>
      <c r="E461" s="7">
        <v>2698.0</v>
      </c>
      <c r="F461" s="7">
        <v>2988.0</v>
      </c>
      <c r="G461" s="52">
        <f>IFERROR(SUMIF(Issues!B:B, A461, Issues!H:H), 0)</f>
        <v>3000</v>
      </c>
      <c r="H461" s="52">
        <f>IFERROR(SUMIF(Returns!B:B, A461, Returns!H:H), 0)</f>
        <v>0</v>
      </c>
      <c r="I461" s="3">
        <v>10080.0</v>
      </c>
      <c r="J461" s="3">
        <v>1.0</v>
      </c>
      <c r="K461" s="3">
        <v>85.0</v>
      </c>
      <c r="L461" s="53">
        <f t="shared" si="5"/>
        <v>2725.19084</v>
      </c>
      <c r="M461" s="52">
        <f t="shared" si="6"/>
        <v>3000</v>
      </c>
      <c r="N461" s="54">
        <f t="shared" si="7"/>
        <v>274.8091603</v>
      </c>
      <c r="O461" s="54">
        <f t="shared" si="8"/>
        <v>50.83969466</v>
      </c>
    </row>
    <row r="462" ht="22.5" customHeight="1">
      <c r="A462" s="15" t="s">
        <v>656</v>
      </c>
      <c r="B462" s="13" t="s">
        <v>9</v>
      </c>
      <c r="C462" s="13">
        <v>80.0</v>
      </c>
      <c r="D462" s="15">
        <v>150.0</v>
      </c>
      <c r="E462" s="7">
        <v>2004.0</v>
      </c>
      <c r="F462" s="7">
        <v>2330.0</v>
      </c>
      <c r="G462" s="52">
        <f>IFERROR(SUMIF(Issues!B:B, A462, Issues!H:H), 0)</f>
        <v>4000</v>
      </c>
      <c r="H462" s="52">
        <f>IFERROR(SUMIF(Returns!B:B, A462, Returns!H:H), 0)</f>
        <v>1650</v>
      </c>
      <c r="I462" s="3">
        <v>3420.0</v>
      </c>
      <c r="J462" s="3">
        <v>1.0</v>
      </c>
      <c r="K462" s="3">
        <v>180.0</v>
      </c>
      <c r="L462" s="53">
        <f t="shared" si="5"/>
        <v>1958.015267</v>
      </c>
      <c r="M462" s="52">
        <f t="shared" si="6"/>
        <v>2350</v>
      </c>
      <c r="N462" s="54">
        <f t="shared" si="7"/>
        <v>391.9847328</v>
      </c>
      <c r="O462" s="54">
        <f t="shared" si="8"/>
        <v>58.79770992</v>
      </c>
    </row>
    <row r="463" ht="22.5" customHeight="1">
      <c r="A463" s="15" t="s">
        <v>657</v>
      </c>
      <c r="B463" s="13" t="s">
        <v>9</v>
      </c>
      <c r="C463" s="13">
        <v>80.0</v>
      </c>
      <c r="D463" s="15">
        <v>250.0</v>
      </c>
      <c r="E463" s="7">
        <v>573.0</v>
      </c>
      <c r="F463" s="7">
        <v>923.0</v>
      </c>
      <c r="G463" s="52">
        <f>IFERROR(SUMIF(Issues!B:B, A463, Issues!H:H), 0)</f>
        <v>2050</v>
      </c>
      <c r="H463" s="52">
        <f>IFERROR(SUMIF(Returns!B:B, A463, Returns!H:H), 0)</f>
        <v>1100</v>
      </c>
      <c r="I463" s="3">
        <v>1190.0</v>
      </c>
      <c r="J463" s="3">
        <v>1.0</v>
      </c>
      <c r="K463" s="3">
        <v>180.0</v>
      </c>
      <c r="L463" s="53">
        <f t="shared" si="5"/>
        <v>681.2977099</v>
      </c>
      <c r="M463" s="52">
        <f t="shared" si="6"/>
        <v>950</v>
      </c>
      <c r="N463" s="54">
        <f t="shared" si="7"/>
        <v>268.7022901</v>
      </c>
      <c r="O463" s="54">
        <f t="shared" si="8"/>
        <v>67.17557252</v>
      </c>
    </row>
    <row r="464" ht="22.5" customHeight="1">
      <c r="A464" s="15" t="s">
        <v>658</v>
      </c>
      <c r="B464" s="13" t="s">
        <v>9</v>
      </c>
      <c r="C464" s="13">
        <v>80.0</v>
      </c>
      <c r="D464" s="15">
        <v>160.0</v>
      </c>
      <c r="E464" s="7">
        <v>197.0</v>
      </c>
      <c r="F464" s="7">
        <v>355.0</v>
      </c>
      <c r="G464" s="52">
        <f>IFERROR(SUMIF(Issues!B:B, A464, Issues!H:H), 0)</f>
        <v>500</v>
      </c>
      <c r="H464" s="52">
        <f>IFERROR(SUMIF(Returns!B:B, A464, Returns!H:H), 0)</f>
        <v>100</v>
      </c>
      <c r="I464" s="3">
        <v>3000.0</v>
      </c>
      <c r="J464" s="3">
        <v>6.0</v>
      </c>
      <c r="K464" s="3">
        <v>124.0</v>
      </c>
      <c r="L464" s="53">
        <f t="shared" si="5"/>
        <v>197.2010178</v>
      </c>
      <c r="M464" s="52">
        <f t="shared" si="6"/>
        <v>400</v>
      </c>
      <c r="N464" s="54">
        <f t="shared" si="7"/>
        <v>202.7989822</v>
      </c>
      <c r="O464" s="54">
        <f t="shared" si="8"/>
        <v>32.44783715</v>
      </c>
    </row>
    <row r="465" ht="22.5" customHeight="1">
      <c r="A465" s="15" t="s">
        <v>659</v>
      </c>
      <c r="B465" s="13" t="s">
        <v>9</v>
      </c>
      <c r="C465" s="13">
        <v>80.0</v>
      </c>
      <c r="D465" s="15">
        <v>125.0</v>
      </c>
      <c r="E465" s="7">
        <v>1031.0</v>
      </c>
      <c r="F465" s="7">
        <v>1265.0</v>
      </c>
      <c r="G465" s="52">
        <f>IFERROR(SUMIF(Issues!B:B, A465, Issues!H:H), 0)</f>
        <v>2450</v>
      </c>
      <c r="H465" s="52">
        <f>IFERROR(SUMIF(Returns!B:B, A465, Returns!H:H), 0)</f>
        <v>1150</v>
      </c>
      <c r="I465" s="3">
        <v>6370.0</v>
      </c>
      <c r="J465" s="3">
        <v>2.0</v>
      </c>
      <c r="K465" s="3">
        <v>108.0</v>
      </c>
      <c r="L465" s="53">
        <f t="shared" si="5"/>
        <v>1094.083969</v>
      </c>
      <c r="M465" s="52">
        <f t="shared" si="6"/>
        <v>1300</v>
      </c>
      <c r="N465" s="54">
        <f t="shared" si="7"/>
        <v>205.9160305</v>
      </c>
      <c r="O465" s="54">
        <f t="shared" si="8"/>
        <v>25.73950382</v>
      </c>
    </row>
    <row r="466" ht="22.5" customHeight="1">
      <c r="A466" s="15" t="s">
        <v>660</v>
      </c>
      <c r="B466" s="13" t="s">
        <v>9</v>
      </c>
      <c r="C466" s="13">
        <v>80.0</v>
      </c>
      <c r="D466" s="15">
        <v>125.0</v>
      </c>
      <c r="E466" s="7">
        <v>3436.0</v>
      </c>
      <c r="F466" s="7">
        <v>3669.0</v>
      </c>
      <c r="G466" s="52">
        <f>IFERROR(SUMIF(Issues!B:B, A466, Issues!H:H), 0)</f>
        <v>4100</v>
      </c>
      <c r="H466" s="52">
        <f>IFERROR(SUMIF(Returns!B:B, A466, Returns!H:H), 0)</f>
        <v>400</v>
      </c>
      <c r="I466" s="3">
        <v>20470.0</v>
      </c>
      <c r="J466" s="3">
        <v>2.0</v>
      </c>
      <c r="K466" s="3">
        <v>108.0</v>
      </c>
      <c r="L466" s="53">
        <f t="shared" si="5"/>
        <v>3515.839695</v>
      </c>
      <c r="M466" s="52">
        <f t="shared" si="6"/>
        <v>3700</v>
      </c>
      <c r="N466" s="54">
        <f t="shared" si="7"/>
        <v>184.1603053</v>
      </c>
      <c r="O466" s="54">
        <f t="shared" si="8"/>
        <v>23.02003817</v>
      </c>
    </row>
    <row r="467" ht="22.5" customHeight="1">
      <c r="A467" s="15" t="s">
        <v>661</v>
      </c>
      <c r="B467" s="13" t="s">
        <v>9</v>
      </c>
      <c r="C467" s="13">
        <v>80.0</v>
      </c>
      <c r="D467" s="15">
        <v>170.0</v>
      </c>
      <c r="E467" s="7">
        <v>1246.0</v>
      </c>
      <c r="F467" s="7">
        <v>1444.0</v>
      </c>
      <c r="G467" s="52">
        <f>IFERROR(SUMIF(Issues!B:B, A467, Issues!H:H), 0)</f>
        <v>2000</v>
      </c>
      <c r="H467" s="52">
        <f>IFERROR(SUMIF(Returns!B:B, A467, Returns!H:H), 0)</f>
        <v>550</v>
      </c>
      <c r="I467" s="3">
        <v>26610.0</v>
      </c>
      <c r="J467" s="3">
        <v>6.0</v>
      </c>
      <c r="K467" s="3">
        <v>94.0</v>
      </c>
      <c r="L467" s="53">
        <f t="shared" si="5"/>
        <v>1325.986005</v>
      </c>
      <c r="M467" s="52">
        <f t="shared" si="6"/>
        <v>1450</v>
      </c>
      <c r="N467" s="54">
        <f t="shared" si="7"/>
        <v>124.0139949</v>
      </c>
      <c r="O467" s="54">
        <f t="shared" si="8"/>
        <v>21.08237913</v>
      </c>
    </row>
    <row r="468" ht="22.5" customHeight="1">
      <c r="A468" s="15" t="s">
        <v>662</v>
      </c>
      <c r="B468" s="13" t="s">
        <v>9</v>
      </c>
      <c r="C468" s="13">
        <v>80.0</v>
      </c>
      <c r="D468" s="15">
        <v>125.0</v>
      </c>
      <c r="E468" s="7">
        <v>859.0</v>
      </c>
      <c r="F468" s="7">
        <v>1037.0</v>
      </c>
      <c r="G468" s="52">
        <f>IFERROR(SUMIF(Issues!B:B, A468, Issues!H:H), 0)</f>
        <v>1150</v>
      </c>
      <c r="H468" s="52">
        <f>IFERROR(SUMIF(Returns!B:B, A468, Returns!H:H), 0)</f>
        <v>100</v>
      </c>
      <c r="I468" s="3">
        <v>5420.0</v>
      </c>
      <c r="J468" s="3">
        <v>2.0</v>
      </c>
      <c r="K468" s="3">
        <v>108.0</v>
      </c>
      <c r="L468" s="53">
        <f t="shared" si="5"/>
        <v>930.9160305</v>
      </c>
      <c r="M468" s="52">
        <f t="shared" si="6"/>
        <v>1050</v>
      </c>
      <c r="N468" s="54">
        <f t="shared" si="7"/>
        <v>119.0839695</v>
      </c>
      <c r="O468" s="54">
        <f t="shared" si="8"/>
        <v>14.88549618</v>
      </c>
    </row>
    <row r="469" ht="22.5" customHeight="1">
      <c r="A469" s="15" t="s">
        <v>663</v>
      </c>
      <c r="B469" s="13" t="s">
        <v>9</v>
      </c>
      <c r="C469" s="13">
        <v>80.0</v>
      </c>
      <c r="D469" s="15">
        <v>170.0</v>
      </c>
      <c r="E469" s="7">
        <v>149.0</v>
      </c>
      <c r="F469" s="7">
        <v>263.0</v>
      </c>
      <c r="G469" s="52">
        <f>IFERROR(SUMIF(Issues!B:B, A469, Issues!H:H), 0)</f>
        <v>550</v>
      </c>
      <c r="H469" s="52">
        <f>IFERROR(SUMIF(Returns!B:B, A469, Returns!H:H), 0)</f>
        <v>250</v>
      </c>
      <c r="I469" s="3">
        <v>3900.0</v>
      </c>
      <c r="J469" s="3">
        <v>6.0</v>
      </c>
      <c r="K469" s="3">
        <v>94.0</v>
      </c>
      <c r="L469" s="53">
        <f t="shared" si="5"/>
        <v>194.3384224</v>
      </c>
      <c r="M469" s="52">
        <f t="shared" si="6"/>
        <v>300</v>
      </c>
      <c r="N469" s="54">
        <f t="shared" si="7"/>
        <v>105.6615776</v>
      </c>
      <c r="O469" s="54">
        <f t="shared" si="8"/>
        <v>17.96246819</v>
      </c>
    </row>
    <row r="470" ht="22.5" customHeight="1">
      <c r="A470" s="15" t="s">
        <v>664</v>
      </c>
      <c r="B470" s="13" t="s">
        <v>9</v>
      </c>
      <c r="C470" s="13">
        <v>80.0</v>
      </c>
      <c r="D470" s="15">
        <v>160.0</v>
      </c>
      <c r="E470" s="7">
        <v>784.0</v>
      </c>
      <c r="F470" s="7">
        <v>925.0</v>
      </c>
      <c r="G470" s="52">
        <f>IFERROR(SUMIF(Issues!B:B, A470, Issues!H:H), 0)</f>
        <v>2000</v>
      </c>
      <c r="H470" s="52">
        <f>IFERROR(SUMIF(Returns!B:B, A470, Returns!H:H), 0)</f>
        <v>1070</v>
      </c>
      <c r="I470" s="3">
        <v>9120.0</v>
      </c>
      <c r="J470" s="3">
        <v>4.0</v>
      </c>
      <c r="K470" s="3">
        <v>116.0</v>
      </c>
      <c r="L470" s="53">
        <f t="shared" si="5"/>
        <v>841.221374</v>
      </c>
      <c r="M470" s="52">
        <f t="shared" si="6"/>
        <v>930</v>
      </c>
      <c r="N470" s="54">
        <f t="shared" si="7"/>
        <v>88.77862595</v>
      </c>
      <c r="O470" s="54">
        <f t="shared" si="8"/>
        <v>14.20458015</v>
      </c>
    </row>
    <row r="471" ht="22.5" customHeight="1">
      <c r="A471" s="15" t="s">
        <v>665</v>
      </c>
      <c r="B471" s="13" t="s">
        <v>9</v>
      </c>
      <c r="C471" s="13">
        <v>80.0</v>
      </c>
      <c r="D471" s="15">
        <v>250.0</v>
      </c>
      <c r="E471" s="7">
        <v>159.0</v>
      </c>
      <c r="F471" s="7">
        <v>174.0</v>
      </c>
      <c r="G471" s="52">
        <f>IFERROR(SUMIF(Issues!B:B, A471, Issues!H:H), 0)</f>
        <v>490</v>
      </c>
      <c r="H471" s="52">
        <f>IFERROR(SUMIF(Returns!B:B, A471, Returns!H:H), 0)</f>
        <v>300</v>
      </c>
      <c r="I471" s="3">
        <v>2790.0</v>
      </c>
      <c r="J471" s="3">
        <v>3.0</v>
      </c>
      <c r="K471" s="3">
        <v>75.0</v>
      </c>
      <c r="L471" s="53">
        <f t="shared" si="5"/>
        <v>221.851145</v>
      </c>
      <c r="M471" s="52">
        <f t="shared" si="6"/>
        <v>190</v>
      </c>
      <c r="N471" s="54">
        <f t="shared" si="7"/>
        <v>0</v>
      </c>
      <c r="O471" s="54">
        <f t="shared" si="8"/>
        <v>0</v>
      </c>
    </row>
    <row r="472" ht="22.5" customHeight="1">
      <c r="A472" s="15" t="s">
        <v>666</v>
      </c>
      <c r="B472" s="13" t="s">
        <v>9</v>
      </c>
      <c r="C472" s="13">
        <v>80.0</v>
      </c>
      <c r="D472" s="15">
        <v>250.0</v>
      </c>
      <c r="E472" s="7">
        <v>199.0</v>
      </c>
      <c r="F472" s="7">
        <v>155.0</v>
      </c>
      <c r="G472" s="52">
        <f>IFERROR(SUMIF(Issues!B:B, A472, Issues!H:H), 0)</f>
        <v>300</v>
      </c>
      <c r="H472" s="52">
        <f>IFERROR(SUMIF(Returns!B:B, A472, Returns!H:H), 0)</f>
        <v>100</v>
      </c>
      <c r="I472" s="3">
        <v>2960.0</v>
      </c>
      <c r="J472" s="3">
        <v>3.0</v>
      </c>
      <c r="K472" s="3">
        <v>75.0</v>
      </c>
      <c r="L472" s="53">
        <f t="shared" si="5"/>
        <v>235.3689567</v>
      </c>
      <c r="M472" s="52">
        <f t="shared" si="6"/>
        <v>200</v>
      </c>
      <c r="N472" s="54">
        <f t="shared" si="7"/>
        <v>0</v>
      </c>
      <c r="O472" s="54">
        <f t="shared" si="8"/>
        <v>0</v>
      </c>
    </row>
    <row r="473" ht="22.5" customHeight="1">
      <c r="A473" s="15" t="s">
        <v>667</v>
      </c>
      <c r="B473" s="13" t="s">
        <v>9</v>
      </c>
      <c r="C473" s="13">
        <v>80.0</v>
      </c>
      <c r="D473" s="15">
        <v>250.0</v>
      </c>
      <c r="E473" s="7">
        <v>636.0</v>
      </c>
      <c r="F473" s="7">
        <v>910.0</v>
      </c>
      <c r="G473" s="52">
        <f>IFERROR(SUMIF(Issues!B:B, A473, Issues!H:H), 0)</f>
        <v>1400</v>
      </c>
      <c r="H473" s="52">
        <f>IFERROR(SUMIF(Returns!B:B, A473, Returns!H:H), 0)</f>
        <v>490</v>
      </c>
      <c r="I473" s="3">
        <v>8790.0</v>
      </c>
      <c r="J473" s="3">
        <v>3.0</v>
      </c>
      <c r="K473" s="3">
        <v>75.0</v>
      </c>
      <c r="L473" s="53">
        <f t="shared" si="5"/>
        <v>698.9503817</v>
      </c>
      <c r="M473" s="52">
        <f t="shared" si="6"/>
        <v>910</v>
      </c>
      <c r="N473" s="54">
        <f t="shared" si="7"/>
        <v>211.0496183</v>
      </c>
      <c r="O473" s="54">
        <f t="shared" si="8"/>
        <v>52.76240458</v>
      </c>
    </row>
    <row r="474" ht="22.5" customHeight="1">
      <c r="A474" s="15" t="s">
        <v>668</v>
      </c>
      <c r="B474" s="13" t="s">
        <v>9</v>
      </c>
      <c r="C474" s="13">
        <v>80.0</v>
      </c>
      <c r="D474" s="15">
        <v>180.0</v>
      </c>
      <c r="E474" s="7">
        <v>525.0</v>
      </c>
      <c r="F474" s="7">
        <v>733.0</v>
      </c>
      <c r="G474" s="52">
        <f>IFERROR(SUMIF(Issues!B:B, A474, Issues!H:H), 0)</f>
        <v>800</v>
      </c>
      <c r="H474" s="52">
        <f>IFERROR(SUMIF(Returns!B:B, A474, Returns!H:H), 0)</f>
        <v>0</v>
      </c>
      <c r="I474" s="3">
        <v>11550.0</v>
      </c>
      <c r="J474" s="3">
        <v>6.0</v>
      </c>
      <c r="K474" s="3">
        <v>99.0</v>
      </c>
      <c r="L474" s="53">
        <f t="shared" si="5"/>
        <v>606.1545802</v>
      </c>
      <c r="M474" s="52">
        <f t="shared" si="6"/>
        <v>800</v>
      </c>
      <c r="N474" s="54">
        <f t="shared" si="7"/>
        <v>193.8454198</v>
      </c>
      <c r="O474" s="54">
        <f t="shared" si="8"/>
        <v>34.89217557</v>
      </c>
    </row>
    <row r="475" ht="22.5" customHeight="1">
      <c r="A475" s="15" t="s">
        <v>669</v>
      </c>
      <c r="B475" s="13" t="s">
        <v>9</v>
      </c>
      <c r="C475" s="13">
        <v>80.0</v>
      </c>
      <c r="D475" s="78">
        <v>210.0</v>
      </c>
      <c r="E475" s="7">
        <v>1140.0</v>
      </c>
      <c r="F475" s="7">
        <v>1458.0</v>
      </c>
      <c r="G475" s="52">
        <f>IFERROR(SUMIF(Issues!B:B, A475, Issues!H:H), 0)</f>
        <v>1500</v>
      </c>
      <c r="H475" s="52">
        <f>IFERROR(SUMIF(Returns!B:B, A475, Returns!H:H), 0)</f>
        <v>0</v>
      </c>
      <c r="I475" s="3">
        <v>3660.0</v>
      </c>
      <c r="J475" s="3">
        <v>1.0</v>
      </c>
      <c r="K475" s="3">
        <v>112.0</v>
      </c>
      <c r="L475" s="53">
        <f t="shared" si="5"/>
        <v>1303.816794</v>
      </c>
      <c r="M475" s="52">
        <f t="shared" si="6"/>
        <v>1500</v>
      </c>
      <c r="N475" s="54">
        <f t="shared" si="7"/>
        <v>196.1832061</v>
      </c>
      <c r="O475" s="54">
        <f t="shared" si="8"/>
        <v>41.19847328</v>
      </c>
    </row>
    <row r="476" ht="22.5" customHeight="1">
      <c r="A476" s="15" t="s">
        <v>670</v>
      </c>
      <c r="B476" s="13" t="s">
        <v>9</v>
      </c>
      <c r="C476" s="13">
        <v>80.0</v>
      </c>
      <c r="D476" s="79">
        <v>150.0</v>
      </c>
      <c r="E476" s="7">
        <v>549.0</v>
      </c>
      <c r="F476" s="7">
        <v>747.0</v>
      </c>
      <c r="G476" s="52">
        <f>IFERROR(SUMIF(Issues!B:B, A476, Issues!H:H), 0)</f>
        <v>1700</v>
      </c>
      <c r="H476" s="52">
        <f>IFERROR(SUMIF(Returns!B:B, A476, Returns!H:H), 0)</f>
        <v>950</v>
      </c>
      <c r="I476" s="3">
        <v>15800.0</v>
      </c>
      <c r="J476" s="3">
        <v>8.0</v>
      </c>
      <c r="K476" s="3">
        <v>92.0</v>
      </c>
      <c r="L476" s="53">
        <f t="shared" si="5"/>
        <v>577.9262087</v>
      </c>
      <c r="M476" s="52">
        <f t="shared" si="6"/>
        <v>750</v>
      </c>
      <c r="N476" s="54">
        <f t="shared" si="7"/>
        <v>172.0737913</v>
      </c>
      <c r="O476" s="54">
        <f t="shared" si="8"/>
        <v>25.8110687</v>
      </c>
    </row>
    <row r="477" ht="22.5" customHeight="1">
      <c r="A477" s="15" t="s">
        <v>671</v>
      </c>
      <c r="B477" s="13" t="s">
        <v>9</v>
      </c>
      <c r="C477" s="13">
        <v>80.0</v>
      </c>
      <c r="D477" s="78">
        <v>250.0</v>
      </c>
      <c r="E477" s="7">
        <v>795.0</v>
      </c>
      <c r="F477" s="7">
        <v>960.0</v>
      </c>
      <c r="G477" s="52">
        <f>IFERROR(SUMIF(Issues!B:B, A477, Issues!H:H), 0)</f>
        <v>2300</v>
      </c>
      <c r="H477" s="52">
        <f>IFERROR(SUMIF(Returns!B:B, A477, Returns!H:H), 0)</f>
        <v>1340</v>
      </c>
      <c r="I477" s="3">
        <v>10290.0</v>
      </c>
      <c r="J477" s="3">
        <v>3.0</v>
      </c>
      <c r="K477" s="3">
        <v>75.0</v>
      </c>
      <c r="L477" s="53">
        <f t="shared" si="5"/>
        <v>818.2251908</v>
      </c>
      <c r="M477" s="52">
        <f t="shared" si="6"/>
        <v>960</v>
      </c>
      <c r="N477" s="54">
        <f t="shared" si="7"/>
        <v>141.7748092</v>
      </c>
      <c r="O477" s="54">
        <f t="shared" si="8"/>
        <v>35.44370229</v>
      </c>
    </row>
    <row r="478" ht="22.5" customHeight="1">
      <c r="A478" s="15" t="s">
        <v>672</v>
      </c>
      <c r="B478" s="13" t="s">
        <v>43</v>
      </c>
      <c r="C478" s="13">
        <v>50.0</v>
      </c>
      <c r="D478" s="79">
        <v>110.0</v>
      </c>
      <c r="E478" s="7">
        <v>236.0</v>
      </c>
      <c r="F478" s="7">
        <v>418.0</v>
      </c>
      <c r="G478" s="52">
        <f>IFERROR(SUMIF(Issues!B:B, A478, Issues!H:H), 0)</f>
        <v>450</v>
      </c>
      <c r="H478" s="52">
        <f>IFERROR(SUMIF(Returns!B:B, A478, Returns!H:H), 0)</f>
        <v>0</v>
      </c>
      <c r="I478" s="3">
        <v>6900.0</v>
      </c>
      <c r="J478" s="3">
        <v>6.0</v>
      </c>
      <c r="K478" s="3">
        <v>89.0</v>
      </c>
      <c r="L478" s="53">
        <f t="shared" si="5"/>
        <v>325.5407125</v>
      </c>
      <c r="M478" s="52">
        <f t="shared" si="6"/>
        <v>450</v>
      </c>
      <c r="N478" s="54">
        <f t="shared" si="7"/>
        <v>124.4592875</v>
      </c>
      <c r="O478" s="54">
        <f t="shared" si="8"/>
        <v>13.69052163</v>
      </c>
    </row>
    <row r="479" ht="22.5" customHeight="1">
      <c r="A479" s="15" t="s">
        <v>673</v>
      </c>
      <c r="B479" s="13" t="s">
        <v>9</v>
      </c>
      <c r="C479" s="13">
        <v>80.0</v>
      </c>
      <c r="D479" s="78">
        <v>250.0</v>
      </c>
      <c r="E479" s="7">
        <v>7803.0</v>
      </c>
      <c r="F479" s="7">
        <v>8383.0</v>
      </c>
      <c r="G479" s="52">
        <f>IFERROR(SUMIF(Issues!B:B, A479, Issues!H:H), 0)</f>
        <v>9540</v>
      </c>
      <c r="H479" s="52">
        <f>IFERROR(SUMIF(Returns!B:B, A479, Returns!H:H), 0)</f>
        <v>1150</v>
      </c>
      <c r="I479" s="3">
        <v>82590.0</v>
      </c>
      <c r="J479" s="3">
        <v>3.0</v>
      </c>
      <c r="K479" s="3">
        <v>92.0</v>
      </c>
      <c r="L479" s="53">
        <f t="shared" si="5"/>
        <v>8055.852417</v>
      </c>
      <c r="M479" s="52">
        <f t="shared" si="6"/>
        <v>8390</v>
      </c>
      <c r="N479" s="54">
        <f t="shared" si="7"/>
        <v>334.1475827</v>
      </c>
      <c r="O479" s="54">
        <f t="shared" si="8"/>
        <v>83.53689567</v>
      </c>
    </row>
    <row r="480" ht="22.5" customHeight="1">
      <c r="A480" s="15" t="s">
        <v>674</v>
      </c>
      <c r="B480" s="13" t="s">
        <v>9</v>
      </c>
      <c r="C480" s="13">
        <v>80.0</v>
      </c>
      <c r="D480" s="79">
        <v>320.0</v>
      </c>
      <c r="E480" s="7">
        <v>172.0</v>
      </c>
      <c r="F480" s="7">
        <v>426.0</v>
      </c>
      <c r="G480" s="52">
        <f>IFERROR(SUMIF(Issues!B:B, A480, Issues!H:H), 0)</f>
        <v>900</v>
      </c>
      <c r="H480" s="52">
        <f>IFERROR(SUMIF(Returns!B:B, A480, Returns!H:H), 0)</f>
        <v>470</v>
      </c>
      <c r="I480" s="3">
        <v>1800.0</v>
      </c>
      <c r="J480" s="3">
        <v>2.0</v>
      </c>
      <c r="K480" s="3">
        <v>108.0</v>
      </c>
      <c r="L480" s="53">
        <f t="shared" si="5"/>
        <v>309.1603053</v>
      </c>
      <c r="M480" s="52">
        <f t="shared" si="6"/>
        <v>430</v>
      </c>
      <c r="N480" s="54">
        <f t="shared" si="7"/>
        <v>120.8396947</v>
      </c>
      <c r="O480" s="54">
        <f t="shared" si="8"/>
        <v>38.66870229</v>
      </c>
    </row>
    <row r="481" ht="22.5" customHeight="1">
      <c r="A481" s="15" t="s">
        <v>675</v>
      </c>
      <c r="B481" s="13" t="s">
        <v>9</v>
      </c>
      <c r="C481" s="13">
        <v>80.0</v>
      </c>
      <c r="D481" s="15">
        <v>320.0</v>
      </c>
      <c r="E481" s="7">
        <v>6129.0</v>
      </c>
      <c r="F481" s="7">
        <v>65446.0</v>
      </c>
      <c r="G481" s="52">
        <f>IFERROR(SUMIF(Issues!B:B, A481, Issues!H:H), 0)</f>
        <v>7150</v>
      </c>
      <c r="H481" s="52">
        <f>IFERROR(SUMIF(Returns!B:B, A481, Returns!H:H), 0)</f>
        <v>550</v>
      </c>
      <c r="I481" s="3">
        <v>41900.0</v>
      </c>
      <c r="J481" s="3">
        <v>2.0</v>
      </c>
      <c r="K481" s="3">
        <v>94.0</v>
      </c>
      <c r="L481" s="53">
        <f t="shared" si="5"/>
        <v>6263.676845</v>
      </c>
      <c r="M481" s="52">
        <f t="shared" si="6"/>
        <v>6600</v>
      </c>
      <c r="N481" s="54">
        <f t="shared" si="7"/>
        <v>336.3231552</v>
      </c>
      <c r="O481" s="54">
        <f t="shared" si="8"/>
        <v>107.6234097</v>
      </c>
    </row>
    <row r="482" ht="22.5" customHeight="1">
      <c r="A482" s="15" t="s">
        <v>676</v>
      </c>
      <c r="B482" s="13" t="s">
        <v>9</v>
      </c>
      <c r="C482" s="13">
        <v>80.0</v>
      </c>
      <c r="D482" s="15">
        <v>250.0</v>
      </c>
      <c r="E482" s="7">
        <v>2010.0</v>
      </c>
      <c r="F482" s="7">
        <v>2608.0</v>
      </c>
      <c r="G482" s="52">
        <f>IFERROR(SUMIF(Issues!B:B, A482, Issues!H:H), 0)</f>
        <v>3300</v>
      </c>
      <c r="H482" s="52">
        <f>IFERROR(SUMIF(Returns!B:B, A482, Returns!H:H), 0)</f>
        <v>590</v>
      </c>
      <c r="I482" s="3">
        <v>32130.0</v>
      </c>
      <c r="J482" s="3">
        <v>4.0</v>
      </c>
      <c r="K482" s="3">
        <v>79.0</v>
      </c>
      <c r="L482" s="53">
        <f t="shared" si="5"/>
        <v>2018.344466</v>
      </c>
      <c r="M482" s="52">
        <f t="shared" si="6"/>
        <v>2710</v>
      </c>
      <c r="N482" s="54">
        <f t="shared" si="7"/>
        <v>691.6555344</v>
      </c>
      <c r="O482" s="54">
        <f t="shared" si="8"/>
        <v>172.9138836</v>
      </c>
    </row>
    <row r="483" ht="22.5" customHeight="1">
      <c r="A483" s="15" t="s">
        <v>678</v>
      </c>
      <c r="B483" s="13" t="s">
        <v>9</v>
      </c>
      <c r="C483" s="13">
        <v>80.0</v>
      </c>
      <c r="D483" s="15">
        <v>150.0</v>
      </c>
      <c r="E483" s="7">
        <v>3724.0</v>
      </c>
      <c r="F483" s="7">
        <v>4247.0</v>
      </c>
      <c r="G483" s="52">
        <f>IFERROR(SUMIF(Issues!B:B, A483, Issues!H:H), 0)</f>
        <v>4690</v>
      </c>
      <c r="H483" s="52">
        <f>IFERROR(SUMIF(Returns!B:B, A483, Returns!H:H), 0)</f>
        <v>440</v>
      </c>
      <c r="I483" s="3">
        <v>22820.0</v>
      </c>
      <c r="J483" s="3">
        <v>2.0</v>
      </c>
      <c r="K483" s="3">
        <v>108.0</v>
      </c>
      <c r="L483" s="53">
        <f t="shared" si="5"/>
        <v>3919.465649</v>
      </c>
      <c r="M483" s="52">
        <f t="shared" si="6"/>
        <v>4250</v>
      </c>
      <c r="N483" s="54">
        <f t="shared" si="7"/>
        <v>330.5343511</v>
      </c>
      <c r="O483" s="54">
        <f t="shared" si="8"/>
        <v>49.58015267</v>
      </c>
    </row>
    <row r="484" ht="22.5" customHeight="1">
      <c r="A484" s="15" t="s">
        <v>679</v>
      </c>
      <c r="B484" s="13" t="s">
        <v>9</v>
      </c>
      <c r="C484" s="13">
        <v>80.0</v>
      </c>
      <c r="D484" s="15">
        <v>330.0</v>
      </c>
      <c r="E484" s="7">
        <v>1590.0</v>
      </c>
      <c r="F484" s="7">
        <v>1822.0</v>
      </c>
      <c r="G484" s="52">
        <f>IFERROR(SUMIF(Issues!B:B, A484, Issues!H:H), 0)</f>
        <v>3250</v>
      </c>
      <c r="H484" s="52">
        <f>IFERROR(SUMIF(Returns!B:B, A484, Returns!H:H), 0)</f>
        <v>1420</v>
      </c>
      <c r="I484" s="3">
        <v>21150.0</v>
      </c>
      <c r="J484" s="3">
        <v>3.0</v>
      </c>
      <c r="K484" s="3">
        <v>75.0</v>
      </c>
      <c r="L484" s="53">
        <f t="shared" si="5"/>
        <v>1681.774809</v>
      </c>
      <c r="M484" s="52">
        <f t="shared" si="6"/>
        <v>1830</v>
      </c>
      <c r="N484" s="54">
        <f t="shared" si="7"/>
        <v>148.2251908</v>
      </c>
      <c r="O484" s="54">
        <f t="shared" si="8"/>
        <v>48.91431298</v>
      </c>
    </row>
    <row r="485" ht="22.5" customHeight="1">
      <c r="A485" s="15" t="s">
        <v>680</v>
      </c>
      <c r="B485" s="13" t="s">
        <v>9</v>
      </c>
      <c r="C485" s="13">
        <v>80.0</v>
      </c>
      <c r="D485" s="15">
        <v>330.0</v>
      </c>
      <c r="E485" s="7">
        <v>1193.0</v>
      </c>
      <c r="F485" s="7">
        <v>1445.0</v>
      </c>
      <c r="G485" s="52">
        <f>IFERROR(SUMIF(Issues!B:B, A485, Issues!H:H), 0)</f>
        <v>2700</v>
      </c>
      <c r="H485" s="52">
        <f>IFERROR(SUMIF(Returns!B:B, A485, Returns!H:H), 0)</f>
        <v>1250</v>
      </c>
      <c r="I485" s="3">
        <v>15720.0</v>
      </c>
      <c r="J485" s="3">
        <v>3.0</v>
      </c>
      <c r="K485" s="3">
        <v>75.0</v>
      </c>
      <c r="L485" s="53">
        <f t="shared" si="5"/>
        <v>1250</v>
      </c>
      <c r="M485" s="52">
        <f t="shared" si="6"/>
        <v>1450</v>
      </c>
      <c r="N485" s="54">
        <f t="shared" si="7"/>
        <v>200</v>
      </c>
      <c r="O485" s="54">
        <f t="shared" si="8"/>
        <v>66</v>
      </c>
    </row>
    <row r="486" ht="22.5" customHeight="1">
      <c r="A486" s="15" t="s">
        <v>681</v>
      </c>
      <c r="B486" s="13" t="s">
        <v>9</v>
      </c>
      <c r="C486" s="13">
        <v>80.0</v>
      </c>
      <c r="D486" s="15">
        <v>160.0</v>
      </c>
      <c r="E486" s="7">
        <v>204.0</v>
      </c>
      <c r="F486" s="7">
        <v>501.0</v>
      </c>
      <c r="G486" s="52">
        <f>IFERROR(SUMIF(Issues!B:B, A486, Issues!H:H), 0)</f>
        <v>2000</v>
      </c>
      <c r="H486" s="52">
        <f>IFERROR(SUMIF(Returns!B:B, A486, Returns!H:H), 0)</f>
        <v>1490</v>
      </c>
      <c r="I486" s="3">
        <v>22770.0</v>
      </c>
      <c r="J486" s="3">
        <v>28.0</v>
      </c>
      <c r="K486" s="3">
        <v>72.0</v>
      </c>
      <c r="L486" s="53">
        <f t="shared" si="5"/>
        <v>186.2322792</v>
      </c>
      <c r="M486" s="52">
        <f t="shared" si="6"/>
        <v>510</v>
      </c>
      <c r="N486" s="54">
        <f t="shared" si="7"/>
        <v>323.7677208</v>
      </c>
      <c r="O486" s="54">
        <f t="shared" si="8"/>
        <v>51.80283533</v>
      </c>
    </row>
    <row r="487" ht="22.5" customHeight="1">
      <c r="A487" s="15" t="s">
        <v>682</v>
      </c>
      <c r="B487" s="13" t="s">
        <v>9</v>
      </c>
      <c r="C487" s="13">
        <v>80.0</v>
      </c>
      <c r="D487" s="15">
        <v>160.0</v>
      </c>
      <c r="E487" s="7">
        <v>204.0</v>
      </c>
      <c r="F487" s="7">
        <v>509.0</v>
      </c>
      <c r="G487" s="52">
        <f>IFERROR(SUMIF(Issues!B:B, A487, Issues!H:H), 0)</f>
        <v>1490</v>
      </c>
      <c r="H487" s="52">
        <f>IFERROR(SUMIF(Returns!B:B, A487, Returns!H:H), 0)</f>
        <v>980</v>
      </c>
      <c r="I487" s="3">
        <v>25560.0</v>
      </c>
      <c r="J487" s="3">
        <v>28.0</v>
      </c>
      <c r="K487" s="3">
        <v>72.0</v>
      </c>
      <c r="L487" s="53">
        <f t="shared" si="5"/>
        <v>209.0512541</v>
      </c>
      <c r="M487" s="52">
        <f t="shared" si="6"/>
        <v>510</v>
      </c>
      <c r="N487" s="54">
        <f t="shared" si="7"/>
        <v>300.9487459</v>
      </c>
      <c r="O487" s="54">
        <f t="shared" si="8"/>
        <v>48.15179935</v>
      </c>
    </row>
    <row r="488" ht="22.5" customHeight="1">
      <c r="A488" s="15" t="s">
        <v>683</v>
      </c>
      <c r="B488" s="13" t="s">
        <v>9</v>
      </c>
      <c r="C488" s="13">
        <v>80.0</v>
      </c>
      <c r="D488" s="15">
        <v>210.0</v>
      </c>
      <c r="E488" s="7">
        <v>934.0</v>
      </c>
      <c r="F488" s="7">
        <v>991.0</v>
      </c>
      <c r="G488" s="52">
        <f>IFERROR(SUMIF(Issues!B:B, A488, Issues!H:H), 0)</f>
        <v>2100</v>
      </c>
      <c r="H488" s="52">
        <f>IFERROR(SUMIF(Returns!B:B, A488, Returns!H:H), 0)</f>
        <v>1049</v>
      </c>
      <c r="I488" s="3">
        <v>25880.0</v>
      </c>
      <c r="J488" s="3">
        <v>8.0</v>
      </c>
      <c r="K488" s="3">
        <v>94.0</v>
      </c>
      <c r="L488" s="53">
        <f t="shared" si="5"/>
        <v>967.2073791</v>
      </c>
      <c r="M488" s="52">
        <f t="shared" si="6"/>
        <v>1051</v>
      </c>
      <c r="N488" s="54">
        <f t="shared" si="7"/>
        <v>83.79262087</v>
      </c>
      <c r="O488" s="54">
        <f t="shared" si="8"/>
        <v>17.59645038</v>
      </c>
    </row>
    <row r="489" ht="22.5" customHeight="1">
      <c r="A489" s="15" t="s">
        <v>684</v>
      </c>
      <c r="B489" s="13" t="s">
        <v>9</v>
      </c>
      <c r="C489" s="13">
        <v>80.0</v>
      </c>
      <c r="D489" s="15">
        <v>280.0</v>
      </c>
      <c r="E489" s="7">
        <v>5121.0</v>
      </c>
      <c r="F489" s="7">
        <v>5406.0</v>
      </c>
      <c r="G489" s="52">
        <f>IFERROR(SUMIF(Issues!B:B, A489, Issues!H:H), 0)</f>
        <v>6700</v>
      </c>
      <c r="H489" s="52">
        <f>IFERROR(SUMIF(Returns!B:B, A489, Returns!H:H), 0)</f>
        <v>1100</v>
      </c>
      <c r="I489" s="3">
        <v>36360.0</v>
      </c>
      <c r="J489" s="3">
        <v>2.0</v>
      </c>
      <c r="K489" s="3">
        <v>92.0</v>
      </c>
      <c r="L489" s="53">
        <f t="shared" si="5"/>
        <v>5319.847328</v>
      </c>
      <c r="M489" s="52">
        <f t="shared" si="6"/>
        <v>5600</v>
      </c>
      <c r="N489" s="54">
        <f t="shared" si="7"/>
        <v>280.1526718</v>
      </c>
      <c r="O489" s="54">
        <f t="shared" si="8"/>
        <v>78.44274809</v>
      </c>
    </row>
    <row r="490" ht="22.5" customHeight="1">
      <c r="A490" s="15" t="s">
        <v>685</v>
      </c>
      <c r="B490" s="13" t="s">
        <v>9</v>
      </c>
      <c r="C490" s="13">
        <v>80.0</v>
      </c>
      <c r="D490" s="7">
        <v>290.0</v>
      </c>
      <c r="E490" s="7">
        <v>602.0</v>
      </c>
      <c r="F490" s="7">
        <v>773.0</v>
      </c>
      <c r="G490" s="52">
        <f>IFERROR(SUMIF(Issues!B:B, A490, Issues!H:H), 0)</f>
        <v>2000</v>
      </c>
      <c r="H490" s="52">
        <f>IFERROR(SUMIF(Returns!B:B, A490, Returns!H:H), 0)</f>
        <v>1220</v>
      </c>
      <c r="I490" s="3">
        <v>4580.0</v>
      </c>
      <c r="J490" s="3">
        <v>2.0</v>
      </c>
      <c r="K490" s="3">
        <v>94.0</v>
      </c>
      <c r="L490" s="53">
        <f t="shared" si="5"/>
        <v>684.6692112</v>
      </c>
      <c r="M490" s="52">
        <f t="shared" si="6"/>
        <v>780</v>
      </c>
      <c r="N490" s="54">
        <f t="shared" si="7"/>
        <v>95.3307888</v>
      </c>
      <c r="O490" s="54">
        <f t="shared" si="8"/>
        <v>27.64592875</v>
      </c>
    </row>
    <row r="491" ht="22.5" customHeight="1">
      <c r="A491" s="15" t="s">
        <v>686</v>
      </c>
      <c r="B491" s="13" t="s">
        <v>9</v>
      </c>
      <c r="C491" s="13">
        <v>80.0</v>
      </c>
      <c r="D491" s="15">
        <v>250.0</v>
      </c>
      <c r="E491" s="7">
        <v>14074.0</v>
      </c>
      <c r="F491" s="7">
        <v>14768.0</v>
      </c>
      <c r="G491" s="52">
        <f>IFERROR(SUMIF(Issues!B:B, A491, Issues!H:H), 0)</f>
        <v>16000</v>
      </c>
      <c r="H491" s="52">
        <f>IFERROR(SUMIF(Returns!B:B, A491, Returns!H:H), 0)</f>
        <v>1230</v>
      </c>
      <c r="I491" s="3">
        <v>152360.0</v>
      </c>
      <c r="J491" s="3">
        <v>4.0</v>
      </c>
      <c r="K491" s="3">
        <v>118.0</v>
      </c>
      <c r="L491" s="53">
        <f t="shared" si="5"/>
        <v>14295.86514</v>
      </c>
      <c r="M491" s="52">
        <f t="shared" si="6"/>
        <v>14770</v>
      </c>
      <c r="N491" s="54">
        <f t="shared" si="7"/>
        <v>474.1348601</v>
      </c>
      <c r="O491" s="54">
        <f t="shared" si="8"/>
        <v>118.533715</v>
      </c>
    </row>
    <row r="492" ht="22.5" customHeight="1">
      <c r="A492" s="15" t="s">
        <v>687</v>
      </c>
      <c r="B492" s="13" t="s">
        <v>9</v>
      </c>
      <c r="C492" s="13">
        <v>80.0</v>
      </c>
      <c r="D492" s="15">
        <v>125.0</v>
      </c>
      <c r="E492" s="7">
        <v>515.0</v>
      </c>
      <c r="F492" s="7">
        <v>788.0</v>
      </c>
      <c r="G492" s="52">
        <f>IFERROR(SUMIF(Issues!B:B, A492, Issues!H:H), 0)</f>
        <v>2000</v>
      </c>
      <c r="H492" s="52">
        <f>IFERROR(SUMIF(Returns!B:B, A492, Returns!H:H), 0)</f>
        <v>1210</v>
      </c>
      <c r="I492" s="3">
        <v>3650.0</v>
      </c>
      <c r="J492" s="3">
        <v>2.0</v>
      </c>
      <c r="K492" s="3">
        <v>108.0</v>
      </c>
      <c r="L492" s="53">
        <f t="shared" si="5"/>
        <v>626.9083969</v>
      </c>
      <c r="M492" s="52">
        <f t="shared" si="6"/>
        <v>790</v>
      </c>
      <c r="N492" s="54">
        <f t="shared" si="7"/>
        <v>163.0916031</v>
      </c>
      <c r="O492" s="54">
        <f t="shared" si="8"/>
        <v>20.38645038</v>
      </c>
    </row>
    <row r="493" ht="22.5" customHeight="1">
      <c r="A493" s="15" t="s">
        <v>688</v>
      </c>
      <c r="B493" s="13" t="s">
        <v>9</v>
      </c>
      <c r="C493" s="13">
        <v>80.0</v>
      </c>
      <c r="D493" s="15">
        <v>210.0</v>
      </c>
      <c r="E493" s="7">
        <v>2242.0</v>
      </c>
      <c r="F493" s="7">
        <v>2524.0</v>
      </c>
      <c r="G493" s="52">
        <f>IFERROR(SUMIF(Issues!B:B, A493, Issues!H:H), 0)</f>
        <v>2950</v>
      </c>
      <c r="H493" s="52">
        <f>IFERROR(SUMIF(Returns!B:B, A493, Returns!H:H), 0)</f>
        <v>420</v>
      </c>
      <c r="I493" s="3">
        <v>63320.0</v>
      </c>
      <c r="J493" s="3">
        <v>8.0</v>
      </c>
      <c r="K493" s="3">
        <v>94.0</v>
      </c>
      <c r="L493" s="53">
        <f t="shared" si="5"/>
        <v>2366.44402</v>
      </c>
      <c r="M493" s="52">
        <f t="shared" si="6"/>
        <v>2530</v>
      </c>
      <c r="N493" s="54">
        <f t="shared" si="7"/>
        <v>163.5559796</v>
      </c>
      <c r="O493" s="54">
        <f t="shared" si="8"/>
        <v>34.34675573</v>
      </c>
    </row>
    <row r="494" ht="22.5" customHeight="1">
      <c r="A494" s="15" t="s">
        <v>689</v>
      </c>
      <c r="B494" s="13" t="s">
        <v>9</v>
      </c>
      <c r="C494" s="13">
        <v>80.0</v>
      </c>
      <c r="D494" s="15">
        <v>290.0</v>
      </c>
      <c r="E494" s="7">
        <v>1537.0</v>
      </c>
      <c r="F494" s="7">
        <v>1715.0</v>
      </c>
      <c r="G494" s="52">
        <f>IFERROR(SUMIF(Issues!B:B, A494, Issues!H:H), 0)</f>
        <v>2000</v>
      </c>
      <c r="H494" s="52">
        <f>IFERROR(SUMIF(Returns!B:B, A494, Returns!H:H), 0)</f>
        <v>280</v>
      </c>
      <c r="I494" s="3">
        <v>25500.0</v>
      </c>
      <c r="J494" s="3">
        <v>6.0</v>
      </c>
      <c r="K494" s="3">
        <v>116.0</v>
      </c>
      <c r="L494" s="53">
        <f t="shared" si="5"/>
        <v>1568.066158</v>
      </c>
      <c r="M494" s="52">
        <f t="shared" si="6"/>
        <v>1720</v>
      </c>
      <c r="N494" s="54">
        <f t="shared" si="7"/>
        <v>151.9338422</v>
      </c>
      <c r="O494" s="54">
        <f t="shared" si="8"/>
        <v>44.06081425</v>
      </c>
    </row>
    <row r="495" ht="22.5" customHeight="1">
      <c r="A495" s="15" t="s">
        <v>690</v>
      </c>
      <c r="B495" s="13" t="s">
        <v>9</v>
      </c>
      <c r="C495" s="13">
        <v>80.0</v>
      </c>
      <c r="D495" s="15">
        <v>395.0</v>
      </c>
      <c r="E495" s="7">
        <v>7774.0</v>
      </c>
      <c r="F495" s="7">
        <v>8675.0</v>
      </c>
      <c r="G495" s="52">
        <f>IFERROR(SUMIF(Issues!B:B, A495, Issues!H:H), 0)</f>
        <v>10000</v>
      </c>
      <c r="H495" s="52">
        <f>IFERROR(SUMIF(Returns!B:B, A495, Returns!H:H), 0)</f>
        <v>1320</v>
      </c>
      <c r="I495" s="3">
        <v>274800.0</v>
      </c>
      <c r="J495" s="3">
        <v>10.0</v>
      </c>
      <c r="K495" s="3">
        <v>94.0</v>
      </c>
      <c r="L495" s="53">
        <f t="shared" si="5"/>
        <v>8216.030534</v>
      </c>
      <c r="M495" s="52">
        <f t="shared" si="6"/>
        <v>8680</v>
      </c>
      <c r="N495" s="54">
        <f t="shared" si="7"/>
        <v>463.9694656</v>
      </c>
      <c r="O495" s="54">
        <f t="shared" si="8"/>
        <v>183.2679389</v>
      </c>
    </row>
    <row r="496" ht="22.5" customHeight="1">
      <c r="A496" s="15" t="s">
        <v>691</v>
      </c>
      <c r="B496" s="13" t="s">
        <v>9</v>
      </c>
      <c r="C496" s="13">
        <v>80.0</v>
      </c>
      <c r="D496" s="15">
        <v>150.0</v>
      </c>
      <c r="E496" s="7">
        <v>4346.0</v>
      </c>
      <c r="F496" s="7">
        <v>4830.0</v>
      </c>
      <c r="G496" s="52">
        <f>IFERROR(SUMIF(Issues!B:B, A496, Issues!H:H), 0)</f>
        <v>6000</v>
      </c>
      <c r="H496" s="52">
        <f>IFERROR(SUMIF(Returns!B:B, A496, Returns!H:H), 0)</f>
        <v>1170</v>
      </c>
      <c r="I496" s="3">
        <v>13180.0</v>
      </c>
      <c r="J496" s="3">
        <v>1.0</v>
      </c>
      <c r="K496" s="3">
        <v>112.0</v>
      </c>
      <c r="L496" s="53">
        <f t="shared" si="5"/>
        <v>4695.165394</v>
      </c>
      <c r="M496" s="52">
        <f t="shared" si="6"/>
        <v>4830</v>
      </c>
      <c r="N496" s="54">
        <f t="shared" si="7"/>
        <v>134.8346056</v>
      </c>
      <c r="O496" s="54">
        <f t="shared" si="8"/>
        <v>20.22519084</v>
      </c>
    </row>
    <row r="497" ht="22.5" customHeight="1">
      <c r="A497" s="15" t="s">
        <v>692</v>
      </c>
      <c r="B497" s="13" t="s">
        <v>9</v>
      </c>
      <c r="C497" s="13">
        <v>80.0</v>
      </c>
      <c r="D497" s="15">
        <v>290.0</v>
      </c>
      <c r="E497" s="7">
        <v>2242.0</v>
      </c>
      <c r="F497" s="7">
        <v>2492.0</v>
      </c>
      <c r="G497" s="52">
        <f>IFERROR(SUMIF(Issues!B:B, A497, Issues!H:H), 0)</f>
        <v>3200</v>
      </c>
      <c r="H497" s="52">
        <f>IFERROR(SUMIF(Returns!B:B, A497, Returns!H:H), 0)</f>
        <v>700</v>
      </c>
      <c r="I497" s="3">
        <v>15740.0</v>
      </c>
      <c r="J497" s="3">
        <v>2.0</v>
      </c>
      <c r="K497" s="3">
        <v>94.0</v>
      </c>
      <c r="L497" s="53">
        <f t="shared" si="5"/>
        <v>2352.989822</v>
      </c>
      <c r="M497" s="52">
        <f t="shared" si="6"/>
        <v>2500</v>
      </c>
      <c r="N497" s="54">
        <f t="shared" si="7"/>
        <v>147.0101781</v>
      </c>
      <c r="O497" s="54">
        <f t="shared" si="8"/>
        <v>42.63295165</v>
      </c>
    </row>
    <row r="498" ht="22.5" customHeight="1">
      <c r="A498" s="15" t="s">
        <v>693</v>
      </c>
      <c r="B498" s="13" t="s">
        <v>9</v>
      </c>
      <c r="C498" s="13">
        <v>80.0</v>
      </c>
      <c r="D498" s="15">
        <v>125.0</v>
      </c>
      <c r="E498" s="7">
        <v>515.0</v>
      </c>
      <c r="F498" s="7">
        <v>677.0</v>
      </c>
      <c r="G498" s="52">
        <f>IFERROR(SUMIF(Issues!B:B, A498, Issues!H:H), 0)</f>
        <v>1210</v>
      </c>
      <c r="H498" s="52">
        <f>IFERROR(SUMIF(Returns!B:B, A498, Returns!H:H), 0)</f>
        <v>530</v>
      </c>
      <c r="I498" s="3">
        <v>3370.0</v>
      </c>
      <c r="J498" s="3">
        <v>2.0</v>
      </c>
      <c r="K498" s="3">
        <v>108.0</v>
      </c>
      <c r="L498" s="53">
        <f t="shared" si="5"/>
        <v>578.8167939</v>
      </c>
      <c r="M498" s="52">
        <f t="shared" si="6"/>
        <v>680</v>
      </c>
      <c r="N498" s="54">
        <f t="shared" si="7"/>
        <v>101.1832061</v>
      </c>
      <c r="O498" s="54">
        <f t="shared" si="8"/>
        <v>12.64790076</v>
      </c>
    </row>
    <row r="499" ht="22.5" customHeight="1">
      <c r="A499" s="15" t="s">
        <v>694</v>
      </c>
      <c r="B499" s="13" t="s">
        <v>9</v>
      </c>
      <c r="C499" s="13">
        <v>80.0</v>
      </c>
      <c r="D499" s="15">
        <v>125.0</v>
      </c>
      <c r="E499" s="7">
        <v>515.0</v>
      </c>
      <c r="F499" s="7">
        <v>1760.0</v>
      </c>
      <c r="G499" s="52">
        <f>IFERROR(SUMIF(Issues!B:B, A499, Issues!H:H), 0)</f>
        <v>2530</v>
      </c>
      <c r="H499" s="52">
        <f>IFERROR(SUMIF(Returns!B:B, A499, Returns!H:H), 0)</f>
        <v>1760</v>
      </c>
      <c r="I499" s="3">
        <v>3780.0</v>
      </c>
      <c r="J499" s="3">
        <v>2.0</v>
      </c>
      <c r="K499" s="3">
        <v>108.0</v>
      </c>
      <c r="L499" s="53">
        <f t="shared" si="5"/>
        <v>649.2366412</v>
      </c>
      <c r="M499" s="52">
        <f t="shared" si="6"/>
        <v>770</v>
      </c>
      <c r="N499" s="54">
        <f t="shared" si="7"/>
        <v>120.7633588</v>
      </c>
      <c r="O499" s="54">
        <f t="shared" si="8"/>
        <v>15.09541985</v>
      </c>
    </row>
    <row r="500" ht="22.5" customHeight="1">
      <c r="A500" s="15" t="s">
        <v>695</v>
      </c>
      <c r="B500" s="13" t="s">
        <v>9</v>
      </c>
      <c r="C500" s="13">
        <v>80.0</v>
      </c>
      <c r="D500" s="15">
        <v>125.0</v>
      </c>
      <c r="E500" s="7">
        <v>515.0</v>
      </c>
      <c r="F500" s="7">
        <v>720.0</v>
      </c>
      <c r="G500" s="52">
        <f>IFERROR(SUMIF(Issues!B:B, A500, Issues!H:H), 0)</f>
        <v>1800</v>
      </c>
      <c r="H500" s="52">
        <f>IFERROR(SUMIF(Returns!B:B, A500, Returns!H:H), 0)</f>
        <v>1080</v>
      </c>
      <c r="I500" s="3">
        <v>3670.0</v>
      </c>
      <c r="J500" s="3">
        <v>2.0</v>
      </c>
      <c r="K500" s="3">
        <v>108.0</v>
      </c>
      <c r="L500" s="53">
        <f t="shared" si="5"/>
        <v>630.3435115</v>
      </c>
      <c r="M500" s="52">
        <f t="shared" si="6"/>
        <v>720</v>
      </c>
      <c r="N500" s="54">
        <f t="shared" si="7"/>
        <v>89.65648855</v>
      </c>
      <c r="O500" s="54">
        <f t="shared" si="8"/>
        <v>11.20706107</v>
      </c>
    </row>
    <row r="501" ht="22.5" customHeight="1">
      <c r="A501" s="15" t="s">
        <v>696</v>
      </c>
      <c r="B501" s="13" t="s">
        <v>9</v>
      </c>
      <c r="C501" s="13">
        <v>80.0</v>
      </c>
      <c r="D501" s="15">
        <v>210.0</v>
      </c>
      <c r="E501" s="7">
        <v>1495.0</v>
      </c>
      <c r="F501" s="7">
        <v>1838.0</v>
      </c>
      <c r="G501" s="52">
        <f>IFERROR(SUMIF(Issues!B:B, A501, Issues!H:H), 0)</f>
        <v>2300</v>
      </c>
      <c r="H501" s="52">
        <f>IFERROR(SUMIF(Returns!B:B, A501, Returns!H:H), 0)</f>
        <v>460</v>
      </c>
      <c r="I501" s="3">
        <v>11040.0</v>
      </c>
      <c r="J501" s="3">
        <v>2.0</v>
      </c>
      <c r="K501" s="3">
        <v>94.0</v>
      </c>
      <c r="L501" s="53">
        <f t="shared" si="5"/>
        <v>1650.381679</v>
      </c>
      <c r="M501" s="52">
        <f t="shared" si="6"/>
        <v>1840</v>
      </c>
      <c r="N501" s="54">
        <f t="shared" si="7"/>
        <v>189.6183206</v>
      </c>
      <c r="O501" s="54">
        <f t="shared" si="8"/>
        <v>39.81984733</v>
      </c>
    </row>
    <row r="502" ht="22.5" customHeight="1">
      <c r="A502" s="15" t="s">
        <v>697</v>
      </c>
      <c r="B502" s="13" t="s">
        <v>9</v>
      </c>
      <c r="C502" s="13">
        <v>80.0</v>
      </c>
      <c r="D502" s="15">
        <v>290.0</v>
      </c>
      <c r="E502" s="7">
        <v>3393.0</v>
      </c>
      <c r="F502" s="7">
        <v>3680.0</v>
      </c>
      <c r="G502" s="52">
        <f>IFERROR(SUMIF(Issues!B:B, A502, Issues!H:H), 0)</f>
        <v>4000</v>
      </c>
      <c r="H502" s="52">
        <f>IFERROR(SUMIF(Returns!B:B, A502, Returns!H:H), 0)</f>
        <v>320</v>
      </c>
      <c r="I502" s="3">
        <v>23260.0</v>
      </c>
      <c r="J502" s="3">
        <v>2.0</v>
      </c>
      <c r="K502" s="3">
        <v>94.0</v>
      </c>
      <c r="L502" s="53">
        <f t="shared" si="5"/>
        <v>3477.16285</v>
      </c>
      <c r="M502" s="52">
        <f t="shared" si="6"/>
        <v>3680</v>
      </c>
      <c r="N502" s="54">
        <f t="shared" si="7"/>
        <v>202.8371501</v>
      </c>
      <c r="O502" s="54">
        <f t="shared" si="8"/>
        <v>58.82277354</v>
      </c>
    </row>
    <row r="503" ht="22.5" customHeight="1">
      <c r="A503" s="15" t="s">
        <v>698</v>
      </c>
      <c r="B503" s="13" t="s">
        <v>9</v>
      </c>
      <c r="C503" s="13">
        <v>80.0</v>
      </c>
      <c r="D503" s="15">
        <v>290.0</v>
      </c>
      <c r="E503" s="7">
        <v>4485.0</v>
      </c>
      <c r="F503" s="7">
        <v>4900.0</v>
      </c>
      <c r="G503" s="52">
        <f>IFERROR(SUMIF(Issues!B:B, A503, Issues!H:H), 0)</f>
        <v>4900</v>
      </c>
      <c r="H503" s="52">
        <f>IFERROR(SUMIF(Returns!B:B, A503, Returns!H:H), 0)</f>
        <v>0</v>
      </c>
      <c r="I503" s="3">
        <v>31000.0</v>
      </c>
      <c r="J503" s="3">
        <v>2.0</v>
      </c>
      <c r="K503" s="3">
        <v>94.0</v>
      </c>
      <c r="L503" s="53">
        <f t="shared" si="5"/>
        <v>4634.223919</v>
      </c>
      <c r="M503" s="52">
        <f t="shared" si="6"/>
        <v>4900</v>
      </c>
      <c r="N503" s="54">
        <f t="shared" si="7"/>
        <v>265.7760814</v>
      </c>
      <c r="O503" s="54">
        <f t="shared" si="8"/>
        <v>77.07506361</v>
      </c>
    </row>
    <row r="504" ht="22.5" customHeight="1">
      <c r="A504" s="15" t="s">
        <v>699</v>
      </c>
      <c r="B504" s="13" t="s">
        <v>9</v>
      </c>
      <c r="C504" s="13">
        <v>80.0</v>
      </c>
      <c r="D504" s="15">
        <v>250.0</v>
      </c>
      <c r="E504" s="7">
        <v>1590.0</v>
      </c>
      <c r="F504" s="7">
        <v>1801.0</v>
      </c>
      <c r="G504" s="52">
        <f>IFERROR(SUMIF(Issues!B:B, A504, Issues!H:H), 0)</f>
        <v>3200</v>
      </c>
      <c r="H504" s="52">
        <f>IFERROR(SUMIF(Returns!B:B, A504, Returns!H:H), 0)</f>
        <v>1390</v>
      </c>
      <c r="I504" s="3">
        <v>20820.0</v>
      </c>
      <c r="J504" s="3">
        <v>3.0</v>
      </c>
      <c r="K504" s="3">
        <v>75.0</v>
      </c>
      <c r="L504" s="53">
        <f t="shared" si="5"/>
        <v>1655.534351</v>
      </c>
      <c r="M504" s="52">
        <f t="shared" si="6"/>
        <v>1810</v>
      </c>
      <c r="N504" s="54">
        <f t="shared" si="7"/>
        <v>154.4656489</v>
      </c>
      <c r="O504" s="54">
        <f t="shared" si="8"/>
        <v>38.61641221</v>
      </c>
    </row>
    <row r="505" ht="22.5" customHeight="1">
      <c r="A505" s="15" t="s">
        <v>700</v>
      </c>
      <c r="B505" s="13" t="s">
        <v>9</v>
      </c>
      <c r="C505" s="13">
        <v>80.0</v>
      </c>
      <c r="D505" s="15">
        <v>280.0</v>
      </c>
      <c r="E505" s="7">
        <v>732.0</v>
      </c>
      <c r="F505" s="7">
        <v>935.0</v>
      </c>
      <c r="G505" s="52">
        <f>IFERROR(SUMIF(Issues!B:B, A505, Issues!H:H), 0)</f>
        <v>1100</v>
      </c>
      <c r="H505" s="52">
        <f>IFERROR(SUMIF(Returns!B:B, A505, Returns!H:H), 0)</f>
        <v>160</v>
      </c>
      <c r="I505" s="3">
        <v>6200.0</v>
      </c>
      <c r="J505" s="3">
        <v>2.0</v>
      </c>
      <c r="K505" s="3">
        <v>92.0</v>
      </c>
      <c r="L505" s="53">
        <f t="shared" si="5"/>
        <v>907.1246819</v>
      </c>
      <c r="M505" s="52">
        <f t="shared" si="6"/>
        <v>940</v>
      </c>
      <c r="N505" s="54">
        <f t="shared" si="7"/>
        <v>32.87531807</v>
      </c>
      <c r="O505" s="54">
        <f t="shared" si="8"/>
        <v>9.205089059</v>
      </c>
    </row>
    <row r="506" ht="22.5" customHeight="1">
      <c r="A506" s="15" t="s">
        <v>701</v>
      </c>
      <c r="B506" s="13" t="s">
        <v>9</v>
      </c>
      <c r="C506" s="13">
        <v>80.0</v>
      </c>
      <c r="D506" s="15">
        <v>250.0</v>
      </c>
      <c r="E506" s="7">
        <v>2990.0</v>
      </c>
      <c r="F506" s="7">
        <v>3278.0</v>
      </c>
      <c r="G506" s="52">
        <f>IFERROR(SUMIF(Issues!B:B, A506, Issues!H:H), 0)</f>
        <v>3800</v>
      </c>
      <c r="H506" s="52">
        <f>IFERROR(SUMIF(Returns!B:B, A506, Returns!H:H), 0)</f>
        <v>520</v>
      </c>
      <c r="I506" s="3">
        <v>83200.0</v>
      </c>
      <c r="J506" s="3">
        <v>8.0</v>
      </c>
      <c r="K506" s="3">
        <v>94.0</v>
      </c>
      <c r="L506" s="53">
        <f t="shared" si="5"/>
        <v>3109.414758</v>
      </c>
      <c r="M506" s="52">
        <f t="shared" si="6"/>
        <v>3280</v>
      </c>
      <c r="N506" s="54">
        <f t="shared" si="7"/>
        <v>170.5852417</v>
      </c>
      <c r="O506" s="54">
        <f t="shared" si="8"/>
        <v>42.64631043</v>
      </c>
    </row>
    <row r="507" ht="22.5" customHeight="1">
      <c r="A507" s="15" t="s">
        <v>702</v>
      </c>
      <c r="B507" s="13" t="s">
        <v>9</v>
      </c>
      <c r="C507" s="13">
        <v>80.0</v>
      </c>
      <c r="D507" s="15">
        <v>290.0</v>
      </c>
      <c r="E507" s="7">
        <v>3776.0</v>
      </c>
      <c r="F507" s="7">
        <v>4200.0</v>
      </c>
      <c r="G507" s="52">
        <f>IFERROR(SUMIF(Issues!B:B, A507, Issues!H:H), 0)</f>
        <v>4280</v>
      </c>
      <c r="H507" s="52">
        <f>IFERROR(SUMIF(Returns!B:B, A507, Returns!H:H), 0)</f>
        <v>0</v>
      </c>
      <c r="I507" s="3">
        <v>65250.0</v>
      </c>
      <c r="J507" s="3">
        <v>6.0</v>
      </c>
      <c r="K507" s="3">
        <v>116.0</v>
      </c>
      <c r="L507" s="53">
        <f t="shared" si="5"/>
        <v>4012.40458</v>
      </c>
      <c r="M507" s="52">
        <f t="shared" si="6"/>
        <v>4280</v>
      </c>
      <c r="N507" s="54">
        <f t="shared" si="7"/>
        <v>267.5954198</v>
      </c>
      <c r="O507" s="54">
        <f t="shared" si="8"/>
        <v>77.60267176</v>
      </c>
    </row>
    <row r="508" ht="22.5" customHeight="1">
      <c r="A508" s="15" t="s">
        <v>703</v>
      </c>
      <c r="B508" s="13" t="s">
        <v>9</v>
      </c>
      <c r="C508" s="13">
        <v>80.0</v>
      </c>
      <c r="D508" s="15">
        <v>140.0</v>
      </c>
      <c r="E508" s="7">
        <v>1288.0</v>
      </c>
      <c r="F508" s="7">
        <v>1541.0</v>
      </c>
      <c r="G508" s="52">
        <f>IFERROR(SUMIF(Issues!B:B, A508, Issues!H:H), 0)</f>
        <v>3180</v>
      </c>
      <c r="H508" s="52">
        <f>IFERROR(SUMIF(Returns!B:B, A508, Returns!H:H), 0)</f>
        <v>1630</v>
      </c>
      <c r="I508" s="3">
        <v>16840.0</v>
      </c>
      <c r="J508" s="3">
        <v>4.0</v>
      </c>
      <c r="K508" s="3">
        <v>108.0</v>
      </c>
      <c r="L508" s="53">
        <f t="shared" si="5"/>
        <v>1446.183206</v>
      </c>
      <c r="M508" s="52">
        <f t="shared" si="6"/>
        <v>1550</v>
      </c>
      <c r="N508" s="54">
        <f t="shared" si="7"/>
        <v>103.8167939</v>
      </c>
      <c r="O508" s="54">
        <f t="shared" si="8"/>
        <v>14.53435115</v>
      </c>
    </row>
    <row r="509" ht="22.5" customHeight="1">
      <c r="A509" s="15" t="s">
        <v>704</v>
      </c>
      <c r="B509" s="13" t="s">
        <v>9</v>
      </c>
      <c r="C509" s="13">
        <v>80.0</v>
      </c>
      <c r="D509" s="15">
        <v>195.0</v>
      </c>
      <c r="E509" s="7">
        <v>1081.0</v>
      </c>
      <c r="F509" s="7">
        <v>1420.0</v>
      </c>
      <c r="G509" s="52">
        <f>IFERROR(SUMIF(Issues!B:B, A509, Issues!H:H), 0)</f>
        <v>2050</v>
      </c>
      <c r="H509" s="52">
        <f>IFERROR(SUMIF(Returns!B:B, A509, Returns!H:H), 0)</f>
        <v>600</v>
      </c>
      <c r="I509" s="3">
        <v>4900.0</v>
      </c>
      <c r="J509" s="3">
        <v>1.0</v>
      </c>
      <c r="K509" s="3">
        <v>85.0</v>
      </c>
      <c r="L509" s="53">
        <f t="shared" si="5"/>
        <v>1324.745547</v>
      </c>
      <c r="M509" s="52">
        <f t="shared" si="6"/>
        <v>1450</v>
      </c>
      <c r="N509" s="54">
        <f t="shared" si="7"/>
        <v>125.2544529</v>
      </c>
      <c r="O509" s="54">
        <f t="shared" si="8"/>
        <v>24.42461832</v>
      </c>
    </row>
    <row r="510" ht="22.5" customHeight="1">
      <c r="A510" s="15" t="s">
        <v>705</v>
      </c>
      <c r="B510" s="13" t="s">
        <v>9</v>
      </c>
      <c r="C510" s="13">
        <v>80.0</v>
      </c>
      <c r="D510" s="15">
        <v>200.0</v>
      </c>
      <c r="E510" s="7">
        <v>859.0</v>
      </c>
      <c r="F510" s="7">
        <v>1105.0</v>
      </c>
      <c r="G510" s="52">
        <f>IFERROR(SUMIF(Issues!B:B, A510, Issues!H:H), 0)</f>
        <v>1880</v>
      </c>
      <c r="H510" s="52">
        <f>IFERROR(SUMIF(Returns!B:B, A510, Returns!H:H), 0)</f>
        <v>750</v>
      </c>
      <c r="I510" s="3">
        <v>11580.0</v>
      </c>
      <c r="J510" s="3">
        <v>4.0</v>
      </c>
      <c r="K510" s="3">
        <v>108.0</v>
      </c>
      <c r="L510" s="53">
        <f t="shared" si="5"/>
        <v>994.4656489</v>
      </c>
      <c r="M510" s="52">
        <f t="shared" si="6"/>
        <v>1130</v>
      </c>
      <c r="N510" s="54">
        <f t="shared" si="7"/>
        <v>135.5343511</v>
      </c>
      <c r="O510" s="54">
        <f t="shared" si="8"/>
        <v>27.10687023</v>
      </c>
    </row>
    <row r="511" ht="22.5" customHeight="1">
      <c r="A511" s="15" t="s">
        <v>706</v>
      </c>
      <c r="B511" s="13" t="s">
        <v>9</v>
      </c>
      <c r="C511" s="13">
        <v>80.0</v>
      </c>
      <c r="D511" s="15">
        <v>140.0</v>
      </c>
      <c r="E511" s="7">
        <v>687.0</v>
      </c>
      <c r="F511" s="7">
        <v>928.0</v>
      </c>
      <c r="G511" s="52">
        <f>IFERROR(SUMIF(Issues!B:B, A511, Issues!H:H), 0)</f>
        <v>1541</v>
      </c>
      <c r="H511" s="52">
        <f>IFERROR(SUMIF(Returns!B:B, A511, Returns!H:H), 0)</f>
        <v>550</v>
      </c>
      <c r="I511" s="3">
        <v>10100.0</v>
      </c>
      <c r="J511" s="3">
        <v>4.0</v>
      </c>
      <c r="K511" s="3">
        <v>108.0</v>
      </c>
      <c r="L511" s="53">
        <f t="shared" si="5"/>
        <v>867.3664122</v>
      </c>
      <c r="M511" s="52">
        <f t="shared" si="6"/>
        <v>991</v>
      </c>
      <c r="N511" s="54">
        <f t="shared" si="7"/>
        <v>123.6335878</v>
      </c>
      <c r="O511" s="54">
        <f t="shared" si="8"/>
        <v>17.30870229</v>
      </c>
    </row>
    <row r="512" ht="22.5" customHeight="1">
      <c r="A512" s="15" t="s">
        <v>707</v>
      </c>
      <c r="B512" s="13" t="s">
        <v>9</v>
      </c>
      <c r="C512" s="13">
        <v>80.0</v>
      </c>
      <c r="D512" s="15">
        <v>185.0</v>
      </c>
      <c r="E512" s="7">
        <v>1081.0</v>
      </c>
      <c r="F512" s="7">
        <v>1422.0</v>
      </c>
      <c r="G512" s="52">
        <f>IFERROR(SUMIF(Issues!B:B, A512, Issues!H:H), 0)</f>
        <v>2540</v>
      </c>
      <c r="H512" s="52">
        <f>IFERROR(SUMIF(Returns!B:B, A512, Returns!H:H), 0)</f>
        <v>1100</v>
      </c>
      <c r="I512" s="3">
        <v>4870.0</v>
      </c>
      <c r="J512" s="3">
        <v>1.0</v>
      </c>
      <c r="K512" s="3">
        <v>85.0</v>
      </c>
      <c r="L512" s="53">
        <f t="shared" si="5"/>
        <v>1316.63486</v>
      </c>
      <c r="M512" s="52">
        <f t="shared" si="6"/>
        <v>1440</v>
      </c>
      <c r="N512" s="54">
        <f t="shared" si="7"/>
        <v>123.3651399</v>
      </c>
      <c r="O512" s="54">
        <f t="shared" si="8"/>
        <v>22.82255089</v>
      </c>
    </row>
    <row r="513" ht="22.5" customHeight="1">
      <c r="A513" s="15" t="s">
        <v>708</v>
      </c>
      <c r="B513" s="13" t="s">
        <v>9</v>
      </c>
      <c r="C513" s="13">
        <v>80.0</v>
      </c>
      <c r="D513" s="15">
        <v>200.0</v>
      </c>
      <c r="E513" s="7">
        <v>859.0</v>
      </c>
      <c r="F513" s="7">
        <v>1113.0</v>
      </c>
      <c r="G513" s="52">
        <f>IFERROR(SUMIF(Issues!B:B, A513, Issues!H:H), 0)</f>
        <v>1500</v>
      </c>
      <c r="H513" s="52">
        <f>IFERROR(SUMIF(Returns!B:B, A513, Returns!H:H), 0)</f>
        <v>380</v>
      </c>
      <c r="I513" s="3">
        <v>11670.0</v>
      </c>
      <c r="J513" s="3">
        <v>4.0</v>
      </c>
      <c r="K513" s="3">
        <v>108.0</v>
      </c>
      <c r="L513" s="53">
        <f t="shared" si="5"/>
        <v>1002.194656</v>
      </c>
      <c r="M513" s="52">
        <f t="shared" si="6"/>
        <v>1120</v>
      </c>
      <c r="N513" s="54">
        <f t="shared" si="7"/>
        <v>117.8053435</v>
      </c>
      <c r="O513" s="54">
        <f t="shared" si="8"/>
        <v>23.5610687</v>
      </c>
    </row>
    <row r="514" ht="22.5" customHeight="1">
      <c r="A514" s="15" t="s">
        <v>709</v>
      </c>
      <c r="B514" s="13" t="s">
        <v>9</v>
      </c>
      <c r="C514" s="13">
        <v>80.0</v>
      </c>
      <c r="D514" s="15">
        <v>185.0</v>
      </c>
      <c r="E514" s="7">
        <v>1081.0</v>
      </c>
      <c r="F514" s="7">
        <v>1397.0</v>
      </c>
      <c r="G514" s="52">
        <f>IFERROR(SUMIF(Issues!B:B, A514, Issues!H:H), 0)</f>
        <v>1970</v>
      </c>
      <c r="H514" s="52">
        <f>IFERROR(SUMIF(Returns!B:B, A514, Returns!H:H), 0)</f>
        <v>570</v>
      </c>
      <c r="I514" s="3">
        <v>4960.0</v>
      </c>
      <c r="J514" s="3">
        <v>1.0</v>
      </c>
      <c r="K514" s="3">
        <v>85.0</v>
      </c>
      <c r="L514" s="53">
        <f t="shared" si="5"/>
        <v>1340.966921</v>
      </c>
      <c r="M514" s="52">
        <f t="shared" si="6"/>
        <v>1400</v>
      </c>
      <c r="N514" s="54">
        <f t="shared" si="7"/>
        <v>59.03307888</v>
      </c>
      <c r="O514" s="54">
        <f t="shared" si="8"/>
        <v>10.92111959</v>
      </c>
    </row>
    <row r="515" ht="22.5" customHeight="1">
      <c r="A515" s="15" t="s">
        <v>710</v>
      </c>
      <c r="B515" s="13" t="s">
        <v>9</v>
      </c>
      <c r="C515" s="13">
        <v>80.0</v>
      </c>
      <c r="D515" s="15">
        <v>140.0</v>
      </c>
      <c r="E515" s="7">
        <v>878.0</v>
      </c>
      <c r="F515" s="7">
        <v>1100.0</v>
      </c>
      <c r="G515" s="52">
        <f>IFERROR(SUMIF(Issues!B:B, A515, Issues!H:H), 0)</f>
        <v>1320</v>
      </c>
      <c r="H515" s="52">
        <f>IFERROR(SUMIF(Returns!B:B, A515, Returns!H:H), 0)</f>
        <v>220</v>
      </c>
      <c r="I515" s="3">
        <v>4560.0</v>
      </c>
      <c r="J515" s="3">
        <v>1.0</v>
      </c>
      <c r="K515" s="3">
        <v>69.0</v>
      </c>
      <c r="L515" s="53">
        <f t="shared" si="5"/>
        <v>1000.763359</v>
      </c>
      <c r="M515" s="52">
        <f t="shared" si="6"/>
        <v>1100</v>
      </c>
      <c r="N515" s="54">
        <f t="shared" si="7"/>
        <v>99.23664122</v>
      </c>
      <c r="O515" s="54">
        <f t="shared" si="8"/>
        <v>13.89312977</v>
      </c>
    </row>
    <row r="516" ht="22.5" customHeight="1">
      <c r="A516" s="15" t="s">
        <v>711</v>
      </c>
      <c r="B516" s="13" t="s">
        <v>9</v>
      </c>
      <c r="C516" s="13">
        <v>80.0</v>
      </c>
      <c r="D516" s="15">
        <v>160.0</v>
      </c>
      <c r="E516" s="7">
        <v>1415.0</v>
      </c>
      <c r="F516" s="7">
        <v>1630.0</v>
      </c>
      <c r="G516" s="52">
        <f>IFERROR(SUMIF(Issues!B:B, A516, Issues!H:H), 0)</f>
        <v>2180</v>
      </c>
      <c r="H516" s="52">
        <f>IFERROR(SUMIF(Returns!B:B, A516, Returns!H:H), 0)</f>
        <v>550</v>
      </c>
      <c r="I516" s="3">
        <v>5330.0</v>
      </c>
      <c r="J516" s="3">
        <v>1.0</v>
      </c>
      <c r="K516" s="3">
        <v>89.0</v>
      </c>
      <c r="L516" s="53">
        <f t="shared" si="5"/>
        <v>1508.810433</v>
      </c>
      <c r="M516" s="52">
        <f t="shared" si="6"/>
        <v>1630</v>
      </c>
      <c r="N516" s="54">
        <f t="shared" si="7"/>
        <v>121.1895674</v>
      </c>
      <c r="O516" s="54">
        <f t="shared" si="8"/>
        <v>19.39033079</v>
      </c>
    </row>
    <row r="517" ht="22.5" customHeight="1">
      <c r="A517" s="15" t="s">
        <v>712</v>
      </c>
      <c r="B517" s="13" t="s">
        <v>9</v>
      </c>
      <c r="C517" s="13">
        <v>80.0</v>
      </c>
      <c r="D517" s="15">
        <v>160.0</v>
      </c>
      <c r="E517" s="7">
        <v>849.0</v>
      </c>
      <c r="F517" s="7">
        <v>1087.0</v>
      </c>
      <c r="G517" s="52">
        <f>IFERROR(SUMIF(Issues!B:B, A517, Issues!H:H), 0)</f>
        <v>1600</v>
      </c>
      <c r="H517" s="52">
        <f>IFERROR(SUMIF(Returns!B:B, A517, Returns!H:H), 0)</f>
        <v>510</v>
      </c>
      <c r="I517" s="3">
        <v>3420.0</v>
      </c>
      <c r="J517" s="3">
        <v>1.0</v>
      </c>
      <c r="K517" s="3">
        <v>89.0</v>
      </c>
      <c r="L517" s="53">
        <f t="shared" si="5"/>
        <v>968.129771</v>
      </c>
      <c r="M517" s="52">
        <f t="shared" si="6"/>
        <v>1090</v>
      </c>
      <c r="N517" s="54">
        <f t="shared" si="7"/>
        <v>121.870229</v>
      </c>
      <c r="O517" s="54">
        <f t="shared" si="8"/>
        <v>19.49923664</v>
      </c>
    </row>
    <row r="518" ht="22.5" customHeight="1">
      <c r="A518" s="15" t="s">
        <v>713</v>
      </c>
      <c r="B518" s="13" t="s">
        <v>9</v>
      </c>
      <c r="C518" s="13">
        <v>80.0</v>
      </c>
      <c r="D518" s="15">
        <v>330.0</v>
      </c>
      <c r="E518" s="7">
        <v>481.0</v>
      </c>
      <c r="F518" s="7">
        <v>692.0</v>
      </c>
      <c r="G518" s="52">
        <f>IFERROR(SUMIF(Issues!B:B, A518, Issues!H:H), 0)</f>
        <v>1350</v>
      </c>
      <c r="H518" s="52">
        <f>IFERROR(SUMIF(Returns!B:B, A518, Returns!H:H), 0)</f>
        <v>650</v>
      </c>
      <c r="I518" s="3">
        <v>12460.0</v>
      </c>
      <c r="J518" s="3">
        <v>6.0</v>
      </c>
      <c r="K518" s="3">
        <v>89.0</v>
      </c>
      <c r="L518" s="53">
        <f t="shared" si="5"/>
        <v>587.860475</v>
      </c>
      <c r="M518" s="52">
        <f t="shared" si="6"/>
        <v>700</v>
      </c>
      <c r="N518" s="54">
        <f t="shared" si="7"/>
        <v>112.139525</v>
      </c>
      <c r="O518" s="54">
        <f t="shared" si="8"/>
        <v>37.00604326</v>
      </c>
    </row>
    <row r="519" ht="22.5" customHeight="1">
      <c r="A519" s="15" t="s">
        <v>714</v>
      </c>
      <c r="B519" s="13" t="s">
        <v>9</v>
      </c>
      <c r="C519" s="13">
        <v>80.0</v>
      </c>
      <c r="D519" s="15">
        <v>330.0</v>
      </c>
      <c r="E519" s="7">
        <v>481.0</v>
      </c>
      <c r="F519" s="7">
        <v>662.0</v>
      </c>
      <c r="G519" s="52">
        <f>IFERROR(SUMIF(Issues!B:B, A519, Issues!H:H), 0)</f>
        <v>1270</v>
      </c>
      <c r="H519" s="52">
        <f>IFERROR(SUMIF(Returns!B:B, A519, Returns!H:H), 0)</f>
        <v>500</v>
      </c>
      <c r="I519" s="3">
        <v>11040.0</v>
      </c>
      <c r="J519" s="3">
        <v>6.0</v>
      </c>
      <c r="K519" s="3">
        <v>89.0</v>
      </c>
      <c r="L519" s="53">
        <f t="shared" si="5"/>
        <v>520.8651399</v>
      </c>
      <c r="M519" s="52">
        <f t="shared" si="6"/>
        <v>770</v>
      </c>
      <c r="N519" s="54">
        <f t="shared" si="7"/>
        <v>249.1348601</v>
      </c>
      <c r="O519" s="54">
        <f t="shared" si="8"/>
        <v>82.21450382</v>
      </c>
    </row>
    <row r="520" ht="22.5" customHeight="1">
      <c r="A520" s="15" t="s">
        <v>715</v>
      </c>
      <c r="B520" s="13" t="s">
        <v>9</v>
      </c>
      <c r="C520" s="13">
        <v>80.0</v>
      </c>
      <c r="D520" s="15">
        <v>330.0</v>
      </c>
      <c r="E520" s="7">
        <v>481.0</v>
      </c>
      <c r="F520" s="7">
        <v>667.0</v>
      </c>
      <c r="G520" s="52">
        <f>IFERROR(SUMIF(Issues!B:B, A520, Issues!H:H), 0)</f>
        <v>1100</v>
      </c>
      <c r="H520" s="52">
        <f>IFERROR(SUMIF(Returns!B:B, A520, Returns!H:H), 0)</f>
        <v>270</v>
      </c>
      <c r="I520" s="3">
        <v>13200.0</v>
      </c>
      <c r="J520" s="3">
        <v>6.0</v>
      </c>
      <c r="K520" s="3">
        <v>89.0</v>
      </c>
      <c r="L520" s="53">
        <f t="shared" si="5"/>
        <v>622.7735369</v>
      </c>
      <c r="M520" s="52">
        <f t="shared" si="6"/>
        <v>830</v>
      </c>
      <c r="N520" s="54">
        <f t="shared" si="7"/>
        <v>207.2264631</v>
      </c>
      <c r="O520" s="54">
        <f t="shared" si="8"/>
        <v>68.38473282</v>
      </c>
    </row>
    <row r="521" ht="22.5" customHeight="1">
      <c r="A521" s="15" t="s">
        <v>716</v>
      </c>
      <c r="B521" s="13" t="s">
        <v>9</v>
      </c>
      <c r="C521" s="13">
        <v>80.0</v>
      </c>
      <c r="D521" s="15">
        <v>330.0</v>
      </c>
      <c r="E521" s="7">
        <v>481.0</v>
      </c>
      <c r="F521" s="7">
        <v>648.0</v>
      </c>
      <c r="G521" s="52">
        <f>IFERROR(SUMIF(Issues!B:B, A521, Issues!H:H), 0)</f>
        <v>1300</v>
      </c>
      <c r="H521" s="52">
        <f>IFERROR(SUMIF(Returns!B:B, A521, Returns!H:H), 0)</f>
        <v>550</v>
      </c>
      <c r="I521" s="3">
        <v>11900.0</v>
      </c>
      <c r="J521" s="3">
        <v>6.0</v>
      </c>
      <c r="K521" s="3">
        <v>89.0</v>
      </c>
      <c r="L521" s="53">
        <f t="shared" si="5"/>
        <v>561.4397795</v>
      </c>
      <c r="M521" s="52">
        <f t="shared" si="6"/>
        <v>750</v>
      </c>
      <c r="N521" s="54">
        <f t="shared" si="7"/>
        <v>188.5602205</v>
      </c>
      <c r="O521" s="54">
        <f t="shared" si="8"/>
        <v>62.22487277</v>
      </c>
    </row>
    <row r="522" ht="22.5" customHeight="1">
      <c r="A522" s="15" t="s">
        <v>717</v>
      </c>
      <c r="B522" s="13" t="s">
        <v>9</v>
      </c>
      <c r="C522" s="13">
        <v>80.0</v>
      </c>
      <c r="D522" s="15">
        <v>140.0</v>
      </c>
      <c r="E522" s="7">
        <v>585.0</v>
      </c>
      <c r="F522" s="7">
        <v>780.0</v>
      </c>
      <c r="G522" s="52">
        <f>IFERROR(SUMIF(Issues!B:B, A522, Issues!H:H), 0)</f>
        <v>2100</v>
      </c>
      <c r="H522" s="52">
        <f>IFERROR(SUMIF(Returns!B:B, A522, Returns!H:H), 0)</f>
        <v>1320</v>
      </c>
      <c r="I522" s="3">
        <v>8300.0</v>
      </c>
      <c r="J522" s="3">
        <v>4.0</v>
      </c>
      <c r="K522" s="3">
        <v>92.0</v>
      </c>
      <c r="L522" s="53">
        <f t="shared" si="5"/>
        <v>607.1882952</v>
      </c>
      <c r="M522" s="52">
        <f t="shared" si="6"/>
        <v>780</v>
      </c>
      <c r="N522" s="54">
        <f t="shared" si="7"/>
        <v>172.8117048</v>
      </c>
      <c r="O522" s="54">
        <f t="shared" si="8"/>
        <v>24.19363868</v>
      </c>
    </row>
    <row r="523" ht="22.5" customHeight="1">
      <c r="A523" s="15" t="s">
        <v>718</v>
      </c>
      <c r="B523" s="13" t="s">
        <v>9</v>
      </c>
      <c r="C523" s="13">
        <v>80.0</v>
      </c>
      <c r="D523" s="15">
        <v>290.0</v>
      </c>
      <c r="E523" s="7">
        <v>2990.0</v>
      </c>
      <c r="F523" s="7">
        <v>3230.0</v>
      </c>
      <c r="G523" s="52">
        <f>IFERROR(SUMIF(Issues!B:B, A523, Issues!H:H), 0)</f>
        <v>4550</v>
      </c>
      <c r="H523" s="52">
        <f>IFERROR(SUMIF(Returns!B:B, A523, Returns!H:H), 0)</f>
        <v>1320</v>
      </c>
      <c r="I523" s="3">
        <v>19200.0</v>
      </c>
      <c r="J523" s="3">
        <v>2.0</v>
      </c>
      <c r="K523" s="3">
        <v>94.0</v>
      </c>
      <c r="L523" s="53">
        <f t="shared" si="5"/>
        <v>2870.229008</v>
      </c>
      <c r="M523" s="52">
        <f t="shared" si="6"/>
        <v>3230</v>
      </c>
      <c r="N523" s="54">
        <f t="shared" si="7"/>
        <v>359.7709924</v>
      </c>
      <c r="O523" s="54">
        <f t="shared" si="8"/>
        <v>104.3335878</v>
      </c>
    </row>
    <row r="524" ht="22.5" customHeight="1">
      <c r="A524" s="15" t="s">
        <v>719</v>
      </c>
      <c r="B524" s="13" t="s">
        <v>9</v>
      </c>
      <c r="C524" s="13">
        <v>80.0</v>
      </c>
      <c r="D524" s="15">
        <v>290.0</v>
      </c>
      <c r="E524" s="7">
        <v>1839.0</v>
      </c>
      <c r="F524" s="7">
        <v>1860.0</v>
      </c>
      <c r="G524" s="52">
        <f>IFERROR(SUMIF(Issues!B:B, A524, Issues!H:H), 0)</f>
        <v>3320</v>
      </c>
      <c r="H524" s="52">
        <f>IFERROR(SUMIF(Returns!B:B, A524, Returns!H:H), 0)</f>
        <v>1460</v>
      </c>
      <c r="I524" s="3">
        <v>11880.0</v>
      </c>
      <c r="J524" s="3">
        <v>2.0</v>
      </c>
      <c r="K524" s="3">
        <v>94.0</v>
      </c>
      <c r="L524" s="53">
        <f t="shared" si="5"/>
        <v>1775.954198</v>
      </c>
      <c r="M524" s="52">
        <f t="shared" si="6"/>
        <v>1860</v>
      </c>
      <c r="N524" s="54">
        <f t="shared" si="7"/>
        <v>84.04580153</v>
      </c>
      <c r="O524" s="54">
        <f t="shared" si="8"/>
        <v>24.37328244</v>
      </c>
    </row>
    <row r="525" ht="22.5" customHeight="1">
      <c r="A525" s="15" t="s">
        <v>720</v>
      </c>
      <c r="B525" s="13" t="s">
        <v>9</v>
      </c>
      <c r="C525" s="13">
        <v>80.0</v>
      </c>
      <c r="D525" s="15">
        <v>290.0</v>
      </c>
      <c r="E525" s="7">
        <v>4500.0</v>
      </c>
      <c r="F525" s="7">
        <v>4961.0</v>
      </c>
      <c r="G525" s="52">
        <f>IFERROR(SUMIF(Issues!B:B, A525, Issues!H:H), 0)</f>
        <v>5960</v>
      </c>
      <c r="H525" s="52">
        <f>IFERROR(SUMIF(Returns!B:B, A525, Returns!H:H), 0)</f>
        <v>990</v>
      </c>
      <c r="I525" s="3">
        <v>32560.0</v>
      </c>
      <c r="J525" s="3">
        <v>2.0</v>
      </c>
      <c r="K525" s="3">
        <v>94.0</v>
      </c>
      <c r="L525" s="53">
        <f t="shared" si="5"/>
        <v>4867.430025</v>
      </c>
      <c r="M525" s="52">
        <f t="shared" si="6"/>
        <v>4970</v>
      </c>
      <c r="N525" s="54">
        <f t="shared" si="7"/>
        <v>102.5699746</v>
      </c>
      <c r="O525" s="54">
        <f t="shared" si="8"/>
        <v>29.74529262</v>
      </c>
    </row>
    <row r="526" ht="22.5" customHeight="1">
      <c r="A526" s="15" t="s">
        <v>721</v>
      </c>
      <c r="B526" s="13" t="s">
        <v>9</v>
      </c>
      <c r="C526" s="13">
        <v>80.0</v>
      </c>
      <c r="D526" s="15">
        <v>290.0</v>
      </c>
      <c r="E526" s="7">
        <v>1495.0</v>
      </c>
      <c r="F526" s="7">
        <v>1628.0</v>
      </c>
      <c r="G526" s="52">
        <f>IFERROR(SUMIF(Issues!B:B, A526, Issues!H:H), 0)</f>
        <v>2180</v>
      </c>
      <c r="H526" s="52">
        <f>IFERROR(SUMIF(Returns!B:B, A526, Returns!H:H), 0)</f>
        <v>550</v>
      </c>
      <c r="I526" s="3">
        <v>10350.0</v>
      </c>
      <c r="J526" s="3">
        <v>2.0</v>
      </c>
      <c r="K526" s="3">
        <v>94.0</v>
      </c>
      <c r="L526" s="53">
        <f t="shared" si="5"/>
        <v>1547.232824</v>
      </c>
      <c r="M526" s="52">
        <f t="shared" si="6"/>
        <v>1630</v>
      </c>
      <c r="N526" s="54">
        <f t="shared" si="7"/>
        <v>82.76717557</v>
      </c>
      <c r="O526" s="54">
        <f t="shared" si="8"/>
        <v>24.00248092</v>
      </c>
    </row>
    <row r="527" ht="22.5" customHeight="1">
      <c r="A527" s="15" t="s">
        <v>722</v>
      </c>
      <c r="B527" s="13" t="s">
        <v>9</v>
      </c>
      <c r="C527" s="13">
        <v>80.0</v>
      </c>
      <c r="D527" s="15">
        <v>290.0</v>
      </c>
      <c r="E527" s="7">
        <v>374.0</v>
      </c>
      <c r="F527" s="7">
        <v>478.0</v>
      </c>
      <c r="G527" s="52">
        <f>IFERROR(SUMIF(Issues!B:B, A527, Issues!H:H), 0)</f>
        <v>2140</v>
      </c>
      <c r="H527" s="52">
        <f>IFERROR(SUMIF(Returns!B:B, A527, Returns!H:H), 0)</f>
        <v>1660</v>
      </c>
      <c r="I527" s="3">
        <v>2900.0</v>
      </c>
      <c r="J527" s="3">
        <v>2.0</v>
      </c>
      <c r="K527" s="3">
        <v>94.0</v>
      </c>
      <c r="L527" s="53">
        <f t="shared" si="5"/>
        <v>433.524173</v>
      </c>
      <c r="M527" s="52">
        <f t="shared" si="6"/>
        <v>480</v>
      </c>
      <c r="N527" s="54">
        <f t="shared" si="7"/>
        <v>46.47582697</v>
      </c>
      <c r="O527" s="54">
        <f t="shared" si="8"/>
        <v>13.47798982</v>
      </c>
    </row>
    <row r="528" ht="22.5" customHeight="1">
      <c r="A528" s="15" t="s">
        <v>723</v>
      </c>
      <c r="B528" s="13" t="s">
        <v>9</v>
      </c>
      <c r="C528" s="13">
        <v>80.0</v>
      </c>
      <c r="D528" s="15">
        <v>290.0</v>
      </c>
      <c r="E528" s="7">
        <v>523.0</v>
      </c>
      <c r="F528" s="7">
        <v>640.0</v>
      </c>
      <c r="G528" s="52">
        <f>IFERROR(SUMIF(Issues!B:B, A528, Issues!H:H), 0)</f>
        <v>990</v>
      </c>
      <c r="H528" s="52">
        <f>IFERROR(SUMIF(Returns!B:B, A528, Returns!H:H), 0)</f>
        <v>350</v>
      </c>
      <c r="I528" s="3">
        <v>3640.0</v>
      </c>
      <c r="J528" s="3">
        <v>2.0</v>
      </c>
      <c r="K528" s="3">
        <v>94.0</v>
      </c>
      <c r="L528" s="53">
        <f t="shared" si="5"/>
        <v>544.1475827</v>
      </c>
      <c r="M528" s="52">
        <f t="shared" si="6"/>
        <v>640</v>
      </c>
      <c r="N528" s="54">
        <f t="shared" si="7"/>
        <v>95.8524173</v>
      </c>
      <c r="O528" s="54">
        <f t="shared" si="8"/>
        <v>27.79720102</v>
      </c>
    </row>
    <row r="529" ht="22.5" customHeight="1">
      <c r="A529" s="15" t="s">
        <v>724</v>
      </c>
      <c r="B529" s="13" t="s">
        <v>9</v>
      </c>
      <c r="C529" s="13">
        <v>80.0</v>
      </c>
      <c r="D529" s="15">
        <v>290.0</v>
      </c>
      <c r="E529" s="7">
        <v>1495.0</v>
      </c>
      <c r="F529" s="7">
        <v>1474.0</v>
      </c>
      <c r="G529" s="52">
        <f>IFERROR(SUMIF(Issues!B:B, A529, Issues!H:H), 0)</f>
        <v>1660</v>
      </c>
      <c r="H529" s="52">
        <f>IFERROR(SUMIF(Returns!B:B, A529, Returns!H:H), 0)</f>
        <v>180</v>
      </c>
      <c r="I529" s="3">
        <v>9500.0</v>
      </c>
      <c r="J529" s="3">
        <v>2.0</v>
      </c>
      <c r="K529" s="3">
        <v>94.0</v>
      </c>
      <c r="L529" s="53">
        <f t="shared" si="5"/>
        <v>1420.165394</v>
      </c>
      <c r="M529" s="52">
        <f t="shared" si="6"/>
        <v>1480</v>
      </c>
      <c r="N529" s="54">
        <f t="shared" si="7"/>
        <v>59.8346056</v>
      </c>
      <c r="O529" s="54">
        <f t="shared" si="8"/>
        <v>17.35203562</v>
      </c>
    </row>
    <row r="530" ht="22.5" customHeight="1">
      <c r="A530" s="15" t="s">
        <v>725</v>
      </c>
      <c r="B530" s="13" t="s">
        <v>9</v>
      </c>
      <c r="C530" s="13">
        <v>80.0</v>
      </c>
      <c r="D530" s="15">
        <v>140.0</v>
      </c>
      <c r="E530" s="7">
        <v>1097.0</v>
      </c>
      <c r="F530" s="7">
        <v>1271.0</v>
      </c>
      <c r="G530" s="52">
        <f>IFERROR(SUMIF(Issues!B:B, A530, Issues!H:H), 0)</f>
        <v>1690</v>
      </c>
      <c r="H530" s="52">
        <f>IFERROR(SUMIF(Returns!B:B, A530, Returns!H:H), 0)</f>
        <v>410</v>
      </c>
      <c r="I530" s="3">
        <v>5430.0</v>
      </c>
      <c r="J530" s="3">
        <v>1.0</v>
      </c>
      <c r="K530" s="3">
        <v>69.0</v>
      </c>
      <c r="L530" s="53">
        <f t="shared" si="5"/>
        <v>1191.698473</v>
      </c>
      <c r="M530" s="52">
        <f t="shared" si="6"/>
        <v>1280</v>
      </c>
      <c r="N530" s="54">
        <f t="shared" si="7"/>
        <v>88.30152672</v>
      </c>
      <c r="O530" s="54">
        <f t="shared" si="8"/>
        <v>12.36221374</v>
      </c>
    </row>
    <row r="531" ht="22.5" customHeight="1">
      <c r="A531" s="15" t="s">
        <v>726</v>
      </c>
      <c r="B531" s="13" t="s">
        <v>43</v>
      </c>
      <c r="C531" s="13">
        <v>50.0</v>
      </c>
      <c r="D531" s="15">
        <v>125.0</v>
      </c>
      <c r="E531" s="7">
        <v>876.0</v>
      </c>
      <c r="F531" s="7">
        <v>1115.0</v>
      </c>
      <c r="G531" s="52">
        <f>IFERROR(SUMIF(Issues!B:B, A531, Issues!H:H), 0)</f>
        <v>1150</v>
      </c>
      <c r="H531" s="52">
        <f>IFERROR(SUMIF(Returns!B:B, A531, Returns!H:H), 0)</f>
        <v>0</v>
      </c>
      <c r="I531" s="3">
        <v>10400.0</v>
      </c>
      <c r="J531" s="3">
        <v>4.0</v>
      </c>
      <c r="K531" s="3">
        <v>108.0</v>
      </c>
      <c r="L531" s="53">
        <f t="shared" si="5"/>
        <v>893.129771</v>
      </c>
      <c r="M531" s="52">
        <f t="shared" si="6"/>
        <v>1150</v>
      </c>
      <c r="N531" s="54">
        <f t="shared" si="7"/>
        <v>256.870229</v>
      </c>
      <c r="O531" s="54">
        <f t="shared" si="8"/>
        <v>32.10877863</v>
      </c>
    </row>
    <row r="532" ht="22.5" customHeight="1">
      <c r="A532" s="15" t="s">
        <v>727</v>
      </c>
      <c r="B532" s="13" t="s">
        <v>9</v>
      </c>
      <c r="C532" s="13">
        <v>80.0</v>
      </c>
      <c r="D532" s="15">
        <v>290.0</v>
      </c>
      <c r="E532" s="7">
        <v>2990.0</v>
      </c>
      <c r="F532" s="7">
        <v>3230.0</v>
      </c>
      <c r="G532" s="52">
        <f>IFERROR(SUMIF(Issues!B:B, A532, Issues!H:H), 0)</f>
        <v>3460</v>
      </c>
      <c r="H532" s="52">
        <f>IFERROR(SUMIF(Returns!B:B, A532, Returns!H:H), 0)</f>
        <v>230</v>
      </c>
      <c r="I532" s="3">
        <v>19200.0</v>
      </c>
      <c r="J532" s="3">
        <v>2.0</v>
      </c>
      <c r="K532" s="3">
        <v>94.0</v>
      </c>
      <c r="L532" s="53">
        <f t="shared" si="5"/>
        <v>2870.229008</v>
      </c>
      <c r="M532" s="52">
        <f t="shared" si="6"/>
        <v>3230</v>
      </c>
      <c r="N532" s="54">
        <f t="shared" si="7"/>
        <v>359.7709924</v>
      </c>
      <c r="O532" s="54">
        <f t="shared" si="8"/>
        <v>104.3335878</v>
      </c>
    </row>
    <row r="533" ht="22.5" customHeight="1">
      <c r="A533" s="15" t="s">
        <v>728</v>
      </c>
      <c r="B533" s="13" t="s">
        <v>43</v>
      </c>
      <c r="C533" s="13">
        <v>50.0</v>
      </c>
      <c r="D533" s="15">
        <v>190.0</v>
      </c>
      <c r="E533" s="7">
        <v>879.0</v>
      </c>
      <c r="F533" s="7">
        <v>1154.0</v>
      </c>
      <c r="G533" s="52">
        <f>IFERROR(SUMIF(Issues!B:B, A533, Issues!H:H), 0)</f>
        <v>1870</v>
      </c>
      <c r="H533" s="52">
        <f>IFERROR(SUMIF(Returns!B:B, A533, Returns!H:H), 0)</f>
        <v>710</v>
      </c>
      <c r="I533" s="3">
        <v>8400.0</v>
      </c>
      <c r="J533" s="3">
        <v>2.0</v>
      </c>
      <c r="K533" s="3">
        <v>79.0</v>
      </c>
      <c r="L533" s="53">
        <f t="shared" si="5"/>
        <v>1055.343511</v>
      </c>
      <c r="M533" s="52">
        <f t="shared" si="6"/>
        <v>1160</v>
      </c>
      <c r="N533" s="54">
        <f t="shared" si="7"/>
        <v>104.6564885</v>
      </c>
      <c r="O533" s="54">
        <f t="shared" si="8"/>
        <v>19.88473282</v>
      </c>
    </row>
    <row r="534" ht="22.5" customHeight="1">
      <c r="A534" s="15" t="s">
        <v>730</v>
      </c>
      <c r="B534" s="13" t="s">
        <v>43</v>
      </c>
      <c r="C534" s="13">
        <v>50.0</v>
      </c>
      <c r="D534" s="15">
        <v>155.0</v>
      </c>
      <c r="E534" s="7">
        <v>986.0</v>
      </c>
      <c r="F534" s="7">
        <v>1224.0</v>
      </c>
      <c r="G534" s="52">
        <f>IFERROR(SUMIF(Issues!B:B, A534, Issues!H:H), 0)</f>
        <v>1600</v>
      </c>
      <c r="H534" s="52">
        <f>IFERROR(SUMIF(Returns!B:B, A534, Returns!H:H), 0)</f>
        <v>370</v>
      </c>
      <c r="I534" s="3">
        <v>11420.0</v>
      </c>
      <c r="J534" s="3">
        <v>4.0</v>
      </c>
      <c r="K534" s="3">
        <v>124.0</v>
      </c>
      <c r="L534" s="53">
        <f t="shared" si="5"/>
        <v>1126.017812</v>
      </c>
      <c r="M534" s="52">
        <f t="shared" si="6"/>
        <v>1230</v>
      </c>
      <c r="N534" s="54">
        <f t="shared" si="7"/>
        <v>103.9821883</v>
      </c>
      <c r="O534" s="54">
        <f t="shared" si="8"/>
        <v>16.11723919</v>
      </c>
    </row>
    <row r="535" ht="22.5" customHeight="1">
      <c r="A535" s="15" t="s">
        <v>732</v>
      </c>
      <c r="B535" s="13" t="s">
        <v>43</v>
      </c>
      <c r="C535" s="13">
        <v>50.0</v>
      </c>
      <c r="D535" s="15">
        <v>130.0</v>
      </c>
      <c r="E535" s="7">
        <v>787.0</v>
      </c>
      <c r="F535" s="7">
        <v>1090.0</v>
      </c>
      <c r="G535" s="52">
        <f>IFERROR(SUMIF(Issues!B:B, A535, Issues!H:H), 0)</f>
        <v>1480</v>
      </c>
      <c r="H535" s="52">
        <f>IFERROR(SUMIF(Returns!B:B, A535, Returns!H:H), 0)</f>
        <v>390</v>
      </c>
      <c r="I535" s="3">
        <v>11260.0</v>
      </c>
      <c r="J535" s="3">
        <v>4.0</v>
      </c>
      <c r="K535" s="3">
        <v>99.0</v>
      </c>
      <c r="L535" s="53">
        <f t="shared" si="5"/>
        <v>886.4026718</v>
      </c>
      <c r="M535" s="52">
        <f t="shared" si="6"/>
        <v>1090</v>
      </c>
      <c r="N535" s="54">
        <f t="shared" si="7"/>
        <v>203.5973282</v>
      </c>
      <c r="O535" s="54">
        <f t="shared" si="8"/>
        <v>26.46765267</v>
      </c>
    </row>
    <row r="536" ht="22.5" customHeight="1">
      <c r="A536" s="15" t="s">
        <v>733</v>
      </c>
      <c r="B536" s="13" t="s">
        <v>9</v>
      </c>
      <c r="C536" s="13">
        <v>80.0</v>
      </c>
      <c r="D536" s="15">
        <v>150.0</v>
      </c>
      <c r="E536" s="7">
        <v>481.0</v>
      </c>
      <c r="F536" s="7">
        <v>768.0</v>
      </c>
      <c r="G536" s="52">
        <f>IFERROR(SUMIF(Issues!B:B, A536, Issues!H:H), 0)</f>
        <v>1150</v>
      </c>
      <c r="H536" s="52">
        <f>IFERROR(SUMIF(Returns!B:B, A536, Returns!H:H), 0)</f>
        <v>380</v>
      </c>
      <c r="I536" s="3">
        <v>7050.0</v>
      </c>
      <c r="J536" s="3">
        <v>3.0</v>
      </c>
      <c r="K536" s="3">
        <v>81.0</v>
      </c>
      <c r="L536" s="53">
        <f t="shared" si="5"/>
        <v>605.4389313</v>
      </c>
      <c r="M536" s="52">
        <f t="shared" si="6"/>
        <v>770</v>
      </c>
      <c r="N536" s="54">
        <f t="shared" si="7"/>
        <v>164.5610687</v>
      </c>
      <c r="O536" s="54">
        <f t="shared" si="8"/>
        <v>24.68416031</v>
      </c>
    </row>
    <row r="537" ht="22.5" customHeight="1">
      <c r="A537" s="15" t="s">
        <v>734</v>
      </c>
      <c r="B537" s="13" t="s">
        <v>9</v>
      </c>
      <c r="C537" s="13">
        <v>80.0</v>
      </c>
      <c r="D537" s="15">
        <v>210.0</v>
      </c>
      <c r="E537" s="7">
        <v>1781.0</v>
      </c>
      <c r="F537" s="7">
        <v>1956.0</v>
      </c>
      <c r="G537" s="52">
        <f>IFERROR(SUMIF(Issues!B:B, A537, Issues!H:H), 0)</f>
        <v>2000</v>
      </c>
      <c r="H537" s="52">
        <f>IFERROR(SUMIF(Returns!B:B, A537, Returns!H:H), 0)</f>
        <v>0</v>
      </c>
      <c r="I537" s="3">
        <v>5190.0</v>
      </c>
      <c r="J537" s="3">
        <v>1.0</v>
      </c>
      <c r="K537" s="3">
        <v>112.0</v>
      </c>
      <c r="L537" s="53">
        <f t="shared" si="5"/>
        <v>1848.854962</v>
      </c>
      <c r="M537" s="52">
        <f t="shared" si="6"/>
        <v>2000</v>
      </c>
      <c r="N537" s="54">
        <f t="shared" si="7"/>
        <v>151.1450382</v>
      </c>
      <c r="O537" s="54">
        <f t="shared" si="8"/>
        <v>31.74045802</v>
      </c>
    </row>
    <row r="538" ht="22.5" customHeight="1">
      <c r="A538" s="15" t="s">
        <v>735</v>
      </c>
      <c r="B538" s="13" t="s">
        <v>9</v>
      </c>
      <c r="C538" s="13">
        <v>80.0</v>
      </c>
      <c r="D538" s="15">
        <v>290.0</v>
      </c>
      <c r="E538" s="7">
        <v>3000.0</v>
      </c>
      <c r="F538" s="7">
        <v>978.0</v>
      </c>
      <c r="G538" s="52">
        <f>IFERROR(SUMIF(Issues!B:B, A538, Issues!H:H), 0)</f>
        <v>2000</v>
      </c>
      <c r="H538" s="52">
        <f>IFERROR(SUMIF(Returns!B:B, A538, Returns!H:H), 0)</f>
        <v>1020</v>
      </c>
      <c r="I538" s="52"/>
      <c r="J538" s="3">
        <v>2.0</v>
      </c>
      <c r="K538" s="3">
        <v>94.0</v>
      </c>
      <c r="L538" s="53">
        <f t="shared" si="5"/>
        <v>0</v>
      </c>
      <c r="M538" s="52">
        <f t="shared" si="6"/>
        <v>980</v>
      </c>
      <c r="N538" s="54">
        <f t="shared" si="7"/>
        <v>980</v>
      </c>
      <c r="O538" s="54">
        <f t="shared" si="8"/>
        <v>284.2</v>
      </c>
    </row>
    <row r="539" ht="22.5" customHeight="1">
      <c r="A539" s="15" t="s">
        <v>736</v>
      </c>
      <c r="B539" s="13" t="s">
        <v>9</v>
      </c>
      <c r="C539" s="13">
        <v>80.0</v>
      </c>
      <c r="D539" s="15">
        <v>320.0</v>
      </c>
      <c r="E539" s="7">
        <v>747.0</v>
      </c>
      <c r="F539" s="7">
        <v>427.0</v>
      </c>
      <c r="G539" s="52">
        <f>IFERROR(SUMIF(Issues!B:B, A539, Issues!H:H), 0)</f>
        <v>1400</v>
      </c>
      <c r="H539" s="52">
        <f>IFERROR(SUMIF(Returns!B:B, A539, Returns!H:H), 0)</f>
        <v>970</v>
      </c>
      <c r="I539" s="52"/>
      <c r="J539" s="3">
        <v>2.0</v>
      </c>
      <c r="K539" s="3">
        <v>108.0</v>
      </c>
      <c r="L539" s="53">
        <f t="shared" si="5"/>
        <v>0</v>
      </c>
      <c r="M539" s="52">
        <f t="shared" si="6"/>
        <v>430</v>
      </c>
      <c r="N539" s="54">
        <f t="shared" si="7"/>
        <v>430</v>
      </c>
      <c r="O539" s="54">
        <f t="shared" si="8"/>
        <v>137.6</v>
      </c>
    </row>
    <row r="540" ht="22.5" customHeight="1">
      <c r="A540" s="15" t="s">
        <v>737</v>
      </c>
      <c r="B540" s="13" t="s">
        <v>9</v>
      </c>
      <c r="C540" s="13">
        <v>80.0</v>
      </c>
      <c r="D540" s="15">
        <v>125.0</v>
      </c>
      <c r="E540" s="7">
        <v>172.0</v>
      </c>
      <c r="F540" s="7">
        <v>1212.0</v>
      </c>
      <c r="G540" s="52">
        <f>IFERROR(SUMIF(Issues!B:B, A540, Issues!H:H), 0)</f>
        <v>2000</v>
      </c>
      <c r="H540" s="52">
        <f>IFERROR(SUMIF(Returns!B:B, A540, Returns!H:H), 0)</f>
        <v>780</v>
      </c>
      <c r="I540" s="3">
        <v>6580.0</v>
      </c>
      <c r="J540" s="3">
        <v>2.0</v>
      </c>
      <c r="K540" s="3">
        <v>108.0</v>
      </c>
      <c r="L540" s="53">
        <f t="shared" si="5"/>
        <v>1130.152672</v>
      </c>
      <c r="M540" s="52">
        <f t="shared" si="6"/>
        <v>1220</v>
      </c>
      <c r="N540" s="54">
        <f t="shared" si="7"/>
        <v>89.84732824</v>
      </c>
      <c r="O540" s="54">
        <f t="shared" si="8"/>
        <v>11.23091603</v>
      </c>
    </row>
    <row r="541" ht="22.5" customHeight="1">
      <c r="A541" s="15" t="s">
        <v>738</v>
      </c>
      <c r="B541" s="13" t="s">
        <v>9</v>
      </c>
      <c r="C541" s="13">
        <v>80.0</v>
      </c>
      <c r="D541" s="15">
        <v>125.0</v>
      </c>
      <c r="E541" s="7">
        <v>515.0</v>
      </c>
      <c r="F541" s="7">
        <v>704.0</v>
      </c>
      <c r="G541" s="52">
        <f>IFERROR(SUMIF(Issues!B:B, A541, Issues!H:H), 0)</f>
        <v>780</v>
      </c>
      <c r="H541" s="52">
        <f>IFERROR(SUMIF(Returns!B:B, A541, Returns!H:H), 0)</f>
        <v>0</v>
      </c>
      <c r="I541" s="3">
        <v>3520.0</v>
      </c>
      <c r="J541" s="3">
        <v>2.0</v>
      </c>
      <c r="K541" s="3">
        <v>108.0</v>
      </c>
      <c r="L541" s="53">
        <f t="shared" si="5"/>
        <v>604.5801527</v>
      </c>
      <c r="M541" s="52">
        <f t="shared" si="6"/>
        <v>780</v>
      </c>
      <c r="N541" s="54">
        <f t="shared" si="7"/>
        <v>175.4198473</v>
      </c>
      <c r="O541" s="54">
        <f t="shared" si="8"/>
        <v>21.92748092</v>
      </c>
    </row>
    <row r="542" ht="22.5" customHeight="1">
      <c r="A542" s="15" t="s">
        <v>739</v>
      </c>
      <c r="B542" s="13" t="s">
        <v>9</v>
      </c>
      <c r="C542" s="13">
        <v>80.0</v>
      </c>
      <c r="D542" s="15">
        <v>170.0</v>
      </c>
      <c r="E542" s="7">
        <v>149.0</v>
      </c>
      <c r="F542" s="7">
        <v>271.0</v>
      </c>
      <c r="G542" s="52">
        <f>IFERROR(SUMIF(Issues!B:B, A542, Issues!H:H), 0)</f>
        <v>1720</v>
      </c>
      <c r="H542" s="52">
        <f>IFERROR(SUMIF(Returns!B:B, A542, Returns!H:H), 0)</f>
        <v>1440</v>
      </c>
      <c r="I542" s="52"/>
      <c r="J542" s="3">
        <v>6.0</v>
      </c>
      <c r="K542" s="3">
        <v>94.0</v>
      </c>
      <c r="L542" s="53">
        <f t="shared" si="5"/>
        <v>0</v>
      </c>
      <c r="M542" s="52">
        <f t="shared" si="6"/>
        <v>280</v>
      </c>
      <c r="N542" s="54">
        <f t="shared" si="7"/>
        <v>280</v>
      </c>
      <c r="O542" s="54">
        <f t="shared" si="8"/>
        <v>47.6</v>
      </c>
    </row>
    <row r="543" ht="22.5" customHeight="1">
      <c r="A543" s="15" t="s">
        <v>740</v>
      </c>
      <c r="B543" s="13" t="s">
        <v>9</v>
      </c>
      <c r="C543" s="13">
        <v>80.0</v>
      </c>
      <c r="D543" s="15">
        <v>170.0</v>
      </c>
      <c r="E543" s="7">
        <v>249.0</v>
      </c>
      <c r="F543" s="7">
        <v>475.0</v>
      </c>
      <c r="G543" s="52">
        <f>IFERROR(SUMIF(Issues!B:B, A543, Issues!H:H), 0)</f>
        <v>2200</v>
      </c>
      <c r="H543" s="52">
        <f>IFERROR(SUMIF(Returns!B:B, A543, Returns!H:H), 0)</f>
        <v>1720</v>
      </c>
      <c r="I543" s="52"/>
      <c r="J543" s="3">
        <v>6.0</v>
      </c>
      <c r="K543" s="3">
        <v>94.0</v>
      </c>
      <c r="L543" s="53">
        <f t="shared" si="5"/>
        <v>0</v>
      </c>
      <c r="M543" s="52">
        <f t="shared" si="6"/>
        <v>480</v>
      </c>
      <c r="N543" s="54">
        <f t="shared" si="7"/>
        <v>480</v>
      </c>
      <c r="O543" s="54">
        <f t="shared" si="8"/>
        <v>81.6</v>
      </c>
    </row>
    <row r="544" ht="22.5" customHeight="1">
      <c r="A544" s="15" t="s">
        <v>741</v>
      </c>
      <c r="B544" s="13" t="s">
        <v>54</v>
      </c>
      <c r="C544" s="13">
        <v>40.0</v>
      </c>
      <c r="D544" s="15">
        <v>240.0</v>
      </c>
      <c r="E544" s="7">
        <v>1193.0</v>
      </c>
      <c r="F544" s="7">
        <v>1640.0</v>
      </c>
      <c r="G544" s="52">
        <f>IFERROR(SUMIF(Issues!B:B, A544, Issues!H:H), 0)</f>
        <v>4330</v>
      </c>
      <c r="H544" s="52">
        <f>IFERROR(SUMIF(Returns!B:B, A544, Returns!H:H), 0)</f>
        <v>2680</v>
      </c>
      <c r="I544" s="52"/>
      <c r="J544" s="3">
        <v>2.0</v>
      </c>
      <c r="K544" s="3">
        <v>75.0</v>
      </c>
      <c r="L544" s="53">
        <f t="shared" si="5"/>
        <v>0</v>
      </c>
      <c r="M544" s="52">
        <f t="shared" si="6"/>
        <v>1650</v>
      </c>
      <c r="N544" s="54">
        <f t="shared" si="7"/>
        <v>1650</v>
      </c>
      <c r="O544" s="54">
        <f t="shared" si="8"/>
        <v>396</v>
      </c>
    </row>
    <row r="545" ht="22.5" customHeight="1">
      <c r="A545" s="15" t="s">
        <v>743</v>
      </c>
      <c r="B545" s="13" t="s">
        <v>54</v>
      </c>
      <c r="C545" s="13">
        <v>40.0</v>
      </c>
      <c r="D545" s="15">
        <v>240.0</v>
      </c>
      <c r="E545" s="7">
        <v>1193.0</v>
      </c>
      <c r="F545" s="7">
        <v>1700.0</v>
      </c>
      <c r="G545" s="52">
        <f>IFERROR(SUMIF(Issues!B:B, A545, Issues!H:H), 0)</f>
        <v>2680</v>
      </c>
      <c r="H545" s="52">
        <f>IFERROR(SUMIF(Returns!B:B, A545, Returns!H:H), 0)</f>
        <v>980</v>
      </c>
      <c r="I545" s="52"/>
      <c r="J545" s="3">
        <v>2.0</v>
      </c>
      <c r="K545" s="3">
        <v>75.0</v>
      </c>
      <c r="L545" s="53">
        <f t="shared" si="5"/>
        <v>0</v>
      </c>
      <c r="M545" s="52">
        <f t="shared" si="6"/>
        <v>1700</v>
      </c>
      <c r="N545" s="54">
        <f t="shared" si="7"/>
        <v>1700</v>
      </c>
      <c r="O545" s="54">
        <f t="shared" si="8"/>
        <v>408</v>
      </c>
    </row>
    <row r="546" ht="22.5" customHeight="1">
      <c r="A546" s="15" t="s">
        <v>744</v>
      </c>
      <c r="B546" s="13" t="s">
        <v>54</v>
      </c>
      <c r="C546" s="13">
        <v>40.0</v>
      </c>
      <c r="D546" s="15">
        <v>240.0</v>
      </c>
      <c r="E546" s="7">
        <v>1193.0</v>
      </c>
      <c r="F546" s="7">
        <v>1920.0</v>
      </c>
      <c r="G546" s="52">
        <f>IFERROR(SUMIF(Issues!B:B, A546, Issues!H:H), 0)</f>
        <v>6980</v>
      </c>
      <c r="H546" s="52">
        <f>IFERROR(SUMIF(Returns!B:B, A546, Returns!H:H), 0)</f>
        <v>0</v>
      </c>
      <c r="I546" s="52"/>
      <c r="J546" s="3">
        <v>2.0</v>
      </c>
      <c r="K546" s="3">
        <v>75.0</v>
      </c>
      <c r="L546" s="53">
        <f t="shared" si="5"/>
        <v>0</v>
      </c>
      <c r="M546" s="52">
        <f t="shared" si="6"/>
        <v>6980</v>
      </c>
      <c r="N546" s="54">
        <f t="shared" si="7"/>
        <v>6980</v>
      </c>
      <c r="O546" s="54">
        <f t="shared" si="8"/>
        <v>1675.2</v>
      </c>
    </row>
    <row r="547" ht="22.5" customHeight="1">
      <c r="A547" s="15" t="s">
        <v>745</v>
      </c>
      <c r="B547" s="13" t="s">
        <v>54</v>
      </c>
      <c r="C547" s="13">
        <v>40.0</v>
      </c>
      <c r="D547" s="15">
        <v>240.0</v>
      </c>
      <c r="E547" s="7">
        <v>1193.0</v>
      </c>
      <c r="F547" s="7">
        <v>1665.0</v>
      </c>
      <c r="G547" s="52">
        <f>IFERROR(SUMIF(Issues!B:B, A547, Issues!H:H), 0)</f>
        <v>6000</v>
      </c>
      <c r="H547" s="52">
        <f>IFERROR(SUMIF(Returns!B:B, A547, Returns!H:H), 0)</f>
        <v>4330</v>
      </c>
      <c r="I547" s="52"/>
      <c r="J547" s="3">
        <v>2.0</v>
      </c>
      <c r="K547" s="3">
        <v>75.0</v>
      </c>
      <c r="L547" s="53">
        <f t="shared" si="5"/>
        <v>0</v>
      </c>
      <c r="M547" s="52">
        <f t="shared" si="6"/>
        <v>1670</v>
      </c>
      <c r="N547" s="54">
        <f t="shared" si="7"/>
        <v>1670</v>
      </c>
      <c r="O547" s="54">
        <f t="shared" si="8"/>
        <v>400.8</v>
      </c>
    </row>
    <row r="548" ht="22.5" customHeight="1">
      <c r="A548" s="15" t="s">
        <v>746</v>
      </c>
      <c r="B548" s="13" t="s">
        <v>9</v>
      </c>
      <c r="C548" s="13">
        <v>80.0</v>
      </c>
      <c r="D548" s="15">
        <v>170.0</v>
      </c>
      <c r="E548" s="7">
        <v>157.0</v>
      </c>
      <c r="F548" s="7">
        <v>320.0</v>
      </c>
      <c r="G548" s="52">
        <f>IFERROR(SUMIF(Issues!B:B, A548, Issues!H:H), 0)</f>
        <v>1650</v>
      </c>
      <c r="H548" s="52">
        <f>IFERROR(SUMIF(Returns!B:B, A548, Returns!H:H), 0)</f>
        <v>1300</v>
      </c>
      <c r="I548" s="52"/>
      <c r="J548" s="3">
        <v>6.0</v>
      </c>
      <c r="K548" s="3">
        <v>99.0</v>
      </c>
      <c r="L548" s="53">
        <f t="shared" si="5"/>
        <v>0</v>
      </c>
      <c r="M548" s="52">
        <f t="shared" si="6"/>
        <v>350</v>
      </c>
      <c r="N548" s="54">
        <f t="shared" si="7"/>
        <v>350</v>
      </c>
      <c r="O548" s="54">
        <f t="shared" si="8"/>
        <v>59.5</v>
      </c>
    </row>
    <row r="549" ht="22.5" customHeight="1">
      <c r="A549" s="15" t="s">
        <v>747</v>
      </c>
      <c r="B549" s="13" t="s">
        <v>9</v>
      </c>
      <c r="C549" s="13">
        <v>80.0</v>
      </c>
      <c r="D549" s="15">
        <v>250.0</v>
      </c>
      <c r="E549" s="7">
        <v>238.0</v>
      </c>
      <c r="F549" s="7">
        <v>402.0</v>
      </c>
      <c r="G549" s="52">
        <f>IFERROR(SUMIF(Issues!B:B, A549, Issues!H:H), 0)</f>
        <v>400</v>
      </c>
      <c r="H549" s="52">
        <f>IFERROR(SUMIF(Returns!B:B, A549, Returns!H:H), 0)</f>
        <v>0</v>
      </c>
      <c r="I549" s="52"/>
      <c r="J549" s="3">
        <v>3.0</v>
      </c>
      <c r="K549" s="3">
        <v>75.0</v>
      </c>
      <c r="L549" s="53">
        <f t="shared" si="5"/>
        <v>0</v>
      </c>
      <c r="M549" s="52">
        <f t="shared" si="6"/>
        <v>400</v>
      </c>
      <c r="N549" s="54">
        <f t="shared" si="7"/>
        <v>400</v>
      </c>
      <c r="O549" s="54">
        <f t="shared" si="8"/>
        <v>100</v>
      </c>
    </row>
    <row r="550" ht="22.5" customHeight="1">
      <c r="A550" s="15" t="s">
        <v>748</v>
      </c>
      <c r="B550" s="13" t="s">
        <v>9</v>
      </c>
      <c r="C550" s="13">
        <v>80.0</v>
      </c>
      <c r="D550" s="15">
        <v>125.0</v>
      </c>
      <c r="E550" s="7">
        <v>859.0</v>
      </c>
      <c r="F550" s="7">
        <v>1115.0</v>
      </c>
      <c r="G550" s="52">
        <f>IFERROR(SUMIF(Issues!B:B, A550, Issues!H:H), 0)</f>
        <v>2000</v>
      </c>
      <c r="H550" s="52">
        <f>IFERROR(SUMIF(Returns!B:B, A550, Returns!H:H), 0)</f>
        <v>850</v>
      </c>
      <c r="I550" s="3">
        <v>5250.0</v>
      </c>
      <c r="J550" s="3">
        <v>2.0</v>
      </c>
      <c r="K550" s="3">
        <v>108.0</v>
      </c>
      <c r="L550" s="53">
        <f t="shared" si="5"/>
        <v>901.7175573</v>
      </c>
      <c r="M550" s="52">
        <f t="shared" si="6"/>
        <v>1150</v>
      </c>
      <c r="N550" s="54">
        <f t="shared" si="7"/>
        <v>248.2824427</v>
      </c>
      <c r="O550" s="54">
        <f t="shared" si="8"/>
        <v>31.03530534</v>
      </c>
    </row>
    <row r="551" ht="22.5" customHeight="1">
      <c r="A551" s="15" t="s">
        <v>749</v>
      </c>
      <c r="B551" s="13" t="s">
        <v>43</v>
      </c>
      <c r="C551" s="13">
        <v>50.0</v>
      </c>
      <c r="D551" s="15">
        <v>130.0</v>
      </c>
      <c r="E551" s="7">
        <v>876.0</v>
      </c>
      <c r="F551" s="7">
        <v>1172.0</v>
      </c>
      <c r="G551" s="52">
        <f>IFERROR(SUMIF(Issues!B:B, A551, Issues!H:H), 0)</f>
        <v>1480</v>
      </c>
      <c r="H551" s="52">
        <f>IFERROR(SUMIF(Returns!B:B, A551, Returns!H:H), 0)</f>
        <v>250</v>
      </c>
      <c r="I551" s="3">
        <v>11500.0</v>
      </c>
      <c r="J551" s="3">
        <v>4.0</v>
      </c>
      <c r="K551" s="3">
        <v>108.0</v>
      </c>
      <c r="L551" s="53">
        <f t="shared" si="5"/>
        <v>987.5954198</v>
      </c>
      <c r="M551" s="52">
        <f t="shared" si="6"/>
        <v>1230</v>
      </c>
      <c r="N551" s="54">
        <f t="shared" si="7"/>
        <v>242.4045802</v>
      </c>
      <c r="O551" s="54">
        <f t="shared" si="8"/>
        <v>31.51259542</v>
      </c>
    </row>
    <row r="552" ht="22.5" customHeight="1">
      <c r="A552" s="15" t="s">
        <v>750</v>
      </c>
      <c r="B552" s="13" t="s">
        <v>9</v>
      </c>
      <c r="C552" s="13">
        <v>80.0</v>
      </c>
      <c r="D552" s="15">
        <v>250.0</v>
      </c>
      <c r="E552" s="7">
        <v>21549.0</v>
      </c>
      <c r="F552" s="7">
        <v>22649.0</v>
      </c>
      <c r="G552" s="52">
        <f>IFERROR(SUMIF(Issues!B:B, A552, Issues!H:H), 0)</f>
        <v>24000</v>
      </c>
      <c r="H552" s="52">
        <f>IFERROR(SUMIF(Returns!B:B, A552, Returns!H:H), 0)</f>
        <v>1300</v>
      </c>
      <c r="I552" s="3">
        <v>226250.0</v>
      </c>
      <c r="J552" s="3">
        <v>3.0</v>
      </c>
      <c r="K552" s="3">
        <v>92.0</v>
      </c>
      <c r="L552" s="53">
        <f t="shared" si="5"/>
        <v>22068.49025</v>
      </c>
      <c r="M552" s="52">
        <f t="shared" si="6"/>
        <v>22700</v>
      </c>
      <c r="N552" s="54">
        <f t="shared" si="7"/>
        <v>631.509754</v>
      </c>
      <c r="O552" s="54">
        <f t="shared" si="8"/>
        <v>157.8774385</v>
      </c>
    </row>
    <row r="553" ht="22.5" customHeight="1">
      <c r="A553" s="15" t="s">
        <v>752</v>
      </c>
      <c r="B553" s="13" t="s">
        <v>9</v>
      </c>
      <c r="C553" s="13">
        <v>80.0</v>
      </c>
      <c r="D553" s="15">
        <v>140.0</v>
      </c>
      <c r="E553" s="7">
        <v>859.0</v>
      </c>
      <c r="F553" s="7">
        <v>1363.0</v>
      </c>
      <c r="G553" s="52">
        <f>IFERROR(SUMIF(Issues!B:B, A553, Issues!H:H), 0)</f>
        <v>1970</v>
      </c>
      <c r="H553" s="52">
        <f>IFERROR(SUMIF(Returns!B:B, A553, Returns!H:H), 0)</f>
        <v>550</v>
      </c>
      <c r="I553" s="3">
        <v>28100.0</v>
      </c>
      <c r="J553" s="3">
        <v>8.0</v>
      </c>
      <c r="K553" s="3">
        <v>108.0</v>
      </c>
      <c r="L553" s="53">
        <f t="shared" si="5"/>
        <v>1206.583969</v>
      </c>
      <c r="M553" s="52">
        <f t="shared" si="6"/>
        <v>1420</v>
      </c>
      <c r="N553" s="54">
        <f t="shared" si="7"/>
        <v>213.4160305</v>
      </c>
      <c r="O553" s="54">
        <f t="shared" si="8"/>
        <v>29.87824427</v>
      </c>
    </row>
    <row r="554" ht="22.5" customHeight="1">
      <c r="A554" s="15" t="s">
        <v>753</v>
      </c>
      <c r="B554" s="13" t="s">
        <v>9</v>
      </c>
      <c r="C554" s="13">
        <v>80.0</v>
      </c>
      <c r="D554" s="15">
        <v>260.0</v>
      </c>
      <c r="E554" s="7">
        <v>1415.0</v>
      </c>
      <c r="F554" s="7">
        <v>2500.0</v>
      </c>
      <c r="G554" s="52">
        <f>IFERROR(SUMIF(Issues!B:B, A554, Issues!H:H), 0)</f>
        <v>2660</v>
      </c>
      <c r="H554" s="52">
        <f>IFERROR(SUMIF(Returns!B:B, A554, Returns!H:H), 0)</f>
        <v>100</v>
      </c>
      <c r="I554" s="3">
        <v>23500.0</v>
      </c>
      <c r="J554" s="3">
        <v>3.0</v>
      </c>
      <c r="K554" s="3">
        <v>89.0</v>
      </c>
      <c r="L554" s="53">
        <f t="shared" si="5"/>
        <v>2217.45123</v>
      </c>
      <c r="M554" s="52">
        <f t="shared" si="6"/>
        <v>2560</v>
      </c>
      <c r="N554" s="54">
        <f t="shared" si="7"/>
        <v>342.5487701</v>
      </c>
      <c r="O554" s="54">
        <f t="shared" si="8"/>
        <v>89.06268024</v>
      </c>
    </row>
    <row r="555" ht="22.5" customHeight="1">
      <c r="A555" s="15" t="s">
        <v>754</v>
      </c>
      <c r="B555" s="13" t="s">
        <v>9</v>
      </c>
      <c r="C555" s="13">
        <v>80.0</v>
      </c>
      <c r="D555" s="15">
        <v>250.0</v>
      </c>
      <c r="E555" s="7">
        <v>1145.0</v>
      </c>
      <c r="F555" s="7">
        <v>1428.0</v>
      </c>
      <c r="G555" s="52">
        <f>IFERROR(SUMIF(Issues!B:B, A555, Issues!H:H), 0)</f>
        <v>2200</v>
      </c>
      <c r="H555" s="52">
        <f>IFERROR(SUMIF(Returns!B:B, A555, Returns!H:H), 0)</f>
        <v>700</v>
      </c>
      <c r="I555" s="3">
        <v>2350.0</v>
      </c>
      <c r="J555" s="3">
        <v>1.0</v>
      </c>
      <c r="K555" s="3">
        <v>180.0</v>
      </c>
      <c r="L555" s="53">
        <f t="shared" si="5"/>
        <v>1345.419847</v>
      </c>
      <c r="M555" s="52">
        <f t="shared" si="6"/>
        <v>1500</v>
      </c>
      <c r="N555" s="54">
        <f t="shared" si="7"/>
        <v>154.5801527</v>
      </c>
      <c r="O555" s="54">
        <f t="shared" si="8"/>
        <v>38.64503817</v>
      </c>
    </row>
    <row r="556" ht="22.5" customHeight="1">
      <c r="A556" s="15" t="s">
        <v>755</v>
      </c>
      <c r="B556" s="13" t="s">
        <v>9</v>
      </c>
      <c r="C556" s="13">
        <v>80.0</v>
      </c>
      <c r="D556" s="15">
        <v>280.0</v>
      </c>
      <c r="E556" s="7">
        <v>732.0</v>
      </c>
      <c r="F556" s="7">
        <v>995.0</v>
      </c>
      <c r="G556" s="52">
        <f>IFERROR(SUMIF(Issues!B:B, A556, Issues!H:H), 0)</f>
        <v>2000</v>
      </c>
      <c r="H556" s="52">
        <f>IFERROR(SUMIF(Returns!B:B, A556, Returns!H:H), 0)</f>
        <v>950</v>
      </c>
      <c r="I556" s="3">
        <v>5800.0</v>
      </c>
      <c r="J556" s="3">
        <v>2.0</v>
      </c>
      <c r="K556" s="3">
        <v>92.0</v>
      </c>
      <c r="L556" s="53">
        <f t="shared" si="5"/>
        <v>848.6005089</v>
      </c>
      <c r="M556" s="52">
        <f t="shared" si="6"/>
        <v>1050</v>
      </c>
      <c r="N556" s="54">
        <f t="shared" si="7"/>
        <v>201.3994911</v>
      </c>
      <c r="O556" s="54">
        <f t="shared" si="8"/>
        <v>56.39185751</v>
      </c>
    </row>
    <row r="557" ht="22.5" customHeight="1">
      <c r="A557" s="15" t="s">
        <v>756</v>
      </c>
      <c r="B557" s="13" t="s">
        <v>9</v>
      </c>
      <c r="C557" s="13">
        <v>80.0</v>
      </c>
      <c r="D557" s="15">
        <v>250.0</v>
      </c>
      <c r="E557" s="7">
        <v>795.0</v>
      </c>
      <c r="F557" s="7">
        <v>964.0</v>
      </c>
      <c r="G557" s="52">
        <f>IFERROR(SUMIF(Issues!B:B, A557, Issues!H:H), 0)</f>
        <v>1300</v>
      </c>
      <c r="H557" s="52">
        <f>IFERROR(SUMIF(Returns!B:B, A557, Returns!H:H), 0)</f>
        <v>300</v>
      </c>
      <c r="I557" s="3">
        <v>10770.0</v>
      </c>
      <c r="J557" s="3">
        <v>3.0</v>
      </c>
      <c r="K557" s="3">
        <v>75.0</v>
      </c>
      <c r="L557" s="53">
        <f t="shared" si="5"/>
        <v>856.3931298</v>
      </c>
      <c r="M557" s="52">
        <f t="shared" si="6"/>
        <v>1000</v>
      </c>
      <c r="N557" s="54">
        <f t="shared" si="7"/>
        <v>143.6068702</v>
      </c>
      <c r="O557" s="54">
        <f t="shared" si="8"/>
        <v>35.90171756</v>
      </c>
    </row>
    <row r="558" ht="22.5" customHeight="1">
      <c r="A558" s="15" t="s">
        <v>757</v>
      </c>
      <c r="B558" s="13" t="s">
        <v>9</v>
      </c>
      <c r="C558" s="13">
        <v>80.0</v>
      </c>
      <c r="D558" s="15">
        <v>210.0</v>
      </c>
      <c r="E558" s="7">
        <v>945.0</v>
      </c>
      <c r="F558" s="7">
        <v>1207.0</v>
      </c>
      <c r="G558" s="52">
        <f>IFERROR(SUMIF(Issues!B:B, A558, Issues!H:H), 0)</f>
        <v>1950</v>
      </c>
      <c r="H558" s="52">
        <f>IFERROR(SUMIF(Returns!B:B, A558, Returns!H:H), 0)</f>
        <v>700</v>
      </c>
      <c r="I558" s="3">
        <v>6140.0</v>
      </c>
      <c r="J558" s="3">
        <v>2.0</v>
      </c>
      <c r="K558" s="3">
        <v>108.0</v>
      </c>
      <c r="L558" s="53">
        <f t="shared" si="5"/>
        <v>1054.580153</v>
      </c>
      <c r="M558" s="52">
        <f t="shared" si="6"/>
        <v>1250</v>
      </c>
      <c r="N558" s="54">
        <f t="shared" si="7"/>
        <v>195.4198473</v>
      </c>
      <c r="O558" s="54">
        <f t="shared" si="8"/>
        <v>41.03816794</v>
      </c>
    </row>
    <row r="559" ht="22.5" customHeight="1">
      <c r="A559" s="15" t="s">
        <v>758</v>
      </c>
      <c r="B559" s="13" t="s">
        <v>9</v>
      </c>
      <c r="C559" s="13">
        <v>80.0</v>
      </c>
      <c r="D559" s="15">
        <v>230.0</v>
      </c>
      <c r="E559" s="7">
        <v>2195.0</v>
      </c>
      <c r="F559" s="7">
        <v>2420.0</v>
      </c>
      <c r="G559" s="52">
        <f>IFERROR(SUMIF(Issues!B:B, A559, Issues!H:H), 0)</f>
        <v>2500</v>
      </c>
      <c r="H559" s="52">
        <f>IFERROR(SUMIF(Returns!B:B, A559, Returns!H:H), 0)</f>
        <v>0</v>
      </c>
      <c r="I559" s="3">
        <v>15680.0</v>
      </c>
      <c r="J559" s="3">
        <v>2.0</v>
      </c>
      <c r="K559" s="3">
        <v>92.0</v>
      </c>
      <c r="L559" s="53">
        <f t="shared" si="5"/>
        <v>2294.147583</v>
      </c>
      <c r="M559" s="52">
        <f t="shared" si="6"/>
        <v>2500</v>
      </c>
      <c r="N559" s="54">
        <f t="shared" si="7"/>
        <v>205.8524173</v>
      </c>
      <c r="O559" s="54">
        <f t="shared" si="8"/>
        <v>47.34605598</v>
      </c>
    </row>
    <row r="560" ht="22.5" customHeight="1">
      <c r="A560" s="15" t="s">
        <v>759</v>
      </c>
      <c r="B560" s="13" t="s">
        <v>9</v>
      </c>
      <c r="C560" s="13">
        <v>80.0</v>
      </c>
      <c r="D560" s="15">
        <v>280.0</v>
      </c>
      <c r="E560" s="7">
        <v>5574.0</v>
      </c>
      <c r="F560" s="7">
        <v>5949.0</v>
      </c>
      <c r="G560" s="52">
        <f>IFERROR(SUMIF(Issues!B:B, A560, Issues!H:H), 0)</f>
        <v>6915</v>
      </c>
      <c r="H560" s="52">
        <f>IFERROR(SUMIF(Returns!B:B, A560, Returns!H:H), 0)</f>
        <v>900</v>
      </c>
      <c r="I560" s="3">
        <v>38870.0</v>
      </c>
      <c r="J560" s="3">
        <v>2.0</v>
      </c>
      <c r="K560" s="3">
        <v>92.0</v>
      </c>
      <c r="L560" s="53">
        <f t="shared" si="5"/>
        <v>5687.086514</v>
      </c>
      <c r="M560" s="52">
        <f t="shared" si="6"/>
        <v>6015</v>
      </c>
      <c r="N560" s="54">
        <f t="shared" si="7"/>
        <v>327.913486</v>
      </c>
      <c r="O560" s="54">
        <f t="shared" si="8"/>
        <v>91.81577608</v>
      </c>
    </row>
    <row r="561" ht="22.5" customHeight="1">
      <c r="A561" s="15" t="s">
        <v>760</v>
      </c>
      <c r="B561" s="13" t="s">
        <v>9</v>
      </c>
      <c r="C561" s="13">
        <v>80.0</v>
      </c>
      <c r="D561" s="15">
        <v>160.0</v>
      </c>
      <c r="E561" s="7">
        <v>3141.0</v>
      </c>
      <c r="F561" s="7">
        <v>3200.0</v>
      </c>
      <c r="G561" s="52">
        <f>IFERROR(SUMIF(Issues!B:B, A561, Issues!H:H), 0)</f>
        <v>3480</v>
      </c>
      <c r="H561" s="52">
        <f>IFERROR(SUMIF(Returns!B:B, A561, Returns!H:H), 0)</f>
        <v>0</v>
      </c>
      <c r="I561" s="3">
        <v>500000.0</v>
      </c>
      <c r="J561" s="3">
        <v>40.0</v>
      </c>
      <c r="K561" s="3">
        <v>79.0</v>
      </c>
      <c r="L561" s="53">
        <f t="shared" si="5"/>
        <v>3140.903308</v>
      </c>
      <c r="M561" s="52">
        <f t="shared" si="6"/>
        <v>3480</v>
      </c>
      <c r="N561" s="54">
        <f t="shared" si="7"/>
        <v>339.0966921</v>
      </c>
      <c r="O561" s="54">
        <f t="shared" si="8"/>
        <v>54.25547074</v>
      </c>
    </row>
    <row r="562" ht="22.5" customHeight="1">
      <c r="A562" s="15" t="s">
        <v>761</v>
      </c>
      <c r="B562" s="13" t="s">
        <v>9</v>
      </c>
      <c r="C562" s="13">
        <v>80.0</v>
      </c>
      <c r="D562" s="15">
        <v>210.0</v>
      </c>
      <c r="E562" s="7">
        <v>710.0</v>
      </c>
      <c r="F562" s="7">
        <v>930.0</v>
      </c>
      <c r="G562" s="52">
        <f>IFERROR(SUMIF(Issues!B:B, A562, Issues!H:H), 0)</f>
        <v>2650</v>
      </c>
      <c r="H562" s="52">
        <f>IFERROR(SUMIF(Returns!B:B, A562, Returns!H:H), 0)</f>
        <v>1700</v>
      </c>
      <c r="I562" s="3">
        <v>20240.0</v>
      </c>
      <c r="J562" s="3">
        <v>8.0</v>
      </c>
      <c r="K562" s="3">
        <v>94.0</v>
      </c>
      <c r="L562" s="53">
        <f t="shared" si="5"/>
        <v>756.4249364</v>
      </c>
      <c r="M562" s="52">
        <f t="shared" si="6"/>
        <v>950</v>
      </c>
      <c r="N562" s="54">
        <f t="shared" si="7"/>
        <v>193.5750636</v>
      </c>
      <c r="O562" s="54">
        <f t="shared" si="8"/>
        <v>40.65076336</v>
      </c>
    </row>
    <row r="563" ht="22.5" customHeight="1">
      <c r="A563" s="15" t="s">
        <v>762</v>
      </c>
      <c r="B563" s="13" t="s">
        <v>9</v>
      </c>
      <c r="C563" s="13">
        <v>80.0</v>
      </c>
      <c r="D563" s="15">
        <v>290.0</v>
      </c>
      <c r="E563" s="7">
        <v>369.0</v>
      </c>
      <c r="F563" s="7">
        <v>590.0</v>
      </c>
      <c r="G563" s="52">
        <f>IFERROR(SUMIF(Issues!B:B, A563, Issues!H:H), 0)</f>
        <v>1000</v>
      </c>
      <c r="H563" s="52">
        <f>IFERROR(SUMIF(Returns!B:B, A563, Returns!H:H), 0)</f>
        <v>400</v>
      </c>
      <c r="I563" s="3">
        <v>7800.0</v>
      </c>
      <c r="J563" s="3">
        <v>6.0</v>
      </c>
      <c r="K563" s="3">
        <v>116.0</v>
      </c>
      <c r="L563" s="53">
        <f t="shared" si="5"/>
        <v>479.6437659</v>
      </c>
      <c r="M563" s="52">
        <f t="shared" si="6"/>
        <v>600</v>
      </c>
      <c r="N563" s="54">
        <f t="shared" si="7"/>
        <v>120.3562341</v>
      </c>
      <c r="O563" s="54">
        <f t="shared" si="8"/>
        <v>34.90330789</v>
      </c>
    </row>
    <row r="564" ht="22.5" customHeight="1">
      <c r="A564" s="15" t="s">
        <v>763</v>
      </c>
      <c r="B564" s="13" t="s">
        <v>9</v>
      </c>
      <c r="C564" s="13">
        <v>80.0</v>
      </c>
      <c r="D564" s="15">
        <v>125.0</v>
      </c>
      <c r="E564" s="7">
        <v>515.0</v>
      </c>
      <c r="F564" s="7">
        <v>673.0</v>
      </c>
      <c r="G564" s="52">
        <f>IFERROR(SUMIF(Issues!B:B, A564, Issues!H:H), 0)</f>
        <v>762</v>
      </c>
      <c r="H564" s="52">
        <f>IFERROR(SUMIF(Returns!B:B, A564, Returns!H:H), 0)</f>
        <v>89</v>
      </c>
      <c r="I564" s="3">
        <v>3330.0</v>
      </c>
      <c r="J564" s="3">
        <v>2.0</v>
      </c>
      <c r="K564" s="3">
        <v>108.0</v>
      </c>
      <c r="L564" s="53">
        <f t="shared" si="5"/>
        <v>571.9465649</v>
      </c>
      <c r="M564" s="52">
        <f t="shared" si="6"/>
        <v>673</v>
      </c>
      <c r="N564" s="54">
        <f t="shared" si="7"/>
        <v>101.0534351</v>
      </c>
      <c r="O564" s="54">
        <f t="shared" si="8"/>
        <v>12.63167939</v>
      </c>
    </row>
    <row r="565" ht="22.5" customHeight="1">
      <c r="A565" s="15" t="s">
        <v>764</v>
      </c>
      <c r="B565" s="13" t="s">
        <v>9</v>
      </c>
      <c r="C565" s="13">
        <v>80.0</v>
      </c>
      <c r="D565" s="15">
        <v>125.0</v>
      </c>
      <c r="E565" s="7">
        <v>859.0</v>
      </c>
      <c r="F565" s="7">
        <v>997.0</v>
      </c>
      <c r="G565" s="52">
        <f>IFERROR(SUMIF(Issues!B:B, A565, Issues!H:H), 0)</f>
        <v>1759</v>
      </c>
      <c r="H565" s="52">
        <f>IFERROR(SUMIF(Returns!B:B, A565, Returns!H:H), 0)</f>
        <v>762</v>
      </c>
      <c r="I565" s="3">
        <v>5200.0</v>
      </c>
      <c r="J565" s="3">
        <v>2.0</v>
      </c>
      <c r="K565" s="3">
        <v>108.0</v>
      </c>
      <c r="L565" s="53">
        <f t="shared" si="5"/>
        <v>893.129771</v>
      </c>
      <c r="M565" s="52">
        <f t="shared" si="6"/>
        <v>997</v>
      </c>
      <c r="N565" s="54">
        <f t="shared" si="7"/>
        <v>103.870229</v>
      </c>
      <c r="O565" s="54">
        <f t="shared" si="8"/>
        <v>12.98377863</v>
      </c>
    </row>
    <row r="566" ht="22.5" customHeight="1">
      <c r="A566" s="15" t="s">
        <v>765</v>
      </c>
      <c r="B566" s="13" t="s">
        <v>9</v>
      </c>
      <c r="C566" s="13">
        <v>80.0</v>
      </c>
      <c r="D566" s="15">
        <v>125.0</v>
      </c>
      <c r="E566" s="7">
        <v>515.0</v>
      </c>
      <c r="F566" s="7">
        <v>1041.0</v>
      </c>
      <c r="G566" s="52">
        <f>IFERROR(SUMIF(Issues!B:B, A566, Issues!H:H), 0)</f>
        <v>2800</v>
      </c>
      <c r="H566" s="52">
        <f>IFERROR(SUMIF(Returns!B:B, A566, Returns!H:H), 0)</f>
        <v>1759</v>
      </c>
      <c r="I566" s="3">
        <v>5700.0</v>
      </c>
      <c r="J566" s="3">
        <v>2.0</v>
      </c>
      <c r="K566" s="3">
        <v>108.0</v>
      </c>
      <c r="L566" s="53">
        <f t="shared" si="5"/>
        <v>979.0076336</v>
      </c>
      <c r="M566" s="52">
        <f t="shared" si="6"/>
        <v>1041</v>
      </c>
      <c r="N566" s="54">
        <f t="shared" si="7"/>
        <v>61.99236641</v>
      </c>
      <c r="O566" s="54">
        <f t="shared" si="8"/>
        <v>7.749045802</v>
      </c>
    </row>
    <row r="567" ht="22.5" customHeight="1">
      <c r="A567" s="15" t="s">
        <v>766</v>
      </c>
      <c r="B567" s="13" t="s">
        <v>9</v>
      </c>
      <c r="C567" s="13">
        <v>80.0</v>
      </c>
      <c r="D567" s="15">
        <v>160.0</v>
      </c>
      <c r="E567" s="7">
        <v>2266.0</v>
      </c>
      <c r="F567" s="7">
        <v>2650.0</v>
      </c>
      <c r="G567" s="52">
        <f>IFERROR(SUMIF(Issues!B:B, A567, Issues!H:H), 0)</f>
        <v>2810</v>
      </c>
      <c r="H567" s="52">
        <f>IFERROR(SUMIF(Returns!B:B, A567, Returns!H:H), 0)</f>
        <v>160</v>
      </c>
      <c r="I567" s="3">
        <v>8770.0</v>
      </c>
      <c r="J567" s="3">
        <v>1.0</v>
      </c>
      <c r="K567" s="3">
        <v>89.0</v>
      </c>
      <c r="L567" s="53">
        <f t="shared" si="5"/>
        <v>2482.601781</v>
      </c>
      <c r="M567" s="52">
        <f t="shared" si="6"/>
        <v>2650</v>
      </c>
      <c r="N567" s="54">
        <f t="shared" si="7"/>
        <v>167.3982188</v>
      </c>
      <c r="O567" s="54">
        <f t="shared" si="8"/>
        <v>26.78371501</v>
      </c>
    </row>
    <row r="568" ht="22.5" customHeight="1">
      <c r="A568" s="15" t="s">
        <v>767</v>
      </c>
      <c r="B568" s="13" t="s">
        <v>9</v>
      </c>
      <c r="C568" s="13">
        <v>80.0</v>
      </c>
      <c r="D568" s="15">
        <v>160.0</v>
      </c>
      <c r="E568" s="7">
        <v>2831.0</v>
      </c>
      <c r="F568" s="7">
        <v>3205.0</v>
      </c>
      <c r="G568" s="52">
        <f>IFERROR(SUMIF(Issues!B:B, A568, Issues!H:H), 0)</f>
        <v>3220</v>
      </c>
      <c r="H568" s="52">
        <f>IFERROR(SUMIF(Returns!B:B, A568, Returns!H:H), 0)</f>
        <v>0</v>
      </c>
      <c r="I568" s="3">
        <v>10935.0</v>
      </c>
      <c r="J568" s="3">
        <v>10.0</v>
      </c>
      <c r="K568" s="3">
        <v>89.0</v>
      </c>
      <c r="L568" s="53">
        <f t="shared" si="5"/>
        <v>309.5467557</v>
      </c>
      <c r="M568" s="52">
        <f t="shared" si="6"/>
        <v>3220</v>
      </c>
      <c r="N568" s="54">
        <f t="shared" si="7"/>
        <v>2910.453244</v>
      </c>
      <c r="O568" s="54">
        <f t="shared" si="8"/>
        <v>465.6725191</v>
      </c>
    </row>
    <row r="569" ht="22.5" customHeight="1">
      <c r="A569" s="15" t="s">
        <v>768</v>
      </c>
      <c r="B569" s="13" t="s">
        <v>9</v>
      </c>
      <c r="C569" s="13">
        <v>80.0</v>
      </c>
      <c r="D569" s="15">
        <v>230.0</v>
      </c>
      <c r="E569" s="7">
        <v>394.0</v>
      </c>
      <c r="F569" s="7">
        <v>531.0</v>
      </c>
      <c r="G569" s="52">
        <f>IFERROR(SUMIF(Issues!B:B, A569, Issues!H:H), 0)</f>
        <v>850</v>
      </c>
      <c r="H569" s="52">
        <f>IFERROR(SUMIF(Returns!B:B, A569, Returns!H:H), 0)</f>
        <v>300</v>
      </c>
      <c r="I569" s="3">
        <v>6475.0</v>
      </c>
      <c r="J569" s="3">
        <v>6.0</v>
      </c>
      <c r="K569" s="3">
        <v>124.0</v>
      </c>
      <c r="L569" s="53">
        <f t="shared" si="5"/>
        <v>425.6255301</v>
      </c>
      <c r="M569" s="52">
        <f t="shared" si="6"/>
        <v>550</v>
      </c>
      <c r="N569" s="54">
        <f t="shared" si="7"/>
        <v>124.3744699</v>
      </c>
      <c r="O569" s="54">
        <f t="shared" si="8"/>
        <v>28.60612807</v>
      </c>
    </row>
    <row r="570" ht="22.5" customHeight="1">
      <c r="A570" s="15" t="s">
        <v>769</v>
      </c>
      <c r="B570" s="13" t="s">
        <v>9</v>
      </c>
      <c r="C570" s="13">
        <v>80.0</v>
      </c>
      <c r="D570" s="15">
        <v>230.0</v>
      </c>
      <c r="E570" s="7">
        <v>460.0</v>
      </c>
      <c r="F570" s="7">
        <v>623.0</v>
      </c>
      <c r="G570" s="52">
        <f>IFERROR(SUMIF(Issues!B:B, A570, Issues!H:H), 0)</f>
        <v>1500</v>
      </c>
      <c r="H570" s="52">
        <f>IFERROR(SUMIF(Returns!B:B, A570, Returns!H:H), 0)</f>
        <v>850</v>
      </c>
      <c r="I570" s="3">
        <v>7240.0</v>
      </c>
      <c r="J570" s="3">
        <v>6.0</v>
      </c>
      <c r="K570" s="3">
        <v>124.0</v>
      </c>
      <c r="L570" s="53">
        <f t="shared" si="5"/>
        <v>475.9117897</v>
      </c>
      <c r="M570" s="52">
        <f t="shared" si="6"/>
        <v>650</v>
      </c>
      <c r="N570" s="54">
        <f t="shared" si="7"/>
        <v>174.0882103</v>
      </c>
      <c r="O570" s="54">
        <f t="shared" si="8"/>
        <v>40.04028838</v>
      </c>
    </row>
    <row r="571" ht="22.5" customHeight="1">
      <c r="A571" s="15" t="s">
        <v>770</v>
      </c>
      <c r="B571" s="13" t="s">
        <v>9</v>
      </c>
      <c r="C571" s="13">
        <v>80.0</v>
      </c>
      <c r="D571" s="15">
        <v>140.0</v>
      </c>
      <c r="E571" s="7">
        <v>732.0</v>
      </c>
      <c r="F571" s="7">
        <v>925.0</v>
      </c>
      <c r="G571" s="52">
        <f>IFERROR(SUMIF(Issues!B:B, A571, Issues!H:H), 0)</f>
        <v>1600</v>
      </c>
      <c r="H571" s="52">
        <f>IFERROR(SUMIF(Returns!B:B, A571, Returns!H:H), 0)</f>
        <v>650</v>
      </c>
      <c r="I571" s="3">
        <v>10940.0</v>
      </c>
      <c r="J571" s="3">
        <v>4.0</v>
      </c>
      <c r="K571" s="3">
        <v>92.0</v>
      </c>
      <c r="L571" s="53">
        <f t="shared" si="5"/>
        <v>800.3180662</v>
      </c>
      <c r="M571" s="52">
        <f t="shared" si="6"/>
        <v>950</v>
      </c>
      <c r="N571" s="54">
        <f t="shared" si="7"/>
        <v>149.6819338</v>
      </c>
      <c r="O571" s="54">
        <f t="shared" si="8"/>
        <v>20.95547074</v>
      </c>
    </row>
    <row r="572" ht="22.5" customHeight="1">
      <c r="A572" s="15" t="s">
        <v>771</v>
      </c>
      <c r="B572" s="13" t="s">
        <v>9</v>
      </c>
      <c r="C572" s="13">
        <v>80.0</v>
      </c>
      <c r="D572" s="15">
        <v>140.0</v>
      </c>
      <c r="E572" s="7">
        <v>236.0</v>
      </c>
      <c r="F572" s="7">
        <v>418.0</v>
      </c>
      <c r="G572" s="52">
        <f>IFERROR(SUMIF(Issues!B:B, A572, Issues!H:H), 0)</f>
        <v>1970</v>
      </c>
      <c r="H572" s="52">
        <f>IFERROR(SUMIF(Returns!B:B, A572, Returns!H:H), 0)</f>
        <v>1500</v>
      </c>
      <c r="I572" s="3">
        <v>6460.0</v>
      </c>
      <c r="J572" s="3">
        <v>6.0</v>
      </c>
      <c r="K572" s="3">
        <v>89.0</v>
      </c>
      <c r="L572" s="53">
        <f t="shared" si="5"/>
        <v>304.7815946</v>
      </c>
      <c r="M572" s="52">
        <f t="shared" si="6"/>
        <v>470</v>
      </c>
      <c r="N572" s="54">
        <f t="shared" si="7"/>
        <v>165.2184054</v>
      </c>
      <c r="O572" s="54">
        <f t="shared" si="8"/>
        <v>23.13057676</v>
      </c>
    </row>
    <row r="573" ht="22.5" customHeight="1">
      <c r="A573" s="15" t="s">
        <v>772</v>
      </c>
      <c r="B573" s="13" t="s">
        <v>9</v>
      </c>
      <c r="C573" s="13">
        <v>80.0</v>
      </c>
      <c r="D573" s="15">
        <v>140.0</v>
      </c>
      <c r="E573" s="7">
        <v>1050.0</v>
      </c>
      <c r="F573" s="7">
        <v>1240.0</v>
      </c>
      <c r="G573" s="52">
        <f>IFERROR(SUMIF(Issues!B:B, A573, Issues!H:H), 0)</f>
        <v>2870</v>
      </c>
      <c r="H573" s="52">
        <f>IFERROR(SUMIF(Returns!B:B, A573, Returns!H:H), 0)</f>
        <v>1600</v>
      </c>
      <c r="I573" s="3">
        <v>21790.0</v>
      </c>
      <c r="J573" s="3">
        <v>6.0</v>
      </c>
      <c r="K573" s="3">
        <v>99.0</v>
      </c>
      <c r="L573" s="53">
        <f t="shared" si="5"/>
        <v>1143.55916</v>
      </c>
      <c r="M573" s="52">
        <f t="shared" si="6"/>
        <v>1270</v>
      </c>
      <c r="N573" s="54">
        <f t="shared" si="7"/>
        <v>126.4408397</v>
      </c>
      <c r="O573" s="54">
        <f t="shared" si="8"/>
        <v>17.70171756</v>
      </c>
    </row>
    <row r="574" ht="22.5" customHeight="1">
      <c r="A574" s="15" t="s">
        <v>773</v>
      </c>
      <c r="B574" s="13" t="s">
        <v>9</v>
      </c>
      <c r="C574" s="13">
        <v>80.0</v>
      </c>
      <c r="D574" s="15">
        <v>160.0</v>
      </c>
      <c r="E574" s="7">
        <v>3114.0</v>
      </c>
      <c r="F574" s="7">
        <v>3500.0</v>
      </c>
      <c r="G574" s="52">
        <f>IFERROR(SUMIF(Issues!B:B, A574, Issues!H:H), 0)</f>
        <v>3500</v>
      </c>
      <c r="H574" s="52">
        <f>IFERROR(SUMIF(Returns!B:B, A574, Returns!H:H), 0)</f>
        <v>0</v>
      </c>
      <c r="I574" s="3">
        <v>11885.0</v>
      </c>
      <c r="J574" s="3">
        <v>1.0</v>
      </c>
      <c r="K574" s="3">
        <v>89.0</v>
      </c>
      <c r="L574" s="53">
        <f t="shared" si="5"/>
        <v>3364.392494</v>
      </c>
      <c r="M574" s="52">
        <f t="shared" si="6"/>
        <v>3500</v>
      </c>
      <c r="N574" s="54">
        <f t="shared" si="7"/>
        <v>135.6075064</v>
      </c>
      <c r="O574" s="54">
        <f t="shared" si="8"/>
        <v>21.69720102</v>
      </c>
    </row>
    <row r="575" ht="22.5" customHeight="1">
      <c r="A575" s="15" t="s">
        <v>774</v>
      </c>
      <c r="B575" s="13" t="s">
        <v>9</v>
      </c>
      <c r="C575" s="13">
        <v>80.0</v>
      </c>
      <c r="D575" s="15">
        <v>230.0</v>
      </c>
      <c r="E575" s="7">
        <v>723.0</v>
      </c>
      <c r="F575" s="7">
        <v>912.0</v>
      </c>
      <c r="G575" s="52">
        <f>IFERROR(SUMIF(Issues!B:B, A575, Issues!H:H), 0)</f>
        <v>1800</v>
      </c>
      <c r="H575" s="52">
        <f>IFERROR(SUMIF(Returns!B:B, A575, Returns!H:H), 0)</f>
        <v>850</v>
      </c>
      <c r="I575" s="3">
        <v>12550.0</v>
      </c>
      <c r="J575" s="3">
        <v>6.0</v>
      </c>
      <c r="K575" s="3">
        <v>124.0</v>
      </c>
      <c r="L575" s="53">
        <f t="shared" si="5"/>
        <v>824.9575912</v>
      </c>
      <c r="M575" s="52">
        <f t="shared" si="6"/>
        <v>950</v>
      </c>
      <c r="N575" s="54">
        <f t="shared" si="7"/>
        <v>125.0424088</v>
      </c>
      <c r="O575" s="54">
        <f t="shared" si="8"/>
        <v>28.75975403</v>
      </c>
    </row>
    <row r="576" ht="22.5" customHeight="1">
      <c r="A576" s="15" t="s">
        <v>775</v>
      </c>
      <c r="B576" s="13" t="s">
        <v>57</v>
      </c>
      <c r="C576" s="13">
        <v>80.0</v>
      </c>
      <c r="D576" s="15">
        <v>160.0</v>
      </c>
      <c r="E576" s="7">
        <v>41.0</v>
      </c>
      <c r="F576" s="7">
        <v>421.0</v>
      </c>
      <c r="G576" s="52">
        <f>IFERROR(SUMIF(Issues!B:B, A576, Issues!H:H), 0)</f>
        <v>900</v>
      </c>
      <c r="H576" s="52">
        <f>IFERROR(SUMIF(Returns!B:B, A576, Returns!H:H), 0)</f>
        <v>470</v>
      </c>
      <c r="I576" s="3">
        <v>5500.0</v>
      </c>
      <c r="J576" s="3">
        <v>28.0</v>
      </c>
      <c r="K576" s="3">
        <v>72.0</v>
      </c>
      <c r="L576" s="53">
        <f t="shared" si="5"/>
        <v>44.98364231</v>
      </c>
      <c r="M576" s="52">
        <f t="shared" si="6"/>
        <v>430</v>
      </c>
      <c r="N576" s="54">
        <f t="shared" si="7"/>
        <v>385.0163577</v>
      </c>
      <c r="O576" s="54">
        <f t="shared" si="8"/>
        <v>61.60261723</v>
      </c>
    </row>
    <row r="577" ht="22.5" customHeight="1">
      <c r="A577" s="15" t="s">
        <v>776</v>
      </c>
      <c r="B577" s="13" t="s">
        <v>57</v>
      </c>
      <c r="C577" s="13">
        <v>80.0</v>
      </c>
      <c r="D577" s="15">
        <v>160.0</v>
      </c>
      <c r="E577" s="7">
        <v>41.0</v>
      </c>
      <c r="F577" s="7">
        <v>100.0</v>
      </c>
      <c r="G577" s="52">
        <f>IFERROR(SUMIF(Issues!B:B, A577, Issues!H:H), 0)</f>
        <v>470</v>
      </c>
      <c r="H577" s="52">
        <f>IFERROR(SUMIF(Returns!B:B, A577, Returns!H:H), 0)</f>
        <v>100</v>
      </c>
      <c r="I577" s="3">
        <v>5100.0</v>
      </c>
      <c r="J577" s="3">
        <v>28.0</v>
      </c>
      <c r="K577" s="3">
        <v>72.0</v>
      </c>
      <c r="L577" s="53">
        <f t="shared" si="5"/>
        <v>41.71210469</v>
      </c>
      <c r="M577" s="52">
        <f t="shared" si="6"/>
        <v>370</v>
      </c>
      <c r="N577" s="54">
        <f t="shared" si="7"/>
        <v>328.2878953</v>
      </c>
      <c r="O577" s="54">
        <f t="shared" si="8"/>
        <v>52.52606325</v>
      </c>
    </row>
    <row r="578" ht="22.5" customHeight="1">
      <c r="A578" s="15" t="s">
        <v>777</v>
      </c>
      <c r="B578" s="13" t="s">
        <v>9</v>
      </c>
      <c r="C578" s="13">
        <v>80.0</v>
      </c>
      <c r="D578" s="15">
        <v>140.0</v>
      </c>
      <c r="E578" s="7">
        <v>2414.0</v>
      </c>
      <c r="F578" s="7">
        <v>2175.0</v>
      </c>
      <c r="G578" s="52">
        <f>IFERROR(SUMIF(Issues!B:B, A578, Issues!H:H), 0)</f>
        <v>2170</v>
      </c>
      <c r="H578" s="52">
        <f>IFERROR(SUMIF(Returns!B:B, A578, Returns!H:H), 0)</f>
        <v>0</v>
      </c>
      <c r="I578" s="3">
        <v>9240.0</v>
      </c>
      <c r="J578" s="3">
        <v>1.0</v>
      </c>
      <c r="K578" s="3">
        <v>69.0</v>
      </c>
      <c r="L578" s="53">
        <f t="shared" si="5"/>
        <v>2027.862595</v>
      </c>
      <c r="M578" s="52">
        <f t="shared" si="6"/>
        <v>2170</v>
      </c>
      <c r="N578" s="54">
        <f t="shared" si="7"/>
        <v>142.1374046</v>
      </c>
      <c r="O578" s="54">
        <f t="shared" si="8"/>
        <v>19.89923664</v>
      </c>
    </row>
    <row r="579" ht="22.5" customHeight="1">
      <c r="A579" s="15" t="s">
        <v>778</v>
      </c>
      <c r="B579" s="13" t="s">
        <v>9</v>
      </c>
      <c r="C579" s="13">
        <v>80.0</v>
      </c>
      <c r="D579" s="15">
        <v>210.0</v>
      </c>
      <c r="E579" s="7">
        <v>149.0</v>
      </c>
      <c r="F579" s="7">
        <v>290.0</v>
      </c>
      <c r="G579" s="52">
        <f>IFERROR(SUMIF(Issues!B:B, A579, Issues!H:H), 0)</f>
        <v>1800</v>
      </c>
      <c r="H579" s="52">
        <f>IFERROR(SUMIF(Returns!B:B, A579, Returns!H:H), 0)</f>
        <v>1460</v>
      </c>
      <c r="I579" s="3">
        <v>4800.0</v>
      </c>
      <c r="J579" s="3">
        <v>6.0</v>
      </c>
      <c r="K579" s="3">
        <v>94.0</v>
      </c>
      <c r="L579" s="53">
        <f t="shared" si="5"/>
        <v>239.1857506</v>
      </c>
      <c r="M579" s="52">
        <f t="shared" si="6"/>
        <v>340</v>
      </c>
      <c r="N579" s="54">
        <f t="shared" si="7"/>
        <v>100.8142494</v>
      </c>
      <c r="O579" s="54">
        <f t="shared" si="8"/>
        <v>21.17099237</v>
      </c>
    </row>
    <row r="580" ht="22.5" customHeight="1">
      <c r="A580" s="15" t="s">
        <v>780</v>
      </c>
      <c r="B580" s="13" t="s">
        <v>9</v>
      </c>
      <c r="C580" s="13">
        <v>80.0</v>
      </c>
      <c r="D580" s="15">
        <v>210.0</v>
      </c>
      <c r="E580" s="7">
        <v>5025.0</v>
      </c>
      <c r="F580" s="7">
        <v>5290.0</v>
      </c>
      <c r="G580" s="52">
        <f>IFERROR(SUMIF(Issues!B:B, A580, Issues!H:H), 0)</f>
        <v>5880</v>
      </c>
      <c r="H580" s="52">
        <f>IFERROR(SUMIF(Returns!B:B, A580, Returns!H:H), 0)</f>
        <v>550</v>
      </c>
      <c r="I580" s="3">
        <v>205600.0</v>
      </c>
      <c r="J580" s="3">
        <v>10.0</v>
      </c>
      <c r="K580" s="3">
        <v>79.0</v>
      </c>
      <c r="L580" s="53">
        <f t="shared" si="5"/>
        <v>5166.157761</v>
      </c>
      <c r="M580" s="52">
        <f t="shared" si="6"/>
        <v>5330</v>
      </c>
      <c r="N580" s="54">
        <f t="shared" si="7"/>
        <v>163.8422392</v>
      </c>
      <c r="O580" s="54">
        <f t="shared" si="8"/>
        <v>34.40687023</v>
      </c>
    </row>
    <row r="581" ht="22.5" customHeight="1">
      <c r="A581" s="15" t="s">
        <v>781</v>
      </c>
      <c r="B581" s="13" t="s">
        <v>48</v>
      </c>
      <c r="C581" s="13">
        <v>120.0</v>
      </c>
      <c r="D581" s="15">
        <v>340.0</v>
      </c>
      <c r="E581" s="7">
        <v>1031.0</v>
      </c>
      <c r="F581" s="7">
        <v>1390.0</v>
      </c>
      <c r="G581" s="52">
        <f>IFERROR(SUMIF(Issues!B:B, A581, Issues!H:H), 0)</f>
        <v>2000</v>
      </c>
      <c r="H581" s="52">
        <f>IFERROR(SUMIF(Returns!B:B, A581, Returns!H:H), 0)</f>
        <v>560</v>
      </c>
      <c r="I581" s="52"/>
      <c r="J581" s="3">
        <v>1.0</v>
      </c>
      <c r="K581" s="3">
        <v>108.0</v>
      </c>
      <c r="L581" s="53">
        <f t="shared" si="5"/>
        <v>0</v>
      </c>
      <c r="M581" s="52">
        <f t="shared" si="6"/>
        <v>1440</v>
      </c>
      <c r="N581" s="54">
        <f t="shared" si="7"/>
        <v>1440</v>
      </c>
      <c r="O581" s="54">
        <f t="shared" si="8"/>
        <v>489.6</v>
      </c>
    </row>
    <row r="582" ht="22.5" customHeight="1">
      <c r="A582" s="15" t="s">
        <v>786</v>
      </c>
      <c r="B582" s="13" t="s">
        <v>47</v>
      </c>
      <c r="C582" s="13">
        <v>60.0</v>
      </c>
      <c r="D582" s="15">
        <v>166.0</v>
      </c>
      <c r="E582" s="7">
        <v>745.0</v>
      </c>
      <c r="F582" s="7">
        <v>1059.0</v>
      </c>
      <c r="G582" s="52">
        <f>IFERROR(SUMIF(Issues!B:B, A582, Issues!H:H), 0)</f>
        <v>1500</v>
      </c>
      <c r="H582" s="52">
        <f>IFERROR(SUMIF(Returns!B:B, A582, Returns!H:H), 0)</f>
        <v>420</v>
      </c>
      <c r="I582" s="52"/>
      <c r="J582" s="3">
        <v>2.0</v>
      </c>
      <c r="K582" s="3">
        <v>66.0</v>
      </c>
      <c r="L582" s="53">
        <f t="shared" si="5"/>
        <v>0</v>
      </c>
      <c r="M582" s="52">
        <f t="shared" si="6"/>
        <v>1080</v>
      </c>
      <c r="N582" s="54">
        <f t="shared" si="7"/>
        <v>1080</v>
      </c>
      <c r="O582" s="54">
        <f t="shared" si="8"/>
        <v>179.28</v>
      </c>
    </row>
    <row r="583" ht="22.5" customHeight="1">
      <c r="A583" s="15" t="s">
        <v>787</v>
      </c>
      <c r="B583" s="13" t="s">
        <v>47</v>
      </c>
      <c r="C583" s="13">
        <v>60.0</v>
      </c>
      <c r="D583" s="15">
        <v>172.0</v>
      </c>
      <c r="E583" s="7">
        <v>1102.0</v>
      </c>
      <c r="F583" s="7">
        <v>1286.0</v>
      </c>
      <c r="G583" s="52">
        <f>IFERROR(SUMIF(Issues!B:B, A583, Issues!H:H), 0)</f>
        <v>2420</v>
      </c>
      <c r="H583" s="52">
        <f>IFERROR(SUMIF(Returns!B:B, A583, Returns!H:H), 0)</f>
        <v>1100</v>
      </c>
      <c r="I583" s="52"/>
      <c r="J583" s="3">
        <v>2.0</v>
      </c>
      <c r="K583" s="3">
        <v>66.0</v>
      </c>
      <c r="L583" s="53">
        <f t="shared" si="5"/>
        <v>0</v>
      </c>
      <c r="M583" s="52">
        <f t="shared" si="6"/>
        <v>1320</v>
      </c>
      <c r="N583" s="54">
        <f t="shared" si="7"/>
        <v>1320</v>
      </c>
      <c r="O583" s="54">
        <f t="shared" si="8"/>
        <v>227.04</v>
      </c>
    </row>
    <row r="584" ht="22.5" customHeight="1">
      <c r="A584" s="15" t="s">
        <v>788</v>
      </c>
      <c r="B584" s="13" t="s">
        <v>26</v>
      </c>
      <c r="C584" s="13">
        <v>80.0</v>
      </c>
      <c r="D584" s="15">
        <v>210.0</v>
      </c>
      <c r="E584" s="7">
        <v>5025.0</v>
      </c>
      <c r="F584" s="7">
        <v>5330.0</v>
      </c>
      <c r="G584" s="52">
        <f>IFERROR(SUMIF(Issues!B:B, A584, Issues!H:H), 0)</f>
        <v>6200</v>
      </c>
      <c r="H584" s="52">
        <f>IFERROR(SUMIF(Returns!B:B, A584, Returns!H:H), 0)</f>
        <v>850</v>
      </c>
      <c r="I584" s="3">
        <v>205000.0</v>
      </c>
      <c r="J584" s="3">
        <v>10.0</v>
      </c>
      <c r="K584" s="3">
        <v>79.0</v>
      </c>
      <c r="L584" s="53">
        <f t="shared" si="5"/>
        <v>5151.081425</v>
      </c>
      <c r="M584" s="52">
        <f t="shared" si="6"/>
        <v>5350</v>
      </c>
      <c r="N584" s="54">
        <f t="shared" si="7"/>
        <v>198.9185751</v>
      </c>
      <c r="O584" s="54">
        <f t="shared" si="8"/>
        <v>41.77290076</v>
      </c>
    </row>
    <row r="585" ht="22.5" customHeight="1">
      <c r="A585" s="15" t="s">
        <v>790</v>
      </c>
      <c r="B585" s="13" t="s">
        <v>9</v>
      </c>
      <c r="C585" s="13">
        <v>80.0</v>
      </c>
      <c r="D585" s="15">
        <v>140.0</v>
      </c>
      <c r="E585" s="7">
        <v>464.0</v>
      </c>
      <c r="F585" s="7">
        <v>676.0</v>
      </c>
      <c r="G585" s="52">
        <f>IFERROR(SUMIF(Issues!B:B, A585, Issues!H:H), 0)</f>
        <v>1340</v>
      </c>
      <c r="H585" s="52">
        <f>IFERROR(SUMIF(Returns!B:B, A585, Returns!H:H), 0)</f>
        <v>620</v>
      </c>
      <c r="I585" s="3">
        <v>6180.0</v>
      </c>
      <c r="J585" s="3">
        <v>4.0</v>
      </c>
      <c r="K585" s="3">
        <v>99.0</v>
      </c>
      <c r="L585" s="53">
        <f t="shared" si="5"/>
        <v>486.4980916</v>
      </c>
      <c r="M585" s="52">
        <f t="shared" si="6"/>
        <v>720</v>
      </c>
      <c r="N585" s="54">
        <f t="shared" si="7"/>
        <v>233.5019084</v>
      </c>
      <c r="O585" s="54">
        <f t="shared" si="8"/>
        <v>32.69026718</v>
      </c>
    </row>
    <row r="586" ht="22.5" customHeight="1">
      <c r="A586" s="15" t="s">
        <v>791</v>
      </c>
      <c r="B586" s="13" t="s">
        <v>43</v>
      </c>
      <c r="C586" s="13">
        <v>50.0</v>
      </c>
      <c r="D586" s="15">
        <v>125.0</v>
      </c>
      <c r="E586" s="7">
        <v>876.0</v>
      </c>
      <c r="F586" s="7">
        <v>1101.0</v>
      </c>
      <c r="G586" s="52">
        <f>IFERROR(SUMIF(Issues!B:B, A586, Issues!H:H), 0)</f>
        <v>1670</v>
      </c>
      <c r="H586" s="52">
        <f>IFERROR(SUMIF(Returns!B:B, A586, Returns!H:H), 0)</f>
        <v>500</v>
      </c>
      <c r="I586" s="52"/>
      <c r="J586" s="3">
        <v>4.0</v>
      </c>
      <c r="K586" s="3">
        <v>108.0</v>
      </c>
      <c r="L586" s="53">
        <f t="shared" si="5"/>
        <v>0</v>
      </c>
      <c r="M586" s="52">
        <f t="shared" si="6"/>
        <v>1170</v>
      </c>
      <c r="N586" s="54">
        <f t="shared" si="7"/>
        <v>1170</v>
      </c>
      <c r="O586" s="54">
        <f t="shared" si="8"/>
        <v>146.25</v>
      </c>
    </row>
    <row r="587" ht="22.5" customHeight="1">
      <c r="A587" s="15" t="s">
        <v>792</v>
      </c>
      <c r="B587" s="13" t="s">
        <v>54</v>
      </c>
      <c r="C587" s="13">
        <v>40.0</v>
      </c>
      <c r="D587" s="15">
        <v>240.0</v>
      </c>
      <c r="E587" s="7">
        <v>1193.0</v>
      </c>
      <c r="F587" s="7">
        <v>1489.0</v>
      </c>
      <c r="G587" s="52">
        <f>IFERROR(SUMIF(Issues!B:B, A587, Issues!H:H), 0)</f>
        <v>2500</v>
      </c>
      <c r="H587" s="52">
        <f>IFERROR(SUMIF(Returns!B:B, A587, Returns!H:H), 0)</f>
        <v>1000</v>
      </c>
      <c r="I587" s="52"/>
      <c r="J587" s="3">
        <v>2.0</v>
      </c>
      <c r="K587" s="3">
        <v>75.0</v>
      </c>
      <c r="L587" s="53">
        <f t="shared" si="5"/>
        <v>0</v>
      </c>
      <c r="M587" s="52">
        <f t="shared" si="6"/>
        <v>1500</v>
      </c>
      <c r="N587" s="54">
        <f t="shared" si="7"/>
        <v>1500</v>
      </c>
      <c r="O587" s="54">
        <f t="shared" si="8"/>
        <v>360</v>
      </c>
    </row>
    <row r="588" ht="22.5" customHeight="1">
      <c r="A588" s="15" t="s">
        <v>793</v>
      </c>
      <c r="B588" s="13" t="s">
        <v>54</v>
      </c>
      <c r="C588" s="13">
        <v>40.0</v>
      </c>
      <c r="D588" s="15">
        <v>240.0</v>
      </c>
      <c r="E588" s="7">
        <v>1193.0</v>
      </c>
      <c r="F588" s="7">
        <v>1536.0</v>
      </c>
      <c r="G588" s="52">
        <f>IFERROR(SUMIF(Issues!B:B, A588, Issues!H:H), 0)</f>
        <v>1500</v>
      </c>
      <c r="H588" s="52">
        <f>IFERROR(SUMIF(Returns!B:B, A588, Returns!H:H), 0)</f>
        <v>0</v>
      </c>
      <c r="I588" s="52"/>
      <c r="J588" s="3">
        <v>2.0</v>
      </c>
      <c r="K588" s="3">
        <v>75.0</v>
      </c>
      <c r="L588" s="53">
        <f t="shared" si="5"/>
        <v>0</v>
      </c>
      <c r="M588" s="52">
        <f t="shared" si="6"/>
        <v>1500</v>
      </c>
      <c r="N588" s="54">
        <f t="shared" si="7"/>
        <v>1500</v>
      </c>
      <c r="O588" s="54">
        <f t="shared" si="8"/>
        <v>360</v>
      </c>
    </row>
    <row r="589" ht="22.5" customHeight="1">
      <c r="A589" s="15" t="s">
        <v>794</v>
      </c>
      <c r="B589" s="13" t="s">
        <v>54</v>
      </c>
      <c r="C589" s="13">
        <v>40.0</v>
      </c>
      <c r="D589" s="15">
        <v>240.0</v>
      </c>
      <c r="E589" s="7">
        <v>1193.0</v>
      </c>
      <c r="F589" s="7">
        <v>1680.0</v>
      </c>
      <c r="G589" s="52">
        <f>IFERROR(SUMIF(Issues!B:B, A589, Issues!H:H), 0)</f>
        <v>5600</v>
      </c>
      <c r="H589" s="52">
        <f>IFERROR(SUMIF(Returns!B:B, A589, Returns!H:H), 0)</f>
        <v>3900</v>
      </c>
      <c r="I589" s="52"/>
      <c r="J589" s="3">
        <v>2.0</v>
      </c>
      <c r="K589" s="3">
        <v>75.0</v>
      </c>
      <c r="L589" s="53">
        <f t="shared" si="5"/>
        <v>0</v>
      </c>
      <c r="M589" s="52">
        <f t="shared" si="6"/>
        <v>1700</v>
      </c>
      <c r="N589" s="54">
        <f t="shared" si="7"/>
        <v>1700</v>
      </c>
      <c r="O589" s="54">
        <f t="shared" si="8"/>
        <v>408</v>
      </c>
    </row>
    <row r="590" ht="22.5" customHeight="1">
      <c r="A590" s="15" t="s">
        <v>795</v>
      </c>
      <c r="B590" s="59"/>
      <c r="C590" s="38"/>
      <c r="D590" s="15">
        <v>100.0</v>
      </c>
      <c r="E590" s="7">
        <v>138.0</v>
      </c>
      <c r="F590" s="7">
        <v>212.0</v>
      </c>
      <c r="G590" s="52">
        <f>IFERROR(SUMIF(Issues!B:B, A590, Issues!H:H), 0)</f>
        <v>600</v>
      </c>
      <c r="H590" s="52">
        <f>IFERROR(SUMIF(Returns!B:B, A590, Returns!H:H), 0)</f>
        <v>350</v>
      </c>
      <c r="I590" s="52"/>
      <c r="J590" s="3">
        <v>2.0</v>
      </c>
      <c r="K590" s="3">
        <v>79.0</v>
      </c>
      <c r="L590" s="53">
        <f t="shared" si="5"/>
        <v>0</v>
      </c>
      <c r="M590" s="52">
        <f t="shared" si="6"/>
        <v>250</v>
      </c>
      <c r="N590" s="54">
        <f t="shared" si="7"/>
        <v>250</v>
      </c>
      <c r="O590" s="54">
        <f t="shared" si="8"/>
        <v>25</v>
      </c>
    </row>
    <row r="591" ht="22.5" customHeight="1">
      <c r="A591" s="15" t="s">
        <v>796</v>
      </c>
      <c r="B591" s="13" t="s">
        <v>54</v>
      </c>
      <c r="C591" s="13">
        <v>40.0</v>
      </c>
      <c r="D591" s="15">
        <v>240.0</v>
      </c>
      <c r="E591" s="7">
        <v>1145.0</v>
      </c>
      <c r="F591" s="7">
        <v>1538.0</v>
      </c>
      <c r="G591" s="52">
        <f>IFERROR(SUMIF(Issues!B:B, A591, Issues!H:H), 0)</f>
        <v>3400</v>
      </c>
      <c r="H591" s="52">
        <f>IFERROR(SUMIF(Returns!B:B, A591, Returns!H:H), 0)</f>
        <v>1860</v>
      </c>
      <c r="I591" s="52"/>
      <c r="J591" s="3">
        <v>2.0</v>
      </c>
      <c r="K591" s="3">
        <v>72.0</v>
      </c>
      <c r="L591" s="53">
        <f t="shared" si="5"/>
        <v>0</v>
      </c>
      <c r="M591" s="52">
        <f t="shared" si="6"/>
        <v>1540</v>
      </c>
      <c r="N591" s="54">
        <f t="shared" si="7"/>
        <v>1540</v>
      </c>
      <c r="O591" s="54">
        <f t="shared" si="8"/>
        <v>369.6</v>
      </c>
    </row>
    <row r="592" ht="22.5" customHeight="1">
      <c r="A592" s="15" t="s">
        <v>797</v>
      </c>
      <c r="B592" s="13" t="s">
        <v>54</v>
      </c>
      <c r="C592" s="13">
        <v>40.0</v>
      </c>
      <c r="D592" s="15">
        <v>240.0</v>
      </c>
      <c r="E592" s="7">
        <v>573.0</v>
      </c>
      <c r="F592" s="7">
        <v>900.0</v>
      </c>
      <c r="G592" s="52">
        <f>IFERROR(SUMIF(Issues!B:B, A592, Issues!H:H), 0)</f>
        <v>4300</v>
      </c>
      <c r="H592" s="52">
        <f>IFERROR(SUMIF(Returns!B:B, A592, Returns!H:H), 0)</f>
        <v>3400</v>
      </c>
      <c r="I592" s="52"/>
      <c r="J592" s="3">
        <v>2.0</v>
      </c>
      <c r="K592" s="3">
        <v>72.0</v>
      </c>
      <c r="L592" s="53">
        <f t="shared" si="5"/>
        <v>0</v>
      </c>
      <c r="M592" s="52">
        <f t="shared" si="6"/>
        <v>900</v>
      </c>
      <c r="N592" s="54">
        <f t="shared" si="7"/>
        <v>900</v>
      </c>
      <c r="O592" s="54">
        <f t="shared" si="8"/>
        <v>216</v>
      </c>
    </row>
    <row r="593" ht="22.5" customHeight="1">
      <c r="A593" s="15" t="s">
        <v>798</v>
      </c>
      <c r="B593" s="13" t="s">
        <v>9</v>
      </c>
      <c r="C593" s="13">
        <v>80.0</v>
      </c>
      <c r="D593" s="15">
        <v>125.0</v>
      </c>
      <c r="E593" s="7">
        <v>687.0</v>
      </c>
      <c r="F593" s="7">
        <v>1030.0</v>
      </c>
      <c r="G593" s="52">
        <f>IFERROR(SUMIF(Issues!B:B, A593, Issues!H:H), 0)</f>
        <v>1000</v>
      </c>
      <c r="H593" s="52">
        <f>IFERROR(SUMIF(Returns!B:B, A593, Returns!H:H), 0)</f>
        <v>0</v>
      </c>
      <c r="I593" s="3">
        <v>6010.0</v>
      </c>
      <c r="J593" s="3">
        <v>2.0</v>
      </c>
      <c r="K593" s="3">
        <v>108.0</v>
      </c>
      <c r="L593" s="53">
        <f t="shared" si="5"/>
        <v>1032.251908</v>
      </c>
      <c r="M593" s="52">
        <f t="shared" si="6"/>
        <v>1000</v>
      </c>
      <c r="N593" s="54">
        <f t="shared" si="7"/>
        <v>0</v>
      </c>
      <c r="O593" s="54">
        <f t="shared" si="8"/>
        <v>0</v>
      </c>
    </row>
    <row r="594" ht="22.5" customHeight="1">
      <c r="A594" s="15" t="s">
        <v>799</v>
      </c>
      <c r="B594" s="13" t="s">
        <v>54</v>
      </c>
      <c r="C594" s="13">
        <v>40.0</v>
      </c>
      <c r="D594" s="15">
        <v>240.0</v>
      </c>
      <c r="E594" s="7">
        <v>573.0</v>
      </c>
      <c r="F594" s="7">
        <v>900.0</v>
      </c>
      <c r="G594" s="52">
        <f>IFERROR(SUMIF(Issues!B:B, A594, Issues!H:H), 0)</f>
        <v>900</v>
      </c>
      <c r="H594" s="52">
        <f>IFERROR(SUMIF(Returns!B:B, A594, Returns!H:H), 0)</f>
        <v>0</v>
      </c>
      <c r="I594" s="52"/>
      <c r="J594" s="3">
        <v>2.0</v>
      </c>
      <c r="K594" s="3">
        <v>72.0</v>
      </c>
      <c r="L594" s="53">
        <f t="shared" si="5"/>
        <v>0</v>
      </c>
      <c r="M594" s="52">
        <f t="shared" si="6"/>
        <v>900</v>
      </c>
      <c r="N594" s="54">
        <f t="shared" si="7"/>
        <v>900</v>
      </c>
      <c r="O594" s="54">
        <f t="shared" si="8"/>
        <v>216</v>
      </c>
    </row>
    <row r="595" ht="22.5" customHeight="1">
      <c r="A595" s="15" t="s">
        <v>800</v>
      </c>
      <c r="B595" s="13" t="s">
        <v>9</v>
      </c>
      <c r="C595" s="13">
        <v>80.0</v>
      </c>
      <c r="D595" s="15">
        <v>230.0</v>
      </c>
      <c r="E595" s="7">
        <v>2195.0</v>
      </c>
      <c r="F595" s="7">
        <v>2385.0</v>
      </c>
      <c r="G595" s="52">
        <f>IFERROR(SUMIF(Issues!B:B, A595, Issues!H:H), 0)</f>
        <v>3000</v>
      </c>
      <c r="H595" s="52">
        <f>IFERROR(SUMIF(Returns!B:B, A595, Returns!H:H), 0)</f>
        <v>550</v>
      </c>
      <c r="I595" s="3">
        <v>15685.0</v>
      </c>
      <c r="J595" s="3">
        <v>2.0</v>
      </c>
      <c r="K595" s="3">
        <v>92.0</v>
      </c>
      <c r="L595" s="53">
        <f t="shared" si="5"/>
        <v>2294.879135</v>
      </c>
      <c r="M595" s="52">
        <f t="shared" si="6"/>
        <v>2450</v>
      </c>
      <c r="N595" s="54">
        <f t="shared" si="7"/>
        <v>155.1208651</v>
      </c>
      <c r="O595" s="54">
        <f t="shared" si="8"/>
        <v>35.67779898</v>
      </c>
    </row>
    <row r="596" ht="22.5" customHeight="1">
      <c r="A596" s="15" t="s">
        <v>801</v>
      </c>
      <c r="B596" s="13" t="s">
        <v>9</v>
      </c>
      <c r="C596" s="13">
        <v>80.0</v>
      </c>
      <c r="D596" s="15">
        <v>160.0</v>
      </c>
      <c r="E596" s="7">
        <v>425.0</v>
      </c>
      <c r="F596" s="7">
        <v>730.0</v>
      </c>
      <c r="G596" s="52">
        <f>IFERROR(SUMIF(Issues!B:B, A596, Issues!H:H), 0)</f>
        <v>730</v>
      </c>
      <c r="H596" s="52">
        <f>IFERROR(SUMIF(Returns!B:B, A596, Returns!H:H), 0)</f>
        <v>320</v>
      </c>
      <c r="I596" s="3">
        <v>18970.0</v>
      </c>
      <c r="J596" s="3">
        <v>1.0</v>
      </c>
      <c r="K596" s="3">
        <v>89.0</v>
      </c>
      <c r="L596" s="53">
        <f t="shared" si="5"/>
        <v>5370.006361</v>
      </c>
      <c r="M596" s="52">
        <f t="shared" si="6"/>
        <v>410</v>
      </c>
      <c r="N596" s="54">
        <f t="shared" si="7"/>
        <v>0</v>
      </c>
      <c r="O596" s="54">
        <f t="shared" si="8"/>
        <v>0</v>
      </c>
    </row>
    <row r="597" ht="22.5" customHeight="1">
      <c r="A597" s="15" t="s">
        <v>802</v>
      </c>
      <c r="B597" s="13" t="s">
        <v>9</v>
      </c>
      <c r="C597" s="13">
        <v>80.0</v>
      </c>
      <c r="D597" s="15">
        <v>140.0</v>
      </c>
      <c r="E597" s="13" t="s">
        <v>27</v>
      </c>
      <c r="F597" s="7">
        <v>1042.0</v>
      </c>
      <c r="G597" s="52">
        <f>IFERROR(SUMIF(Issues!B:B, A597, Issues!H:H), 0)</f>
        <v>1040</v>
      </c>
      <c r="H597" s="52">
        <f>IFERROR(SUMIF(Returns!B:B, A597, Returns!H:H), 0)</f>
        <v>0</v>
      </c>
      <c r="I597" s="3">
        <v>4560.0</v>
      </c>
      <c r="J597" s="3">
        <v>1.0</v>
      </c>
      <c r="K597" s="3">
        <v>69.0</v>
      </c>
      <c r="L597" s="53">
        <f t="shared" si="5"/>
        <v>1000.763359</v>
      </c>
      <c r="M597" s="52">
        <f t="shared" si="6"/>
        <v>1040</v>
      </c>
      <c r="N597" s="54">
        <f t="shared" si="7"/>
        <v>39.23664122</v>
      </c>
      <c r="O597" s="54">
        <f t="shared" si="8"/>
        <v>5.493129771</v>
      </c>
    </row>
    <row r="598" ht="22.5" customHeight="1">
      <c r="A598" s="15" t="s">
        <v>803</v>
      </c>
      <c r="B598" s="13" t="s">
        <v>9</v>
      </c>
      <c r="C598" s="13">
        <v>80.0</v>
      </c>
      <c r="D598" s="15">
        <v>140.0</v>
      </c>
      <c r="E598" s="13" t="s">
        <v>27</v>
      </c>
      <c r="F598" s="7">
        <v>1561.0</v>
      </c>
      <c r="G598" s="52">
        <f>IFERROR(SUMIF(Issues!B:B, A598, Issues!H:H), 0)</f>
        <v>2600</v>
      </c>
      <c r="H598" s="52">
        <f>IFERROR(SUMIF(Returns!B:B, A598, Returns!H:H), 0)</f>
        <v>1020</v>
      </c>
      <c r="I598" s="3">
        <v>5890.0</v>
      </c>
      <c r="J598" s="3">
        <v>1.0</v>
      </c>
      <c r="K598" s="3">
        <v>69.0</v>
      </c>
      <c r="L598" s="53">
        <f t="shared" si="5"/>
        <v>1292.652672</v>
      </c>
      <c r="M598" s="52">
        <f t="shared" si="6"/>
        <v>1580</v>
      </c>
      <c r="N598" s="54">
        <f t="shared" si="7"/>
        <v>287.3473282</v>
      </c>
      <c r="O598" s="54">
        <f t="shared" si="8"/>
        <v>40.22862595</v>
      </c>
    </row>
    <row r="599" ht="22.5" customHeight="1">
      <c r="A599" s="15" t="s">
        <v>804</v>
      </c>
      <c r="B599" s="13" t="s">
        <v>36</v>
      </c>
      <c r="C599" s="13">
        <v>70.0</v>
      </c>
      <c r="D599" s="15">
        <v>205.0</v>
      </c>
      <c r="E599" s="38"/>
      <c r="F599" s="7">
        <v>5700.0</v>
      </c>
      <c r="G599" s="52">
        <f>IFERROR(SUMIF(Issues!B:B, A599, Issues!H:H), 0)</f>
        <v>6000</v>
      </c>
      <c r="H599" s="52">
        <f>IFERROR(SUMIF(Returns!B:B, A599, Returns!H:H), 0)</f>
        <v>300</v>
      </c>
      <c r="I599" s="52"/>
      <c r="J599" s="52"/>
      <c r="K599" s="52"/>
      <c r="L599" s="53">
        <f t="shared" si="5"/>
        <v>0</v>
      </c>
      <c r="M599" s="52">
        <f t="shared" si="6"/>
        <v>5700</v>
      </c>
      <c r="N599" s="54">
        <f t="shared" si="7"/>
        <v>5700</v>
      </c>
      <c r="O599" s="54">
        <f t="shared" si="8"/>
        <v>1168.5</v>
      </c>
    </row>
    <row r="600" ht="22.5" customHeight="1">
      <c r="A600" s="15" t="s">
        <v>806</v>
      </c>
      <c r="B600" s="13" t="s">
        <v>36</v>
      </c>
      <c r="C600" s="13">
        <v>70.0</v>
      </c>
      <c r="D600" s="15">
        <v>205.0</v>
      </c>
      <c r="E600" s="38"/>
      <c r="F600" s="27"/>
      <c r="G600" s="27"/>
      <c r="H600" s="52">
        <f>IFERROR(SUMIF(Returns!B:B, A600, Returns!H:H), 0)</f>
        <v>600</v>
      </c>
      <c r="I600" s="52"/>
      <c r="J600" s="52"/>
      <c r="K600" s="52"/>
      <c r="L600" s="53">
        <f t="shared" si="5"/>
        <v>0</v>
      </c>
      <c r="M600" s="52">
        <f t="shared" si="6"/>
        <v>-600</v>
      </c>
      <c r="N600" s="54">
        <f t="shared" si="7"/>
        <v>0</v>
      </c>
      <c r="O600" s="54">
        <f t="shared" si="8"/>
        <v>0</v>
      </c>
    </row>
    <row r="601" ht="22.5" customHeight="1">
      <c r="A601" s="15" t="s">
        <v>807</v>
      </c>
      <c r="B601" s="13" t="s">
        <v>9</v>
      </c>
      <c r="C601" s="13">
        <v>80.0</v>
      </c>
      <c r="D601" s="15">
        <v>160.0</v>
      </c>
      <c r="E601" s="7">
        <v>3292.0</v>
      </c>
      <c r="F601" s="7">
        <v>3900.0</v>
      </c>
      <c r="G601" s="52">
        <f>IFERROR(SUMIF(Issues!B:B, A601, Issues!H:H), 0)</f>
        <v>4610</v>
      </c>
      <c r="H601" s="52">
        <f>IFERROR(SUMIF(Returns!B:B, A601, Returns!H:H), 0)</f>
        <v>700</v>
      </c>
      <c r="I601" s="3">
        <v>15420.0</v>
      </c>
      <c r="J601" s="3">
        <v>1.0</v>
      </c>
      <c r="K601" s="3">
        <v>69.0</v>
      </c>
      <c r="L601" s="53">
        <f t="shared" si="5"/>
        <v>3384.160305</v>
      </c>
      <c r="M601" s="52">
        <f t="shared" si="6"/>
        <v>3910</v>
      </c>
      <c r="N601" s="54">
        <f t="shared" si="7"/>
        <v>525.8396947</v>
      </c>
      <c r="O601" s="54">
        <f t="shared" si="8"/>
        <v>84.13435115</v>
      </c>
    </row>
    <row r="602" ht="22.5" customHeight="1">
      <c r="A602" s="15" t="s">
        <v>808</v>
      </c>
      <c r="B602" s="13" t="s">
        <v>9</v>
      </c>
      <c r="C602" s="13">
        <v>80.0</v>
      </c>
      <c r="D602" s="15">
        <v>160.0</v>
      </c>
      <c r="E602" s="7">
        <v>439.0</v>
      </c>
      <c r="F602" s="7">
        <v>800.0</v>
      </c>
      <c r="G602" s="52">
        <f>IFERROR(SUMIF(Issues!B:B, A602, Issues!H:H), 0)</f>
        <v>900</v>
      </c>
      <c r="H602" s="52">
        <f>IFERROR(SUMIF(Returns!B:B, A602, Returns!H:H), 0)</f>
        <v>100</v>
      </c>
      <c r="I602" s="3">
        <v>2770.0</v>
      </c>
      <c r="J602" s="3">
        <v>1.0</v>
      </c>
      <c r="K602" s="3">
        <v>69.0</v>
      </c>
      <c r="L602" s="53">
        <f t="shared" si="5"/>
        <v>607.9198473</v>
      </c>
      <c r="M602" s="52">
        <f t="shared" si="6"/>
        <v>800</v>
      </c>
      <c r="N602" s="54">
        <f t="shared" si="7"/>
        <v>192.0801527</v>
      </c>
      <c r="O602" s="54">
        <f t="shared" si="8"/>
        <v>30.73282443</v>
      </c>
    </row>
    <row r="603" ht="22.5" customHeight="1">
      <c r="A603" s="15" t="s">
        <v>809</v>
      </c>
      <c r="B603" s="13" t="s">
        <v>9</v>
      </c>
      <c r="C603" s="13">
        <v>80.0</v>
      </c>
      <c r="D603" s="15">
        <v>150.0</v>
      </c>
      <c r="E603" s="7">
        <v>3414.0</v>
      </c>
      <c r="F603" s="7">
        <v>3700.0</v>
      </c>
      <c r="G603" s="52">
        <f>IFERROR(SUMIF(Issues!B:B, A603, Issues!H:H), 0)</f>
        <v>2870</v>
      </c>
      <c r="H603" s="52">
        <f>IFERROR(SUMIF(Returns!B:B, A603, Returns!H:H), 0)</f>
        <v>0</v>
      </c>
      <c r="I603" s="3">
        <v>213480.0</v>
      </c>
      <c r="J603" s="3">
        <v>18.0</v>
      </c>
      <c r="K603" s="3">
        <v>92.0</v>
      </c>
      <c r="L603" s="53">
        <f t="shared" si="5"/>
        <v>3470.483461</v>
      </c>
      <c r="M603" s="52">
        <f t="shared" si="6"/>
        <v>2870</v>
      </c>
      <c r="N603" s="54">
        <f t="shared" si="7"/>
        <v>0</v>
      </c>
      <c r="O603" s="54">
        <f t="shared" si="8"/>
        <v>0</v>
      </c>
    </row>
    <row r="604" ht="22.5" customHeight="1">
      <c r="A604" s="15" t="s">
        <v>810</v>
      </c>
      <c r="B604" s="13" t="s">
        <v>9</v>
      </c>
      <c r="C604" s="13">
        <v>80.0</v>
      </c>
      <c r="D604" s="15">
        <v>170.0</v>
      </c>
      <c r="E604" s="7">
        <v>249.0</v>
      </c>
      <c r="F604" s="7">
        <v>285.0</v>
      </c>
      <c r="G604" s="52">
        <f>IFERROR(SUMIF(Issues!B:B, A604, Issues!H:H), 0)</f>
        <v>700</v>
      </c>
      <c r="H604" s="52">
        <f>IFERROR(SUMIF(Returns!B:B, A604, Returns!H:H), 0)</f>
        <v>400</v>
      </c>
      <c r="I604" s="3">
        <v>4200.0</v>
      </c>
      <c r="J604" s="3">
        <v>6.0</v>
      </c>
      <c r="K604" s="3">
        <v>94.0</v>
      </c>
      <c r="L604" s="53">
        <f t="shared" si="5"/>
        <v>209.2875318</v>
      </c>
      <c r="M604" s="52">
        <f t="shared" si="6"/>
        <v>300</v>
      </c>
      <c r="N604" s="54">
        <f t="shared" si="7"/>
        <v>90.71246819</v>
      </c>
      <c r="O604" s="54">
        <f t="shared" si="8"/>
        <v>15.42111959</v>
      </c>
    </row>
    <row r="605" ht="22.5" customHeight="1">
      <c r="A605" s="15" t="s">
        <v>811</v>
      </c>
      <c r="B605" s="13" t="s">
        <v>9</v>
      </c>
      <c r="C605" s="13">
        <v>80.0</v>
      </c>
      <c r="D605" s="15">
        <v>170.0</v>
      </c>
      <c r="E605" s="7">
        <v>149.0</v>
      </c>
      <c r="F605" s="7">
        <v>290.0</v>
      </c>
      <c r="G605" s="52">
        <f>IFERROR(SUMIF(Issues!B:B, A605, Issues!H:H), 0)</f>
        <v>400</v>
      </c>
      <c r="H605" s="52">
        <f>IFERROR(SUMIF(Returns!B:B, A605, Returns!H:H), 0)</f>
        <v>110</v>
      </c>
      <c r="I605" s="3">
        <v>3250.0</v>
      </c>
      <c r="J605" s="3">
        <v>6.0</v>
      </c>
      <c r="K605" s="3">
        <v>94.0</v>
      </c>
      <c r="L605" s="53">
        <f t="shared" si="5"/>
        <v>161.9486853</v>
      </c>
      <c r="M605" s="52">
        <f t="shared" si="6"/>
        <v>290</v>
      </c>
      <c r="N605" s="54">
        <f t="shared" si="7"/>
        <v>128.0513147</v>
      </c>
      <c r="O605" s="54">
        <f t="shared" si="8"/>
        <v>21.76872349</v>
      </c>
    </row>
    <row r="606" ht="22.5" customHeight="1">
      <c r="A606" s="15" t="s">
        <v>812</v>
      </c>
      <c r="B606" s="13" t="s">
        <v>9</v>
      </c>
      <c r="C606" s="13">
        <v>80.0</v>
      </c>
      <c r="D606" s="15">
        <v>170.0</v>
      </c>
      <c r="E606" s="7">
        <v>149.0</v>
      </c>
      <c r="F606" s="7">
        <v>220.0</v>
      </c>
      <c r="G606" s="52">
        <f>IFERROR(SUMIF(Issues!B:B, A606, Issues!H:H), 0)</f>
        <v>1000</v>
      </c>
      <c r="H606" s="52">
        <f>IFERROR(SUMIF(Returns!B:B, A606, Returns!H:H), 0)</f>
        <v>700</v>
      </c>
      <c r="I606" s="3">
        <v>2880.0</v>
      </c>
      <c r="J606" s="3">
        <v>6.0</v>
      </c>
      <c r="K606" s="3">
        <v>94.0</v>
      </c>
      <c r="L606" s="53">
        <f t="shared" si="5"/>
        <v>143.5114504</v>
      </c>
      <c r="M606" s="52">
        <f t="shared" si="6"/>
        <v>300</v>
      </c>
      <c r="N606" s="54">
        <f t="shared" si="7"/>
        <v>156.4885496</v>
      </c>
      <c r="O606" s="54">
        <f t="shared" si="8"/>
        <v>26.60305344</v>
      </c>
    </row>
    <row r="607" ht="22.5" customHeight="1">
      <c r="A607" s="15" t="s">
        <v>813</v>
      </c>
      <c r="B607" s="13" t="s">
        <v>9</v>
      </c>
      <c r="C607" s="13">
        <v>80.0</v>
      </c>
      <c r="D607" s="15">
        <v>170.0</v>
      </c>
      <c r="E607" s="7">
        <v>149.0</v>
      </c>
      <c r="F607" s="7">
        <v>283.0</v>
      </c>
      <c r="G607" s="52">
        <f>IFERROR(SUMIF(Issues!B:B, A607, Issues!H:H), 0)</f>
        <v>1300</v>
      </c>
      <c r="H607" s="52">
        <f>IFERROR(SUMIF(Returns!B:B, A607, Returns!H:H), 0)</f>
        <v>1000</v>
      </c>
      <c r="I607" s="3">
        <v>3600.0</v>
      </c>
      <c r="J607" s="3">
        <v>6.0</v>
      </c>
      <c r="K607" s="3">
        <v>94.0</v>
      </c>
      <c r="L607" s="53">
        <f t="shared" si="5"/>
        <v>179.389313</v>
      </c>
      <c r="M607" s="52">
        <f t="shared" si="6"/>
        <v>300</v>
      </c>
      <c r="N607" s="54">
        <f t="shared" si="7"/>
        <v>120.610687</v>
      </c>
      <c r="O607" s="54">
        <f t="shared" si="8"/>
        <v>20.50381679</v>
      </c>
    </row>
    <row r="608" ht="22.5" customHeight="1">
      <c r="A608" s="15" t="s">
        <v>814</v>
      </c>
      <c r="B608" s="13" t="s">
        <v>9</v>
      </c>
      <c r="C608" s="13">
        <v>80.0</v>
      </c>
      <c r="D608" s="15">
        <v>230.0</v>
      </c>
      <c r="E608" s="7">
        <v>6056.0</v>
      </c>
      <c r="F608" s="7">
        <v>6496.0</v>
      </c>
      <c r="G608" s="52">
        <f>IFERROR(SUMIF(Issues!B:B, A608, Issues!H:H), 0)</f>
        <v>7500</v>
      </c>
      <c r="H608" s="52">
        <f>IFERROR(SUMIF(Returns!B:B, A608, Returns!H:H), 0)</f>
        <v>960</v>
      </c>
      <c r="I608" s="3">
        <v>52200.0</v>
      </c>
      <c r="J608" s="3">
        <v>3.0</v>
      </c>
      <c r="K608" s="3">
        <v>112.0</v>
      </c>
      <c r="L608" s="53">
        <f t="shared" si="5"/>
        <v>6198.473282</v>
      </c>
      <c r="M608" s="52">
        <f t="shared" si="6"/>
        <v>6540</v>
      </c>
      <c r="N608" s="54">
        <f t="shared" si="7"/>
        <v>341.5267176</v>
      </c>
      <c r="O608" s="54">
        <f t="shared" si="8"/>
        <v>78.55114504</v>
      </c>
    </row>
    <row r="609" ht="22.5" customHeight="1">
      <c r="A609" s="15" t="s">
        <v>815</v>
      </c>
      <c r="B609" s="13" t="s">
        <v>9</v>
      </c>
      <c r="C609" s="13">
        <v>80.0</v>
      </c>
      <c r="D609" s="15">
        <v>290.0</v>
      </c>
      <c r="E609" s="7">
        <v>2990.0</v>
      </c>
      <c r="F609" s="7">
        <v>3402.0</v>
      </c>
      <c r="G609" s="52">
        <f>IFERROR(SUMIF(Issues!B:B, A609, Issues!H:H), 0)</f>
        <v>4550</v>
      </c>
      <c r="H609" s="52">
        <f>IFERROR(SUMIF(Returns!B:B, A609, Returns!H:H), 0)</f>
        <v>1140</v>
      </c>
      <c r="I609" s="3">
        <v>21000.0</v>
      </c>
      <c r="J609" s="3">
        <v>2.0</v>
      </c>
      <c r="K609" s="3">
        <v>94.0</v>
      </c>
      <c r="L609" s="53">
        <f t="shared" si="5"/>
        <v>3139.312977</v>
      </c>
      <c r="M609" s="52">
        <f t="shared" si="6"/>
        <v>3410</v>
      </c>
      <c r="N609" s="54">
        <f t="shared" si="7"/>
        <v>270.6870229</v>
      </c>
      <c r="O609" s="54">
        <f t="shared" si="8"/>
        <v>78.49923664</v>
      </c>
    </row>
    <row r="610" ht="22.5" customHeight="1">
      <c r="A610" s="15" t="s">
        <v>816</v>
      </c>
      <c r="B610" s="13" t="s">
        <v>9</v>
      </c>
      <c r="C610" s="13">
        <v>80.0</v>
      </c>
      <c r="D610" s="15">
        <v>210.0</v>
      </c>
      <c r="E610" s="7">
        <v>4198.0</v>
      </c>
      <c r="F610" s="7">
        <v>4565.0</v>
      </c>
      <c r="G610" s="52">
        <f>IFERROR(SUMIF(Issues!B:B, A610, Issues!H:H), 0)</f>
        <v>5500</v>
      </c>
      <c r="H610" s="52">
        <f>IFERROR(SUMIF(Returns!B:B, A610, Returns!H:H), 0)</f>
        <v>930</v>
      </c>
      <c r="I610" s="3">
        <v>84000.0</v>
      </c>
      <c r="J610" s="3">
        <v>6.0</v>
      </c>
      <c r="K610" s="3">
        <v>99.0</v>
      </c>
      <c r="L610" s="53">
        <f t="shared" si="5"/>
        <v>4408.396947</v>
      </c>
      <c r="M610" s="52">
        <f t="shared" si="6"/>
        <v>4570</v>
      </c>
      <c r="N610" s="54">
        <f t="shared" si="7"/>
        <v>161.6030534</v>
      </c>
      <c r="O610" s="54">
        <f t="shared" si="8"/>
        <v>33.93664122</v>
      </c>
    </row>
    <row r="611" ht="22.5" customHeight="1">
      <c r="A611" s="15" t="s">
        <v>817</v>
      </c>
      <c r="B611" s="13" t="s">
        <v>9</v>
      </c>
      <c r="C611" s="13">
        <v>80.0</v>
      </c>
      <c r="D611" s="15">
        <v>290.0</v>
      </c>
      <c r="E611" s="7">
        <v>747.0</v>
      </c>
      <c r="F611" s="7">
        <v>1014.0</v>
      </c>
      <c r="G611" s="52">
        <f>IFERROR(SUMIF(Issues!B:B, A611, Issues!H:H), 0)</f>
        <v>1140</v>
      </c>
      <c r="H611" s="52">
        <f>IFERROR(SUMIF(Returns!B:B, A611, Returns!H:H), 0)</f>
        <v>120</v>
      </c>
      <c r="I611" s="3">
        <v>6060.0</v>
      </c>
      <c r="J611" s="3">
        <v>2.0</v>
      </c>
      <c r="K611" s="3">
        <v>94.0</v>
      </c>
      <c r="L611" s="53">
        <f t="shared" si="5"/>
        <v>905.9160305</v>
      </c>
      <c r="M611" s="52">
        <f t="shared" si="6"/>
        <v>1020</v>
      </c>
      <c r="N611" s="54">
        <f t="shared" si="7"/>
        <v>114.0839695</v>
      </c>
      <c r="O611" s="54">
        <f t="shared" si="8"/>
        <v>33.08435115</v>
      </c>
    </row>
    <row r="612" ht="22.5" customHeight="1">
      <c r="A612" s="15" t="s">
        <v>818</v>
      </c>
      <c r="B612" s="13" t="s">
        <v>9</v>
      </c>
      <c r="C612" s="13">
        <v>80.0</v>
      </c>
      <c r="D612" s="15">
        <v>230.0</v>
      </c>
      <c r="E612" s="7">
        <v>6531.0</v>
      </c>
      <c r="F612" s="7">
        <v>7055.0</v>
      </c>
      <c r="G612" s="52">
        <f>IFERROR(SUMIF(Issues!B:B, A612, Issues!H:H), 0)</f>
        <v>8960</v>
      </c>
      <c r="H612" s="52">
        <f>IFERROR(SUMIF(Returns!B:B, A612, Returns!H:H), 0)</f>
        <v>1850</v>
      </c>
      <c r="I612" s="3">
        <v>57290.0</v>
      </c>
      <c r="J612" s="3">
        <v>3.0</v>
      </c>
      <c r="K612" s="3">
        <v>112.0</v>
      </c>
      <c r="L612" s="53">
        <f t="shared" si="5"/>
        <v>6802.8838</v>
      </c>
      <c r="M612" s="52">
        <f t="shared" si="6"/>
        <v>7110</v>
      </c>
      <c r="N612" s="54">
        <f t="shared" si="7"/>
        <v>307.1162002</v>
      </c>
      <c r="O612" s="54">
        <f t="shared" si="8"/>
        <v>70.63672604</v>
      </c>
    </row>
    <row r="613" ht="22.5" customHeight="1">
      <c r="A613" s="15" t="s">
        <v>819</v>
      </c>
      <c r="B613" s="13" t="s">
        <v>9</v>
      </c>
      <c r="C613" s="13">
        <v>80.0</v>
      </c>
      <c r="D613" s="15">
        <v>290.0</v>
      </c>
      <c r="E613" s="7">
        <v>5232.0</v>
      </c>
      <c r="F613" s="7">
        <v>5802.0</v>
      </c>
      <c r="G613" s="52">
        <f>IFERROR(SUMIF(Issues!B:B, A613, Issues!H:H), 0)</f>
        <v>6400</v>
      </c>
      <c r="H613" s="52">
        <f>IFERROR(SUMIF(Returns!B:B, A613, Returns!H:H), 0)</f>
        <v>590</v>
      </c>
      <c r="I613" s="3">
        <v>33950.0</v>
      </c>
      <c r="J613" s="3">
        <v>2.0</v>
      </c>
      <c r="K613" s="3">
        <v>94.0</v>
      </c>
      <c r="L613" s="53">
        <f t="shared" si="5"/>
        <v>5075.222646</v>
      </c>
      <c r="M613" s="52">
        <f t="shared" si="6"/>
        <v>5810</v>
      </c>
      <c r="N613" s="54">
        <f t="shared" si="7"/>
        <v>734.7773537</v>
      </c>
      <c r="O613" s="54">
        <f t="shared" si="8"/>
        <v>213.0854326</v>
      </c>
    </row>
    <row r="614" ht="22.5" customHeight="1">
      <c r="A614" s="15" t="s">
        <v>820</v>
      </c>
      <c r="B614" s="13" t="s">
        <v>9</v>
      </c>
      <c r="C614" s="13">
        <v>80.0</v>
      </c>
      <c r="D614" s="15">
        <v>290.0</v>
      </c>
      <c r="E614" s="7">
        <v>615.0</v>
      </c>
      <c r="F614" s="7">
        <v>792.0</v>
      </c>
      <c r="G614" s="52">
        <f>IFERROR(SUMIF(Issues!B:B, A614, Issues!H:H), 0)</f>
        <v>2000</v>
      </c>
      <c r="H614" s="52">
        <f>IFERROR(SUMIF(Returns!B:B, A614, Returns!H:H), 0)</f>
        <v>1200</v>
      </c>
      <c r="I614" s="3">
        <v>11100.0</v>
      </c>
      <c r="J614" s="3">
        <v>6.0</v>
      </c>
      <c r="K614" s="3">
        <v>116.0</v>
      </c>
      <c r="L614" s="53">
        <f t="shared" si="5"/>
        <v>682.5699746</v>
      </c>
      <c r="M614" s="52">
        <f t="shared" si="6"/>
        <v>800</v>
      </c>
      <c r="N614" s="54">
        <f t="shared" si="7"/>
        <v>117.4300254</v>
      </c>
      <c r="O614" s="54">
        <f t="shared" si="8"/>
        <v>34.05470738</v>
      </c>
    </row>
    <row r="615" ht="22.5" customHeight="1">
      <c r="A615" s="15" t="s">
        <v>821</v>
      </c>
      <c r="B615" s="13" t="s">
        <v>9</v>
      </c>
      <c r="C615" s="13">
        <v>80.0</v>
      </c>
      <c r="D615" s="15">
        <v>290.0</v>
      </c>
      <c r="E615" s="7">
        <v>430.0</v>
      </c>
      <c r="F615" s="7">
        <v>559.0</v>
      </c>
      <c r="G615" s="52">
        <f>IFERROR(SUMIF(Issues!B:B, A615, Issues!H:H), 0)</f>
        <v>1200</v>
      </c>
      <c r="H615" s="52">
        <f>IFERROR(SUMIF(Returns!B:B, A615, Returns!H:H), 0)</f>
        <v>640</v>
      </c>
      <c r="I615" s="3">
        <v>7650.0</v>
      </c>
      <c r="J615" s="3">
        <v>6.0</v>
      </c>
      <c r="K615" s="3">
        <v>116.0</v>
      </c>
      <c r="L615" s="53">
        <f t="shared" si="5"/>
        <v>470.4198473</v>
      </c>
      <c r="M615" s="52">
        <f t="shared" si="6"/>
        <v>560</v>
      </c>
      <c r="N615" s="54">
        <f t="shared" si="7"/>
        <v>89.58015267</v>
      </c>
      <c r="O615" s="54">
        <f t="shared" si="8"/>
        <v>25.97824427</v>
      </c>
    </row>
    <row r="616" ht="22.5" customHeight="1">
      <c r="A616" s="15" t="s">
        <v>822</v>
      </c>
      <c r="B616" s="13" t="s">
        <v>9</v>
      </c>
      <c r="C616" s="13">
        <v>80.0</v>
      </c>
      <c r="D616" s="15">
        <v>320.0</v>
      </c>
      <c r="E616" s="7">
        <v>398.0</v>
      </c>
      <c r="F616" s="7">
        <v>530.0</v>
      </c>
      <c r="G616" s="52">
        <f>IFERROR(SUMIF(Issues!B:B, A616, Issues!H:H), 0)</f>
        <v>900</v>
      </c>
      <c r="H616" s="52">
        <f>IFERROR(SUMIF(Returns!B:B, A616, Returns!H:H), 0)</f>
        <v>370</v>
      </c>
      <c r="I616" s="3">
        <v>5100.0</v>
      </c>
      <c r="J616" s="3">
        <v>2.0</v>
      </c>
      <c r="K616" s="3">
        <v>75.0</v>
      </c>
      <c r="L616" s="53">
        <f t="shared" si="5"/>
        <v>608.3015267</v>
      </c>
      <c r="M616" s="52">
        <f t="shared" si="6"/>
        <v>530</v>
      </c>
      <c r="N616" s="54">
        <f t="shared" si="7"/>
        <v>0</v>
      </c>
      <c r="O616" s="54">
        <f t="shared" si="8"/>
        <v>0</v>
      </c>
    </row>
    <row r="617" ht="22.5" customHeight="1">
      <c r="A617" s="15" t="s">
        <v>823</v>
      </c>
      <c r="B617" s="13" t="s">
        <v>9</v>
      </c>
      <c r="C617" s="13">
        <v>80.0</v>
      </c>
      <c r="D617" s="15">
        <v>330.0</v>
      </c>
      <c r="E617" s="7">
        <v>398.0</v>
      </c>
      <c r="F617" s="7">
        <v>575.0</v>
      </c>
      <c r="G617" s="52">
        <f>IFERROR(SUMIF(Issues!B:B, A617, Issues!H:H), 0)</f>
        <v>1040</v>
      </c>
      <c r="H617" s="52">
        <f>IFERROR(SUMIF(Returns!B:B, A617, Returns!H:H), 0)</f>
        <v>460</v>
      </c>
      <c r="I617" s="3">
        <v>5460.0</v>
      </c>
      <c r="J617" s="3">
        <v>2.0</v>
      </c>
      <c r="K617" s="3">
        <v>75.0</v>
      </c>
      <c r="L617" s="53">
        <f t="shared" si="5"/>
        <v>651.240458</v>
      </c>
      <c r="M617" s="52">
        <f t="shared" si="6"/>
        <v>580</v>
      </c>
      <c r="N617" s="54">
        <f t="shared" si="7"/>
        <v>0</v>
      </c>
      <c r="O617" s="54">
        <f t="shared" si="8"/>
        <v>0</v>
      </c>
    </row>
    <row r="618" ht="22.5" customHeight="1">
      <c r="A618" s="15" t="s">
        <v>824</v>
      </c>
      <c r="B618" s="13" t="s">
        <v>9</v>
      </c>
      <c r="C618" s="13">
        <v>80.0</v>
      </c>
      <c r="D618" s="15">
        <v>330.0</v>
      </c>
      <c r="E618" s="7">
        <v>1431.0</v>
      </c>
      <c r="F618" s="7">
        <v>1710.0</v>
      </c>
      <c r="G618" s="52">
        <f>IFERROR(SUMIF(Issues!B:B, A618, Issues!H:H), 0)</f>
        <v>2000</v>
      </c>
      <c r="H618" s="52">
        <f>IFERROR(SUMIF(Returns!B:B, A618, Returns!H:H), 0)</f>
        <v>290</v>
      </c>
      <c r="I618" s="52"/>
      <c r="J618" s="3">
        <v>2.0</v>
      </c>
      <c r="K618" s="3">
        <v>75.0</v>
      </c>
      <c r="L618" s="53">
        <f t="shared" si="5"/>
        <v>0</v>
      </c>
      <c r="M618" s="52">
        <f t="shared" si="6"/>
        <v>1710</v>
      </c>
      <c r="N618" s="54">
        <f t="shared" si="7"/>
        <v>1710</v>
      </c>
      <c r="O618" s="54">
        <f t="shared" si="8"/>
        <v>564.3</v>
      </c>
    </row>
    <row r="619" ht="22.5" customHeight="1">
      <c r="A619" s="15" t="s">
        <v>825</v>
      </c>
      <c r="B619" s="13" t="s">
        <v>9</v>
      </c>
      <c r="C619" s="13">
        <v>80.0</v>
      </c>
      <c r="D619" s="15">
        <v>330.0</v>
      </c>
      <c r="E619" s="7">
        <v>239.0</v>
      </c>
      <c r="F619" s="7">
        <v>413.0</v>
      </c>
      <c r="G619" s="52">
        <f>IFERROR(SUMIF(Issues!B:B, A619, Issues!H:H), 0)</f>
        <v>750</v>
      </c>
      <c r="H619" s="52">
        <f>IFERROR(SUMIF(Returns!B:B, A619, Returns!H:H), 0)</f>
        <v>330</v>
      </c>
      <c r="I619" s="3">
        <v>3260.0</v>
      </c>
      <c r="J619" s="3">
        <v>2.0</v>
      </c>
      <c r="K619" s="3">
        <v>75.0</v>
      </c>
      <c r="L619" s="53">
        <f t="shared" si="5"/>
        <v>388.8358779</v>
      </c>
      <c r="M619" s="52">
        <f t="shared" si="6"/>
        <v>420</v>
      </c>
      <c r="N619" s="54">
        <f t="shared" si="7"/>
        <v>31.16412214</v>
      </c>
      <c r="O619" s="54">
        <f t="shared" si="8"/>
        <v>10.28416031</v>
      </c>
    </row>
    <row r="620" ht="22.5" customHeight="1">
      <c r="A620" s="15" t="s">
        <v>826</v>
      </c>
      <c r="B620" s="13" t="s">
        <v>9</v>
      </c>
      <c r="C620" s="13">
        <v>80.0</v>
      </c>
      <c r="D620" s="15">
        <v>230.0</v>
      </c>
      <c r="E620" s="7">
        <v>10093.0</v>
      </c>
      <c r="F620" s="7">
        <v>11000.0</v>
      </c>
      <c r="G620" s="52">
        <f>IFERROR(SUMIF(Issues!B:B, A620, Issues!H:H), 0)</f>
        <v>11600</v>
      </c>
      <c r="H620" s="52">
        <f>IFERROR(SUMIF(Returns!B:B, A620, Returns!H:H), 0)</f>
        <v>450</v>
      </c>
      <c r="I620" s="52"/>
      <c r="J620" s="3">
        <v>3.0</v>
      </c>
      <c r="K620" s="3">
        <v>112.0</v>
      </c>
      <c r="L620" s="53">
        <f t="shared" si="5"/>
        <v>0</v>
      </c>
      <c r="M620" s="52">
        <f t="shared" si="6"/>
        <v>11150</v>
      </c>
      <c r="N620" s="54">
        <f t="shared" si="7"/>
        <v>11150</v>
      </c>
      <c r="O620" s="54">
        <f t="shared" si="8"/>
        <v>2564.5</v>
      </c>
    </row>
    <row r="621" ht="22.5" customHeight="1">
      <c r="A621" s="15" t="s">
        <v>827</v>
      </c>
      <c r="B621" s="13" t="s">
        <v>9</v>
      </c>
      <c r="C621" s="13">
        <v>80.0</v>
      </c>
      <c r="D621" s="15">
        <v>170.0</v>
      </c>
      <c r="E621" s="7">
        <v>1081.0</v>
      </c>
      <c r="F621" s="7">
        <v>1290.0</v>
      </c>
      <c r="G621" s="52">
        <f>IFERROR(SUMIF(Issues!B:B, A621, Issues!H:H), 0)</f>
        <v>1740</v>
      </c>
      <c r="H621" s="52">
        <f>IFERROR(SUMIF(Returns!B:B, A621, Returns!H:H), 0)</f>
        <v>450</v>
      </c>
      <c r="I621" s="3">
        <v>22590.0</v>
      </c>
      <c r="J621" s="3">
        <v>6.0</v>
      </c>
      <c r="K621" s="3">
        <v>99.0</v>
      </c>
      <c r="L621" s="53">
        <f t="shared" si="5"/>
        <v>1185.543893</v>
      </c>
      <c r="M621" s="52">
        <f t="shared" si="6"/>
        <v>1290</v>
      </c>
      <c r="N621" s="54">
        <f t="shared" si="7"/>
        <v>104.4561069</v>
      </c>
      <c r="O621" s="54">
        <f t="shared" si="8"/>
        <v>17.75753817</v>
      </c>
    </row>
    <row r="622" ht="22.5" customHeight="1">
      <c r="A622" s="15" t="s">
        <v>828</v>
      </c>
      <c r="B622" s="13" t="s">
        <v>9</v>
      </c>
      <c r="C622" s="13">
        <v>80.0</v>
      </c>
      <c r="D622" s="15">
        <v>210.0</v>
      </c>
      <c r="E622" s="7">
        <v>712.0</v>
      </c>
      <c r="F622" s="7">
        <v>1010.0</v>
      </c>
      <c r="G622" s="52">
        <f>IFERROR(SUMIF(Issues!B:B, A622, Issues!H:H), 0)</f>
        <v>2000</v>
      </c>
      <c r="H622" s="52">
        <f>IFERROR(SUMIF(Returns!B:B, A622, Returns!H:H), 0)</f>
        <v>1490</v>
      </c>
      <c r="I622" s="52"/>
      <c r="J622" s="3">
        <v>1.0</v>
      </c>
      <c r="K622" s="3">
        <v>112.0</v>
      </c>
      <c r="L622" s="53">
        <f t="shared" si="5"/>
        <v>0</v>
      </c>
      <c r="M622" s="52">
        <f t="shared" si="6"/>
        <v>510</v>
      </c>
      <c r="N622" s="54">
        <f t="shared" si="7"/>
        <v>510</v>
      </c>
      <c r="O622" s="54">
        <f t="shared" si="8"/>
        <v>107.1</v>
      </c>
    </row>
    <row r="623" ht="22.5" customHeight="1">
      <c r="A623" s="15" t="s">
        <v>829</v>
      </c>
      <c r="B623" s="13" t="s">
        <v>9</v>
      </c>
      <c r="C623" s="13">
        <v>80.0</v>
      </c>
      <c r="D623" s="15">
        <v>250.0</v>
      </c>
      <c r="E623" s="7">
        <v>398.0</v>
      </c>
      <c r="F623" s="7">
        <v>543.0</v>
      </c>
      <c r="G623" s="52">
        <f>IFERROR(SUMIF(Issues!B:B, A623, Issues!H:H), 0)</f>
        <v>650</v>
      </c>
      <c r="H623" s="52">
        <f>IFERROR(SUMIF(Returns!B:B, A623, Returns!H:H), 0)</f>
        <v>100</v>
      </c>
      <c r="I623" s="3">
        <v>5490.0</v>
      </c>
      <c r="J623" s="3">
        <v>3.0</v>
      </c>
      <c r="K623" s="3">
        <v>75.0</v>
      </c>
      <c r="L623" s="53">
        <f t="shared" si="5"/>
        <v>436.5458015</v>
      </c>
      <c r="M623" s="52">
        <f t="shared" si="6"/>
        <v>550</v>
      </c>
      <c r="N623" s="54">
        <f t="shared" si="7"/>
        <v>113.4541985</v>
      </c>
      <c r="O623" s="54">
        <f t="shared" si="8"/>
        <v>28.36354962</v>
      </c>
    </row>
    <row r="624" ht="22.5" customHeight="1">
      <c r="A624" s="15" t="s">
        <v>830</v>
      </c>
      <c r="B624" s="13" t="s">
        <v>9</v>
      </c>
      <c r="C624" s="13">
        <v>80.0</v>
      </c>
      <c r="D624" s="15">
        <v>160.0</v>
      </c>
      <c r="E624" s="7">
        <v>461.0</v>
      </c>
      <c r="F624" s="7">
        <v>617.0</v>
      </c>
      <c r="G624" s="52">
        <f>IFERROR(SUMIF(Issues!B:B, A624, Issues!H:H), 0)</f>
        <v>1000</v>
      </c>
      <c r="H624" s="52">
        <f>IFERROR(SUMIF(Returns!B:B, A624, Returns!H:H), 0)</f>
        <v>380</v>
      </c>
      <c r="I624" s="3">
        <v>5700.0</v>
      </c>
      <c r="J624" s="3">
        <v>4.0</v>
      </c>
      <c r="K624" s="3">
        <v>116.0</v>
      </c>
      <c r="L624" s="53">
        <f t="shared" si="5"/>
        <v>525.7633588</v>
      </c>
      <c r="M624" s="52">
        <f t="shared" si="6"/>
        <v>620</v>
      </c>
      <c r="N624" s="54">
        <f t="shared" si="7"/>
        <v>94.23664122</v>
      </c>
      <c r="O624" s="54">
        <f t="shared" si="8"/>
        <v>15.0778626</v>
      </c>
    </row>
    <row r="625" ht="22.5" customHeight="1">
      <c r="A625" s="15" t="s">
        <v>831</v>
      </c>
      <c r="B625" s="13" t="s">
        <v>9</v>
      </c>
      <c r="C625" s="13">
        <v>80.0</v>
      </c>
      <c r="D625" s="15">
        <v>170.0</v>
      </c>
      <c r="E625" s="7">
        <v>682.0</v>
      </c>
      <c r="F625" s="7">
        <v>853.0</v>
      </c>
      <c r="G625" s="52">
        <f>IFERROR(SUMIF(Issues!B:B, A625, Issues!H:H), 0)</f>
        <v>2000</v>
      </c>
      <c r="H625" s="52">
        <f>IFERROR(SUMIF(Returns!B:B, A625, Returns!H:H), 0)</f>
        <v>1140</v>
      </c>
      <c r="I625" s="3">
        <v>1590.0</v>
      </c>
      <c r="J625" s="3">
        <v>6.0</v>
      </c>
      <c r="K625" s="3">
        <v>99.0</v>
      </c>
      <c r="L625" s="53">
        <f t="shared" si="5"/>
        <v>83.44465649</v>
      </c>
      <c r="M625" s="52">
        <f t="shared" si="6"/>
        <v>860</v>
      </c>
      <c r="N625" s="54">
        <f t="shared" si="7"/>
        <v>776.5553435</v>
      </c>
      <c r="O625" s="54">
        <f t="shared" si="8"/>
        <v>132.0144084</v>
      </c>
    </row>
    <row r="626" ht="22.5" customHeight="1">
      <c r="A626" s="15" t="s">
        <v>832</v>
      </c>
      <c r="B626" s="13" t="s">
        <v>9</v>
      </c>
      <c r="C626" s="13">
        <v>80.0</v>
      </c>
      <c r="D626" s="15">
        <v>330.0</v>
      </c>
      <c r="E626" s="7">
        <v>3276.0</v>
      </c>
      <c r="F626" s="7">
        <v>3625.0</v>
      </c>
      <c r="G626" s="52">
        <f>IFERROR(SUMIF(Issues!B:B, A626, Issues!H:H), 0)</f>
        <v>3800</v>
      </c>
      <c r="H626" s="52">
        <f>IFERROR(SUMIF(Returns!B:B, A626, Returns!H:H), 0)</f>
        <v>170</v>
      </c>
      <c r="I626" s="3">
        <v>43020.0</v>
      </c>
      <c r="J626" s="3">
        <v>3.0</v>
      </c>
      <c r="K626" s="3">
        <v>75.0</v>
      </c>
      <c r="L626" s="53">
        <f t="shared" si="5"/>
        <v>3420.801527</v>
      </c>
      <c r="M626" s="52">
        <f t="shared" si="6"/>
        <v>3630</v>
      </c>
      <c r="N626" s="54">
        <f t="shared" si="7"/>
        <v>209.1984733</v>
      </c>
      <c r="O626" s="54">
        <f t="shared" si="8"/>
        <v>69.03549618</v>
      </c>
    </row>
    <row r="627" ht="22.5" customHeight="1">
      <c r="A627" s="15" t="s">
        <v>833</v>
      </c>
      <c r="B627" s="13" t="s">
        <v>9</v>
      </c>
      <c r="C627" s="13">
        <v>80.0</v>
      </c>
      <c r="D627" s="15">
        <v>210.0</v>
      </c>
      <c r="E627" s="7">
        <v>149.0</v>
      </c>
      <c r="F627" s="7">
        <v>343.0</v>
      </c>
      <c r="G627" s="52">
        <f>IFERROR(SUMIF(Issues!B:B, A627, Issues!H:H), 0)</f>
        <v>1490</v>
      </c>
      <c r="H627" s="52">
        <f>IFERROR(SUMIF(Returns!B:B, A627, Returns!H:H), 0)</f>
        <v>1140</v>
      </c>
      <c r="I627" s="3">
        <v>4350.0</v>
      </c>
      <c r="J627" s="3">
        <v>6.0</v>
      </c>
      <c r="K627" s="3">
        <v>94.0</v>
      </c>
      <c r="L627" s="53">
        <f t="shared" si="5"/>
        <v>216.7620865</v>
      </c>
      <c r="M627" s="52">
        <f t="shared" si="6"/>
        <v>350</v>
      </c>
      <c r="N627" s="54">
        <f t="shared" si="7"/>
        <v>133.2379135</v>
      </c>
      <c r="O627" s="54">
        <f t="shared" si="8"/>
        <v>27.97996183</v>
      </c>
    </row>
    <row r="628" ht="22.5" customHeight="1">
      <c r="A628" s="15" t="s">
        <v>834</v>
      </c>
      <c r="B628" s="13" t="s">
        <v>9</v>
      </c>
      <c r="C628" s="13">
        <v>80.0</v>
      </c>
      <c r="D628" s="15">
        <v>330.0</v>
      </c>
      <c r="E628" s="7">
        <v>515.0</v>
      </c>
      <c r="F628" s="7">
        <v>670.0</v>
      </c>
      <c r="G628" s="52">
        <f>IFERROR(SUMIF(Issues!B:B, A628, Issues!H:H), 0)</f>
        <v>2000</v>
      </c>
      <c r="H628" s="52">
        <f>IFERROR(SUMIF(Returns!B:B, A628, Returns!H:H), 0)</f>
        <v>1330</v>
      </c>
      <c r="I628" s="3">
        <v>3800.0</v>
      </c>
      <c r="J628" s="3">
        <v>2.0</v>
      </c>
      <c r="K628" s="3">
        <v>108.0</v>
      </c>
      <c r="L628" s="53">
        <f t="shared" si="5"/>
        <v>652.6717557</v>
      </c>
      <c r="M628" s="52">
        <f t="shared" si="6"/>
        <v>670</v>
      </c>
      <c r="N628" s="54">
        <f t="shared" si="7"/>
        <v>17.32824427</v>
      </c>
      <c r="O628" s="54">
        <f t="shared" si="8"/>
        <v>5.718320611</v>
      </c>
    </row>
    <row r="629" ht="22.5" customHeight="1">
      <c r="A629" s="15" t="s">
        <v>835</v>
      </c>
      <c r="B629" s="13" t="s">
        <v>9</v>
      </c>
      <c r="C629" s="13">
        <v>80.0</v>
      </c>
      <c r="D629" s="15">
        <v>125.0</v>
      </c>
      <c r="E629" s="7">
        <v>1718.0</v>
      </c>
      <c r="F629" s="7">
        <v>11523.0</v>
      </c>
      <c r="G629" s="52">
        <f>IFERROR(SUMIF(Issues!B:B, A629, Issues!H:H), 0)</f>
        <v>1990</v>
      </c>
      <c r="H629" s="52">
        <f>IFERROR(SUMIF(Returns!B:B, A629, Returns!H:H), 0)</f>
        <v>270</v>
      </c>
      <c r="I629" s="3">
        <v>10780.0</v>
      </c>
      <c r="J629" s="3">
        <v>2.0</v>
      </c>
      <c r="K629" s="3">
        <v>108.0</v>
      </c>
      <c r="L629" s="53">
        <f t="shared" si="5"/>
        <v>1851.526718</v>
      </c>
      <c r="M629" s="52">
        <f t="shared" si="6"/>
        <v>1720</v>
      </c>
      <c r="N629" s="54">
        <f t="shared" si="7"/>
        <v>0</v>
      </c>
      <c r="O629" s="54">
        <f t="shared" si="8"/>
        <v>0</v>
      </c>
    </row>
    <row r="630" ht="22.5" customHeight="1">
      <c r="A630" s="15" t="s">
        <v>836</v>
      </c>
      <c r="B630" s="13" t="s">
        <v>9</v>
      </c>
      <c r="C630" s="13">
        <v>80.0</v>
      </c>
      <c r="D630" s="15">
        <v>125.0</v>
      </c>
      <c r="E630" s="7">
        <v>859.0</v>
      </c>
      <c r="F630" s="7">
        <v>1030.0</v>
      </c>
      <c r="G630" s="52">
        <f>IFERROR(SUMIF(Issues!B:B, A630, Issues!H:H), 0)</f>
        <v>1990</v>
      </c>
      <c r="H630" s="52">
        <f>IFERROR(SUMIF(Returns!B:B, A630, Returns!H:H), 0)</f>
        <v>960</v>
      </c>
      <c r="I630" s="3">
        <v>5500.0</v>
      </c>
      <c r="J630" s="3">
        <v>2.0</v>
      </c>
      <c r="K630" s="3">
        <v>108.0</v>
      </c>
      <c r="L630" s="53">
        <f t="shared" si="5"/>
        <v>944.6564885</v>
      </c>
      <c r="M630" s="52">
        <f t="shared" si="6"/>
        <v>1030</v>
      </c>
      <c r="N630" s="54">
        <f t="shared" si="7"/>
        <v>85.34351145</v>
      </c>
      <c r="O630" s="54">
        <f t="shared" si="8"/>
        <v>10.66793893</v>
      </c>
    </row>
    <row r="631" ht="22.5" customHeight="1">
      <c r="A631" s="15" t="s">
        <v>838</v>
      </c>
      <c r="B631" s="13" t="s">
        <v>9</v>
      </c>
      <c r="C631" s="13">
        <v>80.0</v>
      </c>
      <c r="D631" s="15">
        <v>125.0</v>
      </c>
      <c r="E631" s="7">
        <v>515.0</v>
      </c>
      <c r="F631" s="7">
        <v>699.0</v>
      </c>
      <c r="G631" s="52">
        <f>IFERROR(SUMIF(Issues!B:B, A631, Issues!H:H), 0)</f>
        <v>960</v>
      </c>
      <c r="H631" s="52">
        <f>IFERROR(SUMIF(Returns!B:B, A631, Returns!H:H), 0)</f>
        <v>260</v>
      </c>
      <c r="I631" s="3">
        <v>3400.0</v>
      </c>
      <c r="J631" s="3">
        <v>2.0</v>
      </c>
      <c r="K631" s="3">
        <v>108.0</v>
      </c>
      <c r="L631" s="53">
        <f t="shared" si="5"/>
        <v>583.9694656</v>
      </c>
      <c r="M631" s="52">
        <f t="shared" si="6"/>
        <v>700</v>
      </c>
      <c r="N631" s="54">
        <f t="shared" si="7"/>
        <v>116.0305344</v>
      </c>
      <c r="O631" s="54">
        <f t="shared" si="8"/>
        <v>14.50381679</v>
      </c>
    </row>
    <row r="632" ht="22.5" customHeight="1">
      <c r="A632" s="15" t="s">
        <v>839</v>
      </c>
      <c r="B632" s="13" t="s">
        <v>9</v>
      </c>
      <c r="C632" s="13">
        <v>80.0</v>
      </c>
      <c r="D632" s="15">
        <v>160.0</v>
      </c>
      <c r="E632" s="7">
        <v>1132.0</v>
      </c>
      <c r="F632" s="7">
        <v>1410.0</v>
      </c>
      <c r="G632" s="52">
        <f>IFERROR(SUMIF(Issues!B:B, A632, Issues!H:H), 0)</f>
        <v>2145</v>
      </c>
      <c r="H632" s="52">
        <f>IFERROR(SUMIF(Returns!B:B, A632, Returns!H:H), 0)</f>
        <v>730</v>
      </c>
      <c r="I632" s="52"/>
      <c r="J632" s="3">
        <v>1.0</v>
      </c>
      <c r="K632" s="3">
        <v>89.0</v>
      </c>
      <c r="L632" s="53">
        <f t="shared" si="5"/>
        <v>0</v>
      </c>
      <c r="M632" s="52">
        <f t="shared" si="6"/>
        <v>1415</v>
      </c>
      <c r="N632" s="54">
        <f t="shared" si="7"/>
        <v>1415</v>
      </c>
      <c r="O632" s="54">
        <f t="shared" si="8"/>
        <v>226.4</v>
      </c>
    </row>
    <row r="633" ht="22.5" customHeight="1">
      <c r="A633" s="15" t="s">
        <v>840</v>
      </c>
      <c r="B633" s="13" t="s">
        <v>9</v>
      </c>
      <c r="C633" s="13">
        <v>80.0</v>
      </c>
      <c r="D633" s="15">
        <v>230.0</v>
      </c>
      <c r="E633" s="7">
        <v>394.0</v>
      </c>
      <c r="F633" s="7">
        <v>643.0</v>
      </c>
      <c r="G633" s="52">
        <f>IFERROR(SUMIF(Issues!B:B, A633, Issues!H:H), 0)</f>
        <v>850</v>
      </c>
      <c r="H633" s="52">
        <f>IFERROR(SUMIF(Returns!B:B, A633, Returns!H:H), 0)</f>
        <v>200</v>
      </c>
      <c r="I633" s="52"/>
      <c r="J633" s="3">
        <v>6.0</v>
      </c>
      <c r="K633" s="3">
        <v>124.0</v>
      </c>
      <c r="L633" s="53">
        <f t="shared" si="5"/>
        <v>0</v>
      </c>
      <c r="M633" s="52">
        <f t="shared" si="6"/>
        <v>650</v>
      </c>
      <c r="N633" s="54">
        <f t="shared" si="7"/>
        <v>650</v>
      </c>
      <c r="O633" s="54">
        <f t="shared" si="8"/>
        <v>149.5</v>
      </c>
    </row>
    <row r="634" ht="22.5" customHeight="1">
      <c r="A634" s="15" t="s">
        <v>841</v>
      </c>
      <c r="B634" s="38"/>
      <c r="C634" s="13">
        <v>60.0</v>
      </c>
      <c r="D634" s="15">
        <v>172.0</v>
      </c>
      <c r="E634" s="7">
        <v>719.0</v>
      </c>
      <c r="F634" s="7">
        <v>1090.0</v>
      </c>
      <c r="G634" s="52">
        <f>IFERROR(SUMIF(Issues!B:B, A634, Issues!H:H), 0)</f>
        <v>2570</v>
      </c>
      <c r="H634" s="52">
        <f>IFERROR(SUMIF(Returns!B:B, A634, Returns!H:H), 0)</f>
        <v>1480</v>
      </c>
      <c r="I634" s="52"/>
      <c r="J634" s="3">
        <v>2.0</v>
      </c>
      <c r="K634" s="3">
        <v>66.0</v>
      </c>
      <c r="L634" s="53">
        <f t="shared" si="5"/>
        <v>0</v>
      </c>
      <c r="M634" s="52">
        <f t="shared" si="6"/>
        <v>1090</v>
      </c>
      <c r="N634" s="54">
        <f t="shared" si="7"/>
        <v>1090</v>
      </c>
      <c r="O634" s="54">
        <f t="shared" si="8"/>
        <v>187.48</v>
      </c>
    </row>
    <row r="635" ht="22.5" customHeight="1">
      <c r="A635" s="15" t="s">
        <v>842</v>
      </c>
      <c r="B635" s="38"/>
      <c r="C635" s="13">
        <v>60.0</v>
      </c>
      <c r="D635" s="15">
        <v>172.0</v>
      </c>
      <c r="E635" s="7">
        <v>214.0</v>
      </c>
      <c r="F635" s="7">
        <v>525.0</v>
      </c>
      <c r="G635" s="52">
        <f>IFERROR(SUMIF(Issues!B:B, A635, Issues!H:H), 0)</f>
        <v>1100</v>
      </c>
      <c r="H635" s="52">
        <f>IFERROR(SUMIF(Returns!B:B, A635, Returns!H:H), 0)</f>
        <v>570</v>
      </c>
      <c r="I635" s="52"/>
      <c r="J635" s="3">
        <v>2.0</v>
      </c>
      <c r="K635" s="3">
        <v>66.0</v>
      </c>
      <c r="L635" s="53">
        <f t="shared" si="5"/>
        <v>0</v>
      </c>
      <c r="M635" s="52">
        <f t="shared" si="6"/>
        <v>530</v>
      </c>
      <c r="N635" s="54">
        <f t="shared" si="7"/>
        <v>530</v>
      </c>
      <c r="O635" s="54">
        <f t="shared" si="8"/>
        <v>91.16</v>
      </c>
    </row>
    <row r="636" ht="22.5" customHeight="1">
      <c r="A636" s="15" t="s">
        <v>843</v>
      </c>
      <c r="B636" s="13" t="s">
        <v>9</v>
      </c>
      <c r="C636" s="13">
        <v>80.0</v>
      </c>
      <c r="D636" s="15">
        <v>160.0</v>
      </c>
      <c r="E636" s="7">
        <v>4246.0</v>
      </c>
      <c r="F636" s="7">
        <v>4623.0</v>
      </c>
      <c r="G636" s="52">
        <f>IFERROR(SUMIF(Issues!B:B, A636, Issues!H:H), 0)</f>
        <v>5490</v>
      </c>
      <c r="H636" s="52">
        <f>IFERROR(SUMIF(Returns!B:B, A636, Returns!H:H), 0)</f>
        <v>860</v>
      </c>
      <c r="I636" s="52"/>
      <c r="J636" s="3">
        <v>1.0</v>
      </c>
      <c r="K636" s="3">
        <v>89.0</v>
      </c>
      <c r="L636" s="53">
        <f t="shared" si="5"/>
        <v>0</v>
      </c>
      <c r="M636" s="52">
        <f t="shared" si="6"/>
        <v>4630</v>
      </c>
      <c r="N636" s="54">
        <f t="shared" si="7"/>
        <v>4630</v>
      </c>
      <c r="O636" s="54">
        <f t="shared" si="8"/>
        <v>740.8</v>
      </c>
    </row>
    <row r="637" ht="22.5" customHeight="1">
      <c r="A637" s="15" t="s">
        <v>844</v>
      </c>
      <c r="B637" s="13" t="s">
        <v>9</v>
      </c>
      <c r="C637" s="13">
        <v>80.0</v>
      </c>
      <c r="D637" s="15">
        <v>160.0</v>
      </c>
      <c r="E637" s="7">
        <v>1415.0</v>
      </c>
      <c r="F637" s="7">
        <v>1641.0</v>
      </c>
      <c r="G637" s="52">
        <f>IFERROR(SUMIF(Issues!B:B, A637, Issues!H:H), 0)</f>
        <v>2100</v>
      </c>
      <c r="H637" s="52">
        <f>IFERROR(SUMIF(Returns!B:B, A637, Returns!H:H), 0)</f>
        <v>450</v>
      </c>
      <c r="I637" s="52"/>
      <c r="J637" s="3">
        <v>1.0</v>
      </c>
      <c r="K637" s="3">
        <v>89.0</v>
      </c>
      <c r="L637" s="53">
        <f t="shared" si="5"/>
        <v>0</v>
      </c>
      <c r="M637" s="52">
        <f t="shared" si="6"/>
        <v>1650</v>
      </c>
      <c r="N637" s="54">
        <f t="shared" si="7"/>
        <v>1650</v>
      </c>
      <c r="O637" s="54">
        <f t="shared" si="8"/>
        <v>264</v>
      </c>
    </row>
    <row r="638" ht="22.5" customHeight="1">
      <c r="A638" s="15" t="s">
        <v>845</v>
      </c>
      <c r="B638" s="13" t="s">
        <v>9</v>
      </c>
      <c r="C638" s="13">
        <v>80.0</v>
      </c>
      <c r="D638" s="15">
        <v>140.0</v>
      </c>
      <c r="E638" s="7">
        <v>732.0</v>
      </c>
      <c r="F638" s="7">
        <v>898.0</v>
      </c>
      <c r="G638" s="52">
        <f>IFERROR(SUMIF(Issues!B:B, A638, Issues!H:H), 0)</f>
        <v>1700</v>
      </c>
      <c r="H638" s="52">
        <f>IFERROR(SUMIF(Returns!B:B, A638, Returns!H:H), 0)</f>
        <v>800</v>
      </c>
      <c r="I638" s="52"/>
      <c r="J638" s="3">
        <v>4.0</v>
      </c>
      <c r="K638" s="3">
        <v>92.0</v>
      </c>
      <c r="L638" s="53">
        <f t="shared" si="5"/>
        <v>0</v>
      </c>
      <c r="M638" s="52">
        <f t="shared" si="6"/>
        <v>900</v>
      </c>
      <c r="N638" s="54">
        <f t="shared" si="7"/>
        <v>900</v>
      </c>
      <c r="O638" s="54">
        <f t="shared" si="8"/>
        <v>126</v>
      </c>
    </row>
    <row r="639" ht="22.5" customHeight="1">
      <c r="A639" s="15" t="s">
        <v>846</v>
      </c>
      <c r="B639" s="13" t="s">
        <v>26</v>
      </c>
      <c r="C639" s="13">
        <v>80.0</v>
      </c>
      <c r="D639" s="15">
        <v>135.0</v>
      </c>
      <c r="E639" s="7">
        <v>811.0</v>
      </c>
      <c r="F639" s="7">
        <v>1140.0</v>
      </c>
      <c r="G639" s="52">
        <f>IFERROR(SUMIF(Issues!B:B, A639, Issues!H:H), 0)</f>
        <v>1500</v>
      </c>
      <c r="H639" s="52">
        <f>IFERROR(SUMIF(Returns!B:B, A639, Returns!H:H), 0)</f>
        <v>360</v>
      </c>
      <c r="I639" s="52"/>
      <c r="J639" s="3">
        <v>2.0</v>
      </c>
      <c r="K639" s="3">
        <v>85.0</v>
      </c>
      <c r="L639" s="53">
        <f t="shared" si="5"/>
        <v>0</v>
      </c>
      <c r="M639" s="52">
        <f t="shared" si="6"/>
        <v>1140</v>
      </c>
      <c r="N639" s="54">
        <f t="shared" si="7"/>
        <v>1140</v>
      </c>
      <c r="O639" s="54">
        <f t="shared" si="8"/>
        <v>153.9</v>
      </c>
    </row>
    <row r="640" ht="22.5" customHeight="1">
      <c r="A640" s="15" t="s">
        <v>847</v>
      </c>
      <c r="B640" s="13" t="s">
        <v>9</v>
      </c>
      <c r="C640" s="13">
        <v>80.0</v>
      </c>
      <c r="D640" s="15">
        <v>140.0</v>
      </c>
      <c r="E640" s="7">
        <v>859.0</v>
      </c>
      <c r="F640" s="7">
        <v>1070.0</v>
      </c>
      <c r="G640" s="52">
        <f>IFERROR(SUMIF(Issues!B:B, A640, Issues!H:H), 0)</f>
        <v>1370</v>
      </c>
      <c r="H640" s="52">
        <f>IFERROR(SUMIF(Returns!B:B, A640, Returns!H:H), 0)</f>
        <v>300</v>
      </c>
      <c r="I640" s="52"/>
      <c r="J640" s="3">
        <v>4.0</v>
      </c>
      <c r="K640" s="3">
        <v>108.0</v>
      </c>
      <c r="L640" s="53">
        <f t="shared" si="5"/>
        <v>0</v>
      </c>
      <c r="M640" s="52">
        <f t="shared" si="6"/>
        <v>1070</v>
      </c>
      <c r="N640" s="54">
        <f t="shared" si="7"/>
        <v>1070</v>
      </c>
      <c r="O640" s="54">
        <f t="shared" si="8"/>
        <v>149.8</v>
      </c>
    </row>
    <row r="641" ht="22.5" customHeight="1">
      <c r="A641" s="15" t="s">
        <v>848</v>
      </c>
      <c r="B641" s="13" t="s">
        <v>9</v>
      </c>
      <c r="C641" s="13">
        <v>80.0</v>
      </c>
      <c r="D641" s="15">
        <v>290.0</v>
      </c>
      <c r="E641" s="7">
        <v>12483.0</v>
      </c>
      <c r="F641" s="7">
        <v>13507.0</v>
      </c>
      <c r="G641" s="52">
        <f>IFERROR(SUMIF(Issues!B:B, A641, Issues!H:H), 0)</f>
        <v>14000</v>
      </c>
      <c r="H641" s="52">
        <f>IFERROR(SUMIF(Returns!B:B, A641, Returns!H:H), 0)</f>
        <v>250</v>
      </c>
      <c r="I641" s="52"/>
      <c r="J641" s="3">
        <v>2.0</v>
      </c>
      <c r="K641" s="3">
        <v>94.0</v>
      </c>
      <c r="L641" s="53">
        <f t="shared" si="5"/>
        <v>0</v>
      </c>
      <c r="M641" s="52">
        <f t="shared" si="6"/>
        <v>13750</v>
      </c>
      <c r="N641" s="54">
        <f t="shared" si="7"/>
        <v>13750</v>
      </c>
      <c r="O641" s="54">
        <f t="shared" si="8"/>
        <v>3987.5</v>
      </c>
    </row>
    <row r="642" ht="22.5" customHeight="1">
      <c r="A642" s="15" t="s">
        <v>849</v>
      </c>
      <c r="B642" s="13" t="s">
        <v>9</v>
      </c>
      <c r="C642" s="13">
        <v>80.0</v>
      </c>
      <c r="D642" s="15">
        <v>125.0</v>
      </c>
      <c r="E642" s="7">
        <v>3487.0</v>
      </c>
      <c r="F642" s="7">
        <v>3669.0</v>
      </c>
      <c r="G642" s="52">
        <f>IFERROR(SUMIF(Issues!B:B, A642, Issues!H:H), 0)</f>
        <v>3950</v>
      </c>
      <c r="H642" s="52">
        <f>IFERROR(SUMIF(Returns!B:B, A642, Returns!H:H), 0)</f>
        <v>0</v>
      </c>
      <c r="I642" s="52"/>
      <c r="J642" s="3">
        <v>2.0</v>
      </c>
      <c r="K642" s="3">
        <v>108.0</v>
      </c>
      <c r="L642" s="53">
        <f t="shared" si="5"/>
        <v>0</v>
      </c>
      <c r="M642" s="52">
        <f t="shared" si="6"/>
        <v>3950</v>
      </c>
      <c r="N642" s="54">
        <f t="shared" si="7"/>
        <v>3950</v>
      </c>
      <c r="O642" s="54">
        <f t="shared" si="8"/>
        <v>493.75</v>
      </c>
    </row>
    <row r="643" ht="22.5" customHeight="1">
      <c r="A643" s="15" t="s">
        <v>850</v>
      </c>
      <c r="B643" s="13" t="s">
        <v>9</v>
      </c>
      <c r="C643" s="13">
        <v>80.0</v>
      </c>
      <c r="D643" s="15">
        <v>125.0</v>
      </c>
      <c r="E643" s="7">
        <v>1718.0</v>
      </c>
      <c r="F643" s="7">
        <v>1975.0</v>
      </c>
      <c r="G643" s="52">
        <f>IFERROR(SUMIF(Issues!B:B, A643, Issues!H:H), 0)</f>
        <v>2000</v>
      </c>
      <c r="H643" s="52">
        <f>IFERROR(SUMIF(Returns!B:B, A643, Returns!H:H), 0)</f>
        <v>0</v>
      </c>
      <c r="I643" s="3">
        <v>10520.0</v>
      </c>
      <c r="J643" s="3">
        <v>2.0</v>
      </c>
      <c r="K643" s="3">
        <v>108.0</v>
      </c>
      <c r="L643" s="53">
        <f t="shared" si="5"/>
        <v>1806.870229</v>
      </c>
      <c r="M643" s="52">
        <f t="shared" si="6"/>
        <v>2000</v>
      </c>
      <c r="N643" s="54">
        <f t="shared" si="7"/>
        <v>193.129771</v>
      </c>
      <c r="O643" s="54">
        <f t="shared" si="8"/>
        <v>24.14122137</v>
      </c>
    </row>
    <row r="644" ht="22.5" customHeight="1">
      <c r="A644" s="15" t="s">
        <v>851</v>
      </c>
      <c r="B644" s="13" t="s">
        <v>9</v>
      </c>
      <c r="C644" s="13">
        <v>80.0</v>
      </c>
      <c r="D644" s="15">
        <v>140.0</v>
      </c>
      <c r="E644" s="7">
        <v>878.0</v>
      </c>
      <c r="F644" s="7">
        <v>1127.0</v>
      </c>
      <c r="G644" s="52">
        <f>IFERROR(SUMIF(Issues!B:B, A644, Issues!H:H), 0)</f>
        <v>2500</v>
      </c>
      <c r="H644" s="52">
        <f>IFERROR(SUMIF(Returns!B:B, A644, Returns!H:H), 0)</f>
        <v>1370</v>
      </c>
      <c r="I644" s="52"/>
      <c r="J644" s="3">
        <v>1.0</v>
      </c>
      <c r="K644" s="3">
        <v>69.0</v>
      </c>
      <c r="L644" s="53">
        <f t="shared" si="5"/>
        <v>0</v>
      </c>
      <c r="M644" s="52">
        <f t="shared" si="6"/>
        <v>1130</v>
      </c>
      <c r="N644" s="54">
        <f t="shared" si="7"/>
        <v>1130</v>
      </c>
      <c r="O644" s="54">
        <f t="shared" si="8"/>
        <v>158.2</v>
      </c>
    </row>
    <row r="645" ht="22.5" customHeight="1">
      <c r="A645" s="15" t="s">
        <v>852</v>
      </c>
      <c r="B645" s="13" t="s">
        <v>9</v>
      </c>
      <c r="C645" s="13">
        <v>80.0</v>
      </c>
      <c r="D645" s="15">
        <v>230.0</v>
      </c>
      <c r="E645" s="7">
        <v>329.0</v>
      </c>
      <c r="F645" s="7">
        <v>532.0</v>
      </c>
      <c r="G645" s="52">
        <f>IFERROR(SUMIF(Issues!B:B, A645, Issues!H:H), 0)</f>
        <v>700</v>
      </c>
      <c r="H645" s="52">
        <f>IFERROR(SUMIF(Returns!B:B, A645, Returns!H:H), 0)</f>
        <v>160</v>
      </c>
      <c r="I645" s="52"/>
      <c r="J645" s="3">
        <v>6.0</v>
      </c>
      <c r="K645" s="3">
        <v>124.0</v>
      </c>
      <c r="L645" s="53">
        <f t="shared" si="5"/>
        <v>0</v>
      </c>
      <c r="M645" s="52">
        <f t="shared" si="6"/>
        <v>540</v>
      </c>
      <c r="N645" s="54">
        <f t="shared" si="7"/>
        <v>540</v>
      </c>
      <c r="O645" s="54">
        <f t="shared" si="8"/>
        <v>124.2</v>
      </c>
    </row>
    <row r="646" ht="22.5" customHeight="1">
      <c r="A646" s="15" t="s">
        <v>853</v>
      </c>
      <c r="B646" s="13" t="s">
        <v>9</v>
      </c>
      <c r="C646" s="13">
        <v>80.0</v>
      </c>
      <c r="D646" s="15">
        <v>150.0</v>
      </c>
      <c r="E646" s="7">
        <v>914.0</v>
      </c>
      <c r="F646" s="7">
        <v>1135.0</v>
      </c>
      <c r="G646" s="52">
        <f>IFERROR(SUMIF(Issues!B:B, A646, Issues!H:H), 0)</f>
        <v>2540</v>
      </c>
      <c r="H646" s="52">
        <f>IFERROR(SUMIF(Returns!B:B, A646, Returns!H:H), 0)</f>
        <v>1350</v>
      </c>
      <c r="I646" s="52"/>
      <c r="J646" s="3">
        <v>8.0</v>
      </c>
      <c r="K646" s="3">
        <v>92.0</v>
      </c>
      <c r="L646" s="53">
        <f t="shared" si="5"/>
        <v>0</v>
      </c>
      <c r="M646" s="52">
        <f t="shared" si="6"/>
        <v>1190</v>
      </c>
      <c r="N646" s="54">
        <f t="shared" si="7"/>
        <v>1190</v>
      </c>
      <c r="O646" s="54">
        <f t="shared" si="8"/>
        <v>178.5</v>
      </c>
    </row>
    <row r="647" ht="22.5" customHeight="1">
      <c r="A647" s="15" t="s">
        <v>854</v>
      </c>
      <c r="B647" s="13" t="s">
        <v>9</v>
      </c>
      <c r="C647" s="13">
        <v>80.0</v>
      </c>
      <c r="D647" s="15">
        <v>280.0</v>
      </c>
      <c r="E647" s="7">
        <v>3365.0</v>
      </c>
      <c r="F647" s="7">
        <v>3800.0</v>
      </c>
      <c r="G647" s="52">
        <f>IFERROR(SUMIF(Issues!B:B, A647, Issues!H:H), 0)</f>
        <v>4000</v>
      </c>
      <c r="H647" s="52">
        <f>IFERROR(SUMIF(Returns!B:B, A647, Returns!H:H), 0)</f>
        <v>200</v>
      </c>
      <c r="I647" s="52"/>
      <c r="J647" s="3">
        <v>2.0</v>
      </c>
      <c r="K647" s="3">
        <v>92.0</v>
      </c>
      <c r="L647" s="53">
        <f t="shared" si="5"/>
        <v>0</v>
      </c>
      <c r="M647" s="52">
        <f t="shared" si="6"/>
        <v>3800</v>
      </c>
      <c r="N647" s="54">
        <f t="shared" si="7"/>
        <v>3800</v>
      </c>
      <c r="O647" s="54">
        <f t="shared" si="8"/>
        <v>1064</v>
      </c>
    </row>
    <row r="648" ht="22.5" customHeight="1">
      <c r="A648" s="15" t="s">
        <v>855</v>
      </c>
      <c r="B648" s="13" t="s">
        <v>9</v>
      </c>
      <c r="C648" s="13">
        <v>80.0</v>
      </c>
      <c r="D648" s="15">
        <v>290.0</v>
      </c>
      <c r="E648" s="7">
        <v>14949.0</v>
      </c>
      <c r="F648" s="7">
        <v>15932.0</v>
      </c>
      <c r="G648" s="52">
        <f>IFERROR(SUMIF(Issues!B:B, A648, Issues!H:H), 0)</f>
        <v>16250</v>
      </c>
      <c r="H648" s="52">
        <f>IFERROR(SUMIF(Returns!B:B, A648, Returns!H:H), 0)</f>
        <v>310</v>
      </c>
      <c r="I648" s="52"/>
      <c r="J648" s="3">
        <v>2.0</v>
      </c>
      <c r="K648" s="3">
        <v>94.0</v>
      </c>
      <c r="L648" s="53">
        <f t="shared" si="5"/>
        <v>0</v>
      </c>
      <c r="M648" s="52">
        <f t="shared" si="6"/>
        <v>15940</v>
      </c>
      <c r="N648" s="54">
        <f t="shared" si="7"/>
        <v>15940</v>
      </c>
      <c r="O648" s="54">
        <f t="shared" si="8"/>
        <v>4622.6</v>
      </c>
    </row>
    <row r="649" ht="22.5" customHeight="1">
      <c r="A649" s="15" t="s">
        <v>856</v>
      </c>
      <c r="B649" s="13" t="s">
        <v>9</v>
      </c>
      <c r="C649" s="13">
        <v>80.0</v>
      </c>
      <c r="D649" s="15">
        <v>150.0</v>
      </c>
      <c r="E649" s="7">
        <v>1280.0</v>
      </c>
      <c r="F649" s="7">
        <v>1422.0</v>
      </c>
      <c r="G649" s="52">
        <f>IFERROR(SUMIF(Issues!B:B, A649, Issues!H:H), 0)</f>
        <v>1970</v>
      </c>
      <c r="H649" s="52">
        <f>IFERROR(SUMIF(Returns!B:B, A649, Returns!H:H), 0)</f>
        <v>540</v>
      </c>
      <c r="I649" s="52"/>
      <c r="J649" s="3">
        <v>8.0</v>
      </c>
      <c r="K649" s="3">
        <v>92.0</v>
      </c>
      <c r="L649" s="53">
        <f t="shared" si="5"/>
        <v>0</v>
      </c>
      <c r="M649" s="52">
        <f t="shared" si="6"/>
        <v>1430</v>
      </c>
      <c r="N649" s="54">
        <f t="shared" si="7"/>
        <v>1430</v>
      </c>
      <c r="O649" s="54">
        <f t="shared" si="8"/>
        <v>214.5</v>
      </c>
    </row>
    <row r="650" ht="22.5" customHeight="1">
      <c r="A650" s="15" t="s">
        <v>857</v>
      </c>
      <c r="B650" s="13" t="s">
        <v>9</v>
      </c>
      <c r="C650" s="13">
        <v>80.0</v>
      </c>
      <c r="D650" s="15">
        <v>395.0</v>
      </c>
      <c r="E650" s="7">
        <v>2990.0</v>
      </c>
      <c r="F650" s="7">
        <v>3288.0</v>
      </c>
      <c r="G650" s="52">
        <f>IFERROR(SUMIF(Issues!B:B, A650, Issues!H:H), 0)</f>
        <v>3320</v>
      </c>
      <c r="H650" s="52">
        <f>IFERROR(SUMIF(Returns!B:B, A650, Returns!H:H), 0)</f>
        <v>0</v>
      </c>
      <c r="I650" s="52"/>
      <c r="J650" s="3">
        <v>10.0</v>
      </c>
      <c r="K650" s="3">
        <v>94.0</v>
      </c>
      <c r="L650" s="53">
        <f t="shared" si="5"/>
        <v>0</v>
      </c>
      <c r="M650" s="52">
        <f t="shared" si="6"/>
        <v>3320</v>
      </c>
      <c r="N650" s="54">
        <f t="shared" si="7"/>
        <v>3320</v>
      </c>
      <c r="O650" s="54">
        <f t="shared" si="8"/>
        <v>1311.4</v>
      </c>
    </row>
    <row r="651" ht="22.5" customHeight="1">
      <c r="A651" s="15" t="s">
        <v>858</v>
      </c>
      <c r="B651" s="13" t="s">
        <v>9</v>
      </c>
      <c r="C651" s="13">
        <v>80.0</v>
      </c>
      <c r="D651" s="15">
        <v>250.0</v>
      </c>
      <c r="E651" s="7">
        <v>7037.0</v>
      </c>
      <c r="F651" s="7">
        <v>7542.0</v>
      </c>
      <c r="G651" s="52">
        <f>IFERROR(SUMIF(Issues!B:B, A651, Issues!H:H), 0)</f>
        <v>8250</v>
      </c>
      <c r="H651" s="52">
        <f>IFERROR(SUMIF(Returns!B:B, A651, Returns!H:H), 0)</f>
        <v>700</v>
      </c>
      <c r="I651" s="52"/>
      <c r="J651" s="3">
        <v>4.0</v>
      </c>
      <c r="K651" s="3">
        <v>118.0</v>
      </c>
      <c r="L651" s="53">
        <f t="shared" si="5"/>
        <v>0</v>
      </c>
      <c r="M651" s="52">
        <f t="shared" si="6"/>
        <v>7550</v>
      </c>
      <c r="N651" s="54">
        <f t="shared" si="7"/>
        <v>7550</v>
      </c>
      <c r="O651" s="54">
        <f t="shared" si="8"/>
        <v>1887.5</v>
      </c>
    </row>
    <row r="652" ht="22.5" customHeight="1">
      <c r="A652" s="15" t="s">
        <v>859</v>
      </c>
      <c r="B652" s="13" t="s">
        <v>9</v>
      </c>
      <c r="C652" s="13">
        <v>80.0</v>
      </c>
      <c r="D652" s="15">
        <v>250.0</v>
      </c>
      <c r="E652" s="7">
        <v>398.0</v>
      </c>
      <c r="F652" s="7">
        <v>631.0</v>
      </c>
      <c r="G652" s="52">
        <f>IFERROR(SUMIF(Issues!B:B, A652, Issues!H:H), 0)</f>
        <v>700</v>
      </c>
      <c r="H652" s="52">
        <f>IFERROR(SUMIF(Returns!B:B, A652, Returns!H:H), 0)</f>
        <v>60</v>
      </c>
      <c r="I652" s="52"/>
      <c r="J652" s="3">
        <v>3.0</v>
      </c>
      <c r="K652" s="3">
        <v>75.0</v>
      </c>
      <c r="L652" s="53">
        <f t="shared" si="5"/>
        <v>0</v>
      </c>
      <c r="M652" s="52">
        <f t="shared" si="6"/>
        <v>640</v>
      </c>
      <c r="N652" s="54">
        <f t="shared" si="7"/>
        <v>640</v>
      </c>
      <c r="O652" s="54">
        <f t="shared" si="8"/>
        <v>160</v>
      </c>
    </row>
    <row r="653" ht="22.5" customHeight="1">
      <c r="A653" s="15" t="s">
        <v>860</v>
      </c>
      <c r="B653" s="13" t="s">
        <v>9</v>
      </c>
      <c r="C653" s="13">
        <v>80.0</v>
      </c>
      <c r="D653" s="15">
        <v>260.0</v>
      </c>
      <c r="E653" s="7">
        <v>1415.0</v>
      </c>
      <c r="F653" s="7">
        <v>1676.0</v>
      </c>
      <c r="G653" s="52">
        <f>IFERROR(SUMIF(Issues!B:B, A653, Issues!H:H), 0)</f>
        <v>1700</v>
      </c>
      <c r="H653" s="52">
        <f>IFERROR(SUMIF(Returns!B:B, A653, Returns!H:H), 0)</f>
        <v>0</v>
      </c>
      <c r="I653" s="52"/>
      <c r="J653" s="3">
        <v>3.0</v>
      </c>
      <c r="K653" s="3">
        <v>89.0</v>
      </c>
      <c r="L653" s="53">
        <f t="shared" si="5"/>
        <v>0</v>
      </c>
      <c r="M653" s="52">
        <f t="shared" si="6"/>
        <v>1700</v>
      </c>
      <c r="N653" s="54">
        <f t="shared" si="7"/>
        <v>1700</v>
      </c>
      <c r="O653" s="54">
        <f t="shared" si="8"/>
        <v>442</v>
      </c>
    </row>
    <row r="654" ht="22.5" customHeight="1">
      <c r="A654" s="15" t="s">
        <v>861</v>
      </c>
      <c r="B654" s="13" t="s">
        <v>9</v>
      </c>
      <c r="C654" s="13">
        <v>80.0</v>
      </c>
      <c r="D654" s="15">
        <v>180.0</v>
      </c>
      <c r="E654" s="7">
        <v>157.0</v>
      </c>
      <c r="F654" s="7">
        <v>316.0</v>
      </c>
      <c r="G654" s="52">
        <f>IFERROR(SUMIF(Issues!B:B, A654, Issues!H:H), 0)</f>
        <v>2000</v>
      </c>
      <c r="H654" s="52">
        <f>IFERROR(SUMIF(Returns!B:B, A654, Returns!H:H), 0)</f>
        <v>1680</v>
      </c>
      <c r="I654" s="52"/>
      <c r="J654" s="3">
        <v>6.0</v>
      </c>
      <c r="K654" s="3">
        <v>99.0</v>
      </c>
      <c r="L654" s="53">
        <f t="shared" si="5"/>
        <v>0</v>
      </c>
      <c r="M654" s="52">
        <f t="shared" si="6"/>
        <v>320</v>
      </c>
      <c r="N654" s="54">
        <f t="shared" si="7"/>
        <v>320</v>
      </c>
      <c r="O654" s="54">
        <f t="shared" si="8"/>
        <v>57.6</v>
      </c>
    </row>
    <row r="655" ht="22.5" customHeight="1">
      <c r="A655" s="15" t="s">
        <v>862</v>
      </c>
      <c r="B655" s="13" t="s">
        <v>9</v>
      </c>
      <c r="C655" s="13">
        <v>80.0</v>
      </c>
      <c r="D655" s="15">
        <v>200.0</v>
      </c>
      <c r="E655" s="7">
        <v>1718.0</v>
      </c>
      <c r="F655" s="7">
        <v>2033.0</v>
      </c>
      <c r="G655" s="52">
        <f>IFERROR(SUMIF(Issues!B:B, A655, Issues!H:H), 0)</f>
        <v>2170</v>
      </c>
      <c r="H655" s="52">
        <f>IFERROR(SUMIF(Returns!B:B, A655, Returns!H:H), 0)</f>
        <v>130</v>
      </c>
      <c r="I655" s="52"/>
      <c r="J655" s="3">
        <v>4.0</v>
      </c>
      <c r="K655" s="3">
        <v>108.0</v>
      </c>
      <c r="L655" s="53">
        <f t="shared" si="5"/>
        <v>0</v>
      </c>
      <c r="M655" s="52">
        <f t="shared" si="6"/>
        <v>2040</v>
      </c>
      <c r="N655" s="54">
        <f t="shared" si="7"/>
        <v>2040</v>
      </c>
      <c r="O655" s="54">
        <f t="shared" si="8"/>
        <v>408</v>
      </c>
    </row>
    <row r="656" ht="22.5" customHeight="1">
      <c r="A656" s="15" t="s">
        <v>863</v>
      </c>
      <c r="B656" s="13" t="s">
        <v>43</v>
      </c>
      <c r="C656" s="13">
        <v>50.0</v>
      </c>
      <c r="D656" s="15">
        <v>125.0</v>
      </c>
      <c r="E656" s="7">
        <v>902.0</v>
      </c>
      <c r="F656" s="7">
        <v>1130.0</v>
      </c>
      <c r="G656" s="52">
        <f>IFERROR(SUMIF(Issues!B:B, A656, Issues!H:H), 0)</f>
        <v>2620</v>
      </c>
      <c r="H656" s="52">
        <f>IFERROR(SUMIF(Returns!B:B, A656, Returns!H:H), 0)</f>
        <v>1490</v>
      </c>
      <c r="I656" s="52"/>
      <c r="J656" s="3">
        <v>4.0</v>
      </c>
      <c r="K656" s="3">
        <v>108.0</v>
      </c>
      <c r="L656" s="53">
        <f t="shared" si="5"/>
        <v>0</v>
      </c>
      <c r="M656" s="52">
        <f t="shared" si="6"/>
        <v>1130</v>
      </c>
      <c r="N656" s="54">
        <f t="shared" si="7"/>
        <v>1130</v>
      </c>
      <c r="O656" s="54">
        <f t="shared" si="8"/>
        <v>141.25</v>
      </c>
    </row>
    <row r="657" ht="22.5" customHeight="1">
      <c r="A657" s="15" t="s">
        <v>864</v>
      </c>
      <c r="B657" s="13" t="s">
        <v>43</v>
      </c>
      <c r="C657" s="13">
        <v>50.0</v>
      </c>
      <c r="D657" s="15">
        <v>125.0</v>
      </c>
      <c r="E657" s="7">
        <v>902.0</v>
      </c>
      <c r="F657" s="7">
        <v>1066.0</v>
      </c>
      <c r="G657" s="52">
        <f>IFERROR(SUMIF(Issues!B:B, A657, Issues!H:H), 0)</f>
        <v>1490</v>
      </c>
      <c r="H657" s="52">
        <f>IFERROR(SUMIF(Returns!B:B, A657, Returns!H:H), 0)</f>
        <v>420</v>
      </c>
      <c r="I657" s="52"/>
      <c r="J657" s="3">
        <v>4.0</v>
      </c>
      <c r="K657" s="3">
        <v>108.0</v>
      </c>
      <c r="L657" s="53">
        <f t="shared" si="5"/>
        <v>0</v>
      </c>
      <c r="M657" s="52">
        <f t="shared" si="6"/>
        <v>1070</v>
      </c>
      <c r="N657" s="54">
        <f t="shared" si="7"/>
        <v>1070</v>
      </c>
      <c r="O657" s="54">
        <f t="shared" si="8"/>
        <v>133.75</v>
      </c>
    </row>
    <row r="658" ht="22.5" customHeight="1">
      <c r="A658" s="15" t="s">
        <v>865</v>
      </c>
      <c r="B658" s="13" t="s">
        <v>9</v>
      </c>
      <c r="C658" s="13">
        <v>80.0</v>
      </c>
      <c r="D658" s="15">
        <v>290.0</v>
      </c>
      <c r="E658" s="7">
        <v>1495.0</v>
      </c>
      <c r="F658" s="7">
        <v>1734.0</v>
      </c>
      <c r="G658" s="52">
        <f>IFERROR(SUMIF(Issues!B:B, A658, Issues!H:H), 0)</f>
        <v>2000</v>
      </c>
      <c r="H658" s="52">
        <f>IFERROR(SUMIF(Returns!B:B, A658, Returns!H:H), 0)</f>
        <v>260</v>
      </c>
      <c r="I658" s="52"/>
      <c r="J658" s="3">
        <v>2.0</v>
      </c>
      <c r="K658" s="3">
        <v>94.0</v>
      </c>
      <c r="L658" s="53">
        <f t="shared" si="5"/>
        <v>0</v>
      </c>
      <c r="M658" s="52">
        <f t="shared" si="6"/>
        <v>1740</v>
      </c>
      <c r="N658" s="54">
        <f t="shared" si="7"/>
        <v>1740</v>
      </c>
      <c r="O658" s="54">
        <f t="shared" si="8"/>
        <v>504.6</v>
      </c>
    </row>
    <row r="659" ht="22.5" customHeight="1">
      <c r="A659" s="15" t="s">
        <v>866</v>
      </c>
      <c r="B659" s="13" t="s">
        <v>9</v>
      </c>
      <c r="C659" s="13">
        <v>80.0</v>
      </c>
      <c r="D659" s="15">
        <v>125.0</v>
      </c>
      <c r="E659" s="7">
        <v>859.0</v>
      </c>
      <c r="F659" s="7">
        <v>1092.0</v>
      </c>
      <c r="G659" s="52">
        <f>IFERROR(SUMIF(Issues!B:B, A659, Issues!H:H), 0)</f>
        <v>2400</v>
      </c>
      <c r="H659" s="52">
        <f>IFERROR(SUMIF(Returns!B:B, A659, Returns!H:H), 0)</f>
        <v>1300</v>
      </c>
      <c r="I659" s="52"/>
      <c r="J659" s="3">
        <v>2.0</v>
      </c>
      <c r="K659" s="3">
        <v>108.0</v>
      </c>
      <c r="L659" s="53">
        <f t="shared" si="5"/>
        <v>0</v>
      </c>
      <c r="M659" s="52">
        <f t="shared" si="6"/>
        <v>1100</v>
      </c>
      <c r="N659" s="54">
        <f t="shared" si="7"/>
        <v>1100</v>
      </c>
      <c r="O659" s="54">
        <f t="shared" si="8"/>
        <v>137.5</v>
      </c>
    </row>
    <row r="660" ht="22.5" customHeight="1">
      <c r="A660" s="15" t="s">
        <v>867</v>
      </c>
      <c r="B660" s="13" t="s">
        <v>54</v>
      </c>
      <c r="C660" s="13">
        <v>40.0</v>
      </c>
      <c r="D660" s="15">
        <v>240.0</v>
      </c>
      <c r="E660" s="7">
        <v>573.0</v>
      </c>
      <c r="F660" s="7">
        <v>1003.0</v>
      </c>
      <c r="G660" s="52">
        <f>IFERROR(SUMIF(Issues!B:B, A660, Issues!H:H), 0)</f>
        <v>5640</v>
      </c>
      <c r="H660" s="52">
        <f>IFERROR(SUMIF(Returns!B:B, A660, Returns!H:H), 0)</f>
        <v>4080</v>
      </c>
      <c r="I660" s="52"/>
      <c r="J660" s="3">
        <v>2.0</v>
      </c>
      <c r="K660" s="3">
        <v>72.0</v>
      </c>
      <c r="L660" s="53">
        <f t="shared" si="5"/>
        <v>0</v>
      </c>
      <c r="M660" s="52">
        <f t="shared" si="6"/>
        <v>1560</v>
      </c>
      <c r="N660" s="54">
        <f t="shared" si="7"/>
        <v>1560</v>
      </c>
      <c r="O660" s="54">
        <f t="shared" si="8"/>
        <v>374.4</v>
      </c>
    </row>
    <row r="661" ht="22.5" customHeight="1">
      <c r="A661" s="15" t="s">
        <v>868</v>
      </c>
      <c r="B661" s="13" t="s">
        <v>9</v>
      </c>
      <c r="C661" s="13">
        <v>80.0</v>
      </c>
      <c r="D661" s="15">
        <v>230.0</v>
      </c>
      <c r="E661" s="7">
        <v>11874.0</v>
      </c>
      <c r="F661" s="7">
        <v>12611.0</v>
      </c>
      <c r="G661" s="52">
        <f>IFERROR(SUMIF(Issues!B:B, A661, Issues!H:H), 0)</f>
        <v>14000</v>
      </c>
      <c r="H661" s="52">
        <f>IFERROR(SUMIF(Returns!B:B, A661, Returns!H:H), 0)</f>
        <v>1380</v>
      </c>
      <c r="I661" s="52"/>
      <c r="J661" s="3">
        <v>3.0</v>
      </c>
      <c r="K661" s="3">
        <v>112.0</v>
      </c>
      <c r="L661" s="53">
        <f t="shared" si="5"/>
        <v>0</v>
      </c>
      <c r="M661" s="52">
        <f t="shared" si="6"/>
        <v>12620</v>
      </c>
      <c r="N661" s="54">
        <f t="shared" si="7"/>
        <v>12620</v>
      </c>
      <c r="O661" s="54">
        <f t="shared" si="8"/>
        <v>2902.6</v>
      </c>
    </row>
    <row r="662" ht="22.5" customHeight="1">
      <c r="A662" s="15" t="s">
        <v>869</v>
      </c>
      <c r="B662" s="13" t="s">
        <v>9</v>
      </c>
      <c r="C662" s="13">
        <v>80.0</v>
      </c>
      <c r="D662" s="15">
        <v>230.0</v>
      </c>
      <c r="E662" s="7">
        <v>5937.0</v>
      </c>
      <c r="F662" s="7">
        <v>6540.0</v>
      </c>
      <c r="G662" s="52">
        <f>IFERROR(SUMIF(Issues!B:B, A662, Issues!H:H), 0)</f>
        <v>7380</v>
      </c>
      <c r="H662" s="52">
        <f>IFERROR(SUMIF(Returns!B:B, A662, Returns!H:H), 0)</f>
        <v>700</v>
      </c>
      <c r="I662" s="52"/>
      <c r="J662" s="3">
        <v>3.0</v>
      </c>
      <c r="K662" s="3">
        <v>112.0</v>
      </c>
      <c r="L662" s="53">
        <f t="shared" si="5"/>
        <v>0</v>
      </c>
      <c r="M662" s="52">
        <f t="shared" si="6"/>
        <v>6680</v>
      </c>
      <c r="N662" s="54">
        <f t="shared" si="7"/>
        <v>6680</v>
      </c>
      <c r="O662" s="54">
        <f t="shared" si="8"/>
        <v>1536.4</v>
      </c>
    </row>
    <row r="663" ht="22.5" customHeight="1">
      <c r="A663" s="15" t="s">
        <v>870</v>
      </c>
      <c r="B663" s="13" t="s">
        <v>9</v>
      </c>
      <c r="C663" s="13">
        <v>80.0</v>
      </c>
      <c r="D663" s="15">
        <v>230.0</v>
      </c>
      <c r="E663" s="7">
        <v>3444.0</v>
      </c>
      <c r="F663" s="7">
        <v>3930.0</v>
      </c>
      <c r="G663" s="52">
        <f>IFERROR(SUMIF(Issues!B:B, A663, Issues!H:H), 0)</f>
        <v>4500</v>
      </c>
      <c r="H663" s="52">
        <f>IFERROR(SUMIF(Returns!B:B, A663, Returns!H:H), 0)</f>
        <v>570</v>
      </c>
      <c r="I663" s="52"/>
      <c r="J663" s="3">
        <v>3.0</v>
      </c>
      <c r="K663" s="3">
        <v>112.0</v>
      </c>
      <c r="L663" s="53">
        <f t="shared" si="5"/>
        <v>0</v>
      </c>
      <c r="M663" s="52">
        <f t="shared" si="6"/>
        <v>3930</v>
      </c>
      <c r="N663" s="54">
        <f t="shared" si="7"/>
        <v>3930</v>
      </c>
      <c r="O663" s="54">
        <f t="shared" si="8"/>
        <v>903.9</v>
      </c>
    </row>
    <row r="664" ht="22.5" customHeight="1">
      <c r="A664" s="15" t="s">
        <v>871</v>
      </c>
      <c r="B664" s="13" t="s">
        <v>9</v>
      </c>
      <c r="C664" s="13">
        <v>80.0</v>
      </c>
      <c r="D664" s="15">
        <v>230.0</v>
      </c>
      <c r="E664" s="7">
        <v>11874.0</v>
      </c>
      <c r="F664" s="7">
        <v>12781.0</v>
      </c>
      <c r="G664" s="52">
        <f>IFERROR(SUMIF(Issues!B:B, A664, Issues!H:H), 0)</f>
        <v>14400</v>
      </c>
      <c r="H664" s="52">
        <f>IFERROR(SUMIF(Returns!B:B, A664, Returns!H:H), 0)</f>
        <v>1610</v>
      </c>
      <c r="I664" s="52"/>
      <c r="J664" s="3">
        <v>3.0</v>
      </c>
      <c r="K664" s="3">
        <v>112.0</v>
      </c>
      <c r="L664" s="53">
        <f t="shared" si="5"/>
        <v>0</v>
      </c>
      <c r="M664" s="52">
        <f t="shared" si="6"/>
        <v>12790</v>
      </c>
      <c r="N664" s="54">
        <f t="shared" si="7"/>
        <v>12790</v>
      </c>
      <c r="O664" s="54">
        <f t="shared" si="8"/>
        <v>2941.7</v>
      </c>
    </row>
    <row r="665" ht="22.5" customHeight="1">
      <c r="A665" s="15" t="s">
        <v>872</v>
      </c>
      <c r="B665" s="13" t="s">
        <v>9</v>
      </c>
      <c r="C665" s="13">
        <v>80.0</v>
      </c>
      <c r="D665" s="15">
        <v>220.0</v>
      </c>
      <c r="E665" s="7">
        <v>2195.0</v>
      </c>
      <c r="F665" s="7">
        <v>2570.0</v>
      </c>
      <c r="G665" s="52">
        <f>IFERROR(SUMIF(Issues!B:B, A665, Issues!H:H), 0)</f>
        <v>2950</v>
      </c>
      <c r="H665" s="52">
        <f>IFERROR(SUMIF(Returns!B:B, A665, Returns!H:H), 0)</f>
        <v>380</v>
      </c>
      <c r="I665" s="52"/>
      <c r="J665" s="3">
        <v>2.0</v>
      </c>
      <c r="K665" s="3">
        <v>92.0</v>
      </c>
      <c r="L665" s="53">
        <f t="shared" si="5"/>
        <v>0</v>
      </c>
      <c r="M665" s="52">
        <f t="shared" si="6"/>
        <v>2570</v>
      </c>
      <c r="N665" s="54">
        <f t="shared" si="7"/>
        <v>2570</v>
      </c>
      <c r="O665" s="54">
        <f t="shared" si="8"/>
        <v>565.4</v>
      </c>
    </row>
    <row r="666" ht="22.5" customHeight="1">
      <c r="A666" s="15" t="s">
        <v>873</v>
      </c>
      <c r="B666" s="13" t="s">
        <v>9</v>
      </c>
      <c r="C666" s="13">
        <v>80.0</v>
      </c>
      <c r="D666" s="15">
        <v>195.0</v>
      </c>
      <c r="E666" s="7">
        <v>1718.0</v>
      </c>
      <c r="F666" s="7">
        <v>2000.0</v>
      </c>
      <c r="G666" s="52">
        <f>IFERROR(SUMIF(Issues!B:B, A666, Issues!H:H), 0)</f>
        <v>3000</v>
      </c>
      <c r="H666" s="52">
        <f>IFERROR(SUMIF(Returns!B:B, A666, Returns!H:H), 0)</f>
        <v>1000</v>
      </c>
      <c r="I666" s="52"/>
      <c r="J666" s="3">
        <v>2.0</v>
      </c>
      <c r="K666" s="3">
        <v>72.0</v>
      </c>
      <c r="L666" s="53">
        <f t="shared" si="5"/>
        <v>0</v>
      </c>
      <c r="M666" s="52">
        <f t="shared" si="6"/>
        <v>2000</v>
      </c>
      <c r="N666" s="54">
        <f t="shared" si="7"/>
        <v>2000</v>
      </c>
      <c r="O666" s="54">
        <f t="shared" si="8"/>
        <v>390</v>
      </c>
    </row>
    <row r="667" ht="22.5" customHeight="1">
      <c r="A667" s="15" t="s">
        <v>874</v>
      </c>
      <c r="B667" s="13" t="s">
        <v>9</v>
      </c>
      <c r="C667" s="13">
        <v>80.0</v>
      </c>
      <c r="D667" s="15">
        <v>160.0</v>
      </c>
      <c r="E667" s="7">
        <v>1132.0</v>
      </c>
      <c r="F667" s="7">
        <v>1486.0</v>
      </c>
      <c r="G667" s="52">
        <f>IFERROR(SUMIF(Issues!B:B, A667, Issues!H:H), 0)</f>
        <v>1500</v>
      </c>
      <c r="H667" s="52">
        <f>IFERROR(SUMIF(Returns!B:B, A667, Returns!H:H), 0)</f>
        <v>0</v>
      </c>
      <c r="I667" s="52"/>
      <c r="J667" s="3">
        <v>1.0</v>
      </c>
      <c r="K667" s="3">
        <v>89.0</v>
      </c>
      <c r="L667" s="53">
        <f t="shared" si="5"/>
        <v>0</v>
      </c>
      <c r="M667" s="52">
        <f t="shared" si="6"/>
        <v>1500</v>
      </c>
      <c r="N667" s="54">
        <f t="shared" si="7"/>
        <v>1500</v>
      </c>
      <c r="O667" s="54">
        <f t="shared" si="8"/>
        <v>240</v>
      </c>
    </row>
    <row r="668" ht="22.5" customHeight="1">
      <c r="A668" s="15" t="s">
        <v>876</v>
      </c>
      <c r="B668" s="13" t="s">
        <v>9</v>
      </c>
      <c r="C668" s="13">
        <v>80.0</v>
      </c>
      <c r="D668" s="15">
        <v>140.0</v>
      </c>
      <c r="E668" s="7">
        <v>732.0</v>
      </c>
      <c r="F668" s="7">
        <v>1000.0</v>
      </c>
      <c r="G668" s="52">
        <f>IFERROR(SUMIF(Issues!B:B, A668, Issues!H:H), 0)</f>
        <v>2000</v>
      </c>
      <c r="H668" s="52">
        <f>IFERROR(SUMIF(Returns!B:B, A668, Returns!H:H), 0)</f>
        <v>1000</v>
      </c>
      <c r="I668" s="52"/>
      <c r="J668" s="3">
        <v>4.0</v>
      </c>
      <c r="K668" s="3">
        <v>92.0</v>
      </c>
      <c r="L668" s="53">
        <f t="shared" si="5"/>
        <v>0</v>
      </c>
      <c r="M668" s="52">
        <f t="shared" si="6"/>
        <v>1000</v>
      </c>
      <c r="N668" s="54">
        <f t="shared" si="7"/>
        <v>1000</v>
      </c>
      <c r="O668" s="54">
        <f t="shared" si="8"/>
        <v>140</v>
      </c>
    </row>
    <row r="669" ht="22.5" customHeight="1">
      <c r="A669" s="15" t="s">
        <v>877</v>
      </c>
      <c r="B669" s="13" t="s">
        <v>9</v>
      </c>
      <c r="C669" s="13">
        <v>80.0</v>
      </c>
      <c r="D669" s="15">
        <v>185.0</v>
      </c>
      <c r="E669" s="7">
        <v>1718.0</v>
      </c>
      <c r="F669" s="7">
        <v>2040.0</v>
      </c>
      <c r="G669" s="52">
        <f>IFERROR(SUMIF(Issues!B:B, A669, Issues!H:H), 0)</f>
        <v>2040</v>
      </c>
      <c r="H669" s="52">
        <f>IFERROR(SUMIF(Returns!B:B, A669, Returns!H:H), 0)</f>
        <v>0</v>
      </c>
      <c r="I669" s="52"/>
      <c r="J669" s="3">
        <v>2.0</v>
      </c>
      <c r="K669" s="3">
        <v>72.0</v>
      </c>
      <c r="L669" s="53">
        <f t="shared" si="5"/>
        <v>0</v>
      </c>
      <c r="M669" s="52">
        <f t="shared" si="6"/>
        <v>2040</v>
      </c>
      <c r="N669" s="54">
        <f t="shared" si="7"/>
        <v>2040</v>
      </c>
      <c r="O669" s="54">
        <f t="shared" si="8"/>
        <v>377.4</v>
      </c>
    </row>
    <row r="670" ht="22.5" customHeight="1">
      <c r="A670" s="15" t="s">
        <v>879</v>
      </c>
      <c r="B670" s="13" t="s">
        <v>9</v>
      </c>
      <c r="C670" s="13">
        <v>80.0</v>
      </c>
      <c r="D670" s="15">
        <v>195.0</v>
      </c>
      <c r="E670" s="7">
        <v>986.0</v>
      </c>
      <c r="F670" s="7">
        <v>1280.0</v>
      </c>
      <c r="G670" s="52">
        <f>IFERROR(SUMIF(Issues!B:B, A670, Issues!H:H), 0)</f>
        <v>2300</v>
      </c>
      <c r="H670" s="52">
        <f>IFERROR(SUMIF(Returns!B:B, A670, Returns!H:H), 0)</f>
        <v>1020</v>
      </c>
      <c r="I670" s="52"/>
      <c r="J670" s="3">
        <v>6.0</v>
      </c>
      <c r="K670" s="3">
        <v>124.0</v>
      </c>
      <c r="L670" s="53">
        <f t="shared" si="5"/>
        <v>0</v>
      </c>
      <c r="M670" s="52">
        <f t="shared" si="6"/>
        <v>1280</v>
      </c>
      <c r="N670" s="54">
        <f t="shared" si="7"/>
        <v>1280</v>
      </c>
      <c r="O670" s="54">
        <f t="shared" si="8"/>
        <v>249.6</v>
      </c>
    </row>
    <row r="671" ht="22.5" customHeight="1">
      <c r="A671" s="15" t="s">
        <v>880</v>
      </c>
      <c r="B671" s="13" t="s">
        <v>9</v>
      </c>
      <c r="C671" s="13">
        <v>80.0</v>
      </c>
      <c r="D671" s="15">
        <v>140.0</v>
      </c>
      <c r="E671" s="7">
        <v>859.0</v>
      </c>
      <c r="F671" s="7">
        <v>1118.0</v>
      </c>
      <c r="G671" s="52">
        <f>IFERROR(SUMIF(Issues!B:B, A671, Issues!H:H), 0)</f>
        <v>1140</v>
      </c>
      <c r="H671" s="52">
        <f>IFERROR(SUMIF(Returns!B:B, A671, Returns!H:H), 0)</f>
        <v>0</v>
      </c>
      <c r="I671" s="52"/>
      <c r="J671" s="3">
        <v>4.0</v>
      </c>
      <c r="K671" s="3">
        <v>108.0</v>
      </c>
      <c r="L671" s="53">
        <f t="shared" si="5"/>
        <v>0</v>
      </c>
      <c r="M671" s="52">
        <f t="shared" si="6"/>
        <v>1140</v>
      </c>
      <c r="N671" s="54">
        <f t="shared" si="7"/>
        <v>1140</v>
      </c>
      <c r="O671" s="54">
        <f t="shared" si="8"/>
        <v>159.6</v>
      </c>
    </row>
    <row r="672" ht="22.5" customHeight="1">
      <c r="A672" s="15" t="s">
        <v>881</v>
      </c>
      <c r="B672" s="13" t="s">
        <v>9</v>
      </c>
      <c r="C672" s="13">
        <v>80.0</v>
      </c>
      <c r="D672" s="15">
        <v>140.0</v>
      </c>
      <c r="E672" s="7">
        <v>1288.0</v>
      </c>
      <c r="F672" s="7">
        <v>1560.0</v>
      </c>
      <c r="G672" s="52">
        <f>IFERROR(SUMIF(Issues!B:B, A672, Issues!H:H), 0)</f>
        <v>2700</v>
      </c>
      <c r="H672" s="52">
        <f>IFERROR(SUMIF(Returns!B:B, A672, Returns!H:H), 0)</f>
        <v>1140</v>
      </c>
      <c r="I672" s="52"/>
      <c r="J672" s="3">
        <v>4.0</v>
      </c>
      <c r="K672" s="3">
        <v>108.0</v>
      </c>
      <c r="L672" s="53">
        <f t="shared" si="5"/>
        <v>0</v>
      </c>
      <c r="M672" s="52">
        <f t="shared" si="6"/>
        <v>1560</v>
      </c>
      <c r="N672" s="54">
        <f t="shared" si="7"/>
        <v>1560</v>
      </c>
      <c r="O672" s="54">
        <f t="shared" si="8"/>
        <v>218.4</v>
      </c>
    </row>
    <row r="673" ht="22.5" customHeight="1">
      <c r="A673" s="15" t="s">
        <v>882</v>
      </c>
      <c r="B673" s="13" t="s">
        <v>43</v>
      </c>
      <c r="C673" s="13">
        <v>50.0</v>
      </c>
      <c r="D673" s="15">
        <v>125.0</v>
      </c>
      <c r="E673" s="7">
        <v>876.0</v>
      </c>
      <c r="F673" s="7">
        <v>1078.0</v>
      </c>
      <c r="G673" s="52">
        <f>IFERROR(SUMIF(Issues!B:B, A673, Issues!H:H), 0)</f>
        <v>1670</v>
      </c>
      <c r="H673" s="52">
        <f>IFERROR(SUMIF(Returns!B:B, A673, Returns!H:H), 0)</f>
        <v>590</v>
      </c>
      <c r="I673" s="52"/>
      <c r="J673" s="3">
        <v>4.0</v>
      </c>
      <c r="K673" s="3">
        <v>108.0</v>
      </c>
      <c r="L673" s="53">
        <f t="shared" si="5"/>
        <v>0</v>
      </c>
      <c r="M673" s="52">
        <f t="shared" si="6"/>
        <v>1080</v>
      </c>
      <c r="N673" s="54">
        <f t="shared" si="7"/>
        <v>1080</v>
      </c>
      <c r="O673" s="54">
        <f t="shared" si="8"/>
        <v>135</v>
      </c>
    </row>
    <row r="674" ht="22.5" customHeight="1">
      <c r="A674" s="15" t="s">
        <v>883</v>
      </c>
      <c r="B674" s="13" t="s">
        <v>43</v>
      </c>
      <c r="C674" s="13">
        <v>50.0</v>
      </c>
      <c r="D674" s="15">
        <v>190.0</v>
      </c>
      <c r="E674" s="7">
        <v>0.0</v>
      </c>
      <c r="F674" s="7">
        <v>400.0</v>
      </c>
      <c r="G674" s="52">
        <f>IFERROR(SUMIF(Issues!B:B, A674, Issues!H:H), 0)</f>
        <v>200</v>
      </c>
      <c r="H674" s="52">
        <f>IFERROR(SUMIF(Returns!B:B, A674, Returns!H:H), 0)</f>
        <v>0</v>
      </c>
      <c r="I674" s="52"/>
      <c r="J674" s="3">
        <v>14.0</v>
      </c>
      <c r="K674" s="3">
        <v>66.0</v>
      </c>
      <c r="L674" s="53">
        <f t="shared" si="5"/>
        <v>0</v>
      </c>
      <c r="M674" s="52">
        <f t="shared" si="6"/>
        <v>200</v>
      </c>
      <c r="N674" s="54">
        <f t="shared" si="7"/>
        <v>200</v>
      </c>
      <c r="O674" s="54">
        <f t="shared" si="8"/>
        <v>38</v>
      </c>
    </row>
    <row r="675" ht="22.5" customHeight="1">
      <c r="A675" s="15" t="s">
        <v>885</v>
      </c>
      <c r="B675" s="13" t="s">
        <v>26</v>
      </c>
      <c r="C675" s="13">
        <v>80.0</v>
      </c>
      <c r="D675" s="15">
        <v>143.0</v>
      </c>
      <c r="E675" s="7">
        <v>2290.0</v>
      </c>
      <c r="F675" s="7">
        <v>2747.0</v>
      </c>
      <c r="G675" s="52">
        <f>IFERROR(SUMIF(Issues!B:B, A675, Issues!H:H), 0)</f>
        <v>3370</v>
      </c>
      <c r="H675" s="52">
        <f>IFERROR(SUMIF(Returns!B:B, A675, Returns!H:H), 0)</f>
        <v>620</v>
      </c>
      <c r="I675" s="52"/>
      <c r="J675" s="3">
        <v>1.0</v>
      </c>
      <c r="K675" s="3">
        <v>72.0</v>
      </c>
      <c r="L675" s="53">
        <f t="shared" si="5"/>
        <v>0</v>
      </c>
      <c r="M675" s="52">
        <f t="shared" si="6"/>
        <v>2750</v>
      </c>
      <c r="N675" s="54">
        <f t="shared" si="7"/>
        <v>2750</v>
      </c>
      <c r="O675" s="54">
        <f t="shared" si="8"/>
        <v>393.25</v>
      </c>
    </row>
    <row r="676" ht="22.5" customHeight="1">
      <c r="A676" s="15" t="s">
        <v>886</v>
      </c>
      <c r="B676" s="13" t="s">
        <v>9</v>
      </c>
      <c r="C676" s="13">
        <v>80.0</v>
      </c>
      <c r="D676" s="15">
        <v>185.0</v>
      </c>
      <c r="E676" s="7">
        <v>1050.0</v>
      </c>
      <c r="F676" s="7">
        <v>1300.0</v>
      </c>
      <c r="G676" s="52">
        <f>IFERROR(SUMIF(Issues!B:B, A676, Issues!H:H), 0)</f>
        <v>1650</v>
      </c>
      <c r="H676" s="52">
        <f>IFERROR(SUMIF(Returns!B:B, A676, Returns!H:H), 0)</f>
        <v>350</v>
      </c>
      <c r="I676" s="52"/>
      <c r="J676" s="3">
        <v>9.0</v>
      </c>
      <c r="K676" s="3">
        <v>99.0</v>
      </c>
      <c r="L676" s="53">
        <f t="shared" si="5"/>
        <v>0</v>
      </c>
      <c r="M676" s="52">
        <f t="shared" si="6"/>
        <v>1300</v>
      </c>
      <c r="N676" s="54">
        <f t="shared" si="7"/>
        <v>1300</v>
      </c>
      <c r="O676" s="54">
        <f t="shared" si="8"/>
        <v>240.5</v>
      </c>
    </row>
    <row r="677" ht="22.5" customHeight="1">
      <c r="A677" s="15" t="s">
        <v>887</v>
      </c>
      <c r="B677" s="13" t="s">
        <v>9</v>
      </c>
      <c r="C677" s="13">
        <v>80.0</v>
      </c>
      <c r="D677" s="15">
        <v>185.0</v>
      </c>
      <c r="E677" s="7">
        <v>573.0</v>
      </c>
      <c r="F677" s="7">
        <v>830.0</v>
      </c>
      <c r="G677" s="52">
        <f>IFERROR(SUMIF(Issues!B:B, A677, Issues!H:H), 0)</f>
        <v>1500</v>
      </c>
      <c r="H677" s="52">
        <f>IFERROR(SUMIF(Returns!B:B, A677, Returns!H:H), 0)</f>
        <v>670</v>
      </c>
      <c r="I677" s="52"/>
      <c r="J677" s="3">
        <v>6.0</v>
      </c>
      <c r="K677" s="3">
        <v>72.0</v>
      </c>
      <c r="L677" s="53">
        <f t="shared" si="5"/>
        <v>0</v>
      </c>
      <c r="M677" s="52">
        <f t="shared" si="6"/>
        <v>830</v>
      </c>
      <c r="N677" s="54">
        <f t="shared" si="7"/>
        <v>830</v>
      </c>
      <c r="O677" s="54">
        <f t="shared" si="8"/>
        <v>153.55</v>
      </c>
    </row>
    <row r="678" ht="22.5" customHeight="1">
      <c r="A678" s="15" t="s">
        <v>888</v>
      </c>
      <c r="B678" s="38"/>
      <c r="C678" s="38"/>
      <c r="D678" s="15">
        <v>254.0</v>
      </c>
      <c r="E678" s="7">
        <v>0.0</v>
      </c>
      <c r="F678" s="7">
        <v>1100.0</v>
      </c>
      <c r="G678" s="52">
        <f>IFERROR(SUMIF(Issues!B:B, A678, Issues!H:H), 0)</f>
        <v>5900</v>
      </c>
      <c r="H678" s="52">
        <f>IFERROR(SUMIF(Returns!B:B, A678, Returns!H:H), 0)</f>
        <v>4800</v>
      </c>
      <c r="I678" s="52"/>
      <c r="J678" s="3">
        <v>1.0</v>
      </c>
      <c r="K678" s="3">
        <v>116.0</v>
      </c>
      <c r="L678" s="53">
        <f t="shared" si="5"/>
        <v>0</v>
      </c>
      <c r="M678" s="52">
        <f t="shared" si="6"/>
        <v>1100</v>
      </c>
      <c r="N678" s="54">
        <f t="shared" si="7"/>
        <v>1100</v>
      </c>
      <c r="O678" s="54">
        <f t="shared" si="8"/>
        <v>279.4</v>
      </c>
    </row>
    <row r="679" ht="22.5" customHeight="1">
      <c r="A679" s="15" t="s">
        <v>889</v>
      </c>
      <c r="B679" s="13" t="s">
        <v>9</v>
      </c>
      <c r="C679" s="13">
        <v>80.0</v>
      </c>
      <c r="D679" s="15">
        <v>230.0</v>
      </c>
      <c r="E679" s="7">
        <v>258.0</v>
      </c>
      <c r="F679" s="7">
        <v>476.0</v>
      </c>
      <c r="G679" s="52">
        <f>IFERROR(SUMIF(Issues!B:B, A679, Issues!H:H), 0)</f>
        <v>1400</v>
      </c>
      <c r="H679" s="52">
        <f>IFERROR(SUMIF(Returns!B:B, A679, Returns!H:H), 0)</f>
        <v>920</v>
      </c>
      <c r="I679" s="52"/>
      <c r="J679" s="3">
        <v>4.0</v>
      </c>
      <c r="K679" s="3">
        <v>108.0</v>
      </c>
      <c r="L679" s="53">
        <f t="shared" si="5"/>
        <v>0</v>
      </c>
      <c r="M679" s="52">
        <f t="shared" si="6"/>
        <v>480</v>
      </c>
      <c r="N679" s="54">
        <f t="shared" si="7"/>
        <v>480</v>
      </c>
      <c r="O679" s="54">
        <f t="shared" si="8"/>
        <v>110.4</v>
      </c>
    </row>
    <row r="680" ht="22.5" customHeight="1">
      <c r="A680" s="15" t="s">
        <v>890</v>
      </c>
      <c r="B680" s="13" t="s">
        <v>9</v>
      </c>
      <c r="C680" s="13">
        <v>80.0</v>
      </c>
      <c r="D680" s="15">
        <v>160.0</v>
      </c>
      <c r="E680" s="7">
        <v>212.0</v>
      </c>
      <c r="F680" s="7">
        <v>389.0</v>
      </c>
      <c r="G680" s="52">
        <f>IFERROR(SUMIF(Issues!B:B, A680, Issues!H:H), 0)</f>
        <v>600</v>
      </c>
      <c r="H680" s="52">
        <f>IFERROR(SUMIF(Returns!B:B, A680, Returns!H:H), 0)</f>
        <v>210</v>
      </c>
      <c r="I680" s="52"/>
      <c r="J680" s="3">
        <v>4.0</v>
      </c>
      <c r="K680" s="3">
        <v>89.0</v>
      </c>
      <c r="L680" s="53">
        <f t="shared" si="5"/>
        <v>0</v>
      </c>
      <c r="M680" s="52">
        <f t="shared" si="6"/>
        <v>390</v>
      </c>
      <c r="N680" s="54">
        <f t="shared" si="7"/>
        <v>390</v>
      </c>
      <c r="O680" s="54">
        <f t="shared" si="8"/>
        <v>62.4</v>
      </c>
    </row>
    <row r="681" ht="22.5" customHeight="1">
      <c r="A681" s="15" t="s">
        <v>891</v>
      </c>
      <c r="B681" s="13" t="s">
        <v>9</v>
      </c>
      <c r="C681" s="13">
        <v>80.0</v>
      </c>
      <c r="D681" s="15">
        <v>125.0</v>
      </c>
      <c r="E681" s="7">
        <v>1718.0</v>
      </c>
      <c r="F681" s="7">
        <v>1942.0</v>
      </c>
      <c r="G681" s="52">
        <f>IFERROR(SUMIF(Issues!B:B, A681, Issues!H:H), 0)</f>
        <v>3300</v>
      </c>
      <c r="H681" s="52">
        <f>IFERROR(SUMIF(Returns!B:B, A681, Returns!H:H), 0)</f>
        <v>1350</v>
      </c>
      <c r="I681" s="52"/>
      <c r="J681" s="3">
        <v>2.0</v>
      </c>
      <c r="K681" s="3">
        <v>108.0</v>
      </c>
      <c r="L681" s="53">
        <f t="shared" si="5"/>
        <v>0</v>
      </c>
      <c r="M681" s="52">
        <f t="shared" si="6"/>
        <v>1950</v>
      </c>
      <c r="N681" s="54">
        <f t="shared" si="7"/>
        <v>1950</v>
      </c>
      <c r="O681" s="54">
        <f t="shared" si="8"/>
        <v>243.75</v>
      </c>
    </row>
    <row r="682" ht="22.5" customHeight="1">
      <c r="A682" s="15" t="s">
        <v>892</v>
      </c>
      <c r="B682" s="13" t="s">
        <v>54</v>
      </c>
      <c r="C682" s="13">
        <v>40.0</v>
      </c>
      <c r="D682" s="15">
        <v>240.0</v>
      </c>
      <c r="E682" s="7">
        <v>2624.0</v>
      </c>
      <c r="F682" s="7">
        <v>2756.0</v>
      </c>
      <c r="G682" s="52">
        <f>IFERROR(SUMIF(Issues!B:B, A682, Issues!H:H), 0)</f>
        <v>2800</v>
      </c>
      <c r="H682" s="52">
        <f>IFERROR(SUMIF(Returns!B:B, A682, Returns!H:H), 0)</f>
        <v>0</v>
      </c>
      <c r="I682" s="52"/>
      <c r="J682" s="3">
        <v>4.0</v>
      </c>
      <c r="K682" s="3">
        <v>66.0</v>
      </c>
      <c r="L682" s="53">
        <f t="shared" si="5"/>
        <v>0</v>
      </c>
      <c r="M682" s="52">
        <f t="shared" si="6"/>
        <v>2800</v>
      </c>
      <c r="N682" s="54">
        <f t="shared" si="7"/>
        <v>2800</v>
      </c>
      <c r="O682" s="54">
        <f t="shared" si="8"/>
        <v>672</v>
      </c>
    </row>
    <row r="683" ht="22.5" customHeight="1">
      <c r="A683" s="15" t="s">
        <v>894</v>
      </c>
      <c r="B683" s="13" t="s">
        <v>9</v>
      </c>
      <c r="C683" s="13">
        <v>80.0</v>
      </c>
      <c r="D683" s="15">
        <v>125.0</v>
      </c>
      <c r="E683" s="7">
        <v>1030.0</v>
      </c>
      <c r="F683" s="7">
        <v>1337.0</v>
      </c>
      <c r="G683" s="52">
        <f>IFERROR(SUMIF(Issues!B:B, A683, Issues!H:H), 0)</f>
        <v>1350</v>
      </c>
      <c r="H683" s="52">
        <f>IFERROR(SUMIF(Returns!B:B, A683, Returns!H:H), 0)</f>
        <v>0</v>
      </c>
      <c r="I683" s="52"/>
      <c r="J683" s="3">
        <v>2.0</v>
      </c>
      <c r="K683" s="3">
        <v>108.0</v>
      </c>
      <c r="L683" s="53">
        <f t="shared" si="5"/>
        <v>0</v>
      </c>
      <c r="M683" s="52">
        <f t="shared" si="6"/>
        <v>1350</v>
      </c>
      <c r="N683" s="54">
        <f t="shared" si="7"/>
        <v>1350</v>
      </c>
      <c r="O683" s="54">
        <f t="shared" si="8"/>
        <v>168.75</v>
      </c>
    </row>
    <row r="684" ht="22.5" customHeight="1">
      <c r="A684" s="15" t="s">
        <v>895</v>
      </c>
      <c r="B684" s="13" t="s">
        <v>9</v>
      </c>
      <c r="C684" s="13">
        <v>80.0</v>
      </c>
      <c r="D684" s="15">
        <v>320.0</v>
      </c>
      <c r="E684" s="7">
        <v>309.0</v>
      </c>
      <c r="F684" s="7">
        <v>434.0</v>
      </c>
      <c r="G684" s="52">
        <f>IFERROR(SUMIF(Issues!B:B, A684, Issues!H:H), 0)</f>
        <v>2080</v>
      </c>
      <c r="H684" s="52">
        <f>IFERROR(SUMIF(Returns!B:B, A684, Returns!H:H), 0)</f>
        <v>1640</v>
      </c>
      <c r="I684" s="52"/>
      <c r="J684" s="3">
        <v>2.0</v>
      </c>
      <c r="K684" s="3">
        <v>108.0</v>
      </c>
      <c r="L684" s="53">
        <f t="shared" si="5"/>
        <v>0</v>
      </c>
      <c r="M684" s="52">
        <f t="shared" si="6"/>
        <v>440</v>
      </c>
      <c r="N684" s="54">
        <f t="shared" si="7"/>
        <v>440</v>
      </c>
      <c r="O684" s="54">
        <f t="shared" si="8"/>
        <v>140.8</v>
      </c>
    </row>
    <row r="685" ht="22.5" customHeight="1">
      <c r="A685" s="15" t="s">
        <v>896</v>
      </c>
      <c r="B685" s="13" t="s">
        <v>9</v>
      </c>
      <c r="C685" s="13">
        <v>80.0</v>
      </c>
      <c r="D685" s="15">
        <v>330.0</v>
      </c>
      <c r="E685" s="7">
        <v>1590.0</v>
      </c>
      <c r="F685" s="7">
        <v>1765.0</v>
      </c>
      <c r="G685" s="52">
        <f>IFERROR(SUMIF(Issues!B:B, A685, Issues!H:H), 0)</f>
        <v>2000</v>
      </c>
      <c r="H685" s="52">
        <f>IFERROR(SUMIF(Returns!B:B, A685, Returns!H:H), 0)</f>
        <v>230</v>
      </c>
      <c r="I685" s="52"/>
      <c r="J685" s="3">
        <v>3.0</v>
      </c>
      <c r="K685" s="3">
        <v>75.0</v>
      </c>
      <c r="L685" s="53">
        <f t="shared" si="5"/>
        <v>0</v>
      </c>
      <c r="M685" s="52">
        <f t="shared" si="6"/>
        <v>1770</v>
      </c>
      <c r="N685" s="54">
        <f t="shared" si="7"/>
        <v>1770</v>
      </c>
      <c r="O685" s="54">
        <f t="shared" si="8"/>
        <v>584.1</v>
      </c>
    </row>
    <row r="686" ht="22.5" customHeight="1">
      <c r="A686" s="15" t="s">
        <v>897</v>
      </c>
      <c r="B686" s="13" t="s">
        <v>9</v>
      </c>
      <c r="C686" s="13">
        <v>80.0</v>
      </c>
      <c r="D686" s="15">
        <v>180.0</v>
      </c>
      <c r="E686" s="7">
        <v>3093.0</v>
      </c>
      <c r="F686" s="7">
        <v>3340.0</v>
      </c>
      <c r="G686" s="52">
        <f>IFERROR(SUMIF(Issues!B:B, A686, Issues!H:H), 0)</f>
        <v>3970</v>
      </c>
      <c r="H686" s="52">
        <f>IFERROR(SUMIF(Returns!B:B, A686, Returns!H:H), 0)</f>
        <v>630</v>
      </c>
      <c r="I686" s="52"/>
      <c r="J686" s="3">
        <v>3.0</v>
      </c>
      <c r="K686" s="3">
        <v>66.0</v>
      </c>
      <c r="L686" s="53">
        <f t="shared" si="5"/>
        <v>0</v>
      </c>
      <c r="M686" s="52">
        <f t="shared" si="6"/>
        <v>3340</v>
      </c>
      <c r="N686" s="54">
        <f t="shared" si="7"/>
        <v>3340</v>
      </c>
      <c r="O686" s="54">
        <f t="shared" si="8"/>
        <v>601.2</v>
      </c>
    </row>
    <row r="687" ht="22.5" customHeight="1">
      <c r="A687" s="15" t="s">
        <v>898</v>
      </c>
      <c r="B687" s="13" t="s">
        <v>9</v>
      </c>
      <c r="C687" s="13">
        <v>80.0</v>
      </c>
      <c r="D687" s="15">
        <v>180.0</v>
      </c>
      <c r="E687" s="7">
        <v>204.0</v>
      </c>
      <c r="F687" s="7">
        <v>310.0</v>
      </c>
      <c r="G687" s="52">
        <f>IFERROR(SUMIF(Issues!B:B, A687, Issues!H:H), 0)</f>
        <v>600</v>
      </c>
      <c r="H687" s="52">
        <f>IFERROR(SUMIF(Returns!B:B, A687, Returns!H:H), 0)</f>
        <v>290</v>
      </c>
      <c r="I687" s="52"/>
      <c r="J687" s="3">
        <v>6.0</v>
      </c>
      <c r="K687" s="3">
        <v>94.0</v>
      </c>
      <c r="L687" s="53">
        <f t="shared" si="5"/>
        <v>0</v>
      </c>
      <c r="M687" s="52">
        <f t="shared" si="6"/>
        <v>310</v>
      </c>
      <c r="N687" s="54">
        <f t="shared" si="7"/>
        <v>310</v>
      </c>
      <c r="O687" s="54">
        <f t="shared" si="8"/>
        <v>55.8</v>
      </c>
    </row>
    <row r="688" ht="22.5" customHeight="1">
      <c r="A688" s="15" t="s">
        <v>899</v>
      </c>
      <c r="B688" s="38"/>
      <c r="C688" s="38"/>
      <c r="D688" s="21"/>
      <c r="E688" s="27"/>
      <c r="F688" s="27"/>
      <c r="G688" s="27"/>
      <c r="H688" s="52">
        <f>IFERROR(SUMIF(Returns!B:B, A688, Returns!H:H), 0)</f>
        <v>0</v>
      </c>
      <c r="I688" s="52"/>
      <c r="J688" s="3">
        <v>14.0</v>
      </c>
      <c r="K688" s="3">
        <v>66.0</v>
      </c>
      <c r="L688" s="53">
        <f t="shared" si="5"/>
        <v>0</v>
      </c>
      <c r="M688" s="52">
        <f t="shared" si="6"/>
        <v>0</v>
      </c>
      <c r="N688" s="54">
        <f t="shared" si="7"/>
        <v>0</v>
      </c>
      <c r="O688" s="54">
        <f t="shared" si="8"/>
        <v>0</v>
      </c>
    </row>
    <row r="689" ht="22.5" customHeight="1">
      <c r="A689" s="15" t="s">
        <v>900</v>
      </c>
      <c r="B689" s="13" t="s">
        <v>9</v>
      </c>
      <c r="C689" s="13">
        <v>80.0</v>
      </c>
      <c r="D689" s="15">
        <v>160.0</v>
      </c>
      <c r="E689" s="7">
        <v>0.0</v>
      </c>
      <c r="F689" s="7">
        <v>450.0</v>
      </c>
      <c r="G689" s="52">
        <f>IFERROR(SUMIF(Issues!B:B, A689, Issues!H:H), 0)</f>
        <v>600</v>
      </c>
      <c r="H689" s="52">
        <f>IFERROR(SUMIF(Returns!B:B, A689, Returns!H:H), 0)</f>
        <v>150</v>
      </c>
      <c r="I689" s="52"/>
      <c r="J689" s="3">
        <v>4.0</v>
      </c>
      <c r="K689" s="3">
        <v>94.0</v>
      </c>
      <c r="L689" s="53">
        <f t="shared" si="5"/>
        <v>0</v>
      </c>
      <c r="M689" s="52">
        <f t="shared" si="6"/>
        <v>450</v>
      </c>
      <c r="N689" s="54">
        <f t="shared" si="7"/>
        <v>450</v>
      </c>
      <c r="O689" s="54">
        <f t="shared" si="8"/>
        <v>72</v>
      </c>
    </row>
    <row r="690" ht="22.5" customHeight="1">
      <c r="A690" s="15" t="s">
        <v>902</v>
      </c>
      <c r="B690" s="13" t="s">
        <v>9</v>
      </c>
      <c r="C690" s="13">
        <v>80.0</v>
      </c>
      <c r="D690" s="15">
        <v>150.0</v>
      </c>
      <c r="E690" s="7">
        <v>732.0</v>
      </c>
      <c r="F690" s="7">
        <v>940.0</v>
      </c>
      <c r="G690" s="52">
        <f>IFERROR(SUMIF(Issues!B:B, A690, Issues!H:H), 0)</f>
        <v>1430</v>
      </c>
      <c r="H690" s="52">
        <f>IFERROR(SUMIF(Returns!B:B, A690, Returns!H:H), 0)</f>
        <v>490</v>
      </c>
      <c r="I690" s="52"/>
      <c r="J690" s="3">
        <v>8.0</v>
      </c>
      <c r="K690" s="3">
        <v>92.0</v>
      </c>
      <c r="L690" s="53">
        <f t="shared" si="5"/>
        <v>0</v>
      </c>
      <c r="M690" s="52">
        <f t="shared" si="6"/>
        <v>940</v>
      </c>
      <c r="N690" s="54">
        <f t="shared" si="7"/>
        <v>940</v>
      </c>
      <c r="O690" s="54">
        <f t="shared" si="8"/>
        <v>141</v>
      </c>
    </row>
    <row r="691" ht="22.5" customHeight="1">
      <c r="A691" s="15" t="s">
        <v>903</v>
      </c>
      <c r="B691" s="13" t="s">
        <v>9</v>
      </c>
      <c r="C691" s="13">
        <v>80.0</v>
      </c>
      <c r="D691" s="15">
        <v>150.0</v>
      </c>
      <c r="E691" s="7">
        <v>1631.0</v>
      </c>
      <c r="F691" s="7">
        <v>1863.0</v>
      </c>
      <c r="G691" s="52">
        <f>IFERROR(SUMIF(Issues!B:B, A691, Issues!H:H), 0)</f>
        <v>3300</v>
      </c>
      <c r="H691" s="52">
        <f>IFERROR(SUMIF(Returns!B:B, A691, Returns!H:H), 0)</f>
        <v>1430</v>
      </c>
      <c r="I691" s="52"/>
      <c r="J691" s="3">
        <v>8.0</v>
      </c>
      <c r="K691" s="3">
        <v>92.0</v>
      </c>
      <c r="L691" s="53">
        <f t="shared" si="5"/>
        <v>0</v>
      </c>
      <c r="M691" s="52">
        <f t="shared" si="6"/>
        <v>1870</v>
      </c>
      <c r="N691" s="54">
        <f t="shared" si="7"/>
        <v>1870</v>
      </c>
      <c r="O691" s="54">
        <f t="shared" si="8"/>
        <v>280.5</v>
      </c>
    </row>
    <row r="692" ht="22.5" customHeight="1">
      <c r="A692" s="15" t="s">
        <v>904</v>
      </c>
      <c r="B692" s="13" t="s">
        <v>47</v>
      </c>
      <c r="C692" s="13">
        <v>50.0</v>
      </c>
      <c r="D692" s="15">
        <v>172.0</v>
      </c>
      <c r="E692" s="7">
        <v>0.0</v>
      </c>
      <c r="F692" s="7">
        <v>1400.0</v>
      </c>
      <c r="G692" s="52">
        <f>IFERROR(SUMIF(Issues!B:B, A692, Issues!H:H), 0)</f>
        <v>1480</v>
      </c>
      <c r="H692" s="52">
        <f>IFERROR(SUMIF(Returns!B:B, A692, Returns!H:H), 0)</f>
        <v>0</v>
      </c>
      <c r="I692" s="52"/>
      <c r="J692" s="3">
        <v>6.0</v>
      </c>
      <c r="K692" s="3">
        <v>94.0</v>
      </c>
      <c r="L692" s="53">
        <f t="shared" si="5"/>
        <v>0</v>
      </c>
      <c r="M692" s="52">
        <f t="shared" si="6"/>
        <v>1480</v>
      </c>
      <c r="N692" s="54">
        <f t="shared" si="7"/>
        <v>1480</v>
      </c>
      <c r="O692" s="54">
        <f t="shared" si="8"/>
        <v>254.56</v>
      </c>
    </row>
    <row r="693" ht="22.5" customHeight="1">
      <c r="A693" s="15" t="s">
        <v>905</v>
      </c>
      <c r="B693" s="13" t="s">
        <v>9</v>
      </c>
      <c r="C693" s="13">
        <v>80.0</v>
      </c>
      <c r="D693" s="15">
        <v>320.0</v>
      </c>
      <c r="E693" s="7">
        <v>209.0</v>
      </c>
      <c r="F693" s="7">
        <v>424.0</v>
      </c>
      <c r="G693" s="52">
        <f>IFERROR(SUMIF(Issues!B:B, A693, Issues!H:H), 0)</f>
        <v>2000</v>
      </c>
      <c r="H693" s="52">
        <f>IFERROR(SUMIF(Returns!B:B, A693, Returns!H:H), 0)</f>
        <v>1576</v>
      </c>
      <c r="I693" s="52"/>
      <c r="J693" s="3">
        <v>6.0</v>
      </c>
      <c r="K693" s="3">
        <v>116.0</v>
      </c>
      <c r="L693" s="53">
        <f t="shared" si="5"/>
        <v>0</v>
      </c>
      <c r="M693" s="52">
        <f t="shared" si="6"/>
        <v>424</v>
      </c>
      <c r="N693" s="54">
        <f t="shared" si="7"/>
        <v>424</v>
      </c>
      <c r="O693" s="54">
        <f t="shared" si="8"/>
        <v>135.68</v>
      </c>
    </row>
    <row r="694" ht="22.5" customHeight="1">
      <c r="A694" s="15" t="s">
        <v>906</v>
      </c>
      <c r="B694" s="13" t="s">
        <v>9</v>
      </c>
      <c r="C694" s="13">
        <v>80.0</v>
      </c>
      <c r="D694" s="15">
        <v>160.0</v>
      </c>
      <c r="E694" s="7">
        <v>1132.0</v>
      </c>
      <c r="F694" s="7">
        <v>1510.0</v>
      </c>
      <c r="G694" s="52">
        <f>IFERROR(SUMIF(Issues!B:B, A694, Issues!H:H), 0)</f>
        <v>2240</v>
      </c>
      <c r="H694" s="52">
        <f>IFERROR(SUMIF(Returns!B:B, A694, Returns!H:H), 0)</f>
        <v>730</v>
      </c>
      <c r="I694" s="52"/>
      <c r="J694" s="3">
        <v>1.0</v>
      </c>
      <c r="K694" s="3">
        <v>89.0</v>
      </c>
      <c r="L694" s="53">
        <f t="shared" si="5"/>
        <v>0</v>
      </c>
      <c r="M694" s="52">
        <f t="shared" si="6"/>
        <v>1510</v>
      </c>
      <c r="N694" s="54">
        <f t="shared" si="7"/>
        <v>1510</v>
      </c>
      <c r="O694" s="54">
        <f t="shared" si="8"/>
        <v>241.6</v>
      </c>
    </row>
    <row r="695" ht="22.5" customHeight="1">
      <c r="A695" s="15" t="s">
        <v>907</v>
      </c>
      <c r="B695" s="13" t="s">
        <v>9</v>
      </c>
      <c r="C695" s="13">
        <v>80.0</v>
      </c>
      <c r="D695" s="15">
        <v>160.0</v>
      </c>
      <c r="E695" s="7">
        <v>849.0</v>
      </c>
      <c r="F695" s="7">
        <v>1055.0</v>
      </c>
      <c r="G695" s="52">
        <f>IFERROR(SUMIF(Issues!B:B, A695, Issues!H:H), 0)</f>
        <v>1660</v>
      </c>
      <c r="H695" s="52">
        <f>IFERROR(SUMIF(Returns!B:B, A695, Returns!H:H), 0)</f>
        <v>605</v>
      </c>
      <c r="I695" s="52"/>
      <c r="J695" s="3">
        <v>1.0</v>
      </c>
      <c r="K695" s="3">
        <v>89.0</v>
      </c>
      <c r="L695" s="53">
        <f t="shared" si="5"/>
        <v>0</v>
      </c>
      <c r="M695" s="52">
        <f t="shared" si="6"/>
        <v>1055</v>
      </c>
      <c r="N695" s="54">
        <f t="shared" si="7"/>
        <v>1055</v>
      </c>
      <c r="O695" s="54">
        <f t="shared" si="8"/>
        <v>168.8</v>
      </c>
    </row>
    <row r="696" ht="22.5" customHeight="1">
      <c r="A696" s="15" t="s">
        <v>908</v>
      </c>
      <c r="B696" s="13" t="s">
        <v>9</v>
      </c>
      <c r="C696" s="13">
        <v>80.0</v>
      </c>
      <c r="D696" s="15">
        <v>160.0</v>
      </c>
      <c r="E696" s="7">
        <v>4246.0</v>
      </c>
      <c r="F696" s="7">
        <v>4628.0</v>
      </c>
      <c r="G696" s="52">
        <f>IFERROR(SUMIF(Issues!B:B, A696, Issues!H:H), 0)</f>
        <v>5000</v>
      </c>
      <c r="H696" s="52">
        <f>IFERROR(SUMIF(Returns!B:B, A696, Returns!H:H), 0)</f>
        <v>370</v>
      </c>
      <c r="I696" s="52"/>
      <c r="J696" s="3">
        <v>1.0</v>
      </c>
      <c r="K696" s="3">
        <v>89.0</v>
      </c>
      <c r="L696" s="53">
        <f t="shared" si="5"/>
        <v>0</v>
      </c>
      <c r="M696" s="52">
        <f t="shared" si="6"/>
        <v>4630</v>
      </c>
      <c r="N696" s="54">
        <f t="shared" si="7"/>
        <v>4630</v>
      </c>
      <c r="O696" s="54">
        <f t="shared" si="8"/>
        <v>740.8</v>
      </c>
    </row>
    <row r="697" ht="22.5" customHeight="1">
      <c r="A697" s="15" t="s">
        <v>909</v>
      </c>
      <c r="B697" s="13" t="s">
        <v>9</v>
      </c>
      <c r="C697" s="13">
        <v>80.0</v>
      </c>
      <c r="D697" s="15">
        <v>140.0</v>
      </c>
      <c r="E697" s="7">
        <v>878.0</v>
      </c>
      <c r="F697" s="7">
        <v>1080.0</v>
      </c>
      <c r="G697" s="52">
        <f>IFERROR(SUMIF(Issues!B:B, A697, Issues!H:H), 0)</f>
        <v>1800</v>
      </c>
      <c r="H697" s="52">
        <f>IFERROR(SUMIF(Returns!B:B, A697, Returns!H:H), 0)</f>
        <v>720</v>
      </c>
      <c r="I697" s="52"/>
      <c r="J697" s="3">
        <v>1.0</v>
      </c>
      <c r="K697" s="3">
        <v>69.0</v>
      </c>
      <c r="L697" s="53">
        <f t="shared" si="5"/>
        <v>0</v>
      </c>
      <c r="M697" s="52">
        <f t="shared" si="6"/>
        <v>1080</v>
      </c>
      <c r="N697" s="54">
        <f t="shared" si="7"/>
        <v>1080</v>
      </c>
      <c r="O697" s="54">
        <f t="shared" si="8"/>
        <v>151.2</v>
      </c>
    </row>
    <row r="698" ht="22.5" customHeight="1">
      <c r="A698" s="15" t="s">
        <v>910</v>
      </c>
      <c r="B698" s="13" t="s">
        <v>9</v>
      </c>
      <c r="C698" s="13">
        <v>80.0</v>
      </c>
      <c r="D698" s="15">
        <v>220.0</v>
      </c>
      <c r="E698" s="7">
        <v>2195.0</v>
      </c>
      <c r="F698" s="7">
        <v>2600.0</v>
      </c>
      <c r="G698" s="52">
        <f>IFERROR(SUMIF(Issues!B:B, A698, Issues!H:H), 0)</f>
        <v>2600</v>
      </c>
      <c r="H698" s="52">
        <f>IFERROR(SUMIF(Returns!B:B, A698, Returns!H:H), 0)</f>
        <v>0</v>
      </c>
      <c r="I698" s="52"/>
      <c r="J698" s="3">
        <v>2.0</v>
      </c>
      <c r="K698" s="3">
        <v>92.0</v>
      </c>
      <c r="L698" s="53">
        <f t="shared" si="5"/>
        <v>0</v>
      </c>
      <c r="M698" s="52">
        <f t="shared" si="6"/>
        <v>2600</v>
      </c>
      <c r="N698" s="54">
        <f t="shared" si="7"/>
        <v>2600</v>
      </c>
      <c r="O698" s="54">
        <f t="shared" si="8"/>
        <v>572</v>
      </c>
    </row>
    <row r="699" ht="22.5" customHeight="1">
      <c r="A699" s="15" t="s">
        <v>911</v>
      </c>
      <c r="B699" s="38"/>
      <c r="C699" s="38"/>
      <c r="D699" s="15">
        <v>100.0</v>
      </c>
      <c r="E699" s="7">
        <v>65.0</v>
      </c>
      <c r="F699" s="7">
        <v>216.0</v>
      </c>
      <c r="G699" s="52">
        <f>IFERROR(SUMIF(Issues!B:B, A699, Issues!H:H), 0)</f>
        <v>300</v>
      </c>
      <c r="H699" s="52">
        <f>IFERROR(SUMIF(Returns!B:B, A699, Returns!H:H), 0)</f>
        <v>84</v>
      </c>
      <c r="I699" s="52"/>
      <c r="J699" s="3">
        <v>2.0</v>
      </c>
      <c r="K699" s="3">
        <v>79.0</v>
      </c>
      <c r="L699" s="53">
        <f t="shared" si="5"/>
        <v>0</v>
      </c>
      <c r="M699" s="52">
        <f t="shared" si="6"/>
        <v>216</v>
      </c>
      <c r="N699" s="54">
        <f t="shared" si="7"/>
        <v>216</v>
      </c>
      <c r="O699" s="54">
        <f t="shared" si="8"/>
        <v>21.6</v>
      </c>
    </row>
    <row r="700" ht="22.5" customHeight="1">
      <c r="A700" s="15" t="s">
        <v>912</v>
      </c>
      <c r="B700" s="13" t="s">
        <v>77</v>
      </c>
      <c r="C700" s="13">
        <v>230.0</v>
      </c>
      <c r="D700" s="15">
        <v>200.0</v>
      </c>
      <c r="E700" s="7">
        <v>6812.0</v>
      </c>
      <c r="F700" s="7">
        <v>7150.0</v>
      </c>
      <c r="G700" s="52">
        <f>IFERROR(SUMIF(Issues!B:B, A700, Issues!H:H), 0)</f>
        <v>7800</v>
      </c>
      <c r="H700" s="52">
        <f>IFERROR(SUMIF(Returns!B:B, A700, Returns!H:H), 0)</f>
        <v>650</v>
      </c>
      <c r="I700" s="52"/>
      <c r="J700" s="3">
        <v>12.0</v>
      </c>
      <c r="K700" s="3">
        <v>99.0</v>
      </c>
      <c r="L700" s="53">
        <f t="shared" si="5"/>
        <v>0</v>
      </c>
      <c r="M700" s="52">
        <f t="shared" si="6"/>
        <v>7150</v>
      </c>
      <c r="N700" s="54">
        <f t="shared" si="7"/>
        <v>7150</v>
      </c>
      <c r="O700" s="54">
        <f t="shared" si="8"/>
        <v>1430</v>
      </c>
    </row>
    <row r="701" ht="22.5" customHeight="1">
      <c r="A701" s="15" t="s">
        <v>913</v>
      </c>
      <c r="B701" s="13" t="s">
        <v>9</v>
      </c>
      <c r="C701" s="13">
        <v>80.0</v>
      </c>
      <c r="D701" s="15">
        <v>180.0</v>
      </c>
      <c r="E701" s="7">
        <v>1837.0</v>
      </c>
      <c r="F701" s="7">
        <v>2060.0</v>
      </c>
      <c r="G701" s="52">
        <f>IFERROR(SUMIF(Issues!B:B, A701, Issues!H:H), 0)</f>
        <v>3000</v>
      </c>
      <c r="H701" s="52">
        <f>IFERROR(SUMIF(Returns!B:B, A701, Returns!H:H), 0)</f>
        <v>940</v>
      </c>
      <c r="I701" s="52"/>
      <c r="J701" s="3">
        <v>6.0</v>
      </c>
      <c r="K701" s="3">
        <v>99.0</v>
      </c>
      <c r="L701" s="53">
        <f t="shared" si="5"/>
        <v>0</v>
      </c>
      <c r="M701" s="52">
        <f t="shared" si="6"/>
        <v>2060</v>
      </c>
      <c r="N701" s="54">
        <f t="shared" si="7"/>
        <v>2060</v>
      </c>
      <c r="O701" s="54">
        <f t="shared" si="8"/>
        <v>370.8</v>
      </c>
    </row>
    <row r="702" ht="22.5" customHeight="1">
      <c r="A702" s="15" t="s">
        <v>914</v>
      </c>
      <c r="B702" s="13" t="s">
        <v>52</v>
      </c>
      <c r="C702" s="13">
        <v>50.0</v>
      </c>
      <c r="D702" s="15">
        <v>125.0</v>
      </c>
      <c r="E702" s="7">
        <v>658.0</v>
      </c>
      <c r="F702" s="7">
        <v>1000.0</v>
      </c>
      <c r="G702" s="52">
        <f>IFERROR(SUMIF(Issues!B:B, A702, Issues!H:H), 0)</f>
        <v>1450</v>
      </c>
      <c r="H702" s="52">
        <f>IFERROR(SUMIF(Returns!B:B, A702, Returns!H:H), 0)</f>
        <v>450</v>
      </c>
      <c r="I702" s="52"/>
      <c r="J702" s="3">
        <v>1.0</v>
      </c>
      <c r="K702" s="3">
        <v>69.0</v>
      </c>
      <c r="L702" s="53">
        <f t="shared" si="5"/>
        <v>0</v>
      </c>
      <c r="M702" s="52">
        <f t="shared" si="6"/>
        <v>1000</v>
      </c>
      <c r="N702" s="54">
        <f t="shared" si="7"/>
        <v>1000</v>
      </c>
      <c r="O702" s="54">
        <f t="shared" si="8"/>
        <v>125</v>
      </c>
    </row>
    <row r="703" ht="22.5" customHeight="1">
      <c r="A703" s="15" t="s">
        <v>915</v>
      </c>
      <c r="B703" s="13" t="s">
        <v>9</v>
      </c>
      <c r="C703" s="13">
        <v>80.0</v>
      </c>
      <c r="D703" s="15">
        <v>290.0</v>
      </c>
      <c r="E703" s="7">
        <v>6129.0</v>
      </c>
      <c r="F703" s="7">
        <v>6200.0</v>
      </c>
      <c r="G703" s="52">
        <f>IFERROR(SUMIF(Issues!B:B, A703, Issues!H:H), 0)</f>
        <v>6500</v>
      </c>
      <c r="H703" s="52">
        <f>IFERROR(SUMIF(Returns!B:B, A703, Returns!H:H), 0)</f>
        <v>300</v>
      </c>
      <c r="I703" s="52"/>
      <c r="J703" s="3">
        <v>2.0</v>
      </c>
      <c r="K703" s="3">
        <v>94.0</v>
      </c>
      <c r="L703" s="53">
        <f t="shared" si="5"/>
        <v>0</v>
      </c>
      <c r="M703" s="52">
        <f t="shared" si="6"/>
        <v>6200</v>
      </c>
      <c r="N703" s="54">
        <f t="shared" si="7"/>
        <v>6200</v>
      </c>
      <c r="O703" s="54">
        <f t="shared" si="8"/>
        <v>1798</v>
      </c>
    </row>
    <row r="704" ht="22.5" customHeight="1">
      <c r="A704" s="15" t="s">
        <v>916</v>
      </c>
      <c r="B704" s="13" t="s">
        <v>9</v>
      </c>
      <c r="C704" s="13">
        <v>80.0</v>
      </c>
      <c r="D704" s="15">
        <v>125.0</v>
      </c>
      <c r="E704" s="7">
        <v>4771.0</v>
      </c>
      <c r="F704" s="7">
        <v>5400.0</v>
      </c>
      <c r="G704" s="52">
        <f>IFERROR(SUMIF(Issues!B:B, A704, Issues!H:H), 0)</f>
        <v>6000</v>
      </c>
      <c r="H704" s="52">
        <f>IFERROR(SUMIF(Returns!B:B, A704, Returns!H:H), 0)</f>
        <v>600</v>
      </c>
      <c r="I704" s="52"/>
      <c r="J704" s="3">
        <v>1.0</v>
      </c>
      <c r="K704" s="3">
        <v>75.0</v>
      </c>
      <c r="L704" s="53">
        <f t="shared" si="5"/>
        <v>0</v>
      </c>
      <c r="M704" s="52">
        <f t="shared" si="6"/>
        <v>5400</v>
      </c>
      <c r="N704" s="54">
        <f t="shared" si="7"/>
        <v>5400</v>
      </c>
      <c r="O704" s="54">
        <f t="shared" si="8"/>
        <v>675</v>
      </c>
    </row>
    <row r="705" ht="22.5" customHeight="1">
      <c r="A705" s="15" t="s">
        <v>917</v>
      </c>
      <c r="B705" s="13" t="s">
        <v>9</v>
      </c>
      <c r="C705" s="13">
        <v>80.0</v>
      </c>
      <c r="D705" s="15">
        <v>290.0</v>
      </c>
      <c r="E705" s="7">
        <v>1495.0</v>
      </c>
      <c r="F705" s="7">
        <v>1766.0</v>
      </c>
      <c r="G705" s="52">
        <f>IFERROR(SUMIF(Issues!B:B, A705, Issues!H:H), 0)</f>
        <v>2000</v>
      </c>
      <c r="H705" s="52">
        <f>IFERROR(SUMIF(Returns!B:B, A705, Returns!H:H), 0)</f>
        <v>230</v>
      </c>
      <c r="I705" s="52"/>
      <c r="J705" s="3">
        <v>2.0</v>
      </c>
      <c r="K705" s="3">
        <v>94.0</v>
      </c>
      <c r="L705" s="53">
        <f t="shared" si="5"/>
        <v>0</v>
      </c>
      <c r="M705" s="52">
        <f t="shared" si="6"/>
        <v>1770</v>
      </c>
      <c r="N705" s="54">
        <f t="shared" si="7"/>
        <v>1770</v>
      </c>
      <c r="O705" s="54">
        <f t="shared" si="8"/>
        <v>513.3</v>
      </c>
    </row>
    <row r="706" ht="22.5" customHeight="1">
      <c r="A706" s="15" t="s">
        <v>867</v>
      </c>
      <c r="B706" s="13" t="s">
        <v>9</v>
      </c>
      <c r="C706" s="13">
        <v>80.0</v>
      </c>
      <c r="D706" s="15">
        <v>320.0</v>
      </c>
      <c r="E706" s="7">
        <v>307.0</v>
      </c>
      <c r="F706" s="7">
        <v>550.0</v>
      </c>
      <c r="G706" s="52">
        <f>IFERROR(SUMIF(Issues!B:B, A706, Issues!H:H), 0)</f>
        <v>5640</v>
      </c>
      <c r="H706" s="52">
        <f>IFERROR(SUMIF(Returns!B:B, A706, Returns!H:H), 0)</f>
        <v>4080</v>
      </c>
      <c r="I706" s="52"/>
      <c r="J706" s="3">
        <v>6.0</v>
      </c>
      <c r="K706" s="3">
        <v>116.0</v>
      </c>
      <c r="L706" s="53">
        <f t="shared" si="5"/>
        <v>0</v>
      </c>
      <c r="M706" s="52">
        <f t="shared" si="6"/>
        <v>1560</v>
      </c>
      <c r="N706" s="54">
        <f t="shared" si="7"/>
        <v>1560</v>
      </c>
      <c r="O706" s="54">
        <f t="shared" si="8"/>
        <v>499.2</v>
      </c>
    </row>
    <row r="707" ht="22.5" customHeight="1">
      <c r="A707" s="15" t="s">
        <v>918</v>
      </c>
      <c r="B707" s="13" t="s">
        <v>9</v>
      </c>
      <c r="C707" s="13">
        <v>80.0</v>
      </c>
      <c r="D707" s="15">
        <v>210.0</v>
      </c>
      <c r="E707" s="7">
        <v>897.0</v>
      </c>
      <c r="F707" s="7">
        <v>1028.0</v>
      </c>
      <c r="G707" s="52">
        <f>IFERROR(SUMIF(Issues!B:B, A707, Issues!H:H), 0)</f>
        <v>1100</v>
      </c>
      <c r="H707" s="52">
        <f>IFERROR(SUMIF(Returns!B:B, A707, Returns!H:H), 0)</f>
        <v>0</v>
      </c>
      <c r="I707" s="52"/>
      <c r="J707" s="3">
        <v>2.0</v>
      </c>
      <c r="K707" s="3">
        <v>94.0</v>
      </c>
      <c r="L707" s="53">
        <f t="shared" si="5"/>
        <v>0</v>
      </c>
      <c r="M707" s="52">
        <f t="shared" si="6"/>
        <v>1100</v>
      </c>
      <c r="N707" s="54">
        <f t="shared" si="7"/>
        <v>1100</v>
      </c>
      <c r="O707" s="54">
        <f t="shared" si="8"/>
        <v>231</v>
      </c>
    </row>
    <row r="708" ht="22.5" customHeight="1">
      <c r="A708" s="15" t="s">
        <v>919</v>
      </c>
      <c r="B708" s="13" t="s">
        <v>9</v>
      </c>
      <c r="C708" s="13">
        <v>80.0</v>
      </c>
      <c r="D708" s="15">
        <v>290.0</v>
      </c>
      <c r="E708" s="7">
        <v>747.0</v>
      </c>
      <c r="F708" s="7">
        <v>980.0</v>
      </c>
      <c r="G708" s="52">
        <f>IFERROR(SUMIF(Issues!B:B, A708, Issues!H:H), 0)</f>
        <v>2500</v>
      </c>
      <c r="H708" s="52">
        <f>IFERROR(SUMIF(Returns!B:B, A708, Returns!H:H), 0)</f>
        <v>1520</v>
      </c>
      <c r="I708" s="52"/>
      <c r="J708" s="3">
        <v>2.0</v>
      </c>
      <c r="K708" s="3">
        <v>94.0</v>
      </c>
      <c r="L708" s="53">
        <f t="shared" si="5"/>
        <v>0</v>
      </c>
      <c r="M708" s="52">
        <f t="shared" si="6"/>
        <v>980</v>
      </c>
      <c r="N708" s="54">
        <f t="shared" si="7"/>
        <v>980</v>
      </c>
      <c r="O708" s="54">
        <f t="shared" si="8"/>
        <v>284.2</v>
      </c>
    </row>
    <row r="709" ht="22.5" customHeight="1">
      <c r="A709" s="15" t="s">
        <v>920</v>
      </c>
      <c r="B709" s="13" t="s">
        <v>9</v>
      </c>
      <c r="C709" s="13">
        <v>80.0</v>
      </c>
      <c r="D709" s="15">
        <v>150.0</v>
      </c>
      <c r="E709" s="7">
        <v>1069.0</v>
      </c>
      <c r="F709" s="7">
        <v>1450.0</v>
      </c>
      <c r="G709" s="52">
        <f>IFERROR(SUMIF(Issues!B:B, A709, Issues!H:H), 0)</f>
        <v>2000</v>
      </c>
      <c r="H709" s="52">
        <f>IFERROR(SUMIF(Returns!B:B, A709, Returns!H:H), 0)</f>
        <v>500</v>
      </c>
      <c r="I709" s="52"/>
      <c r="J709" s="3">
        <v>1.0</v>
      </c>
      <c r="K709" s="3">
        <v>112.0</v>
      </c>
      <c r="L709" s="53">
        <f t="shared" si="5"/>
        <v>0</v>
      </c>
      <c r="M709" s="52">
        <f t="shared" si="6"/>
        <v>1500</v>
      </c>
      <c r="N709" s="54">
        <f t="shared" si="7"/>
        <v>1500</v>
      </c>
      <c r="O709" s="54">
        <f t="shared" si="8"/>
        <v>225</v>
      </c>
    </row>
    <row r="710" ht="22.5" customHeight="1">
      <c r="A710" s="15" t="s">
        <v>921</v>
      </c>
      <c r="B710" s="13" t="s">
        <v>9</v>
      </c>
      <c r="C710" s="13">
        <v>80.0</v>
      </c>
      <c r="D710" s="15">
        <v>210.0</v>
      </c>
      <c r="E710" s="7">
        <v>1781.0</v>
      </c>
      <c r="F710" s="7">
        <v>2030.0</v>
      </c>
      <c r="G710" s="52">
        <f>IFERROR(SUMIF(Issues!B:B, A710, Issues!H:H), 0)</f>
        <v>4000</v>
      </c>
      <c r="H710" s="52">
        <f>IFERROR(SUMIF(Returns!B:B, A710, Returns!H:H), 0)</f>
        <v>1970</v>
      </c>
      <c r="I710" s="52"/>
      <c r="J710" s="3">
        <v>1.0</v>
      </c>
      <c r="K710" s="3">
        <v>112.0</v>
      </c>
      <c r="L710" s="53">
        <f t="shared" si="5"/>
        <v>0</v>
      </c>
      <c r="M710" s="52">
        <f t="shared" si="6"/>
        <v>2030</v>
      </c>
      <c r="N710" s="54">
        <f t="shared" si="7"/>
        <v>2030</v>
      </c>
      <c r="O710" s="54">
        <f t="shared" si="8"/>
        <v>426.3</v>
      </c>
    </row>
    <row r="711" ht="22.5" customHeight="1">
      <c r="A711" s="15" t="s">
        <v>922</v>
      </c>
      <c r="B711" s="13" t="s">
        <v>9</v>
      </c>
      <c r="C711" s="13">
        <v>80.0</v>
      </c>
      <c r="D711" s="15">
        <v>210.0</v>
      </c>
      <c r="E711" s="7">
        <v>1869.0</v>
      </c>
      <c r="F711" s="7">
        <v>2200.0</v>
      </c>
      <c r="G711" s="52">
        <f>IFERROR(SUMIF(Issues!B:B, A711, Issues!H:H), 0)</f>
        <v>3850</v>
      </c>
      <c r="H711" s="52">
        <f>IFERROR(SUMIF(Returns!B:B, A711, Returns!H:H), 0)</f>
        <v>1650</v>
      </c>
      <c r="I711" s="52"/>
      <c r="J711" s="3">
        <v>8.0</v>
      </c>
      <c r="K711" s="3">
        <v>94.0</v>
      </c>
      <c r="L711" s="53">
        <f t="shared" si="5"/>
        <v>0</v>
      </c>
      <c r="M711" s="52">
        <f t="shared" si="6"/>
        <v>2200</v>
      </c>
      <c r="N711" s="54">
        <f t="shared" si="7"/>
        <v>2200</v>
      </c>
      <c r="O711" s="54">
        <f t="shared" si="8"/>
        <v>462</v>
      </c>
    </row>
    <row r="712" ht="22.5" customHeight="1">
      <c r="A712" s="15" t="s">
        <v>923</v>
      </c>
      <c r="B712" s="13" t="s">
        <v>9</v>
      </c>
      <c r="C712" s="13">
        <v>80.0</v>
      </c>
      <c r="D712" s="15">
        <v>160.0</v>
      </c>
      <c r="E712" s="7">
        <v>4246.0</v>
      </c>
      <c r="F712" s="7">
        <v>4600.0</v>
      </c>
      <c r="G712" s="52">
        <f>IFERROR(SUMIF(Issues!B:B, A712, Issues!H:H), 0)</f>
        <v>5460</v>
      </c>
      <c r="H712" s="52">
        <f>IFERROR(SUMIF(Returns!B:B, A712, Returns!H:H), 0)</f>
        <v>300</v>
      </c>
      <c r="I712" s="52"/>
      <c r="J712" s="3">
        <v>1.0</v>
      </c>
      <c r="K712" s="3">
        <v>89.0</v>
      </c>
      <c r="L712" s="53">
        <f t="shared" si="5"/>
        <v>0</v>
      </c>
      <c r="M712" s="52">
        <f t="shared" si="6"/>
        <v>5160</v>
      </c>
      <c r="N712" s="54">
        <f t="shared" si="7"/>
        <v>5160</v>
      </c>
      <c r="O712" s="54">
        <f t="shared" si="8"/>
        <v>825.6</v>
      </c>
    </row>
    <row r="713" ht="22.5" customHeight="1">
      <c r="A713" s="15" t="s">
        <v>924</v>
      </c>
      <c r="B713" s="13" t="s">
        <v>45</v>
      </c>
      <c r="C713" s="13">
        <v>50.0</v>
      </c>
      <c r="D713" s="15">
        <v>132.0</v>
      </c>
      <c r="E713" s="7">
        <v>281.0</v>
      </c>
      <c r="F713" s="7">
        <v>634.0</v>
      </c>
      <c r="G713" s="52">
        <f>IFERROR(SUMIF(Issues!B:B, A713, Issues!H:H), 0)</f>
        <v>650</v>
      </c>
      <c r="H713" s="52">
        <f>IFERROR(SUMIF(Returns!B:B, A713, Returns!H:H), 0)</f>
        <v>50</v>
      </c>
      <c r="I713" s="52"/>
      <c r="J713" s="3">
        <v>8.0</v>
      </c>
      <c r="K713" s="3">
        <v>118.0</v>
      </c>
      <c r="L713" s="53">
        <f t="shared" si="5"/>
        <v>0</v>
      </c>
      <c r="M713" s="52">
        <f t="shared" si="6"/>
        <v>600</v>
      </c>
      <c r="N713" s="54">
        <f t="shared" si="7"/>
        <v>600</v>
      </c>
      <c r="O713" s="54">
        <f t="shared" si="8"/>
        <v>79.2</v>
      </c>
    </row>
    <row r="714" ht="22.5" customHeight="1">
      <c r="A714" s="15" t="s">
        <v>926</v>
      </c>
      <c r="B714" s="13" t="s">
        <v>42</v>
      </c>
      <c r="C714" s="13">
        <v>50.0</v>
      </c>
      <c r="D714" s="15">
        <v>180.0</v>
      </c>
      <c r="E714" s="7">
        <v>113.0</v>
      </c>
      <c r="F714" s="7">
        <v>70.0</v>
      </c>
      <c r="G714" s="52">
        <f>IFERROR(SUMIF(Issues!B:B, A714, Issues!H:H), 0)</f>
        <v>400</v>
      </c>
      <c r="H714" s="52">
        <f>IFERROR(SUMIF(Returns!B:B, A714, Returns!H:H), 0)</f>
        <v>350</v>
      </c>
      <c r="I714" s="52"/>
      <c r="J714" s="3">
        <v>10.0</v>
      </c>
      <c r="K714" s="3">
        <v>118.0</v>
      </c>
      <c r="L714" s="53">
        <f t="shared" si="5"/>
        <v>0</v>
      </c>
      <c r="M714" s="52">
        <f t="shared" si="6"/>
        <v>50</v>
      </c>
      <c r="N714" s="54">
        <f t="shared" si="7"/>
        <v>50</v>
      </c>
      <c r="O714" s="54">
        <f t="shared" si="8"/>
        <v>9</v>
      </c>
    </row>
    <row r="715" ht="22.5" customHeight="1">
      <c r="A715" s="15" t="s">
        <v>927</v>
      </c>
      <c r="B715" s="13" t="s">
        <v>9</v>
      </c>
      <c r="C715" s="13">
        <v>80.0</v>
      </c>
      <c r="D715" s="15">
        <v>320.0</v>
      </c>
      <c r="E715" s="7">
        <v>344.0</v>
      </c>
      <c r="F715" s="7">
        <v>598.0</v>
      </c>
      <c r="G715" s="52">
        <f>IFERROR(SUMIF(Issues!B:B, A715, Issues!H:H), 0)</f>
        <v>1000</v>
      </c>
      <c r="H715" s="52">
        <f>IFERROR(SUMIF(Returns!B:B, A715, Returns!H:H), 0)</f>
        <v>400</v>
      </c>
      <c r="I715" s="52"/>
      <c r="J715" s="3">
        <v>2.0</v>
      </c>
      <c r="K715" s="3">
        <v>108.0</v>
      </c>
      <c r="L715" s="53">
        <f t="shared" si="5"/>
        <v>0</v>
      </c>
      <c r="M715" s="52">
        <f t="shared" si="6"/>
        <v>600</v>
      </c>
      <c r="N715" s="54">
        <f t="shared" si="7"/>
        <v>600</v>
      </c>
      <c r="O715" s="54">
        <f t="shared" si="8"/>
        <v>192</v>
      </c>
    </row>
    <row r="716" ht="22.5" customHeight="1">
      <c r="A716" s="15" t="s">
        <v>928</v>
      </c>
      <c r="B716" s="13" t="s">
        <v>9</v>
      </c>
      <c r="C716" s="13">
        <v>80.0</v>
      </c>
      <c r="D716" s="15">
        <v>250.0</v>
      </c>
      <c r="E716" s="7">
        <v>515.0</v>
      </c>
      <c r="F716" s="7">
        <v>746.0</v>
      </c>
      <c r="G716" s="52">
        <f>IFERROR(SUMIF(Issues!B:B, A716, Issues!H:H), 0)</f>
        <v>1000</v>
      </c>
      <c r="H716" s="52">
        <f>IFERROR(SUMIF(Returns!B:B, A716, Returns!H:H), 0)</f>
        <v>250</v>
      </c>
      <c r="I716" s="52"/>
      <c r="J716" s="3">
        <v>2.0</v>
      </c>
      <c r="K716" s="3">
        <v>108.0</v>
      </c>
      <c r="L716" s="53">
        <f t="shared" si="5"/>
        <v>0</v>
      </c>
      <c r="M716" s="52">
        <f t="shared" si="6"/>
        <v>750</v>
      </c>
      <c r="N716" s="54">
        <f t="shared" si="7"/>
        <v>750</v>
      </c>
      <c r="O716" s="54">
        <f t="shared" si="8"/>
        <v>187.5</v>
      </c>
    </row>
    <row r="717" ht="22.5" customHeight="1">
      <c r="A717" s="15" t="s">
        <v>929</v>
      </c>
      <c r="B717" s="13" t="s">
        <v>9</v>
      </c>
      <c r="C717" s="13">
        <v>80.0</v>
      </c>
      <c r="D717" s="15">
        <v>250.0</v>
      </c>
      <c r="E717" s="7">
        <v>859.0</v>
      </c>
      <c r="F717" s="7">
        <v>1040.0</v>
      </c>
      <c r="G717" s="52">
        <f>IFERROR(SUMIF(Issues!B:B, A717, Issues!H:H), 0)</f>
        <v>1250</v>
      </c>
      <c r="H717" s="52">
        <f>IFERROR(SUMIF(Returns!B:B, A717, Returns!H:H), 0)</f>
        <v>200</v>
      </c>
      <c r="I717" s="52"/>
      <c r="J717" s="3">
        <v>2.0</v>
      </c>
      <c r="K717" s="3">
        <v>108.0</v>
      </c>
      <c r="L717" s="53">
        <f t="shared" si="5"/>
        <v>0</v>
      </c>
      <c r="M717" s="52">
        <f t="shared" si="6"/>
        <v>1050</v>
      </c>
      <c r="N717" s="54">
        <f t="shared" si="7"/>
        <v>1050</v>
      </c>
      <c r="O717" s="54">
        <f t="shared" si="8"/>
        <v>262.5</v>
      </c>
    </row>
    <row r="718" ht="22.5" customHeight="1">
      <c r="A718" s="15" t="s">
        <v>930</v>
      </c>
      <c r="B718" s="13" t="s">
        <v>9</v>
      </c>
      <c r="C718" s="13">
        <v>80.0</v>
      </c>
      <c r="D718" s="15">
        <v>160.0</v>
      </c>
      <c r="E718" s="7">
        <v>1698.0</v>
      </c>
      <c r="F718" s="7">
        <v>2000.0</v>
      </c>
      <c r="G718" s="52">
        <f>IFERROR(SUMIF(Issues!B:B, A718, Issues!H:H), 0)</f>
        <v>2960</v>
      </c>
      <c r="H718" s="52">
        <f>IFERROR(SUMIF(Returns!B:B, A718, Returns!H:H), 0)</f>
        <v>960</v>
      </c>
      <c r="I718" s="52"/>
      <c r="J718" s="3">
        <v>1.0</v>
      </c>
      <c r="K718" s="3">
        <v>89.0</v>
      </c>
      <c r="L718" s="53">
        <f t="shared" si="5"/>
        <v>0</v>
      </c>
      <c r="M718" s="52">
        <f t="shared" si="6"/>
        <v>2000</v>
      </c>
      <c r="N718" s="54">
        <f t="shared" si="7"/>
        <v>2000</v>
      </c>
      <c r="O718" s="54">
        <f t="shared" si="8"/>
        <v>320</v>
      </c>
    </row>
    <row r="719" ht="22.5" customHeight="1">
      <c r="A719" s="15" t="s">
        <v>931</v>
      </c>
      <c r="B719" s="13" t="s">
        <v>9</v>
      </c>
      <c r="C719" s="13">
        <v>80.0</v>
      </c>
      <c r="D719" s="15">
        <v>195.0</v>
      </c>
      <c r="E719" s="7">
        <v>986.0</v>
      </c>
      <c r="F719" s="7">
        <v>1160.0</v>
      </c>
      <c r="G719" s="52">
        <f>IFERROR(SUMIF(Issues!B:B, A719, Issues!H:H), 0)</f>
        <v>1600</v>
      </c>
      <c r="H719" s="52">
        <f>IFERROR(SUMIF(Returns!B:B, A719, Returns!H:H), 0)</f>
        <v>440</v>
      </c>
      <c r="I719" s="52"/>
      <c r="J719" s="3">
        <v>6.0</v>
      </c>
      <c r="K719" s="3">
        <v>124.0</v>
      </c>
      <c r="L719" s="53">
        <f t="shared" si="5"/>
        <v>0</v>
      </c>
      <c r="M719" s="52">
        <f t="shared" si="6"/>
        <v>1160</v>
      </c>
      <c r="N719" s="54">
        <f t="shared" si="7"/>
        <v>1160</v>
      </c>
      <c r="O719" s="54">
        <f t="shared" si="8"/>
        <v>226.2</v>
      </c>
    </row>
    <row r="720" ht="22.5" customHeight="1">
      <c r="A720" s="15" t="s">
        <v>932</v>
      </c>
      <c r="B720" s="13" t="s">
        <v>9</v>
      </c>
      <c r="C720" s="13">
        <v>80.0</v>
      </c>
      <c r="D720" s="15">
        <v>160.0</v>
      </c>
      <c r="E720" s="7">
        <v>4246.0</v>
      </c>
      <c r="F720" s="7">
        <v>4675.0</v>
      </c>
      <c r="G720" s="52">
        <f>IFERROR(SUMIF(Issues!B:B, A720, Issues!H:H), 0)</f>
        <v>4700</v>
      </c>
      <c r="H720" s="52">
        <f>IFERROR(SUMIF(Returns!B:B, A720, Returns!H:H), 0)</f>
        <v>0</v>
      </c>
      <c r="I720" s="52"/>
      <c r="J720" s="3">
        <v>1.0</v>
      </c>
      <c r="K720" s="3">
        <v>89.0</v>
      </c>
      <c r="L720" s="53">
        <f t="shared" si="5"/>
        <v>0</v>
      </c>
      <c r="M720" s="52">
        <f t="shared" si="6"/>
        <v>4700</v>
      </c>
      <c r="N720" s="54">
        <f t="shared" si="7"/>
        <v>4700</v>
      </c>
      <c r="O720" s="54">
        <f t="shared" si="8"/>
        <v>752</v>
      </c>
    </row>
    <row r="721" ht="22.5" customHeight="1">
      <c r="A721" s="15" t="s">
        <v>933</v>
      </c>
      <c r="B721" s="13" t="s">
        <v>9</v>
      </c>
      <c r="C721" s="13">
        <v>80.0</v>
      </c>
      <c r="D721" s="15">
        <v>160.0</v>
      </c>
      <c r="E721" s="7">
        <v>1698.0</v>
      </c>
      <c r="F721" s="7">
        <v>1958.0</v>
      </c>
      <c r="G721" s="52">
        <f>IFERROR(SUMIF(Issues!B:B, A721, Issues!H:H), 0)</f>
        <v>2550</v>
      </c>
      <c r="H721" s="52">
        <f>IFERROR(SUMIF(Returns!B:B, A721, Returns!H:H), 0)</f>
        <v>590</v>
      </c>
      <c r="I721" s="52"/>
      <c r="J721" s="3">
        <v>1.0</v>
      </c>
      <c r="K721" s="3">
        <v>89.0</v>
      </c>
      <c r="L721" s="53">
        <f t="shared" si="5"/>
        <v>0</v>
      </c>
      <c r="M721" s="52">
        <f t="shared" si="6"/>
        <v>1960</v>
      </c>
      <c r="N721" s="54">
        <f t="shared" si="7"/>
        <v>1960</v>
      </c>
      <c r="O721" s="54">
        <f t="shared" si="8"/>
        <v>313.6</v>
      </c>
    </row>
    <row r="722" ht="22.5" customHeight="1">
      <c r="A722" s="15" t="s">
        <v>934</v>
      </c>
      <c r="B722" s="13" t="s">
        <v>9</v>
      </c>
      <c r="C722" s="13">
        <v>80.0</v>
      </c>
      <c r="D722" s="15">
        <v>230.0</v>
      </c>
      <c r="E722" s="7">
        <v>329.0</v>
      </c>
      <c r="F722" s="7">
        <v>486.0</v>
      </c>
      <c r="G722" s="52">
        <f>IFERROR(SUMIF(Issues!B:B, A722, Issues!H:H), 0)</f>
        <v>1570</v>
      </c>
      <c r="H722" s="52">
        <f>IFERROR(SUMIF(Returns!B:B, A722, Returns!H:H), 0)</f>
        <v>1080</v>
      </c>
      <c r="I722" s="52"/>
      <c r="J722" s="3">
        <v>6.0</v>
      </c>
      <c r="K722" s="3">
        <v>124.0</v>
      </c>
      <c r="L722" s="53">
        <f t="shared" si="5"/>
        <v>0</v>
      </c>
      <c r="M722" s="52">
        <f t="shared" si="6"/>
        <v>490</v>
      </c>
      <c r="N722" s="54">
        <f t="shared" si="7"/>
        <v>490</v>
      </c>
      <c r="O722" s="54">
        <f t="shared" si="8"/>
        <v>112.7</v>
      </c>
    </row>
    <row r="723" ht="22.5" customHeight="1">
      <c r="A723" s="15" t="s">
        <v>935</v>
      </c>
      <c r="B723" s="13" t="s">
        <v>9</v>
      </c>
      <c r="C723" s="13">
        <v>80.0</v>
      </c>
      <c r="D723" s="15">
        <v>230.0</v>
      </c>
      <c r="E723" s="7">
        <v>329.0</v>
      </c>
      <c r="F723" s="7">
        <v>472.0</v>
      </c>
      <c r="G723" s="52">
        <f>IFERROR(SUMIF(Issues!B:B, A723, Issues!H:H), 0)</f>
        <v>550</v>
      </c>
      <c r="H723" s="52">
        <f>IFERROR(SUMIF(Returns!B:B, A723, Returns!H:H), 0)</f>
        <v>70</v>
      </c>
      <c r="I723" s="52"/>
      <c r="J723" s="3">
        <v>6.0</v>
      </c>
      <c r="K723" s="3">
        <v>124.0</v>
      </c>
      <c r="L723" s="53">
        <f t="shared" si="5"/>
        <v>0</v>
      </c>
      <c r="M723" s="52">
        <f t="shared" si="6"/>
        <v>480</v>
      </c>
      <c r="N723" s="54">
        <f t="shared" si="7"/>
        <v>480</v>
      </c>
      <c r="O723" s="54">
        <f t="shared" si="8"/>
        <v>110.4</v>
      </c>
    </row>
    <row r="724" ht="22.5" customHeight="1">
      <c r="A724" s="15" t="s">
        <v>936</v>
      </c>
      <c r="B724" s="13" t="s">
        <v>9</v>
      </c>
      <c r="C724" s="13">
        <v>80.0</v>
      </c>
      <c r="D724" s="15">
        <v>230.0</v>
      </c>
      <c r="E724" s="7">
        <v>657.0</v>
      </c>
      <c r="F724" s="7">
        <v>849.0</v>
      </c>
      <c r="G724" s="52">
        <f>IFERROR(SUMIF(Issues!B:B, A724, Issues!H:H), 0)</f>
        <v>1400</v>
      </c>
      <c r="H724" s="52">
        <f>IFERROR(SUMIF(Returns!B:B, A724, Returns!H:H), 0)</f>
        <v>550</v>
      </c>
      <c r="I724" s="52"/>
      <c r="J724" s="3">
        <v>6.0</v>
      </c>
      <c r="K724" s="3">
        <v>124.0</v>
      </c>
      <c r="L724" s="53">
        <f t="shared" si="5"/>
        <v>0</v>
      </c>
      <c r="M724" s="52">
        <f t="shared" si="6"/>
        <v>850</v>
      </c>
      <c r="N724" s="54">
        <f t="shared" si="7"/>
        <v>850</v>
      </c>
      <c r="O724" s="54">
        <f t="shared" si="8"/>
        <v>195.5</v>
      </c>
    </row>
    <row r="725" ht="22.5" customHeight="1">
      <c r="A725" s="15" t="s">
        <v>937</v>
      </c>
      <c r="B725" s="13" t="s">
        <v>9</v>
      </c>
      <c r="C725" s="13">
        <v>80.0</v>
      </c>
      <c r="D725" s="15">
        <v>140.0</v>
      </c>
      <c r="E725" s="7">
        <v>1097.0</v>
      </c>
      <c r="F725" s="7">
        <v>1300.0</v>
      </c>
      <c r="G725" s="52">
        <f>IFERROR(SUMIF(Issues!B:B, A725, Issues!H:H), 0)</f>
        <v>2400</v>
      </c>
      <c r="H725" s="52">
        <f>IFERROR(SUMIF(Returns!B:B, A725, Returns!H:H), 0)</f>
        <v>1100</v>
      </c>
      <c r="I725" s="52"/>
      <c r="J725" s="3">
        <v>1.0</v>
      </c>
      <c r="K725" s="3">
        <v>69.0</v>
      </c>
      <c r="L725" s="53">
        <f t="shared" si="5"/>
        <v>0</v>
      </c>
      <c r="M725" s="52">
        <f t="shared" si="6"/>
        <v>1300</v>
      </c>
      <c r="N725" s="54">
        <f t="shared" si="7"/>
        <v>1300</v>
      </c>
      <c r="O725" s="54">
        <f t="shared" si="8"/>
        <v>182</v>
      </c>
    </row>
    <row r="726" ht="22.5" customHeight="1">
      <c r="A726" s="15" t="s">
        <v>938</v>
      </c>
      <c r="B726" s="13" t="s">
        <v>9</v>
      </c>
      <c r="C726" s="13">
        <v>80.0</v>
      </c>
      <c r="D726" s="15">
        <v>140.0</v>
      </c>
      <c r="E726" s="7">
        <v>1317.0</v>
      </c>
      <c r="F726" s="7">
        <v>1654.0</v>
      </c>
      <c r="G726" s="52">
        <f>IFERROR(SUMIF(Issues!B:B, A726, Issues!H:H), 0)</f>
        <v>2900</v>
      </c>
      <c r="H726" s="52">
        <f>IFERROR(SUMIF(Returns!B:B, A726, Returns!H:H), 0)</f>
        <v>1240</v>
      </c>
      <c r="I726" s="52"/>
      <c r="J726" s="3">
        <v>1.0</v>
      </c>
      <c r="K726" s="3">
        <v>69.0</v>
      </c>
      <c r="L726" s="53">
        <f t="shared" si="5"/>
        <v>0</v>
      </c>
      <c r="M726" s="52">
        <f t="shared" si="6"/>
        <v>1660</v>
      </c>
      <c r="N726" s="54">
        <f t="shared" si="7"/>
        <v>1660</v>
      </c>
      <c r="O726" s="54">
        <f t="shared" si="8"/>
        <v>232.4</v>
      </c>
    </row>
    <row r="727" ht="22.5" customHeight="1">
      <c r="A727" s="15" t="s">
        <v>939</v>
      </c>
      <c r="B727" s="13" t="s">
        <v>9</v>
      </c>
      <c r="C727" s="13">
        <v>80.0</v>
      </c>
      <c r="D727" s="15">
        <v>185.0</v>
      </c>
      <c r="E727" s="7">
        <v>1718.0</v>
      </c>
      <c r="F727" s="7">
        <v>1970.0</v>
      </c>
      <c r="G727" s="52">
        <f>IFERROR(SUMIF(Issues!B:B, A727, Issues!H:H), 0)</f>
        <v>3190</v>
      </c>
      <c r="H727" s="52">
        <f>IFERROR(SUMIF(Returns!B:B, A727, Returns!H:H), 0)</f>
        <v>1220</v>
      </c>
      <c r="I727" s="52"/>
      <c r="J727" s="3">
        <v>2.0</v>
      </c>
      <c r="K727" s="3">
        <v>72.0</v>
      </c>
      <c r="L727" s="53">
        <f t="shared" si="5"/>
        <v>0</v>
      </c>
      <c r="M727" s="52">
        <f t="shared" si="6"/>
        <v>1970</v>
      </c>
      <c r="N727" s="54">
        <f t="shared" si="7"/>
        <v>1970</v>
      </c>
      <c r="O727" s="54">
        <f t="shared" si="8"/>
        <v>364.45</v>
      </c>
    </row>
    <row r="728" ht="22.5" customHeight="1">
      <c r="A728" s="15" t="s">
        <v>940</v>
      </c>
      <c r="B728" s="13" t="s">
        <v>9</v>
      </c>
      <c r="C728" s="13">
        <v>80.0</v>
      </c>
      <c r="D728" s="15">
        <v>230.0</v>
      </c>
      <c r="E728" s="7">
        <v>2195.0</v>
      </c>
      <c r="F728" s="7">
        <v>2490.0</v>
      </c>
      <c r="G728" s="52">
        <f>IFERROR(SUMIF(Issues!B:B, A728, Issues!H:H), 0)</f>
        <v>2790</v>
      </c>
      <c r="H728" s="52">
        <f>IFERROR(SUMIF(Returns!B:B, A728, Returns!H:H), 0)</f>
        <v>300</v>
      </c>
      <c r="I728" s="52"/>
      <c r="J728" s="3">
        <v>2.0</v>
      </c>
      <c r="K728" s="3">
        <v>92.0</v>
      </c>
      <c r="L728" s="53">
        <f t="shared" si="5"/>
        <v>0</v>
      </c>
      <c r="M728" s="52">
        <f t="shared" si="6"/>
        <v>2490</v>
      </c>
      <c r="N728" s="54">
        <f t="shared" si="7"/>
        <v>2490</v>
      </c>
      <c r="O728" s="54">
        <f t="shared" si="8"/>
        <v>572.7</v>
      </c>
    </row>
    <row r="729" ht="22.5" customHeight="1">
      <c r="A729" s="15" t="s">
        <v>941</v>
      </c>
      <c r="B729" s="13" t="s">
        <v>43</v>
      </c>
      <c r="C729" s="13">
        <v>50.0</v>
      </c>
      <c r="D729" s="15">
        <v>125.0</v>
      </c>
      <c r="E729" s="7">
        <v>455.0</v>
      </c>
      <c r="F729" s="7">
        <v>710.0</v>
      </c>
      <c r="G729" s="52">
        <f>IFERROR(SUMIF(Issues!B:B, A729, Issues!H:H), 0)</f>
        <v>2200</v>
      </c>
      <c r="H729" s="52">
        <f>IFERROR(SUMIF(Returns!B:B, A729, Returns!H:H), 0)</f>
        <v>1490</v>
      </c>
      <c r="I729" s="52"/>
      <c r="J729" s="3">
        <v>4.0</v>
      </c>
      <c r="K729" s="3">
        <v>108.0</v>
      </c>
      <c r="L729" s="53">
        <f t="shared" si="5"/>
        <v>0</v>
      </c>
      <c r="M729" s="52">
        <f t="shared" si="6"/>
        <v>710</v>
      </c>
      <c r="N729" s="54">
        <f t="shared" si="7"/>
        <v>710</v>
      </c>
      <c r="O729" s="54">
        <f t="shared" si="8"/>
        <v>88.75</v>
      </c>
    </row>
    <row r="730" ht="22.5" customHeight="1">
      <c r="A730" s="15" t="s">
        <v>943</v>
      </c>
      <c r="B730" s="13" t="s">
        <v>43</v>
      </c>
      <c r="C730" s="13">
        <v>50.0</v>
      </c>
      <c r="D730" s="15">
        <v>125.0</v>
      </c>
      <c r="E730" s="7">
        <v>902.0</v>
      </c>
      <c r="F730" s="7">
        <v>902.0</v>
      </c>
      <c r="G730" s="52">
        <f>IFERROR(SUMIF(Issues!B:B, A730, Issues!H:H), 0)</f>
        <v>1490</v>
      </c>
      <c r="H730" s="52">
        <f>IFERROR(SUMIF(Returns!B:B, A730, Returns!H:H), 0)</f>
        <v>340</v>
      </c>
      <c r="I730" s="52"/>
      <c r="J730" s="3">
        <v>4.0</v>
      </c>
      <c r="K730" s="3">
        <v>108.0</v>
      </c>
      <c r="L730" s="53">
        <f t="shared" si="5"/>
        <v>0</v>
      </c>
      <c r="M730" s="52">
        <f t="shared" si="6"/>
        <v>1150</v>
      </c>
      <c r="N730" s="54">
        <f t="shared" si="7"/>
        <v>1150</v>
      </c>
      <c r="O730" s="54">
        <f t="shared" si="8"/>
        <v>143.75</v>
      </c>
    </row>
    <row r="731" ht="22.5" customHeight="1">
      <c r="A731" s="15" t="s">
        <v>944</v>
      </c>
      <c r="B731" s="13" t="s">
        <v>43</v>
      </c>
      <c r="C731" s="13">
        <v>50.0</v>
      </c>
      <c r="D731" s="15">
        <v>125.0</v>
      </c>
      <c r="E731" s="7">
        <v>902.0</v>
      </c>
      <c r="F731" s="7">
        <v>1130.0</v>
      </c>
      <c r="G731" s="52">
        <f>IFERROR(SUMIF(Issues!B:B, A731, Issues!H:H), 0)</f>
        <v>2340</v>
      </c>
      <c r="H731" s="52">
        <f>IFERROR(SUMIF(Returns!B:B, A731, Returns!H:H), 0)</f>
        <v>1200</v>
      </c>
      <c r="I731" s="52"/>
      <c r="J731" s="3">
        <v>4.0</v>
      </c>
      <c r="K731" s="3">
        <v>108.0</v>
      </c>
      <c r="L731" s="53">
        <f t="shared" si="5"/>
        <v>0</v>
      </c>
      <c r="M731" s="52">
        <f t="shared" si="6"/>
        <v>1140</v>
      </c>
      <c r="N731" s="54">
        <f t="shared" si="7"/>
        <v>1140</v>
      </c>
      <c r="O731" s="54">
        <f t="shared" si="8"/>
        <v>142.5</v>
      </c>
    </row>
    <row r="732" ht="22.5" customHeight="1">
      <c r="A732" s="15" t="s">
        <v>945</v>
      </c>
      <c r="B732" s="13" t="s">
        <v>43</v>
      </c>
      <c r="C732" s="13">
        <v>50.0</v>
      </c>
      <c r="D732" s="15">
        <v>125.0</v>
      </c>
      <c r="E732" s="7">
        <v>1255.0</v>
      </c>
      <c r="F732" s="7">
        <v>1660.0</v>
      </c>
      <c r="G732" s="52">
        <f>IFERROR(SUMIF(Issues!B:B, A732, Issues!H:H), 0)</f>
        <v>2870</v>
      </c>
      <c r="H732" s="52">
        <f>IFERROR(SUMIF(Returns!B:B, A732, Returns!H:H), 0)</f>
        <v>1200</v>
      </c>
      <c r="I732" s="52"/>
      <c r="J732" s="3">
        <v>3.0</v>
      </c>
      <c r="K732" s="3">
        <v>89.0</v>
      </c>
      <c r="L732" s="53">
        <f t="shared" si="5"/>
        <v>0</v>
      </c>
      <c r="M732" s="52">
        <f t="shared" si="6"/>
        <v>1670</v>
      </c>
      <c r="N732" s="54">
        <f t="shared" si="7"/>
        <v>1670</v>
      </c>
      <c r="O732" s="54">
        <f t="shared" si="8"/>
        <v>208.75</v>
      </c>
    </row>
    <row r="733" ht="22.5" customHeight="1">
      <c r="A733" s="15" t="s">
        <v>946</v>
      </c>
      <c r="B733" s="13" t="s">
        <v>26</v>
      </c>
      <c r="C733" s="13">
        <v>80.0</v>
      </c>
      <c r="D733" s="15">
        <v>220.0</v>
      </c>
      <c r="E733" s="7">
        <v>5025.0</v>
      </c>
      <c r="F733" s="7">
        <v>5641.0</v>
      </c>
      <c r="G733" s="52">
        <f>IFERROR(SUMIF(Issues!B:B, A733, Issues!H:H), 0)</f>
        <v>6100</v>
      </c>
      <c r="H733" s="52">
        <f>IFERROR(SUMIF(Returns!B:B, A733, Returns!H:H), 0)</f>
        <v>450</v>
      </c>
      <c r="I733" s="52"/>
      <c r="J733" s="3">
        <v>10.0</v>
      </c>
      <c r="K733" s="3">
        <v>79.0</v>
      </c>
      <c r="L733" s="53">
        <f t="shared" si="5"/>
        <v>0</v>
      </c>
      <c r="M733" s="52">
        <f t="shared" si="6"/>
        <v>5650</v>
      </c>
      <c r="N733" s="54">
        <f t="shared" si="7"/>
        <v>5650</v>
      </c>
      <c r="O733" s="54">
        <f t="shared" si="8"/>
        <v>1243</v>
      </c>
    </row>
    <row r="734" ht="22.5" customHeight="1">
      <c r="A734" s="15" t="s">
        <v>947</v>
      </c>
      <c r="B734" s="13" t="s">
        <v>9</v>
      </c>
      <c r="C734" s="13">
        <v>80.0</v>
      </c>
      <c r="D734" s="15">
        <v>210.0</v>
      </c>
      <c r="E734" s="7">
        <v>5980.0</v>
      </c>
      <c r="F734" s="7">
        <v>5280.0</v>
      </c>
      <c r="G734" s="52">
        <f>IFERROR(SUMIF(Issues!B:B, A734, Issues!H:H), 0)</f>
        <v>5980</v>
      </c>
      <c r="H734" s="52">
        <f>IFERROR(SUMIF(Returns!B:B, A734, Returns!H:H), 0)</f>
        <v>880</v>
      </c>
      <c r="I734" s="52"/>
      <c r="J734" s="3">
        <v>10.0</v>
      </c>
      <c r="K734" s="3">
        <v>79.0</v>
      </c>
      <c r="L734" s="53">
        <f t="shared" si="5"/>
        <v>0</v>
      </c>
      <c r="M734" s="52">
        <f t="shared" si="6"/>
        <v>5100</v>
      </c>
      <c r="N734" s="54">
        <f t="shared" si="7"/>
        <v>5100</v>
      </c>
      <c r="O734" s="54">
        <f t="shared" si="8"/>
        <v>1071</v>
      </c>
    </row>
    <row r="735" ht="22.5" customHeight="1">
      <c r="A735" s="15" t="s">
        <v>948</v>
      </c>
      <c r="B735" s="13" t="s">
        <v>9</v>
      </c>
      <c r="C735" s="13">
        <v>80.0</v>
      </c>
      <c r="D735" s="15">
        <v>125.0</v>
      </c>
      <c r="E735" s="7">
        <v>224.0</v>
      </c>
      <c r="F735" s="7">
        <v>410.0</v>
      </c>
      <c r="G735" s="52">
        <f>IFERROR(SUMIF(Issues!B:B, A735, Issues!H:H), 0)</f>
        <v>450</v>
      </c>
      <c r="H735" s="52">
        <f>IFERROR(SUMIF(Returns!B:B, A735, Returns!H:H), 0)</f>
        <v>0</v>
      </c>
      <c r="I735" s="52"/>
      <c r="J735" s="3">
        <v>4.0</v>
      </c>
      <c r="K735" s="3">
        <v>94.0</v>
      </c>
      <c r="L735" s="53">
        <f t="shared" si="5"/>
        <v>0</v>
      </c>
      <c r="M735" s="52">
        <f t="shared" si="6"/>
        <v>450</v>
      </c>
      <c r="N735" s="54">
        <f t="shared" si="7"/>
        <v>450</v>
      </c>
      <c r="O735" s="54">
        <f t="shared" si="8"/>
        <v>56.25</v>
      </c>
    </row>
    <row r="736" ht="22.5" customHeight="1">
      <c r="A736" s="15" t="s">
        <v>950</v>
      </c>
      <c r="B736" s="13" t="s">
        <v>9</v>
      </c>
      <c r="C736" s="13">
        <v>80.0</v>
      </c>
      <c r="D736" s="15">
        <v>140.0</v>
      </c>
      <c r="E736" s="7">
        <v>1225.0</v>
      </c>
      <c r="F736" s="7">
        <v>1440.0</v>
      </c>
      <c r="G736" s="52">
        <f>IFERROR(SUMIF(Issues!B:B, A736, Issues!H:H), 0)</f>
        <v>1700</v>
      </c>
      <c r="H736" s="52">
        <f>IFERROR(SUMIF(Returns!B:B, A736, Returns!H:H), 0)</f>
        <v>260</v>
      </c>
      <c r="I736" s="52"/>
      <c r="J736" s="3">
        <v>6.0</v>
      </c>
      <c r="K736" s="3">
        <v>66.0</v>
      </c>
      <c r="L736" s="53">
        <f t="shared" si="5"/>
        <v>0</v>
      </c>
      <c r="M736" s="52">
        <f t="shared" si="6"/>
        <v>1440</v>
      </c>
      <c r="N736" s="54">
        <f t="shared" si="7"/>
        <v>1440</v>
      </c>
      <c r="O736" s="54">
        <f t="shared" si="8"/>
        <v>201.6</v>
      </c>
    </row>
    <row r="737" ht="22.5" customHeight="1">
      <c r="A737" s="15" t="s">
        <v>952</v>
      </c>
      <c r="B737" s="13" t="s">
        <v>9</v>
      </c>
      <c r="C737" s="13">
        <v>80.0</v>
      </c>
      <c r="D737" s="15">
        <v>140.0</v>
      </c>
      <c r="E737" s="7">
        <v>543.0</v>
      </c>
      <c r="F737" s="7">
        <v>830.0</v>
      </c>
      <c r="G737" s="52">
        <f>IFERROR(SUMIF(Issues!B:B, A737, Issues!H:H), 0)</f>
        <v>1240</v>
      </c>
      <c r="H737" s="52">
        <f>IFERROR(SUMIF(Returns!B:B, A737, Returns!H:H), 0)</f>
        <v>400</v>
      </c>
      <c r="I737" s="52"/>
      <c r="J737" s="3">
        <v>4.0</v>
      </c>
      <c r="K737" s="3">
        <v>99.0</v>
      </c>
      <c r="L737" s="53">
        <f t="shared" si="5"/>
        <v>0</v>
      </c>
      <c r="M737" s="52">
        <f t="shared" si="6"/>
        <v>840</v>
      </c>
      <c r="N737" s="54">
        <f t="shared" si="7"/>
        <v>840</v>
      </c>
      <c r="O737" s="54">
        <f t="shared" si="8"/>
        <v>117.6</v>
      </c>
    </row>
    <row r="738" ht="22.5" customHeight="1">
      <c r="A738" s="15" t="s">
        <v>952</v>
      </c>
      <c r="B738" s="13" t="s">
        <v>9</v>
      </c>
      <c r="C738" s="13">
        <v>80.0</v>
      </c>
      <c r="D738" s="15">
        <v>140.0</v>
      </c>
      <c r="E738" s="27"/>
      <c r="F738" s="27"/>
      <c r="G738" s="27"/>
      <c r="H738" s="52">
        <f>IFERROR(SUMIF(Returns!B:B, A738, Returns!H:H), 0)</f>
        <v>400</v>
      </c>
      <c r="I738" s="52"/>
      <c r="J738" s="52"/>
      <c r="K738" s="52"/>
      <c r="L738" s="53">
        <f t="shared" si="5"/>
        <v>0</v>
      </c>
      <c r="M738" s="52">
        <f t="shared" si="6"/>
        <v>-400</v>
      </c>
      <c r="N738" s="54">
        <f t="shared" si="7"/>
        <v>0</v>
      </c>
      <c r="O738" s="54">
        <f t="shared" si="8"/>
        <v>0</v>
      </c>
    </row>
    <row r="739" ht="22.5" customHeight="1">
      <c r="A739" s="15" t="s">
        <v>953</v>
      </c>
      <c r="B739" s="13" t="s">
        <v>9</v>
      </c>
      <c r="C739" s="13">
        <v>80.0</v>
      </c>
      <c r="D739" s="15">
        <v>170.0</v>
      </c>
      <c r="E739" s="7">
        <v>1246.0</v>
      </c>
      <c r="F739" s="7">
        <v>1461.0</v>
      </c>
      <c r="G739" s="52">
        <f>IFERROR(SUMIF(Issues!B:B, A739, Issues!H:H), 0)</f>
        <v>2000</v>
      </c>
      <c r="H739" s="52">
        <f>IFERROR(SUMIF(Returns!B:B, A739, Returns!H:H), 0)</f>
        <v>530</v>
      </c>
      <c r="I739" s="52"/>
      <c r="J739" s="3">
        <v>6.0</v>
      </c>
      <c r="K739" s="3">
        <v>94.0</v>
      </c>
      <c r="L739" s="53">
        <f t="shared" si="5"/>
        <v>0</v>
      </c>
      <c r="M739" s="52">
        <f t="shared" si="6"/>
        <v>1470</v>
      </c>
      <c r="N739" s="54">
        <f t="shared" si="7"/>
        <v>1470</v>
      </c>
      <c r="O739" s="54">
        <f t="shared" si="8"/>
        <v>249.9</v>
      </c>
    </row>
    <row r="740" ht="22.5" customHeight="1">
      <c r="A740" s="15" t="s">
        <v>954</v>
      </c>
      <c r="B740" s="13" t="s">
        <v>42</v>
      </c>
      <c r="C740" s="13">
        <v>50.0</v>
      </c>
      <c r="D740" s="15">
        <v>330.0</v>
      </c>
      <c r="E740" s="7">
        <v>263.0</v>
      </c>
      <c r="F740" s="7">
        <v>661.0</v>
      </c>
      <c r="G740" s="52">
        <f>IFERROR(SUMIF(Issues!B:B, A740, Issues!H:H), 0)</f>
        <v>1000</v>
      </c>
      <c r="H740" s="52">
        <f>IFERROR(SUMIF(Returns!B:B, A740, Returns!H:H), 0)</f>
        <v>330</v>
      </c>
      <c r="I740" s="52"/>
      <c r="J740" s="3">
        <v>10.0</v>
      </c>
      <c r="K740" s="3">
        <v>118.0</v>
      </c>
      <c r="L740" s="53">
        <f t="shared" si="5"/>
        <v>0</v>
      </c>
      <c r="M740" s="52">
        <f t="shared" si="6"/>
        <v>670</v>
      </c>
      <c r="N740" s="54">
        <f t="shared" si="7"/>
        <v>670</v>
      </c>
      <c r="O740" s="54">
        <f t="shared" si="8"/>
        <v>221.1</v>
      </c>
    </row>
    <row r="741" ht="22.5" customHeight="1">
      <c r="A741" s="15" t="s">
        <v>955</v>
      </c>
      <c r="B741" s="13" t="s">
        <v>9</v>
      </c>
      <c r="C741" s="13">
        <v>80.0</v>
      </c>
      <c r="D741" s="15">
        <v>180.0</v>
      </c>
      <c r="E741" s="7">
        <v>4986.0</v>
      </c>
      <c r="F741" s="7">
        <v>5250.0</v>
      </c>
      <c r="G741" s="52">
        <f>IFERROR(SUMIF(Issues!B:B, A741, Issues!H:H), 0)</f>
        <v>7890</v>
      </c>
      <c r="H741" s="52">
        <f>IFERROR(SUMIF(Returns!B:B, A741, Returns!H:H), 0)</f>
        <v>1750</v>
      </c>
      <c r="I741" s="52"/>
      <c r="J741" s="3">
        <v>6.0</v>
      </c>
      <c r="K741" s="3">
        <v>99.0</v>
      </c>
      <c r="L741" s="53">
        <f t="shared" si="5"/>
        <v>0</v>
      </c>
      <c r="M741" s="52">
        <f t="shared" si="6"/>
        <v>6140</v>
      </c>
      <c r="N741" s="54">
        <f t="shared" si="7"/>
        <v>6140</v>
      </c>
      <c r="O741" s="54">
        <f t="shared" si="8"/>
        <v>1105.2</v>
      </c>
    </row>
    <row r="742" ht="22.5" customHeight="1">
      <c r="A742" s="15" t="s">
        <v>923</v>
      </c>
      <c r="B742" s="13" t="s">
        <v>9</v>
      </c>
      <c r="C742" s="13">
        <v>80.0</v>
      </c>
      <c r="D742" s="15">
        <v>150.0</v>
      </c>
      <c r="E742" s="7">
        <v>255.0</v>
      </c>
      <c r="F742" s="7">
        <v>435.0</v>
      </c>
      <c r="G742" s="52">
        <f>IFERROR(SUMIF(Issues!B:B, A742, Issues!H:H), 0)</f>
        <v>5460</v>
      </c>
      <c r="H742" s="52">
        <f>IFERROR(SUMIF(Returns!B:B, A742, Returns!H:H), 0)</f>
        <v>300</v>
      </c>
      <c r="I742" s="52"/>
      <c r="J742" s="3">
        <v>9.0</v>
      </c>
      <c r="K742" s="3">
        <v>99.0</v>
      </c>
      <c r="L742" s="53">
        <f t="shared" si="5"/>
        <v>0</v>
      </c>
      <c r="M742" s="52">
        <f t="shared" si="6"/>
        <v>5160</v>
      </c>
      <c r="N742" s="54">
        <f t="shared" si="7"/>
        <v>5160</v>
      </c>
      <c r="O742" s="54">
        <f t="shared" si="8"/>
        <v>774</v>
      </c>
    </row>
    <row r="743" ht="22.5" customHeight="1">
      <c r="A743" s="15" t="s">
        <v>956</v>
      </c>
      <c r="B743" s="13" t="s">
        <v>57</v>
      </c>
      <c r="C743" s="13">
        <v>80.0</v>
      </c>
      <c r="D743" s="15">
        <v>160.0</v>
      </c>
      <c r="E743" s="7">
        <v>41.0</v>
      </c>
      <c r="F743" s="7">
        <v>275.0</v>
      </c>
      <c r="G743" s="52">
        <f>IFERROR(SUMIF(Issues!B:B, A743, Issues!H:H), 0)</f>
        <v>310</v>
      </c>
      <c r="H743" s="52">
        <f>IFERROR(SUMIF(Returns!B:B, A743, Returns!H:H), 0)</f>
        <v>0</v>
      </c>
      <c r="I743" s="52"/>
      <c r="J743" s="3">
        <v>28.0</v>
      </c>
      <c r="K743" s="3">
        <v>72.0</v>
      </c>
      <c r="L743" s="53">
        <f t="shared" si="5"/>
        <v>0</v>
      </c>
      <c r="M743" s="52">
        <f t="shared" si="6"/>
        <v>310</v>
      </c>
      <c r="N743" s="54">
        <f t="shared" si="7"/>
        <v>310</v>
      </c>
      <c r="O743" s="54">
        <f t="shared" si="8"/>
        <v>49.6</v>
      </c>
    </row>
    <row r="744" ht="22.5" customHeight="1">
      <c r="A744" s="15" t="s">
        <v>958</v>
      </c>
      <c r="B744" s="13" t="s">
        <v>57</v>
      </c>
      <c r="C744" s="13">
        <v>80.0</v>
      </c>
      <c r="D744" s="15">
        <v>160.0</v>
      </c>
      <c r="E744" s="7">
        <v>41.0</v>
      </c>
      <c r="F744" s="7">
        <v>255.0</v>
      </c>
      <c r="G744" s="52">
        <f>IFERROR(SUMIF(Issues!B:B, A744, Issues!H:H), 0)</f>
        <v>570</v>
      </c>
      <c r="H744" s="52">
        <f>IFERROR(SUMIF(Returns!B:B, A744, Returns!H:H), 0)</f>
        <v>310</v>
      </c>
      <c r="I744" s="52"/>
      <c r="J744" s="3">
        <v>28.0</v>
      </c>
      <c r="K744" s="3">
        <v>72.0</v>
      </c>
      <c r="L744" s="53">
        <f t="shared" si="5"/>
        <v>0</v>
      </c>
      <c r="M744" s="52">
        <f t="shared" si="6"/>
        <v>260</v>
      </c>
      <c r="N744" s="54">
        <f t="shared" si="7"/>
        <v>260</v>
      </c>
      <c r="O744" s="54">
        <f t="shared" si="8"/>
        <v>41.6</v>
      </c>
    </row>
    <row r="745" ht="22.5" customHeight="1">
      <c r="A745" s="15" t="s">
        <v>959</v>
      </c>
      <c r="B745" s="13" t="s">
        <v>57</v>
      </c>
      <c r="C745" s="13">
        <v>80.0</v>
      </c>
      <c r="D745" s="15">
        <v>160.0</v>
      </c>
      <c r="E745" s="7">
        <v>164.0</v>
      </c>
      <c r="F745" s="7">
        <v>410.0</v>
      </c>
      <c r="G745" s="52">
        <f>IFERROR(SUMIF(Issues!B:B, A745, Issues!H:H), 0)</f>
        <v>2000</v>
      </c>
      <c r="H745" s="52">
        <f>IFERROR(SUMIF(Returns!B:B, A745, Returns!H:H), 0)</f>
        <v>1590</v>
      </c>
      <c r="I745" s="52"/>
      <c r="J745" s="3">
        <v>28.0</v>
      </c>
      <c r="K745" s="3">
        <v>72.0</v>
      </c>
      <c r="L745" s="53">
        <f t="shared" si="5"/>
        <v>0</v>
      </c>
      <c r="M745" s="52">
        <f t="shared" si="6"/>
        <v>410</v>
      </c>
      <c r="N745" s="54">
        <f t="shared" si="7"/>
        <v>410</v>
      </c>
      <c r="O745" s="54">
        <f t="shared" si="8"/>
        <v>65.6</v>
      </c>
    </row>
    <row r="746" ht="22.5" customHeight="1">
      <c r="A746" s="15" t="s">
        <v>960</v>
      </c>
      <c r="B746" s="13" t="s">
        <v>57</v>
      </c>
      <c r="C746" s="13">
        <v>80.0</v>
      </c>
      <c r="D746" s="15">
        <v>160.0</v>
      </c>
      <c r="E746" s="7">
        <v>164.0</v>
      </c>
      <c r="F746" s="7">
        <v>366.0</v>
      </c>
      <c r="G746" s="52">
        <f>IFERROR(SUMIF(Issues!B:B, A746, Issues!H:H), 0)</f>
        <v>1590</v>
      </c>
      <c r="H746" s="52">
        <f>IFERROR(SUMIF(Returns!B:B, A746, Returns!H:H), 0)</f>
        <v>1220</v>
      </c>
      <c r="I746" s="52"/>
      <c r="J746" s="3">
        <v>28.0</v>
      </c>
      <c r="K746" s="3">
        <v>72.0</v>
      </c>
      <c r="L746" s="53">
        <f t="shared" si="5"/>
        <v>0</v>
      </c>
      <c r="M746" s="52">
        <f t="shared" si="6"/>
        <v>370</v>
      </c>
      <c r="N746" s="54">
        <f t="shared" si="7"/>
        <v>370</v>
      </c>
      <c r="O746" s="54">
        <f t="shared" si="8"/>
        <v>59.2</v>
      </c>
    </row>
    <row r="747" ht="22.5" customHeight="1">
      <c r="A747" s="15" t="s">
        <v>961</v>
      </c>
      <c r="B747" s="13" t="s">
        <v>57</v>
      </c>
      <c r="C747" s="13">
        <v>80.0</v>
      </c>
      <c r="D747" s="15">
        <v>160.0</v>
      </c>
      <c r="E747" s="7">
        <v>164.0</v>
      </c>
      <c r="F747" s="7">
        <v>369.0</v>
      </c>
      <c r="G747" s="52">
        <f>IFERROR(SUMIF(Issues!B:B, A747, Issues!H:H), 0)</f>
        <v>1220</v>
      </c>
      <c r="H747" s="52">
        <f>IFERROR(SUMIF(Returns!B:B, A747, Returns!H:H), 0)</f>
        <v>850</v>
      </c>
      <c r="I747" s="52"/>
      <c r="J747" s="3">
        <v>28.0</v>
      </c>
      <c r="K747" s="3">
        <v>72.0</v>
      </c>
      <c r="L747" s="53">
        <f t="shared" si="5"/>
        <v>0</v>
      </c>
      <c r="M747" s="52">
        <f t="shared" si="6"/>
        <v>370</v>
      </c>
      <c r="N747" s="54">
        <f t="shared" si="7"/>
        <v>370</v>
      </c>
      <c r="O747" s="54">
        <f t="shared" si="8"/>
        <v>59.2</v>
      </c>
    </row>
    <row r="748" ht="22.5" customHeight="1">
      <c r="A748" s="15" t="s">
        <v>962</v>
      </c>
      <c r="B748" s="13" t="s">
        <v>57</v>
      </c>
      <c r="C748" s="13">
        <v>80.0</v>
      </c>
      <c r="D748" s="15">
        <v>160.0</v>
      </c>
      <c r="E748" s="7">
        <v>164.0</v>
      </c>
      <c r="F748" s="7">
        <v>374.0</v>
      </c>
      <c r="G748" s="52">
        <f>IFERROR(SUMIF(Issues!B:B, A748, Issues!H:H), 0)</f>
        <v>850</v>
      </c>
      <c r="H748" s="52">
        <f>IFERROR(SUMIF(Returns!B:B, A748, Returns!H:H), 0)</f>
        <v>374</v>
      </c>
      <c r="I748" s="52"/>
      <c r="J748" s="3">
        <v>28.0</v>
      </c>
      <c r="K748" s="3">
        <v>72.0</v>
      </c>
      <c r="L748" s="53">
        <f t="shared" si="5"/>
        <v>0</v>
      </c>
      <c r="M748" s="52">
        <f t="shared" si="6"/>
        <v>476</v>
      </c>
      <c r="N748" s="54">
        <f t="shared" si="7"/>
        <v>476</v>
      </c>
      <c r="O748" s="54">
        <f t="shared" si="8"/>
        <v>76.16</v>
      </c>
    </row>
    <row r="749" ht="22.5" customHeight="1">
      <c r="A749" s="15" t="s">
        <v>963</v>
      </c>
      <c r="B749" s="13" t="s">
        <v>9</v>
      </c>
      <c r="C749" s="13">
        <v>80.0</v>
      </c>
      <c r="D749" s="15">
        <v>125.0</v>
      </c>
      <c r="E749" s="7">
        <v>2576.0</v>
      </c>
      <c r="F749" s="7">
        <v>2850.0</v>
      </c>
      <c r="G749" s="52">
        <f>IFERROR(SUMIF(Issues!B:B, A749, Issues!H:H), 0)</f>
        <v>3400</v>
      </c>
      <c r="H749" s="52">
        <f>IFERROR(SUMIF(Returns!B:B, A749, Returns!H:H), 0)</f>
        <v>550</v>
      </c>
      <c r="I749" s="52"/>
      <c r="J749" s="3">
        <v>2.0</v>
      </c>
      <c r="K749" s="3">
        <v>108.0</v>
      </c>
      <c r="L749" s="53">
        <f t="shared" si="5"/>
        <v>0</v>
      </c>
      <c r="M749" s="52">
        <f t="shared" si="6"/>
        <v>2850</v>
      </c>
      <c r="N749" s="54">
        <f t="shared" si="7"/>
        <v>2850</v>
      </c>
      <c r="O749" s="54">
        <f t="shared" si="8"/>
        <v>356.25</v>
      </c>
    </row>
    <row r="750" ht="22.5" customHeight="1">
      <c r="A750" s="15" t="s">
        <v>964</v>
      </c>
      <c r="B750" s="13" t="s">
        <v>9</v>
      </c>
      <c r="C750" s="13">
        <v>80.0</v>
      </c>
      <c r="D750" s="15">
        <v>125.0</v>
      </c>
      <c r="E750" s="7">
        <v>2267.0</v>
      </c>
      <c r="F750" s="7">
        <v>2473.0</v>
      </c>
      <c r="G750" s="52">
        <f>IFERROR(SUMIF(Issues!B:B, A750, Issues!H:H), 0)</f>
        <v>4000</v>
      </c>
      <c r="H750" s="52">
        <f>IFERROR(SUMIF(Returns!B:B, A750, Returns!H:H), 0)</f>
        <v>1520</v>
      </c>
      <c r="I750" s="52"/>
      <c r="J750" s="3">
        <v>2.0</v>
      </c>
      <c r="K750" s="3">
        <v>108.0</v>
      </c>
      <c r="L750" s="53">
        <f t="shared" si="5"/>
        <v>0</v>
      </c>
      <c r="M750" s="52">
        <f t="shared" si="6"/>
        <v>2480</v>
      </c>
      <c r="N750" s="54">
        <f t="shared" si="7"/>
        <v>2480</v>
      </c>
      <c r="O750" s="54">
        <f t="shared" si="8"/>
        <v>310</v>
      </c>
    </row>
    <row r="751" ht="22.5" customHeight="1">
      <c r="A751" s="15" t="s">
        <v>965</v>
      </c>
      <c r="B751" s="13" t="s">
        <v>9</v>
      </c>
      <c r="C751" s="13">
        <v>80.0</v>
      </c>
      <c r="D751" s="15">
        <v>125.0</v>
      </c>
      <c r="E751" s="7">
        <v>1718.0</v>
      </c>
      <c r="F751" s="7">
        <v>1977.0</v>
      </c>
      <c r="G751" s="52">
        <f>IFERROR(SUMIF(Issues!B:B, A751, Issues!H:H), 0)</f>
        <v>2550</v>
      </c>
      <c r="H751" s="52">
        <f>IFERROR(SUMIF(Returns!B:B, A751, Returns!H:H), 0)</f>
        <v>570</v>
      </c>
      <c r="I751" s="52"/>
      <c r="J751" s="3">
        <v>2.0</v>
      </c>
      <c r="K751" s="3">
        <v>108.0</v>
      </c>
      <c r="L751" s="53">
        <f t="shared" si="5"/>
        <v>0</v>
      </c>
      <c r="M751" s="52">
        <f t="shared" si="6"/>
        <v>1980</v>
      </c>
      <c r="N751" s="54">
        <f t="shared" si="7"/>
        <v>1980</v>
      </c>
      <c r="O751" s="54">
        <f t="shared" si="8"/>
        <v>247.5</v>
      </c>
    </row>
    <row r="752" ht="22.5" customHeight="1">
      <c r="A752" s="15" t="s">
        <v>966</v>
      </c>
      <c r="B752" s="13" t="s">
        <v>9</v>
      </c>
      <c r="C752" s="13">
        <v>80.0</v>
      </c>
      <c r="D752" s="15">
        <v>300.0</v>
      </c>
      <c r="E752" s="7">
        <v>10454.0</v>
      </c>
      <c r="F752" s="7">
        <v>11070.0</v>
      </c>
      <c r="G752" s="52">
        <f>IFERROR(SUMIF(Issues!B:B, A752, Issues!H:H), 0)</f>
        <v>12000</v>
      </c>
      <c r="H752" s="52">
        <f>IFERROR(SUMIF(Returns!B:B, A752, Returns!H:H), 0)</f>
        <v>930</v>
      </c>
      <c r="I752" s="52"/>
      <c r="J752" s="3">
        <v>6.0</v>
      </c>
      <c r="K752" s="3">
        <v>116.0</v>
      </c>
      <c r="L752" s="53">
        <f t="shared" si="5"/>
        <v>0</v>
      </c>
      <c r="M752" s="52">
        <f t="shared" si="6"/>
        <v>11070</v>
      </c>
      <c r="N752" s="54">
        <f t="shared" si="7"/>
        <v>11070</v>
      </c>
      <c r="O752" s="54">
        <f t="shared" si="8"/>
        <v>3321</v>
      </c>
    </row>
    <row r="753" ht="22.5" customHeight="1">
      <c r="A753" s="15" t="s">
        <v>967</v>
      </c>
      <c r="B753" s="13" t="s">
        <v>9</v>
      </c>
      <c r="C753" s="13">
        <v>80.0</v>
      </c>
      <c r="D753" s="15">
        <v>330.0</v>
      </c>
      <c r="E753" s="7">
        <v>859.0</v>
      </c>
      <c r="F753" s="7">
        <v>1054.0</v>
      </c>
      <c r="G753" s="52">
        <f>IFERROR(SUMIF(Issues!B:B, A753, Issues!H:H), 0)</f>
        <v>1600</v>
      </c>
      <c r="H753" s="52">
        <f>IFERROR(SUMIF(Returns!B:B, A753, Returns!H:H), 0)</f>
        <v>540</v>
      </c>
      <c r="I753" s="52"/>
      <c r="J753" s="3">
        <v>2.0</v>
      </c>
      <c r="K753" s="3">
        <v>108.0</v>
      </c>
      <c r="L753" s="53">
        <f t="shared" si="5"/>
        <v>0</v>
      </c>
      <c r="M753" s="52">
        <f t="shared" si="6"/>
        <v>1060</v>
      </c>
      <c r="N753" s="54">
        <f t="shared" si="7"/>
        <v>1060</v>
      </c>
      <c r="O753" s="54">
        <f t="shared" si="8"/>
        <v>349.8</v>
      </c>
    </row>
    <row r="754" ht="22.5" customHeight="1">
      <c r="A754" s="15" t="s">
        <v>968</v>
      </c>
      <c r="B754" s="13" t="s">
        <v>9</v>
      </c>
      <c r="C754" s="13">
        <v>80.0</v>
      </c>
      <c r="D754" s="15">
        <v>160.0</v>
      </c>
      <c r="E754" s="7">
        <v>493.0</v>
      </c>
      <c r="F754" s="7">
        <v>637.0</v>
      </c>
      <c r="G754" s="52">
        <f>IFERROR(SUMIF(Issues!B:B, A754, Issues!H:H), 0)</f>
        <v>1510</v>
      </c>
      <c r="H754" s="52">
        <f>IFERROR(SUMIF(Returns!B:B, A754, Returns!H:H), 0)</f>
        <v>860</v>
      </c>
      <c r="I754" s="52"/>
      <c r="J754" s="3">
        <v>4.0</v>
      </c>
      <c r="K754" s="3">
        <v>124.0</v>
      </c>
      <c r="L754" s="53">
        <f t="shared" si="5"/>
        <v>0</v>
      </c>
      <c r="M754" s="52">
        <f t="shared" si="6"/>
        <v>650</v>
      </c>
      <c r="N754" s="54">
        <f t="shared" si="7"/>
        <v>650</v>
      </c>
      <c r="O754" s="54">
        <f t="shared" si="8"/>
        <v>104</v>
      </c>
    </row>
    <row r="755" ht="22.5" customHeight="1">
      <c r="A755" s="15" t="s">
        <v>969</v>
      </c>
      <c r="B755" s="13" t="s">
        <v>9</v>
      </c>
      <c r="C755" s="13">
        <v>80.0</v>
      </c>
      <c r="D755" s="15">
        <v>230.0</v>
      </c>
      <c r="E755" s="7">
        <v>11874.0</v>
      </c>
      <c r="F755" s="7">
        <v>12464.0</v>
      </c>
      <c r="G755" s="52">
        <f>IFERROR(SUMIF(Issues!B:B, A755, Issues!H:H), 0)</f>
        <v>13000</v>
      </c>
      <c r="H755" s="52">
        <f>IFERROR(SUMIF(Returns!B:B, A755, Returns!H:H), 0)</f>
        <v>530</v>
      </c>
      <c r="I755" s="52"/>
      <c r="J755" s="3">
        <v>3.0</v>
      </c>
      <c r="K755" s="3">
        <v>112.0</v>
      </c>
      <c r="L755" s="53">
        <f t="shared" si="5"/>
        <v>0</v>
      </c>
      <c r="M755" s="52">
        <f t="shared" si="6"/>
        <v>12470</v>
      </c>
      <c r="N755" s="54">
        <f t="shared" si="7"/>
        <v>12470</v>
      </c>
      <c r="O755" s="54">
        <f t="shared" si="8"/>
        <v>2868.1</v>
      </c>
    </row>
    <row r="756" ht="22.5" customHeight="1">
      <c r="A756" s="15" t="s">
        <v>970</v>
      </c>
      <c r="B756" s="13" t="s">
        <v>9</v>
      </c>
      <c r="C756" s="13">
        <v>80.0</v>
      </c>
      <c r="D756" s="15">
        <v>290.0</v>
      </c>
      <c r="E756" s="7">
        <v>8372.0</v>
      </c>
      <c r="F756" s="7">
        <v>8921.0</v>
      </c>
      <c r="G756" s="52">
        <f>IFERROR(SUMIF(Issues!B:B, A756, Issues!H:H), 0)</f>
        <v>11250</v>
      </c>
      <c r="H756" s="52">
        <f>IFERROR(SUMIF(Returns!B:B, A756, Returns!H:H), 0)</f>
        <v>1590</v>
      </c>
      <c r="I756" s="52"/>
      <c r="J756" s="3">
        <v>2.0</v>
      </c>
      <c r="K756" s="3">
        <v>94.0</v>
      </c>
      <c r="L756" s="53">
        <f t="shared" si="5"/>
        <v>0</v>
      </c>
      <c r="M756" s="52">
        <f t="shared" si="6"/>
        <v>9660</v>
      </c>
      <c r="N756" s="54">
        <f t="shared" si="7"/>
        <v>9660</v>
      </c>
      <c r="O756" s="54">
        <f t="shared" si="8"/>
        <v>2801.4</v>
      </c>
    </row>
    <row r="757" ht="22.5" customHeight="1">
      <c r="A757" s="15" t="s">
        <v>971</v>
      </c>
      <c r="B757" s="13" t="s">
        <v>26</v>
      </c>
      <c r="C757" s="13">
        <v>80.0</v>
      </c>
      <c r="D757" s="15">
        <v>150.0</v>
      </c>
      <c r="E757" s="7">
        <v>676.0</v>
      </c>
      <c r="F757" s="7">
        <v>935.0</v>
      </c>
      <c r="G757" s="52">
        <f>IFERROR(SUMIF(Issues!B:B, A757, Issues!H:H), 0)</f>
        <v>2200</v>
      </c>
      <c r="H757" s="52">
        <f>IFERROR(SUMIF(Returns!B:B, A757, Returns!H:H), 0)</f>
        <v>1260</v>
      </c>
      <c r="I757" s="52"/>
      <c r="J757" s="3">
        <v>2.0</v>
      </c>
      <c r="K757" s="3">
        <v>85.0</v>
      </c>
      <c r="L757" s="53">
        <f t="shared" si="5"/>
        <v>0</v>
      </c>
      <c r="M757" s="52">
        <f t="shared" si="6"/>
        <v>940</v>
      </c>
      <c r="N757" s="54">
        <f t="shared" si="7"/>
        <v>940</v>
      </c>
      <c r="O757" s="54">
        <f t="shared" si="8"/>
        <v>141</v>
      </c>
    </row>
    <row r="758" ht="22.5" customHeight="1">
      <c r="A758" s="15" t="s">
        <v>972</v>
      </c>
      <c r="B758" s="13" t="s">
        <v>9</v>
      </c>
      <c r="C758" s="13">
        <v>80.0</v>
      </c>
      <c r="D758" s="15">
        <v>160.0</v>
      </c>
      <c r="E758" s="7">
        <v>394.0</v>
      </c>
      <c r="F758" s="7">
        <v>630.0</v>
      </c>
      <c r="G758" s="52">
        <f>IFERROR(SUMIF(Issues!B:B, A758, Issues!H:H), 0)</f>
        <v>1100</v>
      </c>
      <c r="H758" s="52">
        <f>IFERROR(SUMIF(Returns!B:B, A758, Returns!H:H), 0)</f>
        <v>470</v>
      </c>
      <c r="I758" s="52"/>
      <c r="J758" s="3">
        <v>6.0</v>
      </c>
      <c r="K758" s="3">
        <v>124.0</v>
      </c>
      <c r="L758" s="53">
        <f t="shared" si="5"/>
        <v>0</v>
      </c>
      <c r="M758" s="52">
        <f t="shared" si="6"/>
        <v>630</v>
      </c>
      <c r="N758" s="54">
        <f t="shared" si="7"/>
        <v>630</v>
      </c>
      <c r="O758" s="54">
        <f t="shared" si="8"/>
        <v>100.8</v>
      </c>
    </row>
    <row r="759" ht="22.5" customHeight="1">
      <c r="A759" s="15" t="s">
        <v>974</v>
      </c>
      <c r="B759" s="13" t="s">
        <v>9</v>
      </c>
      <c r="C759" s="13">
        <v>80.0</v>
      </c>
      <c r="D759" s="15">
        <v>220.0</v>
      </c>
      <c r="E759" s="7">
        <v>859.0</v>
      </c>
      <c r="F759" s="7">
        <v>1040.0</v>
      </c>
      <c r="G759" s="52">
        <f>IFERROR(SUMIF(Issues!B:B, A759, Issues!H:H), 0)</f>
        <v>1500</v>
      </c>
      <c r="H759" s="52">
        <f>IFERROR(SUMIF(Returns!B:B, A759, Returns!H:H), 0)</f>
        <v>460</v>
      </c>
      <c r="I759" s="52"/>
      <c r="J759" s="3">
        <v>4.0</v>
      </c>
      <c r="K759" s="3">
        <v>108.0</v>
      </c>
      <c r="L759" s="53">
        <f t="shared" si="5"/>
        <v>0</v>
      </c>
      <c r="M759" s="52">
        <f t="shared" si="6"/>
        <v>1040</v>
      </c>
      <c r="N759" s="54">
        <f t="shared" si="7"/>
        <v>1040</v>
      </c>
      <c r="O759" s="54">
        <f t="shared" si="8"/>
        <v>228.8</v>
      </c>
    </row>
    <row r="760" ht="22.5" customHeight="1">
      <c r="A760" s="15" t="s">
        <v>975</v>
      </c>
      <c r="B760" s="13" t="s">
        <v>9</v>
      </c>
      <c r="C760" s="13">
        <v>80.0</v>
      </c>
      <c r="D760" s="15">
        <v>140.0</v>
      </c>
      <c r="E760" s="7">
        <v>1206.0</v>
      </c>
      <c r="F760" s="7">
        <v>1493.0</v>
      </c>
      <c r="G760" s="52">
        <f>IFERROR(SUMIF(Issues!B:B, A760, Issues!H:H), 0)</f>
        <v>1700</v>
      </c>
      <c r="H760" s="52">
        <f>IFERROR(SUMIF(Returns!B:B, A760, Returns!H:H), 0)</f>
        <v>200</v>
      </c>
      <c r="I760" s="52"/>
      <c r="J760" s="3">
        <v>1.0</v>
      </c>
      <c r="K760" s="3">
        <v>69.0</v>
      </c>
      <c r="L760" s="53">
        <f t="shared" si="5"/>
        <v>0</v>
      </c>
      <c r="M760" s="52">
        <f t="shared" si="6"/>
        <v>1500</v>
      </c>
      <c r="N760" s="54">
        <f t="shared" si="7"/>
        <v>1500</v>
      </c>
      <c r="O760" s="54">
        <f t="shared" si="8"/>
        <v>210</v>
      </c>
    </row>
    <row r="761" ht="22.5" customHeight="1">
      <c r="A761" s="15" t="s">
        <v>976</v>
      </c>
      <c r="B761" s="13" t="s">
        <v>9</v>
      </c>
      <c r="C761" s="13">
        <v>80.0</v>
      </c>
      <c r="D761" s="15">
        <v>230.0</v>
      </c>
      <c r="E761" s="7">
        <v>394.0</v>
      </c>
      <c r="F761" s="7">
        <v>590.0</v>
      </c>
      <c r="G761" s="52">
        <f>IFERROR(SUMIF(Issues!B:B, A761, Issues!H:H), 0)</f>
        <v>1500</v>
      </c>
      <c r="H761" s="52">
        <f>IFERROR(SUMIF(Returns!B:B, A761, Returns!H:H), 0)</f>
        <v>900</v>
      </c>
      <c r="I761" s="52"/>
      <c r="J761" s="3">
        <v>6.0</v>
      </c>
      <c r="K761" s="3">
        <v>124.0</v>
      </c>
      <c r="L761" s="53">
        <f t="shared" si="5"/>
        <v>0</v>
      </c>
      <c r="M761" s="52">
        <f t="shared" si="6"/>
        <v>600</v>
      </c>
      <c r="N761" s="54">
        <f t="shared" si="7"/>
        <v>600</v>
      </c>
      <c r="O761" s="54">
        <f t="shared" si="8"/>
        <v>138</v>
      </c>
    </row>
    <row r="762" ht="22.5" customHeight="1">
      <c r="A762" s="15" t="s">
        <v>977</v>
      </c>
      <c r="B762" s="13" t="s">
        <v>43</v>
      </c>
      <c r="C762" s="13">
        <v>50.0</v>
      </c>
      <c r="D762" s="15">
        <v>125.0</v>
      </c>
      <c r="E762" s="7">
        <v>876.0</v>
      </c>
      <c r="F762" s="7">
        <v>1092.0</v>
      </c>
      <c r="G762" s="52">
        <f>IFERROR(SUMIF(Issues!B:B, A762, Issues!H:H), 0)</f>
        <v>2030</v>
      </c>
      <c r="H762" s="52">
        <f>IFERROR(SUMIF(Returns!B:B, A762, Returns!H:H), 0)</f>
        <v>900</v>
      </c>
      <c r="I762" s="52"/>
      <c r="J762" s="3">
        <v>4.0</v>
      </c>
      <c r="K762" s="3">
        <v>108.0</v>
      </c>
      <c r="L762" s="53">
        <f t="shared" si="5"/>
        <v>0</v>
      </c>
      <c r="M762" s="52">
        <f t="shared" si="6"/>
        <v>1130</v>
      </c>
      <c r="N762" s="54">
        <f t="shared" si="7"/>
        <v>1130</v>
      </c>
      <c r="O762" s="54">
        <f t="shared" si="8"/>
        <v>141.25</v>
      </c>
    </row>
    <row r="763" ht="22.5" customHeight="1">
      <c r="A763" s="15" t="s">
        <v>978</v>
      </c>
      <c r="B763" s="13" t="s">
        <v>43</v>
      </c>
      <c r="C763" s="13">
        <v>50.0</v>
      </c>
      <c r="D763" s="15">
        <v>125.0</v>
      </c>
      <c r="E763" s="7">
        <v>876.0</v>
      </c>
      <c r="F763" s="7">
        <v>1173.0</v>
      </c>
      <c r="G763" s="52">
        <f>IFERROR(SUMIF(Issues!B:B, A763, Issues!H:H), 0)</f>
        <v>2930</v>
      </c>
      <c r="H763" s="52">
        <f>IFERROR(SUMIF(Returns!B:B, A763, Returns!H:H), 0)</f>
        <v>1750</v>
      </c>
      <c r="I763" s="52"/>
      <c r="J763" s="3">
        <v>4.0</v>
      </c>
      <c r="K763" s="3">
        <v>108.0</v>
      </c>
      <c r="L763" s="53">
        <f t="shared" si="5"/>
        <v>0</v>
      </c>
      <c r="M763" s="52">
        <f t="shared" si="6"/>
        <v>1180</v>
      </c>
      <c r="N763" s="54">
        <f t="shared" si="7"/>
        <v>1180</v>
      </c>
      <c r="O763" s="54">
        <f t="shared" si="8"/>
        <v>147.5</v>
      </c>
    </row>
    <row r="764" ht="22.5" customHeight="1">
      <c r="A764" s="15" t="s">
        <v>979</v>
      </c>
      <c r="B764" s="13" t="s">
        <v>9</v>
      </c>
      <c r="C764" s="13">
        <v>80.0</v>
      </c>
      <c r="D764" s="15">
        <v>260.0</v>
      </c>
      <c r="E764" s="7">
        <v>1887.0</v>
      </c>
      <c r="F764" s="7">
        <v>2230.0</v>
      </c>
      <c r="G764" s="52">
        <f>IFERROR(SUMIF(Issues!B:B, A764, Issues!H:H), 0)</f>
        <v>2580</v>
      </c>
      <c r="H764" s="52">
        <f>IFERROR(SUMIF(Returns!B:B, A764, Returns!H:H), 0)</f>
        <v>350</v>
      </c>
      <c r="I764" s="52"/>
      <c r="J764" s="3">
        <v>3.0</v>
      </c>
      <c r="K764" s="3">
        <v>89.0</v>
      </c>
      <c r="L764" s="53">
        <f t="shared" si="5"/>
        <v>0</v>
      </c>
      <c r="M764" s="52">
        <f t="shared" si="6"/>
        <v>2230</v>
      </c>
      <c r="N764" s="54">
        <f t="shared" si="7"/>
        <v>2230</v>
      </c>
      <c r="O764" s="54">
        <f t="shared" si="8"/>
        <v>579.8</v>
      </c>
    </row>
    <row r="765" ht="22.5" customHeight="1">
      <c r="A765" s="15" t="s">
        <v>980</v>
      </c>
      <c r="B765" s="13" t="s">
        <v>43</v>
      </c>
      <c r="C765" s="13">
        <v>50.0</v>
      </c>
      <c r="D765" s="15">
        <v>125.0</v>
      </c>
      <c r="E765" s="7">
        <v>1750.0</v>
      </c>
      <c r="F765" s="7">
        <v>1115.0</v>
      </c>
      <c r="G765" s="52">
        <f>IFERROR(SUMIF(Issues!B:B, A765, Issues!H:H), 0)</f>
        <v>1750</v>
      </c>
      <c r="H765" s="52">
        <f>IFERROR(SUMIF(Returns!B:B, A765, Returns!H:H), 0)</f>
        <v>630</v>
      </c>
      <c r="I765" s="52"/>
      <c r="J765" s="3">
        <v>4.0</v>
      </c>
      <c r="K765" s="3">
        <v>108.0</v>
      </c>
      <c r="L765" s="53">
        <f t="shared" si="5"/>
        <v>0</v>
      </c>
      <c r="M765" s="52">
        <f t="shared" si="6"/>
        <v>1120</v>
      </c>
      <c r="N765" s="54">
        <f t="shared" si="7"/>
        <v>1120</v>
      </c>
      <c r="O765" s="54">
        <f t="shared" si="8"/>
        <v>140</v>
      </c>
    </row>
    <row r="766" ht="22.5" customHeight="1">
      <c r="A766" s="15" t="s">
        <v>981</v>
      </c>
      <c r="B766" s="13" t="s">
        <v>43</v>
      </c>
      <c r="C766" s="13">
        <v>50.0</v>
      </c>
      <c r="D766" s="15">
        <v>125.0</v>
      </c>
      <c r="E766" s="7">
        <v>784.0</v>
      </c>
      <c r="F766" s="7">
        <v>1037.0</v>
      </c>
      <c r="G766" s="52">
        <f>IFERROR(SUMIF(Issues!B:B, A766, Issues!H:H), 0)</f>
        <v>1600</v>
      </c>
      <c r="H766" s="52">
        <f>IFERROR(SUMIF(Returns!B:B, A766, Returns!H:H), 0)</f>
        <v>560</v>
      </c>
      <c r="I766" s="52"/>
      <c r="J766" s="3">
        <v>14.0</v>
      </c>
      <c r="K766" s="3">
        <v>69.0</v>
      </c>
      <c r="L766" s="53">
        <f t="shared" si="5"/>
        <v>0</v>
      </c>
      <c r="M766" s="52">
        <f t="shared" si="6"/>
        <v>1040</v>
      </c>
      <c r="N766" s="54">
        <f t="shared" si="7"/>
        <v>1040</v>
      </c>
      <c r="O766" s="54">
        <f t="shared" si="8"/>
        <v>130</v>
      </c>
    </row>
    <row r="767" ht="22.5" customHeight="1">
      <c r="A767" s="15" t="s">
        <v>982</v>
      </c>
      <c r="B767" s="13" t="s">
        <v>49</v>
      </c>
      <c r="C767" s="13">
        <v>120.0</v>
      </c>
      <c r="D767" s="15">
        <v>235.0</v>
      </c>
      <c r="E767" s="7">
        <v>1031.0</v>
      </c>
      <c r="F767" s="7">
        <v>1290.0</v>
      </c>
      <c r="G767" s="52">
        <f>IFERROR(SUMIF(Issues!B:B, A767, Issues!H:H), 0)</f>
        <v>1160</v>
      </c>
      <c r="H767" s="52">
        <f>IFERROR(SUMIF(Returns!B:B, A767, Returns!H:H), 0)</f>
        <v>0</v>
      </c>
      <c r="I767" s="52"/>
      <c r="J767" s="3">
        <v>1.0</v>
      </c>
      <c r="K767" s="3">
        <v>108.0</v>
      </c>
      <c r="L767" s="53">
        <f t="shared" si="5"/>
        <v>0</v>
      </c>
      <c r="M767" s="52">
        <f t="shared" si="6"/>
        <v>1160</v>
      </c>
      <c r="N767" s="54">
        <f t="shared" si="7"/>
        <v>1160</v>
      </c>
      <c r="O767" s="54">
        <f t="shared" si="8"/>
        <v>272.6</v>
      </c>
    </row>
    <row r="768" ht="22.5" customHeight="1">
      <c r="A768" s="15" t="s">
        <v>983</v>
      </c>
      <c r="B768" s="13" t="s">
        <v>9</v>
      </c>
      <c r="C768" s="13">
        <v>80.0</v>
      </c>
      <c r="D768" s="15">
        <v>225.0</v>
      </c>
      <c r="E768" s="7">
        <v>8312.0</v>
      </c>
      <c r="F768" s="7">
        <v>8900.0</v>
      </c>
      <c r="G768" s="52">
        <f>IFERROR(SUMIF(Issues!B:B, A768, Issues!H:H), 0)</f>
        <v>10500</v>
      </c>
      <c r="H768" s="52">
        <f>IFERROR(SUMIF(Returns!B:B, A768, Returns!H:H), 0)</f>
        <v>1600</v>
      </c>
      <c r="I768" s="52"/>
      <c r="J768" s="3">
        <v>3.0</v>
      </c>
      <c r="K768" s="3">
        <v>112.0</v>
      </c>
      <c r="L768" s="53">
        <f t="shared" si="5"/>
        <v>0</v>
      </c>
      <c r="M768" s="52">
        <f t="shared" si="6"/>
        <v>8900</v>
      </c>
      <c r="N768" s="54">
        <f t="shared" si="7"/>
        <v>8900</v>
      </c>
      <c r="O768" s="54">
        <f t="shared" si="8"/>
        <v>2002.5</v>
      </c>
    </row>
    <row r="769" ht="22.5" customHeight="1">
      <c r="A769" s="15" t="s">
        <v>984</v>
      </c>
      <c r="B769" s="13" t="s">
        <v>42</v>
      </c>
      <c r="C769" s="13">
        <v>50.0</v>
      </c>
      <c r="D769" s="15">
        <v>205.0</v>
      </c>
      <c r="E769" s="7">
        <v>1574.0</v>
      </c>
      <c r="F769" s="7">
        <v>1690.0</v>
      </c>
      <c r="G769" s="52">
        <f>IFERROR(SUMIF(Issues!B:B, A769, Issues!H:H), 0)</f>
        <v>1500</v>
      </c>
      <c r="H769" s="52">
        <f>IFERROR(SUMIF(Returns!B:B, A769, Returns!H:H), 0)</f>
        <v>0</v>
      </c>
      <c r="I769" s="52"/>
      <c r="J769" s="3">
        <v>6.0</v>
      </c>
      <c r="K769" s="3">
        <v>99.0</v>
      </c>
      <c r="L769" s="53">
        <f t="shared" si="5"/>
        <v>0</v>
      </c>
      <c r="M769" s="52">
        <f t="shared" si="6"/>
        <v>1500</v>
      </c>
      <c r="N769" s="54">
        <f t="shared" si="7"/>
        <v>1500</v>
      </c>
      <c r="O769" s="54">
        <f t="shared" si="8"/>
        <v>307.5</v>
      </c>
    </row>
    <row r="770" ht="22.5" customHeight="1">
      <c r="A770" s="15" t="s">
        <v>985</v>
      </c>
      <c r="B770" s="13" t="s">
        <v>9</v>
      </c>
      <c r="C770" s="13">
        <v>80.0</v>
      </c>
      <c r="D770" s="15">
        <v>230.0</v>
      </c>
      <c r="E770" s="7">
        <v>23900.0</v>
      </c>
      <c r="F770" s="7">
        <v>23709.0</v>
      </c>
      <c r="G770" s="52">
        <f>IFERROR(SUMIF(Issues!B:B, A770, Issues!H:H), 0)</f>
        <v>23900</v>
      </c>
      <c r="H770" s="52">
        <f>IFERROR(SUMIF(Returns!B:B, A770, Returns!H:H), 0)</f>
        <v>190</v>
      </c>
      <c r="I770" s="52"/>
      <c r="J770" s="3">
        <v>3.0</v>
      </c>
      <c r="K770" s="3">
        <v>112.0</v>
      </c>
      <c r="L770" s="53">
        <f t="shared" si="5"/>
        <v>0</v>
      </c>
      <c r="M770" s="52">
        <f t="shared" si="6"/>
        <v>23710</v>
      </c>
      <c r="N770" s="54">
        <f t="shared" si="7"/>
        <v>23710</v>
      </c>
      <c r="O770" s="54">
        <f t="shared" si="8"/>
        <v>5453.3</v>
      </c>
    </row>
    <row r="771" ht="22.5" customHeight="1">
      <c r="A771" s="15" t="s">
        <v>986</v>
      </c>
      <c r="B771" s="13" t="s">
        <v>9</v>
      </c>
      <c r="C771" s="13">
        <v>80.0</v>
      </c>
      <c r="D771" s="15">
        <v>230.0</v>
      </c>
      <c r="E771" s="7">
        <v>13600.0</v>
      </c>
      <c r="F771" s="7">
        <v>13429.0</v>
      </c>
      <c r="G771" s="52">
        <f>IFERROR(SUMIF(Issues!B:B, A771, Issues!H:H), 0)</f>
        <v>13600</v>
      </c>
      <c r="H771" s="52">
        <f>IFERROR(SUMIF(Returns!B:B, A771, Returns!H:H), 0)</f>
        <v>0</v>
      </c>
      <c r="I771" s="52"/>
      <c r="J771" s="3">
        <v>3.0</v>
      </c>
      <c r="K771" s="3">
        <v>112.0</v>
      </c>
      <c r="L771" s="53">
        <f t="shared" si="5"/>
        <v>0</v>
      </c>
      <c r="M771" s="52">
        <f t="shared" si="6"/>
        <v>13600</v>
      </c>
      <c r="N771" s="54">
        <f t="shared" si="7"/>
        <v>13600</v>
      </c>
      <c r="O771" s="54">
        <f t="shared" si="8"/>
        <v>3128</v>
      </c>
    </row>
    <row r="772" ht="22.5" customHeight="1">
      <c r="A772" s="15" t="s">
        <v>987</v>
      </c>
      <c r="B772" s="13" t="s">
        <v>26</v>
      </c>
      <c r="C772" s="13">
        <v>80.0</v>
      </c>
      <c r="D772" s="15">
        <v>300.0</v>
      </c>
      <c r="E772" s="7">
        <v>1463.0</v>
      </c>
      <c r="F772" s="7">
        <v>1800.0</v>
      </c>
      <c r="G772" s="52">
        <f>IFERROR(SUMIF(Issues!B:B, A772, Issues!H:H), 0)</f>
        <v>2000</v>
      </c>
      <c r="H772" s="52">
        <f>IFERROR(SUMIF(Returns!B:B, A772, Returns!H:H), 0)</f>
        <v>200</v>
      </c>
      <c r="I772" s="52"/>
      <c r="J772" s="3">
        <v>2.0</v>
      </c>
      <c r="K772" s="3">
        <v>92.0</v>
      </c>
      <c r="L772" s="53">
        <f t="shared" si="5"/>
        <v>0</v>
      </c>
      <c r="M772" s="52">
        <f t="shared" si="6"/>
        <v>1800</v>
      </c>
      <c r="N772" s="54">
        <f t="shared" si="7"/>
        <v>1800</v>
      </c>
      <c r="O772" s="54">
        <f t="shared" si="8"/>
        <v>540</v>
      </c>
    </row>
    <row r="773" ht="22.5" customHeight="1">
      <c r="A773" s="15" t="s">
        <v>988</v>
      </c>
      <c r="B773" s="13" t="s">
        <v>26</v>
      </c>
      <c r="C773" s="13">
        <v>80.0</v>
      </c>
      <c r="D773" s="15">
        <v>165.0</v>
      </c>
      <c r="E773" s="7">
        <v>878.0</v>
      </c>
      <c r="F773" s="7">
        <v>1050.0</v>
      </c>
      <c r="G773" s="52">
        <f>IFERROR(SUMIF(Issues!B:B, A773, Issues!H:H), 0)</f>
        <v>1140</v>
      </c>
      <c r="H773" s="52">
        <f>IFERROR(SUMIF(Returns!B:B, A773, Returns!H:H), 0)</f>
        <v>0</v>
      </c>
      <c r="I773" s="52"/>
      <c r="J773" s="3">
        <v>1.0</v>
      </c>
      <c r="K773" s="3">
        <v>92.0</v>
      </c>
      <c r="L773" s="53">
        <f t="shared" si="5"/>
        <v>0</v>
      </c>
      <c r="M773" s="52">
        <f t="shared" si="6"/>
        <v>1140</v>
      </c>
      <c r="N773" s="54">
        <f t="shared" si="7"/>
        <v>1140</v>
      </c>
      <c r="O773" s="54">
        <f t="shared" si="8"/>
        <v>188.1</v>
      </c>
    </row>
    <row r="774" ht="22.5" customHeight="1">
      <c r="A774" s="15" t="s">
        <v>989</v>
      </c>
      <c r="B774" s="13" t="s">
        <v>26</v>
      </c>
      <c r="C774" s="13">
        <v>80.0</v>
      </c>
      <c r="D774" s="15">
        <v>280.0</v>
      </c>
      <c r="E774" s="7">
        <v>630.0</v>
      </c>
      <c r="F774" s="7">
        <v>892.0</v>
      </c>
      <c r="G774" s="52">
        <f>IFERROR(SUMIF(Issues!B:B, A774, Issues!H:H), 0)</f>
        <v>1510</v>
      </c>
      <c r="H774" s="52">
        <f>IFERROR(SUMIF(Returns!B:B, A774, Returns!H:H), 0)</f>
        <v>600</v>
      </c>
      <c r="I774" s="52"/>
      <c r="J774" s="3">
        <v>2.0</v>
      </c>
      <c r="K774" s="3">
        <v>99.0</v>
      </c>
      <c r="L774" s="53">
        <f t="shared" si="5"/>
        <v>0</v>
      </c>
      <c r="M774" s="52">
        <f t="shared" si="6"/>
        <v>910</v>
      </c>
      <c r="N774" s="54">
        <f t="shared" si="7"/>
        <v>910</v>
      </c>
      <c r="O774" s="54">
        <f t="shared" si="8"/>
        <v>254.8</v>
      </c>
    </row>
    <row r="775" ht="22.5" customHeight="1">
      <c r="A775" s="15" t="s">
        <v>990</v>
      </c>
      <c r="B775" s="13" t="s">
        <v>26</v>
      </c>
      <c r="C775" s="13">
        <v>80.0</v>
      </c>
      <c r="D775" s="15">
        <v>165.0</v>
      </c>
      <c r="E775" s="7">
        <v>4389.0</v>
      </c>
      <c r="F775" s="7">
        <v>4900.0</v>
      </c>
      <c r="G775" s="52">
        <f>IFERROR(SUMIF(Issues!B:B, A775, Issues!H:H), 0)</f>
        <v>4970</v>
      </c>
      <c r="H775" s="52">
        <f>IFERROR(SUMIF(Returns!B:B, A775, Returns!H:H), 0)</f>
        <v>0</v>
      </c>
      <c r="I775" s="52"/>
      <c r="J775" s="3">
        <v>1.0</v>
      </c>
      <c r="K775" s="3">
        <v>92.0</v>
      </c>
      <c r="L775" s="53">
        <f t="shared" si="5"/>
        <v>0</v>
      </c>
      <c r="M775" s="52">
        <f t="shared" si="6"/>
        <v>4970</v>
      </c>
      <c r="N775" s="54">
        <f t="shared" si="7"/>
        <v>4970</v>
      </c>
      <c r="O775" s="54">
        <f t="shared" si="8"/>
        <v>820.05</v>
      </c>
    </row>
    <row r="776" ht="22.5" customHeight="1">
      <c r="A776" s="15" t="s">
        <v>991</v>
      </c>
      <c r="B776" s="13" t="s">
        <v>9</v>
      </c>
      <c r="C776" s="13">
        <v>80.0</v>
      </c>
      <c r="D776" s="15">
        <v>140.0</v>
      </c>
      <c r="E776" s="7">
        <v>945.0</v>
      </c>
      <c r="F776" s="7">
        <v>1165.0</v>
      </c>
      <c r="G776" s="52">
        <f>IFERROR(SUMIF(Issues!B:B, A776, Issues!H:H), 0)</f>
        <v>1410</v>
      </c>
      <c r="H776" s="52">
        <f>IFERROR(SUMIF(Returns!B:B, A776, Returns!H:H), 0)</f>
        <v>230</v>
      </c>
      <c r="I776" s="52"/>
      <c r="J776" s="3">
        <v>4.0</v>
      </c>
      <c r="K776" s="3">
        <v>99.0</v>
      </c>
      <c r="L776" s="53">
        <f t="shared" si="5"/>
        <v>0</v>
      </c>
      <c r="M776" s="52">
        <f t="shared" si="6"/>
        <v>1180</v>
      </c>
      <c r="N776" s="54">
        <f t="shared" si="7"/>
        <v>1180</v>
      </c>
      <c r="O776" s="54">
        <f t="shared" si="8"/>
        <v>165.2</v>
      </c>
    </row>
    <row r="777" ht="22.5" customHeight="1">
      <c r="A777" s="15" t="s">
        <v>992</v>
      </c>
      <c r="B777" s="13" t="s">
        <v>26</v>
      </c>
      <c r="C777" s="13">
        <v>80.0</v>
      </c>
      <c r="D777" s="15">
        <v>265.0</v>
      </c>
      <c r="E777" s="7">
        <v>314.0</v>
      </c>
      <c r="F777" s="7">
        <v>480.0</v>
      </c>
      <c r="G777" s="52">
        <f>IFERROR(SUMIF(Issues!B:B, A777, Issues!H:H), 0)</f>
        <v>3020</v>
      </c>
      <c r="H777" s="52">
        <f>IFERROR(SUMIF(Returns!B:B, A777, Returns!H:H), 0)</f>
        <v>2040</v>
      </c>
      <c r="I777" s="52"/>
      <c r="J777" s="3">
        <v>4.0</v>
      </c>
      <c r="K777" s="3">
        <v>79.0</v>
      </c>
      <c r="L777" s="53">
        <f t="shared" si="5"/>
        <v>0</v>
      </c>
      <c r="M777" s="52">
        <f t="shared" si="6"/>
        <v>980</v>
      </c>
      <c r="N777" s="54">
        <f t="shared" si="7"/>
        <v>980</v>
      </c>
      <c r="O777" s="54">
        <f t="shared" si="8"/>
        <v>259.7</v>
      </c>
    </row>
    <row r="778" ht="22.5" customHeight="1">
      <c r="A778" s="15" t="s">
        <v>993</v>
      </c>
      <c r="B778" s="13" t="s">
        <v>26</v>
      </c>
      <c r="C778" s="13">
        <v>80.0</v>
      </c>
      <c r="D778" s="15">
        <v>245.0</v>
      </c>
      <c r="E778" s="7">
        <v>377.0</v>
      </c>
      <c r="F778" s="7">
        <v>570.0</v>
      </c>
      <c r="G778" s="52">
        <f>IFERROR(SUMIF(Issues!B:B, A778, Issues!H:H), 0)</f>
        <v>1100</v>
      </c>
      <c r="H778" s="52">
        <f>IFERROR(SUMIF(Returns!B:B, A778, Returns!H:H), 0)</f>
        <v>530</v>
      </c>
      <c r="I778" s="52"/>
      <c r="J778" s="3">
        <v>2.0</v>
      </c>
      <c r="K778" s="3">
        <v>79.0</v>
      </c>
      <c r="L778" s="53">
        <f t="shared" si="5"/>
        <v>0</v>
      </c>
      <c r="M778" s="52">
        <f t="shared" si="6"/>
        <v>570</v>
      </c>
      <c r="N778" s="54">
        <f t="shared" si="7"/>
        <v>570</v>
      </c>
      <c r="O778" s="54">
        <f t="shared" si="8"/>
        <v>139.65</v>
      </c>
    </row>
    <row r="779" ht="22.5" customHeight="1">
      <c r="A779" s="15" t="s">
        <v>994</v>
      </c>
      <c r="B779" s="13" t="s">
        <v>26</v>
      </c>
      <c r="C779" s="13">
        <v>80.0</v>
      </c>
      <c r="D779" s="15">
        <v>265.0</v>
      </c>
      <c r="E779" s="7">
        <v>596.0</v>
      </c>
      <c r="F779" s="7">
        <v>793.0</v>
      </c>
      <c r="G779" s="52">
        <f>IFERROR(SUMIF(Issues!B:B, A779, Issues!H:H), 0)</f>
        <v>1000</v>
      </c>
      <c r="H779" s="52">
        <f>IFERROR(SUMIF(Returns!B:B, A779, Returns!H:H), 0)</f>
        <v>200</v>
      </c>
      <c r="I779" s="52"/>
      <c r="J779" s="3">
        <v>2.0</v>
      </c>
      <c r="K779" s="3">
        <v>75.0</v>
      </c>
      <c r="L779" s="53">
        <f t="shared" si="5"/>
        <v>0</v>
      </c>
      <c r="M779" s="52">
        <f t="shared" si="6"/>
        <v>800</v>
      </c>
      <c r="N779" s="54">
        <f t="shared" si="7"/>
        <v>800</v>
      </c>
      <c r="O779" s="54">
        <f t="shared" si="8"/>
        <v>212</v>
      </c>
    </row>
    <row r="780" ht="22.5" customHeight="1">
      <c r="A780" s="15" t="s">
        <v>995</v>
      </c>
      <c r="B780" s="13" t="s">
        <v>26</v>
      </c>
      <c r="C780" s="13">
        <v>80.0</v>
      </c>
      <c r="D780" s="15">
        <v>245.0</v>
      </c>
      <c r="E780" s="7">
        <v>628.0</v>
      </c>
      <c r="F780" s="7">
        <v>860.0</v>
      </c>
      <c r="G780" s="52">
        <f>IFERROR(SUMIF(Issues!B:B, A780, Issues!H:H), 0)</f>
        <v>1930</v>
      </c>
      <c r="H780" s="52">
        <f>IFERROR(SUMIF(Returns!B:B, A780, Returns!H:H), 0)</f>
        <v>1070</v>
      </c>
      <c r="I780" s="52"/>
      <c r="J780" s="3">
        <v>2.0</v>
      </c>
      <c r="K780" s="3">
        <v>79.0</v>
      </c>
      <c r="L780" s="53">
        <f t="shared" si="5"/>
        <v>0</v>
      </c>
      <c r="M780" s="52">
        <f t="shared" si="6"/>
        <v>860</v>
      </c>
      <c r="N780" s="54">
        <f t="shared" si="7"/>
        <v>860</v>
      </c>
      <c r="O780" s="54">
        <f t="shared" si="8"/>
        <v>210.7</v>
      </c>
    </row>
    <row r="781" ht="22.5" customHeight="1">
      <c r="A781" s="15" t="s">
        <v>996</v>
      </c>
      <c r="B781" s="13" t="s">
        <v>26</v>
      </c>
      <c r="C781" s="13">
        <v>80.0</v>
      </c>
      <c r="D781" s="15">
        <v>150.0</v>
      </c>
      <c r="E781" s="7">
        <v>1031.0</v>
      </c>
      <c r="F781" s="7">
        <v>1465.0</v>
      </c>
      <c r="G781" s="52">
        <f>IFERROR(SUMIF(Issues!B:B, A781, Issues!H:H), 0)</f>
        <v>2710</v>
      </c>
      <c r="H781" s="52">
        <f>IFERROR(SUMIF(Returns!B:B, A781, Returns!H:H), 0)</f>
        <v>1280</v>
      </c>
      <c r="I781" s="52"/>
      <c r="J781" s="3">
        <v>1.0</v>
      </c>
      <c r="K781" s="3">
        <v>81.0</v>
      </c>
      <c r="L781" s="53">
        <f t="shared" si="5"/>
        <v>0</v>
      </c>
      <c r="M781" s="52">
        <f t="shared" si="6"/>
        <v>1430</v>
      </c>
      <c r="N781" s="54">
        <f t="shared" si="7"/>
        <v>1430</v>
      </c>
      <c r="O781" s="54">
        <f t="shared" si="8"/>
        <v>214.5</v>
      </c>
    </row>
    <row r="782" ht="22.5" customHeight="1">
      <c r="A782" s="15" t="s">
        <v>997</v>
      </c>
      <c r="B782" s="13" t="s">
        <v>42</v>
      </c>
      <c r="C782" s="13">
        <v>50.0</v>
      </c>
      <c r="D782" s="15">
        <v>195.0</v>
      </c>
      <c r="E782" s="7">
        <v>78.0</v>
      </c>
      <c r="F782" s="7">
        <v>500.0</v>
      </c>
      <c r="G782" s="52">
        <f>IFERROR(SUMIF(Issues!B:B, A782, Issues!H:H), 0)</f>
        <v>500</v>
      </c>
      <c r="H782" s="52">
        <f>IFERROR(SUMIF(Returns!B:B, A782, Returns!H:H), 0)</f>
        <v>0</v>
      </c>
      <c r="I782" s="27"/>
      <c r="J782" s="3">
        <v>69.0</v>
      </c>
      <c r="K782" s="3">
        <v>14.0</v>
      </c>
      <c r="L782" s="53">
        <f t="shared" ref="L782:L811" si="9">IFERROR((#REF!*(#REF!/8))/(39.3*K782),0)</f>
        <v>0</v>
      </c>
      <c r="M782" s="52">
        <f t="shared" si="6"/>
        <v>500</v>
      </c>
      <c r="N782" s="54">
        <f t="shared" si="7"/>
        <v>500</v>
      </c>
      <c r="O782" s="54">
        <f t="shared" si="8"/>
        <v>97.5</v>
      </c>
    </row>
    <row r="783" ht="22.5" customHeight="1">
      <c r="A783" s="15" t="s">
        <v>998</v>
      </c>
      <c r="B783" s="13" t="s">
        <v>26</v>
      </c>
      <c r="C783" s="13">
        <v>80.0</v>
      </c>
      <c r="D783" s="15">
        <v>300.0</v>
      </c>
      <c r="E783" s="7">
        <v>350.0</v>
      </c>
      <c r="F783" s="7">
        <v>547.0</v>
      </c>
      <c r="G783" s="52">
        <f>IFERROR(SUMIF(Issues!B:B, A783, Issues!H:H), 0)</f>
        <v>600</v>
      </c>
      <c r="H783" s="52">
        <f>IFERROR(SUMIF(Returns!B:B, A783, Returns!H:H), 0)</f>
        <v>0</v>
      </c>
      <c r="I783" s="27"/>
      <c r="J783" s="3">
        <v>3.0</v>
      </c>
      <c r="K783" s="3">
        <v>66.0</v>
      </c>
      <c r="L783" s="53">
        <f t="shared" si="9"/>
        <v>0</v>
      </c>
      <c r="M783" s="52">
        <f t="shared" si="6"/>
        <v>600</v>
      </c>
      <c r="N783" s="54">
        <f t="shared" si="7"/>
        <v>600</v>
      </c>
      <c r="O783" s="54">
        <f t="shared" si="8"/>
        <v>180</v>
      </c>
    </row>
    <row r="784" ht="22.5" customHeight="1">
      <c r="A784" s="15" t="s">
        <v>992</v>
      </c>
      <c r="B784" s="13" t="s">
        <v>26</v>
      </c>
      <c r="C784" s="13">
        <v>80.0</v>
      </c>
      <c r="D784" s="15">
        <v>265.0</v>
      </c>
      <c r="E784" s="7">
        <v>480.0</v>
      </c>
      <c r="F784" s="7">
        <v>547.0</v>
      </c>
      <c r="G784" s="52">
        <f>IFERROR(SUMIF(Issues!B:B, A784, Issues!H:H), 0)</f>
        <v>3020</v>
      </c>
      <c r="H784" s="52">
        <f>IFERROR(SUMIF(Returns!B:B, A784, Returns!H:H), 0)</f>
        <v>2040</v>
      </c>
      <c r="I784" s="27"/>
      <c r="J784" s="3">
        <v>4.0</v>
      </c>
      <c r="K784" s="3">
        <v>79.0</v>
      </c>
      <c r="L784" s="53">
        <f t="shared" si="9"/>
        <v>0</v>
      </c>
      <c r="M784" s="52">
        <f t="shared" si="6"/>
        <v>980</v>
      </c>
      <c r="N784" s="54">
        <f t="shared" si="7"/>
        <v>980</v>
      </c>
      <c r="O784" s="54">
        <f t="shared" si="8"/>
        <v>259.7</v>
      </c>
    </row>
    <row r="785" ht="22.5" customHeight="1">
      <c r="A785" s="15" t="s">
        <v>999</v>
      </c>
      <c r="B785" s="13" t="s">
        <v>9</v>
      </c>
      <c r="C785" s="13">
        <v>80.0</v>
      </c>
      <c r="D785" s="15">
        <v>170.0</v>
      </c>
      <c r="E785" s="7">
        <v>251.0</v>
      </c>
      <c r="F785" s="7">
        <v>433.0</v>
      </c>
      <c r="G785" s="52">
        <f>IFERROR(SUMIF(Issues!B:B, A785, Issues!H:H), 0)</f>
        <v>2000</v>
      </c>
      <c r="H785" s="52">
        <f>IFERROR(SUMIF(Returns!B:B, A785, Returns!H:H), 0)</f>
        <v>1560</v>
      </c>
      <c r="I785" s="27"/>
      <c r="J785" s="3">
        <v>15.0</v>
      </c>
      <c r="K785" s="3">
        <v>79.0</v>
      </c>
      <c r="L785" s="53">
        <f t="shared" si="9"/>
        <v>0</v>
      </c>
      <c r="M785" s="52">
        <f t="shared" si="6"/>
        <v>440</v>
      </c>
      <c r="N785" s="54">
        <f t="shared" si="7"/>
        <v>440</v>
      </c>
      <c r="O785" s="54">
        <f t="shared" si="8"/>
        <v>74.8</v>
      </c>
    </row>
    <row r="786" ht="22.5" customHeight="1">
      <c r="A786" s="15" t="s">
        <v>1001</v>
      </c>
      <c r="B786" s="13" t="s">
        <v>9</v>
      </c>
      <c r="C786" s="13">
        <v>80.0</v>
      </c>
      <c r="D786" s="15">
        <v>170.0</v>
      </c>
      <c r="E786" s="7">
        <v>251.0</v>
      </c>
      <c r="F786" s="7">
        <v>382.0</v>
      </c>
      <c r="G786" s="52">
        <f>IFERROR(SUMIF(Issues!B:B, A786, Issues!H:H), 0)</f>
        <v>1560</v>
      </c>
      <c r="H786" s="52">
        <f>IFERROR(SUMIF(Returns!B:B, A786, Returns!H:H), 0)</f>
        <v>1170</v>
      </c>
      <c r="I786" s="27"/>
      <c r="J786" s="3">
        <v>15.0</v>
      </c>
      <c r="K786" s="3">
        <v>79.0</v>
      </c>
      <c r="L786" s="53">
        <f t="shared" si="9"/>
        <v>0</v>
      </c>
      <c r="M786" s="52">
        <f t="shared" si="6"/>
        <v>390</v>
      </c>
      <c r="N786" s="54">
        <f t="shared" si="7"/>
        <v>390</v>
      </c>
      <c r="O786" s="54">
        <f t="shared" si="8"/>
        <v>66.3</v>
      </c>
    </row>
    <row r="787" ht="22.5" customHeight="1">
      <c r="A787" s="15" t="s">
        <v>1002</v>
      </c>
      <c r="B787" s="13" t="s">
        <v>9</v>
      </c>
      <c r="C787" s="13">
        <v>80.0</v>
      </c>
      <c r="D787" s="15">
        <v>140.0</v>
      </c>
      <c r="E787" s="7">
        <v>1463.0</v>
      </c>
      <c r="F787" s="7">
        <v>1992.0</v>
      </c>
      <c r="G787" s="52">
        <f>IFERROR(SUMIF(Issues!B:B, A787, Issues!H:H), 0)</f>
        <v>2060</v>
      </c>
      <c r="H787" s="52">
        <f>IFERROR(SUMIF(Returns!B:B, A787, Returns!H:H), 0)</f>
        <v>0</v>
      </c>
      <c r="I787" s="27"/>
      <c r="J787" s="3">
        <v>4.0</v>
      </c>
      <c r="K787" s="3">
        <v>92.0</v>
      </c>
      <c r="L787" s="53">
        <f t="shared" si="9"/>
        <v>0</v>
      </c>
      <c r="M787" s="52">
        <f t="shared" si="6"/>
        <v>2060</v>
      </c>
      <c r="N787" s="54">
        <f t="shared" si="7"/>
        <v>2060</v>
      </c>
      <c r="O787" s="54">
        <f t="shared" si="8"/>
        <v>288.4</v>
      </c>
    </row>
    <row r="788" ht="22.5" customHeight="1">
      <c r="A788" s="15" t="s">
        <v>1003</v>
      </c>
      <c r="B788" s="13" t="s">
        <v>9</v>
      </c>
      <c r="C788" s="13">
        <v>80.0</v>
      </c>
      <c r="D788" s="15">
        <v>140.0</v>
      </c>
      <c r="E788" s="7">
        <v>543.0</v>
      </c>
      <c r="F788" s="7">
        <v>750.0</v>
      </c>
      <c r="G788" s="52">
        <f>IFERROR(SUMIF(Issues!B:B, A788, Issues!H:H), 0)</f>
        <v>1410</v>
      </c>
      <c r="H788" s="52">
        <f>IFERROR(SUMIF(Returns!B:B, A788, Returns!H:H), 0)</f>
        <v>650</v>
      </c>
      <c r="I788" s="27"/>
      <c r="J788" s="3">
        <v>4.0</v>
      </c>
      <c r="K788" s="3">
        <v>99.0</v>
      </c>
      <c r="L788" s="53">
        <f t="shared" si="9"/>
        <v>0</v>
      </c>
      <c r="M788" s="52">
        <f t="shared" si="6"/>
        <v>760</v>
      </c>
      <c r="N788" s="54">
        <f t="shared" si="7"/>
        <v>760</v>
      </c>
      <c r="O788" s="54">
        <f t="shared" si="8"/>
        <v>106.4</v>
      </c>
    </row>
    <row r="789" ht="22.5" customHeight="1">
      <c r="A789" s="15" t="s">
        <v>1004</v>
      </c>
      <c r="B789" s="13" t="s">
        <v>43</v>
      </c>
      <c r="C789" s="13">
        <v>50.0</v>
      </c>
      <c r="D789" s="15">
        <v>125.0</v>
      </c>
      <c r="E789" s="7">
        <v>784.0</v>
      </c>
      <c r="F789" s="7">
        <v>848.0</v>
      </c>
      <c r="G789" s="52">
        <f>IFERROR(SUMIF(Issues!B:B, A789, Issues!H:H), 0)</f>
        <v>2000</v>
      </c>
      <c r="H789" s="52">
        <f>IFERROR(SUMIF(Returns!B:B, A789, Returns!H:H), 0)</f>
        <v>0</v>
      </c>
      <c r="I789" s="27"/>
      <c r="J789" s="3">
        <v>14.0</v>
      </c>
      <c r="K789" s="3">
        <v>69.0</v>
      </c>
      <c r="L789" s="53">
        <f t="shared" si="9"/>
        <v>0</v>
      </c>
      <c r="M789" s="52">
        <f t="shared" si="6"/>
        <v>2000</v>
      </c>
      <c r="N789" s="54">
        <f t="shared" si="7"/>
        <v>2000</v>
      </c>
      <c r="O789" s="54">
        <f t="shared" si="8"/>
        <v>250</v>
      </c>
    </row>
    <row r="790" ht="22.5" customHeight="1">
      <c r="A790" s="15" t="s">
        <v>1006</v>
      </c>
      <c r="B790" s="13" t="s">
        <v>9</v>
      </c>
      <c r="C790" s="13">
        <v>80.0</v>
      </c>
      <c r="D790" s="15">
        <v>330.0</v>
      </c>
      <c r="E790" s="7">
        <v>183.0</v>
      </c>
      <c r="F790" s="7">
        <v>373.0</v>
      </c>
      <c r="G790" s="52">
        <f>IFERROR(SUMIF(Issues!B:B, A790, Issues!H:H), 0)</f>
        <v>400</v>
      </c>
      <c r="H790" s="52">
        <f>IFERROR(SUMIF(Returns!B:B, A790, Returns!H:H), 0)</f>
        <v>0</v>
      </c>
      <c r="I790" s="27"/>
      <c r="J790" s="3">
        <v>3.0</v>
      </c>
      <c r="K790" s="3">
        <v>75.0</v>
      </c>
      <c r="L790" s="53">
        <f t="shared" si="9"/>
        <v>0</v>
      </c>
      <c r="M790" s="52">
        <f t="shared" si="6"/>
        <v>400</v>
      </c>
      <c r="N790" s="54">
        <f t="shared" si="7"/>
        <v>400</v>
      </c>
      <c r="O790" s="54">
        <f t="shared" si="8"/>
        <v>132</v>
      </c>
    </row>
    <row r="791" ht="22.5" customHeight="1">
      <c r="A791" s="15" t="s">
        <v>1007</v>
      </c>
      <c r="B791" s="13" t="s">
        <v>9</v>
      </c>
      <c r="C791" s="13">
        <v>80.0</v>
      </c>
      <c r="D791" s="15">
        <v>330.0</v>
      </c>
      <c r="E791" s="7">
        <v>1431.0</v>
      </c>
      <c r="F791" s="7">
        <v>1744.0</v>
      </c>
      <c r="G791" s="52">
        <f>IFERROR(SUMIF(Issues!B:B, A791, Issues!H:H), 0)</f>
        <v>2635</v>
      </c>
      <c r="H791" s="52">
        <f>IFERROR(SUMIF(Returns!B:B, A791, Returns!H:H), 0)</f>
        <v>891</v>
      </c>
      <c r="I791" s="27"/>
      <c r="J791" s="3">
        <v>3.0</v>
      </c>
      <c r="K791" s="3">
        <v>75.0</v>
      </c>
      <c r="L791" s="53">
        <f t="shared" si="9"/>
        <v>0</v>
      </c>
      <c r="M791" s="52">
        <f t="shared" si="6"/>
        <v>1744</v>
      </c>
      <c r="N791" s="54">
        <f t="shared" si="7"/>
        <v>1744</v>
      </c>
      <c r="O791" s="54">
        <f t="shared" si="8"/>
        <v>575.52</v>
      </c>
    </row>
    <row r="792" ht="22.5" customHeight="1">
      <c r="A792" s="15" t="s">
        <v>1008</v>
      </c>
      <c r="B792" s="13" t="s">
        <v>9</v>
      </c>
      <c r="C792" s="13">
        <v>80.0</v>
      </c>
      <c r="D792" s="15">
        <v>330.0</v>
      </c>
      <c r="E792" s="7">
        <v>398.0</v>
      </c>
      <c r="F792" s="7">
        <v>583.0</v>
      </c>
      <c r="G792" s="52">
        <f>IFERROR(SUMIF(Issues!B:B, A792, Issues!H:H), 0)</f>
        <v>600</v>
      </c>
      <c r="H792" s="52">
        <f>IFERROR(SUMIF(Returns!B:B, A792, Returns!H:H), 0)</f>
        <v>0</v>
      </c>
      <c r="I792" s="27"/>
      <c r="J792" s="3">
        <v>3.0</v>
      </c>
      <c r="K792" s="3">
        <v>75.0</v>
      </c>
      <c r="L792" s="53">
        <f t="shared" si="9"/>
        <v>0</v>
      </c>
      <c r="M792" s="52">
        <f t="shared" si="6"/>
        <v>600</v>
      </c>
      <c r="N792" s="54">
        <f t="shared" si="7"/>
        <v>600</v>
      </c>
      <c r="O792" s="54">
        <f t="shared" si="8"/>
        <v>198</v>
      </c>
    </row>
    <row r="793" ht="22.5" customHeight="1">
      <c r="A793" s="15" t="s">
        <v>1009</v>
      </c>
      <c r="B793" s="13" t="s">
        <v>9</v>
      </c>
      <c r="C793" s="13">
        <v>80.0</v>
      </c>
      <c r="D793" s="15">
        <v>330.0</v>
      </c>
      <c r="E793" s="7">
        <v>239.0</v>
      </c>
      <c r="F793" s="7">
        <v>382.0</v>
      </c>
      <c r="G793" s="52">
        <f>IFERROR(SUMIF(Issues!B:B, A793, Issues!H:H), 0)</f>
        <v>891</v>
      </c>
      <c r="H793" s="52">
        <f>IFERROR(SUMIF(Returns!B:B, A793, Returns!H:H), 0)</f>
        <v>509</v>
      </c>
      <c r="I793" s="27"/>
      <c r="J793" s="3">
        <v>3.0</v>
      </c>
      <c r="K793" s="3">
        <v>75.0</v>
      </c>
      <c r="L793" s="53">
        <f t="shared" si="9"/>
        <v>0</v>
      </c>
      <c r="M793" s="52">
        <f t="shared" si="6"/>
        <v>382</v>
      </c>
      <c r="N793" s="54">
        <f t="shared" si="7"/>
        <v>382</v>
      </c>
      <c r="O793" s="54">
        <f t="shared" si="8"/>
        <v>126.06</v>
      </c>
    </row>
    <row r="794" ht="22.5" customHeight="1">
      <c r="A794" s="15" t="s">
        <v>1010</v>
      </c>
      <c r="B794" s="13" t="s">
        <v>43</v>
      </c>
      <c r="C794" s="13">
        <v>50.0</v>
      </c>
      <c r="D794" s="15">
        <v>200.0</v>
      </c>
      <c r="E794" s="7">
        <v>747.0</v>
      </c>
      <c r="F794" s="7">
        <v>1800.0</v>
      </c>
      <c r="G794" s="52">
        <f>IFERROR(SUMIF(Issues!B:B, A794, Issues!H:H), 0)</f>
        <v>1800</v>
      </c>
      <c r="H794" s="52">
        <f>IFERROR(SUMIF(Returns!B:B, A794, Returns!H:H), 0)</f>
        <v>0</v>
      </c>
      <c r="I794" s="27"/>
      <c r="J794" s="3">
        <v>4.0</v>
      </c>
      <c r="K794" s="3">
        <v>94.0</v>
      </c>
      <c r="L794" s="53">
        <f t="shared" si="9"/>
        <v>0</v>
      </c>
      <c r="M794" s="52">
        <f t="shared" si="6"/>
        <v>1800</v>
      </c>
      <c r="N794" s="54">
        <f t="shared" si="7"/>
        <v>1800</v>
      </c>
      <c r="O794" s="54">
        <f t="shared" si="8"/>
        <v>360</v>
      </c>
    </row>
    <row r="795" ht="22.5" customHeight="1">
      <c r="A795" s="15" t="s">
        <v>1012</v>
      </c>
      <c r="B795" s="13" t="s">
        <v>9</v>
      </c>
      <c r="C795" s="13">
        <v>80.0</v>
      </c>
      <c r="D795" s="15">
        <v>290.0</v>
      </c>
      <c r="E795" s="7">
        <v>615.0</v>
      </c>
      <c r="F795" s="7">
        <v>800.0</v>
      </c>
      <c r="G795" s="52">
        <f>IFERROR(SUMIF(Issues!B:B, A795, Issues!H:H), 0)</f>
        <v>800</v>
      </c>
      <c r="H795" s="52">
        <f>IFERROR(SUMIF(Returns!B:B, A795, Returns!H:H), 0)</f>
        <v>0</v>
      </c>
      <c r="I795" s="27"/>
      <c r="J795" s="3">
        <v>6.0</v>
      </c>
      <c r="K795" s="3">
        <v>116.0</v>
      </c>
      <c r="L795" s="53">
        <f t="shared" si="9"/>
        <v>0</v>
      </c>
      <c r="M795" s="52">
        <f t="shared" si="6"/>
        <v>800</v>
      </c>
      <c r="N795" s="54">
        <f t="shared" si="7"/>
        <v>800</v>
      </c>
      <c r="O795" s="54">
        <f t="shared" si="8"/>
        <v>232</v>
      </c>
    </row>
    <row r="796" ht="22.5" customHeight="1">
      <c r="A796" s="15" t="s">
        <v>1013</v>
      </c>
      <c r="B796" s="13" t="s">
        <v>9</v>
      </c>
      <c r="C796" s="13">
        <v>80.0</v>
      </c>
      <c r="D796" s="15">
        <v>210.0</v>
      </c>
      <c r="E796" s="7">
        <v>1495.0</v>
      </c>
      <c r="F796" s="7">
        <v>1799.0</v>
      </c>
      <c r="G796" s="52">
        <f>IFERROR(SUMIF(Issues!B:B, A796, Issues!H:H), 0)</f>
        <v>3130</v>
      </c>
      <c r="H796" s="52">
        <f>IFERROR(SUMIF(Returns!B:B, A796, Returns!H:H), 0)</f>
        <v>1330</v>
      </c>
      <c r="I796" s="27"/>
      <c r="J796" s="3">
        <v>8.0</v>
      </c>
      <c r="K796" s="3">
        <v>94.0</v>
      </c>
      <c r="L796" s="53">
        <f t="shared" si="9"/>
        <v>0</v>
      </c>
      <c r="M796" s="52">
        <f t="shared" si="6"/>
        <v>1800</v>
      </c>
      <c r="N796" s="54">
        <f t="shared" si="7"/>
        <v>1800</v>
      </c>
      <c r="O796" s="54">
        <f t="shared" si="8"/>
        <v>378</v>
      </c>
    </row>
    <row r="797" ht="22.5" customHeight="1">
      <c r="A797" s="15" t="s">
        <v>1014</v>
      </c>
      <c r="B797" s="13" t="s">
        <v>9</v>
      </c>
      <c r="C797" s="13">
        <v>80.0</v>
      </c>
      <c r="D797" s="15">
        <v>300.0</v>
      </c>
      <c r="E797" s="7">
        <v>615.0</v>
      </c>
      <c r="F797" s="7">
        <v>840.0</v>
      </c>
      <c r="G797" s="52">
        <f>IFERROR(SUMIF(Issues!B:B, A797, Issues!H:H), 0)</f>
        <v>1100</v>
      </c>
      <c r="H797" s="52">
        <f>IFERROR(SUMIF(Returns!B:B, A797, Returns!H:H), 0)</f>
        <v>260</v>
      </c>
      <c r="I797" s="27"/>
      <c r="J797" s="3">
        <v>6.0</v>
      </c>
      <c r="K797" s="3">
        <v>116.0</v>
      </c>
      <c r="L797" s="53">
        <f t="shared" si="9"/>
        <v>0</v>
      </c>
      <c r="M797" s="52">
        <f t="shared" si="6"/>
        <v>840</v>
      </c>
      <c r="N797" s="54">
        <f t="shared" si="7"/>
        <v>840</v>
      </c>
      <c r="O797" s="54">
        <f t="shared" si="8"/>
        <v>252</v>
      </c>
    </row>
    <row r="798" ht="22.5" customHeight="1">
      <c r="A798" s="15" t="s">
        <v>1015</v>
      </c>
      <c r="B798" s="13" t="s">
        <v>9</v>
      </c>
      <c r="C798" s="13">
        <v>80.0</v>
      </c>
      <c r="D798" s="15">
        <v>170.0</v>
      </c>
      <c r="E798" s="7">
        <v>149.0</v>
      </c>
      <c r="F798" s="7">
        <v>288.0</v>
      </c>
      <c r="G798" s="52">
        <f>IFERROR(SUMIF(Issues!B:B, A798, Issues!H:H), 0)</f>
        <v>1200</v>
      </c>
      <c r="H798" s="52">
        <f>IFERROR(SUMIF(Returns!B:B, A798, Returns!H:H), 0)</f>
        <v>910</v>
      </c>
      <c r="I798" s="27"/>
      <c r="J798" s="3">
        <v>6.0</v>
      </c>
      <c r="K798" s="3">
        <v>94.0</v>
      </c>
      <c r="L798" s="53">
        <f t="shared" si="9"/>
        <v>0</v>
      </c>
      <c r="M798" s="52">
        <f t="shared" si="6"/>
        <v>290</v>
      </c>
      <c r="N798" s="54">
        <f t="shared" si="7"/>
        <v>290</v>
      </c>
      <c r="O798" s="54">
        <f t="shared" si="8"/>
        <v>49.3</v>
      </c>
    </row>
    <row r="799" ht="22.5" customHeight="1">
      <c r="A799" s="15" t="s">
        <v>1016</v>
      </c>
      <c r="B799" s="13" t="s">
        <v>9</v>
      </c>
      <c r="C799" s="13">
        <v>80.0</v>
      </c>
      <c r="D799" s="15">
        <v>140.0</v>
      </c>
      <c r="E799" s="7">
        <v>3292.0</v>
      </c>
      <c r="F799" s="7">
        <v>595.0</v>
      </c>
      <c r="G799" s="52">
        <f>IFERROR(SUMIF(Issues!B:B, A799, Issues!H:H), 0)</f>
        <v>3580</v>
      </c>
      <c r="H799" s="52">
        <f>IFERROR(SUMIF(Returns!B:B, A799, Returns!H:H), 0)</f>
        <v>0</v>
      </c>
      <c r="I799" s="27"/>
      <c r="J799" s="3">
        <v>1.0</v>
      </c>
      <c r="K799" s="3">
        <v>69.0</v>
      </c>
      <c r="L799" s="53">
        <f t="shared" si="9"/>
        <v>0</v>
      </c>
      <c r="M799" s="52">
        <f t="shared" si="6"/>
        <v>3580</v>
      </c>
      <c r="N799" s="54">
        <f t="shared" si="7"/>
        <v>3580</v>
      </c>
      <c r="O799" s="54">
        <f t="shared" si="8"/>
        <v>501.2</v>
      </c>
    </row>
    <row r="800" ht="22.5" customHeight="1">
      <c r="A800" s="15" t="s">
        <v>1017</v>
      </c>
      <c r="B800" s="13" t="s">
        <v>42</v>
      </c>
      <c r="C800" s="13">
        <v>50.0</v>
      </c>
      <c r="D800" s="15">
        <v>215.0</v>
      </c>
      <c r="E800" s="7">
        <v>300.0</v>
      </c>
      <c r="F800" s="7">
        <v>565.0</v>
      </c>
      <c r="G800" s="52">
        <f>IFERROR(SUMIF(Issues!B:B, A800, Issues!H:H), 0)</f>
        <v>1000</v>
      </c>
      <c r="H800" s="52">
        <f>IFERROR(SUMIF(Returns!B:B, A800, Returns!H:H), 0)</f>
        <v>400</v>
      </c>
      <c r="I800" s="27"/>
      <c r="J800" s="3">
        <v>10.0</v>
      </c>
      <c r="K800" s="3">
        <v>118.0</v>
      </c>
      <c r="L800" s="53">
        <f t="shared" si="9"/>
        <v>0</v>
      </c>
      <c r="M800" s="52">
        <f t="shared" si="6"/>
        <v>600</v>
      </c>
      <c r="N800" s="54">
        <f t="shared" si="7"/>
        <v>600</v>
      </c>
      <c r="O800" s="54">
        <f t="shared" si="8"/>
        <v>129</v>
      </c>
    </row>
    <row r="801" ht="22.5" customHeight="1">
      <c r="A801" s="15" t="s">
        <v>1018</v>
      </c>
      <c r="B801" s="13" t="s">
        <v>9</v>
      </c>
      <c r="C801" s="13">
        <v>80.0</v>
      </c>
      <c r="D801" s="15">
        <v>210.0</v>
      </c>
      <c r="E801" s="7">
        <v>374.0</v>
      </c>
      <c r="F801" s="7">
        <v>3080.0</v>
      </c>
      <c r="G801" s="52">
        <f>IFERROR(SUMIF(Issues!B:B, A801, Issues!H:H), 0)</f>
        <v>1700</v>
      </c>
      <c r="H801" s="52">
        <f>IFERROR(SUMIF(Returns!B:B, A801, Returns!H:H), 0)</f>
        <v>1130</v>
      </c>
      <c r="I801" s="27"/>
      <c r="J801" s="3">
        <v>8.0</v>
      </c>
      <c r="K801" s="3">
        <v>94.0</v>
      </c>
      <c r="L801" s="53">
        <f t="shared" si="9"/>
        <v>0</v>
      </c>
      <c r="M801" s="52">
        <f t="shared" si="6"/>
        <v>570</v>
      </c>
      <c r="N801" s="54">
        <f t="shared" si="7"/>
        <v>570</v>
      </c>
      <c r="O801" s="54">
        <f t="shared" si="8"/>
        <v>119.7</v>
      </c>
    </row>
    <row r="802" ht="22.5" customHeight="1">
      <c r="A802" s="15" t="s">
        <v>1019</v>
      </c>
      <c r="B802" s="13" t="s">
        <v>9</v>
      </c>
      <c r="C802" s="13">
        <v>80.0</v>
      </c>
      <c r="D802" s="15">
        <v>250.0</v>
      </c>
      <c r="E802" s="7">
        <v>2815.0</v>
      </c>
      <c r="F802" s="7">
        <v>807.0</v>
      </c>
      <c r="G802" s="52">
        <f>IFERROR(SUMIF(Issues!B:B, A802, Issues!H:H), 0)</f>
        <v>3090</v>
      </c>
      <c r="H802" s="52">
        <f>IFERROR(SUMIF(Returns!B:B, A802, Returns!H:H), 0)</f>
        <v>0</v>
      </c>
      <c r="I802" s="27"/>
      <c r="J802" s="3">
        <v>4.0</v>
      </c>
      <c r="K802" s="3">
        <v>118.0</v>
      </c>
      <c r="L802" s="53">
        <f t="shared" si="9"/>
        <v>0</v>
      </c>
      <c r="M802" s="52">
        <f t="shared" si="6"/>
        <v>3090</v>
      </c>
      <c r="N802" s="54">
        <f t="shared" si="7"/>
        <v>3090</v>
      </c>
      <c r="O802" s="54">
        <f t="shared" si="8"/>
        <v>772.5</v>
      </c>
    </row>
    <row r="803" ht="22.5" customHeight="1">
      <c r="A803" s="15" t="s">
        <v>1020</v>
      </c>
      <c r="B803" s="13" t="s">
        <v>9</v>
      </c>
      <c r="C803" s="13">
        <v>80.0</v>
      </c>
      <c r="D803" s="15">
        <v>290.0</v>
      </c>
      <c r="E803" s="7">
        <v>615.0</v>
      </c>
      <c r="F803" s="7">
        <v>807.0</v>
      </c>
      <c r="G803" s="52">
        <f>IFERROR(SUMIF(Issues!B:B, A803, Issues!H:H), 0)</f>
        <v>2000</v>
      </c>
      <c r="H803" s="52">
        <f>IFERROR(SUMIF(Returns!B:B, A803, Returns!H:H), 0)</f>
        <v>1190</v>
      </c>
      <c r="I803" s="27"/>
      <c r="J803" s="3">
        <v>6.0</v>
      </c>
      <c r="K803" s="3">
        <v>116.0</v>
      </c>
      <c r="L803" s="53">
        <f t="shared" si="9"/>
        <v>0</v>
      </c>
      <c r="M803" s="52">
        <f t="shared" si="6"/>
        <v>810</v>
      </c>
      <c r="N803" s="54">
        <f t="shared" si="7"/>
        <v>810</v>
      </c>
      <c r="O803" s="54">
        <f t="shared" si="8"/>
        <v>234.9</v>
      </c>
    </row>
    <row r="804" ht="22.5" customHeight="1">
      <c r="A804" s="15" t="s">
        <v>1021</v>
      </c>
      <c r="B804" s="13" t="s">
        <v>9</v>
      </c>
      <c r="C804" s="13">
        <v>80.0</v>
      </c>
      <c r="D804" s="15">
        <v>160.0</v>
      </c>
      <c r="E804" s="7">
        <v>4246.0</v>
      </c>
      <c r="F804" s="7">
        <v>4660.0</v>
      </c>
      <c r="G804" s="52">
        <f>IFERROR(SUMIF(Issues!B:B, A804, Issues!H:H), 0)</f>
        <v>4870</v>
      </c>
      <c r="H804" s="52">
        <f>IFERROR(SUMIF(Returns!B:B, A804, Returns!H:H), 0)</f>
        <v>210</v>
      </c>
      <c r="I804" s="27"/>
      <c r="J804" s="3">
        <v>1.0</v>
      </c>
      <c r="K804" s="3">
        <v>89.0</v>
      </c>
      <c r="L804" s="53">
        <f t="shared" si="9"/>
        <v>0</v>
      </c>
      <c r="M804" s="52">
        <f t="shared" si="6"/>
        <v>4660</v>
      </c>
      <c r="N804" s="54">
        <f t="shared" si="7"/>
        <v>4660</v>
      </c>
      <c r="O804" s="54">
        <f t="shared" si="8"/>
        <v>745.6</v>
      </c>
    </row>
    <row r="805" ht="22.5" customHeight="1">
      <c r="A805" s="15" t="s">
        <v>1022</v>
      </c>
      <c r="B805" s="13" t="s">
        <v>9</v>
      </c>
      <c r="C805" s="13">
        <v>80.0</v>
      </c>
      <c r="D805" s="15">
        <v>185.0</v>
      </c>
      <c r="E805" s="7">
        <v>687.0</v>
      </c>
      <c r="F805" s="7">
        <v>930.0</v>
      </c>
      <c r="G805" s="52">
        <f>IFERROR(SUMIF(Issues!B:B, A805, Issues!H:H), 0)</f>
        <v>2100</v>
      </c>
      <c r="H805" s="52">
        <f>IFERROR(SUMIF(Returns!B:B, A805, Returns!H:H), 0)</f>
        <v>1170</v>
      </c>
      <c r="I805" s="27"/>
      <c r="J805" s="3">
        <v>2.0</v>
      </c>
      <c r="K805" s="3">
        <v>72.0</v>
      </c>
      <c r="L805" s="53">
        <f t="shared" si="9"/>
        <v>0</v>
      </c>
      <c r="M805" s="52">
        <f t="shared" si="6"/>
        <v>930</v>
      </c>
      <c r="N805" s="54">
        <f t="shared" si="7"/>
        <v>930</v>
      </c>
      <c r="O805" s="54">
        <f t="shared" si="8"/>
        <v>172.05</v>
      </c>
    </row>
    <row r="806" ht="22.5" customHeight="1">
      <c r="A806" s="15" t="s">
        <v>1023</v>
      </c>
      <c r="B806" s="13" t="s">
        <v>9</v>
      </c>
      <c r="C806" s="13">
        <v>80.0</v>
      </c>
      <c r="D806" s="15">
        <v>160.0</v>
      </c>
      <c r="E806" s="7">
        <v>2831.0</v>
      </c>
      <c r="F806" s="7">
        <v>3060.0</v>
      </c>
      <c r="G806" s="52">
        <f>IFERROR(SUMIF(Issues!B:B, A806, Issues!H:H), 0)</f>
        <v>3690</v>
      </c>
      <c r="H806" s="52">
        <f>IFERROR(SUMIF(Returns!B:B, A806, Returns!H:H), 0)</f>
        <v>630</v>
      </c>
      <c r="I806" s="27"/>
      <c r="J806" s="3">
        <v>1.0</v>
      </c>
      <c r="K806" s="3">
        <v>89.0</v>
      </c>
      <c r="L806" s="53">
        <f t="shared" si="9"/>
        <v>0</v>
      </c>
      <c r="M806" s="52">
        <f t="shared" si="6"/>
        <v>3060</v>
      </c>
      <c r="N806" s="54">
        <f t="shared" si="7"/>
        <v>3060</v>
      </c>
      <c r="O806" s="54">
        <f t="shared" si="8"/>
        <v>489.6</v>
      </c>
    </row>
    <row r="807" ht="22.5" customHeight="1">
      <c r="A807" s="15" t="s">
        <v>1024</v>
      </c>
      <c r="B807" s="13" t="s">
        <v>9</v>
      </c>
      <c r="C807" s="13">
        <v>80.0</v>
      </c>
      <c r="D807" s="15">
        <v>160.0</v>
      </c>
      <c r="E807" s="7">
        <v>1132.0</v>
      </c>
      <c r="F807" s="7">
        <v>1375.0</v>
      </c>
      <c r="G807" s="52">
        <f>IFERROR(SUMIF(Issues!B:B, A807, Issues!H:H), 0)</f>
        <v>2230</v>
      </c>
      <c r="H807" s="52">
        <f>IFERROR(SUMIF(Returns!B:B, A807, Returns!H:H), 0)</f>
        <v>850</v>
      </c>
      <c r="I807" s="27"/>
      <c r="J807" s="3">
        <v>1.0</v>
      </c>
      <c r="K807" s="3">
        <v>89.0</v>
      </c>
      <c r="L807" s="53">
        <f t="shared" si="9"/>
        <v>0</v>
      </c>
      <c r="M807" s="52">
        <f t="shared" si="6"/>
        <v>1380</v>
      </c>
      <c r="N807" s="54">
        <f t="shared" si="7"/>
        <v>1380</v>
      </c>
      <c r="O807" s="54">
        <f t="shared" si="8"/>
        <v>220.8</v>
      </c>
    </row>
    <row r="808" ht="22.5" customHeight="1">
      <c r="A808" s="15" t="s">
        <v>1025</v>
      </c>
      <c r="B808" s="13" t="s">
        <v>9</v>
      </c>
      <c r="C808" s="13">
        <v>80.0</v>
      </c>
      <c r="D808" s="15">
        <v>185.0</v>
      </c>
      <c r="E808" s="7">
        <v>1132.0</v>
      </c>
      <c r="F808" s="7">
        <v>1444.0</v>
      </c>
      <c r="G808" s="52">
        <f>IFERROR(SUMIF(Issues!B:B, A808, Issues!H:H), 0)</f>
        <v>2050</v>
      </c>
      <c r="H808" s="52">
        <f>IFERROR(SUMIF(Returns!B:B, A808, Returns!H:H), 0)</f>
        <v>600</v>
      </c>
      <c r="I808" s="27"/>
      <c r="J808" s="3">
        <v>1.0</v>
      </c>
      <c r="K808" s="3">
        <v>89.0</v>
      </c>
      <c r="L808" s="53">
        <f t="shared" si="9"/>
        <v>0</v>
      </c>
      <c r="M808" s="52">
        <f t="shared" si="6"/>
        <v>1450</v>
      </c>
      <c r="N808" s="54">
        <f t="shared" si="7"/>
        <v>1450</v>
      </c>
      <c r="O808" s="54">
        <f t="shared" si="8"/>
        <v>268.25</v>
      </c>
    </row>
    <row r="809" ht="22.5" customHeight="1">
      <c r="A809" s="15" t="s">
        <v>1026</v>
      </c>
      <c r="B809" s="13" t="s">
        <v>9</v>
      </c>
      <c r="C809" s="13">
        <v>80.0</v>
      </c>
      <c r="D809" s="15">
        <v>140.0</v>
      </c>
      <c r="E809" s="7">
        <v>585.0</v>
      </c>
      <c r="F809" s="7">
        <v>773.0</v>
      </c>
      <c r="G809" s="52">
        <f>IFERROR(SUMIF(Issues!B:B, A809, Issues!H:H), 0)</f>
        <v>1130</v>
      </c>
      <c r="H809" s="52">
        <f>IFERROR(SUMIF(Returns!B:B, A809, Returns!H:H), 0)</f>
        <v>350</v>
      </c>
      <c r="I809" s="27"/>
      <c r="J809" s="3">
        <v>4.0</v>
      </c>
      <c r="K809" s="3">
        <v>92.0</v>
      </c>
      <c r="L809" s="53">
        <f t="shared" si="9"/>
        <v>0</v>
      </c>
      <c r="M809" s="52">
        <f t="shared" si="6"/>
        <v>780</v>
      </c>
      <c r="N809" s="54">
        <f t="shared" si="7"/>
        <v>780</v>
      </c>
      <c r="O809" s="54">
        <f t="shared" si="8"/>
        <v>109.2</v>
      </c>
    </row>
    <row r="810" ht="22.5" customHeight="1">
      <c r="A810" s="15" t="s">
        <v>1027</v>
      </c>
      <c r="B810" s="13" t="s">
        <v>9</v>
      </c>
      <c r="C810" s="13">
        <v>80.0</v>
      </c>
      <c r="D810" s="15">
        <v>140.0</v>
      </c>
      <c r="E810" s="7">
        <v>472.0</v>
      </c>
      <c r="F810" s="7">
        <v>662.0</v>
      </c>
      <c r="G810" s="52">
        <f>IFERROR(SUMIF(Issues!B:B, A810, Issues!H:H), 0)</f>
        <v>1800</v>
      </c>
      <c r="H810" s="52">
        <f>IFERROR(SUMIF(Returns!B:B, A810, Returns!H:H), 0)</f>
        <v>1130</v>
      </c>
      <c r="I810" s="27"/>
      <c r="J810" s="3">
        <v>6.0</v>
      </c>
      <c r="K810" s="3">
        <v>89.0</v>
      </c>
      <c r="L810" s="53">
        <f t="shared" si="9"/>
        <v>0</v>
      </c>
      <c r="M810" s="52">
        <f t="shared" si="6"/>
        <v>670</v>
      </c>
      <c r="N810" s="54">
        <f t="shared" si="7"/>
        <v>670</v>
      </c>
      <c r="O810" s="54">
        <f t="shared" si="8"/>
        <v>93.8</v>
      </c>
    </row>
    <row r="811" ht="22.5" customHeight="1">
      <c r="A811" s="15" t="s">
        <v>1028</v>
      </c>
      <c r="B811" s="13" t="s">
        <v>9</v>
      </c>
      <c r="C811" s="13">
        <v>80.0</v>
      </c>
      <c r="D811" s="15">
        <v>230.0</v>
      </c>
      <c r="E811" s="7">
        <v>2926.0</v>
      </c>
      <c r="F811" s="7">
        <v>3290.0</v>
      </c>
      <c r="G811" s="52">
        <f>IFERROR(SUMIF(Issues!B:B, A811, Issues!H:H), 0)</f>
        <v>4550</v>
      </c>
      <c r="H811" s="52">
        <f>IFERROR(SUMIF(Returns!B:B, A811, Returns!H:H), 0)</f>
        <v>1210</v>
      </c>
      <c r="I811" s="27"/>
      <c r="J811" s="3">
        <v>2.0</v>
      </c>
      <c r="K811" s="3">
        <v>92.0</v>
      </c>
      <c r="L811" s="53">
        <f t="shared" si="9"/>
        <v>0</v>
      </c>
      <c r="M811" s="52">
        <f t="shared" si="6"/>
        <v>3340</v>
      </c>
      <c r="N811" s="54">
        <f t="shared" si="7"/>
        <v>3340</v>
      </c>
      <c r="O811" s="54">
        <f t="shared" si="8"/>
        <v>768.2</v>
      </c>
    </row>
    <row r="812" ht="22.5" customHeight="1">
      <c r="A812" s="15" t="s">
        <v>1029</v>
      </c>
      <c r="B812" s="13" t="s">
        <v>43</v>
      </c>
      <c r="C812" s="13">
        <v>50.0</v>
      </c>
      <c r="D812" s="15">
        <v>185.0</v>
      </c>
      <c r="E812" s="7">
        <v>1046.0</v>
      </c>
      <c r="F812" s="7">
        <v>1273.0</v>
      </c>
      <c r="G812" s="52">
        <f>IFERROR(SUMIF(Issues!B:B, A812, Issues!H:H), 0)</f>
        <v>1800</v>
      </c>
      <c r="H812" s="52">
        <f>IFERROR(SUMIF(Returns!B:B, A812, Returns!H:H), 0)</f>
        <v>520</v>
      </c>
      <c r="I812" s="52"/>
      <c r="J812" s="3">
        <v>2.0</v>
      </c>
      <c r="K812" s="3">
        <v>94.0</v>
      </c>
      <c r="L812" s="53">
        <f t="shared" ref="L812:L977" si="10">IFERROR((I812*(K812/8))/(39.3*J812),0)</f>
        <v>0</v>
      </c>
      <c r="M812" s="52">
        <f t="shared" si="6"/>
        <v>1280</v>
      </c>
      <c r="N812" s="54">
        <f t="shared" si="7"/>
        <v>1280</v>
      </c>
      <c r="O812" s="54">
        <f t="shared" si="8"/>
        <v>236.8</v>
      </c>
    </row>
    <row r="813" ht="22.5" customHeight="1">
      <c r="A813" s="15" t="s">
        <v>1030</v>
      </c>
      <c r="B813" s="13" t="s">
        <v>43</v>
      </c>
      <c r="C813" s="13">
        <v>50.0</v>
      </c>
      <c r="D813" s="15">
        <v>185.0</v>
      </c>
      <c r="E813" s="7">
        <v>448.0</v>
      </c>
      <c r="F813" s="7">
        <v>622.0</v>
      </c>
      <c r="G813" s="52">
        <f>IFERROR(SUMIF(Issues!B:B, A813, Issues!H:H), 0)</f>
        <v>720</v>
      </c>
      <c r="H813" s="52">
        <f>IFERROR(SUMIF(Returns!B:B, A813, Returns!H:H), 0)</f>
        <v>90</v>
      </c>
      <c r="I813" s="52"/>
      <c r="J813" s="3">
        <v>2.0</v>
      </c>
      <c r="K813" s="3">
        <v>94.0</v>
      </c>
      <c r="L813" s="53">
        <f t="shared" si="10"/>
        <v>0</v>
      </c>
      <c r="M813" s="52">
        <f t="shared" si="6"/>
        <v>630</v>
      </c>
      <c r="N813" s="54">
        <f t="shared" si="7"/>
        <v>630</v>
      </c>
      <c r="O813" s="54">
        <f t="shared" si="8"/>
        <v>116.55</v>
      </c>
    </row>
    <row r="814" ht="22.5" customHeight="1">
      <c r="A814" s="15" t="s">
        <v>1031</v>
      </c>
      <c r="B814" s="13" t="s">
        <v>43</v>
      </c>
      <c r="C814" s="13">
        <v>50.0</v>
      </c>
      <c r="D814" s="15">
        <v>125.0</v>
      </c>
      <c r="E814" s="7">
        <v>2406.0</v>
      </c>
      <c r="F814" s="7">
        <v>3200.0</v>
      </c>
      <c r="G814" s="52">
        <f>IFERROR(SUMIF(Issues!B:B, A814, Issues!H:H), 0)</f>
        <v>3150</v>
      </c>
      <c r="H814" s="52">
        <f>IFERROR(SUMIF(Returns!B:B, A814, Returns!H:H), 0)</f>
        <v>0</v>
      </c>
      <c r="I814" s="52"/>
      <c r="J814" s="3">
        <v>3.0</v>
      </c>
      <c r="K814" s="3">
        <v>89.0</v>
      </c>
      <c r="L814" s="53">
        <f t="shared" si="10"/>
        <v>0</v>
      </c>
      <c r="M814" s="52">
        <f t="shared" si="6"/>
        <v>3150</v>
      </c>
      <c r="N814" s="54">
        <f t="shared" si="7"/>
        <v>3150</v>
      </c>
      <c r="O814" s="54">
        <f t="shared" si="8"/>
        <v>393.75</v>
      </c>
    </row>
    <row r="815" ht="22.5" customHeight="1">
      <c r="A815" s="15" t="s">
        <v>1033</v>
      </c>
      <c r="B815" s="13" t="s">
        <v>9</v>
      </c>
      <c r="C815" s="13">
        <v>80.0</v>
      </c>
      <c r="D815" s="15">
        <v>395.0</v>
      </c>
      <c r="E815" s="7">
        <v>5980.0</v>
      </c>
      <c r="F815" s="7">
        <v>6300.0</v>
      </c>
      <c r="G815" s="52">
        <f>IFERROR(SUMIF(Issues!B:B, A815, Issues!H:H), 0)</f>
        <v>7870</v>
      </c>
      <c r="H815" s="52">
        <f>IFERROR(SUMIF(Returns!B:B, A815, Returns!H:H), 0)</f>
        <v>1620</v>
      </c>
      <c r="I815" s="52"/>
      <c r="J815" s="3">
        <v>10.0</v>
      </c>
      <c r="K815" s="3">
        <v>94.0</v>
      </c>
      <c r="L815" s="53">
        <f t="shared" si="10"/>
        <v>0</v>
      </c>
      <c r="M815" s="52">
        <f t="shared" si="6"/>
        <v>6250</v>
      </c>
      <c r="N815" s="54">
        <f t="shared" si="7"/>
        <v>6250</v>
      </c>
      <c r="O815" s="54">
        <f t="shared" si="8"/>
        <v>2468.75</v>
      </c>
    </row>
    <row r="816" ht="22.5" customHeight="1">
      <c r="A816" s="15" t="s">
        <v>1034</v>
      </c>
      <c r="B816" s="13" t="s">
        <v>9</v>
      </c>
      <c r="C816" s="13">
        <v>80.0</v>
      </c>
      <c r="D816" s="15">
        <v>250.0</v>
      </c>
      <c r="E816" s="7">
        <v>14074.0</v>
      </c>
      <c r="F816" s="7">
        <v>14900.0</v>
      </c>
      <c r="G816" s="52">
        <f>IFERROR(SUMIF(Issues!B:B, A816, Issues!H:H), 0)</f>
        <v>16020</v>
      </c>
      <c r="H816" s="52">
        <f>IFERROR(SUMIF(Returns!B:B, A816, Returns!H:H), 0)</f>
        <v>1100</v>
      </c>
      <c r="I816" s="52"/>
      <c r="J816" s="3">
        <v>4.0</v>
      </c>
      <c r="K816" s="3">
        <v>118.0</v>
      </c>
      <c r="L816" s="53">
        <f t="shared" si="10"/>
        <v>0</v>
      </c>
      <c r="M816" s="52">
        <f t="shared" si="6"/>
        <v>14920</v>
      </c>
      <c r="N816" s="54">
        <f t="shared" si="7"/>
        <v>14920</v>
      </c>
      <c r="O816" s="54">
        <f t="shared" si="8"/>
        <v>3730</v>
      </c>
    </row>
    <row r="817" ht="22.5" customHeight="1">
      <c r="A817" s="15" t="s">
        <v>1035</v>
      </c>
      <c r="B817" s="13" t="s">
        <v>42</v>
      </c>
      <c r="C817" s="13">
        <v>50.0</v>
      </c>
      <c r="D817" s="15">
        <v>200.0</v>
      </c>
      <c r="E817" s="7">
        <v>5248.0</v>
      </c>
      <c r="F817" s="7">
        <v>5681.0</v>
      </c>
      <c r="G817" s="52">
        <f>IFERROR(SUMIF(Issues!B:B, A817, Issues!H:H), 0)</f>
        <v>6000</v>
      </c>
      <c r="H817" s="52">
        <f>IFERROR(SUMIF(Returns!B:B, A817, Returns!H:H), 0)</f>
        <v>310</v>
      </c>
      <c r="I817" s="52"/>
      <c r="J817" s="3">
        <v>6.0</v>
      </c>
      <c r="K817" s="3">
        <v>99.0</v>
      </c>
      <c r="L817" s="53">
        <f t="shared" si="10"/>
        <v>0</v>
      </c>
      <c r="M817" s="52">
        <f t="shared" si="6"/>
        <v>5690</v>
      </c>
      <c r="N817" s="54">
        <f t="shared" si="7"/>
        <v>5690</v>
      </c>
      <c r="O817" s="54">
        <f t="shared" si="8"/>
        <v>1138</v>
      </c>
    </row>
    <row r="818" ht="22.5" customHeight="1">
      <c r="A818" s="15" t="s">
        <v>1036</v>
      </c>
      <c r="B818" s="13" t="s">
        <v>9</v>
      </c>
      <c r="C818" s="13">
        <v>80.0</v>
      </c>
      <c r="D818" s="15">
        <v>125.0</v>
      </c>
      <c r="E818" s="7">
        <v>4723.0</v>
      </c>
      <c r="F818" s="7">
        <v>4939.0</v>
      </c>
      <c r="G818" s="52">
        <f>IFERROR(SUMIF(Issues!B:B, A818, Issues!H:H), 0)</f>
        <v>5000</v>
      </c>
      <c r="H818" s="52">
        <f>IFERROR(SUMIF(Returns!B:B, A818, Returns!H:H), 0)</f>
        <v>0</v>
      </c>
      <c r="I818" s="52"/>
      <c r="J818" s="3">
        <v>2.0</v>
      </c>
      <c r="K818" s="3">
        <v>108.0</v>
      </c>
      <c r="L818" s="53">
        <f t="shared" si="10"/>
        <v>0</v>
      </c>
      <c r="M818" s="52">
        <f t="shared" si="6"/>
        <v>5000</v>
      </c>
      <c r="N818" s="54">
        <f t="shared" si="7"/>
        <v>5000</v>
      </c>
      <c r="O818" s="54">
        <f t="shared" si="8"/>
        <v>625</v>
      </c>
    </row>
    <row r="819" ht="22.5" customHeight="1">
      <c r="A819" s="15" t="s">
        <v>1037</v>
      </c>
      <c r="B819" s="13" t="s">
        <v>9</v>
      </c>
      <c r="C819" s="13">
        <v>80.0</v>
      </c>
      <c r="D819" s="15">
        <v>170.0</v>
      </c>
      <c r="E819" s="7">
        <v>249.0</v>
      </c>
      <c r="F819" s="7">
        <v>505.0</v>
      </c>
      <c r="G819" s="52">
        <f>IFERROR(SUMIF(Issues!B:B, A819, Issues!H:H), 0)</f>
        <v>510</v>
      </c>
      <c r="H819" s="52">
        <f>IFERROR(SUMIF(Returns!B:B, A819, Returns!H:H), 0)</f>
        <v>0</v>
      </c>
      <c r="I819" s="52"/>
      <c r="J819" s="3">
        <v>6.0</v>
      </c>
      <c r="K819" s="3">
        <v>94.0</v>
      </c>
      <c r="L819" s="53">
        <f t="shared" si="10"/>
        <v>0</v>
      </c>
      <c r="M819" s="52">
        <f t="shared" si="6"/>
        <v>510</v>
      </c>
      <c r="N819" s="54">
        <f t="shared" si="7"/>
        <v>510</v>
      </c>
      <c r="O819" s="54">
        <f t="shared" si="8"/>
        <v>86.7</v>
      </c>
    </row>
    <row r="820" ht="22.5" customHeight="1">
      <c r="A820" s="15" t="s">
        <v>1038</v>
      </c>
      <c r="B820" s="13" t="s">
        <v>9</v>
      </c>
      <c r="C820" s="13">
        <v>80.0</v>
      </c>
      <c r="D820" s="15">
        <v>290.0</v>
      </c>
      <c r="E820" s="7">
        <v>1253.0</v>
      </c>
      <c r="F820" s="7">
        <v>1471.0</v>
      </c>
      <c r="G820" s="52">
        <f>IFERROR(SUMIF(Issues!B:B, A820, Issues!H:H), 0)</f>
        <v>2000</v>
      </c>
      <c r="H820" s="52">
        <f>IFERROR(SUMIF(Returns!B:B, A820, Returns!H:H), 0)</f>
        <v>520</v>
      </c>
      <c r="I820" s="52"/>
      <c r="J820" s="3">
        <v>2.0</v>
      </c>
      <c r="K820" s="3">
        <v>94.0</v>
      </c>
      <c r="L820" s="53">
        <f t="shared" si="10"/>
        <v>0</v>
      </c>
      <c r="M820" s="52">
        <f t="shared" si="6"/>
        <v>1480</v>
      </c>
      <c r="N820" s="54">
        <f t="shared" si="7"/>
        <v>1480</v>
      </c>
      <c r="O820" s="54">
        <f t="shared" si="8"/>
        <v>429.2</v>
      </c>
    </row>
    <row r="821" ht="22.5" customHeight="1">
      <c r="A821" s="15" t="s">
        <v>1039</v>
      </c>
      <c r="B821" s="13" t="s">
        <v>9</v>
      </c>
      <c r="C821" s="13">
        <v>80.0</v>
      </c>
      <c r="D821" s="15">
        <v>330.0</v>
      </c>
      <c r="E821" s="7">
        <v>940.0</v>
      </c>
      <c r="F821" s="7">
        <v>1153.0</v>
      </c>
      <c r="G821" s="52">
        <f>IFERROR(SUMIF(Issues!B:B, A821, Issues!H:H), 0)</f>
        <v>2000</v>
      </c>
      <c r="H821" s="52">
        <f>IFERROR(SUMIF(Returns!B:B, A821, Returns!H:H), 0)</f>
        <v>740</v>
      </c>
      <c r="I821" s="52"/>
      <c r="J821" s="3">
        <v>3.0</v>
      </c>
      <c r="K821" s="3">
        <v>75.0</v>
      </c>
      <c r="L821" s="53">
        <f t="shared" si="10"/>
        <v>0</v>
      </c>
      <c r="M821" s="52">
        <f t="shared" si="6"/>
        <v>1260</v>
      </c>
      <c r="N821" s="54">
        <f t="shared" si="7"/>
        <v>1260</v>
      </c>
      <c r="O821" s="54">
        <f t="shared" si="8"/>
        <v>415.8</v>
      </c>
    </row>
    <row r="822" ht="22.5" customHeight="1">
      <c r="A822" s="15" t="s">
        <v>1040</v>
      </c>
      <c r="B822" s="13" t="s">
        <v>9</v>
      </c>
      <c r="C822" s="13">
        <v>80.0</v>
      </c>
      <c r="D822" s="15">
        <v>300.0</v>
      </c>
      <c r="E822" s="7">
        <v>422.0</v>
      </c>
      <c r="F822" s="7">
        <v>582.0</v>
      </c>
      <c r="G822" s="52">
        <f>IFERROR(SUMIF(Issues!B:B, A822, Issues!H:H), 0)</f>
        <v>1000</v>
      </c>
      <c r="H822" s="52">
        <f>IFERROR(SUMIF(Returns!B:B, A822, Returns!H:H), 0)</f>
        <v>410</v>
      </c>
      <c r="I822" s="52"/>
      <c r="J822" s="3">
        <v>6.0</v>
      </c>
      <c r="K822" s="3">
        <v>116.0</v>
      </c>
      <c r="L822" s="53">
        <f t="shared" si="10"/>
        <v>0</v>
      </c>
      <c r="M822" s="52">
        <f t="shared" si="6"/>
        <v>590</v>
      </c>
      <c r="N822" s="54">
        <f t="shared" si="7"/>
        <v>590</v>
      </c>
      <c r="O822" s="54">
        <f t="shared" si="8"/>
        <v>177</v>
      </c>
    </row>
    <row r="823" ht="22.5" customHeight="1">
      <c r="A823" s="15" t="s">
        <v>1041</v>
      </c>
      <c r="B823" s="13" t="s">
        <v>9</v>
      </c>
      <c r="C823" s="13">
        <v>80.0</v>
      </c>
      <c r="D823" s="15">
        <v>180.0</v>
      </c>
      <c r="E823" s="7">
        <v>8216.0</v>
      </c>
      <c r="F823" s="7">
        <v>8650.0</v>
      </c>
      <c r="G823" s="52">
        <f>IFERROR(SUMIF(Issues!B:B, A823, Issues!H:H), 0)</f>
        <v>8850</v>
      </c>
      <c r="H823" s="52">
        <f>IFERROR(SUMIF(Returns!B:B, A823, Returns!H:H), 0)</f>
        <v>0</v>
      </c>
      <c r="I823" s="52"/>
      <c r="J823" s="3">
        <v>6.0</v>
      </c>
      <c r="K823" s="3">
        <v>99.0</v>
      </c>
      <c r="L823" s="53">
        <f t="shared" si="10"/>
        <v>0</v>
      </c>
      <c r="M823" s="52">
        <f t="shared" si="6"/>
        <v>8850</v>
      </c>
      <c r="N823" s="54">
        <f t="shared" si="7"/>
        <v>8850</v>
      </c>
      <c r="O823" s="54">
        <f t="shared" si="8"/>
        <v>1593</v>
      </c>
    </row>
    <row r="824" ht="22.5" customHeight="1">
      <c r="A824" s="15" t="s">
        <v>1042</v>
      </c>
      <c r="B824" s="13" t="s">
        <v>9</v>
      </c>
      <c r="C824" s="13">
        <v>80.0</v>
      </c>
      <c r="D824" s="15">
        <v>125.0</v>
      </c>
      <c r="E824" s="7">
        <v>2576.0</v>
      </c>
      <c r="F824" s="7">
        <v>2962.0</v>
      </c>
      <c r="G824" s="52">
        <f>IFERROR(SUMIF(Issues!B:B, A824, Issues!H:H), 0)</f>
        <v>4050</v>
      </c>
      <c r="H824" s="52">
        <f>IFERROR(SUMIF(Returns!B:B, A824, Returns!H:H), 0)</f>
        <v>1030</v>
      </c>
      <c r="I824" s="52"/>
      <c r="J824" s="3">
        <v>2.0</v>
      </c>
      <c r="K824" s="3">
        <v>108.0</v>
      </c>
      <c r="L824" s="53">
        <f t="shared" si="10"/>
        <v>0</v>
      </c>
      <c r="M824" s="52">
        <f t="shared" si="6"/>
        <v>3020</v>
      </c>
      <c r="N824" s="54">
        <f t="shared" si="7"/>
        <v>3020</v>
      </c>
      <c r="O824" s="54">
        <f t="shared" si="8"/>
        <v>377.5</v>
      </c>
    </row>
    <row r="825" ht="22.5" customHeight="1">
      <c r="A825" s="15" t="s">
        <v>1043</v>
      </c>
      <c r="B825" s="13" t="s">
        <v>9</v>
      </c>
      <c r="C825" s="13">
        <v>80.0</v>
      </c>
      <c r="D825" s="15">
        <v>150.0</v>
      </c>
      <c r="E825" s="7">
        <v>1006.0</v>
      </c>
      <c r="F825" s="7">
        <v>1253.0</v>
      </c>
      <c r="G825" s="52">
        <f>IFERROR(SUMIF(Issues!B:B, A825, Issues!H:H), 0)</f>
        <v>1900</v>
      </c>
      <c r="H825" s="52">
        <f>IFERROR(SUMIF(Returns!B:B, A825, Returns!H:H), 0)</f>
        <v>640</v>
      </c>
      <c r="I825" s="52"/>
      <c r="J825" s="3">
        <v>8.0</v>
      </c>
      <c r="K825" s="3">
        <v>92.0</v>
      </c>
      <c r="L825" s="53">
        <f t="shared" si="10"/>
        <v>0</v>
      </c>
      <c r="M825" s="52">
        <f t="shared" si="6"/>
        <v>1260</v>
      </c>
      <c r="N825" s="54">
        <f t="shared" si="7"/>
        <v>1260</v>
      </c>
      <c r="O825" s="54">
        <f t="shared" si="8"/>
        <v>189</v>
      </c>
    </row>
    <row r="826" ht="22.5" customHeight="1">
      <c r="A826" s="15" t="s">
        <v>1044</v>
      </c>
      <c r="B826" s="13" t="s">
        <v>9</v>
      </c>
      <c r="C826" s="13">
        <v>80.0</v>
      </c>
      <c r="D826" s="15">
        <v>180.0</v>
      </c>
      <c r="E826" s="7">
        <v>1931.0</v>
      </c>
      <c r="F826" s="7">
        <v>2110.0</v>
      </c>
      <c r="G826" s="52">
        <f>IFERROR(SUMIF(Issues!B:B, A826, Issues!H:H), 0)</f>
        <v>2800</v>
      </c>
      <c r="H826" s="52">
        <f>IFERROR(SUMIF(Returns!B:B, A826, Returns!H:H), 0)</f>
        <v>690</v>
      </c>
      <c r="I826" s="52"/>
      <c r="J826" s="3">
        <v>3.0</v>
      </c>
      <c r="K826" s="3">
        <v>66.0</v>
      </c>
      <c r="L826" s="53">
        <f t="shared" si="10"/>
        <v>0</v>
      </c>
      <c r="M826" s="52">
        <f t="shared" si="6"/>
        <v>2110</v>
      </c>
      <c r="N826" s="54">
        <f t="shared" si="7"/>
        <v>2110</v>
      </c>
      <c r="O826" s="54">
        <f t="shared" si="8"/>
        <v>379.8</v>
      </c>
    </row>
    <row r="827" ht="22.5" customHeight="1">
      <c r="A827" s="15" t="s">
        <v>1045</v>
      </c>
      <c r="B827" s="13" t="s">
        <v>9</v>
      </c>
      <c r="C827" s="13">
        <v>80.0</v>
      </c>
      <c r="D827" s="15">
        <v>180.0</v>
      </c>
      <c r="E827" s="7">
        <v>2886.0</v>
      </c>
      <c r="F827" s="7">
        <v>3109.0</v>
      </c>
      <c r="G827" s="52">
        <f>IFERROR(SUMIF(Issues!B:B, A827, Issues!H:H), 0)</f>
        <v>4000</v>
      </c>
      <c r="H827" s="52">
        <f>IFERROR(SUMIF(Returns!B:B, A827, Returns!H:H), 0)</f>
        <v>890</v>
      </c>
      <c r="I827" s="52"/>
      <c r="J827" s="3">
        <v>6.0</v>
      </c>
      <c r="K827" s="3">
        <v>99.0</v>
      </c>
      <c r="L827" s="53">
        <f t="shared" si="10"/>
        <v>0</v>
      </c>
      <c r="M827" s="52">
        <f t="shared" si="6"/>
        <v>3110</v>
      </c>
      <c r="N827" s="54">
        <f t="shared" si="7"/>
        <v>3110</v>
      </c>
      <c r="O827" s="54">
        <f t="shared" si="8"/>
        <v>559.8</v>
      </c>
    </row>
    <row r="828" ht="22.5" customHeight="1">
      <c r="A828" s="15" t="s">
        <v>1046</v>
      </c>
      <c r="B828" s="13" t="s">
        <v>9</v>
      </c>
      <c r="C828" s="13">
        <v>80.0</v>
      </c>
      <c r="D828" s="15">
        <v>125.0</v>
      </c>
      <c r="E828" s="7">
        <v>2048.0</v>
      </c>
      <c r="F828" s="7">
        <v>2435.0</v>
      </c>
      <c r="G828" s="52">
        <f>IFERROR(SUMIF(Issues!B:B, A828, Issues!H:H), 0)</f>
        <v>3050</v>
      </c>
      <c r="H828" s="52">
        <f>IFERROR(SUMIF(Returns!B:B, A828, Returns!H:H), 0)</f>
        <v>610</v>
      </c>
      <c r="I828" s="52"/>
      <c r="J828" s="3">
        <v>1.0</v>
      </c>
      <c r="K828" s="3">
        <v>92.0</v>
      </c>
      <c r="L828" s="53">
        <f t="shared" si="10"/>
        <v>0</v>
      </c>
      <c r="M828" s="52">
        <f t="shared" si="6"/>
        <v>2440</v>
      </c>
      <c r="N828" s="54">
        <f t="shared" si="7"/>
        <v>2440</v>
      </c>
      <c r="O828" s="54">
        <f t="shared" si="8"/>
        <v>305</v>
      </c>
    </row>
    <row r="829" ht="22.5" customHeight="1">
      <c r="A829" s="15" t="s">
        <v>1047</v>
      </c>
      <c r="B829" s="13" t="s">
        <v>9</v>
      </c>
      <c r="C829" s="13">
        <v>80.0</v>
      </c>
      <c r="D829" s="15">
        <v>320.0</v>
      </c>
      <c r="E829" s="7">
        <v>1399.0</v>
      </c>
      <c r="F829" s="7">
        <v>1690.0</v>
      </c>
      <c r="G829" s="52">
        <f>IFERROR(SUMIF(Issues!B:B, A829, Issues!H:H), 0)</f>
        <v>3390</v>
      </c>
      <c r="H829" s="52">
        <f>IFERROR(SUMIF(Returns!B:B, A829, Returns!H:H), 0)</f>
        <v>1700</v>
      </c>
      <c r="I829" s="52"/>
      <c r="J829" s="3">
        <v>3.0</v>
      </c>
      <c r="K829" s="3">
        <v>75.0</v>
      </c>
      <c r="L829" s="53">
        <f t="shared" si="10"/>
        <v>0</v>
      </c>
      <c r="M829" s="52">
        <f t="shared" si="6"/>
        <v>1690</v>
      </c>
      <c r="N829" s="54">
        <f t="shared" si="7"/>
        <v>1690</v>
      </c>
      <c r="O829" s="54">
        <f t="shared" si="8"/>
        <v>540.8</v>
      </c>
    </row>
    <row r="830" ht="22.5" customHeight="1">
      <c r="A830" s="15" t="s">
        <v>1048</v>
      </c>
      <c r="B830" s="13" t="s">
        <v>9</v>
      </c>
      <c r="C830" s="13">
        <v>80.0</v>
      </c>
      <c r="D830" s="15">
        <v>290.0</v>
      </c>
      <c r="E830" s="7">
        <v>615.0</v>
      </c>
      <c r="F830" s="7">
        <v>830.0</v>
      </c>
      <c r="G830" s="52">
        <f>IFERROR(SUMIF(Issues!B:B, A830, Issues!H:H), 0)</f>
        <v>2300</v>
      </c>
      <c r="H830" s="52">
        <f>IFERROR(SUMIF(Returns!B:B, A830, Returns!H:H), 0)</f>
        <v>1470</v>
      </c>
      <c r="I830" s="52"/>
      <c r="J830" s="3">
        <v>6.0</v>
      </c>
      <c r="K830" s="3">
        <v>116.0</v>
      </c>
      <c r="L830" s="53">
        <f t="shared" si="10"/>
        <v>0</v>
      </c>
      <c r="M830" s="52">
        <f t="shared" si="6"/>
        <v>830</v>
      </c>
      <c r="N830" s="54">
        <f t="shared" si="7"/>
        <v>830</v>
      </c>
      <c r="O830" s="54">
        <f t="shared" si="8"/>
        <v>240.7</v>
      </c>
    </row>
    <row r="831" ht="22.5" customHeight="1">
      <c r="A831" s="15" t="s">
        <v>1049</v>
      </c>
      <c r="B831" s="13" t="s">
        <v>9</v>
      </c>
      <c r="C831" s="13">
        <v>80.0</v>
      </c>
      <c r="D831" s="15">
        <v>290.0</v>
      </c>
      <c r="E831" s="7">
        <v>14052.0</v>
      </c>
      <c r="F831" s="7">
        <v>14800.0</v>
      </c>
      <c r="G831" s="52">
        <f>IFERROR(SUMIF(Issues!B:B, A831, Issues!H:H), 0)</f>
        <v>15400</v>
      </c>
      <c r="H831" s="52">
        <f>IFERROR(SUMIF(Returns!B:B, A831, Returns!H:H), 0)</f>
        <v>600</v>
      </c>
      <c r="I831" s="52"/>
      <c r="J831" s="3">
        <v>2.0</v>
      </c>
      <c r="K831" s="3">
        <v>94.0</v>
      </c>
      <c r="L831" s="53">
        <f t="shared" si="10"/>
        <v>0</v>
      </c>
      <c r="M831" s="52">
        <f t="shared" si="6"/>
        <v>14800</v>
      </c>
      <c r="N831" s="54">
        <f t="shared" si="7"/>
        <v>14800</v>
      </c>
      <c r="O831" s="54">
        <f t="shared" si="8"/>
        <v>4292</v>
      </c>
    </row>
    <row r="832" ht="22.5" customHeight="1">
      <c r="A832" s="15" t="s">
        <v>1050</v>
      </c>
      <c r="B832" s="13" t="s">
        <v>9</v>
      </c>
      <c r="C832" s="13">
        <v>80.0</v>
      </c>
      <c r="D832" s="15">
        <v>210.0</v>
      </c>
      <c r="E832" s="7">
        <v>747.0</v>
      </c>
      <c r="F832" s="7">
        <v>925.0</v>
      </c>
      <c r="G832" s="52">
        <f>IFERROR(SUMIF(Issues!B:B, A832, Issues!H:H), 0)</f>
        <v>1000</v>
      </c>
      <c r="H832" s="52">
        <f>IFERROR(SUMIF(Returns!B:B, A832, Returns!H:H), 0)</f>
        <v>0</v>
      </c>
      <c r="I832" s="52"/>
      <c r="J832" s="3">
        <v>8.0</v>
      </c>
      <c r="K832" s="3">
        <v>94.0</v>
      </c>
      <c r="L832" s="53">
        <f t="shared" si="10"/>
        <v>0</v>
      </c>
      <c r="M832" s="52">
        <f t="shared" si="6"/>
        <v>1000</v>
      </c>
      <c r="N832" s="54">
        <f t="shared" si="7"/>
        <v>1000</v>
      </c>
      <c r="O832" s="54">
        <f t="shared" si="8"/>
        <v>210</v>
      </c>
    </row>
    <row r="833" ht="22.5" customHeight="1">
      <c r="A833" s="15" t="s">
        <v>1051</v>
      </c>
      <c r="B833" s="13" t="s">
        <v>9</v>
      </c>
      <c r="C833" s="13">
        <v>80.0</v>
      </c>
      <c r="D833" s="15">
        <v>320.0</v>
      </c>
      <c r="E833" s="7">
        <v>8818.0</v>
      </c>
      <c r="F833" s="7">
        <v>9230.0</v>
      </c>
      <c r="G833" s="52">
        <f>IFERROR(SUMIF(Issues!B:B, A833, Issues!H:H), 0)</f>
        <v>9500</v>
      </c>
      <c r="H833" s="52">
        <f>IFERROR(SUMIF(Returns!B:B, A833, Returns!H:H), 0)</f>
        <v>270</v>
      </c>
      <c r="I833" s="52"/>
      <c r="J833" s="3">
        <v>3.0</v>
      </c>
      <c r="K833" s="3">
        <v>75.0</v>
      </c>
      <c r="L833" s="53">
        <f t="shared" si="10"/>
        <v>0</v>
      </c>
      <c r="M833" s="52">
        <f t="shared" si="6"/>
        <v>9230</v>
      </c>
      <c r="N833" s="54">
        <f t="shared" si="7"/>
        <v>9230</v>
      </c>
      <c r="O833" s="54">
        <f t="shared" si="8"/>
        <v>2953.6</v>
      </c>
    </row>
    <row r="834" ht="22.5" customHeight="1">
      <c r="A834" s="15" t="s">
        <v>1052</v>
      </c>
      <c r="B834" s="13" t="s">
        <v>43</v>
      </c>
      <c r="C834" s="13">
        <v>50.0</v>
      </c>
      <c r="D834" s="15">
        <v>125.0</v>
      </c>
      <c r="E834" s="7">
        <v>880.0</v>
      </c>
      <c r="F834" s="7">
        <v>1241.0</v>
      </c>
      <c r="G834" s="52">
        <f>IFERROR(SUMIF(Issues!B:B, A834, Issues!H:H), 0)</f>
        <v>2850</v>
      </c>
      <c r="H834" s="52">
        <f>IFERROR(SUMIF(Returns!B:B, A834, Returns!H:H), 0)</f>
        <v>1600</v>
      </c>
      <c r="I834" s="52"/>
      <c r="J834" s="3">
        <v>4.0</v>
      </c>
      <c r="K834" s="3">
        <v>108.0</v>
      </c>
      <c r="L834" s="53">
        <f t="shared" si="10"/>
        <v>0</v>
      </c>
      <c r="M834" s="52">
        <f t="shared" si="6"/>
        <v>1250</v>
      </c>
      <c r="N834" s="54">
        <f t="shared" si="7"/>
        <v>1250</v>
      </c>
      <c r="O834" s="54">
        <f t="shared" si="8"/>
        <v>156.25</v>
      </c>
    </row>
    <row r="835" ht="22.5" customHeight="1">
      <c r="A835" s="15" t="s">
        <v>1053</v>
      </c>
      <c r="B835" s="13" t="s">
        <v>43</v>
      </c>
      <c r="C835" s="13">
        <v>50.0</v>
      </c>
      <c r="D835" s="15">
        <v>125.0</v>
      </c>
      <c r="E835" s="7">
        <v>880.0</v>
      </c>
      <c r="F835" s="7">
        <v>1126.0</v>
      </c>
      <c r="G835" s="52">
        <f>IFERROR(SUMIF(Issues!B:B, A835, Issues!H:H), 0)</f>
        <v>1600</v>
      </c>
      <c r="H835" s="52">
        <f>IFERROR(SUMIF(Returns!B:B, A835, Returns!H:H), 0)</f>
        <v>470</v>
      </c>
      <c r="I835" s="52"/>
      <c r="J835" s="3">
        <v>4.0</v>
      </c>
      <c r="K835" s="3">
        <v>108.0</v>
      </c>
      <c r="L835" s="53">
        <f t="shared" si="10"/>
        <v>0</v>
      </c>
      <c r="M835" s="52">
        <f t="shared" si="6"/>
        <v>1130</v>
      </c>
      <c r="N835" s="54">
        <f t="shared" si="7"/>
        <v>1130</v>
      </c>
      <c r="O835" s="54">
        <f t="shared" si="8"/>
        <v>141.25</v>
      </c>
    </row>
    <row r="836" ht="22.5" customHeight="1">
      <c r="A836" s="15" t="s">
        <v>1055</v>
      </c>
      <c r="B836" s="13" t="s">
        <v>9</v>
      </c>
      <c r="C836" s="13">
        <v>80.0</v>
      </c>
      <c r="D836" s="15">
        <v>300.0</v>
      </c>
      <c r="E836" s="7">
        <v>590.0</v>
      </c>
      <c r="F836" s="7">
        <v>730.0</v>
      </c>
      <c r="G836" s="52">
        <f>IFERROR(SUMIF(Issues!B:B, A836, Issues!H:H), 0)</f>
        <v>2000</v>
      </c>
      <c r="H836" s="52">
        <f>IFERROR(SUMIF(Returns!B:B, A836, Returns!H:H), 0)</f>
        <v>1270</v>
      </c>
      <c r="I836" s="52"/>
      <c r="J836" s="3">
        <v>6.0</v>
      </c>
      <c r="K836" s="3">
        <v>116.0</v>
      </c>
      <c r="L836" s="53">
        <f t="shared" si="10"/>
        <v>0</v>
      </c>
      <c r="M836" s="52">
        <f t="shared" si="6"/>
        <v>730</v>
      </c>
      <c r="N836" s="54">
        <f t="shared" si="7"/>
        <v>730</v>
      </c>
      <c r="O836" s="54">
        <f t="shared" si="8"/>
        <v>219</v>
      </c>
    </row>
    <row r="837" ht="22.5" customHeight="1">
      <c r="A837" s="15" t="s">
        <v>1056</v>
      </c>
      <c r="B837" s="13" t="s">
        <v>9</v>
      </c>
      <c r="C837" s="13">
        <v>80.0</v>
      </c>
      <c r="D837" s="15">
        <v>280.0</v>
      </c>
      <c r="E837" s="7">
        <v>439.0</v>
      </c>
      <c r="F837" s="7">
        <v>668.0</v>
      </c>
      <c r="G837" s="52">
        <f>IFERROR(SUMIF(Issues!B:B, A837, Issues!H:H), 0)</f>
        <v>2000</v>
      </c>
      <c r="H837" s="52">
        <f>IFERROR(SUMIF(Returns!B:B, A837, Returns!H:H), 0)</f>
        <v>1330</v>
      </c>
      <c r="I837" s="52"/>
      <c r="J837" s="3">
        <v>2.0</v>
      </c>
      <c r="K837" s="3">
        <v>92.0</v>
      </c>
      <c r="L837" s="53">
        <f t="shared" si="10"/>
        <v>0</v>
      </c>
      <c r="M837" s="52">
        <f t="shared" si="6"/>
        <v>670</v>
      </c>
      <c r="N837" s="54">
        <f t="shared" si="7"/>
        <v>670</v>
      </c>
      <c r="O837" s="54">
        <f t="shared" si="8"/>
        <v>187.6</v>
      </c>
    </row>
    <row r="838" ht="22.5" customHeight="1">
      <c r="A838" s="15" t="s">
        <v>1057</v>
      </c>
      <c r="B838" s="13" t="s">
        <v>9</v>
      </c>
      <c r="C838" s="13">
        <v>80.0</v>
      </c>
      <c r="D838" s="15">
        <v>210.0</v>
      </c>
      <c r="E838" s="7">
        <v>2482.0</v>
      </c>
      <c r="F838" s="7">
        <v>2876.0</v>
      </c>
      <c r="G838" s="52">
        <f>IFERROR(SUMIF(Issues!B:B, A838, Issues!H:H), 0)</f>
        <v>4300</v>
      </c>
      <c r="H838" s="52">
        <f>IFERROR(SUMIF(Returns!B:B, A838, Returns!H:H), 0)</f>
        <v>1420</v>
      </c>
      <c r="I838" s="52"/>
      <c r="J838" s="3">
        <v>2.0</v>
      </c>
      <c r="K838" s="3">
        <v>94.0</v>
      </c>
      <c r="L838" s="53">
        <f t="shared" si="10"/>
        <v>0</v>
      </c>
      <c r="M838" s="52">
        <f t="shared" si="6"/>
        <v>2880</v>
      </c>
      <c r="N838" s="54">
        <f t="shared" si="7"/>
        <v>2880</v>
      </c>
      <c r="O838" s="54">
        <f t="shared" si="8"/>
        <v>604.8</v>
      </c>
    </row>
    <row r="839" ht="22.5" customHeight="1">
      <c r="A839" s="15" t="s">
        <v>1058</v>
      </c>
      <c r="B839" s="13" t="s">
        <v>9</v>
      </c>
      <c r="C839" s="13">
        <v>80.0</v>
      </c>
      <c r="D839" s="15">
        <v>290.0</v>
      </c>
      <c r="E839" s="7">
        <v>2616.0</v>
      </c>
      <c r="F839" s="7">
        <v>2930.0</v>
      </c>
      <c r="G839" s="52">
        <f>IFERROR(SUMIF(Issues!B:B, A839, Issues!H:H), 0)</f>
        <v>3600</v>
      </c>
      <c r="H839" s="52">
        <f>IFERROR(SUMIF(Returns!B:B, A839, Returns!H:H), 0)</f>
        <v>670</v>
      </c>
      <c r="I839" s="52"/>
      <c r="J839" s="3">
        <v>2.0</v>
      </c>
      <c r="K839" s="3">
        <v>94.0</v>
      </c>
      <c r="L839" s="53">
        <f t="shared" si="10"/>
        <v>0</v>
      </c>
      <c r="M839" s="52">
        <f t="shared" si="6"/>
        <v>2930</v>
      </c>
      <c r="N839" s="54">
        <f t="shared" si="7"/>
        <v>2930</v>
      </c>
      <c r="O839" s="54">
        <f t="shared" si="8"/>
        <v>849.7</v>
      </c>
    </row>
    <row r="840" ht="22.5" customHeight="1">
      <c r="A840" s="15" t="s">
        <v>1059</v>
      </c>
      <c r="B840" s="13" t="s">
        <v>9</v>
      </c>
      <c r="C840" s="13">
        <v>80.0</v>
      </c>
      <c r="D840" s="15">
        <v>210.0</v>
      </c>
      <c r="E840" s="7">
        <v>5842.0</v>
      </c>
      <c r="F840" s="7">
        <v>6388.0</v>
      </c>
      <c r="G840" s="52">
        <f>IFERROR(SUMIF(Issues!B:B, A840, Issues!H:H), 0)</f>
        <v>7420</v>
      </c>
      <c r="H840" s="52">
        <f>IFERROR(SUMIF(Returns!B:B, A840, Returns!H:H), 0)</f>
        <v>1010</v>
      </c>
      <c r="I840" s="52"/>
      <c r="J840" s="3">
        <v>1.0</v>
      </c>
      <c r="K840" s="3">
        <v>112.0</v>
      </c>
      <c r="L840" s="53">
        <f t="shared" si="10"/>
        <v>0</v>
      </c>
      <c r="M840" s="52">
        <f t="shared" si="6"/>
        <v>6410</v>
      </c>
      <c r="N840" s="54">
        <f t="shared" si="7"/>
        <v>6410</v>
      </c>
      <c r="O840" s="54">
        <f t="shared" si="8"/>
        <v>1346.1</v>
      </c>
    </row>
    <row r="841" ht="22.5" customHeight="1">
      <c r="A841" s="15" t="s">
        <v>1060</v>
      </c>
      <c r="B841" s="13" t="s">
        <v>9</v>
      </c>
      <c r="C841" s="13">
        <v>80.0</v>
      </c>
      <c r="D841" s="15">
        <v>125.0</v>
      </c>
      <c r="E841" s="7">
        <v>859.0</v>
      </c>
      <c r="F841" s="7">
        <v>1200.0</v>
      </c>
      <c r="G841" s="52">
        <f>IFERROR(SUMIF(Issues!B:B, A841, Issues!H:H), 0)</f>
        <v>1200</v>
      </c>
      <c r="H841" s="52">
        <f>IFERROR(SUMIF(Returns!B:B, A841, Returns!H:H), 0)</f>
        <v>0</v>
      </c>
      <c r="I841" s="52"/>
      <c r="J841" s="3">
        <v>2.0</v>
      </c>
      <c r="K841" s="3">
        <v>108.0</v>
      </c>
      <c r="L841" s="53">
        <f t="shared" si="10"/>
        <v>0</v>
      </c>
      <c r="M841" s="52">
        <f t="shared" si="6"/>
        <v>1200</v>
      </c>
      <c r="N841" s="54">
        <f t="shared" si="7"/>
        <v>1200</v>
      </c>
      <c r="O841" s="54">
        <f t="shared" si="8"/>
        <v>150</v>
      </c>
    </row>
    <row r="842" ht="22.5" customHeight="1">
      <c r="A842" s="15" t="s">
        <v>1061</v>
      </c>
      <c r="B842" s="13" t="s">
        <v>9</v>
      </c>
      <c r="C842" s="13">
        <v>80.0</v>
      </c>
      <c r="D842" s="15">
        <v>125.0</v>
      </c>
      <c r="E842" s="7">
        <v>2576.0</v>
      </c>
      <c r="F842" s="7">
        <v>2896.0</v>
      </c>
      <c r="G842" s="52">
        <f>IFERROR(SUMIF(Issues!B:B, A842, Issues!H:H), 0)</f>
        <v>8000</v>
      </c>
      <c r="H842" s="52">
        <f>IFERROR(SUMIF(Returns!B:B, A842, Returns!H:H), 0)</f>
        <v>2200</v>
      </c>
      <c r="I842" s="52"/>
      <c r="J842" s="3">
        <v>2.0</v>
      </c>
      <c r="K842" s="3">
        <v>108.0</v>
      </c>
      <c r="L842" s="53">
        <f t="shared" si="10"/>
        <v>0</v>
      </c>
      <c r="M842" s="52">
        <f t="shared" si="6"/>
        <v>5800</v>
      </c>
      <c r="N842" s="54">
        <f t="shared" si="7"/>
        <v>5800</v>
      </c>
      <c r="O842" s="54">
        <f t="shared" si="8"/>
        <v>725</v>
      </c>
    </row>
    <row r="843" ht="22.5" customHeight="1">
      <c r="A843" s="15" t="s">
        <v>1063</v>
      </c>
      <c r="B843" s="13" t="s">
        <v>9</v>
      </c>
      <c r="C843" s="13">
        <v>80.0</v>
      </c>
      <c r="D843" s="15">
        <v>250.0</v>
      </c>
      <c r="E843" s="7">
        <v>239.0</v>
      </c>
      <c r="F843" s="7">
        <v>632.0</v>
      </c>
      <c r="G843" s="52">
        <f>IFERROR(SUMIF(Issues!B:B, A843, Issues!H:H), 0)</f>
        <v>800</v>
      </c>
      <c r="H843" s="52">
        <f>IFERROR(SUMIF(Returns!B:B, A843, Returns!H:H), 0)</f>
        <v>430</v>
      </c>
      <c r="I843" s="52"/>
      <c r="J843" s="3">
        <v>3.0</v>
      </c>
      <c r="K843" s="3">
        <v>75.0</v>
      </c>
      <c r="L843" s="53">
        <f t="shared" si="10"/>
        <v>0</v>
      </c>
      <c r="M843" s="52">
        <f t="shared" si="6"/>
        <v>370</v>
      </c>
      <c r="N843" s="54">
        <f t="shared" si="7"/>
        <v>370</v>
      </c>
      <c r="O843" s="54">
        <f t="shared" si="8"/>
        <v>92.5</v>
      </c>
    </row>
    <row r="844" ht="22.5" customHeight="1">
      <c r="A844" s="15" t="s">
        <v>1064</v>
      </c>
      <c r="B844" s="13" t="s">
        <v>9</v>
      </c>
      <c r="C844" s="13">
        <v>80.0</v>
      </c>
      <c r="D844" s="15">
        <v>125.0</v>
      </c>
      <c r="E844" s="7">
        <v>515.0</v>
      </c>
      <c r="F844" s="7">
        <v>694.0</v>
      </c>
      <c r="G844" s="52">
        <f>IFERROR(SUMIF(Issues!B:B, A844, Issues!H:H), 0)</f>
        <v>1100</v>
      </c>
      <c r="H844" s="52">
        <f>IFERROR(SUMIF(Returns!B:B, A844, Returns!H:H), 0)</f>
        <v>400</v>
      </c>
      <c r="I844" s="52"/>
      <c r="J844" s="3">
        <v>2.0</v>
      </c>
      <c r="K844" s="3">
        <v>108.0</v>
      </c>
      <c r="L844" s="53">
        <f t="shared" si="10"/>
        <v>0</v>
      </c>
      <c r="M844" s="52">
        <f t="shared" si="6"/>
        <v>700</v>
      </c>
      <c r="N844" s="54">
        <f t="shared" si="7"/>
        <v>700</v>
      </c>
      <c r="O844" s="54">
        <f t="shared" si="8"/>
        <v>87.5</v>
      </c>
    </row>
    <row r="845" ht="22.5" customHeight="1">
      <c r="A845" s="15" t="s">
        <v>1065</v>
      </c>
      <c r="B845" s="13" t="s">
        <v>9</v>
      </c>
      <c r="C845" s="13">
        <v>80.0</v>
      </c>
      <c r="D845" s="15">
        <v>180.0</v>
      </c>
      <c r="E845" s="7">
        <v>1366.0</v>
      </c>
      <c r="F845" s="7">
        <v>1507.0</v>
      </c>
      <c r="G845" s="52">
        <f>IFERROR(SUMIF(Issues!B:B, A845, Issues!H:H), 0)</f>
        <v>1507</v>
      </c>
      <c r="H845" s="52">
        <f>IFERROR(SUMIF(Returns!B:B, A845, Returns!H:H), 0)</f>
        <v>490</v>
      </c>
      <c r="I845" s="52"/>
      <c r="J845" s="3">
        <v>4.0</v>
      </c>
      <c r="K845" s="3">
        <v>75.0</v>
      </c>
      <c r="L845" s="53">
        <f t="shared" si="10"/>
        <v>0</v>
      </c>
      <c r="M845" s="52">
        <f t="shared" si="6"/>
        <v>1017</v>
      </c>
      <c r="N845" s="54">
        <f t="shared" si="7"/>
        <v>1017</v>
      </c>
      <c r="O845" s="54">
        <f t="shared" si="8"/>
        <v>183.06</v>
      </c>
    </row>
    <row r="846" ht="22.5" customHeight="1">
      <c r="A846" s="15" t="s">
        <v>1066</v>
      </c>
      <c r="B846" s="13" t="s">
        <v>9</v>
      </c>
      <c r="C846" s="13">
        <v>80.0</v>
      </c>
      <c r="D846" s="15">
        <v>150.0</v>
      </c>
      <c r="E846" s="7">
        <v>3669.0</v>
      </c>
      <c r="F846" s="7">
        <v>4420.0</v>
      </c>
      <c r="G846" s="52">
        <f>IFERROR(SUMIF(Issues!B:B, A846, Issues!H:H), 0)</f>
        <v>4450</v>
      </c>
      <c r="H846" s="52">
        <f>IFERROR(SUMIF(Returns!B:B, A846, Returns!H:H), 0)</f>
        <v>0</v>
      </c>
      <c r="I846" s="52"/>
      <c r="J846" s="3">
        <v>1.0</v>
      </c>
      <c r="K846" s="3">
        <v>112.0</v>
      </c>
      <c r="L846" s="53">
        <f t="shared" si="10"/>
        <v>0</v>
      </c>
      <c r="M846" s="52">
        <f t="shared" si="6"/>
        <v>4450</v>
      </c>
      <c r="N846" s="54">
        <f t="shared" si="7"/>
        <v>4450</v>
      </c>
      <c r="O846" s="54">
        <f t="shared" si="8"/>
        <v>667.5</v>
      </c>
    </row>
    <row r="847" ht="22.5" customHeight="1">
      <c r="A847" s="15" t="s">
        <v>1061</v>
      </c>
      <c r="B847" s="13" t="s">
        <v>9</v>
      </c>
      <c r="C847" s="13">
        <v>80.0</v>
      </c>
      <c r="D847" s="15">
        <v>125.0</v>
      </c>
      <c r="E847" s="7">
        <v>2576.0</v>
      </c>
      <c r="F847" s="7">
        <v>2896.0</v>
      </c>
      <c r="G847" s="52">
        <f>IFERROR(SUMIF(Issues!B:B, A847, Issues!H:H), 0)</f>
        <v>8000</v>
      </c>
      <c r="H847" s="52">
        <f>IFERROR(SUMIF(Returns!B:B, A847, Returns!H:H), 0)</f>
        <v>2200</v>
      </c>
      <c r="I847" s="52"/>
      <c r="J847" s="3">
        <v>2.0</v>
      </c>
      <c r="K847" s="3">
        <v>108.0</v>
      </c>
      <c r="L847" s="53">
        <f t="shared" si="10"/>
        <v>0</v>
      </c>
      <c r="M847" s="52">
        <f t="shared" si="6"/>
        <v>5800</v>
      </c>
      <c r="N847" s="54">
        <f t="shared" si="7"/>
        <v>5800</v>
      </c>
      <c r="O847" s="54">
        <f t="shared" si="8"/>
        <v>725</v>
      </c>
    </row>
    <row r="848" ht="22.5" customHeight="1">
      <c r="A848" s="15" t="s">
        <v>1067</v>
      </c>
      <c r="B848" s="13" t="s">
        <v>9</v>
      </c>
      <c r="C848" s="13">
        <v>80.0</v>
      </c>
      <c r="D848" s="15">
        <v>230.0</v>
      </c>
      <c r="E848" s="7">
        <v>3435.0</v>
      </c>
      <c r="F848" s="7">
        <v>3765.0</v>
      </c>
      <c r="G848" s="52">
        <f>IFERROR(SUMIF(Issues!B:B, A848, Issues!H:H), 0)</f>
        <v>5000</v>
      </c>
      <c r="H848" s="52">
        <f>IFERROR(SUMIF(Returns!B:B, A848, Returns!H:H), 0)</f>
        <v>1230</v>
      </c>
      <c r="I848" s="52"/>
      <c r="J848" s="3">
        <v>2.0</v>
      </c>
      <c r="K848" s="3">
        <v>108.0</v>
      </c>
      <c r="L848" s="53">
        <f t="shared" si="10"/>
        <v>0</v>
      </c>
      <c r="M848" s="52">
        <f t="shared" si="6"/>
        <v>3770</v>
      </c>
      <c r="N848" s="54">
        <f t="shared" si="7"/>
        <v>3770</v>
      </c>
      <c r="O848" s="54">
        <f t="shared" si="8"/>
        <v>867.1</v>
      </c>
    </row>
    <row r="849" ht="22.5" customHeight="1">
      <c r="A849" s="15" t="s">
        <v>1068</v>
      </c>
      <c r="B849" s="13" t="s">
        <v>9</v>
      </c>
      <c r="C849" s="13">
        <v>80.0</v>
      </c>
      <c r="D849" s="15">
        <v>395.0</v>
      </c>
      <c r="E849" s="7">
        <v>1031.0</v>
      </c>
      <c r="F849" s="7">
        <v>1180.0</v>
      </c>
      <c r="G849" s="52">
        <f>IFERROR(SUMIF(Issues!B:B, A849, Issues!H:H), 0)</f>
        <v>1600</v>
      </c>
      <c r="H849" s="52">
        <f>IFERROR(SUMIF(Returns!B:B, A849, Returns!H:H), 0)</f>
        <v>420</v>
      </c>
      <c r="I849" s="52"/>
      <c r="J849" s="3">
        <v>4.0</v>
      </c>
      <c r="K849" s="3">
        <v>99.0</v>
      </c>
      <c r="L849" s="53">
        <f t="shared" si="10"/>
        <v>0</v>
      </c>
      <c r="M849" s="52">
        <f t="shared" si="6"/>
        <v>1180</v>
      </c>
      <c r="N849" s="54">
        <f t="shared" si="7"/>
        <v>1180</v>
      </c>
      <c r="O849" s="54">
        <f t="shared" si="8"/>
        <v>466.1</v>
      </c>
    </row>
    <row r="850" ht="22.5" customHeight="1">
      <c r="A850" s="15" t="s">
        <v>1069</v>
      </c>
      <c r="B850" s="13" t="s">
        <v>65</v>
      </c>
      <c r="C850" s="13">
        <v>40.0</v>
      </c>
      <c r="D850" s="15">
        <v>650.0</v>
      </c>
      <c r="E850" s="7">
        <v>2099.0</v>
      </c>
      <c r="F850" s="7">
        <v>4300.0</v>
      </c>
      <c r="G850" s="52">
        <f>IFERROR(SUMIF(Issues!B:B, A850, Issues!H:H), 0)</f>
        <v>6600</v>
      </c>
      <c r="H850" s="52">
        <f>IFERROR(SUMIF(Returns!B:B, A850, Returns!H:H), 0)</f>
        <v>2300</v>
      </c>
      <c r="I850" s="52"/>
      <c r="J850" s="3">
        <v>2.0</v>
      </c>
      <c r="K850" s="3">
        <v>108.0</v>
      </c>
      <c r="L850" s="53">
        <f t="shared" si="10"/>
        <v>0</v>
      </c>
      <c r="M850" s="52">
        <f t="shared" si="6"/>
        <v>4300</v>
      </c>
      <c r="N850" s="54">
        <f t="shared" si="7"/>
        <v>4300</v>
      </c>
      <c r="O850" s="54">
        <f t="shared" si="8"/>
        <v>2795</v>
      </c>
    </row>
    <row r="851" ht="22.5" customHeight="1">
      <c r="A851" s="15" t="s">
        <v>1070</v>
      </c>
      <c r="B851" s="13" t="s">
        <v>65</v>
      </c>
      <c r="C851" s="13">
        <v>40.0</v>
      </c>
      <c r="D851" s="15">
        <v>240.0</v>
      </c>
      <c r="E851" s="7">
        <v>525.0</v>
      </c>
      <c r="F851" s="7">
        <v>800.0</v>
      </c>
      <c r="G851" s="52">
        <f>IFERROR(SUMIF(Issues!B:B, A851, Issues!H:H), 0)</f>
        <v>2900</v>
      </c>
      <c r="H851" s="52">
        <f>IFERROR(SUMIF(Returns!B:B, A851, Returns!H:H), 0)</f>
        <v>1680</v>
      </c>
      <c r="I851" s="52"/>
      <c r="J851" s="3">
        <v>4.0</v>
      </c>
      <c r="K851" s="3">
        <v>66.0</v>
      </c>
      <c r="L851" s="53">
        <f t="shared" si="10"/>
        <v>0</v>
      </c>
      <c r="M851" s="52">
        <f t="shared" si="6"/>
        <v>1220</v>
      </c>
      <c r="N851" s="54">
        <f t="shared" si="7"/>
        <v>1220</v>
      </c>
      <c r="O851" s="54">
        <f t="shared" si="8"/>
        <v>292.8</v>
      </c>
    </row>
    <row r="852" ht="22.5" customHeight="1">
      <c r="A852" s="15" t="s">
        <v>1071</v>
      </c>
      <c r="B852" s="13" t="s">
        <v>9</v>
      </c>
      <c r="C852" s="13">
        <v>80.0</v>
      </c>
      <c r="D852" s="15">
        <v>150.0</v>
      </c>
      <c r="E852" s="7">
        <v>1718.0</v>
      </c>
      <c r="F852" s="7">
        <v>1942.0</v>
      </c>
      <c r="G852" s="52">
        <f>IFERROR(SUMIF(Issues!B:B, A852, Issues!H:H), 0)</f>
        <v>2430</v>
      </c>
      <c r="H852" s="52">
        <f>IFERROR(SUMIF(Returns!B:B, A852, Returns!H:H), 0)</f>
        <v>480</v>
      </c>
      <c r="I852" s="52"/>
      <c r="J852" s="3">
        <v>1.0</v>
      </c>
      <c r="K852" s="3">
        <v>180.0</v>
      </c>
      <c r="L852" s="53">
        <f t="shared" si="10"/>
        <v>0</v>
      </c>
      <c r="M852" s="52">
        <f t="shared" si="6"/>
        <v>1950</v>
      </c>
      <c r="N852" s="54">
        <f t="shared" si="7"/>
        <v>1950</v>
      </c>
      <c r="O852" s="54">
        <f t="shared" si="8"/>
        <v>292.5</v>
      </c>
    </row>
    <row r="853" ht="22.5" customHeight="1">
      <c r="A853" s="15" t="s">
        <v>1072</v>
      </c>
      <c r="B853" s="13" t="s">
        <v>9</v>
      </c>
      <c r="C853" s="13">
        <v>80.0</v>
      </c>
      <c r="D853" s="15">
        <v>150.0</v>
      </c>
      <c r="E853" s="7">
        <v>573.0</v>
      </c>
      <c r="F853" s="7">
        <v>805.0</v>
      </c>
      <c r="G853" s="52">
        <f>IFERROR(SUMIF(Issues!B:B, A853, Issues!H:H), 0)</f>
        <v>1680</v>
      </c>
      <c r="H853" s="52">
        <f>IFERROR(SUMIF(Returns!B:B, A853, Returns!H:H), 0)</f>
        <v>870</v>
      </c>
      <c r="I853" s="52"/>
      <c r="J853" s="3">
        <v>1.0</v>
      </c>
      <c r="K853" s="3">
        <v>180.0</v>
      </c>
      <c r="L853" s="53">
        <f t="shared" si="10"/>
        <v>0</v>
      </c>
      <c r="M853" s="52">
        <f t="shared" si="6"/>
        <v>810</v>
      </c>
      <c r="N853" s="54">
        <f t="shared" si="7"/>
        <v>810</v>
      </c>
      <c r="O853" s="54">
        <f t="shared" si="8"/>
        <v>121.5</v>
      </c>
    </row>
    <row r="854" ht="22.5" customHeight="1">
      <c r="A854" s="15" t="s">
        <v>1070</v>
      </c>
      <c r="B854" s="13" t="s">
        <v>9</v>
      </c>
      <c r="C854" s="13">
        <v>80.0</v>
      </c>
      <c r="D854" s="15">
        <v>180.0</v>
      </c>
      <c r="E854" s="7">
        <v>252.0</v>
      </c>
      <c r="F854" s="7">
        <v>415.0</v>
      </c>
      <c r="G854" s="52">
        <f>IFERROR(SUMIF(Issues!B:B, A854, Issues!H:H), 0)</f>
        <v>2900</v>
      </c>
      <c r="H854" s="52">
        <f>IFERROR(SUMIF(Returns!B:B, A854, Returns!H:H), 0)</f>
        <v>1680</v>
      </c>
      <c r="I854" s="52"/>
      <c r="J854" s="3">
        <v>2.0</v>
      </c>
      <c r="K854" s="3">
        <v>132.0</v>
      </c>
      <c r="L854" s="53">
        <f t="shared" si="10"/>
        <v>0</v>
      </c>
      <c r="M854" s="52">
        <f t="shared" si="6"/>
        <v>1220</v>
      </c>
      <c r="N854" s="54">
        <f t="shared" si="7"/>
        <v>1220</v>
      </c>
      <c r="O854" s="54">
        <f t="shared" si="8"/>
        <v>219.6</v>
      </c>
    </row>
    <row r="855" ht="22.5" customHeight="1">
      <c r="A855" s="15" t="s">
        <v>1073</v>
      </c>
      <c r="B855" s="13" t="s">
        <v>9</v>
      </c>
      <c r="C855" s="13">
        <v>80.0</v>
      </c>
      <c r="D855" s="15">
        <v>160.0</v>
      </c>
      <c r="E855" s="7">
        <v>1845.0</v>
      </c>
      <c r="F855" s="7">
        <v>2200.0</v>
      </c>
      <c r="G855" s="52">
        <f>IFERROR(SUMIF(Issues!B:B, A855, Issues!H:H), 0)</f>
        <v>2350</v>
      </c>
      <c r="H855" s="52">
        <f>IFERROR(SUMIF(Returns!B:B, A855, Returns!H:H), 0)</f>
        <v>150</v>
      </c>
      <c r="I855" s="52"/>
      <c r="J855" s="3">
        <v>4.0</v>
      </c>
      <c r="K855" s="3">
        <v>116.0</v>
      </c>
      <c r="L855" s="53">
        <f t="shared" si="10"/>
        <v>0</v>
      </c>
      <c r="M855" s="52">
        <f t="shared" si="6"/>
        <v>2200</v>
      </c>
      <c r="N855" s="54">
        <f t="shared" si="7"/>
        <v>2200</v>
      </c>
      <c r="O855" s="54">
        <f t="shared" si="8"/>
        <v>352</v>
      </c>
    </row>
    <row r="856" ht="22.5" customHeight="1">
      <c r="A856" s="15" t="s">
        <v>1074</v>
      </c>
      <c r="B856" s="13" t="s">
        <v>9</v>
      </c>
      <c r="C856" s="13">
        <v>80.0</v>
      </c>
      <c r="D856" s="15">
        <v>300.0</v>
      </c>
      <c r="E856" s="7">
        <v>1224.0</v>
      </c>
      <c r="F856" s="7">
        <v>1490.0</v>
      </c>
      <c r="G856" s="52">
        <f>IFERROR(SUMIF(Issues!B:B, A856, Issues!H:H), 0)</f>
        <v>2300</v>
      </c>
      <c r="H856" s="52">
        <f>IFERROR(SUMIF(Returns!B:B, A856, Returns!H:H), 0)</f>
        <v>810</v>
      </c>
      <c r="I856" s="52"/>
      <c r="J856" s="3">
        <v>6.0</v>
      </c>
      <c r="K856" s="3">
        <v>116.0</v>
      </c>
      <c r="L856" s="53">
        <f t="shared" si="10"/>
        <v>0</v>
      </c>
      <c r="M856" s="52">
        <f t="shared" si="6"/>
        <v>1490</v>
      </c>
      <c r="N856" s="54">
        <f t="shared" si="7"/>
        <v>1490</v>
      </c>
      <c r="O856" s="54">
        <f t="shared" si="8"/>
        <v>447</v>
      </c>
    </row>
    <row r="857" ht="22.5" customHeight="1">
      <c r="A857" s="15" t="s">
        <v>1075</v>
      </c>
      <c r="B857" s="13" t="s">
        <v>9</v>
      </c>
      <c r="C857" s="13">
        <v>80.0</v>
      </c>
      <c r="D857" s="15">
        <v>320.0</v>
      </c>
      <c r="E857" s="7">
        <v>676.0</v>
      </c>
      <c r="F857" s="7">
        <v>906.0</v>
      </c>
      <c r="G857" s="52">
        <f>IFERROR(SUMIF(Issues!B:B, A857, Issues!H:H), 0)</f>
        <v>1010</v>
      </c>
      <c r="H857" s="52">
        <f>IFERROR(SUMIF(Returns!B:B, A857, Returns!H:H), 0)</f>
        <v>100</v>
      </c>
      <c r="I857" s="52"/>
      <c r="J857" s="3">
        <v>6.0</v>
      </c>
      <c r="K857" s="3">
        <v>116.0</v>
      </c>
      <c r="L857" s="53">
        <f t="shared" si="10"/>
        <v>0</v>
      </c>
      <c r="M857" s="52">
        <f t="shared" si="6"/>
        <v>910</v>
      </c>
      <c r="N857" s="54">
        <f t="shared" si="7"/>
        <v>910</v>
      </c>
      <c r="O857" s="54">
        <f t="shared" si="8"/>
        <v>291.2</v>
      </c>
    </row>
    <row r="858" ht="22.5" customHeight="1">
      <c r="A858" s="15" t="s">
        <v>1076</v>
      </c>
      <c r="B858" s="13" t="s">
        <v>43</v>
      </c>
      <c r="C858" s="13">
        <v>50.0</v>
      </c>
      <c r="D858" s="15">
        <v>125.0</v>
      </c>
      <c r="E858" s="7">
        <v>880.0</v>
      </c>
      <c r="F858" s="7">
        <v>1119.0</v>
      </c>
      <c r="G858" s="52">
        <f>IFERROR(SUMIF(Issues!B:B, A858, Issues!H:H), 0)</f>
        <v>2150</v>
      </c>
      <c r="H858" s="52">
        <f>IFERROR(SUMIF(Returns!B:B, A858, Returns!H:H), 0)</f>
        <v>1030</v>
      </c>
      <c r="I858" s="52"/>
      <c r="J858" s="3">
        <v>4.0</v>
      </c>
      <c r="K858" s="3">
        <v>108.0</v>
      </c>
      <c r="L858" s="53">
        <f t="shared" si="10"/>
        <v>0</v>
      </c>
      <c r="M858" s="52">
        <f t="shared" si="6"/>
        <v>1120</v>
      </c>
      <c r="N858" s="54">
        <f t="shared" si="7"/>
        <v>1120</v>
      </c>
      <c r="O858" s="54">
        <f t="shared" si="8"/>
        <v>140</v>
      </c>
    </row>
    <row r="859" ht="22.5" customHeight="1">
      <c r="A859" s="15" t="s">
        <v>1077</v>
      </c>
      <c r="B859" s="13" t="s">
        <v>43</v>
      </c>
      <c r="C859" s="13">
        <v>50.0</v>
      </c>
      <c r="D859" s="15">
        <v>125.0</v>
      </c>
      <c r="E859" s="7">
        <v>880.0</v>
      </c>
      <c r="F859" s="7">
        <v>1111.0</v>
      </c>
      <c r="G859" s="52">
        <f>IFERROR(SUMIF(Issues!B:B, A859, Issues!H:H), 0)</f>
        <v>3180</v>
      </c>
      <c r="H859" s="52">
        <f>IFERROR(SUMIF(Returns!B:B, A859, Returns!H:H), 0)</f>
        <v>2060</v>
      </c>
      <c r="I859" s="52"/>
      <c r="J859" s="3">
        <v>4.0</v>
      </c>
      <c r="K859" s="3">
        <v>108.0</v>
      </c>
      <c r="L859" s="53">
        <f t="shared" si="10"/>
        <v>0</v>
      </c>
      <c r="M859" s="52">
        <f t="shared" si="6"/>
        <v>1120</v>
      </c>
      <c r="N859" s="54">
        <f t="shared" si="7"/>
        <v>1120</v>
      </c>
      <c r="O859" s="54">
        <f t="shared" si="8"/>
        <v>140</v>
      </c>
    </row>
    <row r="860" ht="22.5" customHeight="1">
      <c r="A860" s="15" t="s">
        <v>1078</v>
      </c>
      <c r="B860" s="13" t="s">
        <v>43</v>
      </c>
      <c r="C860" s="13">
        <v>50.0</v>
      </c>
      <c r="D860" s="15">
        <v>125.0</v>
      </c>
      <c r="E860" s="7">
        <v>794.0</v>
      </c>
      <c r="F860" s="7">
        <v>1100.0</v>
      </c>
      <c r="G860" s="52">
        <f>IFERROR(SUMIF(Issues!B:B, A860, Issues!H:H), 0)</f>
        <v>2060</v>
      </c>
      <c r="H860" s="52">
        <f>IFERROR(SUMIF(Returns!B:B, A860, Returns!H:H), 0)</f>
        <v>960</v>
      </c>
      <c r="I860" s="52"/>
      <c r="J860" s="3">
        <v>4.0</v>
      </c>
      <c r="K860" s="3">
        <v>108.0</v>
      </c>
      <c r="L860" s="53">
        <f t="shared" si="10"/>
        <v>0</v>
      </c>
      <c r="M860" s="52">
        <f t="shared" si="6"/>
        <v>1100</v>
      </c>
      <c r="N860" s="54">
        <f t="shared" si="7"/>
        <v>1100</v>
      </c>
      <c r="O860" s="54">
        <f t="shared" si="8"/>
        <v>137.5</v>
      </c>
    </row>
    <row r="861" ht="22.5" customHeight="1">
      <c r="A861" s="15" t="s">
        <v>970</v>
      </c>
      <c r="B861" s="13" t="s">
        <v>9</v>
      </c>
      <c r="C861" s="13">
        <v>80.0</v>
      </c>
      <c r="D861" s="15">
        <v>185.0</v>
      </c>
      <c r="E861" s="7">
        <v>573.0</v>
      </c>
      <c r="F861" s="7">
        <v>730.0</v>
      </c>
      <c r="G861" s="52">
        <f>IFERROR(SUMIF(Issues!B:B, A861, Issues!H:H), 0)</f>
        <v>11250</v>
      </c>
      <c r="H861" s="52">
        <f>IFERROR(SUMIF(Returns!B:B, A861, Returns!H:H), 0)</f>
        <v>1590</v>
      </c>
      <c r="I861" s="52"/>
      <c r="J861" s="3">
        <v>6.0</v>
      </c>
      <c r="K861" s="3">
        <v>72.0</v>
      </c>
      <c r="L861" s="53">
        <f t="shared" si="10"/>
        <v>0</v>
      </c>
      <c r="M861" s="52">
        <f t="shared" si="6"/>
        <v>9660</v>
      </c>
      <c r="N861" s="54">
        <f t="shared" si="7"/>
        <v>9660</v>
      </c>
      <c r="O861" s="54">
        <f t="shared" si="8"/>
        <v>1787.1</v>
      </c>
    </row>
    <row r="862" ht="22.5" customHeight="1">
      <c r="A862" s="15" t="s">
        <v>955</v>
      </c>
      <c r="B862" s="13" t="s">
        <v>9</v>
      </c>
      <c r="C862" s="13">
        <v>80.0</v>
      </c>
      <c r="D862" s="15">
        <v>185.0</v>
      </c>
      <c r="E862" s="7">
        <v>573.0</v>
      </c>
      <c r="F862" s="7">
        <v>885.0</v>
      </c>
      <c r="G862" s="52">
        <f>IFERROR(SUMIF(Issues!B:B, A862, Issues!H:H), 0)</f>
        <v>7890</v>
      </c>
      <c r="H862" s="52">
        <f>IFERROR(SUMIF(Returns!B:B, A862, Returns!H:H), 0)</f>
        <v>1750</v>
      </c>
      <c r="I862" s="52"/>
      <c r="J862" s="3">
        <v>6.0</v>
      </c>
      <c r="K862" s="3">
        <v>72.0</v>
      </c>
      <c r="L862" s="53">
        <f t="shared" si="10"/>
        <v>0</v>
      </c>
      <c r="M862" s="52">
        <f t="shared" si="6"/>
        <v>6140</v>
      </c>
      <c r="N862" s="54">
        <f t="shared" si="7"/>
        <v>6140</v>
      </c>
      <c r="O862" s="54">
        <f t="shared" si="8"/>
        <v>1135.9</v>
      </c>
    </row>
    <row r="863" ht="22.5" customHeight="1">
      <c r="A863" s="15" t="s">
        <v>1079</v>
      </c>
      <c r="B863" s="13" t="s">
        <v>43</v>
      </c>
      <c r="C863" s="13">
        <v>50.0</v>
      </c>
      <c r="D863" s="15">
        <v>125.0</v>
      </c>
      <c r="E863" s="7">
        <v>104.0</v>
      </c>
      <c r="F863" s="7">
        <v>423.0</v>
      </c>
      <c r="G863" s="52">
        <f>IFERROR(SUMIF(Issues!B:B, A863, Issues!H:H), 0)</f>
        <v>960</v>
      </c>
      <c r="H863" s="52">
        <f>IFERROR(SUMIF(Returns!B:B, A863, Returns!H:H), 0)</f>
        <v>530</v>
      </c>
      <c r="I863" s="52"/>
      <c r="J863" s="3">
        <v>3.0</v>
      </c>
      <c r="K863" s="3">
        <v>89.0</v>
      </c>
      <c r="L863" s="53">
        <f t="shared" si="10"/>
        <v>0</v>
      </c>
      <c r="M863" s="52">
        <f t="shared" si="6"/>
        <v>430</v>
      </c>
      <c r="N863" s="54">
        <f t="shared" si="7"/>
        <v>430</v>
      </c>
      <c r="O863" s="54">
        <f t="shared" si="8"/>
        <v>53.75</v>
      </c>
    </row>
    <row r="864" ht="22.5" customHeight="1">
      <c r="A864" s="15" t="s">
        <v>1080</v>
      </c>
      <c r="B864" s="13" t="s">
        <v>9</v>
      </c>
      <c r="C864" s="13">
        <v>80.0</v>
      </c>
      <c r="D864" s="15">
        <v>280.0</v>
      </c>
      <c r="E864" s="7">
        <v>439.0</v>
      </c>
      <c r="F864" s="7">
        <v>565.0</v>
      </c>
      <c r="G864" s="52">
        <f>IFERROR(SUMIF(Issues!B:B, A864, Issues!H:H), 0)</f>
        <v>620</v>
      </c>
      <c r="H864" s="52">
        <f>IFERROR(SUMIF(Returns!B:B, A864, Returns!H:H), 0)</f>
        <v>0</v>
      </c>
      <c r="I864" s="52"/>
      <c r="J864" s="3">
        <v>2.0</v>
      </c>
      <c r="K864" s="3">
        <v>92.0</v>
      </c>
      <c r="L864" s="53">
        <f t="shared" si="10"/>
        <v>0</v>
      </c>
      <c r="M864" s="52">
        <f t="shared" si="6"/>
        <v>620</v>
      </c>
      <c r="N864" s="54">
        <f t="shared" si="7"/>
        <v>620</v>
      </c>
      <c r="O864" s="54">
        <f t="shared" si="8"/>
        <v>173.6</v>
      </c>
    </row>
    <row r="865" ht="22.5" customHeight="1">
      <c r="A865" s="15" t="s">
        <v>1081</v>
      </c>
      <c r="B865" s="13" t="s">
        <v>9</v>
      </c>
      <c r="C865" s="13">
        <v>80.0</v>
      </c>
      <c r="D865" s="15">
        <v>125.0</v>
      </c>
      <c r="E865" s="7">
        <v>412.0</v>
      </c>
      <c r="F865" s="7">
        <v>602.0</v>
      </c>
      <c r="G865" s="52">
        <f>IFERROR(SUMIF(Issues!B:B, A865, Issues!H:H), 0)</f>
        <v>2040</v>
      </c>
      <c r="H865" s="52">
        <f>IFERROR(SUMIF(Returns!B:B, A865, Returns!H:H), 0)</f>
        <v>1430</v>
      </c>
      <c r="I865" s="52"/>
      <c r="J865" s="3">
        <v>2.0</v>
      </c>
      <c r="K865" s="3">
        <v>108.0</v>
      </c>
      <c r="L865" s="53">
        <f t="shared" si="10"/>
        <v>0</v>
      </c>
      <c r="M865" s="52">
        <f t="shared" si="6"/>
        <v>610</v>
      </c>
      <c r="N865" s="54">
        <f t="shared" si="7"/>
        <v>610</v>
      </c>
      <c r="O865" s="54">
        <f t="shared" si="8"/>
        <v>76.25</v>
      </c>
    </row>
    <row r="866" ht="22.5" customHeight="1">
      <c r="A866" s="15" t="s">
        <v>1082</v>
      </c>
      <c r="B866" s="13" t="s">
        <v>9</v>
      </c>
      <c r="C866" s="13">
        <v>80.0</v>
      </c>
      <c r="D866" s="15">
        <v>280.0</v>
      </c>
      <c r="E866" s="7">
        <v>439.0</v>
      </c>
      <c r="F866" s="7">
        <v>674.0</v>
      </c>
      <c r="G866" s="52">
        <f>IFERROR(SUMIF(Issues!B:B, A866, Issues!H:H), 0)</f>
        <v>1300</v>
      </c>
      <c r="H866" s="52">
        <f>IFERROR(SUMIF(Returns!B:B, A866, Returns!H:H), 0)</f>
        <v>620</v>
      </c>
      <c r="I866" s="52"/>
      <c r="J866" s="3">
        <v>2.0</v>
      </c>
      <c r="K866" s="3">
        <v>92.0</v>
      </c>
      <c r="L866" s="53">
        <f t="shared" si="10"/>
        <v>0</v>
      </c>
      <c r="M866" s="52">
        <f t="shared" si="6"/>
        <v>680</v>
      </c>
      <c r="N866" s="54">
        <f t="shared" si="7"/>
        <v>680</v>
      </c>
      <c r="O866" s="54">
        <f t="shared" si="8"/>
        <v>190.4</v>
      </c>
    </row>
    <row r="867" ht="22.5" customHeight="1">
      <c r="A867" s="15" t="s">
        <v>1083</v>
      </c>
      <c r="B867" s="13" t="s">
        <v>54</v>
      </c>
      <c r="C867" s="13">
        <v>40.0</v>
      </c>
      <c r="D867" s="15">
        <v>200.0</v>
      </c>
      <c r="E867" s="7">
        <v>1193.0</v>
      </c>
      <c r="F867" s="7">
        <v>1700.0</v>
      </c>
      <c r="G867" s="52">
        <f>IFERROR(SUMIF(Issues!B:B, A867, Issues!H:H), 0)</f>
        <v>2000</v>
      </c>
      <c r="H867" s="52">
        <f>IFERROR(SUMIF(Returns!B:B, A867, Returns!H:H), 0)</f>
        <v>300</v>
      </c>
      <c r="I867" s="52"/>
      <c r="J867" s="3">
        <v>2.0</v>
      </c>
      <c r="K867" s="3">
        <v>75.0</v>
      </c>
      <c r="L867" s="53">
        <f t="shared" si="10"/>
        <v>0</v>
      </c>
      <c r="M867" s="52">
        <f t="shared" si="6"/>
        <v>1700</v>
      </c>
      <c r="N867" s="54">
        <f t="shared" si="7"/>
        <v>1700</v>
      </c>
      <c r="O867" s="54">
        <f t="shared" si="8"/>
        <v>340</v>
      </c>
    </row>
    <row r="868" ht="22.5" customHeight="1">
      <c r="A868" s="15" t="s">
        <v>1084</v>
      </c>
      <c r="B868" s="13" t="s">
        <v>9</v>
      </c>
      <c r="C868" s="13">
        <v>80.0</v>
      </c>
      <c r="D868" s="15">
        <v>160.0</v>
      </c>
      <c r="E868" s="7">
        <v>1132.0</v>
      </c>
      <c r="F868" s="7">
        <v>1393.0</v>
      </c>
      <c r="G868" s="52">
        <f>IFERROR(SUMIF(Issues!B:B, A868, Issues!H:H), 0)</f>
        <v>1480</v>
      </c>
      <c r="H868" s="52">
        <f>IFERROR(SUMIF(Returns!B:B, A868, Returns!H:H), 0)</f>
        <v>80</v>
      </c>
      <c r="I868" s="52"/>
      <c r="J868" s="3">
        <v>1.0</v>
      </c>
      <c r="K868" s="3">
        <v>89.0</v>
      </c>
      <c r="L868" s="53">
        <f t="shared" si="10"/>
        <v>0</v>
      </c>
      <c r="M868" s="52">
        <f t="shared" si="6"/>
        <v>1400</v>
      </c>
      <c r="N868" s="54">
        <f t="shared" si="7"/>
        <v>1400</v>
      </c>
      <c r="O868" s="54">
        <f t="shared" si="8"/>
        <v>224</v>
      </c>
    </row>
    <row r="869" ht="22.5" customHeight="1">
      <c r="A869" s="15" t="s">
        <v>1085</v>
      </c>
      <c r="B869" s="13" t="s">
        <v>9</v>
      </c>
      <c r="C869" s="13">
        <v>80.0</v>
      </c>
      <c r="D869" s="15">
        <v>230.0</v>
      </c>
      <c r="E869" s="7">
        <v>526.0</v>
      </c>
      <c r="F869" s="7">
        <v>707.0</v>
      </c>
      <c r="G869" s="52">
        <f>IFERROR(SUMIF(Issues!B:B, A869, Issues!H:H), 0)</f>
        <v>1200</v>
      </c>
      <c r="H869" s="52">
        <f>IFERROR(SUMIF(Returns!B:B, A869, Returns!H:H), 0)</f>
        <v>490</v>
      </c>
      <c r="I869" s="52"/>
      <c r="J869" s="3">
        <v>6.0</v>
      </c>
      <c r="K869" s="3">
        <v>124.0</v>
      </c>
      <c r="L869" s="53">
        <f t="shared" si="10"/>
        <v>0</v>
      </c>
      <c r="M869" s="52">
        <f t="shared" si="6"/>
        <v>710</v>
      </c>
      <c r="N869" s="54">
        <f t="shared" si="7"/>
        <v>710</v>
      </c>
      <c r="O869" s="54">
        <f t="shared" si="8"/>
        <v>163.3</v>
      </c>
    </row>
    <row r="870" ht="22.5" customHeight="1">
      <c r="A870" s="15" t="s">
        <v>1086</v>
      </c>
      <c r="B870" s="13" t="s">
        <v>9</v>
      </c>
      <c r="C870" s="13">
        <v>80.0</v>
      </c>
      <c r="D870" s="15">
        <v>140.0</v>
      </c>
      <c r="E870" s="7">
        <v>146.0</v>
      </c>
      <c r="F870" s="7">
        <v>339.0</v>
      </c>
      <c r="G870" s="52">
        <f>IFERROR(SUMIF(Issues!B:B, A870, Issues!H:H), 0)</f>
        <v>500</v>
      </c>
      <c r="H870" s="52">
        <f>IFERROR(SUMIF(Returns!B:B, A870, Returns!H:H), 0)</f>
        <v>170</v>
      </c>
      <c r="I870" s="52"/>
      <c r="J870" s="3">
        <v>4.0</v>
      </c>
      <c r="K870" s="3">
        <v>92.0</v>
      </c>
      <c r="L870" s="53">
        <f t="shared" si="10"/>
        <v>0</v>
      </c>
      <c r="M870" s="52">
        <f t="shared" si="6"/>
        <v>330</v>
      </c>
      <c r="N870" s="54">
        <f t="shared" si="7"/>
        <v>330</v>
      </c>
      <c r="O870" s="54">
        <f t="shared" si="8"/>
        <v>46.2</v>
      </c>
    </row>
    <row r="871" ht="22.5" customHeight="1">
      <c r="A871" s="15" t="s">
        <v>1087</v>
      </c>
      <c r="B871" s="13" t="s">
        <v>9</v>
      </c>
      <c r="C871" s="13">
        <v>80.0</v>
      </c>
      <c r="D871" s="15">
        <v>290.0</v>
      </c>
      <c r="E871" s="7">
        <v>7475.0</v>
      </c>
      <c r="F871" s="7">
        <v>7951.0</v>
      </c>
      <c r="G871" s="52">
        <f>IFERROR(SUMIF(Issues!B:B, A871, Issues!H:H), 0)</f>
        <v>8000</v>
      </c>
      <c r="H871" s="52">
        <f>IFERROR(SUMIF(Returns!B:B, A871, Returns!H:H), 0)</f>
        <v>0</v>
      </c>
      <c r="I871" s="52"/>
      <c r="J871" s="3">
        <v>2.0</v>
      </c>
      <c r="K871" s="3">
        <v>94.0</v>
      </c>
      <c r="L871" s="53">
        <f t="shared" si="10"/>
        <v>0</v>
      </c>
      <c r="M871" s="52">
        <f t="shared" si="6"/>
        <v>8000</v>
      </c>
      <c r="N871" s="54">
        <f t="shared" si="7"/>
        <v>8000</v>
      </c>
      <c r="O871" s="54">
        <f t="shared" si="8"/>
        <v>2320</v>
      </c>
    </row>
    <row r="872" ht="22.5" customHeight="1">
      <c r="A872" s="15" t="s">
        <v>1088</v>
      </c>
      <c r="B872" s="13" t="s">
        <v>9</v>
      </c>
      <c r="C872" s="13">
        <v>80.0</v>
      </c>
      <c r="D872" s="15">
        <v>290.0</v>
      </c>
      <c r="E872" s="7">
        <v>8297.0</v>
      </c>
      <c r="F872" s="7">
        <v>8824.0</v>
      </c>
      <c r="G872" s="52">
        <f>IFERROR(SUMIF(Issues!B:B, A872, Issues!H:H), 0)</f>
        <v>10650</v>
      </c>
      <c r="H872" s="52">
        <f>IFERROR(SUMIF(Returns!B:B, A872, Returns!H:H), 0)</f>
        <v>1820</v>
      </c>
      <c r="I872" s="52"/>
      <c r="J872" s="3">
        <v>2.0</v>
      </c>
      <c r="K872" s="3">
        <v>94.0</v>
      </c>
      <c r="L872" s="53">
        <f t="shared" si="10"/>
        <v>0</v>
      </c>
      <c r="M872" s="52">
        <f t="shared" si="6"/>
        <v>8830</v>
      </c>
      <c r="N872" s="54">
        <f t="shared" si="7"/>
        <v>8830</v>
      </c>
      <c r="O872" s="54">
        <f t="shared" si="8"/>
        <v>2560.7</v>
      </c>
    </row>
    <row r="873" ht="22.5" customHeight="1">
      <c r="A873" s="15" t="s">
        <v>1089</v>
      </c>
      <c r="B873" s="13" t="s">
        <v>9</v>
      </c>
      <c r="C873" s="13">
        <v>80.0</v>
      </c>
      <c r="D873" s="15">
        <v>290.0</v>
      </c>
      <c r="E873" s="7">
        <v>1031.0</v>
      </c>
      <c r="F873" s="7">
        <v>1256.0</v>
      </c>
      <c r="G873" s="52">
        <f>IFERROR(SUMIF(Issues!B:B, A873, Issues!H:H), 0)</f>
        <v>1820</v>
      </c>
      <c r="H873" s="52">
        <f>IFERROR(SUMIF(Returns!B:B, A873, Returns!H:H), 0)</f>
        <v>560</v>
      </c>
      <c r="I873" s="52"/>
      <c r="J873" s="3">
        <v>2.0</v>
      </c>
      <c r="K873" s="3">
        <v>94.0</v>
      </c>
      <c r="L873" s="53">
        <f t="shared" si="10"/>
        <v>0</v>
      </c>
      <c r="M873" s="52">
        <f t="shared" si="6"/>
        <v>1260</v>
      </c>
      <c r="N873" s="54">
        <f t="shared" si="7"/>
        <v>1260</v>
      </c>
      <c r="O873" s="54">
        <f t="shared" si="8"/>
        <v>365.4</v>
      </c>
    </row>
    <row r="874" ht="22.5" customHeight="1">
      <c r="A874" s="15" t="s">
        <v>1090</v>
      </c>
      <c r="B874" s="13" t="s">
        <v>9</v>
      </c>
      <c r="C874" s="13">
        <v>80.0</v>
      </c>
      <c r="D874" s="15">
        <v>175.0</v>
      </c>
      <c r="E874" s="7">
        <v>1872.0</v>
      </c>
      <c r="F874" s="7">
        <v>2011.0</v>
      </c>
      <c r="G874" s="52">
        <f>IFERROR(SUMIF(Issues!B:B, A874, Issues!H:H), 0)</f>
        <v>2150</v>
      </c>
      <c r="H874" s="52">
        <f>IFERROR(SUMIF(Returns!B:B, A874, Returns!H:H), 0)</f>
        <v>130</v>
      </c>
      <c r="I874" s="52"/>
      <c r="J874" s="3">
        <v>4.0</v>
      </c>
      <c r="K874" s="3">
        <v>116.0</v>
      </c>
      <c r="L874" s="53">
        <f t="shared" si="10"/>
        <v>0</v>
      </c>
      <c r="M874" s="52">
        <f t="shared" si="6"/>
        <v>2020</v>
      </c>
      <c r="N874" s="54">
        <f t="shared" si="7"/>
        <v>2020</v>
      </c>
      <c r="O874" s="54">
        <f t="shared" si="8"/>
        <v>353.5</v>
      </c>
    </row>
    <row r="875" ht="22.5" customHeight="1">
      <c r="A875" s="15" t="s">
        <v>1091</v>
      </c>
      <c r="B875" s="13" t="s">
        <v>9</v>
      </c>
      <c r="C875" s="13">
        <v>80.0</v>
      </c>
      <c r="D875" s="15">
        <v>250.0</v>
      </c>
      <c r="E875" s="7">
        <v>239.0</v>
      </c>
      <c r="F875" s="7">
        <v>329.0</v>
      </c>
      <c r="G875" s="52">
        <f>IFERROR(SUMIF(Issues!B:B, A875, Issues!H:H), 0)</f>
        <v>360</v>
      </c>
      <c r="H875" s="52">
        <f>IFERROR(SUMIF(Returns!B:B, A875, Returns!H:H), 0)</f>
        <v>0</v>
      </c>
      <c r="I875" s="52"/>
      <c r="J875" s="3">
        <v>3.0</v>
      </c>
      <c r="K875" s="3">
        <v>75.0</v>
      </c>
      <c r="L875" s="53">
        <f t="shared" si="10"/>
        <v>0</v>
      </c>
      <c r="M875" s="52">
        <f t="shared" si="6"/>
        <v>360</v>
      </c>
      <c r="N875" s="54">
        <f t="shared" si="7"/>
        <v>360</v>
      </c>
      <c r="O875" s="54">
        <f t="shared" si="8"/>
        <v>90</v>
      </c>
    </row>
    <row r="876" ht="22.5" customHeight="1">
      <c r="A876" s="15" t="s">
        <v>1093</v>
      </c>
      <c r="B876" s="13" t="s">
        <v>9</v>
      </c>
      <c r="C876" s="13">
        <v>80.0</v>
      </c>
      <c r="D876" s="15">
        <v>250.0</v>
      </c>
      <c r="E876" s="7">
        <v>1368.0</v>
      </c>
      <c r="F876" s="7">
        <v>1640.0</v>
      </c>
      <c r="G876" s="52">
        <f>IFERROR(SUMIF(Issues!B:B, A876, Issues!H:H), 0)</f>
        <v>2000</v>
      </c>
      <c r="H876" s="52">
        <f>IFERROR(SUMIF(Returns!B:B, A876, Returns!H:H), 0)</f>
        <v>360</v>
      </c>
      <c r="I876" s="52"/>
      <c r="J876" s="3">
        <v>3.0</v>
      </c>
      <c r="K876" s="3">
        <v>75.0</v>
      </c>
      <c r="L876" s="53">
        <f t="shared" si="10"/>
        <v>0</v>
      </c>
      <c r="M876" s="52">
        <f t="shared" si="6"/>
        <v>1640</v>
      </c>
      <c r="N876" s="54">
        <f t="shared" si="7"/>
        <v>1640</v>
      </c>
      <c r="O876" s="54">
        <f t="shared" si="8"/>
        <v>410</v>
      </c>
    </row>
    <row r="877" ht="22.5" customHeight="1">
      <c r="A877" s="15" t="s">
        <v>1094</v>
      </c>
      <c r="B877" s="13" t="s">
        <v>9</v>
      </c>
      <c r="C877" s="13">
        <v>80.0</v>
      </c>
      <c r="D877" s="15">
        <v>250.0</v>
      </c>
      <c r="E877" s="7">
        <v>239.0</v>
      </c>
      <c r="F877" s="7">
        <v>397.0</v>
      </c>
      <c r="G877" s="52">
        <f>IFERROR(SUMIF(Issues!B:B, A877, Issues!H:H), 0)</f>
        <v>400</v>
      </c>
      <c r="H877" s="52">
        <f>IFERROR(SUMIF(Returns!B:B, A877, Returns!H:H), 0)</f>
        <v>0</v>
      </c>
      <c r="I877" s="52"/>
      <c r="J877" s="3">
        <v>3.0</v>
      </c>
      <c r="K877" s="3">
        <v>75.0</v>
      </c>
      <c r="L877" s="53">
        <f t="shared" si="10"/>
        <v>0</v>
      </c>
      <c r="M877" s="52">
        <f t="shared" si="6"/>
        <v>400</v>
      </c>
      <c r="N877" s="54">
        <f t="shared" si="7"/>
        <v>400</v>
      </c>
      <c r="O877" s="54">
        <f t="shared" si="8"/>
        <v>100</v>
      </c>
    </row>
    <row r="878" ht="22.5" customHeight="1">
      <c r="A878" s="15" t="s">
        <v>1095</v>
      </c>
      <c r="B878" s="13" t="s">
        <v>9</v>
      </c>
      <c r="C878" s="13">
        <v>80.0</v>
      </c>
      <c r="D878" s="15">
        <v>320.0</v>
      </c>
      <c r="E878" s="7">
        <v>172.0</v>
      </c>
      <c r="F878" s="7">
        <v>344.0</v>
      </c>
      <c r="G878" s="52">
        <f>IFERROR(SUMIF(Issues!B:B, A878, Issues!H:H), 0)</f>
        <v>990</v>
      </c>
      <c r="H878" s="52">
        <f>IFERROR(SUMIF(Returns!B:B, A878, Returns!H:H), 0)</f>
        <v>640</v>
      </c>
      <c r="I878" s="52"/>
      <c r="J878" s="3">
        <v>2.0</v>
      </c>
      <c r="K878" s="3">
        <v>108.0</v>
      </c>
      <c r="L878" s="53">
        <f t="shared" si="10"/>
        <v>0</v>
      </c>
      <c r="M878" s="52">
        <f t="shared" si="6"/>
        <v>350</v>
      </c>
      <c r="N878" s="54">
        <f t="shared" si="7"/>
        <v>350</v>
      </c>
      <c r="O878" s="54">
        <f t="shared" si="8"/>
        <v>112</v>
      </c>
    </row>
    <row r="879" ht="22.5" customHeight="1">
      <c r="A879" s="15" t="s">
        <v>1096</v>
      </c>
      <c r="B879" s="13" t="s">
        <v>9</v>
      </c>
      <c r="C879" s="13">
        <v>80.0</v>
      </c>
      <c r="D879" s="15">
        <v>200.0</v>
      </c>
      <c r="E879" s="7">
        <v>1288.0</v>
      </c>
      <c r="F879" s="7">
        <v>1473.0</v>
      </c>
      <c r="G879" s="52">
        <f>IFERROR(SUMIF(Issues!B:B, A879, Issues!H:H), 0)</f>
        <v>1500</v>
      </c>
      <c r="H879" s="52">
        <f>IFERROR(SUMIF(Returns!B:B, A879, Returns!H:H), 0)</f>
        <v>0</v>
      </c>
      <c r="I879" s="52"/>
      <c r="J879" s="3">
        <v>4.0</v>
      </c>
      <c r="K879" s="3">
        <v>108.0</v>
      </c>
      <c r="L879" s="53">
        <f t="shared" si="10"/>
        <v>0</v>
      </c>
      <c r="M879" s="52">
        <f t="shared" si="6"/>
        <v>1500</v>
      </c>
      <c r="N879" s="54">
        <f t="shared" si="7"/>
        <v>1500</v>
      </c>
      <c r="O879" s="54">
        <f t="shared" si="8"/>
        <v>300</v>
      </c>
    </row>
    <row r="880" ht="22.5" customHeight="1">
      <c r="A880" s="15" t="s">
        <v>1097</v>
      </c>
      <c r="B880" s="13" t="s">
        <v>9</v>
      </c>
      <c r="C880" s="13">
        <v>80.0</v>
      </c>
      <c r="D880" s="15">
        <v>170.0</v>
      </c>
      <c r="E880" s="7">
        <v>149.0</v>
      </c>
      <c r="F880" s="7">
        <v>243.0</v>
      </c>
      <c r="G880" s="52">
        <f>IFERROR(SUMIF(Issues!B:B, A880, Issues!H:H), 0)</f>
        <v>800</v>
      </c>
      <c r="H880" s="52">
        <f>IFERROR(SUMIF(Returns!B:B, A880, Returns!H:H), 0)</f>
        <v>550</v>
      </c>
      <c r="I880" s="52"/>
      <c r="J880" s="3">
        <v>6.0</v>
      </c>
      <c r="K880" s="3">
        <v>94.0</v>
      </c>
      <c r="L880" s="53">
        <f t="shared" si="10"/>
        <v>0</v>
      </c>
      <c r="M880" s="52">
        <f t="shared" si="6"/>
        <v>250</v>
      </c>
      <c r="N880" s="54">
        <f t="shared" si="7"/>
        <v>250</v>
      </c>
      <c r="O880" s="54">
        <f t="shared" si="8"/>
        <v>42.5</v>
      </c>
    </row>
    <row r="881" ht="22.5" customHeight="1">
      <c r="A881" s="15" t="s">
        <v>1098</v>
      </c>
      <c r="B881" s="13" t="s">
        <v>9</v>
      </c>
      <c r="C881" s="13">
        <v>80.0</v>
      </c>
      <c r="D881" s="15">
        <v>170.0</v>
      </c>
      <c r="E881" s="7">
        <v>149.0</v>
      </c>
      <c r="F881" s="7">
        <v>264.0</v>
      </c>
      <c r="G881" s="52">
        <f>IFERROR(SUMIF(Issues!B:B, A881, Issues!H:H), 0)</f>
        <v>550</v>
      </c>
      <c r="H881" s="52">
        <f>IFERROR(SUMIF(Returns!B:B, A881, Returns!H:H), 0)</f>
        <v>280</v>
      </c>
      <c r="I881" s="52"/>
      <c r="J881" s="3">
        <v>6.0</v>
      </c>
      <c r="K881" s="3">
        <v>94.0</v>
      </c>
      <c r="L881" s="53">
        <f t="shared" si="10"/>
        <v>0</v>
      </c>
      <c r="M881" s="52">
        <f t="shared" si="6"/>
        <v>270</v>
      </c>
      <c r="N881" s="54">
        <f t="shared" si="7"/>
        <v>270</v>
      </c>
      <c r="O881" s="54">
        <f t="shared" si="8"/>
        <v>45.9</v>
      </c>
    </row>
    <row r="882" ht="22.5" customHeight="1">
      <c r="A882" s="15" t="s">
        <v>1099</v>
      </c>
      <c r="B882" s="13" t="s">
        <v>9</v>
      </c>
      <c r="C882" s="13">
        <v>80.0</v>
      </c>
      <c r="D882" s="15">
        <v>200.0</v>
      </c>
      <c r="E882" s="7">
        <v>1288.0</v>
      </c>
      <c r="F882" s="7">
        <v>1450.0</v>
      </c>
      <c r="G882" s="52">
        <f>IFERROR(SUMIF(Issues!B:B, A882, Issues!H:H), 0)</f>
        <v>1500</v>
      </c>
      <c r="H882" s="52">
        <f>IFERROR(SUMIF(Returns!B:B, A882, Returns!H:H), 0)</f>
        <v>0</v>
      </c>
      <c r="I882" s="52"/>
      <c r="J882" s="3">
        <v>4.0</v>
      </c>
      <c r="K882" s="3">
        <v>108.0</v>
      </c>
      <c r="L882" s="53">
        <f t="shared" si="10"/>
        <v>0</v>
      </c>
      <c r="M882" s="52">
        <f t="shared" si="6"/>
        <v>1500</v>
      </c>
      <c r="N882" s="54">
        <f t="shared" si="7"/>
        <v>1500</v>
      </c>
      <c r="O882" s="54">
        <f t="shared" si="8"/>
        <v>300</v>
      </c>
    </row>
    <row r="883" ht="22.5" customHeight="1">
      <c r="A883" s="15" t="s">
        <v>1100</v>
      </c>
      <c r="B883" s="13" t="s">
        <v>9</v>
      </c>
      <c r="C883" s="13">
        <v>80.0</v>
      </c>
      <c r="D883" s="15">
        <v>185.0</v>
      </c>
      <c r="E883" s="7">
        <v>573.0</v>
      </c>
      <c r="F883" s="7">
        <v>740.0</v>
      </c>
      <c r="G883" s="52">
        <f>IFERROR(SUMIF(Issues!B:B, A883, Issues!H:H), 0)</f>
        <v>1050</v>
      </c>
      <c r="H883" s="52">
        <f>IFERROR(SUMIF(Returns!B:B, A883, Returns!H:H), 0)</f>
        <v>310</v>
      </c>
      <c r="I883" s="52"/>
      <c r="J883" s="3">
        <v>6.0</v>
      </c>
      <c r="K883" s="3">
        <v>72.0</v>
      </c>
      <c r="L883" s="53">
        <f t="shared" si="10"/>
        <v>0</v>
      </c>
      <c r="M883" s="52">
        <f t="shared" si="6"/>
        <v>740</v>
      </c>
      <c r="N883" s="54">
        <f t="shared" si="7"/>
        <v>740</v>
      </c>
      <c r="O883" s="54">
        <f t="shared" si="8"/>
        <v>136.9</v>
      </c>
    </row>
    <row r="884" ht="22.5" customHeight="1">
      <c r="A884" s="15" t="s">
        <v>1101</v>
      </c>
      <c r="B884" s="13" t="s">
        <v>9</v>
      </c>
      <c r="C884" s="13">
        <v>80.0</v>
      </c>
      <c r="D884" s="15">
        <v>140.0</v>
      </c>
      <c r="E884" s="7">
        <v>4089.0</v>
      </c>
      <c r="F884" s="7">
        <v>4399.0</v>
      </c>
      <c r="G884" s="52">
        <f>IFERROR(SUMIF(Issues!B:B, A884, Issues!H:H), 0)</f>
        <v>5960</v>
      </c>
      <c r="H884" s="52">
        <f>IFERROR(SUMIF(Returns!B:B, A884, Returns!H:H), 0)</f>
        <v>1560</v>
      </c>
      <c r="I884" s="52"/>
      <c r="J884" s="3">
        <v>14.0</v>
      </c>
      <c r="K884" s="3">
        <v>72.0</v>
      </c>
      <c r="L884" s="53">
        <f t="shared" si="10"/>
        <v>0</v>
      </c>
      <c r="M884" s="52">
        <f t="shared" si="6"/>
        <v>4400</v>
      </c>
      <c r="N884" s="54">
        <f t="shared" si="7"/>
        <v>4400</v>
      </c>
      <c r="O884" s="54">
        <f t="shared" si="8"/>
        <v>616</v>
      </c>
    </row>
    <row r="885" ht="22.5" customHeight="1">
      <c r="A885" s="15" t="s">
        <v>1102</v>
      </c>
      <c r="B885" s="13" t="s">
        <v>9</v>
      </c>
      <c r="C885" s="13">
        <v>80.0</v>
      </c>
      <c r="D885" s="15">
        <v>140.0</v>
      </c>
      <c r="E885" s="7">
        <v>878.0</v>
      </c>
      <c r="F885" s="7">
        <v>1068.0</v>
      </c>
      <c r="G885" s="52">
        <f>IFERROR(SUMIF(Issues!B:B, A885, Issues!H:H), 0)</f>
        <v>1760</v>
      </c>
      <c r="H885" s="52">
        <f>IFERROR(SUMIF(Returns!B:B, A885, Returns!H:H), 0)</f>
        <v>690</v>
      </c>
      <c r="I885" s="52"/>
      <c r="J885" s="3">
        <v>1.0</v>
      </c>
      <c r="K885" s="3">
        <v>69.0</v>
      </c>
      <c r="L885" s="53">
        <f t="shared" si="10"/>
        <v>0</v>
      </c>
      <c r="M885" s="52">
        <f t="shared" si="6"/>
        <v>1070</v>
      </c>
      <c r="N885" s="54">
        <f t="shared" si="7"/>
        <v>1070</v>
      </c>
      <c r="O885" s="54">
        <f t="shared" si="8"/>
        <v>149.8</v>
      </c>
    </row>
    <row r="886" ht="22.5" customHeight="1">
      <c r="A886" s="15" t="s">
        <v>1103</v>
      </c>
      <c r="B886" s="13" t="s">
        <v>9</v>
      </c>
      <c r="C886" s="13">
        <v>80.0</v>
      </c>
      <c r="D886" s="15">
        <v>140.0</v>
      </c>
      <c r="E886" s="7">
        <v>732.0</v>
      </c>
      <c r="F886" s="7">
        <v>913.0</v>
      </c>
      <c r="G886" s="52">
        <f>IFERROR(SUMIF(Issues!B:B, A886, Issues!H:H), 0)</f>
        <v>1560</v>
      </c>
      <c r="H886" s="52">
        <f>IFERROR(SUMIF(Returns!B:B, A886, Returns!H:H), 0)</f>
        <v>640</v>
      </c>
      <c r="I886" s="52"/>
      <c r="J886" s="3">
        <v>4.0</v>
      </c>
      <c r="K886" s="3">
        <v>92.0</v>
      </c>
      <c r="L886" s="53">
        <f t="shared" si="10"/>
        <v>0</v>
      </c>
      <c r="M886" s="52">
        <f t="shared" si="6"/>
        <v>920</v>
      </c>
      <c r="N886" s="54">
        <f t="shared" si="7"/>
        <v>920</v>
      </c>
      <c r="O886" s="54">
        <f t="shared" si="8"/>
        <v>128.8</v>
      </c>
    </row>
    <row r="887" ht="22.5" customHeight="1">
      <c r="A887" s="15" t="s">
        <v>1104</v>
      </c>
      <c r="B887" s="13" t="s">
        <v>9</v>
      </c>
      <c r="C887" s="13">
        <v>80.0</v>
      </c>
      <c r="D887" s="15">
        <v>140.0</v>
      </c>
      <c r="E887" s="7">
        <v>732.0</v>
      </c>
      <c r="F887" s="7">
        <v>888.0</v>
      </c>
      <c r="G887" s="52">
        <f>IFERROR(SUMIF(Issues!B:B, A887, Issues!H:H), 0)</f>
        <v>2450</v>
      </c>
      <c r="H887" s="52">
        <f>IFERROR(SUMIF(Returns!B:B, A887, Returns!H:H), 0)</f>
        <v>1560</v>
      </c>
      <c r="I887" s="52"/>
      <c r="J887" s="3">
        <v>4.0</v>
      </c>
      <c r="K887" s="3">
        <v>92.0</v>
      </c>
      <c r="L887" s="53">
        <f t="shared" si="10"/>
        <v>0</v>
      </c>
      <c r="M887" s="52">
        <f t="shared" si="6"/>
        <v>890</v>
      </c>
      <c r="N887" s="54">
        <f t="shared" si="7"/>
        <v>890</v>
      </c>
      <c r="O887" s="54">
        <f t="shared" si="8"/>
        <v>124.6</v>
      </c>
    </row>
    <row r="888" ht="22.5" customHeight="1">
      <c r="A888" s="15" t="s">
        <v>1105</v>
      </c>
      <c r="B888" s="13" t="s">
        <v>9</v>
      </c>
      <c r="C888" s="13">
        <v>80.0</v>
      </c>
      <c r="D888" s="15">
        <v>150.0</v>
      </c>
      <c r="E888" s="7">
        <v>721.0</v>
      </c>
      <c r="F888" s="7">
        <v>922.0</v>
      </c>
      <c r="G888" s="52">
        <f>IFERROR(SUMIF(Issues!B:B, A888, Issues!H:H), 0)</f>
        <v>1000</v>
      </c>
      <c r="H888" s="52">
        <f>IFERROR(SUMIF(Returns!B:B, A888, Returns!H:H), 0)</f>
        <v>0</v>
      </c>
      <c r="I888" s="52"/>
      <c r="J888" s="3">
        <v>8.0</v>
      </c>
      <c r="K888" s="3">
        <v>92.0</v>
      </c>
      <c r="L888" s="53">
        <f t="shared" si="10"/>
        <v>0</v>
      </c>
      <c r="M888" s="52">
        <f t="shared" si="6"/>
        <v>1000</v>
      </c>
      <c r="N888" s="54">
        <f t="shared" si="7"/>
        <v>1000</v>
      </c>
      <c r="O888" s="54">
        <f t="shared" si="8"/>
        <v>150</v>
      </c>
    </row>
    <row r="889" ht="22.5" customHeight="1">
      <c r="A889" s="15" t="s">
        <v>1106</v>
      </c>
      <c r="B889" s="13" t="s">
        <v>9</v>
      </c>
      <c r="C889" s="13">
        <v>80.0</v>
      </c>
      <c r="D889" s="15">
        <v>180.0</v>
      </c>
      <c r="E889" s="7">
        <v>262.0</v>
      </c>
      <c r="F889" s="7">
        <v>424.0</v>
      </c>
      <c r="G889" s="52">
        <f>IFERROR(SUMIF(Issues!B:B, A889, Issues!H:H), 0)</f>
        <v>650</v>
      </c>
      <c r="H889" s="52">
        <f>IFERROR(SUMIF(Returns!B:B, A889, Returns!H:H), 0)</f>
        <v>226</v>
      </c>
      <c r="I889" s="52"/>
      <c r="J889" s="3">
        <v>6.0</v>
      </c>
      <c r="K889" s="3">
        <v>99.0</v>
      </c>
      <c r="L889" s="53">
        <f t="shared" si="10"/>
        <v>0</v>
      </c>
      <c r="M889" s="52">
        <f t="shared" si="6"/>
        <v>424</v>
      </c>
      <c r="N889" s="54">
        <f t="shared" si="7"/>
        <v>424</v>
      </c>
      <c r="O889" s="54">
        <f t="shared" si="8"/>
        <v>76.32</v>
      </c>
    </row>
    <row r="890" ht="22.5" customHeight="1">
      <c r="A890" s="15" t="s">
        <v>1107</v>
      </c>
      <c r="B890" s="13" t="s">
        <v>9</v>
      </c>
      <c r="C890" s="13">
        <v>80.0</v>
      </c>
      <c r="D890" s="15">
        <v>125.0</v>
      </c>
      <c r="E890" s="7">
        <v>515.0</v>
      </c>
      <c r="F890" s="7">
        <v>713.0</v>
      </c>
      <c r="G890" s="52">
        <f>IFERROR(SUMIF(Issues!B:B, A890, Issues!H:H), 0)</f>
        <v>1720</v>
      </c>
      <c r="H890" s="52">
        <f>IFERROR(SUMIF(Returns!B:B, A890, Returns!H:H), 0)</f>
        <v>1000</v>
      </c>
      <c r="I890" s="52"/>
      <c r="J890" s="3">
        <v>2.0</v>
      </c>
      <c r="K890" s="3">
        <v>108.0</v>
      </c>
      <c r="L890" s="53">
        <f t="shared" si="10"/>
        <v>0</v>
      </c>
      <c r="M890" s="52">
        <f t="shared" si="6"/>
        <v>720</v>
      </c>
      <c r="N890" s="54">
        <f t="shared" si="7"/>
        <v>720</v>
      </c>
      <c r="O890" s="54">
        <f t="shared" si="8"/>
        <v>90</v>
      </c>
    </row>
    <row r="891" ht="22.5" customHeight="1">
      <c r="A891" s="15" t="s">
        <v>1108</v>
      </c>
      <c r="B891" s="13" t="s">
        <v>9</v>
      </c>
      <c r="C891" s="13">
        <v>80.0</v>
      </c>
      <c r="D891" s="15">
        <v>125.0</v>
      </c>
      <c r="E891" s="7">
        <v>515.0</v>
      </c>
      <c r="F891" s="7">
        <v>714.0</v>
      </c>
      <c r="G891" s="52">
        <f>IFERROR(SUMIF(Issues!B:B, A891, Issues!H:H), 0)</f>
        <v>1000</v>
      </c>
      <c r="H891" s="52">
        <f>IFERROR(SUMIF(Returns!B:B, A891, Returns!H:H), 0)</f>
        <v>280</v>
      </c>
      <c r="I891" s="52"/>
      <c r="J891" s="3">
        <v>2.0</v>
      </c>
      <c r="K891" s="3">
        <v>108.0</v>
      </c>
      <c r="L891" s="53">
        <f t="shared" si="10"/>
        <v>0</v>
      </c>
      <c r="M891" s="52">
        <f t="shared" si="6"/>
        <v>720</v>
      </c>
      <c r="N891" s="54">
        <f t="shared" si="7"/>
        <v>720</v>
      </c>
      <c r="O891" s="54">
        <f t="shared" si="8"/>
        <v>90</v>
      </c>
    </row>
    <row r="892" ht="22.5" customHeight="1">
      <c r="A892" s="15" t="s">
        <v>1109</v>
      </c>
      <c r="B892" s="13" t="s">
        <v>57</v>
      </c>
      <c r="C892" s="13">
        <v>80.0</v>
      </c>
      <c r="D892" s="15">
        <v>160.0</v>
      </c>
      <c r="E892" s="7">
        <v>327.0</v>
      </c>
      <c r="F892" s="7">
        <v>719.0</v>
      </c>
      <c r="G892" s="52">
        <f>IFERROR(SUMIF(Issues!B:B, A892, Issues!H:H), 0)</f>
        <v>2000</v>
      </c>
      <c r="H892" s="52">
        <f>IFERROR(SUMIF(Returns!B:B, A892, Returns!H:H), 0)</f>
        <v>1280</v>
      </c>
      <c r="I892" s="52"/>
      <c r="J892" s="3">
        <v>72.0</v>
      </c>
      <c r="K892" s="3">
        <v>28.0</v>
      </c>
      <c r="L892" s="53">
        <f t="shared" si="10"/>
        <v>0</v>
      </c>
      <c r="M892" s="52">
        <f t="shared" si="6"/>
        <v>720</v>
      </c>
      <c r="N892" s="54">
        <f t="shared" si="7"/>
        <v>720</v>
      </c>
      <c r="O892" s="54">
        <f t="shared" si="8"/>
        <v>115.2</v>
      </c>
    </row>
    <row r="893" ht="22.5" customHeight="1">
      <c r="A893" s="15" t="s">
        <v>1110</v>
      </c>
      <c r="B893" s="38"/>
      <c r="C893" s="38"/>
      <c r="D893" s="15">
        <v>100.0</v>
      </c>
      <c r="E893" s="7">
        <v>440.0</v>
      </c>
      <c r="F893" s="7">
        <v>771.0</v>
      </c>
      <c r="G893" s="52">
        <f>IFERROR(SUMIF(Issues!B:B, A893, Issues!H:H), 0)</f>
        <v>900</v>
      </c>
      <c r="H893" s="52">
        <f>IFERROR(SUMIF(Returns!B:B, A893, Returns!H:H), 0)</f>
        <v>120</v>
      </c>
      <c r="I893" s="52"/>
      <c r="J893" s="3">
        <v>2.0</v>
      </c>
      <c r="K893" s="3">
        <v>79.0</v>
      </c>
      <c r="L893" s="53">
        <f t="shared" si="10"/>
        <v>0</v>
      </c>
      <c r="M893" s="52">
        <f t="shared" si="6"/>
        <v>780</v>
      </c>
      <c r="N893" s="54">
        <f t="shared" si="7"/>
        <v>780</v>
      </c>
      <c r="O893" s="54">
        <f t="shared" si="8"/>
        <v>78</v>
      </c>
    </row>
    <row r="894" ht="22.5" customHeight="1">
      <c r="A894" s="15" t="s">
        <v>1111</v>
      </c>
      <c r="B894" s="13" t="s">
        <v>9</v>
      </c>
      <c r="C894" s="13">
        <v>80.0</v>
      </c>
      <c r="D894" s="15">
        <v>150.0</v>
      </c>
      <c r="E894" s="7">
        <v>1193.0</v>
      </c>
      <c r="F894" s="7">
        <v>1390.0</v>
      </c>
      <c r="G894" s="52">
        <f>IFERROR(SUMIF(Issues!B:B, A894, Issues!H:H), 0)</f>
        <v>2000</v>
      </c>
      <c r="H894" s="52">
        <f>IFERROR(SUMIF(Returns!B:B, A894, Returns!H:H), 0)</f>
        <v>600</v>
      </c>
      <c r="I894" s="52"/>
      <c r="J894" s="3">
        <v>9.0</v>
      </c>
      <c r="K894" s="3">
        <v>99.0</v>
      </c>
      <c r="L894" s="53">
        <f t="shared" si="10"/>
        <v>0</v>
      </c>
      <c r="M894" s="52">
        <f t="shared" si="6"/>
        <v>1400</v>
      </c>
      <c r="N894" s="54">
        <f t="shared" si="7"/>
        <v>1400</v>
      </c>
      <c r="O894" s="54">
        <f t="shared" si="8"/>
        <v>210</v>
      </c>
    </row>
    <row r="895" ht="22.5" customHeight="1">
      <c r="A895" s="15" t="s">
        <v>1112</v>
      </c>
      <c r="B895" s="13" t="s">
        <v>9</v>
      </c>
      <c r="C895" s="13">
        <v>80.0</v>
      </c>
      <c r="D895" s="15">
        <v>250.0</v>
      </c>
      <c r="E895" s="7">
        <v>1121.0</v>
      </c>
      <c r="F895" s="7">
        <v>1315.0</v>
      </c>
      <c r="G895" s="52">
        <f>IFERROR(SUMIF(Issues!B:B, A895, Issues!H:H), 0)</f>
        <v>2000</v>
      </c>
      <c r="H895" s="52">
        <f>IFERROR(SUMIF(Returns!B:B, A895, Returns!H:H), 0)</f>
        <v>680</v>
      </c>
      <c r="I895" s="52"/>
      <c r="J895" s="3">
        <v>3.0</v>
      </c>
      <c r="K895" s="3">
        <v>75.0</v>
      </c>
      <c r="L895" s="53">
        <f t="shared" si="10"/>
        <v>0</v>
      </c>
      <c r="M895" s="52">
        <f t="shared" si="6"/>
        <v>1320</v>
      </c>
      <c r="N895" s="54">
        <f t="shared" si="7"/>
        <v>1320</v>
      </c>
      <c r="O895" s="54">
        <f t="shared" si="8"/>
        <v>330</v>
      </c>
    </row>
    <row r="896" ht="22.5" customHeight="1">
      <c r="A896" s="15" t="s">
        <v>1113</v>
      </c>
      <c r="B896" s="13" t="s">
        <v>9</v>
      </c>
      <c r="C896" s="13">
        <v>80.0</v>
      </c>
      <c r="D896" s="15">
        <v>180.0</v>
      </c>
      <c r="E896" s="7">
        <v>3960.0</v>
      </c>
      <c r="F896" s="7">
        <v>4229.0</v>
      </c>
      <c r="G896" s="52">
        <f>IFERROR(SUMIF(Issues!B:B, A896, Issues!H:H), 0)</f>
        <v>6000</v>
      </c>
      <c r="H896" s="52">
        <f>IFERROR(SUMIF(Returns!B:B, A896, Returns!H:H), 0)</f>
        <v>1770</v>
      </c>
      <c r="I896" s="52"/>
      <c r="J896" s="3">
        <v>6.0</v>
      </c>
      <c r="K896" s="3">
        <v>118.0</v>
      </c>
      <c r="L896" s="53">
        <f t="shared" si="10"/>
        <v>0</v>
      </c>
      <c r="M896" s="52">
        <f t="shared" si="6"/>
        <v>4230</v>
      </c>
      <c r="N896" s="54">
        <f t="shared" si="7"/>
        <v>4230</v>
      </c>
      <c r="O896" s="54">
        <f t="shared" si="8"/>
        <v>761.4</v>
      </c>
    </row>
    <row r="897" ht="22.5" customHeight="1">
      <c r="A897" s="15" t="s">
        <v>1114</v>
      </c>
      <c r="B897" s="13" t="s">
        <v>9</v>
      </c>
      <c r="C897" s="13">
        <v>80.0</v>
      </c>
      <c r="D897" s="15">
        <v>395.0</v>
      </c>
      <c r="E897" s="7">
        <v>1193.0</v>
      </c>
      <c r="F897" s="7">
        <v>1388.0</v>
      </c>
      <c r="G897" s="52">
        <f>IFERROR(SUMIF(Issues!B:B, A897, Issues!H:H), 0)</f>
        <v>2000</v>
      </c>
      <c r="H897" s="52">
        <f>IFERROR(SUMIF(Returns!B:B, A897, Returns!H:H), 0)</f>
        <v>610</v>
      </c>
      <c r="I897" s="52"/>
      <c r="J897" s="3">
        <v>3.0</v>
      </c>
      <c r="K897" s="3">
        <v>75.0</v>
      </c>
      <c r="L897" s="53">
        <f t="shared" si="10"/>
        <v>0</v>
      </c>
      <c r="M897" s="52">
        <f t="shared" si="6"/>
        <v>1390</v>
      </c>
      <c r="N897" s="54">
        <f t="shared" si="7"/>
        <v>1390</v>
      </c>
      <c r="O897" s="54">
        <f t="shared" si="8"/>
        <v>549.05</v>
      </c>
    </row>
    <row r="898" ht="22.5" customHeight="1">
      <c r="A898" s="15" t="s">
        <v>1115</v>
      </c>
      <c r="B898" s="13" t="s">
        <v>9</v>
      </c>
      <c r="C898" s="13">
        <v>80.0</v>
      </c>
      <c r="D898" s="15">
        <v>210.0</v>
      </c>
      <c r="E898" s="7">
        <v>2137.0</v>
      </c>
      <c r="F898" s="7">
        <v>2440.0</v>
      </c>
      <c r="G898" s="52">
        <f>IFERROR(SUMIF(Issues!B:B, A898, Issues!H:H), 0)</f>
        <v>4000</v>
      </c>
      <c r="H898" s="52">
        <f>IFERROR(SUMIF(Returns!B:B, A898, Returns!H:H), 0)</f>
        <v>1560</v>
      </c>
      <c r="I898" s="52"/>
      <c r="J898" s="3">
        <v>1.0</v>
      </c>
      <c r="K898" s="3">
        <v>112.0</v>
      </c>
      <c r="L898" s="53">
        <f t="shared" si="10"/>
        <v>0</v>
      </c>
      <c r="M898" s="52">
        <f t="shared" si="6"/>
        <v>2440</v>
      </c>
      <c r="N898" s="54">
        <f t="shared" si="7"/>
        <v>2440</v>
      </c>
      <c r="O898" s="54">
        <f t="shared" si="8"/>
        <v>512.4</v>
      </c>
    </row>
    <row r="899" ht="22.5" customHeight="1">
      <c r="A899" s="15" t="s">
        <v>1116</v>
      </c>
      <c r="B899" s="13" t="s">
        <v>9</v>
      </c>
      <c r="C899" s="13">
        <v>80.0</v>
      </c>
      <c r="D899" s="15">
        <v>7750.0</v>
      </c>
      <c r="E899" s="7">
        <v>6298.0</v>
      </c>
      <c r="F899" s="7">
        <v>6652.0</v>
      </c>
      <c r="G899" s="52">
        <f>IFERROR(SUMIF(Issues!B:B, A899, Issues!H:H), 0)</f>
        <v>7750</v>
      </c>
      <c r="H899" s="52">
        <f>IFERROR(SUMIF(Returns!B:B, A899, Returns!H:H), 0)</f>
        <v>1090</v>
      </c>
      <c r="I899" s="52"/>
      <c r="J899" s="3">
        <v>2.0</v>
      </c>
      <c r="K899" s="3">
        <v>72.0</v>
      </c>
      <c r="L899" s="53">
        <f t="shared" si="10"/>
        <v>0</v>
      </c>
      <c r="M899" s="52">
        <f t="shared" si="6"/>
        <v>6660</v>
      </c>
      <c r="N899" s="54">
        <f t="shared" si="7"/>
        <v>6660</v>
      </c>
      <c r="O899" s="54">
        <f t="shared" si="8"/>
        <v>51615</v>
      </c>
    </row>
    <row r="900" ht="22.5" customHeight="1">
      <c r="A900" s="15" t="s">
        <v>1117</v>
      </c>
      <c r="B900" s="13" t="s">
        <v>9</v>
      </c>
      <c r="C900" s="13">
        <v>80.0</v>
      </c>
      <c r="D900" s="15">
        <v>300.0</v>
      </c>
      <c r="E900" s="7">
        <v>10169.0</v>
      </c>
      <c r="F900" s="7">
        <v>10707.0</v>
      </c>
      <c r="G900" s="52">
        <f>IFERROR(SUMIF(Issues!B:B, A900, Issues!H:H), 0)</f>
        <v>11090</v>
      </c>
      <c r="H900" s="52">
        <f>IFERROR(SUMIF(Returns!B:B, A900, Returns!H:H), 0)</f>
        <v>380</v>
      </c>
      <c r="I900" s="52"/>
      <c r="J900" s="3">
        <v>2.0</v>
      </c>
      <c r="K900" s="3">
        <v>92.0</v>
      </c>
      <c r="L900" s="53">
        <f t="shared" si="10"/>
        <v>0</v>
      </c>
      <c r="M900" s="52">
        <f t="shared" si="6"/>
        <v>10710</v>
      </c>
      <c r="N900" s="54">
        <f t="shared" si="7"/>
        <v>10710</v>
      </c>
      <c r="O900" s="54">
        <f t="shared" si="8"/>
        <v>3213</v>
      </c>
    </row>
    <row r="901" ht="22.5" customHeight="1">
      <c r="A901" s="15" t="s">
        <v>1118</v>
      </c>
      <c r="B901" s="13" t="s">
        <v>9</v>
      </c>
      <c r="C901" s="13">
        <v>80.0</v>
      </c>
      <c r="D901" s="15">
        <v>395.0</v>
      </c>
      <c r="E901" s="7">
        <v>2990.0</v>
      </c>
      <c r="F901" s="7">
        <v>3977.0</v>
      </c>
      <c r="G901" s="52">
        <f>IFERROR(SUMIF(Issues!B:B, A901, Issues!H:H), 0)</f>
        <v>4040</v>
      </c>
      <c r="H901" s="52">
        <f>IFERROR(SUMIF(Returns!B:B, A901, Returns!H:H), 0)</f>
        <v>0</v>
      </c>
      <c r="I901" s="52"/>
      <c r="J901" s="3">
        <v>10.0</v>
      </c>
      <c r="K901" s="3">
        <v>94.0</v>
      </c>
      <c r="L901" s="53">
        <f t="shared" si="10"/>
        <v>0</v>
      </c>
      <c r="M901" s="52">
        <f t="shared" si="6"/>
        <v>4040</v>
      </c>
      <c r="N901" s="54">
        <f t="shared" si="7"/>
        <v>4040</v>
      </c>
      <c r="O901" s="54">
        <f t="shared" si="8"/>
        <v>1595.8</v>
      </c>
    </row>
    <row r="902" ht="22.5" customHeight="1">
      <c r="A902" s="15" t="s">
        <v>1119</v>
      </c>
      <c r="B902" s="13" t="s">
        <v>9</v>
      </c>
      <c r="C902" s="13">
        <v>80.0</v>
      </c>
      <c r="D902" s="15">
        <v>250.0</v>
      </c>
      <c r="E902" s="7">
        <v>14074.0</v>
      </c>
      <c r="F902" s="7">
        <v>14727.0</v>
      </c>
      <c r="G902" s="52">
        <f>IFERROR(SUMIF(Issues!B:B, A902, Issues!H:H), 0)</f>
        <v>15400</v>
      </c>
      <c r="H902" s="52">
        <f>IFERROR(SUMIF(Returns!B:B, A902, Returns!H:H), 0)</f>
        <v>670</v>
      </c>
      <c r="I902" s="52"/>
      <c r="J902" s="3">
        <v>4.0</v>
      </c>
      <c r="K902" s="3">
        <v>118.0</v>
      </c>
      <c r="L902" s="53">
        <f t="shared" si="10"/>
        <v>0</v>
      </c>
      <c r="M902" s="52">
        <f t="shared" si="6"/>
        <v>14730</v>
      </c>
      <c r="N902" s="54">
        <f t="shared" si="7"/>
        <v>14730</v>
      </c>
      <c r="O902" s="54">
        <f t="shared" si="8"/>
        <v>3682.5</v>
      </c>
    </row>
    <row r="903" ht="22.5" customHeight="1">
      <c r="A903" s="15" t="s">
        <v>1120</v>
      </c>
      <c r="B903" s="13" t="s">
        <v>9</v>
      </c>
      <c r="C903" s="13">
        <v>80.0</v>
      </c>
      <c r="D903" s="15">
        <v>210.0</v>
      </c>
      <c r="E903" s="7">
        <v>580.0</v>
      </c>
      <c r="F903" s="7">
        <v>848.0</v>
      </c>
      <c r="G903" s="52">
        <f>IFERROR(SUMIF(Issues!B:B, A903, Issues!H:H), 0)</f>
        <v>2680</v>
      </c>
      <c r="H903" s="52">
        <f>IFERROR(SUMIF(Returns!B:B, A903, Returns!H:H), 0)</f>
        <v>1830</v>
      </c>
      <c r="I903" s="52"/>
      <c r="J903" s="3">
        <v>1.0</v>
      </c>
      <c r="K903" s="3">
        <v>89.0</v>
      </c>
      <c r="L903" s="53">
        <f t="shared" si="10"/>
        <v>0</v>
      </c>
      <c r="M903" s="52">
        <f t="shared" si="6"/>
        <v>850</v>
      </c>
      <c r="N903" s="54">
        <f t="shared" si="7"/>
        <v>850</v>
      </c>
      <c r="O903" s="54">
        <f t="shared" si="8"/>
        <v>178.5</v>
      </c>
    </row>
    <row r="904" ht="22.5" customHeight="1">
      <c r="A904" s="15" t="s">
        <v>1121</v>
      </c>
      <c r="B904" s="13" t="s">
        <v>9</v>
      </c>
      <c r="C904" s="13">
        <v>80.0</v>
      </c>
      <c r="D904" s="15">
        <v>210.0</v>
      </c>
      <c r="E904" s="7">
        <v>580.0</v>
      </c>
      <c r="F904" s="7">
        <v>818.0</v>
      </c>
      <c r="G904" s="52">
        <f>IFERROR(SUMIF(Issues!B:B, A904, Issues!H:H), 0)</f>
        <v>1500</v>
      </c>
      <c r="H904" s="52">
        <f>IFERROR(SUMIF(Returns!B:B, A904, Returns!H:H), 0)</f>
        <v>680</v>
      </c>
      <c r="I904" s="52"/>
      <c r="J904" s="3">
        <v>1.0</v>
      </c>
      <c r="K904" s="3">
        <v>89.0</v>
      </c>
      <c r="L904" s="53">
        <f t="shared" si="10"/>
        <v>0</v>
      </c>
      <c r="M904" s="52">
        <f t="shared" si="6"/>
        <v>820</v>
      </c>
      <c r="N904" s="54">
        <f t="shared" si="7"/>
        <v>820</v>
      </c>
      <c r="O904" s="54">
        <f t="shared" si="8"/>
        <v>172.2</v>
      </c>
    </row>
    <row r="905" ht="22.5" customHeight="1">
      <c r="A905" s="15" t="s">
        <v>1122</v>
      </c>
      <c r="B905" s="13" t="s">
        <v>9</v>
      </c>
      <c r="C905" s="13">
        <v>80.0</v>
      </c>
      <c r="D905" s="15">
        <v>320.0</v>
      </c>
      <c r="E905" s="7">
        <v>704.0</v>
      </c>
      <c r="F905" s="7">
        <v>957.0</v>
      </c>
      <c r="G905" s="52">
        <f>IFERROR(SUMIF(Issues!B:B, A905, Issues!H:H), 0)</f>
        <v>2000</v>
      </c>
      <c r="H905" s="52">
        <f>IFERROR(SUMIF(Returns!B:B, A905, Returns!H:H), 0)</f>
        <v>1040</v>
      </c>
      <c r="I905" s="52"/>
      <c r="J905" s="3">
        <v>2.0</v>
      </c>
      <c r="K905" s="3">
        <v>108.0</v>
      </c>
      <c r="L905" s="53">
        <f t="shared" si="10"/>
        <v>0</v>
      </c>
      <c r="M905" s="52">
        <f t="shared" si="6"/>
        <v>960</v>
      </c>
      <c r="N905" s="54">
        <f t="shared" si="7"/>
        <v>960</v>
      </c>
      <c r="O905" s="54">
        <f t="shared" si="8"/>
        <v>307.2</v>
      </c>
    </row>
    <row r="906" ht="22.5" customHeight="1">
      <c r="A906" s="15" t="s">
        <v>1123</v>
      </c>
      <c r="B906" s="13" t="s">
        <v>9</v>
      </c>
      <c r="C906" s="13">
        <v>80.0</v>
      </c>
      <c r="D906" s="15">
        <v>250.0</v>
      </c>
      <c r="E906" s="7">
        <v>4335.0</v>
      </c>
      <c r="F906" s="7">
        <v>4673.0</v>
      </c>
      <c r="G906" s="52">
        <f>IFERROR(SUMIF(Issues!B:B, A906, Issues!H:H), 0)</f>
        <v>5200</v>
      </c>
      <c r="H906" s="52">
        <f>IFERROR(SUMIF(Returns!B:B, A906, Returns!H:H), 0)</f>
        <v>520</v>
      </c>
      <c r="I906" s="52"/>
      <c r="J906" s="3">
        <v>6.0</v>
      </c>
      <c r="K906" s="3">
        <v>118.0</v>
      </c>
      <c r="L906" s="53">
        <f t="shared" si="10"/>
        <v>0</v>
      </c>
      <c r="M906" s="52">
        <f t="shared" si="6"/>
        <v>4680</v>
      </c>
      <c r="N906" s="54">
        <f t="shared" si="7"/>
        <v>4680</v>
      </c>
      <c r="O906" s="54">
        <f t="shared" si="8"/>
        <v>1170</v>
      </c>
    </row>
    <row r="907" ht="22.5" customHeight="1">
      <c r="A907" s="15" t="s">
        <v>1124</v>
      </c>
      <c r="B907" s="13" t="s">
        <v>9</v>
      </c>
      <c r="C907" s="13">
        <v>80.0</v>
      </c>
      <c r="D907" s="15">
        <v>320.0</v>
      </c>
      <c r="E907" s="7">
        <v>635.0</v>
      </c>
      <c r="F907" s="7">
        <v>836.0</v>
      </c>
      <c r="G907" s="52">
        <f>IFERROR(SUMIF(Issues!B:B, A907, Issues!H:H), 0)</f>
        <v>2000</v>
      </c>
      <c r="H907" s="52">
        <f>IFERROR(SUMIF(Returns!B:B, A907, Returns!H:H), 0)</f>
        <v>1160</v>
      </c>
      <c r="I907" s="52"/>
      <c r="J907" s="3">
        <v>2.0</v>
      </c>
      <c r="K907" s="3">
        <v>108.0</v>
      </c>
      <c r="L907" s="53">
        <f t="shared" si="10"/>
        <v>0</v>
      </c>
      <c r="M907" s="52">
        <f t="shared" si="6"/>
        <v>840</v>
      </c>
      <c r="N907" s="54">
        <f t="shared" si="7"/>
        <v>840</v>
      </c>
      <c r="O907" s="54">
        <f t="shared" si="8"/>
        <v>268.8</v>
      </c>
    </row>
    <row r="908" ht="22.5" customHeight="1">
      <c r="A908" s="15" t="s">
        <v>1125</v>
      </c>
      <c r="B908" s="13" t="s">
        <v>9</v>
      </c>
      <c r="C908" s="13">
        <v>80.0</v>
      </c>
      <c r="D908" s="15">
        <v>330.0</v>
      </c>
      <c r="E908" s="7">
        <v>239.0</v>
      </c>
      <c r="F908" s="7">
        <v>370.0</v>
      </c>
      <c r="G908" s="52">
        <f>IFERROR(SUMIF(Issues!B:B, A908, Issues!H:H), 0)</f>
        <v>600</v>
      </c>
      <c r="H908" s="52">
        <f>IFERROR(SUMIF(Returns!B:B, A908, Returns!H:H), 0)</f>
        <v>230</v>
      </c>
      <c r="I908" s="52"/>
      <c r="J908" s="3">
        <v>3.0</v>
      </c>
      <c r="K908" s="3">
        <v>75.0</v>
      </c>
      <c r="L908" s="53">
        <f t="shared" si="10"/>
        <v>0</v>
      </c>
      <c r="M908" s="52">
        <f t="shared" si="6"/>
        <v>370</v>
      </c>
      <c r="N908" s="54">
        <f t="shared" si="7"/>
        <v>370</v>
      </c>
      <c r="O908" s="54">
        <f t="shared" si="8"/>
        <v>122.1</v>
      </c>
    </row>
    <row r="909" ht="22.5" customHeight="1">
      <c r="A909" s="15" t="s">
        <v>1126</v>
      </c>
      <c r="B909" s="13" t="s">
        <v>9</v>
      </c>
      <c r="C909" s="13">
        <v>80.0</v>
      </c>
      <c r="D909" s="15">
        <v>320.0</v>
      </c>
      <c r="E909" s="7">
        <v>795.0</v>
      </c>
      <c r="F909" s="7">
        <v>968.0</v>
      </c>
      <c r="G909" s="52">
        <f>IFERROR(SUMIF(Issues!B:B, A909, Issues!H:H), 0)</f>
        <v>1160</v>
      </c>
      <c r="H909" s="52">
        <f>IFERROR(SUMIF(Returns!B:B, A909, Returns!H:H), 0)</f>
        <v>190</v>
      </c>
      <c r="I909" s="52"/>
      <c r="J909" s="3">
        <v>3.0</v>
      </c>
      <c r="K909" s="3">
        <v>75.0</v>
      </c>
      <c r="L909" s="53">
        <f t="shared" si="10"/>
        <v>0</v>
      </c>
      <c r="M909" s="52">
        <f t="shared" si="6"/>
        <v>970</v>
      </c>
      <c r="N909" s="54">
        <f t="shared" si="7"/>
        <v>970</v>
      </c>
      <c r="O909" s="54">
        <f t="shared" si="8"/>
        <v>310.4</v>
      </c>
    </row>
    <row r="910" ht="22.5" customHeight="1">
      <c r="A910" s="15" t="s">
        <v>1127</v>
      </c>
      <c r="B910" s="13" t="s">
        <v>9</v>
      </c>
      <c r="C910" s="13">
        <v>80.0</v>
      </c>
      <c r="D910" s="15">
        <v>300.0</v>
      </c>
      <c r="E910" s="7">
        <v>1230.0</v>
      </c>
      <c r="F910" s="7">
        <v>1495.0</v>
      </c>
      <c r="G910" s="52">
        <f>IFERROR(SUMIF(Issues!B:B, A910, Issues!H:H), 0)</f>
        <v>2000</v>
      </c>
      <c r="H910" s="52">
        <f>IFERROR(SUMIF(Returns!B:B, A910, Returns!H:H), 0)</f>
        <v>500</v>
      </c>
      <c r="I910" s="52"/>
      <c r="J910" s="3">
        <v>6.0</v>
      </c>
      <c r="K910" s="3">
        <v>116.0</v>
      </c>
      <c r="L910" s="53">
        <f t="shared" si="10"/>
        <v>0</v>
      </c>
      <c r="M910" s="52">
        <f t="shared" si="6"/>
        <v>1500</v>
      </c>
      <c r="N910" s="54">
        <f t="shared" si="7"/>
        <v>1500</v>
      </c>
      <c r="O910" s="54">
        <f t="shared" si="8"/>
        <v>450</v>
      </c>
    </row>
    <row r="911" ht="22.5" customHeight="1">
      <c r="A911" s="15" t="s">
        <v>1128</v>
      </c>
      <c r="B911" s="13" t="s">
        <v>9</v>
      </c>
      <c r="C911" s="13">
        <v>80.0</v>
      </c>
      <c r="D911" s="15">
        <v>290.0</v>
      </c>
      <c r="E911" s="7">
        <v>2766.0</v>
      </c>
      <c r="F911" s="7">
        <v>3056.0</v>
      </c>
      <c r="G911" s="52">
        <f>IFERROR(SUMIF(Issues!B:B, A911, Issues!H:H), 0)</f>
        <v>4000</v>
      </c>
      <c r="H911" s="52">
        <f>IFERROR(SUMIF(Returns!B:B, A911, Returns!H:H), 0)</f>
        <v>940</v>
      </c>
      <c r="I911" s="52"/>
      <c r="J911" s="3">
        <v>2.0</v>
      </c>
      <c r="K911" s="3">
        <v>94.0</v>
      </c>
      <c r="L911" s="53">
        <f t="shared" si="10"/>
        <v>0</v>
      </c>
      <c r="M911" s="52">
        <f t="shared" si="6"/>
        <v>3060</v>
      </c>
      <c r="N911" s="54">
        <f t="shared" si="7"/>
        <v>3060</v>
      </c>
      <c r="O911" s="54">
        <f t="shared" si="8"/>
        <v>887.4</v>
      </c>
    </row>
    <row r="912" ht="22.5" customHeight="1">
      <c r="A912" s="15" t="s">
        <v>1129</v>
      </c>
      <c r="B912" s="13" t="s">
        <v>9</v>
      </c>
      <c r="C912" s="13">
        <v>80.0</v>
      </c>
      <c r="D912" s="15">
        <v>330.0</v>
      </c>
      <c r="E912" s="7">
        <v>2163.0</v>
      </c>
      <c r="F912" s="7">
        <v>2485.0</v>
      </c>
      <c r="G912" s="52">
        <f>IFERROR(SUMIF(Issues!B:B, A912, Issues!H:H), 0)</f>
        <v>3240</v>
      </c>
      <c r="H912" s="52">
        <f>IFERROR(SUMIF(Returns!B:B, A912, Returns!H:H), 0)</f>
        <v>750</v>
      </c>
      <c r="I912" s="52"/>
      <c r="J912" s="3">
        <v>3.0</v>
      </c>
      <c r="K912" s="3">
        <v>75.0</v>
      </c>
      <c r="L912" s="53">
        <f t="shared" si="10"/>
        <v>0</v>
      </c>
      <c r="M912" s="52">
        <f t="shared" si="6"/>
        <v>2490</v>
      </c>
      <c r="N912" s="54">
        <f t="shared" si="7"/>
        <v>2490</v>
      </c>
      <c r="O912" s="54">
        <f t="shared" si="8"/>
        <v>821.7</v>
      </c>
    </row>
    <row r="913" ht="22.5" customHeight="1">
      <c r="A913" s="15" t="s">
        <v>1130</v>
      </c>
      <c r="B913" s="13" t="s">
        <v>9</v>
      </c>
      <c r="C913" s="13">
        <v>80.0</v>
      </c>
      <c r="D913" s="15">
        <v>150.0</v>
      </c>
      <c r="E913" s="7">
        <v>732.0</v>
      </c>
      <c r="F913" s="7">
        <v>1050.0</v>
      </c>
      <c r="G913" s="52">
        <f>IFERROR(SUMIF(Issues!B:B, A913, Issues!H:H), 0)</f>
        <v>1090</v>
      </c>
      <c r="H913" s="52">
        <f>IFERROR(SUMIF(Returns!B:B, A913, Returns!H:H), 0)</f>
        <v>0</v>
      </c>
      <c r="I913" s="52"/>
      <c r="J913" s="3">
        <v>8.0</v>
      </c>
      <c r="K913" s="3">
        <v>92.0</v>
      </c>
      <c r="L913" s="53">
        <f t="shared" si="10"/>
        <v>0</v>
      </c>
      <c r="M913" s="52">
        <f t="shared" si="6"/>
        <v>1090</v>
      </c>
      <c r="N913" s="54">
        <f t="shared" si="7"/>
        <v>1090</v>
      </c>
      <c r="O913" s="54">
        <f t="shared" si="8"/>
        <v>163.5</v>
      </c>
    </row>
    <row r="914" ht="22.5" customHeight="1">
      <c r="A914" s="15" t="s">
        <v>1131</v>
      </c>
      <c r="B914" s="13" t="s">
        <v>9</v>
      </c>
      <c r="C914" s="13">
        <v>80.0</v>
      </c>
      <c r="D914" s="15">
        <v>180.0</v>
      </c>
      <c r="E914" s="7">
        <v>498.0</v>
      </c>
      <c r="F914" s="7">
        <v>635.0</v>
      </c>
      <c r="G914" s="52">
        <f>IFERROR(SUMIF(Issues!B:B, A914, Issues!H:H), 0)</f>
        <v>1090</v>
      </c>
      <c r="H914" s="52">
        <f>IFERROR(SUMIF(Returns!B:B, A914, Returns!H:H), 0)</f>
        <v>450</v>
      </c>
      <c r="I914" s="52"/>
      <c r="J914" s="3">
        <v>6.0</v>
      </c>
      <c r="K914" s="3">
        <v>94.0</v>
      </c>
      <c r="L914" s="53">
        <f t="shared" si="10"/>
        <v>0</v>
      </c>
      <c r="M914" s="52">
        <f t="shared" si="6"/>
        <v>640</v>
      </c>
      <c r="N914" s="54">
        <f t="shared" si="7"/>
        <v>640</v>
      </c>
      <c r="O914" s="54">
        <f t="shared" si="8"/>
        <v>115.2</v>
      </c>
    </row>
    <row r="915" ht="22.5" customHeight="1">
      <c r="A915" s="15" t="s">
        <v>1132</v>
      </c>
      <c r="B915" s="13" t="s">
        <v>9</v>
      </c>
      <c r="C915" s="13">
        <v>80.0</v>
      </c>
      <c r="D915" s="15">
        <v>150.0</v>
      </c>
      <c r="E915" s="7">
        <v>969.0</v>
      </c>
      <c r="F915" s="7">
        <v>1143.0</v>
      </c>
      <c r="G915" s="52">
        <f>IFERROR(SUMIF(Issues!B:B, A915, Issues!H:H), 0)</f>
        <v>2700</v>
      </c>
      <c r="H915" s="52">
        <f>IFERROR(SUMIF(Returns!B:B, A915, Returns!H:H), 0)</f>
        <v>1550</v>
      </c>
      <c r="I915" s="52"/>
      <c r="J915" s="3">
        <v>8.0</v>
      </c>
      <c r="K915" s="3">
        <v>92.0</v>
      </c>
      <c r="L915" s="53">
        <f t="shared" si="10"/>
        <v>0</v>
      </c>
      <c r="M915" s="52">
        <f t="shared" si="6"/>
        <v>1150</v>
      </c>
      <c r="N915" s="54">
        <f t="shared" si="7"/>
        <v>1150</v>
      </c>
      <c r="O915" s="54">
        <f t="shared" si="8"/>
        <v>172.5</v>
      </c>
    </row>
    <row r="916" ht="22.5" customHeight="1">
      <c r="A916" s="15" t="s">
        <v>1134</v>
      </c>
      <c r="B916" s="13" t="s">
        <v>9</v>
      </c>
      <c r="C916" s="13">
        <v>80.0</v>
      </c>
      <c r="D916" s="15">
        <v>290.0</v>
      </c>
      <c r="E916" s="7">
        <v>11212.0</v>
      </c>
      <c r="F916" s="7">
        <v>11795.0</v>
      </c>
      <c r="G916" s="52">
        <f>IFERROR(SUMIF(Issues!B:B, A916, Issues!H:H), 0)</f>
        <v>12950</v>
      </c>
      <c r="H916" s="52">
        <f>IFERROR(SUMIF(Returns!B:B, A916, Returns!H:H), 0)</f>
        <v>1150</v>
      </c>
      <c r="I916" s="52"/>
      <c r="J916" s="3">
        <v>2.0</v>
      </c>
      <c r="K916" s="3">
        <v>94.0</v>
      </c>
      <c r="L916" s="53">
        <f t="shared" si="10"/>
        <v>0</v>
      </c>
      <c r="M916" s="52">
        <f t="shared" si="6"/>
        <v>11800</v>
      </c>
      <c r="N916" s="54">
        <f t="shared" si="7"/>
        <v>11800</v>
      </c>
      <c r="O916" s="54">
        <f t="shared" si="8"/>
        <v>3422</v>
      </c>
    </row>
    <row r="917" ht="22.5" customHeight="1">
      <c r="A917" s="15" t="s">
        <v>1135</v>
      </c>
      <c r="B917" s="13" t="s">
        <v>26</v>
      </c>
      <c r="C917" s="13">
        <v>80.0</v>
      </c>
      <c r="D917" s="15">
        <v>150.0</v>
      </c>
      <c r="E917" s="7">
        <v>4089.0</v>
      </c>
      <c r="F917" s="7">
        <v>4579.0</v>
      </c>
      <c r="G917" s="52">
        <f>IFERROR(SUMIF(Issues!B:B, A917, Issues!H:H), 0)</f>
        <v>4710</v>
      </c>
      <c r="H917" s="52">
        <f>IFERROR(SUMIF(Returns!B:B, A917, Returns!H:H), 0)</f>
        <v>120</v>
      </c>
      <c r="I917" s="52"/>
      <c r="J917" s="3">
        <v>14.0</v>
      </c>
      <c r="K917" s="3">
        <v>72.0</v>
      </c>
      <c r="L917" s="53">
        <f t="shared" si="10"/>
        <v>0</v>
      </c>
      <c r="M917" s="52">
        <f t="shared" si="6"/>
        <v>4590</v>
      </c>
      <c r="N917" s="54">
        <f t="shared" si="7"/>
        <v>4590</v>
      </c>
      <c r="O917" s="54">
        <f t="shared" si="8"/>
        <v>688.5</v>
      </c>
    </row>
    <row r="918" ht="22.5" customHeight="1">
      <c r="A918" s="15" t="s">
        <v>1136</v>
      </c>
      <c r="B918" s="13" t="s">
        <v>9</v>
      </c>
      <c r="C918" s="13">
        <v>80.0</v>
      </c>
      <c r="D918" s="15">
        <v>125.0</v>
      </c>
      <c r="E918" s="7">
        <v>2576.0</v>
      </c>
      <c r="F918" s="7">
        <v>2900.0</v>
      </c>
      <c r="G918" s="52">
        <f>IFERROR(SUMIF(Issues!B:B, A918, Issues!H:H), 0)</f>
        <v>4300</v>
      </c>
      <c r="H918" s="52">
        <f>IFERROR(SUMIF(Returns!B:B, A918, Returns!H:H), 0)</f>
        <v>1400</v>
      </c>
      <c r="I918" s="52"/>
      <c r="J918" s="3">
        <v>2.0</v>
      </c>
      <c r="K918" s="3">
        <v>108.0</v>
      </c>
      <c r="L918" s="53">
        <f t="shared" si="10"/>
        <v>0</v>
      </c>
      <c r="M918" s="52">
        <f t="shared" si="6"/>
        <v>2900</v>
      </c>
      <c r="N918" s="54">
        <f t="shared" si="7"/>
        <v>2900</v>
      </c>
      <c r="O918" s="54">
        <f t="shared" si="8"/>
        <v>362.5</v>
      </c>
    </row>
    <row r="919" ht="22.5" customHeight="1">
      <c r="A919" s="15" t="s">
        <v>1137</v>
      </c>
      <c r="B919" s="13" t="s">
        <v>9</v>
      </c>
      <c r="C919" s="13">
        <v>80.0</v>
      </c>
      <c r="D919" s="15">
        <v>125.0</v>
      </c>
      <c r="E919" s="7">
        <v>859.0</v>
      </c>
      <c r="F919" s="7">
        <v>1035.0</v>
      </c>
      <c r="G919" s="52">
        <f>IFERROR(SUMIF(Issues!B:B, A919, Issues!H:H), 0)</f>
        <v>2480</v>
      </c>
      <c r="H919" s="52">
        <f>IFERROR(SUMIF(Returns!B:B, A919, Returns!H:H), 0)</f>
        <v>1440</v>
      </c>
      <c r="I919" s="52"/>
      <c r="J919" s="3">
        <v>2.0</v>
      </c>
      <c r="K919" s="3">
        <v>108.0</v>
      </c>
      <c r="L919" s="53">
        <f t="shared" si="10"/>
        <v>0</v>
      </c>
      <c r="M919" s="52">
        <f t="shared" si="6"/>
        <v>1040</v>
      </c>
      <c r="N919" s="54">
        <f t="shared" si="7"/>
        <v>1040</v>
      </c>
      <c r="O919" s="54">
        <f t="shared" si="8"/>
        <v>130</v>
      </c>
    </row>
    <row r="920" ht="22.5" customHeight="1">
      <c r="A920" s="15" t="s">
        <v>1138</v>
      </c>
      <c r="B920" s="13" t="s">
        <v>9</v>
      </c>
      <c r="C920" s="13">
        <v>80.0</v>
      </c>
      <c r="D920" s="15">
        <v>125.0</v>
      </c>
      <c r="E920" s="7">
        <v>1718.0</v>
      </c>
      <c r="F920" s="7">
        <v>1977.0</v>
      </c>
      <c r="G920" s="52">
        <f>IFERROR(SUMIF(Issues!B:B, A920, Issues!H:H), 0)</f>
        <v>2000</v>
      </c>
      <c r="H920" s="52">
        <f>IFERROR(SUMIF(Returns!B:B, A920, Returns!H:H), 0)</f>
        <v>0</v>
      </c>
      <c r="I920" s="52"/>
      <c r="J920" s="3">
        <v>2.0</v>
      </c>
      <c r="K920" s="3">
        <v>108.0</v>
      </c>
      <c r="L920" s="53">
        <f t="shared" si="10"/>
        <v>0</v>
      </c>
      <c r="M920" s="52">
        <f t="shared" si="6"/>
        <v>2000</v>
      </c>
      <c r="N920" s="54">
        <f t="shared" si="7"/>
        <v>2000</v>
      </c>
      <c r="O920" s="54">
        <f t="shared" si="8"/>
        <v>250</v>
      </c>
    </row>
    <row r="921" ht="22.5" customHeight="1">
      <c r="A921" s="15" t="s">
        <v>1139</v>
      </c>
      <c r="B921" s="13" t="s">
        <v>9</v>
      </c>
      <c r="C921" s="13">
        <v>80.0</v>
      </c>
      <c r="D921" s="15">
        <v>125.0</v>
      </c>
      <c r="E921" s="7">
        <v>1718.0</v>
      </c>
      <c r="F921" s="7">
        <v>1933.0</v>
      </c>
      <c r="G921" s="52">
        <f>IFERROR(SUMIF(Issues!B:B, A921, Issues!H:H), 0)</f>
        <v>3400</v>
      </c>
      <c r="H921" s="52">
        <f>IFERROR(SUMIF(Returns!B:B, A921, Returns!H:H), 0)</f>
        <v>1460</v>
      </c>
      <c r="I921" s="52"/>
      <c r="J921" s="3">
        <v>2.0</v>
      </c>
      <c r="K921" s="3">
        <v>108.0</v>
      </c>
      <c r="L921" s="53">
        <f t="shared" si="10"/>
        <v>0</v>
      </c>
      <c r="M921" s="52">
        <f t="shared" si="6"/>
        <v>1940</v>
      </c>
      <c r="N921" s="54">
        <f t="shared" si="7"/>
        <v>1940</v>
      </c>
      <c r="O921" s="54">
        <f t="shared" si="8"/>
        <v>242.5</v>
      </c>
    </row>
    <row r="922" ht="22.5" customHeight="1">
      <c r="A922" s="15" t="s">
        <v>1141</v>
      </c>
      <c r="B922" s="13" t="s">
        <v>9</v>
      </c>
      <c r="C922" s="13">
        <v>80.0</v>
      </c>
      <c r="D922" s="15">
        <v>125.0</v>
      </c>
      <c r="E922" s="7">
        <v>2576.0</v>
      </c>
      <c r="F922" s="7">
        <v>2942.0</v>
      </c>
      <c r="G922" s="52">
        <f>IFERROR(SUMIF(Issues!B:B, A922, Issues!H:H), 0)</f>
        <v>3467</v>
      </c>
      <c r="H922" s="52">
        <f>IFERROR(SUMIF(Returns!B:B, A922, Returns!H:H), 0)</f>
        <v>510</v>
      </c>
      <c r="I922" s="52"/>
      <c r="J922" s="3">
        <v>2.0</v>
      </c>
      <c r="K922" s="3">
        <v>108.0</v>
      </c>
      <c r="L922" s="53">
        <f t="shared" si="10"/>
        <v>0</v>
      </c>
      <c r="M922" s="52">
        <f t="shared" si="6"/>
        <v>2957</v>
      </c>
      <c r="N922" s="54">
        <f t="shared" si="7"/>
        <v>2957</v>
      </c>
      <c r="O922" s="54">
        <f t="shared" si="8"/>
        <v>369.625</v>
      </c>
    </row>
    <row r="923" ht="22.5" customHeight="1">
      <c r="A923" s="15" t="s">
        <v>1142</v>
      </c>
      <c r="B923" s="13" t="s">
        <v>9</v>
      </c>
      <c r="C923" s="13">
        <v>80.0</v>
      </c>
      <c r="D923" s="15">
        <v>125.0</v>
      </c>
      <c r="E923" s="7">
        <v>532.0</v>
      </c>
      <c r="F923" s="7">
        <v>698.0</v>
      </c>
      <c r="G923" s="52">
        <f>IFERROR(SUMIF(Issues!B:B, A923, Issues!H:H), 0)</f>
        <v>1440</v>
      </c>
      <c r="H923" s="52">
        <f>IFERROR(SUMIF(Returns!B:B, A923, Returns!H:H), 0)</f>
        <v>440</v>
      </c>
      <c r="I923" s="52"/>
      <c r="J923" s="3">
        <v>2.0</v>
      </c>
      <c r="K923" s="3">
        <v>108.0</v>
      </c>
      <c r="L923" s="53">
        <f t="shared" si="10"/>
        <v>0</v>
      </c>
      <c r="M923" s="52">
        <f t="shared" si="6"/>
        <v>1000</v>
      </c>
      <c r="N923" s="54">
        <f t="shared" si="7"/>
        <v>1000</v>
      </c>
      <c r="O923" s="54">
        <f t="shared" si="8"/>
        <v>125</v>
      </c>
    </row>
    <row r="924" ht="22.5" customHeight="1">
      <c r="A924" s="15" t="s">
        <v>1143</v>
      </c>
      <c r="B924" s="13" t="s">
        <v>9</v>
      </c>
      <c r="C924" s="13">
        <v>80.0</v>
      </c>
      <c r="D924" s="15">
        <v>125.0</v>
      </c>
      <c r="E924" s="7">
        <v>859.0</v>
      </c>
      <c r="F924" s="7">
        <v>1078.0</v>
      </c>
      <c r="G924" s="52">
        <f>IFERROR(SUMIF(Issues!B:B, A924, Issues!H:H), 0)</f>
        <v>1090</v>
      </c>
      <c r="H924" s="52">
        <f>IFERROR(SUMIF(Returns!B:B, A924, Returns!H:H), 0)</f>
        <v>0</v>
      </c>
      <c r="I924" s="52"/>
      <c r="J924" s="3">
        <v>2.0</v>
      </c>
      <c r="K924" s="3">
        <v>108.0</v>
      </c>
      <c r="L924" s="53">
        <f t="shared" si="10"/>
        <v>0</v>
      </c>
      <c r="M924" s="52">
        <f t="shared" si="6"/>
        <v>1090</v>
      </c>
      <c r="N924" s="54">
        <f t="shared" si="7"/>
        <v>1090</v>
      </c>
      <c r="O924" s="54">
        <f t="shared" si="8"/>
        <v>136.25</v>
      </c>
    </row>
    <row r="925" ht="22.5" customHeight="1">
      <c r="A925" s="15" t="s">
        <v>1144</v>
      </c>
      <c r="B925" s="13" t="s">
        <v>9</v>
      </c>
      <c r="C925" s="13">
        <v>80.0</v>
      </c>
      <c r="D925" s="15">
        <v>300.0</v>
      </c>
      <c r="E925" s="7">
        <v>307.0</v>
      </c>
      <c r="F925" s="7">
        <v>509.0</v>
      </c>
      <c r="G925" s="52">
        <f>IFERROR(SUMIF(Issues!B:B, A925, Issues!H:H), 0)</f>
        <v>550</v>
      </c>
      <c r="H925" s="52">
        <f>IFERROR(SUMIF(Returns!B:B, A925, Returns!H:H), 0)</f>
        <v>0</v>
      </c>
      <c r="I925" s="52"/>
      <c r="J925" s="52">
        <f>6</f>
        <v>6</v>
      </c>
      <c r="K925" s="3">
        <v>116.0</v>
      </c>
      <c r="L925" s="53">
        <f t="shared" si="10"/>
        <v>0</v>
      </c>
      <c r="M925" s="52">
        <f t="shared" si="6"/>
        <v>550</v>
      </c>
      <c r="N925" s="54">
        <f t="shared" si="7"/>
        <v>550</v>
      </c>
      <c r="O925" s="54">
        <f t="shared" si="8"/>
        <v>165</v>
      </c>
    </row>
    <row r="926" ht="22.5" customHeight="1">
      <c r="A926" s="15" t="s">
        <v>1145</v>
      </c>
      <c r="B926" s="13" t="s">
        <v>43</v>
      </c>
      <c r="C926" s="13">
        <v>50.0</v>
      </c>
      <c r="D926" s="15">
        <v>125.0</v>
      </c>
      <c r="E926" s="7">
        <v>862.0</v>
      </c>
      <c r="F926" s="7">
        <v>1962.0</v>
      </c>
      <c r="G926" s="52">
        <f>IFERROR(SUMIF(Issues!B:B, A926, Issues!H:H), 0)</f>
        <v>3150</v>
      </c>
      <c r="H926" s="52">
        <f>IFERROR(SUMIF(Returns!B:B, A926, Returns!H:H), 0)</f>
        <v>1180</v>
      </c>
      <c r="I926" s="52"/>
      <c r="J926" s="3">
        <v>14.0</v>
      </c>
      <c r="K926" s="3">
        <v>69.0</v>
      </c>
      <c r="L926" s="53">
        <f t="shared" si="10"/>
        <v>0</v>
      </c>
      <c r="M926" s="52">
        <f t="shared" si="6"/>
        <v>1970</v>
      </c>
      <c r="N926" s="54">
        <f t="shared" si="7"/>
        <v>1970</v>
      </c>
      <c r="O926" s="54">
        <f t="shared" si="8"/>
        <v>246.25</v>
      </c>
    </row>
    <row r="927" ht="22.5" customHeight="1">
      <c r="A927" s="15" t="s">
        <v>1146</v>
      </c>
      <c r="B927" s="13" t="s">
        <v>9</v>
      </c>
      <c r="C927" s="13">
        <v>80.0</v>
      </c>
      <c r="D927" s="15">
        <v>125.0</v>
      </c>
      <c r="E927" s="7">
        <v>1718.0</v>
      </c>
      <c r="F927" s="7">
        <v>2009.0</v>
      </c>
      <c r="G927" s="52">
        <f>IFERROR(SUMIF(Issues!B:B, A927, Issues!H:H), 0)</f>
        <v>2000</v>
      </c>
      <c r="H927" s="52">
        <f>IFERROR(SUMIF(Returns!B:B, A927, Returns!H:H), 0)</f>
        <v>0</v>
      </c>
      <c r="I927" s="52"/>
      <c r="J927" s="3">
        <v>2.0</v>
      </c>
      <c r="K927" s="3">
        <v>108.0</v>
      </c>
      <c r="L927" s="53">
        <f t="shared" si="10"/>
        <v>0</v>
      </c>
      <c r="M927" s="52">
        <f t="shared" si="6"/>
        <v>2000</v>
      </c>
      <c r="N927" s="54">
        <f t="shared" si="7"/>
        <v>2000</v>
      </c>
      <c r="O927" s="54">
        <f t="shared" si="8"/>
        <v>250</v>
      </c>
    </row>
    <row r="928" ht="22.5" customHeight="1">
      <c r="A928" s="15" t="s">
        <v>1147</v>
      </c>
      <c r="B928" s="13" t="s">
        <v>9</v>
      </c>
      <c r="C928" s="13">
        <v>80.0</v>
      </c>
      <c r="D928" s="15">
        <v>125.0</v>
      </c>
      <c r="E928" s="7">
        <v>515.0</v>
      </c>
      <c r="F928" s="7">
        <v>693.0</v>
      </c>
      <c r="G928" s="52">
        <f>IFERROR(SUMIF(Issues!B:B, A928, Issues!H:H), 0)</f>
        <v>745</v>
      </c>
      <c r="H928" s="52">
        <f>IFERROR(SUMIF(Returns!B:B, A928, Returns!H:H), 0)</f>
        <v>0</v>
      </c>
      <c r="I928" s="52"/>
      <c r="J928" s="3">
        <v>2.0</v>
      </c>
      <c r="K928" s="3">
        <v>108.0</v>
      </c>
      <c r="L928" s="53">
        <f t="shared" si="10"/>
        <v>0</v>
      </c>
      <c r="M928" s="52">
        <f t="shared" si="6"/>
        <v>745</v>
      </c>
      <c r="N928" s="54">
        <f t="shared" si="7"/>
        <v>745</v>
      </c>
      <c r="O928" s="54">
        <f t="shared" si="8"/>
        <v>93.125</v>
      </c>
    </row>
    <row r="929" ht="22.5" customHeight="1">
      <c r="A929" s="15" t="s">
        <v>1148</v>
      </c>
      <c r="B929" s="13" t="s">
        <v>26</v>
      </c>
      <c r="C929" s="13">
        <v>80.0</v>
      </c>
      <c r="D929" s="15">
        <v>150.0</v>
      </c>
      <c r="E929" s="7">
        <v>1097.0</v>
      </c>
      <c r="F929" s="7">
        <v>1174.0</v>
      </c>
      <c r="G929" s="52">
        <f>IFERROR(SUMIF(Issues!B:B, A929, Issues!H:H), 0)</f>
        <v>1200</v>
      </c>
      <c r="H929" s="52">
        <f>IFERROR(SUMIF(Returns!B:B, A929, Returns!H:H), 0)</f>
        <v>0</v>
      </c>
      <c r="I929" s="52"/>
      <c r="J929" s="3">
        <v>1.0</v>
      </c>
      <c r="K929" s="3">
        <v>69.0</v>
      </c>
      <c r="L929" s="53">
        <f t="shared" si="10"/>
        <v>0</v>
      </c>
      <c r="M929" s="52">
        <f t="shared" si="6"/>
        <v>1200</v>
      </c>
      <c r="N929" s="54">
        <f t="shared" si="7"/>
        <v>1200</v>
      </c>
      <c r="O929" s="54">
        <f t="shared" si="8"/>
        <v>180</v>
      </c>
    </row>
    <row r="930" ht="22.5" customHeight="1">
      <c r="A930" s="15" t="s">
        <v>1151</v>
      </c>
      <c r="B930" s="13" t="s">
        <v>9</v>
      </c>
      <c r="C930" s="13">
        <v>80.0</v>
      </c>
      <c r="D930" s="15">
        <v>160.0</v>
      </c>
      <c r="E930" s="7">
        <v>1415.0</v>
      </c>
      <c r="F930" s="7">
        <v>1680.0</v>
      </c>
      <c r="G930" s="52">
        <f>IFERROR(SUMIF(Issues!B:B, A930, Issues!H:H), 0)</f>
        <v>3000</v>
      </c>
      <c r="H930" s="52">
        <f>IFERROR(SUMIF(Returns!B:B, A930, Returns!H:H), 0)</f>
        <v>1300</v>
      </c>
      <c r="I930" s="52"/>
      <c r="J930" s="3">
        <v>1.0</v>
      </c>
      <c r="K930" s="3">
        <v>89.0</v>
      </c>
      <c r="L930" s="53">
        <f t="shared" si="10"/>
        <v>0</v>
      </c>
      <c r="M930" s="52">
        <f t="shared" si="6"/>
        <v>1700</v>
      </c>
      <c r="N930" s="54">
        <f t="shared" si="7"/>
        <v>1700</v>
      </c>
      <c r="O930" s="54">
        <f t="shared" si="8"/>
        <v>272</v>
      </c>
    </row>
    <row r="931" ht="22.5" customHeight="1">
      <c r="A931" s="15" t="s">
        <v>1152</v>
      </c>
      <c r="B931" s="13" t="s">
        <v>9</v>
      </c>
      <c r="C931" s="13">
        <v>80.0</v>
      </c>
      <c r="D931" s="15">
        <v>160.0</v>
      </c>
      <c r="E931" s="7">
        <v>5662.0</v>
      </c>
      <c r="F931" s="7">
        <v>5908.0</v>
      </c>
      <c r="G931" s="52">
        <f>IFERROR(SUMIF(Issues!B:B, A931, Issues!H:H), 0)</f>
        <v>6960</v>
      </c>
      <c r="H931" s="52">
        <f>IFERROR(SUMIF(Returns!B:B, A931, Returns!H:H), 0)</f>
        <v>0</v>
      </c>
      <c r="I931" s="52"/>
      <c r="J931" s="3">
        <v>1.0</v>
      </c>
      <c r="K931" s="3">
        <v>89.0</v>
      </c>
      <c r="L931" s="53">
        <f t="shared" si="10"/>
        <v>0</v>
      </c>
      <c r="M931" s="52">
        <f t="shared" si="6"/>
        <v>6960</v>
      </c>
      <c r="N931" s="54">
        <f t="shared" si="7"/>
        <v>6960</v>
      </c>
      <c r="O931" s="54">
        <f t="shared" si="8"/>
        <v>1113.6</v>
      </c>
    </row>
    <row r="932" ht="22.5" customHeight="1">
      <c r="A932" s="15" t="s">
        <v>1153</v>
      </c>
      <c r="B932" s="13" t="s">
        <v>9</v>
      </c>
      <c r="C932" s="13">
        <v>80.0</v>
      </c>
      <c r="D932" s="15">
        <v>160.0</v>
      </c>
      <c r="E932" s="7">
        <v>1415.0</v>
      </c>
      <c r="F932" s="7">
        <v>1670.0</v>
      </c>
      <c r="G932" s="52">
        <f>IFERROR(SUMIF(Issues!B:B, A932, Issues!H:H), 0)</f>
        <v>2870</v>
      </c>
      <c r="H932" s="52">
        <f>IFERROR(SUMIF(Returns!B:B, A932, Returns!H:H), 0)</f>
        <v>1200</v>
      </c>
      <c r="I932" s="52"/>
      <c r="J932" s="3">
        <v>1.0</v>
      </c>
      <c r="K932" s="3">
        <v>89.0</v>
      </c>
      <c r="L932" s="53">
        <f t="shared" si="10"/>
        <v>0</v>
      </c>
      <c r="M932" s="52">
        <f t="shared" si="6"/>
        <v>1670</v>
      </c>
      <c r="N932" s="54">
        <f t="shared" si="7"/>
        <v>1670</v>
      </c>
      <c r="O932" s="54">
        <f t="shared" si="8"/>
        <v>267.2</v>
      </c>
    </row>
    <row r="933" ht="22.5" customHeight="1">
      <c r="A933" s="15" t="s">
        <v>1154</v>
      </c>
      <c r="B933" s="13" t="s">
        <v>9</v>
      </c>
      <c r="C933" s="13">
        <v>80.0</v>
      </c>
      <c r="D933" s="15">
        <v>160.0</v>
      </c>
      <c r="E933" s="7">
        <v>1132.0</v>
      </c>
      <c r="F933" s="7">
        <v>1302.0</v>
      </c>
      <c r="G933" s="52">
        <f>IFERROR(SUMIF(Issues!B:B, A933, Issues!H:H), 0)</f>
        <v>2800</v>
      </c>
      <c r="H933" s="52">
        <f>IFERROR(SUMIF(Returns!B:B, A933, Returns!H:H), 0)</f>
        <v>1500</v>
      </c>
      <c r="I933" s="52"/>
      <c r="J933" s="3">
        <v>1.0</v>
      </c>
      <c r="K933" s="3">
        <v>89.0</v>
      </c>
      <c r="L933" s="53">
        <f t="shared" si="10"/>
        <v>0</v>
      </c>
      <c r="M933" s="52">
        <f t="shared" si="6"/>
        <v>1300</v>
      </c>
      <c r="N933" s="54">
        <f t="shared" si="7"/>
        <v>1300</v>
      </c>
      <c r="O933" s="54">
        <f t="shared" si="8"/>
        <v>208</v>
      </c>
    </row>
    <row r="934" ht="22.5" customHeight="1">
      <c r="A934" s="15" t="s">
        <v>1155</v>
      </c>
      <c r="B934" s="13" t="s">
        <v>9</v>
      </c>
      <c r="C934" s="13">
        <v>80.0</v>
      </c>
      <c r="D934" s="15">
        <v>160.0</v>
      </c>
      <c r="E934" s="7">
        <v>5662.0</v>
      </c>
      <c r="F934" s="7">
        <v>5994.0</v>
      </c>
      <c r="G934" s="52">
        <f>IFERROR(SUMIF(Issues!B:B, A934, Issues!H:H), 0)</f>
        <v>6780</v>
      </c>
      <c r="H934" s="52">
        <f>IFERROR(SUMIF(Returns!B:B, A934, Returns!H:H), 0)</f>
        <v>598</v>
      </c>
      <c r="I934" s="52"/>
      <c r="J934" s="3">
        <v>1.0</v>
      </c>
      <c r="K934" s="3">
        <v>89.0</v>
      </c>
      <c r="L934" s="53">
        <f t="shared" si="10"/>
        <v>0</v>
      </c>
      <c r="M934" s="52">
        <f t="shared" si="6"/>
        <v>6182</v>
      </c>
      <c r="N934" s="54">
        <f t="shared" si="7"/>
        <v>6182</v>
      </c>
      <c r="O934" s="54">
        <f t="shared" si="8"/>
        <v>989.12</v>
      </c>
    </row>
    <row r="935" ht="22.5" customHeight="1">
      <c r="A935" s="15" t="s">
        <v>1156</v>
      </c>
      <c r="B935" s="13" t="s">
        <v>9</v>
      </c>
      <c r="C935" s="13">
        <v>80.0</v>
      </c>
      <c r="D935" s="15">
        <v>290.0</v>
      </c>
      <c r="E935" s="7">
        <v>25000.0</v>
      </c>
      <c r="F935" s="7">
        <v>25162.0</v>
      </c>
      <c r="G935" s="52">
        <f>IFERROR(SUMIF(Issues!B:B, A935, Issues!H:H), 0)</f>
        <v>25250</v>
      </c>
      <c r="H935" s="52">
        <f>IFERROR(SUMIF(Returns!B:B, A935, Returns!H:H), 0)</f>
        <v>0</v>
      </c>
      <c r="I935" s="52"/>
      <c r="J935" s="3">
        <v>2.0</v>
      </c>
      <c r="K935" s="3">
        <v>94.0</v>
      </c>
      <c r="L935" s="53">
        <f t="shared" si="10"/>
        <v>0</v>
      </c>
      <c r="M935" s="52">
        <f t="shared" si="6"/>
        <v>25250</v>
      </c>
      <c r="N935" s="54">
        <f t="shared" si="7"/>
        <v>25250</v>
      </c>
      <c r="O935" s="54">
        <f t="shared" si="8"/>
        <v>7322.5</v>
      </c>
    </row>
    <row r="936" ht="22.5" customHeight="1">
      <c r="A936" s="15" t="s">
        <v>1158</v>
      </c>
      <c r="B936" s="13" t="s">
        <v>9</v>
      </c>
      <c r="C936" s="13">
        <v>80.0</v>
      </c>
      <c r="D936" s="15">
        <v>320.0</v>
      </c>
      <c r="E936" s="7">
        <v>2576.0</v>
      </c>
      <c r="F936" s="7">
        <v>3009.0</v>
      </c>
      <c r="G936" s="52">
        <f>IFERROR(SUMIF(Issues!B:B, A936, Issues!H:H), 0)</f>
        <v>3010</v>
      </c>
      <c r="H936" s="52">
        <f>IFERROR(SUMIF(Returns!B:B, A936, Returns!H:H), 0)</f>
        <v>0</v>
      </c>
      <c r="I936" s="52"/>
      <c r="J936" s="3">
        <v>2.0</v>
      </c>
      <c r="K936" s="3">
        <v>108.0</v>
      </c>
      <c r="L936" s="53">
        <f t="shared" si="10"/>
        <v>0</v>
      </c>
      <c r="M936" s="52">
        <f t="shared" si="6"/>
        <v>3010</v>
      </c>
      <c r="N936" s="54">
        <f t="shared" si="7"/>
        <v>3010</v>
      </c>
      <c r="O936" s="54">
        <f t="shared" si="8"/>
        <v>963.2</v>
      </c>
    </row>
    <row r="937" ht="22.5" customHeight="1">
      <c r="A937" s="15" t="s">
        <v>1159</v>
      </c>
      <c r="B937" s="13" t="s">
        <v>9</v>
      </c>
      <c r="C937" s="13">
        <v>80.0</v>
      </c>
      <c r="D937" s="15">
        <v>180.0</v>
      </c>
      <c r="E937" s="7">
        <v>525.0</v>
      </c>
      <c r="F937" s="7">
        <v>701.0</v>
      </c>
      <c r="G937" s="52">
        <f>IFERROR(SUMIF(Issues!B:B, A937, Issues!H:H), 0)</f>
        <v>2400</v>
      </c>
      <c r="H937" s="52">
        <f>IFERROR(SUMIF(Returns!B:B, A937, Returns!H:H), 0)</f>
        <v>1690</v>
      </c>
      <c r="I937" s="52"/>
      <c r="J937" s="3">
        <v>6.0</v>
      </c>
      <c r="K937" s="3">
        <v>99.0</v>
      </c>
      <c r="L937" s="53">
        <f t="shared" si="10"/>
        <v>0</v>
      </c>
      <c r="M937" s="52">
        <f t="shared" si="6"/>
        <v>710</v>
      </c>
      <c r="N937" s="54">
        <f t="shared" si="7"/>
        <v>710</v>
      </c>
      <c r="O937" s="54">
        <f t="shared" si="8"/>
        <v>127.8</v>
      </c>
    </row>
    <row r="938" ht="22.5" customHeight="1">
      <c r="A938" s="15" t="s">
        <v>1160</v>
      </c>
      <c r="B938" s="13" t="s">
        <v>9</v>
      </c>
      <c r="C938" s="13">
        <v>80.0</v>
      </c>
      <c r="D938" s="15">
        <v>320.0</v>
      </c>
      <c r="E938" s="7">
        <v>1230.0</v>
      </c>
      <c r="F938" s="7">
        <v>1355.0</v>
      </c>
      <c r="G938" s="52">
        <f>IFERROR(SUMIF(Issues!B:B, A938, Issues!H:H), 0)</f>
        <v>2800</v>
      </c>
      <c r="H938" s="52">
        <f>IFERROR(SUMIF(Returns!B:B, A938, Returns!H:H), 0)</f>
        <v>1300</v>
      </c>
      <c r="I938" s="52"/>
      <c r="J938" s="3">
        <v>6.0</v>
      </c>
      <c r="K938" s="3">
        <v>116.0</v>
      </c>
      <c r="L938" s="53">
        <f t="shared" si="10"/>
        <v>0</v>
      </c>
      <c r="M938" s="52">
        <f t="shared" si="6"/>
        <v>1500</v>
      </c>
      <c r="N938" s="54">
        <f t="shared" si="7"/>
        <v>1500</v>
      </c>
      <c r="O938" s="54">
        <f t="shared" si="8"/>
        <v>480</v>
      </c>
    </row>
    <row r="939" ht="22.5" customHeight="1">
      <c r="A939" s="15" t="s">
        <v>1161</v>
      </c>
      <c r="B939" s="13" t="s">
        <v>9</v>
      </c>
      <c r="C939" s="13">
        <v>80.0</v>
      </c>
      <c r="D939" s="15">
        <v>250.0</v>
      </c>
      <c r="E939" s="7">
        <v>2385.0</v>
      </c>
      <c r="F939" s="7">
        <v>2621.0</v>
      </c>
      <c r="G939" s="52">
        <f>IFERROR(SUMIF(Issues!B:B, A939, Issues!H:H), 0)</f>
        <v>3150</v>
      </c>
      <c r="H939" s="52">
        <f>IFERROR(SUMIF(Returns!B:B, A939, Returns!H:H), 0)</f>
        <v>420</v>
      </c>
      <c r="I939" s="52"/>
      <c r="J939" s="3">
        <v>1.0</v>
      </c>
      <c r="K939" s="3">
        <v>75.0</v>
      </c>
      <c r="L939" s="53">
        <f t="shared" si="10"/>
        <v>0</v>
      </c>
      <c r="M939" s="52">
        <f t="shared" si="6"/>
        <v>2730</v>
      </c>
      <c r="N939" s="54">
        <f t="shared" si="7"/>
        <v>2730</v>
      </c>
      <c r="O939" s="54">
        <f t="shared" si="8"/>
        <v>682.5</v>
      </c>
    </row>
    <row r="940" ht="22.5" customHeight="1">
      <c r="A940" s="15" t="s">
        <v>1162</v>
      </c>
      <c r="B940" s="13" t="s">
        <v>9</v>
      </c>
      <c r="C940" s="13">
        <v>80.0</v>
      </c>
      <c r="D940" s="15">
        <v>300.0</v>
      </c>
      <c r="E940" s="7">
        <v>747.0</v>
      </c>
      <c r="F940" s="7">
        <v>1151.0</v>
      </c>
      <c r="G940" s="52">
        <f>IFERROR(SUMIF(Issues!B:B, A940, Issues!H:H), 0)</f>
        <v>1900</v>
      </c>
      <c r="H940" s="52">
        <f>IFERROR(SUMIF(Returns!B:B, A940, Returns!H:H), 0)</f>
        <v>740</v>
      </c>
      <c r="I940" s="52"/>
      <c r="J940" s="3">
        <v>2.0</v>
      </c>
      <c r="K940" s="3">
        <v>94.0</v>
      </c>
      <c r="L940" s="53">
        <f t="shared" si="10"/>
        <v>0</v>
      </c>
      <c r="M940" s="52">
        <f t="shared" si="6"/>
        <v>1160</v>
      </c>
      <c r="N940" s="54">
        <f t="shared" si="7"/>
        <v>1160</v>
      </c>
      <c r="O940" s="54">
        <f t="shared" si="8"/>
        <v>348</v>
      </c>
    </row>
    <row r="941" ht="22.5" customHeight="1">
      <c r="A941" s="15" t="s">
        <v>1163</v>
      </c>
      <c r="B941" s="13" t="s">
        <v>9</v>
      </c>
      <c r="C941" s="13">
        <v>80.0</v>
      </c>
      <c r="D941" s="15">
        <v>250.0</v>
      </c>
      <c r="E941" s="7">
        <v>515.0</v>
      </c>
      <c r="F941" s="7">
        <v>739.0</v>
      </c>
      <c r="G941" s="52">
        <f>IFERROR(SUMIF(Issues!B:B, A941, Issues!H:H), 0)</f>
        <v>1550</v>
      </c>
      <c r="H941" s="52">
        <f>IFERROR(SUMIF(Returns!B:B, A941, Returns!H:H), 0)</f>
        <v>810</v>
      </c>
      <c r="I941" s="52"/>
      <c r="J941" s="3">
        <v>2.0</v>
      </c>
      <c r="K941" s="3">
        <v>108.0</v>
      </c>
      <c r="L941" s="53">
        <f t="shared" si="10"/>
        <v>0</v>
      </c>
      <c r="M941" s="52">
        <f t="shared" si="6"/>
        <v>740</v>
      </c>
      <c r="N941" s="54">
        <f t="shared" si="7"/>
        <v>740</v>
      </c>
      <c r="O941" s="54">
        <f t="shared" si="8"/>
        <v>185</v>
      </c>
    </row>
    <row r="942" ht="22.5" customHeight="1">
      <c r="A942" s="15" t="s">
        <v>1164</v>
      </c>
      <c r="B942" s="13" t="s">
        <v>41</v>
      </c>
      <c r="C942" s="13">
        <v>150.0</v>
      </c>
      <c r="D942" s="15">
        <v>180.0</v>
      </c>
      <c r="E942" s="7">
        <v>10496.0</v>
      </c>
      <c r="F942" s="7">
        <v>11185.0</v>
      </c>
      <c r="G942" s="52">
        <f>IFERROR(SUMIF(Issues!B:B, A942, Issues!H:H), 0)</f>
        <v>11500</v>
      </c>
      <c r="H942" s="52">
        <f>IFERROR(SUMIF(Returns!B:B, A942, Returns!H:H), 0)</f>
        <v>210</v>
      </c>
      <c r="I942" s="52"/>
      <c r="J942" s="3">
        <v>12.0</v>
      </c>
      <c r="K942" s="3">
        <v>99.0</v>
      </c>
      <c r="L942" s="53">
        <f t="shared" si="10"/>
        <v>0</v>
      </c>
      <c r="M942" s="52">
        <f t="shared" si="6"/>
        <v>11290</v>
      </c>
      <c r="N942" s="54">
        <f t="shared" si="7"/>
        <v>11290</v>
      </c>
      <c r="O942" s="54">
        <f t="shared" si="8"/>
        <v>2032.2</v>
      </c>
    </row>
    <row r="943" ht="22.5" customHeight="1">
      <c r="A943" s="15" t="s">
        <v>1165</v>
      </c>
      <c r="B943" s="13" t="s">
        <v>9</v>
      </c>
      <c r="C943" s="13">
        <v>80.0</v>
      </c>
      <c r="D943" s="15">
        <v>150.0</v>
      </c>
      <c r="E943" s="7">
        <v>315.0</v>
      </c>
      <c r="F943" s="7">
        <v>514.0</v>
      </c>
      <c r="G943" s="52">
        <f>IFERROR(SUMIF(Issues!B:B, A943, Issues!H:H), 0)</f>
        <v>1550</v>
      </c>
      <c r="H943" s="52">
        <f>IFERROR(SUMIF(Returns!B:B, A943, Returns!H:H), 0)</f>
        <v>1030</v>
      </c>
      <c r="I943" s="52"/>
      <c r="J943" s="3">
        <v>9.0</v>
      </c>
      <c r="K943" s="3">
        <v>89.0</v>
      </c>
      <c r="L943" s="53">
        <f t="shared" si="10"/>
        <v>0</v>
      </c>
      <c r="M943" s="52">
        <f t="shared" si="6"/>
        <v>520</v>
      </c>
      <c r="N943" s="54">
        <f t="shared" si="7"/>
        <v>520</v>
      </c>
      <c r="O943" s="54">
        <f t="shared" si="8"/>
        <v>78</v>
      </c>
    </row>
    <row r="944" ht="22.5" customHeight="1">
      <c r="A944" s="15" t="s">
        <v>1166</v>
      </c>
      <c r="B944" s="13" t="s">
        <v>9</v>
      </c>
      <c r="C944" s="13">
        <v>80.0</v>
      </c>
      <c r="D944" s="15">
        <v>250.0</v>
      </c>
      <c r="E944" s="7">
        <v>515.0</v>
      </c>
      <c r="F944" s="7">
        <v>719.0</v>
      </c>
      <c r="G944" s="52">
        <f>IFERROR(SUMIF(Issues!B:B, A944, Issues!H:H), 0)</f>
        <v>900</v>
      </c>
      <c r="H944" s="52">
        <f>IFERROR(SUMIF(Returns!B:B, A944, Returns!H:H), 0)</f>
        <v>180</v>
      </c>
      <c r="I944" s="52"/>
      <c r="J944" s="3">
        <v>2.0</v>
      </c>
      <c r="K944" s="3">
        <v>108.0</v>
      </c>
      <c r="L944" s="53">
        <f t="shared" si="10"/>
        <v>0</v>
      </c>
      <c r="M944" s="52">
        <f t="shared" si="6"/>
        <v>720</v>
      </c>
      <c r="N944" s="54">
        <f t="shared" si="7"/>
        <v>720</v>
      </c>
      <c r="O944" s="54">
        <f t="shared" si="8"/>
        <v>180</v>
      </c>
    </row>
    <row r="945" ht="22.5" customHeight="1">
      <c r="A945" s="15" t="s">
        <v>1167</v>
      </c>
      <c r="B945" s="13" t="s">
        <v>9</v>
      </c>
      <c r="C945" s="13">
        <v>80.0</v>
      </c>
      <c r="D945" s="15">
        <v>160.0</v>
      </c>
      <c r="E945" s="7">
        <v>6282.0</v>
      </c>
      <c r="F945" s="7">
        <v>6588.0</v>
      </c>
      <c r="G945" s="52">
        <f>IFERROR(SUMIF(Issues!B:B, A945, Issues!H:H), 0)</f>
        <v>7480</v>
      </c>
      <c r="H945" s="52">
        <f>IFERROR(SUMIF(Returns!B:B, A945, Returns!H:H), 0)</f>
        <v>890</v>
      </c>
      <c r="I945" s="52"/>
      <c r="J945" s="3">
        <v>40.0</v>
      </c>
      <c r="K945" s="3">
        <v>79.0</v>
      </c>
      <c r="L945" s="53">
        <f t="shared" si="10"/>
        <v>0</v>
      </c>
      <c r="M945" s="52">
        <f t="shared" si="6"/>
        <v>6590</v>
      </c>
      <c r="N945" s="54">
        <f t="shared" si="7"/>
        <v>6590</v>
      </c>
      <c r="O945" s="54">
        <f t="shared" si="8"/>
        <v>1054.4</v>
      </c>
    </row>
    <row r="946" ht="22.5" customHeight="1">
      <c r="A946" s="15" t="s">
        <v>1168</v>
      </c>
      <c r="B946" s="13" t="s">
        <v>9</v>
      </c>
      <c r="C946" s="13">
        <v>80.0</v>
      </c>
      <c r="D946" s="15">
        <v>230.0</v>
      </c>
      <c r="E946" s="7">
        <v>657.0</v>
      </c>
      <c r="F946" s="7">
        <v>885.0</v>
      </c>
      <c r="G946" s="52">
        <f>IFERROR(SUMIF(Issues!B:B, A946, Issues!H:H), 0)</f>
        <v>1080</v>
      </c>
      <c r="H946" s="52">
        <f>IFERROR(SUMIF(Returns!B:B, A946, Returns!H:H), 0)</f>
        <v>190</v>
      </c>
      <c r="I946" s="52"/>
      <c r="J946" s="3">
        <v>6.0</v>
      </c>
      <c r="K946" s="3">
        <v>124.0</v>
      </c>
      <c r="L946" s="53">
        <f t="shared" si="10"/>
        <v>0</v>
      </c>
      <c r="M946" s="52">
        <f t="shared" si="6"/>
        <v>890</v>
      </c>
      <c r="N946" s="54">
        <f t="shared" si="7"/>
        <v>890</v>
      </c>
      <c r="O946" s="54">
        <f t="shared" si="8"/>
        <v>204.7</v>
      </c>
    </row>
    <row r="947" ht="22.5" customHeight="1">
      <c r="A947" s="15" t="s">
        <v>1169</v>
      </c>
      <c r="B947" s="13" t="s">
        <v>9</v>
      </c>
      <c r="C947" s="13">
        <v>80.0</v>
      </c>
      <c r="D947" s="15">
        <v>140.0</v>
      </c>
      <c r="E947" s="7">
        <v>585.0</v>
      </c>
      <c r="F947" s="7">
        <v>775.0</v>
      </c>
      <c r="G947" s="52">
        <f>IFERROR(SUMIF(Issues!B:B, A947, Issues!H:H), 0)</f>
        <v>1500</v>
      </c>
      <c r="H947" s="52">
        <f>IFERROR(SUMIF(Returns!B:B, A947, Returns!H:H), 0)</f>
        <v>720</v>
      </c>
      <c r="I947" s="52"/>
      <c r="J947" s="3">
        <v>4.0</v>
      </c>
      <c r="K947" s="3">
        <v>92.0</v>
      </c>
      <c r="L947" s="53">
        <f t="shared" si="10"/>
        <v>0</v>
      </c>
      <c r="M947" s="52">
        <f t="shared" si="6"/>
        <v>780</v>
      </c>
      <c r="N947" s="54">
        <f t="shared" si="7"/>
        <v>780</v>
      </c>
      <c r="O947" s="54">
        <f t="shared" si="8"/>
        <v>109.2</v>
      </c>
    </row>
    <row r="948" ht="22.5" customHeight="1">
      <c r="A948" s="15" t="s">
        <v>1170</v>
      </c>
      <c r="B948" s="13" t="s">
        <v>9</v>
      </c>
      <c r="C948" s="13">
        <v>80.0</v>
      </c>
      <c r="D948" s="15">
        <v>230.0</v>
      </c>
      <c r="E948" s="7">
        <v>263.0</v>
      </c>
      <c r="F948" s="7">
        <v>451.0</v>
      </c>
      <c r="G948" s="52">
        <f>IFERROR(SUMIF(Issues!B:B, A948, Issues!H:H), 0)</f>
        <v>1540</v>
      </c>
      <c r="H948" s="52">
        <f>IFERROR(SUMIF(Returns!B:B, A948, Returns!H:H), 0)</f>
        <v>1080</v>
      </c>
      <c r="I948" s="52"/>
      <c r="J948" s="3">
        <v>6.0</v>
      </c>
      <c r="K948" s="3">
        <v>124.0</v>
      </c>
      <c r="L948" s="53">
        <f t="shared" si="10"/>
        <v>0</v>
      </c>
      <c r="M948" s="52">
        <f t="shared" si="6"/>
        <v>460</v>
      </c>
      <c r="N948" s="54">
        <f t="shared" si="7"/>
        <v>460</v>
      </c>
      <c r="O948" s="54">
        <f t="shared" si="8"/>
        <v>105.8</v>
      </c>
    </row>
    <row r="949" ht="22.5" customHeight="1">
      <c r="A949" s="15" t="s">
        <v>1171</v>
      </c>
      <c r="B949" s="13" t="s">
        <v>9</v>
      </c>
      <c r="C949" s="13">
        <v>80.0</v>
      </c>
      <c r="D949" s="15">
        <v>140.0</v>
      </c>
      <c r="E949" s="7">
        <v>878.0</v>
      </c>
      <c r="F949" s="7">
        <v>1091.0</v>
      </c>
      <c r="G949" s="52">
        <f>IFERROR(SUMIF(Issues!B:B, A949, Issues!H:H), 0)</f>
        <v>2500</v>
      </c>
      <c r="H949" s="52">
        <f>IFERROR(SUMIF(Returns!B:B, A949, Returns!H:H), 0)</f>
        <v>1400</v>
      </c>
      <c r="I949" s="52"/>
      <c r="J949" s="3">
        <v>1.0</v>
      </c>
      <c r="K949" s="3">
        <v>69.0</v>
      </c>
      <c r="L949" s="53">
        <f t="shared" si="10"/>
        <v>0</v>
      </c>
      <c r="M949" s="52">
        <f t="shared" si="6"/>
        <v>1100</v>
      </c>
      <c r="N949" s="54">
        <f t="shared" si="7"/>
        <v>1100</v>
      </c>
      <c r="O949" s="54">
        <f t="shared" si="8"/>
        <v>154</v>
      </c>
    </row>
    <row r="950" ht="22.5" customHeight="1">
      <c r="A950" s="15" t="s">
        <v>1172</v>
      </c>
      <c r="B950" s="13" t="s">
        <v>9</v>
      </c>
      <c r="C950" s="13">
        <v>80.0</v>
      </c>
      <c r="D950" s="15">
        <v>140.0</v>
      </c>
      <c r="E950" s="7">
        <v>1097.0</v>
      </c>
      <c r="F950" s="7">
        <v>1297.0</v>
      </c>
      <c r="G950" s="52">
        <f>IFERROR(SUMIF(Issues!B:B, A950, Issues!H:H), 0)</f>
        <v>1300</v>
      </c>
      <c r="H950" s="52">
        <f>IFERROR(SUMIF(Returns!B:B, A950, Returns!H:H), 0)</f>
        <v>0</v>
      </c>
      <c r="I950" s="52"/>
      <c r="J950" s="3">
        <v>4.0</v>
      </c>
      <c r="K950" s="3">
        <v>92.0</v>
      </c>
      <c r="L950" s="53">
        <f t="shared" si="10"/>
        <v>0</v>
      </c>
      <c r="M950" s="52">
        <f t="shared" si="6"/>
        <v>1300</v>
      </c>
      <c r="N950" s="54">
        <f t="shared" si="7"/>
        <v>1300</v>
      </c>
      <c r="O950" s="54">
        <f t="shared" si="8"/>
        <v>182</v>
      </c>
    </row>
    <row r="951" ht="22.5" customHeight="1">
      <c r="A951" s="15" t="s">
        <v>1174</v>
      </c>
      <c r="B951" s="13" t="s">
        <v>9</v>
      </c>
      <c r="C951" s="13">
        <v>80.0</v>
      </c>
      <c r="D951" s="15">
        <v>185.0</v>
      </c>
      <c r="E951" s="7">
        <v>916.0</v>
      </c>
      <c r="F951" s="7">
        <v>1182.0</v>
      </c>
      <c r="G951" s="52">
        <f>IFERROR(SUMIF(Issues!B:B, A951, Issues!H:H), 0)</f>
        <v>1800</v>
      </c>
      <c r="H951" s="52">
        <f>IFERROR(SUMIF(Returns!B:B, A951, Returns!H:H), 0)</f>
        <v>610</v>
      </c>
      <c r="I951" s="52"/>
      <c r="J951" s="3">
        <v>2.0</v>
      </c>
      <c r="K951" s="3">
        <v>72.0</v>
      </c>
      <c r="L951" s="53">
        <f t="shared" si="10"/>
        <v>0</v>
      </c>
      <c r="M951" s="52">
        <f t="shared" si="6"/>
        <v>1190</v>
      </c>
      <c r="N951" s="54">
        <f t="shared" si="7"/>
        <v>1190</v>
      </c>
      <c r="O951" s="54">
        <f t="shared" si="8"/>
        <v>220.15</v>
      </c>
    </row>
    <row r="952" ht="22.5" customHeight="1">
      <c r="A952" s="15" t="s">
        <v>1175</v>
      </c>
      <c r="B952" s="13" t="s">
        <v>9</v>
      </c>
      <c r="C952" s="13">
        <v>80.0</v>
      </c>
      <c r="D952" s="15">
        <v>140.0</v>
      </c>
      <c r="E952" s="7">
        <v>1317.0</v>
      </c>
      <c r="F952" s="7">
        <v>1631.0</v>
      </c>
      <c r="G952" s="52">
        <f>IFERROR(SUMIF(Issues!B:B, A952, Issues!H:H), 0)</f>
        <v>3200</v>
      </c>
      <c r="H952" s="52">
        <f>IFERROR(SUMIF(Returns!B:B, A952, Returns!H:H), 0)</f>
        <v>1560</v>
      </c>
      <c r="I952" s="52"/>
      <c r="J952" s="3">
        <v>1.0</v>
      </c>
      <c r="K952" s="3">
        <v>69.0</v>
      </c>
      <c r="L952" s="53">
        <f t="shared" si="10"/>
        <v>0</v>
      </c>
      <c r="M952" s="52">
        <f t="shared" si="6"/>
        <v>1640</v>
      </c>
      <c r="N952" s="54">
        <f t="shared" si="7"/>
        <v>1640</v>
      </c>
      <c r="O952" s="54">
        <f t="shared" si="8"/>
        <v>229.6</v>
      </c>
    </row>
    <row r="953" ht="22.5" customHeight="1">
      <c r="A953" s="15" t="s">
        <v>1176</v>
      </c>
      <c r="B953" s="13" t="s">
        <v>9</v>
      </c>
      <c r="C953" s="13">
        <v>80.0</v>
      </c>
      <c r="D953" s="15">
        <v>140.0</v>
      </c>
      <c r="E953" s="7">
        <v>4389.0</v>
      </c>
      <c r="F953" s="7">
        <v>4658.0</v>
      </c>
      <c r="G953" s="52">
        <f>IFERROR(SUMIF(Issues!B:B, A953, Issues!H:H), 0)</f>
        <v>5050</v>
      </c>
      <c r="H953" s="52">
        <f>IFERROR(SUMIF(Returns!B:B, A953, Returns!H:H), 0)</f>
        <v>390</v>
      </c>
      <c r="I953" s="52"/>
      <c r="J953" s="3">
        <v>1.0</v>
      </c>
      <c r="K953" s="3">
        <v>69.0</v>
      </c>
      <c r="L953" s="53">
        <f t="shared" si="10"/>
        <v>0</v>
      </c>
      <c r="M953" s="52">
        <f t="shared" si="6"/>
        <v>4660</v>
      </c>
      <c r="N953" s="54">
        <f t="shared" si="7"/>
        <v>4660</v>
      </c>
      <c r="O953" s="54">
        <f t="shared" si="8"/>
        <v>652.4</v>
      </c>
    </row>
    <row r="954" ht="22.5" customHeight="1">
      <c r="A954" s="15" t="s">
        <v>1177</v>
      </c>
      <c r="B954" s="13" t="s">
        <v>9</v>
      </c>
      <c r="C954" s="13">
        <v>80.0</v>
      </c>
      <c r="D954" s="15">
        <v>140.0</v>
      </c>
      <c r="E954" s="7">
        <v>1317.0</v>
      </c>
      <c r="F954" s="7">
        <v>1585.0</v>
      </c>
      <c r="G954" s="52">
        <f>IFERROR(SUMIF(Issues!B:B, A954, Issues!H:H), 0)</f>
        <v>2580</v>
      </c>
      <c r="H954" s="52">
        <f>IFERROR(SUMIF(Returns!B:B, A954, Returns!H:H), 0)</f>
        <v>990</v>
      </c>
      <c r="I954" s="52"/>
      <c r="J954" s="3">
        <v>1.0</v>
      </c>
      <c r="K954" s="3">
        <v>69.0</v>
      </c>
      <c r="L954" s="53">
        <f t="shared" si="10"/>
        <v>0</v>
      </c>
      <c r="M954" s="52">
        <f t="shared" si="6"/>
        <v>1590</v>
      </c>
      <c r="N954" s="54">
        <f t="shared" si="7"/>
        <v>1590</v>
      </c>
      <c r="O954" s="54">
        <f t="shared" si="8"/>
        <v>222.6</v>
      </c>
    </row>
    <row r="955" ht="22.5" customHeight="1">
      <c r="A955" s="15" t="s">
        <v>1179</v>
      </c>
      <c r="B955" s="13" t="s">
        <v>9</v>
      </c>
      <c r="C955" s="13">
        <v>80.0</v>
      </c>
      <c r="D955" s="15">
        <v>140.0</v>
      </c>
      <c r="E955" s="7">
        <v>2634.0</v>
      </c>
      <c r="F955" s="7">
        <v>3001.0</v>
      </c>
      <c r="G955" s="52">
        <f>IFERROR(SUMIF(Issues!B:B, A955, Issues!H:H), 0)</f>
        <v>4390</v>
      </c>
      <c r="H955" s="52">
        <f>IFERROR(SUMIF(Returns!B:B, A955, Returns!H:H), 0)</f>
        <v>1380</v>
      </c>
      <c r="I955" s="52"/>
      <c r="J955" s="3">
        <v>1.0</v>
      </c>
      <c r="K955" s="3">
        <v>69.0</v>
      </c>
      <c r="L955" s="53">
        <f t="shared" si="10"/>
        <v>0</v>
      </c>
      <c r="M955" s="52">
        <f t="shared" si="6"/>
        <v>3010</v>
      </c>
      <c r="N955" s="54">
        <f t="shared" si="7"/>
        <v>3010</v>
      </c>
      <c r="O955" s="54">
        <f t="shared" si="8"/>
        <v>421.4</v>
      </c>
    </row>
    <row r="956" ht="22.5" customHeight="1">
      <c r="A956" s="15" t="s">
        <v>1180</v>
      </c>
      <c r="B956" s="13" t="s">
        <v>9</v>
      </c>
      <c r="C956" s="13">
        <v>80.0</v>
      </c>
      <c r="D956" s="15">
        <v>230.0</v>
      </c>
      <c r="E956" s="7">
        <v>1463.0</v>
      </c>
      <c r="F956" s="7">
        <v>1722.0</v>
      </c>
      <c r="G956" s="52">
        <f>IFERROR(SUMIF(Issues!B:B, A956, Issues!H:H), 0)</f>
        <v>1800</v>
      </c>
      <c r="H956" s="52">
        <f>IFERROR(SUMIF(Returns!B:B, A956, Returns!H:H), 0)</f>
        <v>0</v>
      </c>
      <c r="I956" s="52"/>
      <c r="J956" s="3">
        <v>2.0</v>
      </c>
      <c r="K956" s="3">
        <v>92.0</v>
      </c>
      <c r="L956" s="53">
        <f t="shared" si="10"/>
        <v>0</v>
      </c>
      <c r="M956" s="52">
        <f t="shared" si="6"/>
        <v>1800</v>
      </c>
      <c r="N956" s="54">
        <f t="shared" si="7"/>
        <v>1800</v>
      </c>
      <c r="O956" s="54">
        <f t="shared" si="8"/>
        <v>414</v>
      </c>
    </row>
    <row r="957" ht="22.5" customHeight="1">
      <c r="A957" s="15" t="s">
        <v>1181</v>
      </c>
      <c r="B957" s="13" t="s">
        <v>26</v>
      </c>
      <c r="C957" s="13">
        <v>80.0</v>
      </c>
      <c r="D957" s="15">
        <v>250.0</v>
      </c>
      <c r="E957" s="7">
        <v>811.0</v>
      </c>
      <c r="F957" s="7">
        <v>1180.0</v>
      </c>
      <c r="G957" s="52">
        <f>IFERROR(SUMIF(Issues!B:B, A957, Issues!H:H), 0)</f>
        <v>1500</v>
      </c>
      <c r="H957" s="52">
        <f>IFERROR(SUMIF(Returns!B:B, A957, Returns!H:H), 0)</f>
        <v>300</v>
      </c>
      <c r="I957" s="52"/>
      <c r="J957" s="3">
        <v>2.0</v>
      </c>
      <c r="K957" s="3">
        <v>85.0</v>
      </c>
      <c r="L957" s="53">
        <f t="shared" si="10"/>
        <v>0</v>
      </c>
      <c r="M957" s="52">
        <f t="shared" si="6"/>
        <v>1200</v>
      </c>
      <c r="N957" s="54">
        <f t="shared" si="7"/>
        <v>1200</v>
      </c>
      <c r="O957" s="54">
        <f t="shared" si="8"/>
        <v>300</v>
      </c>
    </row>
    <row r="958" ht="22.5" customHeight="1">
      <c r="A958" s="15" t="s">
        <v>1182</v>
      </c>
      <c r="B958" s="13" t="s">
        <v>26</v>
      </c>
      <c r="C958" s="13">
        <v>80.0</v>
      </c>
      <c r="D958" s="15">
        <v>190.0</v>
      </c>
      <c r="E958" s="7">
        <v>811.0</v>
      </c>
      <c r="F958" s="7">
        <v>1222.0</v>
      </c>
      <c r="G958" s="52">
        <f>IFERROR(SUMIF(Issues!B:B, A958, Issues!H:H), 0)</f>
        <v>1500</v>
      </c>
      <c r="H958" s="52">
        <f>IFERROR(SUMIF(Returns!B:B, A958, Returns!H:H), 0)</f>
        <v>290</v>
      </c>
      <c r="I958" s="52"/>
      <c r="J958" s="3">
        <v>2.0</v>
      </c>
      <c r="K958" s="3">
        <v>85.0</v>
      </c>
      <c r="L958" s="53">
        <f t="shared" si="10"/>
        <v>0</v>
      </c>
      <c r="M958" s="52">
        <f t="shared" si="6"/>
        <v>1210</v>
      </c>
      <c r="N958" s="54">
        <f t="shared" si="7"/>
        <v>1210</v>
      </c>
      <c r="O958" s="54">
        <f t="shared" si="8"/>
        <v>229.9</v>
      </c>
    </row>
    <row r="959" ht="22.5" customHeight="1">
      <c r="A959" s="15" t="s">
        <v>1183</v>
      </c>
      <c r="B959" s="13" t="s">
        <v>9</v>
      </c>
      <c r="C959" s="13">
        <v>80.0</v>
      </c>
      <c r="D959" s="15">
        <v>180.0</v>
      </c>
      <c r="E959" s="7">
        <v>249.0</v>
      </c>
      <c r="F959" s="7">
        <v>380.0</v>
      </c>
      <c r="G959" s="52">
        <f>IFERROR(SUMIF(Issues!B:B, A959, Issues!H:H), 0)</f>
        <v>1750</v>
      </c>
      <c r="H959" s="52">
        <f>IFERROR(SUMIF(Returns!B:B, A959, Returns!H:H), 0)</f>
        <v>1370</v>
      </c>
      <c r="I959" s="52"/>
      <c r="J959" s="3">
        <v>6.0</v>
      </c>
      <c r="K959" s="3">
        <v>94.0</v>
      </c>
      <c r="L959" s="53">
        <f t="shared" si="10"/>
        <v>0</v>
      </c>
      <c r="M959" s="52">
        <f t="shared" si="6"/>
        <v>380</v>
      </c>
      <c r="N959" s="54">
        <f t="shared" si="7"/>
        <v>380</v>
      </c>
      <c r="O959" s="54">
        <f t="shared" si="8"/>
        <v>68.4</v>
      </c>
    </row>
    <row r="960" ht="22.5" customHeight="1">
      <c r="A960" s="15" t="s">
        <v>1184</v>
      </c>
      <c r="B960" s="13" t="s">
        <v>9</v>
      </c>
      <c r="C960" s="13">
        <v>80.0</v>
      </c>
      <c r="D960" s="15">
        <v>160.0</v>
      </c>
      <c r="E960" s="7">
        <v>938.0</v>
      </c>
      <c r="F960" s="7">
        <v>1450.0</v>
      </c>
      <c r="G960" s="52">
        <f>IFERROR(SUMIF(Issues!B:B, A960, Issues!H:H), 0)</f>
        <v>1500</v>
      </c>
      <c r="H960" s="52">
        <f>IFERROR(SUMIF(Returns!B:B, A960, Returns!H:H), 0)</f>
        <v>0</v>
      </c>
      <c r="I960" s="52"/>
      <c r="J960" s="3">
        <v>4.0</v>
      </c>
      <c r="K960" s="3">
        <v>118.0</v>
      </c>
      <c r="L960" s="53">
        <f t="shared" si="10"/>
        <v>0</v>
      </c>
      <c r="M960" s="52">
        <f t="shared" si="6"/>
        <v>1500</v>
      </c>
      <c r="N960" s="54">
        <f t="shared" si="7"/>
        <v>1500</v>
      </c>
      <c r="O960" s="54">
        <f t="shared" si="8"/>
        <v>240</v>
      </c>
    </row>
    <row r="961" ht="22.5" customHeight="1">
      <c r="A961" s="15" t="s">
        <v>1185</v>
      </c>
      <c r="B961" s="13" t="s">
        <v>9</v>
      </c>
      <c r="C961" s="13">
        <v>80.0</v>
      </c>
      <c r="D961" s="15">
        <v>180.0</v>
      </c>
      <c r="E961" s="7">
        <v>548.0</v>
      </c>
      <c r="F961" s="7">
        <v>720.0</v>
      </c>
      <c r="G961" s="52">
        <f>IFERROR(SUMIF(Issues!B:B, A961, Issues!H:H), 0)</f>
        <v>1370</v>
      </c>
      <c r="H961" s="52">
        <f>IFERROR(SUMIF(Returns!B:B, A961, Returns!H:H), 0)</f>
        <v>650</v>
      </c>
      <c r="I961" s="52"/>
      <c r="J961" s="3">
        <v>6.0</v>
      </c>
      <c r="K961" s="3">
        <v>94.0</v>
      </c>
      <c r="L961" s="53">
        <f t="shared" si="10"/>
        <v>0</v>
      </c>
      <c r="M961" s="52">
        <f t="shared" si="6"/>
        <v>720</v>
      </c>
      <c r="N961" s="54">
        <f t="shared" si="7"/>
        <v>720</v>
      </c>
      <c r="O961" s="54">
        <f t="shared" si="8"/>
        <v>129.6</v>
      </c>
    </row>
    <row r="962" ht="22.5" customHeight="1">
      <c r="A962" s="15" t="s">
        <v>1186</v>
      </c>
      <c r="B962" s="13" t="s">
        <v>9</v>
      </c>
      <c r="C962" s="13">
        <v>80.0</v>
      </c>
      <c r="D962" s="15">
        <v>180.0</v>
      </c>
      <c r="E962" s="7">
        <v>249.0</v>
      </c>
      <c r="F962" s="7">
        <v>398.0</v>
      </c>
      <c r="G962" s="52">
        <f>IFERROR(SUMIF(Issues!B:B, A962, Issues!H:H), 0)</f>
        <v>650</v>
      </c>
      <c r="H962" s="52">
        <f>IFERROR(SUMIF(Returns!B:B, A962, Returns!H:H), 0)</f>
        <v>250</v>
      </c>
      <c r="I962" s="52"/>
      <c r="J962" s="3">
        <v>6.0</v>
      </c>
      <c r="K962" s="3">
        <v>94.0</v>
      </c>
      <c r="L962" s="53">
        <f t="shared" si="10"/>
        <v>0</v>
      </c>
      <c r="M962" s="52">
        <f t="shared" si="6"/>
        <v>400</v>
      </c>
      <c r="N962" s="54">
        <f t="shared" si="7"/>
        <v>400</v>
      </c>
      <c r="O962" s="54">
        <f t="shared" si="8"/>
        <v>72</v>
      </c>
    </row>
    <row r="963" ht="22.5" customHeight="1">
      <c r="A963" s="27"/>
      <c r="B963" s="59"/>
      <c r="C963" s="59"/>
      <c r="D963" s="27"/>
      <c r="E963" s="27"/>
      <c r="F963" s="27"/>
      <c r="G963" s="27"/>
      <c r="H963" s="52">
        <f>IFERROR(SUMIF(Returns!B:B, A963, Returns!H:H), 0)</f>
        <v>0</v>
      </c>
      <c r="I963" s="52"/>
      <c r="J963" s="52"/>
      <c r="K963" s="52"/>
      <c r="L963" s="53">
        <f t="shared" si="10"/>
        <v>0</v>
      </c>
      <c r="M963" s="52">
        <f t="shared" si="6"/>
        <v>0</v>
      </c>
      <c r="N963" s="54">
        <f t="shared" si="7"/>
        <v>0</v>
      </c>
      <c r="O963" s="54">
        <f t="shared" si="8"/>
        <v>0</v>
      </c>
    </row>
    <row r="964" ht="22.5" customHeight="1">
      <c r="A964" s="27"/>
      <c r="B964" s="59"/>
      <c r="C964" s="59"/>
      <c r="D964" s="27"/>
      <c r="E964" s="27"/>
      <c r="F964" s="27"/>
      <c r="G964" s="27"/>
      <c r="H964" s="52">
        <f>IFERROR(SUMIF(Returns!B:B, A964, Returns!H:H), 0)</f>
        <v>0</v>
      </c>
      <c r="I964" s="52"/>
      <c r="J964" s="52"/>
      <c r="K964" s="52"/>
      <c r="L964" s="53">
        <f t="shared" si="10"/>
        <v>0</v>
      </c>
      <c r="M964" s="52">
        <f t="shared" si="6"/>
        <v>0</v>
      </c>
      <c r="N964" s="54">
        <f t="shared" si="7"/>
        <v>0</v>
      </c>
      <c r="O964" s="54">
        <f t="shared" si="8"/>
        <v>0</v>
      </c>
    </row>
    <row r="965" ht="22.5" customHeight="1">
      <c r="A965" s="27"/>
      <c r="B965" s="59"/>
      <c r="C965" s="59"/>
      <c r="D965" s="27"/>
      <c r="E965" s="27"/>
      <c r="F965" s="27"/>
      <c r="G965" s="27"/>
      <c r="H965" s="52">
        <f>IFERROR(SUMIF(Returns!B:B, A965, Returns!H:H), 0)</f>
        <v>0</v>
      </c>
      <c r="I965" s="52"/>
      <c r="J965" s="52"/>
      <c r="K965" s="52"/>
      <c r="L965" s="53">
        <f t="shared" si="10"/>
        <v>0</v>
      </c>
      <c r="M965" s="52">
        <f t="shared" si="6"/>
        <v>0</v>
      </c>
      <c r="N965" s="54">
        <f t="shared" si="7"/>
        <v>0</v>
      </c>
      <c r="O965" s="54">
        <f t="shared" si="8"/>
        <v>0</v>
      </c>
    </row>
    <row r="966" ht="22.5" customHeight="1">
      <c r="A966" s="27"/>
      <c r="B966" s="59"/>
      <c r="C966" s="59"/>
      <c r="D966" s="27"/>
      <c r="E966" s="27"/>
      <c r="F966" s="27"/>
      <c r="G966" s="27"/>
      <c r="H966" s="52">
        <f>IFERROR(SUMIF(Returns!B:B, A966, Returns!H:H), 0)</f>
        <v>0</v>
      </c>
      <c r="I966" s="52"/>
      <c r="J966" s="52"/>
      <c r="K966" s="52"/>
      <c r="L966" s="53">
        <f t="shared" si="10"/>
        <v>0</v>
      </c>
      <c r="M966" s="52">
        <f t="shared" si="6"/>
        <v>0</v>
      </c>
      <c r="N966" s="54">
        <f t="shared" si="7"/>
        <v>0</v>
      </c>
      <c r="O966" s="54">
        <f t="shared" si="8"/>
        <v>0</v>
      </c>
    </row>
    <row r="967" ht="22.5" customHeight="1">
      <c r="A967" s="27"/>
      <c r="B967" s="59"/>
      <c r="C967" s="59"/>
      <c r="D967" s="27"/>
      <c r="E967" s="27"/>
      <c r="F967" s="27"/>
      <c r="G967" s="27"/>
      <c r="H967" s="52">
        <f>IFERROR(SUMIF(Returns!B:B, A967, Returns!H:H), 0)</f>
        <v>0</v>
      </c>
      <c r="I967" s="52"/>
      <c r="J967" s="52"/>
      <c r="K967" s="52"/>
      <c r="L967" s="53">
        <f t="shared" si="10"/>
        <v>0</v>
      </c>
      <c r="M967" s="52">
        <f t="shared" si="6"/>
        <v>0</v>
      </c>
      <c r="N967" s="54">
        <f t="shared" si="7"/>
        <v>0</v>
      </c>
      <c r="O967" s="54">
        <f t="shared" si="8"/>
        <v>0</v>
      </c>
    </row>
    <row r="968" ht="22.5" customHeight="1">
      <c r="A968" s="27"/>
      <c r="B968" s="59"/>
      <c r="C968" s="59"/>
      <c r="D968" s="27"/>
      <c r="E968" s="27"/>
      <c r="F968" s="27"/>
      <c r="G968" s="27"/>
      <c r="H968" s="52">
        <f>IFERROR(SUMIF(Returns!B:B, A968, Returns!H:H), 0)</f>
        <v>0</v>
      </c>
      <c r="I968" s="52"/>
      <c r="J968" s="52"/>
      <c r="K968" s="52"/>
      <c r="L968" s="53">
        <f t="shared" si="10"/>
        <v>0</v>
      </c>
      <c r="M968" s="52">
        <f t="shared" si="6"/>
        <v>0</v>
      </c>
      <c r="N968" s="54">
        <f t="shared" si="7"/>
        <v>0</v>
      </c>
      <c r="O968" s="54">
        <f t="shared" si="8"/>
        <v>0</v>
      </c>
    </row>
    <row r="969" ht="22.5" customHeight="1">
      <c r="A969" s="27"/>
      <c r="B969" s="59"/>
      <c r="C969" s="59"/>
      <c r="D969" s="27"/>
      <c r="E969" s="27"/>
      <c r="F969" s="27"/>
      <c r="G969" s="27"/>
      <c r="H969" s="52">
        <f>IFERROR(SUMIF(Returns!B:B, A969, Returns!H:H), 0)</f>
        <v>0</v>
      </c>
      <c r="I969" s="52"/>
      <c r="J969" s="52"/>
      <c r="K969" s="52"/>
      <c r="L969" s="53">
        <f t="shared" si="10"/>
        <v>0</v>
      </c>
      <c r="M969" s="52">
        <f t="shared" si="6"/>
        <v>0</v>
      </c>
      <c r="N969" s="54">
        <f t="shared" si="7"/>
        <v>0</v>
      </c>
      <c r="O969" s="54">
        <f t="shared" si="8"/>
        <v>0</v>
      </c>
    </row>
    <row r="970" ht="22.5" customHeight="1">
      <c r="A970" s="27"/>
      <c r="B970" s="59"/>
      <c r="C970" s="59"/>
      <c r="D970" s="27"/>
      <c r="E970" s="27"/>
      <c r="F970" s="27"/>
      <c r="G970" s="27"/>
      <c r="H970" s="52">
        <f>IFERROR(SUMIF(Returns!B:B, A970, Returns!H:H), 0)</f>
        <v>0</v>
      </c>
      <c r="I970" s="52"/>
      <c r="J970" s="52"/>
      <c r="K970" s="52"/>
      <c r="L970" s="53">
        <f t="shared" si="10"/>
        <v>0</v>
      </c>
      <c r="M970" s="52">
        <f t="shared" si="6"/>
        <v>0</v>
      </c>
      <c r="N970" s="54">
        <f t="shared" si="7"/>
        <v>0</v>
      </c>
      <c r="O970" s="54">
        <f t="shared" si="8"/>
        <v>0</v>
      </c>
    </row>
    <row r="971" ht="22.5" customHeight="1">
      <c r="A971" s="27"/>
      <c r="B971" s="59"/>
      <c r="C971" s="59"/>
      <c r="D971" s="27"/>
      <c r="E971" s="27"/>
      <c r="F971" s="27"/>
      <c r="G971" s="27"/>
      <c r="H971" s="52">
        <f>IFERROR(SUMIF(Returns!B:B, A971, Returns!H:H), 0)</f>
        <v>0</v>
      </c>
      <c r="I971" s="52"/>
      <c r="J971" s="52"/>
      <c r="K971" s="52"/>
      <c r="L971" s="53">
        <f t="shared" si="10"/>
        <v>0</v>
      </c>
      <c r="M971" s="52">
        <f t="shared" si="6"/>
        <v>0</v>
      </c>
      <c r="N971" s="54">
        <f t="shared" si="7"/>
        <v>0</v>
      </c>
      <c r="O971" s="54">
        <f t="shared" si="8"/>
        <v>0</v>
      </c>
    </row>
    <row r="972" ht="22.5" customHeight="1">
      <c r="A972" s="27"/>
      <c r="B972" s="59"/>
      <c r="C972" s="59"/>
      <c r="D972" s="27"/>
      <c r="E972" s="27"/>
      <c r="F972" s="27"/>
      <c r="G972" s="27"/>
      <c r="H972" s="52">
        <f>IFERROR(SUMIF(Returns!B:B, A972, Returns!H:H), 0)</f>
        <v>0</v>
      </c>
      <c r="I972" s="52"/>
      <c r="J972" s="52"/>
      <c r="K972" s="52"/>
      <c r="L972" s="53">
        <f t="shared" si="10"/>
        <v>0</v>
      </c>
      <c r="M972" s="52">
        <f t="shared" si="6"/>
        <v>0</v>
      </c>
      <c r="N972" s="54">
        <f t="shared" si="7"/>
        <v>0</v>
      </c>
      <c r="O972" s="54">
        <f t="shared" si="8"/>
        <v>0</v>
      </c>
    </row>
    <row r="973" ht="22.5" customHeight="1">
      <c r="A973" s="27"/>
      <c r="B973" s="59"/>
      <c r="C973" s="59"/>
      <c r="D973" s="27"/>
      <c r="E973" s="27"/>
      <c r="F973" s="27"/>
      <c r="G973" s="27"/>
      <c r="H973" s="52">
        <f>IFERROR(SUMIF(Returns!B:B, A973, Returns!H:H), 0)</f>
        <v>0</v>
      </c>
      <c r="I973" s="52"/>
      <c r="J973" s="52"/>
      <c r="K973" s="52"/>
      <c r="L973" s="53">
        <f t="shared" si="10"/>
        <v>0</v>
      </c>
      <c r="M973" s="52">
        <f t="shared" si="6"/>
        <v>0</v>
      </c>
      <c r="N973" s="54">
        <f t="shared" si="7"/>
        <v>0</v>
      </c>
      <c r="O973" s="54">
        <f t="shared" si="8"/>
        <v>0</v>
      </c>
    </row>
    <row r="974" ht="22.5" customHeight="1">
      <c r="A974" s="27"/>
      <c r="B974" s="59"/>
      <c r="C974" s="59"/>
      <c r="D974" s="27"/>
      <c r="E974" s="27"/>
      <c r="F974" s="27"/>
      <c r="G974" s="27"/>
      <c r="H974" s="52">
        <f>IFERROR(SUMIF(Returns!B:B, A974, Returns!H:H), 0)</f>
        <v>0</v>
      </c>
      <c r="I974" s="52"/>
      <c r="J974" s="52"/>
      <c r="K974" s="52"/>
      <c r="L974" s="53">
        <f t="shared" si="10"/>
        <v>0</v>
      </c>
      <c r="M974" s="52">
        <f t="shared" si="6"/>
        <v>0</v>
      </c>
      <c r="N974" s="54">
        <f t="shared" si="7"/>
        <v>0</v>
      </c>
      <c r="O974" s="54">
        <f t="shared" si="8"/>
        <v>0</v>
      </c>
    </row>
    <row r="975" ht="22.5" customHeight="1">
      <c r="A975" s="27"/>
      <c r="B975" s="59"/>
      <c r="C975" s="59"/>
      <c r="D975" s="27"/>
      <c r="E975" s="27"/>
      <c r="F975" s="27"/>
      <c r="G975" s="27"/>
      <c r="H975" s="52">
        <f>IFERROR(SUMIF(Returns!B:B, A975, Returns!H:H), 0)</f>
        <v>0</v>
      </c>
      <c r="I975" s="52"/>
      <c r="J975" s="52"/>
      <c r="K975" s="52"/>
      <c r="L975" s="53">
        <f t="shared" si="10"/>
        <v>0</v>
      </c>
      <c r="M975" s="52">
        <f t="shared" si="6"/>
        <v>0</v>
      </c>
      <c r="N975" s="54">
        <f t="shared" si="7"/>
        <v>0</v>
      </c>
      <c r="O975" s="54">
        <f t="shared" si="8"/>
        <v>0</v>
      </c>
    </row>
    <row r="976" ht="22.5" customHeight="1">
      <c r="A976" s="27"/>
      <c r="B976" s="59"/>
      <c r="C976" s="59"/>
      <c r="D976" s="27"/>
      <c r="E976" s="27"/>
      <c r="F976" s="27"/>
      <c r="G976" s="27"/>
      <c r="H976" s="52">
        <f>IFERROR(SUMIF(Returns!B:B, A976, Returns!H:H), 0)</f>
        <v>0</v>
      </c>
      <c r="I976" s="52"/>
      <c r="J976" s="52"/>
      <c r="K976" s="52"/>
      <c r="L976" s="53">
        <f t="shared" si="10"/>
        <v>0</v>
      </c>
      <c r="M976" s="52">
        <f t="shared" si="6"/>
        <v>0</v>
      </c>
      <c r="N976" s="54">
        <f t="shared" si="7"/>
        <v>0</v>
      </c>
      <c r="O976" s="54">
        <f t="shared" si="8"/>
        <v>0</v>
      </c>
    </row>
    <row r="977" ht="22.5" customHeight="1">
      <c r="A977" s="27"/>
      <c r="B977" s="59"/>
      <c r="C977" s="59"/>
      <c r="D977" s="27"/>
      <c r="E977" s="27"/>
      <c r="F977" s="27"/>
      <c r="G977" s="27"/>
      <c r="H977" s="52">
        <f>IFERROR(SUMIF(Returns!B:B, A977, Returns!H:H), 0)</f>
        <v>0</v>
      </c>
      <c r="I977" s="52"/>
      <c r="J977" s="52"/>
      <c r="K977" s="52"/>
      <c r="L977" s="53">
        <f t="shared" si="10"/>
        <v>0</v>
      </c>
      <c r="M977" s="52">
        <f t="shared" si="6"/>
        <v>0</v>
      </c>
      <c r="N977" s="54">
        <f t="shared" si="7"/>
        <v>0</v>
      </c>
      <c r="O977" s="54">
        <f t="shared" si="8"/>
        <v>0</v>
      </c>
    </row>
  </sheetData>
  <dataValidations>
    <dataValidation type="list" allowBlank="1" showErrorMessage="1" sqref="B2:C977">
      <formula1>#REF!</formula1>
    </dataValidation>
    <dataValidation type="list" allowBlank="1" showErrorMessage="1" sqref="E597:E600">
      <formula1>Masters!$C$2:$C977</formula1>
    </dataValidation>
    <dataValidation type="custom" allowBlank="1" showDropDown="1" sqref="L2:L977 N2:O977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6" width="15.25"/>
  </cols>
  <sheetData>
    <row r="1">
      <c r="A1" s="62" t="str">
        <f>IFERROR(__xludf.DUMMYFUNCTION("UNIQUE(FILTER('Stock In'!C:E, 'Stock In'!C:C&lt;&gt;""""))"),"Material")</f>
        <v>Material</v>
      </c>
      <c r="B1" s="63" t="str">
        <f>IFERROR(__xludf.DUMMYFUNCTION("""COMPUTED_VALUE"""),"GSM/Micron")</f>
        <v>GSM/Micron</v>
      </c>
      <c r="C1" s="64" t="str">
        <f>IFERROR(__xludf.DUMMYFUNCTION("""COMPUTED_VALUE"""),"Web Size (mm)")</f>
        <v>Web Size (mm)</v>
      </c>
      <c r="D1" s="64" t="s">
        <v>12</v>
      </c>
      <c r="E1" s="64" t="s">
        <v>15</v>
      </c>
      <c r="F1" s="64" t="s">
        <v>10</v>
      </c>
      <c r="G1" s="64" t="s">
        <v>782</v>
      </c>
      <c r="H1" s="65" t="s">
        <v>783</v>
      </c>
      <c r="I1" s="66" t="s">
        <v>784</v>
      </c>
      <c r="J1" s="65" t="s">
        <v>785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8" t="str">
        <f>IFERROR(__xludf.DUMMYFUNCTION("""COMPUTED_VALUE"""),"Chromo")</f>
        <v>Chromo</v>
      </c>
      <c r="B2" s="68">
        <f>IFERROR(__xludf.DUMMYFUNCTION("""COMPUTED_VALUE"""),80.0)</f>
        <v>80</v>
      </c>
      <c r="C2" s="69">
        <f>IFERROR(__xludf.DUMMYFUNCTION("""COMPUTED_VALUE"""),125.0)</f>
        <v>125</v>
      </c>
      <c r="D2" s="70">
        <f>IFERROR(SUMIFS('Stock In'!F:F,'Stock In'!C:C,$A2,'Stock In'!D:D,$B2,'Stock In'!E:E,$C2),0)</f>
        <v>169693</v>
      </c>
      <c r="E2" s="70">
        <f>IFERROR(SUMIFS(Issues!H:H,Issues!C:C,$A2,Issues!D:D,$B2,Issues!E:E,$C2),0)</f>
        <v>202047</v>
      </c>
      <c r="F2" s="70">
        <f>IFERROR(SUMIFS(Returns!H:H,Returns!C:C,$A2,Returns!D:D,$B2,Returns!E:E,$C2),0)</f>
        <v>73474</v>
      </c>
      <c r="G2" s="70">
        <f t="shared" ref="G2:G1000" si="1">D2-E2+F2</f>
        <v>41120</v>
      </c>
      <c r="H2" s="71">
        <f t="shared" ref="H2:H1000" si="2">($C2*G2)/1000</f>
        <v>5140</v>
      </c>
      <c r="I2" s="72">
        <f>IFERROR( SUMIFS('Stock In'!I:I,'Stock In'!C:C,$A2,'Stock In'!D:D,$B2,'Stock In'!E:E,$C2) / SUMIFS('Stock In'!H:H,'Stock In'!C:C,$A2,'Stock In'!D:D,$B2,'Stock In'!E:E,$C2) , 0)</f>
        <v>29.20883772</v>
      </c>
      <c r="J2" s="71">
        <f t="shared" ref="J2:J1000" si="3">H2*I2</f>
        <v>150133.4259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8" t="str">
        <f>IFERROR(__xludf.DUMMYFUNCTION("""COMPUTED_VALUE"""),"Chromo")</f>
        <v>Chromo</v>
      </c>
      <c r="B3" s="68">
        <f>IFERROR(__xludf.DUMMYFUNCTION("""COMPUTED_VALUE"""),80.0)</f>
        <v>80</v>
      </c>
      <c r="C3" s="69">
        <f>IFERROR(__xludf.DUMMYFUNCTION("""COMPUTED_VALUE"""),140.0)</f>
        <v>140</v>
      </c>
      <c r="D3" s="70">
        <f>IFERROR(SUMIFS('Stock In'!F:F,'Stock In'!C:C,$A3,'Stock In'!D:D,$B3,'Stock In'!E:E,$C3),0)</f>
        <v>192340</v>
      </c>
      <c r="E3" s="70">
        <f>IFERROR(SUMIFS(Issues!H:H,Issues!C:C,$A3,Issues!D:D,$B3,Issues!E:E,$C3),0)</f>
        <v>182781</v>
      </c>
      <c r="F3" s="70">
        <f>IFERROR(SUMIFS(Returns!H:H,Returns!C:C,$A3,Returns!D:D,$B3,Returns!E:E,$C3),0)</f>
        <v>57350</v>
      </c>
      <c r="G3" s="70">
        <f t="shared" si="1"/>
        <v>66909</v>
      </c>
      <c r="H3" s="71">
        <f t="shared" si="2"/>
        <v>9367.26</v>
      </c>
      <c r="I3" s="72">
        <f>IFERROR( SUMIFS('Stock In'!I:I,'Stock In'!C:C,$A3,'Stock In'!D:D,$B3,'Stock In'!E:E,$C3) / SUMIFS('Stock In'!H:H,'Stock In'!C:C,$A3,'Stock In'!D:D,$B3,'Stock In'!E:E,$C3) , 0)</f>
        <v>26.97717583</v>
      </c>
      <c r="J3" s="71">
        <f t="shared" si="3"/>
        <v>252702.2201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8" t="str">
        <f>IFERROR(__xludf.DUMMYFUNCTION("""COMPUTED_VALUE"""),"Chromo")</f>
        <v>Chromo</v>
      </c>
      <c r="B4" s="68">
        <f>IFERROR(__xludf.DUMMYFUNCTION("""COMPUTED_VALUE"""),80.0)</f>
        <v>80</v>
      </c>
      <c r="C4" s="69">
        <f>IFERROR(__xludf.DUMMYFUNCTION("""COMPUTED_VALUE"""),150.0)</f>
        <v>150</v>
      </c>
      <c r="D4" s="70">
        <f>IFERROR(SUMIFS('Stock In'!F:F,'Stock In'!C:C,$A4,'Stock In'!D:D,$B4,'Stock In'!E:E,$C4),0)</f>
        <v>80040</v>
      </c>
      <c r="E4" s="70">
        <f>IFERROR(SUMIFS(Issues!H:H,Issues!C:C,$A4,Issues!D:D,$B4,Issues!E:E,$C4),0)</f>
        <v>54310</v>
      </c>
      <c r="F4" s="70">
        <f>IFERROR(SUMIFS(Returns!H:H,Returns!C:C,$A4,Returns!D:D,$B4,Returns!E:E,$C4),0)</f>
        <v>15150</v>
      </c>
      <c r="G4" s="70">
        <f t="shared" si="1"/>
        <v>40880</v>
      </c>
      <c r="H4" s="71">
        <f t="shared" si="2"/>
        <v>6132</v>
      </c>
      <c r="I4" s="72">
        <f>IFERROR( SUMIFS('Stock In'!I:I,'Stock In'!C:C,$A4,'Stock In'!D:D,$B4,'Stock In'!E:E,$C4) / SUMIFS('Stock In'!H:H,'Stock In'!C:C,$A4,'Stock In'!D:D,$B4,'Stock In'!E:E,$C4) , 0)</f>
        <v>29.87445277</v>
      </c>
      <c r="J4" s="71">
        <f t="shared" si="3"/>
        <v>183190.1444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8" t="str">
        <f>IFERROR(__xludf.DUMMYFUNCTION("""COMPUTED_VALUE"""),"Chromo")</f>
        <v>Chromo</v>
      </c>
      <c r="B5" s="68">
        <f>IFERROR(__xludf.DUMMYFUNCTION("""COMPUTED_VALUE"""),80.0)</f>
        <v>80</v>
      </c>
      <c r="C5" s="69">
        <f>IFERROR(__xludf.DUMMYFUNCTION("""COMPUTED_VALUE"""),160.0)</f>
        <v>160</v>
      </c>
      <c r="D5" s="70">
        <f>IFERROR(SUMIFS('Stock In'!F:F,'Stock In'!C:C,$A5,'Stock In'!D:D,$B5,'Stock In'!E:E,$C5),0)</f>
        <v>283870</v>
      </c>
      <c r="E5" s="70">
        <f>IFERROR(SUMIFS(Issues!H:H,Issues!C:C,$A5,Issues!D:D,$B5,Issues!E:E,$C5),0)</f>
        <v>233235</v>
      </c>
      <c r="F5" s="70">
        <f>IFERROR(SUMIFS(Returns!H:H,Returns!C:C,$A5,Returns!D:D,$B5,Returns!E:E,$C5),0)</f>
        <v>48822</v>
      </c>
      <c r="G5" s="70">
        <f t="shared" si="1"/>
        <v>99457</v>
      </c>
      <c r="H5" s="71">
        <f t="shared" si="2"/>
        <v>15913.12</v>
      </c>
      <c r="I5" s="72">
        <f>IFERROR( SUMIFS('Stock In'!I:I,'Stock In'!C:C,$A5,'Stock In'!D:D,$B5,'Stock In'!E:E,$C5) / SUMIFS('Stock In'!H:H,'Stock In'!C:C,$A5,'Stock In'!D:D,$B5,'Stock In'!E:E,$C5) , 0)</f>
        <v>27.34480079</v>
      </c>
      <c r="J5" s="71">
        <f t="shared" si="3"/>
        <v>435141.0963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8" t="str">
        <f>IFERROR(__xludf.DUMMYFUNCTION("""COMPUTED_VALUE"""),"Chromo")</f>
        <v>Chromo</v>
      </c>
      <c r="B6" s="68">
        <f>IFERROR(__xludf.DUMMYFUNCTION("""COMPUTED_VALUE"""),80.0)</f>
        <v>80</v>
      </c>
      <c r="C6" s="69">
        <f>IFERROR(__xludf.DUMMYFUNCTION("""COMPUTED_VALUE"""),170.0)</f>
        <v>170</v>
      </c>
      <c r="D6" s="70">
        <f>IFERROR(SUMIFS('Stock In'!F:F,'Stock In'!C:C,$A6,'Stock In'!D:D,$B6,'Stock In'!E:E,$C6),0)</f>
        <v>75820</v>
      </c>
      <c r="E6" s="70">
        <f>IFERROR(SUMIFS(Issues!H:H,Issues!C:C,$A6,Issues!D:D,$B6,Issues!E:E,$C6),0)</f>
        <v>46330</v>
      </c>
      <c r="F6" s="70">
        <f>IFERROR(SUMIFS(Returns!H:H,Returns!C:C,$A6,Returns!D:D,$B6,Returns!E:E,$C6),0)</f>
        <v>20380</v>
      </c>
      <c r="G6" s="70">
        <f t="shared" si="1"/>
        <v>49870</v>
      </c>
      <c r="H6" s="71">
        <f t="shared" si="2"/>
        <v>8477.9</v>
      </c>
      <c r="I6" s="72">
        <f>IFERROR( SUMIFS('Stock In'!I:I,'Stock In'!C:C,$A6,'Stock In'!D:D,$B6,'Stock In'!E:E,$C6) / SUMIFS('Stock In'!H:H,'Stock In'!C:C,$A6,'Stock In'!D:D,$B6,'Stock In'!E:E,$C6) , 0)</f>
        <v>30.6780823</v>
      </c>
      <c r="J6" s="71">
        <f t="shared" si="3"/>
        <v>260085.7139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8" t="str">
        <f>IFERROR(__xludf.DUMMYFUNCTION("""COMPUTED_VALUE"""),"Chromo")</f>
        <v>Chromo</v>
      </c>
      <c r="B7" s="68">
        <f>IFERROR(__xludf.DUMMYFUNCTION("""COMPUTED_VALUE"""),60.0)</f>
        <v>60</v>
      </c>
      <c r="C7" s="69">
        <f>IFERROR(__xludf.DUMMYFUNCTION("""COMPUTED_VALUE"""),170.0)</f>
        <v>170</v>
      </c>
      <c r="D7" s="70">
        <f>IFERROR(SUMIFS('Stock In'!F:F,'Stock In'!C:C,$A7,'Stock In'!D:D,$B7,'Stock In'!E:E,$C7),0)</f>
        <v>2200</v>
      </c>
      <c r="E7" s="70">
        <f>IFERROR(SUMIFS(Issues!H:H,Issues!C:C,$A7,Issues!D:D,$B7,Issues!E:E,$C7),0)</f>
        <v>0</v>
      </c>
      <c r="F7" s="70">
        <f>IFERROR(SUMIFS(Returns!H:H,Returns!C:C,$A7,Returns!D:D,$B7,Returns!E:E,$C7),0)</f>
        <v>0</v>
      </c>
      <c r="G7" s="70">
        <f t="shared" si="1"/>
        <v>2200</v>
      </c>
      <c r="H7" s="71">
        <f t="shared" si="2"/>
        <v>374</v>
      </c>
      <c r="I7" s="72">
        <f>IFERROR( SUMIFS('Stock In'!I:I,'Stock In'!C:C,$A7,'Stock In'!D:D,$B7,'Stock In'!E:E,$C7) / SUMIFS('Stock In'!H:H,'Stock In'!C:C,$A7,'Stock In'!D:D,$B7,'Stock In'!E:E,$C7) , 0)</f>
        <v>29</v>
      </c>
      <c r="J7" s="71">
        <f t="shared" si="3"/>
        <v>10846</v>
      </c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8" t="str">
        <f>IFERROR(__xludf.DUMMYFUNCTION("""COMPUTED_VALUE"""),"Chromo")</f>
        <v>Chromo</v>
      </c>
      <c r="B8" s="68">
        <f>IFERROR(__xludf.DUMMYFUNCTION("""COMPUTED_VALUE"""),80.0)</f>
        <v>80</v>
      </c>
      <c r="C8" s="69">
        <f>IFERROR(__xludf.DUMMYFUNCTION("""COMPUTED_VALUE"""),180.0)</f>
        <v>180</v>
      </c>
      <c r="D8" s="70">
        <f>IFERROR(SUMIFS('Stock In'!F:F,'Stock In'!C:C,$A8,'Stock In'!D:D,$B8,'Stock In'!E:E,$C8),0)</f>
        <v>140675</v>
      </c>
      <c r="E8" s="70">
        <f>IFERROR(SUMIFS(Issues!H:H,Issues!C:C,$A8,Issues!D:D,$B8,Issues!E:E,$C8),0)</f>
        <v>97939</v>
      </c>
      <c r="F8" s="70">
        <f>IFERROR(SUMIFS(Returns!H:H,Returns!C:C,$A8,Returns!D:D,$B8,Returns!E:E,$C8),0)</f>
        <v>33148</v>
      </c>
      <c r="G8" s="70">
        <f t="shared" si="1"/>
        <v>75884</v>
      </c>
      <c r="H8" s="71">
        <f t="shared" si="2"/>
        <v>13659.12</v>
      </c>
      <c r="I8" s="72">
        <f>IFERROR( SUMIFS('Stock In'!I:I,'Stock In'!C:C,$A8,'Stock In'!D:D,$B8,'Stock In'!E:E,$C8) / SUMIFS('Stock In'!H:H,'Stock In'!C:C,$A8,'Stock In'!D:D,$B8,'Stock In'!E:E,$C8) , 0)</f>
        <v>29.98745904</v>
      </c>
      <c r="J8" s="71">
        <f t="shared" si="3"/>
        <v>409602.3015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8" t="str">
        <f>IFERROR(__xludf.DUMMYFUNCTION("""COMPUTED_VALUE"""),"Chromo")</f>
        <v>Chromo</v>
      </c>
      <c r="B9" s="68">
        <f>IFERROR(__xludf.DUMMYFUNCTION("""COMPUTED_VALUE"""),80.0)</f>
        <v>80</v>
      </c>
      <c r="C9" s="69">
        <f>IFERROR(__xludf.DUMMYFUNCTION("""COMPUTED_VALUE"""),190.0)</f>
        <v>190</v>
      </c>
      <c r="D9" s="70">
        <f>IFERROR(SUMIFS('Stock In'!F:F,'Stock In'!C:C,$A9,'Stock In'!D:D,$B9,'Stock In'!E:E,$C9),0)</f>
        <v>33500</v>
      </c>
      <c r="E9" s="70">
        <f>IFERROR(SUMIFS(Issues!H:H,Issues!C:C,$A9,Issues!D:D,$B9,Issues!E:E,$C9),0)</f>
        <v>5550</v>
      </c>
      <c r="F9" s="70">
        <f>IFERROR(SUMIFS(Returns!H:H,Returns!C:C,$A9,Returns!D:D,$B9,Returns!E:E,$C9),0)</f>
        <v>2490</v>
      </c>
      <c r="G9" s="70">
        <f t="shared" si="1"/>
        <v>30440</v>
      </c>
      <c r="H9" s="71">
        <f t="shared" si="2"/>
        <v>5783.6</v>
      </c>
      <c r="I9" s="72">
        <f>IFERROR( SUMIFS('Stock In'!I:I,'Stock In'!C:C,$A9,'Stock In'!D:D,$B9,'Stock In'!E:E,$C9) / SUMIFS('Stock In'!H:H,'Stock In'!C:C,$A9,'Stock In'!D:D,$B9,'Stock In'!E:E,$C9) , 0)</f>
        <v>41.38468657</v>
      </c>
      <c r="J9" s="71">
        <f t="shared" si="3"/>
        <v>239352.4732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8" t="str">
        <f>IFERROR(__xludf.DUMMYFUNCTION("""COMPUTED_VALUE"""),"Chromo")</f>
        <v>Chromo</v>
      </c>
      <c r="B10" s="68">
        <f>IFERROR(__xludf.DUMMYFUNCTION("""COMPUTED_VALUE"""),80.0)</f>
        <v>80</v>
      </c>
      <c r="C10" s="69">
        <f>IFERROR(__xludf.DUMMYFUNCTION("""COMPUTED_VALUE"""),210.0)</f>
        <v>210</v>
      </c>
      <c r="D10" s="70">
        <f>IFERROR(SUMIFS('Stock In'!F:F,'Stock In'!C:C,$A10,'Stock In'!D:D,$B10,'Stock In'!E:E,$C10),0)</f>
        <v>140235</v>
      </c>
      <c r="E10" s="70">
        <f>IFERROR(SUMIFS(Issues!H:H,Issues!C:C,$A10,Issues!D:D,$B10,Issues!E:E,$C10),0)</f>
        <v>120665</v>
      </c>
      <c r="F10" s="70">
        <f>IFERROR(SUMIFS(Returns!H:H,Returns!C:C,$A10,Returns!D:D,$B10,Returns!E:E,$C10),0)</f>
        <v>44414</v>
      </c>
      <c r="G10" s="70">
        <f t="shared" si="1"/>
        <v>63984</v>
      </c>
      <c r="H10" s="71">
        <f t="shared" si="2"/>
        <v>13436.64</v>
      </c>
      <c r="I10" s="72">
        <f>IFERROR( SUMIFS('Stock In'!I:I,'Stock In'!C:C,$A10,'Stock In'!D:D,$B10,'Stock In'!E:E,$C10) / SUMIFS('Stock In'!H:H,'Stock In'!C:C,$A10,'Stock In'!D:D,$B10,'Stock In'!E:E,$C10) , 0)</f>
        <v>29.57298749</v>
      </c>
      <c r="J10" s="71">
        <f t="shared" si="3"/>
        <v>397361.5866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8" t="str">
        <f>IFERROR(__xludf.DUMMYFUNCTION("""COMPUTED_VALUE"""),"Chromo")</f>
        <v>Chromo</v>
      </c>
      <c r="B11" s="68">
        <f>IFERROR(__xludf.DUMMYFUNCTION("""COMPUTED_VALUE"""),80.0)</f>
        <v>80</v>
      </c>
      <c r="C11" s="69">
        <f>IFERROR(__xludf.DUMMYFUNCTION("""COMPUTED_VALUE"""),250.0)</f>
        <v>250</v>
      </c>
      <c r="D11" s="70">
        <f>IFERROR(SUMIFS('Stock In'!F:F,'Stock In'!C:C,$A11,'Stock In'!D:D,$B11,'Stock In'!E:E,$C11),0)</f>
        <v>190997</v>
      </c>
      <c r="E11" s="70">
        <f>IFERROR(SUMIFS(Issues!H:H,Issues!C:C,$A11,Issues!D:D,$B11,Issues!E:E,$C11),0)</f>
        <v>172620</v>
      </c>
      <c r="F11" s="70">
        <f>IFERROR(SUMIFS(Returns!H:H,Returns!C:C,$A11,Returns!D:D,$B11,Returns!E:E,$C11),0)</f>
        <v>27670</v>
      </c>
      <c r="G11" s="70">
        <f t="shared" si="1"/>
        <v>46047</v>
      </c>
      <c r="H11" s="71">
        <f t="shared" si="2"/>
        <v>11511.75</v>
      </c>
      <c r="I11" s="72">
        <f>IFERROR( SUMIFS('Stock In'!I:I,'Stock In'!C:C,$A11,'Stock In'!D:D,$B11,'Stock In'!E:E,$C11) / SUMIFS('Stock In'!H:H,'Stock In'!C:C,$A11,'Stock In'!D:D,$B11,'Stock In'!E:E,$C11) , 0)</f>
        <v>50.97376859</v>
      </c>
      <c r="J11" s="71">
        <f t="shared" si="3"/>
        <v>586797.2806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8" t="str">
        <f>IFERROR(__xludf.DUMMYFUNCTION("""COMPUTED_VALUE"""),"Chromo")</f>
        <v>Chromo</v>
      </c>
      <c r="B12" s="68">
        <f>IFERROR(__xludf.DUMMYFUNCTION("""COMPUTED_VALUE"""),80.0)</f>
        <v>80</v>
      </c>
      <c r="C12" s="69">
        <f>IFERROR(__xludf.DUMMYFUNCTION("""COMPUTED_VALUE"""),280.0)</f>
        <v>280</v>
      </c>
      <c r="D12" s="70">
        <f>IFERROR(SUMIFS('Stock In'!F:F,'Stock In'!C:C,$A12,'Stock In'!D:D,$B12,'Stock In'!E:E,$C12),0)</f>
        <v>53025</v>
      </c>
      <c r="E12" s="70">
        <f>IFERROR(SUMIFS(Issues!H:H,Issues!C:C,$A12,Issues!D:D,$B12,Issues!E:E,$C12),0)</f>
        <v>57625</v>
      </c>
      <c r="F12" s="70">
        <f>IFERROR(SUMIFS(Returns!H:H,Returns!C:C,$A12,Returns!D:D,$B12,Returns!E:E,$C12),0)</f>
        <v>13780</v>
      </c>
      <c r="G12" s="70">
        <f t="shared" si="1"/>
        <v>9180</v>
      </c>
      <c r="H12" s="71">
        <f t="shared" si="2"/>
        <v>2570.4</v>
      </c>
      <c r="I12" s="72">
        <f>IFERROR( SUMIFS('Stock In'!I:I,'Stock In'!C:C,$A12,'Stock In'!D:D,$B12,'Stock In'!E:E,$C12) / SUMIFS('Stock In'!H:H,'Stock In'!C:C,$A12,'Stock In'!D:D,$B12,'Stock In'!E:E,$C12) , 0)</f>
        <v>29.07235266</v>
      </c>
      <c r="J12" s="71">
        <f t="shared" si="3"/>
        <v>74727.57529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8" t="str">
        <f>IFERROR(__xludf.DUMMYFUNCTION("""COMPUTED_VALUE"""),"Chromo")</f>
        <v>Chromo</v>
      </c>
      <c r="B13" s="68">
        <f>IFERROR(__xludf.DUMMYFUNCTION("""COMPUTED_VALUE"""),80.0)</f>
        <v>80</v>
      </c>
      <c r="C13" s="69">
        <f>IFERROR(__xludf.DUMMYFUNCTION("""COMPUTED_VALUE"""),290.0)</f>
        <v>290</v>
      </c>
      <c r="D13" s="70">
        <f>IFERROR(SUMIFS('Stock In'!F:F,'Stock In'!C:C,$A13,'Stock In'!D:D,$B13,'Stock In'!E:E,$C13),0)</f>
        <v>363040</v>
      </c>
      <c r="E13" s="70">
        <f>IFERROR(SUMIFS(Issues!H:H,Issues!C:C,$A13,Issues!D:D,$B13,Issues!E:E,$C13),0)</f>
        <v>310420</v>
      </c>
      <c r="F13" s="70">
        <f>IFERROR(SUMIFS(Returns!H:H,Returns!C:C,$A13,Returns!D:D,$B13,Returns!E:E,$C13),0)</f>
        <v>54180</v>
      </c>
      <c r="G13" s="70">
        <f t="shared" si="1"/>
        <v>106800</v>
      </c>
      <c r="H13" s="71">
        <f t="shared" si="2"/>
        <v>30972</v>
      </c>
      <c r="I13" s="72">
        <f>IFERROR( SUMIFS('Stock In'!I:I,'Stock In'!C:C,$A13,'Stock In'!D:D,$B13,'Stock In'!E:E,$C13) / SUMIFS('Stock In'!H:H,'Stock In'!C:C,$A13,'Stock In'!D:D,$B13,'Stock In'!E:E,$C13) , 0)</f>
        <v>29.51982123</v>
      </c>
      <c r="J13" s="71">
        <f t="shared" si="3"/>
        <v>914287.9032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8" t="str">
        <f>IFERROR(__xludf.DUMMYFUNCTION("""COMPUTED_VALUE"""),"C-MIRRORCOAT")</f>
        <v>C-MIRRORCOAT</v>
      </c>
      <c r="B14" s="68">
        <f>IFERROR(__xludf.DUMMYFUNCTION("""COMPUTED_VALUE"""),80.0)</f>
        <v>80</v>
      </c>
      <c r="C14" s="69">
        <f>IFERROR(__xludf.DUMMYFUNCTION("""COMPUTED_VALUE"""),290.0)</f>
        <v>290</v>
      </c>
      <c r="D14" s="70">
        <f>IFERROR(SUMIFS('Stock In'!F:F,'Stock In'!C:C,$A14,'Stock In'!D:D,$B14,'Stock In'!E:E,$C14),0)</f>
        <v>4920</v>
      </c>
      <c r="E14" s="70">
        <f>IFERROR(SUMIFS(Issues!H:H,Issues!C:C,$A14,Issues!D:D,$B14,Issues!E:E,$C14),0)</f>
        <v>0</v>
      </c>
      <c r="F14" s="70">
        <f>IFERROR(SUMIFS(Returns!H:H,Returns!C:C,$A14,Returns!D:D,$B14,Returns!E:E,$C14),0)</f>
        <v>0</v>
      </c>
      <c r="G14" s="70">
        <f t="shared" si="1"/>
        <v>4920</v>
      </c>
      <c r="H14" s="71">
        <f t="shared" si="2"/>
        <v>1426.8</v>
      </c>
      <c r="I14" s="72">
        <f>IFERROR( SUMIFS('Stock In'!I:I,'Stock In'!C:C,$A14,'Stock In'!D:D,$B14,'Stock In'!E:E,$C14) / SUMIFS('Stock In'!H:H,'Stock In'!C:C,$A14,'Stock In'!D:D,$B14,'Stock In'!E:E,$C14) , 0)</f>
        <v>46.78081301</v>
      </c>
      <c r="J14" s="71">
        <f t="shared" si="3"/>
        <v>66746.864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8" t="str">
        <f>IFERROR(__xludf.DUMMYFUNCTION("""COMPUTED_VALUE"""),"C-MIRRORCOAT")</f>
        <v>C-MIRRORCOAT</v>
      </c>
      <c r="B15" s="68">
        <f>IFERROR(__xludf.DUMMYFUNCTION("""COMPUTED_VALUE"""),80.0)</f>
        <v>80</v>
      </c>
      <c r="C15" s="69">
        <f>IFERROR(__xludf.DUMMYFUNCTION("""COMPUTED_VALUE"""),300.0)</f>
        <v>300</v>
      </c>
      <c r="D15" s="70">
        <f>IFERROR(SUMIFS('Stock In'!F:F,'Stock In'!C:C,$A15,'Stock In'!D:D,$B15,'Stock In'!E:E,$C15),0)</f>
        <v>2000</v>
      </c>
      <c r="E15" s="70">
        <f>IFERROR(SUMIFS(Issues!H:H,Issues!C:C,$A15,Issues!D:D,$B15,Issues!E:E,$C15),0)</f>
        <v>0</v>
      </c>
      <c r="F15" s="70">
        <f>IFERROR(SUMIFS(Returns!H:H,Returns!C:C,$A15,Returns!D:D,$B15,Returns!E:E,$C15),0)</f>
        <v>0</v>
      </c>
      <c r="G15" s="70">
        <f t="shared" si="1"/>
        <v>2000</v>
      </c>
      <c r="H15" s="71">
        <f t="shared" si="2"/>
        <v>600</v>
      </c>
      <c r="I15" s="72">
        <f>IFERROR( SUMIFS('Stock In'!I:I,'Stock In'!C:C,$A15,'Stock In'!D:D,$B15,'Stock In'!E:E,$C15) / SUMIFS('Stock In'!H:H,'Stock In'!C:C,$A15,'Stock In'!D:D,$B15,'Stock In'!E:E,$C15) , 0)</f>
        <v>46</v>
      </c>
      <c r="J15" s="71">
        <f t="shared" si="3"/>
        <v>27600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8" t="str">
        <f>IFERROR(__xludf.DUMMYFUNCTION("""COMPUTED_VALUE"""),"Chromo")</f>
        <v>Chromo</v>
      </c>
      <c r="B16" s="68">
        <f>IFERROR(__xludf.DUMMYFUNCTION("""COMPUTED_VALUE"""),80.0)</f>
        <v>80</v>
      </c>
      <c r="C16" s="69">
        <f>IFERROR(__xludf.DUMMYFUNCTION("""COMPUTED_VALUE"""),300.0)</f>
        <v>300</v>
      </c>
      <c r="D16" s="70">
        <f>IFERROR(SUMIFS('Stock In'!F:F,'Stock In'!C:C,$A16,'Stock In'!D:D,$B16,'Stock In'!E:E,$C16),0)</f>
        <v>54665</v>
      </c>
      <c r="E16" s="70">
        <f>IFERROR(SUMIFS(Issues!H:H,Issues!C:C,$A16,Issues!D:D,$B16,Issues!E:E,$C16),0)</f>
        <v>51250</v>
      </c>
      <c r="F16" s="70">
        <f>IFERROR(SUMIFS(Returns!H:H,Returns!C:C,$A16,Returns!D:D,$B16,Returns!E:E,$C16),0)</f>
        <v>8450</v>
      </c>
      <c r="G16" s="70">
        <f t="shared" si="1"/>
        <v>11865</v>
      </c>
      <c r="H16" s="71">
        <f t="shared" si="2"/>
        <v>3559.5</v>
      </c>
      <c r="I16" s="72">
        <f>IFERROR( SUMIFS('Stock In'!I:I,'Stock In'!C:C,$A16,'Stock In'!D:D,$B16,'Stock In'!E:E,$C16) / SUMIFS('Stock In'!H:H,'Stock In'!C:C,$A16,'Stock In'!D:D,$B16,'Stock In'!E:E,$C16) , 0)</f>
        <v>29.3455648</v>
      </c>
      <c r="J16" s="71">
        <f t="shared" si="3"/>
        <v>104455.5379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8" t="str">
        <f>IFERROR(__xludf.DUMMYFUNCTION("""COMPUTED_VALUE"""),"Chromo")</f>
        <v>Chromo</v>
      </c>
      <c r="B17" s="68">
        <f>IFERROR(__xludf.DUMMYFUNCTION("""COMPUTED_VALUE"""),80.0)</f>
        <v>80</v>
      </c>
      <c r="C17" s="69">
        <f>IFERROR(__xludf.DUMMYFUNCTION("""COMPUTED_VALUE"""),320.0)</f>
        <v>320</v>
      </c>
      <c r="D17" s="70">
        <f>IFERROR(SUMIFS('Stock In'!F:F,'Stock In'!C:C,$A17,'Stock In'!D:D,$B17,'Stock In'!E:E,$C17),0)</f>
        <v>46465</v>
      </c>
      <c r="E17" s="70">
        <f>IFERROR(SUMIFS(Issues!H:H,Issues!C:C,$A17,Issues!D:D,$B17,Issues!E:E,$C17),0)</f>
        <v>41450</v>
      </c>
      <c r="F17" s="70">
        <f>IFERROR(SUMIFS(Returns!H:H,Returns!C:C,$A17,Returns!D:D,$B17,Returns!E:E,$C17),0)</f>
        <v>16756</v>
      </c>
      <c r="G17" s="70">
        <f t="shared" si="1"/>
        <v>21771</v>
      </c>
      <c r="H17" s="71">
        <f t="shared" si="2"/>
        <v>6966.72</v>
      </c>
      <c r="I17" s="72">
        <f>IFERROR( SUMIFS('Stock In'!I:I,'Stock In'!C:C,$A17,'Stock In'!D:D,$B17,'Stock In'!E:E,$C17) / SUMIFS('Stock In'!H:H,'Stock In'!C:C,$A17,'Stock In'!D:D,$B17,'Stock In'!E:E,$C17) , 0)</f>
        <v>29.46932099</v>
      </c>
      <c r="J17" s="71">
        <f t="shared" si="3"/>
        <v>205304.508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8" t="str">
        <f>IFERROR(__xludf.DUMMYFUNCTION("""COMPUTED_VALUE"""),"Chromo")</f>
        <v>Chromo</v>
      </c>
      <c r="B18" s="68">
        <f>IFERROR(__xludf.DUMMYFUNCTION("""COMPUTED_VALUE"""),80.0)</f>
        <v>80</v>
      </c>
      <c r="C18" s="69">
        <f>IFERROR(__xludf.DUMMYFUNCTION("""COMPUTED_VALUE"""),330.0)</f>
        <v>330</v>
      </c>
      <c r="D18" s="70">
        <f>IFERROR(SUMIFS('Stock In'!F:F,'Stock In'!C:C,$A18,'Stock In'!D:D,$B18,'Stock In'!E:E,$C18),0)</f>
        <v>87760</v>
      </c>
      <c r="E18" s="70">
        <f>IFERROR(SUMIFS(Issues!H:H,Issues!C:C,$A18,Issues!D:D,$B18,Issues!E:E,$C18),0)</f>
        <v>82016</v>
      </c>
      <c r="F18" s="70">
        <f>IFERROR(SUMIFS(Returns!H:H,Returns!C:C,$A18,Returns!D:D,$B18,Returns!E:E,$C18),0)</f>
        <v>24010</v>
      </c>
      <c r="G18" s="70">
        <f t="shared" si="1"/>
        <v>29754</v>
      </c>
      <c r="H18" s="71">
        <f t="shared" si="2"/>
        <v>9818.82</v>
      </c>
      <c r="I18" s="72">
        <f>IFERROR( SUMIFS('Stock In'!I:I,'Stock In'!C:C,$A18,'Stock In'!D:D,$B18,'Stock In'!E:E,$C18) / SUMIFS('Stock In'!H:H,'Stock In'!C:C,$A18,'Stock In'!D:D,$B18,'Stock In'!E:E,$C18) , 0)</f>
        <v>29.72311418</v>
      </c>
      <c r="J18" s="71">
        <f t="shared" si="3"/>
        <v>291845.9079</v>
      </c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8" t="str">
        <f>IFERROR(__xludf.DUMMYFUNCTION("""COMPUTED_VALUE"""),"C-MIRRORCOAT")</f>
        <v>C-MIRRORCOAT</v>
      </c>
      <c r="B19" s="68">
        <f>IFERROR(__xludf.DUMMYFUNCTION("""COMPUTED_VALUE"""),80.0)</f>
        <v>80</v>
      </c>
      <c r="C19" s="69">
        <f>IFERROR(__xludf.DUMMYFUNCTION("""COMPUTED_VALUE"""),330.0)</f>
        <v>330</v>
      </c>
      <c r="D19" s="70">
        <f>IFERROR(SUMIFS('Stock In'!F:F,'Stock In'!C:C,$A19,'Stock In'!D:D,$B19,'Stock In'!E:E,$C19),0)</f>
        <v>2000</v>
      </c>
      <c r="E19" s="70">
        <f>IFERROR(SUMIFS(Issues!H:H,Issues!C:C,$A19,Issues!D:D,$B19,Issues!E:E,$C19),0)</f>
        <v>0</v>
      </c>
      <c r="F19" s="70">
        <f>IFERROR(SUMIFS(Returns!H:H,Returns!C:C,$A19,Returns!D:D,$B19,Returns!E:E,$C19),0)</f>
        <v>0</v>
      </c>
      <c r="G19" s="70">
        <f t="shared" si="1"/>
        <v>2000</v>
      </c>
      <c r="H19" s="71">
        <f t="shared" si="2"/>
        <v>660</v>
      </c>
      <c r="I19" s="72">
        <f>IFERROR( SUMIFS('Stock In'!I:I,'Stock In'!C:C,$A19,'Stock In'!D:D,$B19,'Stock In'!E:E,$C19) / SUMIFS('Stock In'!H:H,'Stock In'!C:C,$A19,'Stock In'!D:D,$B19,'Stock In'!E:E,$C19) , 0)</f>
        <v>46</v>
      </c>
      <c r="J19" s="71">
        <f t="shared" si="3"/>
        <v>30360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8" t="str">
        <f>IFERROR(__xludf.DUMMYFUNCTION("""COMPUTED_VALUE"""),"P G BACK")</f>
        <v>P G BACK</v>
      </c>
      <c r="B20" s="68">
        <f>IFERROR(__xludf.DUMMYFUNCTION("""COMPUTED_VALUE"""),150.0)</f>
        <v>150</v>
      </c>
      <c r="C20" s="69">
        <f>IFERROR(__xludf.DUMMYFUNCTION("""COMPUTED_VALUE"""),90.0)</f>
        <v>90</v>
      </c>
      <c r="D20" s="70">
        <f>IFERROR(SUMIFS('Stock In'!F:F,'Stock In'!C:C,$A20,'Stock In'!D:D,$B20,'Stock In'!E:E,$C20),0)</f>
        <v>500</v>
      </c>
      <c r="E20" s="70">
        <f>IFERROR(SUMIFS(Issues!H:H,Issues!C:C,$A20,Issues!D:D,$B20,Issues!E:E,$C20),0)</f>
        <v>0</v>
      </c>
      <c r="F20" s="70">
        <f>IFERROR(SUMIFS(Returns!H:H,Returns!C:C,$A20,Returns!D:D,$B20,Returns!E:E,$C20),0)</f>
        <v>0</v>
      </c>
      <c r="G20" s="70">
        <f t="shared" si="1"/>
        <v>500</v>
      </c>
      <c r="H20" s="71">
        <f t="shared" si="2"/>
        <v>45</v>
      </c>
      <c r="I20" s="72">
        <f>IFERROR( SUMIFS('Stock In'!I:I,'Stock In'!C:C,$A20,'Stock In'!D:D,$B20,'Stock In'!E:E,$C20) / SUMIFS('Stock In'!H:H,'Stock In'!C:C,$A20,'Stock In'!D:D,$B20,'Stock In'!E:E,$C20) , 0)</f>
        <v>53.5</v>
      </c>
      <c r="J20" s="71">
        <f t="shared" si="3"/>
        <v>2407.5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8" t="str">
        <f>IFERROR(__xludf.DUMMYFUNCTION("""COMPUTED_VALUE"""),"PP CLEAR")</f>
        <v>PP CLEAR</v>
      </c>
      <c r="B21" s="68">
        <f>IFERROR(__xludf.DUMMYFUNCTION("""COMPUTED_VALUE"""),50.0)</f>
        <v>50</v>
      </c>
      <c r="C21" s="69">
        <f>IFERROR(__xludf.DUMMYFUNCTION("""COMPUTED_VALUE"""),200.0)</f>
        <v>200</v>
      </c>
      <c r="D21" s="70">
        <f>IFERROR(SUMIFS('Stock In'!F:F,'Stock In'!C:C,$A21,'Stock In'!D:D,$B21,'Stock In'!E:E,$C21),0)</f>
        <v>19580</v>
      </c>
      <c r="E21" s="70">
        <f>IFERROR(SUMIFS(Issues!H:H,Issues!C:C,$A21,Issues!D:D,$B21,Issues!E:E,$C21),0)</f>
        <v>12400</v>
      </c>
      <c r="F21" s="70">
        <f>IFERROR(SUMIFS(Returns!H:H,Returns!C:C,$A21,Returns!D:D,$B21,Returns!E:E,$C21),0)</f>
        <v>310</v>
      </c>
      <c r="G21" s="70">
        <f t="shared" si="1"/>
        <v>7490</v>
      </c>
      <c r="H21" s="71">
        <f t="shared" si="2"/>
        <v>1498</v>
      </c>
      <c r="I21" s="72">
        <f>IFERROR( SUMIFS('Stock In'!I:I,'Stock In'!C:C,$A21,'Stock In'!D:D,$B21,'Stock In'!E:E,$C21) / SUMIFS('Stock In'!H:H,'Stock In'!C:C,$A21,'Stock In'!D:D,$B21,'Stock In'!E:E,$C21) , 0)</f>
        <v>37.99131767</v>
      </c>
      <c r="J21" s="71">
        <f t="shared" si="3"/>
        <v>56910.99387</v>
      </c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8" t="str">
        <f>IFERROR(__xludf.DUMMYFUNCTION("""COMPUTED_VALUE"""),"PP WHITE")</f>
        <v>PP WHITE</v>
      </c>
      <c r="B22" s="68">
        <f>IFERROR(__xludf.DUMMYFUNCTION("""COMPUTED_VALUE"""),50.0)</f>
        <v>50</v>
      </c>
      <c r="C22" s="69">
        <f>IFERROR(__xludf.DUMMYFUNCTION("""COMPUTED_VALUE"""),200.0)</f>
        <v>200</v>
      </c>
      <c r="D22" s="70">
        <f>IFERROR(SUMIFS('Stock In'!F:F,'Stock In'!C:C,$A22,'Stock In'!D:D,$B22,'Stock In'!E:E,$C22),0)</f>
        <v>6170</v>
      </c>
      <c r="E22" s="70">
        <f>IFERROR(SUMIFS(Issues!H:H,Issues!C:C,$A22,Issues!D:D,$B22,Issues!E:E,$C22),0)</f>
        <v>1800</v>
      </c>
      <c r="F22" s="70">
        <f>IFERROR(SUMIFS(Returns!H:H,Returns!C:C,$A22,Returns!D:D,$B22,Returns!E:E,$C22),0)</f>
        <v>0</v>
      </c>
      <c r="G22" s="70">
        <f t="shared" si="1"/>
        <v>4370</v>
      </c>
      <c r="H22" s="71">
        <f t="shared" si="2"/>
        <v>874</v>
      </c>
      <c r="I22" s="72">
        <f>IFERROR( SUMIFS('Stock In'!I:I,'Stock In'!C:C,$A22,'Stock In'!D:D,$B22,'Stock In'!E:E,$C22) / SUMIFS('Stock In'!H:H,'Stock In'!C:C,$A22,'Stock In'!D:D,$B22,'Stock In'!E:E,$C22) , 0)</f>
        <v>36.27552674</v>
      </c>
      <c r="J22" s="71">
        <f t="shared" si="3"/>
        <v>31704.81037</v>
      </c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8" t="str">
        <f>IFERROR(__xludf.DUMMYFUNCTION("""COMPUTED_VALUE"""),"SILVER PAPER")</f>
        <v>SILVER PAPER</v>
      </c>
      <c r="B23" s="68">
        <f>IFERROR(__xludf.DUMMYFUNCTION("""COMPUTED_VALUE"""),80.0)</f>
        <v>80</v>
      </c>
      <c r="C23" s="69">
        <f>IFERROR(__xludf.DUMMYFUNCTION("""COMPUTED_VALUE"""),280.0)</f>
        <v>280</v>
      </c>
      <c r="D23" s="70">
        <f>IFERROR(SUMIFS('Stock In'!F:F,'Stock In'!C:C,$A23,'Stock In'!D:D,$B23,'Stock In'!E:E,$C23),0)</f>
        <v>5260</v>
      </c>
      <c r="E23" s="70">
        <f>IFERROR(SUMIFS(Issues!H:H,Issues!C:C,$A23,Issues!D:D,$B23,Issues!E:E,$C23),0)</f>
        <v>6530</v>
      </c>
      <c r="F23" s="70">
        <f>IFERROR(SUMIFS(Returns!H:H,Returns!C:C,$A23,Returns!D:D,$B23,Returns!E:E,$C23),0)</f>
        <v>900</v>
      </c>
      <c r="G23" s="70">
        <f t="shared" si="1"/>
        <v>-370</v>
      </c>
      <c r="H23" s="71">
        <f t="shared" si="2"/>
        <v>-103.6</v>
      </c>
      <c r="I23" s="72">
        <f>IFERROR( SUMIFS('Stock In'!I:I,'Stock In'!C:C,$A23,'Stock In'!D:D,$B23,'Stock In'!E:E,$C23) / SUMIFS('Stock In'!H:H,'Stock In'!C:C,$A23,'Stock In'!D:D,$B23,'Stock In'!E:E,$C23) , 0)</f>
        <v>41.18013308</v>
      </c>
      <c r="J23" s="71">
        <f t="shared" si="3"/>
        <v>-4266.261787</v>
      </c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8" t="str">
        <f>IFERROR(__xludf.DUMMYFUNCTION("""COMPUTED_VALUE"""),"DOUBLE SILICON (P G BACK)")</f>
        <v>DOUBLE SILICON (P G BACK)</v>
      </c>
      <c r="B24" s="68">
        <f>IFERROR(__xludf.DUMMYFUNCTION("""COMPUTED_VALUE"""),150.0)</f>
        <v>150</v>
      </c>
      <c r="C24" s="69">
        <f>IFERROR(__xludf.DUMMYFUNCTION("""COMPUTED_VALUE"""),180.0)</f>
        <v>180</v>
      </c>
      <c r="D24" s="70">
        <f>IFERROR(SUMIFS('Stock In'!F:F,'Stock In'!C:C,$A24,'Stock In'!D:D,$B24,'Stock In'!E:E,$C24),0)</f>
        <v>1500</v>
      </c>
      <c r="E24" s="70">
        <f>IFERROR(SUMIFS(Issues!H:H,Issues!C:C,$A24,Issues!D:D,$B24,Issues!E:E,$C24),0)</f>
        <v>0</v>
      </c>
      <c r="F24" s="70">
        <f>IFERROR(SUMIFS(Returns!H:H,Returns!C:C,$A24,Returns!D:D,$B24,Returns!E:E,$C24),0)</f>
        <v>0</v>
      </c>
      <c r="G24" s="70">
        <f t="shared" si="1"/>
        <v>1500</v>
      </c>
      <c r="H24" s="71">
        <f t="shared" si="2"/>
        <v>270</v>
      </c>
      <c r="I24" s="72">
        <f>IFERROR( SUMIFS('Stock In'!I:I,'Stock In'!C:C,$A24,'Stock In'!D:D,$B24,'Stock In'!E:E,$C24) / SUMIFS('Stock In'!H:H,'Stock In'!C:C,$A24,'Stock In'!D:D,$B24,'Stock In'!E:E,$C24) , 0)</f>
        <v>53.5</v>
      </c>
      <c r="J24" s="71">
        <f t="shared" si="3"/>
        <v>14445</v>
      </c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8" t="str">
        <f>IFERROR(__xludf.DUMMYFUNCTION("""COMPUTED_VALUE"""),"DOUBLE SILICON (P G BACK)")</f>
        <v>DOUBLE SILICON (P G BACK)</v>
      </c>
      <c r="B25" s="68">
        <f>IFERROR(__xludf.DUMMYFUNCTION("""COMPUTED_VALUE"""),150.0)</f>
        <v>150</v>
      </c>
      <c r="C25" s="69">
        <f>IFERROR(__xludf.DUMMYFUNCTION("""COMPUTED_VALUE"""),100.0)</f>
        <v>100</v>
      </c>
      <c r="D25" s="70">
        <f>IFERROR(SUMIFS('Stock In'!F:F,'Stock In'!C:C,$A25,'Stock In'!D:D,$B25,'Stock In'!E:E,$C25),0)</f>
        <v>1500</v>
      </c>
      <c r="E25" s="70">
        <f>IFERROR(SUMIFS(Issues!H:H,Issues!C:C,$A25,Issues!D:D,$B25,Issues!E:E,$C25),0)</f>
        <v>0</v>
      </c>
      <c r="F25" s="70">
        <f>IFERROR(SUMIFS(Returns!H:H,Returns!C:C,$A25,Returns!D:D,$B25,Returns!E:E,$C25),0)</f>
        <v>0</v>
      </c>
      <c r="G25" s="70">
        <f t="shared" si="1"/>
        <v>1500</v>
      </c>
      <c r="H25" s="71">
        <f t="shared" si="2"/>
        <v>150</v>
      </c>
      <c r="I25" s="72">
        <f>IFERROR( SUMIFS('Stock In'!I:I,'Stock In'!C:C,$A25,'Stock In'!D:D,$B25,'Stock In'!E:E,$C25) / SUMIFS('Stock In'!H:H,'Stock In'!C:C,$A25,'Stock In'!D:D,$B25,'Stock In'!E:E,$C25) , 0)</f>
        <v>53.5</v>
      </c>
      <c r="J25" s="71">
        <f t="shared" si="3"/>
        <v>8025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8" t="str">
        <f>IFERROR(__xludf.DUMMYFUNCTION("""COMPUTED_VALUE"""),"clear on clear")</f>
        <v>clear on clear</v>
      </c>
      <c r="B26" s="68">
        <f>IFERROR(__xludf.DUMMYFUNCTION("""COMPUTED_VALUE"""),50.0)</f>
        <v>50</v>
      </c>
      <c r="C26" s="69">
        <f>IFERROR(__xludf.DUMMYFUNCTION("""COMPUTED_VALUE"""),250.0)</f>
        <v>250</v>
      </c>
      <c r="D26" s="70">
        <f>IFERROR(SUMIFS('Stock In'!F:F,'Stock In'!C:C,$A26,'Stock In'!D:D,$B26,'Stock In'!E:E,$C26),0)</f>
        <v>1000</v>
      </c>
      <c r="E26" s="70">
        <f>IFERROR(SUMIFS(Issues!H:H,Issues!C:C,$A26,Issues!D:D,$B26,Issues!E:E,$C26),0)</f>
        <v>0</v>
      </c>
      <c r="F26" s="70">
        <f>IFERROR(SUMIFS(Returns!H:H,Returns!C:C,$A26,Returns!D:D,$B26,Returns!E:E,$C26),0)</f>
        <v>0</v>
      </c>
      <c r="G26" s="70">
        <f t="shared" si="1"/>
        <v>1000</v>
      </c>
      <c r="H26" s="71">
        <f t="shared" si="2"/>
        <v>250</v>
      </c>
      <c r="I26" s="72">
        <f>IFERROR( SUMIFS('Stock In'!I:I,'Stock In'!C:C,$A26,'Stock In'!D:D,$B26,'Stock In'!E:E,$C26) / SUMIFS('Stock In'!H:H,'Stock In'!C:C,$A26,'Stock In'!D:D,$B26,'Stock In'!E:E,$C26) , 0)</f>
        <v>62</v>
      </c>
      <c r="J26" s="71">
        <f t="shared" si="3"/>
        <v>15500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8" t="str">
        <f>IFERROR(__xludf.DUMMYFUNCTION("""COMPUTED_VALUE"""),"PET MATT")</f>
        <v>PET MATT</v>
      </c>
      <c r="B27" s="68">
        <f>IFERROR(__xludf.DUMMYFUNCTION("""COMPUTED_VALUE"""),50.0)</f>
        <v>50</v>
      </c>
      <c r="C27" s="69">
        <f>IFERROR(__xludf.DUMMYFUNCTION("""COMPUTED_VALUE"""),175.0)</f>
        <v>175</v>
      </c>
      <c r="D27" s="70">
        <f>IFERROR(SUMIFS('Stock In'!F:F,'Stock In'!C:C,$A27,'Stock In'!D:D,$B27,'Stock In'!E:E,$C27),0)</f>
        <v>600</v>
      </c>
      <c r="E27" s="70">
        <f>IFERROR(SUMIFS(Issues!H:H,Issues!C:C,$A27,Issues!D:D,$B27,Issues!E:E,$C27),0)</f>
        <v>0</v>
      </c>
      <c r="F27" s="70">
        <f>IFERROR(SUMIFS(Returns!H:H,Returns!C:C,$A27,Returns!D:D,$B27,Returns!E:E,$C27),0)</f>
        <v>0</v>
      </c>
      <c r="G27" s="70">
        <f t="shared" si="1"/>
        <v>600</v>
      </c>
      <c r="H27" s="71">
        <f t="shared" si="2"/>
        <v>105</v>
      </c>
      <c r="I27" s="72">
        <f>IFERROR( SUMIFS('Stock In'!I:I,'Stock In'!C:C,$A27,'Stock In'!D:D,$B27,'Stock In'!E:E,$C27) / SUMIFS('Stock In'!H:H,'Stock In'!C:C,$A27,'Stock In'!D:D,$B27,'Stock In'!E:E,$C27) , 0)</f>
        <v>0</v>
      </c>
      <c r="J27" s="71">
        <f t="shared" si="3"/>
        <v>0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8" t="str">
        <f>IFERROR(__xludf.DUMMYFUNCTION("""COMPUTED_VALUE"""),"Chromo")</f>
        <v>Chromo</v>
      </c>
      <c r="B28" s="68">
        <f>IFERROR(__xludf.DUMMYFUNCTION("""COMPUTED_VALUE"""),80.0)</f>
        <v>80</v>
      </c>
      <c r="C28" s="69">
        <f>IFERROR(__xludf.DUMMYFUNCTION("""COMPUTED_VALUE"""),195.0)</f>
        <v>195</v>
      </c>
      <c r="D28" s="70">
        <f>IFERROR(SUMIFS('Stock In'!F:F,'Stock In'!C:C,$A28,'Stock In'!D:D,$B28,'Stock In'!E:E,$C28),0)</f>
        <v>28790</v>
      </c>
      <c r="E28" s="70">
        <f>IFERROR(SUMIFS(Issues!H:H,Issues!C:C,$A28,Issues!D:D,$B28,Issues!E:E,$C28),0)</f>
        <v>32120</v>
      </c>
      <c r="F28" s="70">
        <f>IFERROR(SUMIFS(Returns!H:H,Returns!C:C,$A28,Returns!D:D,$B28,Returns!E:E,$C28),0)</f>
        <v>11950</v>
      </c>
      <c r="G28" s="70">
        <f t="shared" si="1"/>
        <v>8620</v>
      </c>
      <c r="H28" s="71">
        <f t="shared" si="2"/>
        <v>1680.9</v>
      </c>
      <c r="I28" s="72">
        <f>IFERROR( SUMIFS('Stock In'!I:I,'Stock In'!C:C,$A28,'Stock In'!D:D,$B28,'Stock In'!E:E,$C28) / SUMIFS('Stock In'!H:H,'Stock In'!C:C,$A28,'Stock In'!D:D,$B28,'Stock In'!E:E,$C28) , 0)</f>
        <v>26.49843696</v>
      </c>
      <c r="J28" s="71">
        <f t="shared" si="3"/>
        <v>44541.22268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8" t="str">
        <f>IFERROR(__xludf.DUMMYFUNCTION("""COMPUTED_VALUE"""),"PP WHITE MATT")</f>
        <v>PP WHITE MATT</v>
      </c>
      <c r="B29" s="68">
        <f>IFERROR(__xludf.DUMMYFUNCTION("""COMPUTED_VALUE"""),50.0)</f>
        <v>50</v>
      </c>
      <c r="C29" s="69">
        <f>IFERROR(__xludf.DUMMYFUNCTION("""COMPUTED_VALUE"""),200.0)</f>
        <v>200</v>
      </c>
      <c r="D29" s="70">
        <f>IFERROR(SUMIFS('Stock In'!F:F,'Stock In'!C:C,$A29,'Stock In'!D:D,$B29,'Stock In'!E:E,$C29),0)</f>
        <v>1500</v>
      </c>
      <c r="E29" s="70">
        <f>IFERROR(SUMIFS(Issues!H:H,Issues!C:C,$A29,Issues!D:D,$B29,Issues!E:E,$C29),0)</f>
        <v>0</v>
      </c>
      <c r="F29" s="70">
        <f>IFERROR(SUMIFS(Returns!H:H,Returns!C:C,$A29,Returns!D:D,$B29,Returns!E:E,$C29),0)</f>
        <v>0</v>
      </c>
      <c r="G29" s="70">
        <f t="shared" si="1"/>
        <v>1500</v>
      </c>
      <c r="H29" s="71">
        <f t="shared" si="2"/>
        <v>300</v>
      </c>
      <c r="I29" s="72">
        <f>IFERROR( SUMIFS('Stock In'!I:I,'Stock In'!C:C,$A29,'Stock In'!D:D,$B29,'Stock In'!E:E,$C29) / SUMIFS('Stock In'!H:H,'Stock In'!C:C,$A29,'Stock In'!D:D,$B29,'Stock In'!E:E,$C29) , 0)</f>
        <v>34.5</v>
      </c>
      <c r="J29" s="71">
        <f t="shared" si="3"/>
        <v>10350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8" t="str">
        <f>IFERROR(__xludf.DUMMYFUNCTION("""COMPUTED_VALUE"""),"Chromo")</f>
        <v>Chromo</v>
      </c>
      <c r="B30" s="68">
        <f>IFERROR(__xludf.DUMMYFUNCTION("""COMPUTED_VALUE"""),80.0)</f>
        <v>80</v>
      </c>
      <c r="C30" s="69">
        <f>IFERROR(__xludf.DUMMYFUNCTION("""COMPUTED_VALUE"""),220.0)</f>
        <v>220</v>
      </c>
      <c r="D30" s="70">
        <f>IFERROR(SUMIFS('Stock In'!F:F,'Stock In'!C:C,$A30,'Stock In'!D:D,$B30,'Stock In'!E:E,$C30),0)</f>
        <v>42780</v>
      </c>
      <c r="E30" s="70">
        <f>IFERROR(SUMIFS(Issues!H:H,Issues!C:C,$A30,Issues!D:D,$B30,Issues!E:E,$C30),0)</f>
        <v>11250</v>
      </c>
      <c r="F30" s="70">
        <f>IFERROR(SUMIFS(Returns!H:H,Returns!C:C,$A30,Returns!D:D,$B30,Returns!E:E,$C30),0)</f>
        <v>840</v>
      </c>
      <c r="G30" s="70">
        <f t="shared" si="1"/>
        <v>32370</v>
      </c>
      <c r="H30" s="71">
        <f t="shared" si="2"/>
        <v>7121.4</v>
      </c>
      <c r="I30" s="72">
        <f>IFERROR( SUMIFS('Stock In'!I:I,'Stock In'!C:C,$A30,'Stock In'!D:D,$B30,'Stock In'!E:E,$C30) / SUMIFS('Stock In'!H:H,'Stock In'!C:C,$A30,'Stock In'!D:D,$B30,'Stock In'!E:E,$C30) , 0)</f>
        <v>27.4230949</v>
      </c>
      <c r="J30" s="71">
        <f t="shared" si="3"/>
        <v>195290.8281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8" t="str">
        <f>IFERROR(__xludf.DUMMYFUNCTION("""COMPUTED_VALUE"""),"Chromo")</f>
        <v>Chromo</v>
      </c>
      <c r="B31" s="68">
        <f>IFERROR(__xludf.DUMMYFUNCTION("""COMPUTED_VALUE"""),80.0)</f>
        <v>80</v>
      </c>
      <c r="C31" s="69">
        <f>IFERROR(__xludf.DUMMYFUNCTION("""COMPUTED_VALUE"""),230.0)</f>
        <v>230</v>
      </c>
      <c r="D31" s="70">
        <f>IFERROR(SUMIFS('Stock In'!F:F,'Stock In'!C:C,$A31,'Stock In'!D:D,$B31,'Stock In'!E:E,$C31),0)</f>
        <v>200845</v>
      </c>
      <c r="E31" s="70">
        <f>IFERROR(SUMIFS(Issues!H:H,Issues!C:C,$A31,Issues!D:D,$B31,Issues!E:E,$C31),0)</f>
        <v>202400</v>
      </c>
      <c r="F31" s="70">
        <f>IFERROR(SUMIFS(Returns!H:H,Returns!C:C,$A31,Returns!D:D,$B31,Returns!E:E,$C31),0)</f>
        <v>29306</v>
      </c>
      <c r="G31" s="70">
        <f t="shared" si="1"/>
        <v>27751</v>
      </c>
      <c r="H31" s="71">
        <f t="shared" si="2"/>
        <v>6382.73</v>
      </c>
      <c r="I31" s="72">
        <f>IFERROR( SUMIFS('Stock In'!I:I,'Stock In'!C:C,$A31,'Stock In'!D:D,$B31,'Stock In'!E:E,$C31) / SUMIFS('Stock In'!H:H,'Stock In'!C:C,$A31,'Stock In'!D:D,$B31,'Stock In'!E:E,$C31) , 0)</f>
        <v>28.10297742</v>
      </c>
      <c r="J31" s="71">
        <f t="shared" si="3"/>
        <v>179373.7171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8" t="str">
        <f>IFERROR(__xludf.DUMMYFUNCTION("""COMPUTED_VALUE"""),"Chromo")</f>
        <v>Chromo</v>
      </c>
      <c r="B32" s="68">
        <f>IFERROR(__xludf.DUMMYFUNCTION("""COMPUTED_VALUE"""),80.0)</f>
        <v>80</v>
      </c>
      <c r="C32" s="69">
        <f>IFERROR(__xludf.DUMMYFUNCTION("""COMPUTED_VALUE"""),260.0)</f>
        <v>260</v>
      </c>
      <c r="D32" s="70">
        <f>IFERROR(SUMIFS('Stock In'!F:F,'Stock In'!C:C,$A32,'Stock In'!D:D,$B32,'Stock In'!E:E,$C32),0)</f>
        <v>35200</v>
      </c>
      <c r="E32" s="70">
        <f>IFERROR(SUMIFS(Issues!H:H,Issues!C:C,$A32,Issues!D:D,$B32,Issues!E:E,$C32),0)</f>
        <v>19380</v>
      </c>
      <c r="F32" s="70">
        <f>IFERROR(SUMIFS(Returns!H:H,Returns!C:C,$A32,Returns!D:D,$B32,Returns!E:E,$C32),0)</f>
        <v>3000</v>
      </c>
      <c r="G32" s="70">
        <f t="shared" si="1"/>
        <v>18820</v>
      </c>
      <c r="H32" s="71">
        <f t="shared" si="2"/>
        <v>4893.2</v>
      </c>
      <c r="I32" s="72">
        <f>IFERROR( SUMIFS('Stock In'!I:I,'Stock In'!C:C,$A32,'Stock In'!D:D,$B32,'Stock In'!E:E,$C32) / SUMIFS('Stock In'!H:H,'Stock In'!C:C,$A32,'Stock In'!D:D,$B32,'Stock In'!E:E,$C32) , 0)</f>
        <v>26.9818892</v>
      </c>
      <c r="J32" s="71">
        <f t="shared" si="3"/>
        <v>132027.7803</v>
      </c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8" t="str">
        <f>IFERROR(__xludf.DUMMYFUNCTION("""COMPUTED_VALUE"""),"Only ART Paper Without Gumming")</f>
        <v>Only ART Paper Without Gumming</v>
      </c>
      <c r="B33" s="68">
        <f>IFERROR(__xludf.DUMMYFUNCTION("""COMPUTED_VALUE"""),120.0)</f>
        <v>120</v>
      </c>
      <c r="C33" s="69">
        <f>IFERROR(__xludf.DUMMYFUNCTION("""COMPUTED_VALUE"""),115.0)</f>
        <v>115</v>
      </c>
      <c r="D33" s="70">
        <f>IFERROR(SUMIFS('Stock In'!F:F,'Stock In'!C:C,$A33,'Stock In'!D:D,$B33,'Stock In'!E:E,$C33),0)</f>
        <v>1250</v>
      </c>
      <c r="E33" s="70">
        <f>IFERROR(SUMIFS(Issues!H:H,Issues!C:C,$A33,Issues!D:D,$B33,Issues!E:E,$C33),0)</f>
        <v>0</v>
      </c>
      <c r="F33" s="70">
        <f>IFERROR(SUMIFS(Returns!H:H,Returns!C:C,$A33,Returns!D:D,$B33,Returns!E:E,$C33),0)</f>
        <v>0</v>
      </c>
      <c r="G33" s="70">
        <f t="shared" si="1"/>
        <v>1250</v>
      </c>
      <c r="H33" s="71">
        <f t="shared" si="2"/>
        <v>143.75</v>
      </c>
      <c r="I33" s="72">
        <f>IFERROR( SUMIFS('Stock In'!I:I,'Stock In'!C:C,$A33,'Stock In'!D:D,$B33,'Stock In'!E:E,$C33) / SUMIFS('Stock In'!H:H,'Stock In'!C:C,$A33,'Stock In'!D:D,$B33,'Stock In'!E:E,$C33) , 0)</f>
        <v>8.5</v>
      </c>
      <c r="J33" s="71">
        <f t="shared" si="3"/>
        <v>1221.875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8" t="str">
        <f>IFERROR(__xludf.DUMMYFUNCTION("""COMPUTED_VALUE"""),"Chromo")</f>
        <v>Chromo</v>
      </c>
      <c r="B34" s="68">
        <f>IFERROR(__xludf.DUMMYFUNCTION("""COMPUTED_VALUE"""),80.0)</f>
        <v>80</v>
      </c>
      <c r="C34" s="69">
        <f>IFERROR(__xludf.DUMMYFUNCTION("""COMPUTED_VALUE"""),126.0)</f>
        <v>126</v>
      </c>
      <c r="D34" s="70">
        <f>IFERROR(SUMIFS('Stock In'!F:F,'Stock In'!C:C,$A34,'Stock In'!D:D,$B34,'Stock In'!E:E,$C34),0)</f>
        <v>8750</v>
      </c>
      <c r="E34" s="70">
        <f>IFERROR(SUMIFS(Issues!H:H,Issues!C:C,$A34,Issues!D:D,$B34,Issues!E:E,$C34),0)</f>
        <v>9410</v>
      </c>
      <c r="F34" s="70">
        <f>IFERROR(SUMIFS(Returns!H:H,Returns!C:C,$A34,Returns!D:D,$B34,Returns!E:E,$C34),0)</f>
        <v>1980</v>
      </c>
      <c r="G34" s="70">
        <f t="shared" si="1"/>
        <v>1320</v>
      </c>
      <c r="H34" s="71">
        <f t="shared" si="2"/>
        <v>166.32</v>
      </c>
      <c r="I34" s="72">
        <f>IFERROR( SUMIFS('Stock In'!I:I,'Stock In'!C:C,$A34,'Stock In'!D:D,$B34,'Stock In'!E:E,$C34) / SUMIFS('Stock In'!H:H,'Stock In'!C:C,$A34,'Stock In'!D:D,$B34,'Stock In'!E:E,$C34) , 0)</f>
        <v>26.5</v>
      </c>
      <c r="J34" s="71">
        <f t="shared" si="3"/>
        <v>4407.48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8" t="str">
        <f>IFERROR(__xludf.DUMMYFUNCTION("""COMPUTED_VALUE"""),"SILVER PAPER")</f>
        <v>SILVER PAPER</v>
      </c>
      <c r="B35" s="68">
        <f>IFERROR(__xludf.DUMMYFUNCTION("""COMPUTED_VALUE"""),80.0)</f>
        <v>80</v>
      </c>
      <c r="C35" s="69">
        <f>IFERROR(__xludf.DUMMYFUNCTION("""COMPUTED_VALUE"""),125.0)</f>
        <v>125</v>
      </c>
      <c r="D35" s="70">
        <f>IFERROR(SUMIFS('Stock In'!F:F,'Stock In'!C:C,$A35,'Stock In'!D:D,$B35,'Stock In'!E:E,$C35),0)</f>
        <v>5100</v>
      </c>
      <c r="E35" s="70">
        <f>IFERROR(SUMIFS(Issues!H:H,Issues!C:C,$A35,Issues!D:D,$B35,Issues!E:E,$C35),0)</f>
        <v>4800</v>
      </c>
      <c r="F35" s="70">
        <f>IFERROR(SUMIFS(Returns!H:H,Returns!C:C,$A35,Returns!D:D,$B35,Returns!E:E,$C35),0)</f>
        <v>390</v>
      </c>
      <c r="G35" s="70">
        <f t="shared" si="1"/>
        <v>690</v>
      </c>
      <c r="H35" s="71">
        <f t="shared" si="2"/>
        <v>86.25</v>
      </c>
      <c r="I35" s="72">
        <f>IFERROR( SUMIFS('Stock In'!I:I,'Stock In'!C:C,$A35,'Stock In'!D:D,$B35,'Stock In'!E:E,$C35) / SUMIFS('Stock In'!H:H,'Stock In'!C:C,$A35,'Stock In'!D:D,$B35,'Stock In'!E:E,$C35) , 0)</f>
        <v>43.85</v>
      </c>
      <c r="J35" s="71">
        <f t="shared" si="3"/>
        <v>3782.0625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8" t="str">
        <f>IFERROR(__xludf.DUMMYFUNCTION("""COMPUTED_VALUE"""),"SILVER PAPER")</f>
        <v>SILVER PAPER</v>
      </c>
      <c r="B36" s="68">
        <f>IFERROR(__xludf.DUMMYFUNCTION("""COMPUTED_VALUE"""),80.0)</f>
        <v>80</v>
      </c>
      <c r="C36" s="69">
        <f>IFERROR(__xludf.DUMMYFUNCTION("""COMPUTED_VALUE"""),160.0)</f>
        <v>160</v>
      </c>
      <c r="D36" s="70">
        <f>IFERROR(SUMIFS('Stock In'!F:F,'Stock In'!C:C,$A36,'Stock In'!D:D,$B36,'Stock In'!E:E,$C36),0)</f>
        <v>2670</v>
      </c>
      <c r="E36" s="70">
        <f>IFERROR(SUMIFS(Issues!H:H,Issues!C:C,$A36,Issues!D:D,$B36,Issues!E:E,$C36),0)</f>
        <v>3560</v>
      </c>
      <c r="F36" s="70">
        <f>IFERROR(SUMIFS(Returns!H:H,Returns!C:C,$A36,Returns!D:D,$B36,Returns!E:E,$C36),0)</f>
        <v>550</v>
      </c>
      <c r="G36" s="70">
        <f t="shared" si="1"/>
        <v>-340</v>
      </c>
      <c r="H36" s="71">
        <f t="shared" si="2"/>
        <v>-54.4</v>
      </c>
      <c r="I36" s="72">
        <f>IFERROR( SUMIFS('Stock In'!I:I,'Stock In'!C:C,$A36,'Stock In'!D:D,$B36,'Stock In'!E:E,$C36) / SUMIFS('Stock In'!H:H,'Stock In'!C:C,$A36,'Stock In'!D:D,$B36,'Stock In'!E:E,$C36) , 0)</f>
        <v>40.27153558</v>
      </c>
      <c r="J36" s="71">
        <f t="shared" si="3"/>
        <v>-2190.771536</v>
      </c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8" t="str">
        <f>IFERROR(__xludf.DUMMYFUNCTION("""COMPUTED_VALUE"""),"SILVER PAPER")</f>
        <v>SILVER PAPER</v>
      </c>
      <c r="B37" s="68">
        <f>IFERROR(__xludf.DUMMYFUNCTION("""COMPUTED_VALUE"""),80.0)</f>
        <v>80</v>
      </c>
      <c r="C37" s="69">
        <f>IFERROR(__xludf.DUMMYFUNCTION("""COMPUTED_VALUE"""),170.0)</f>
        <v>170</v>
      </c>
      <c r="D37" s="70">
        <f>IFERROR(SUMIFS('Stock In'!F:F,'Stock In'!C:C,$A37,'Stock In'!D:D,$B37,'Stock In'!E:E,$C37),0)</f>
        <v>600</v>
      </c>
      <c r="E37" s="70">
        <f>IFERROR(SUMIFS(Issues!H:H,Issues!C:C,$A37,Issues!D:D,$B37,Issues!E:E,$C37),0)</f>
        <v>0</v>
      </c>
      <c r="F37" s="70">
        <f>IFERROR(SUMIFS(Returns!H:H,Returns!C:C,$A37,Returns!D:D,$B37,Returns!E:E,$C37),0)</f>
        <v>0</v>
      </c>
      <c r="G37" s="70">
        <f t="shared" si="1"/>
        <v>600</v>
      </c>
      <c r="H37" s="71">
        <f t="shared" si="2"/>
        <v>102</v>
      </c>
      <c r="I37" s="72">
        <f>IFERROR( SUMIFS('Stock In'!I:I,'Stock In'!C:C,$A37,'Stock In'!D:D,$B37,'Stock In'!E:E,$C37) / SUMIFS('Stock In'!H:H,'Stock In'!C:C,$A37,'Stock In'!D:D,$B37,'Stock In'!E:E,$C37) , 0)</f>
        <v>43.85</v>
      </c>
      <c r="J37" s="71">
        <f t="shared" si="3"/>
        <v>4472.7</v>
      </c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8" t="str">
        <f>IFERROR(__xludf.DUMMYFUNCTION("""COMPUTED_VALUE"""),"SILVER PAPER")</f>
        <v>SILVER PAPER</v>
      </c>
      <c r="B38" s="68">
        <f>IFERROR(__xludf.DUMMYFUNCTION("""COMPUTED_VALUE"""),80.0)</f>
        <v>80</v>
      </c>
      <c r="C38" s="69">
        <f>IFERROR(__xludf.DUMMYFUNCTION("""COMPUTED_VALUE"""),190.0)</f>
        <v>190</v>
      </c>
      <c r="D38" s="70">
        <f>IFERROR(SUMIFS('Stock In'!F:F,'Stock In'!C:C,$A38,'Stock In'!D:D,$B38,'Stock In'!E:E,$C38),0)</f>
        <v>1300</v>
      </c>
      <c r="E38" s="70">
        <f>IFERROR(SUMIFS(Issues!H:H,Issues!C:C,$A38,Issues!D:D,$B38,Issues!E:E,$C38),0)</f>
        <v>1500</v>
      </c>
      <c r="F38" s="70">
        <f>IFERROR(SUMIFS(Returns!H:H,Returns!C:C,$A38,Returns!D:D,$B38,Returns!E:E,$C38),0)</f>
        <v>290</v>
      </c>
      <c r="G38" s="70">
        <f t="shared" si="1"/>
        <v>90</v>
      </c>
      <c r="H38" s="71">
        <f t="shared" si="2"/>
        <v>17.1</v>
      </c>
      <c r="I38" s="72">
        <f>IFERROR( SUMIFS('Stock In'!I:I,'Stock In'!C:C,$A38,'Stock In'!D:D,$B38,'Stock In'!E:E,$C38) / SUMIFS('Stock In'!H:H,'Stock In'!C:C,$A38,'Stock In'!D:D,$B38,'Stock In'!E:E,$C38) , 0)</f>
        <v>43.85</v>
      </c>
      <c r="J38" s="71">
        <f t="shared" si="3"/>
        <v>749.835</v>
      </c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8" t="str">
        <f>IFERROR(__xludf.DUMMYFUNCTION("""COMPUTED_VALUE"""),"SILVER PAPER")</f>
        <v>SILVER PAPER</v>
      </c>
      <c r="B39" s="68">
        <f>IFERROR(__xludf.DUMMYFUNCTION("""COMPUTED_VALUE"""),80.0)</f>
        <v>80</v>
      </c>
      <c r="C39" s="69">
        <f>IFERROR(__xludf.DUMMYFUNCTION("""COMPUTED_VALUE"""),140.0)</f>
        <v>140</v>
      </c>
      <c r="D39" s="70">
        <f>IFERROR(SUMIFS('Stock In'!F:F,'Stock In'!C:C,$A39,'Stock In'!D:D,$B39,'Stock In'!E:E,$C39),0)</f>
        <v>5380</v>
      </c>
      <c r="E39" s="70">
        <f>IFERROR(SUMIFS(Issues!H:H,Issues!C:C,$A39,Issues!D:D,$B39,Issues!E:E,$C39),0)</f>
        <v>10380</v>
      </c>
      <c r="F39" s="70">
        <f>IFERROR(SUMIFS(Returns!H:H,Returns!C:C,$A39,Returns!D:D,$B39,Returns!E:E,$C39),0)</f>
        <v>2134</v>
      </c>
      <c r="G39" s="70">
        <f t="shared" si="1"/>
        <v>-2866</v>
      </c>
      <c r="H39" s="71">
        <f t="shared" si="2"/>
        <v>-401.24</v>
      </c>
      <c r="I39" s="72">
        <f>IFERROR( SUMIFS('Stock In'!I:I,'Stock In'!C:C,$A39,'Stock In'!D:D,$B39,'Stock In'!E:E,$C39) / SUMIFS('Stock In'!H:H,'Stock In'!C:C,$A39,'Stock In'!D:D,$B39,'Stock In'!E:E,$C39) , 0)</f>
        <v>42.01914498</v>
      </c>
      <c r="J39" s="71">
        <f t="shared" si="3"/>
        <v>-16859.76173</v>
      </c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8" t="str">
        <f>IFERROR(__xludf.DUMMYFUNCTION("""COMPUTED_VALUE"""),"Chromo")</f>
        <v>Chromo</v>
      </c>
      <c r="B40" s="68">
        <f>IFERROR(__xludf.DUMMYFUNCTION("""COMPUTED_VALUE"""),80.0)</f>
        <v>80</v>
      </c>
      <c r="C40" s="69">
        <f>IFERROR(__xludf.DUMMYFUNCTION("""COMPUTED_VALUE"""),185.0)</f>
        <v>185</v>
      </c>
      <c r="D40" s="70">
        <f>IFERROR(SUMIFS('Stock In'!F:F,'Stock In'!C:C,$A40,'Stock In'!D:D,$B40,'Stock In'!E:E,$C40),0)</f>
        <v>59790</v>
      </c>
      <c r="E40" s="70">
        <f>IFERROR(SUMIFS(Issues!H:H,Issues!C:C,$A40,Issues!D:D,$B40,Issues!E:E,$C40),0)</f>
        <v>45270</v>
      </c>
      <c r="F40" s="70">
        <f>IFERROR(SUMIFS(Returns!H:H,Returns!C:C,$A40,Returns!D:D,$B40,Returns!E:E,$C40),0)</f>
        <v>17370</v>
      </c>
      <c r="G40" s="70">
        <f t="shared" si="1"/>
        <v>31890</v>
      </c>
      <c r="H40" s="71">
        <f t="shared" si="2"/>
        <v>5899.65</v>
      </c>
      <c r="I40" s="72">
        <f>IFERROR( SUMIFS('Stock In'!I:I,'Stock In'!C:C,$A40,'Stock In'!D:D,$B40,'Stock In'!E:E,$C40) / SUMIFS('Stock In'!H:H,'Stock In'!C:C,$A40,'Stock In'!D:D,$B40,'Stock In'!E:E,$C40) , 0)</f>
        <v>27.33626024</v>
      </c>
      <c r="J40" s="71">
        <f t="shared" si="3"/>
        <v>161274.3677</v>
      </c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8" t="str">
        <f>IFERROR(__xludf.DUMMYFUNCTION("""COMPUTED_VALUE"""),"Chromo")</f>
        <v>Chromo</v>
      </c>
      <c r="B41" s="68">
        <f>IFERROR(__xludf.DUMMYFUNCTION("""COMPUTED_VALUE"""),80.0)</f>
        <v>80</v>
      </c>
      <c r="C41" s="69">
        <f>IFERROR(__xludf.DUMMYFUNCTION("""COMPUTED_VALUE"""),200.0)</f>
        <v>200</v>
      </c>
      <c r="D41" s="70">
        <f>IFERROR(SUMIFS('Stock In'!F:F,'Stock In'!C:C,$A41,'Stock In'!D:D,$B41,'Stock In'!E:E,$C41),0)</f>
        <v>18879</v>
      </c>
      <c r="E41" s="70">
        <f>IFERROR(SUMIFS(Issues!H:H,Issues!C:C,$A41,Issues!D:D,$B41,Issues!E:E,$C41),0)</f>
        <v>9150</v>
      </c>
      <c r="F41" s="70">
        <f>IFERROR(SUMIFS(Returns!H:H,Returns!C:C,$A41,Returns!D:D,$B41,Returns!E:E,$C41),0)</f>
        <v>1260</v>
      </c>
      <c r="G41" s="70">
        <f t="shared" si="1"/>
        <v>10989</v>
      </c>
      <c r="H41" s="71">
        <f t="shared" si="2"/>
        <v>2197.8</v>
      </c>
      <c r="I41" s="72">
        <f>IFERROR( SUMIFS('Stock In'!I:I,'Stock In'!C:C,$A41,'Stock In'!D:D,$B41,'Stock In'!E:E,$C41) / SUMIFS('Stock In'!H:H,'Stock In'!C:C,$A41,'Stock In'!D:D,$B41,'Stock In'!E:E,$C41) , 0)</f>
        <v>27.22485301</v>
      </c>
      <c r="J41" s="71">
        <f t="shared" si="3"/>
        <v>59834.78195</v>
      </c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8" t="str">
        <f>IFERROR(__xludf.DUMMYFUNCTION("""COMPUTED_VALUE"""),"Chromo")</f>
        <v>Chromo</v>
      </c>
      <c r="B42" s="68">
        <f>IFERROR(__xludf.DUMMYFUNCTION("""COMPUTED_VALUE"""),80.0)</f>
        <v>80</v>
      </c>
      <c r="C42" s="69">
        <f>IFERROR(__xludf.DUMMYFUNCTION("""COMPUTED_VALUE"""),240.0)</f>
        <v>240</v>
      </c>
      <c r="D42" s="70">
        <f>IFERROR(SUMIFS('Stock In'!F:F,'Stock In'!C:C,$A42,'Stock In'!D:D,$B42,'Stock In'!E:E,$C42),0)</f>
        <v>1300</v>
      </c>
      <c r="E42" s="70">
        <f>IFERROR(SUMIFS(Issues!H:H,Issues!C:C,$A42,Issues!D:D,$B42,Issues!E:E,$C42),0)</f>
        <v>400</v>
      </c>
      <c r="F42" s="70">
        <f>IFERROR(SUMIFS(Returns!H:H,Returns!C:C,$A42,Returns!D:D,$B42,Returns!E:E,$C42),0)</f>
        <v>200</v>
      </c>
      <c r="G42" s="70">
        <f t="shared" si="1"/>
        <v>1100</v>
      </c>
      <c r="H42" s="71">
        <f t="shared" si="2"/>
        <v>264</v>
      </c>
      <c r="I42" s="72">
        <f>IFERROR( SUMIFS('Stock In'!I:I,'Stock In'!C:C,$A42,'Stock In'!D:D,$B42,'Stock In'!E:E,$C42) / SUMIFS('Stock In'!H:H,'Stock In'!C:C,$A42,'Stock In'!D:D,$B42,'Stock In'!E:E,$C42) , 0)</f>
        <v>26.5</v>
      </c>
      <c r="J42" s="71">
        <f t="shared" si="3"/>
        <v>6996</v>
      </c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8" t="str">
        <f>IFERROR(__xludf.DUMMYFUNCTION("""COMPUTED_VALUE"""),"Chromo")</f>
        <v>Chromo</v>
      </c>
      <c r="B43" s="68">
        <f>IFERROR(__xludf.DUMMYFUNCTION("""COMPUTED_VALUE"""),80.0)</f>
        <v>80</v>
      </c>
      <c r="C43" s="69">
        <f>IFERROR(__xludf.DUMMYFUNCTION("""COMPUTED_VALUE"""),245.0)</f>
        <v>245</v>
      </c>
      <c r="D43" s="70">
        <f>IFERROR(SUMIFS('Stock In'!F:F,'Stock In'!C:C,$A43,'Stock In'!D:D,$B43,'Stock In'!E:E,$C43),0)</f>
        <v>2070</v>
      </c>
      <c r="E43" s="70">
        <f>IFERROR(SUMIFS(Issues!H:H,Issues!C:C,$A43,Issues!D:D,$B43,Issues!E:E,$C43),0)</f>
        <v>0</v>
      </c>
      <c r="F43" s="70">
        <f>IFERROR(SUMIFS(Returns!H:H,Returns!C:C,$A43,Returns!D:D,$B43,Returns!E:E,$C43),0)</f>
        <v>0</v>
      </c>
      <c r="G43" s="70">
        <f t="shared" si="1"/>
        <v>2070</v>
      </c>
      <c r="H43" s="71">
        <f t="shared" si="2"/>
        <v>507.15</v>
      </c>
      <c r="I43" s="72">
        <f>IFERROR( SUMIFS('Stock In'!I:I,'Stock In'!C:C,$A43,'Stock In'!D:D,$B43,'Stock In'!E:E,$C43) / SUMIFS('Stock In'!H:H,'Stock In'!C:C,$A43,'Stock In'!D:D,$B43,'Stock In'!E:E,$C43) , 0)</f>
        <v>26.5</v>
      </c>
      <c r="J43" s="71">
        <f t="shared" si="3"/>
        <v>13439.475</v>
      </c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8" t="str">
        <f>IFERROR(__xludf.DUMMYFUNCTION("""COMPUTED_VALUE"""),"Chromo")</f>
        <v>Chromo</v>
      </c>
      <c r="B44" s="68">
        <f>IFERROR(__xludf.DUMMYFUNCTION("""COMPUTED_VALUE"""),80.0)</f>
        <v>80</v>
      </c>
      <c r="C44" s="69">
        <f>IFERROR(__xludf.DUMMYFUNCTION("""COMPUTED_VALUE"""),340.0)</f>
        <v>340</v>
      </c>
      <c r="D44" s="70">
        <f>IFERROR(SUMIFS('Stock In'!F:F,'Stock In'!C:C,$A44,'Stock In'!D:D,$B44,'Stock In'!E:E,$C44),0)</f>
        <v>2000</v>
      </c>
      <c r="E44" s="70">
        <f>IFERROR(SUMIFS(Issues!H:H,Issues!C:C,$A44,Issues!D:D,$B44,Issues!E:E,$C44),0)</f>
        <v>0</v>
      </c>
      <c r="F44" s="70">
        <f>IFERROR(SUMIFS(Returns!H:H,Returns!C:C,$A44,Returns!D:D,$B44,Returns!E:E,$C44),0)</f>
        <v>0</v>
      </c>
      <c r="G44" s="70">
        <f t="shared" si="1"/>
        <v>2000</v>
      </c>
      <c r="H44" s="71">
        <f t="shared" si="2"/>
        <v>680</v>
      </c>
      <c r="I44" s="72">
        <f>IFERROR( SUMIFS('Stock In'!I:I,'Stock In'!C:C,$A44,'Stock In'!D:D,$B44,'Stock In'!E:E,$C44) / SUMIFS('Stock In'!H:H,'Stock In'!C:C,$A44,'Stock In'!D:D,$B44,'Stock In'!E:E,$C44) , 0)</f>
        <v>26.5</v>
      </c>
      <c r="J44" s="71">
        <f t="shared" si="3"/>
        <v>18020</v>
      </c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8" t="str">
        <f>IFERROR(__xludf.DUMMYFUNCTION("""COMPUTED_VALUE"""),"Only ART Paper Without Gumming")</f>
        <v>Only ART Paper Without Gumming</v>
      </c>
      <c r="B45" s="68">
        <f>IFERROR(__xludf.DUMMYFUNCTION("""COMPUTED_VALUE"""),80.0)</f>
        <v>80</v>
      </c>
      <c r="C45" s="69">
        <f>IFERROR(__xludf.DUMMYFUNCTION("""COMPUTED_VALUE"""),340.0)</f>
        <v>340</v>
      </c>
      <c r="D45" s="70">
        <f>IFERROR(SUMIFS('Stock In'!F:F,'Stock In'!C:C,$A45,'Stock In'!D:D,$B45,'Stock In'!E:E,$C45),0)</f>
        <v>200</v>
      </c>
      <c r="E45" s="70">
        <f>IFERROR(SUMIFS(Issues!H:H,Issues!C:C,$A45,Issues!D:D,$B45,Issues!E:E,$C45),0)</f>
        <v>0</v>
      </c>
      <c r="F45" s="70">
        <f>IFERROR(SUMIFS(Returns!H:H,Returns!C:C,$A45,Returns!D:D,$B45,Returns!E:E,$C45),0)</f>
        <v>0</v>
      </c>
      <c r="G45" s="70">
        <f t="shared" si="1"/>
        <v>200</v>
      </c>
      <c r="H45" s="71">
        <f t="shared" si="2"/>
        <v>68</v>
      </c>
      <c r="I45" s="72">
        <f>IFERROR( SUMIFS('Stock In'!I:I,'Stock In'!C:C,$A45,'Stock In'!D:D,$B45,'Stock In'!E:E,$C45) / SUMIFS('Stock In'!H:H,'Stock In'!C:C,$A45,'Stock In'!D:D,$B45,'Stock In'!E:E,$C45) , 0)</f>
        <v>8.5</v>
      </c>
      <c r="J45" s="71">
        <f t="shared" si="3"/>
        <v>578</v>
      </c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8" t="str">
        <f>IFERROR(__xludf.DUMMYFUNCTION("""COMPUTED_VALUE"""),"PP WHITE")</f>
        <v>PP WHITE</v>
      </c>
      <c r="B46" s="68">
        <f>IFERROR(__xludf.DUMMYFUNCTION("""COMPUTED_VALUE"""),50.0)</f>
        <v>50</v>
      </c>
      <c r="C46" s="69">
        <f>IFERROR(__xludf.DUMMYFUNCTION("""COMPUTED_VALUE"""),180.0)</f>
        <v>180</v>
      </c>
      <c r="D46" s="70">
        <f>IFERROR(SUMIFS('Stock In'!F:F,'Stock In'!C:C,$A46,'Stock In'!D:D,$B46,'Stock In'!E:E,$C46),0)</f>
        <v>2870</v>
      </c>
      <c r="E46" s="70">
        <f>IFERROR(SUMIFS(Issues!H:H,Issues!C:C,$A46,Issues!D:D,$B46,Issues!E:E,$C46),0)</f>
        <v>0</v>
      </c>
      <c r="F46" s="70">
        <f>IFERROR(SUMIFS(Returns!H:H,Returns!C:C,$A46,Returns!D:D,$B46,Returns!E:E,$C46),0)</f>
        <v>150</v>
      </c>
      <c r="G46" s="70">
        <f t="shared" si="1"/>
        <v>3020</v>
      </c>
      <c r="H46" s="71">
        <f t="shared" si="2"/>
        <v>543.6</v>
      </c>
      <c r="I46" s="72">
        <f>IFERROR( SUMIFS('Stock In'!I:I,'Stock In'!C:C,$A46,'Stock In'!D:D,$B46,'Stock In'!E:E,$C46) / SUMIFS('Stock In'!H:H,'Stock In'!C:C,$A46,'Stock In'!D:D,$B46,'Stock In'!E:E,$C46) , 0)</f>
        <v>34.65156794</v>
      </c>
      <c r="J46" s="71">
        <f t="shared" si="3"/>
        <v>18836.59233</v>
      </c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8" t="str">
        <f>IFERROR(__xludf.DUMMYFUNCTION("""COMPUTED_VALUE"""),"PP WHITE")</f>
        <v>PP WHITE</v>
      </c>
      <c r="B47" s="68">
        <f>IFERROR(__xludf.DUMMYFUNCTION("""COMPUTED_VALUE"""),50.0)</f>
        <v>50</v>
      </c>
      <c r="C47" s="69">
        <f>IFERROR(__xludf.DUMMYFUNCTION("""COMPUTED_VALUE"""),320.0)</f>
        <v>320</v>
      </c>
      <c r="D47" s="70">
        <f>IFERROR(SUMIFS('Stock In'!F:F,'Stock In'!C:C,$A47,'Stock In'!D:D,$B47,'Stock In'!E:E,$C47),0)</f>
        <v>250</v>
      </c>
      <c r="E47" s="70">
        <f>IFERROR(SUMIFS(Issues!H:H,Issues!C:C,$A47,Issues!D:D,$B47,Issues!E:E,$C47),0)</f>
        <v>0</v>
      </c>
      <c r="F47" s="70">
        <f>IFERROR(SUMIFS(Returns!H:H,Returns!C:C,$A47,Returns!D:D,$B47,Returns!E:E,$C47),0)</f>
        <v>0</v>
      </c>
      <c r="G47" s="70">
        <f t="shared" si="1"/>
        <v>250</v>
      </c>
      <c r="H47" s="71">
        <f t="shared" si="2"/>
        <v>80</v>
      </c>
      <c r="I47" s="72">
        <f>IFERROR( SUMIFS('Stock In'!I:I,'Stock In'!C:C,$A47,'Stock In'!D:D,$B47,'Stock In'!E:E,$C47) / SUMIFS('Stock In'!H:H,'Stock In'!C:C,$A47,'Stock In'!D:D,$B47,'Stock In'!E:E,$C47) , 0)</f>
        <v>34</v>
      </c>
      <c r="J47" s="71">
        <f t="shared" si="3"/>
        <v>2720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8" t="str">
        <f>IFERROR(__xludf.DUMMYFUNCTION("""COMPUTED_VALUE"""),"PP WHITE")</f>
        <v>PP WHITE</v>
      </c>
      <c r="B48" s="68">
        <f>IFERROR(__xludf.DUMMYFUNCTION("""COMPUTED_VALUE"""),50.0)</f>
        <v>50</v>
      </c>
      <c r="C48" s="69">
        <f>IFERROR(__xludf.DUMMYFUNCTION("""COMPUTED_VALUE"""),90.0)</f>
        <v>90</v>
      </c>
      <c r="D48" s="70">
        <f>IFERROR(SUMIFS('Stock In'!F:F,'Stock In'!C:C,$A48,'Stock In'!D:D,$B48,'Stock In'!E:E,$C48),0)</f>
        <v>700</v>
      </c>
      <c r="E48" s="70">
        <f>IFERROR(SUMIFS(Issues!H:H,Issues!C:C,$A48,Issues!D:D,$B48,Issues!E:E,$C48),0)</f>
        <v>0</v>
      </c>
      <c r="F48" s="70">
        <f>IFERROR(SUMIFS(Returns!H:H,Returns!C:C,$A48,Returns!D:D,$B48,Returns!E:E,$C48),0)</f>
        <v>0</v>
      </c>
      <c r="G48" s="70">
        <f t="shared" si="1"/>
        <v>700</v>
      </c>
      <c r="H48" s="71">
        <f t="shared" si="2"/>
        <v>63</v>
      </c>
      <c r="I48" s="72">
        <f>IFERROR( SUMIFS('Stock In'!I:I,'Stock In'!C:C,$A48,'Stock In'!D:D,$B48,'Stock In'!E:E,$C48) / SUMIFS('Stock In'!H:H,'Stock In'!C:C,$A48,'Stock In'!D:D,$B48,'Stock In'!E:E,$C48) , 0)</f>
        <v>36</v>
      </c>
      <c r="J48" s="71">
        <f t="shared" si="3"/>
        <v>2268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8" t="str">
        <f>IFERROR(__xludf.DUMMYFUNCTION("""COMPUTED_VALUE"""),"PP CLEAR")</f>
        <v>PP CLEAR</v>
      </c>
      <c r="B49" s="68">
        <f>IFERROR(__xludf.DUMMYFUNCTION("""COMPUTED_VALUE"""),50.0)</f>
        <v>50</v>
      </c>
      <c r="C49" s="69">
        <f>IFERROR(__xludf.DUMMYFUNCTION("""COMPUTED_VALUE"""),91.0)</f>
        <v>91</v>
      </c>
      <c r="D49" s="70">
        <f>IFERROR(SUMIFS('Stock In'!F:F,'Stock In'!C:C,$A49,'Stock In'!D:D,$B49,'Stock In'!E:E,$C49),0)</f>
        <v>12080</v>
      </c>
      <c r="E49" s="70">
        <f>IFERROR(SUMIFS(Issues!H:H,Issues!C:C,$A49,Issues!D:D,$B49,Issues!E:E,$C49),0)</f>
        <v>0</v>
      </c>
      <c r="F49" s="70">
        <f>IFERROR(SUMIFS(Returns!H:H,Returns!C:C,$A49,Returns!D:D,$B49,Returns!E:E,$C49),0)</f>
        <v>0</v>
      </c>
      <c r="G49" s="70">
        <f t="shared" si="1"/>
        <v>12080</v>
      </c>
      <c r="H49" s="71">
        <f t="shared" si="2"/>
        <v>1099.28</v>
      </c>
      <c r="I49" s="72">
        <f>IFERROR( SUMIFS('Stock In'!I:I,'Stock In'!C:C,$A49,'Stock In'!D:D,$B49,'Stock In'!E:E,$C49) / SUMIFS('Stock In'!H:H,'Stock In'!C:C,$A49,'Stock In'!D:D,$B49,'Stock In'!E:E,$C49) , 0)</f>
        <v>34.5</v>
      </c>
      <c r="J49" s="71">
        <f t="shared" si="3"/>
        <v>37925.16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8" t="str">
        <f>IFERROR(__xludf.DUMMYFUNCTION("""COMPUTED_VALUE"""),"PP CLEAR")</f>
        <v>PP CLEAR</v>
      </c>
      <c r="B50" s="68">
        <f>IFERROR(__xludf.DUMMYFUNCTION("""COMPUTED_VALUE"""),50.0)</f>
        <v>50</v>
      </c>
      <c r="C50" s="69">
        <f>IFERROR(__xludf.DUMMYFUNCTION("""COMPUTED_VALUE"""),195.0)</f>
        <v>195</v>
      </c>
      <c r="D50" s="70">
        <f>IFERROR(SUMIFS('Stock In'!F:F,'Stock In'!C:C,$A50,'Stock In'!D:D,$B50,'Stock In'!E:E,$C50),0)</f>
        <v>1750</v>
      </c>
      <c r="E50" s="70">
        <f>IFERROR(SUMIFS(Issues!H:H,Issues!C:C,$A50,Issues!D:D,$B50,Issues!E:E,$C50),0)</f>
        <v>500</v>
      </c>
      <c r="F50" s="70">
        <f>IFERROR(SUMIFS(Returns!H:H,Returns!C:C,$A50,Returns!D:D,$B50,Returns!E:E,$C50),0)</f>
        <v>0</v>
      </c>
      <c r="G50" s="70">
        <f t="shared" si="1"/>
        <v>1250</v>
      </c>
      <c r="H50" s="71">
        <f t="shared" si="2"/>
        <v>243.75</v>
      </c>
      <c r="I50" s="72">
        <f>IFERROR( SUMIFS('Stock In'!I:I,'Stock In'!C:C,$A50,'Stock In'!D:D,$B50,'Stock In'!E:E,$C50) / SUMIFS('Stock In'!H:H,'Stock In'!C:C,$A50,'Stock In'!D:D,$B50,'Stock In'!E:E,$C50) , 0)</f>
        <v>34.14285714</v>
      </c>
      <c r="J50" s="71">
        <f t="shared" si="3"/>
        <v>8322.321429</v>
      </c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8" t="str">
        <f>IFERROR(__xludf.DUMMYFUNCTION("""COMPUTED_VALUE"""),"PP CLEAR")</f>
        <v>PP CLEAR</v>
      </c>
      <c r="B51" s="68">
        <f>IFERROR(__xludf.DUMMYFUNCTION("""COMPUTED_VALUE"""),50.0)</f>
        <v>50</v>
      </c>
      <c r="C51" s="69">
        <f>IFERROR(__xludf.DUMMYFUNCTION("""COMPUTED_VALUE"""),295.0)</f>
        <v>295</v>
      </c>
      <c r="D51" s="70">
        <f>IFERROR(SUMIFS('Stock In'!F:F,'Stock In'!C:C,$A51,'Stock In'!D:D,$B51,'Stock In'!E:E,$C51),0)</f>
        <v>740</v>
      </c>
      <c r="E51" s="70">
        <f>IFERROR(SUMIFS(Issues!H:H,Issues!C:C,$A51,Issues!D:D,$B51,Issues!E:E,$C51),0)</f>
        <v>0</v>
      </c>
      <c r="F51" s="70">
        <f>IFERROR(SUMIFS(Returns!H:H,Returns!C:C,$A51,Returns!D:D,$B51,Returns!E:E,$C51),0)</f>
        <v>0</v>
      </c>
      <c r="G51" s="70">
        <f t="shared" si="1"/>
        <v>740</v>
      </c>
      <c r="H51" s="71">
        <f t="shared" si="2"/>
        <v>218.3</v>
      </c>
      <c r="I51" s="72">
        <f>IFERROR( SUMIFS('Stock In'!I:I,'Stock In'!C:C,$A51,'Stock In'!D:D,$B51,'Stock In'!E:E,$C51) / SUMIFS('Stock In'!H:H,'Stock In'!C:C,$A51,'Stock In'!D:D,$B51,'Stock In'!E:E,$C51) , 0)</f>
        <v>34.5</v>
      </c>
      <c r="J51" s="71">
        <f t="shared" si="3"/>
        <v>7531.35</v>
      </c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8" t="str">
        <f>IFERROR(__xludf.DUMMYFUNCTION("""COMPUTED_VALUE"""),"PP SILVER")</f>
        <v>PP SILVER</v>
      </c>
      <c r="B52" s="68">
        <f>IFERROR(__xludf.DUMMYFUNCTION("""COMPUTED_VALUE"""),50.0)</f>
        <v>50</v>
      </c>
      <c r="C52" s="69">
        <f>IFERROR(__xludf.DUMMYFUNCTION("""COMPUTED_VALUE"""),125.0)</f>
        <v>125</v>
      </c>
      <c r="D52" s="70">
        <f>IFERROR(SUMIFS('Stock In'!F:F,'Stock In'!C:C,$A52,'Stock In'!D:D,$B52,'Stock In'!E:E,$C52),0)</f>
        <v>7450</v>
      </c>
      <c r="E52" s="70">
        <f>IFERROR(SUMIFS(Issues!H:H,Issues!C:C,$A52,Issues!D:D,$B52,Issues!E:E,$C52),0)</f>
        <v>1450</v>
      </c>
      <c r="F52" s="70">
        <f>IFERROR(SUMIFS(Returns!H:H,Returns!C:C,$A52,Returns!D:D,$B52,Returns!E:E,$C52),0)</f>
        <v>450</v>
      </c>
      <c r="G52" s="70">
        <f t="shared" si="1"/>
        <v>6450</v>
      </c>
      <c r="H52" s="71">
        <f t="shared" si="2"/>
        <v>806.25</v>
      </c>
      <c r="I52" s="72">
        <f>IFERROR( SUMIFS('Stock In'!I:I,'Stock In'!C:C,$A52,'Stock In'!D:D,$B52,'Stock In'!E:E,$C52) / SUMIFS('Stock In'!H:H,'Stock In'!C:C,$A52,'Stock In'!D:D,$B52,'Stock In'!E:E,$C52) , 0)</f>
        <v>34</v>
      </c>
      <c r="J52" s="71">
        <f t="shared" si="3"/>
        <v>27412.5</v>
      </c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8" t="str">
        <f>IFERROR(__xludf.DUMMYFUNCTION("""COMPUTED_VALUE"""),"PP WHITE")</f>
        <v>PP WHITE</v>
      </c>
      <c r="B53" s="68">
        <f>IFERROR(__xludf.DUMMYFUNCTION("""COMPUTED_VALUE"""),50.0)</f>
        <v>50</v>
      </c>
      <c r="C53" s="69">
        <f>IFERROR(__xludf.DUMMYFUNCTION("""COMPUTED_VALUE"""),135.0)</f>
        <v>135</v>
      </c>
      <c r="D53" s="70">
        <f>IFERROR(SUMIFS('Stock In'!F:F,'Stock In'!C:C,$A53,'Stock In'!D:D,$B53,'Stock In'!E:E,$C53),0)</f>
        <v>3830</v>
      </c>
      <c r="E53" s="70">
        <f>IFERROR(SUMIFS(Issues!H:H,Issues!C:C,$A53,Issues!D:D,$B53,Issues!E:E,$C53),0)</f>
        <v>3845</v>
      </c>
      <c r="F53" s="70">
        <f>IFERROR(SUMIFS(Returns!H:H,Returns!C:C,$A53,Returns!D:D,$B53,Returns!E:E,$C53),0)</f>
        <v>2495</v>
      </c>
      <c r="G53" s="70">
        <f t="shared" si="1"/>
        <v>2480</v>
      </c>
      <c r="H53" s="71">
        <f t="shared" si="2"/>
        <v>334.8</v>
      </c>
      <c r="I53" s="72">
        <f>IFERROR( SUMIFS('Stock In'!I:I,'Stock In'!C:C,$A53,'Stock In'!D:D,$B53,'Stock In'!E:E,$C53) / SUMIFS('Stock In'!H:H,'Stock In'!C:C,$A53,'Stock In'!D:D,$B53,'Stock In'!E:E,$C53) , 0)</f>
        <v>34.91906005</v>
      </c>
      <c r="J53" s="71">
        <f t="shared" si="3"/>
        <v>11690.90131</v>
      </c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8" t="str">
        <f>IFERROR(__xludf.DUMMYFUNCTION("""COMPUTED_VALUE"""),"PP SILVER")</f>
        <v>PP SILVER</v>
      </c>
      <c r="B54" s="68">
        <f>IFERROR(__xludf.DUMMYFUNCTION("""COMPUTED_VALUE"""),50.0)</f>
        <v>50</v>
      </c>
      <c r="C54" s="69">
        <f>IFERROR(__xludf.DUMMYFUNCTION("""COMPUTED_VALUE"""),150.0)</f>
        <v>150</v>
      </c>
      <c r="D54" s="70">
        <f>IFERROR(SUMIFS('Stock In'!F:F,'Stock In'!C:C,$A54,'Stock In'!D:D,$B54,'Stock In'!E:E,$C54),0)</f>
        <v>200</v>
      </c>
      <c r="E54" s="70">
        <f>IFERROR(SUMIFS(Issues!H:H,Issues!C:C,$A54,Issues!D:D,$B54,Issues!E:E,$C54),0)</f>
        <v>0</v>
      </c>
      <c r="F54" s="70">
        <f>IFERROR(SUMIFS(Returns!H:H,Returns!C:C,$A54,Returns!D:D,$B54,Returns!E:E,$C54),0)</f>
        <v>0</v>
      </c>
      <c r="G54" s="70">
        <f t="shared" si="1"/>
        <v>200</v>
      </c>
      <c r="H54" s="71">
        <f t="shared" si="2"/>
        <v>30</v>
      </c>
      <c r="I54" s="72">
        <f>IFERROR( SUMIFS('Stock In'!I:I,'Stock In'!C:C,$A54,'Stock In'!D:D,$B54,'Stock In'!E:E,$C54) / SUMIFS('Stock In'!H:H,'Stock In'!C:C,$A54,'Stock In'!D:D,$B54,'Stock In'!E:E,$C54) , 0)</f>
        <v>34</v>
      </c>
      <c r="J54" s="71">
        <f t="shared" si="3"/>
        <v>1020</v>
      </c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8" t="str">
        <f>IFERROR(__xludf.DUMMYFUNCTION("""COMPUTED_VALUE"""),"PP CLEAR")</f>
        <v>PP CLEAR</v>
      </c>
      <c r="B55" s="68">
        <f>IFERROR(__xludf.DUMMYFUNCTION("""COMPUTED_VALUE"""),50.0)</f>
        <v>50</v>
      </c>
      <c r="C55" s="69">
        <f>IFERROR(__xludf.DUMMYFUNCTION("""COMPUTED_VALUE"""),160.0)</f>
        <v>160</v>
      </c>
      <c r="D55" s="70">
        <f>IFERROR(SUMIFS('Stock In'!F:F,'Stock In'!C:C,$A55,'Stock In'!D:D,$B55,'Stock In'!E:E,$C55),0)</f>
        <v>1900</v>
      </c>
      <c r="E55" s="70">
        <f>IFERROR(SUMIFS(Issues!H:H,Issues!C:C,$A55,Issues!D:D,$B55,Issues!E:E,$C55),0)</f>
        <v>0</v>
      </c>
      <c r="F55" s="70">
        <f>IFERROR(SUMIFS(Returns!H:H,Returns!C:C,$A55,Returns!D:D,$B55,Returns!E:E,$C55),0)</f>
        <v>0</v>
      </c>
      <c r="G55" s="70">
        <f t="shared" si="1"/>
        <v>1900</v>
      </c>
      <c r="H55" s="71">
        <f t="shared" si="2"/>
        <v>304</v>
      </c>
      <c r="I55" s="72">
        <f>IFERROR( SUMIFS('Stock In'!I:I,'Stock In'!C:C,$A55,'Stock In'!D:D,$B55,'Stock In'!E:E,$C55) / SUMIFS('Stock In'!H:H,'Stock In'!C:C,$A55,'Stock In'!D:D,$B55,'Stock In'!E:E,$C55) , 0)</f>
        <v>40</v>
      </c>
      <c r="J55" s="71">
        <f t="shared" si="3"/>
        <v>12160</v>
      </c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8" t="str">
        <f>IFERROR(__xludf.DUMMYFUNCTION("""COMPUTED_VALUE"""),"Pvc Cast Film")</f>
        <v>Pvc Cast Film</v>
      </c>
      <c r="B56" s="68">
        <f>IFERROR(__xludf.DUMMYFUNCTION("""COMPUTED_VALUE"""),40.0)</f>
        <v>40</v>
      </c>
      <c r="C56" s="69">
        <f>IFERROR(__xludf.DUMMYFUNCTION("""COMPUTED_VALUE"""),240.0)</f>
        <v>240</v>
      </c>
      <c r="D56" s="70">
        <f>IFERROR(SUMIFS('Stock In'!F:F,'Stock In'!C:C,$A56,'Stock In'!D:D,$B56,'Stock In'!E:E,$C56),0)</f>
        <v>30000</v>
      </c>
      <c r="E56" s="70">
        <f>IFERROR(SUMIFS(Issues!H:H,Issues!C:C,$A56,Issues!D:D,$B56,Issues!E:E,$C56),0)</f>
        <v>68555</v>
      </c>
      <c r="F56" s="70">
        <f>IFERROR(SUMIFS(Returns!H:H,Returns!C:C,$A56,Returns!D:D,$B56,Returns!E:E,$C56),0)</f>
        <v>35946</v>
      </c>
      <c r="G56" s="70">
        <f t="shared" si="1"/>
        <v>-2609</v>
      </c>
      <c r="H56" s="71">
        <f t="shared" si="2"/>
        <v>-626.16</v>
      </c>
      <c r="I56" s="72">
        <f>IFERROR( SUMIFS('Stock In'!I:I,'Stock In'!C:C,$A56,'Stock In'!D:D,$B56,'Stock In'!E:E,$C56) / SUMIFS('Stock In'!H:H,'Stock In'!C:C,$A56,'Stock In'!D:D,$B56,'Stock In'!E:E,$C56) , 0)</f>
        <v>13</v>
      </c>
      <c r="J56" s="71">
        <f t="shared" si="3"/>
        <v>-8140.08</v>
      </c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8" t="str">
        <f>IFERROR(__xludf.DUMMYFUNCTION("""COMPUTED_VALUE"""),"Pvc Cast Film")</f>
        <v>Pvc Cast Film</v>
      </c>
      <c r="B57" s="68">
        <f>IFERROR(__xludf.DUMMYFUNCTION("""COMPUTED_VALUE"""),40.0)</f>
        <v>40</v>
      </c>
      <c r="C57" s="69">
        <f>IFERROR(__xludf.DUMMYFUNCTION("""COMPUTED_VALUE"""),190.0)</f>
        <v>190</v>
      </c>
      <c r="D57" s="70">
        <f>IFERROR(SUMIFS('Stock In'!F:F,'Stock In'!C:C,$A57,'Stock In'!D:D,$B57,'Stock In'!E:E,$C57),0)</f>
        <v>500</v>
      </c>
      <c r="E57" s="70">
        <f>IFERROR(SUMIFS(Issues!H:H,Issues!C:C,$A57,Issues!D:D,$B57,Issues!E:E,$C57),0)</f>
        <v>0</v>
      </c>
      <c r="F57" s="70">
        <f>IFERROR(SUMIFS(Returns!H:H,Returns!C:C,$A57,Returns!D:D,$B57,Returns!E:E,$C57),0)</f>
        <v>0</v>
      </c>
      <c r="G57" s="70">
        <f t="shared" si="1"/>
        <v>500</v>
      </c>
      <c r="H57" s="71">
        <f t="shared" si="2"/>
        <v>95</v>
      </c>
      <c r="I57" s="72">
        <f>IFERROR( SUMIFS('Stock In'!I:I,'Stock In'!C:C,$A57,'Stock In'!D:D,$B57,'Stock In'!E:E,$C57) / SUMIFS('Stock In'!H:H,'Stock In'!C:C,$A57,'Stock In'!D:D,$B57,'Stock In'!E:E,$C57) , 0)</f>
        <v>13</v>
      </c>
      <c r="J57" s="71">
        <f t="shared" si="3"/>
        <v>1235</v>
      </c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8" t="str">
        <f>IFERROR(__xludf.DUMMYFUNCTION("""COMPUTED_VALUE"""),"Pvc Cast Film")</f>
        <v>Pvc Cast Film</v>
      </c>
      <c r="B58" s="68">
        <f>IFERROR(__xludf.DUMMYFUNCTION("""COMPUTED_VALUE"""),40.0)</f>
        <v>40</v>
      </c>
      <c r="C58" s="69">
        <f>IFERROR(__xludf.DUMMYFUNCTION("""COMPUTED_VALUE"""),195.0)</f>
        <v>195</v>
      </c>
      <c r="D58" s="70">
        <f>IFERROR(SUMIFS('Stock In'!F:F,'Stock In'!C:C,$A58,'Stock In'!D:D,$B58,'Stock In'!E:E,$C58),0)</f>
        <v>600</v>
      </c>
      <c r="E58" s="70">
        <f>IFERROR(SUMIFS(Issues!H:H,Issues!C:C,$A58,Issues!D:D,$B58,Issues!E:E,$C58),0)</f>
        <v>0</v>
      </c>
      <c r="F58" s="70">
        <f>IFERROR(SUMIFS(Returns!H:H,Returns!C:C,$A58,Returns!D:D,$B58,Returns!E:E,$C58),0)</f>
        <v>0</v>
      </c>
      <c r="G58" s="70">
        <f t="shared" si="1"/>
        <v>600</v>
      </c>
      <c r="H58" s="71">
        <f t="shared" si="2"/>
        <v>117</v>
      </c>
      <c r="I58" s="72">
        <f>IFERROR( SUMIFS('Stock In'!I:I,'Stock In'!C:C,$A58,'Stock In'!D:D,$B58,'Stock In'!E:E,$C58) / SUMIFS('Stock In'!H:H,'Stock In'!C:C,$A58,'Stock In'!D:D,$B58,'Stock In'!E:E,$C58) , 0)</f>
        <v>13</v>
      </c>
      <c r="J58" s="71">
        <f t="shared" si="3"/>
        <v>1521</v>
      </c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8" t="str">
        <f>IFERROR(__xludf.DUMMYFUNCTION("""COMPUTED_VALUE"""),"PP CLEAR")</f>
        <v>PP CLEAR</v>
      </c>
      <c r="B59" s="68">
        <f>IFERROR(__xludf.DUMMYFUNCTION("""COMPUTED_VALUE"""),50.0)</f>
        <v>50</v>
      </c>
      <c r="C59" s="69">
        <f>IFERROR(__xludf.DUMMYFUNCTION("""COMPUTED_VALUE"""),220.0)</f>
        <v>220</v>
      </c>
      <c r="D59" s="70">
        <f>IFERROR(SUMIFS('Stock In'!F:F,'Stock In'!C:C,$A59,'Stock In'!D:D,$B59,'Stock In'!E:E,$C59),0)</f>
        <v>1800</v>
      </c>
      <c r="E59" s="70">
        <f>IFERROR(SUMIFS(Issues!H:H,Issues!C:C,$A59,Issues!D:D,$B59,Issues!E:E,$C59),0)</f>
        <v>0</v>
      </c>
      <c r="F59" s="70">
        <f>IFERROR(SUMIFS(Returns!H:H,Returns!C:C,$A59,Returns!D:D,$B59,Returns!E:E,$C59),0)</f>
        <v>0</v>
      </c>
      <c r="G59" s="70">
        <f t="shared" si="1"/>
        <v>1800</v>
      </c>
      <c r="H59" s="71">
        <f t="shared" si="2"/>
        <v>396</v>
      </c>
      <c r="I59" s="72">
        <f>IFERROR( SUMIFS('Stock In'!I:I,'Stock In'!C:C,$A59,'Stock In'!D:D,$B59,'Stock In'!E:E,$C59) / SUMIFS('Stock In'!H:H,'Stock In'!C:C,$A59,'Stock In'!D:D,$B59,'Stock In'!E:E,$C59) , 0)</f>
        <v>40</v>
      </c>
      <c r="J59" s="71">
        <f t="shared" si="3"/>
        <v>15840</v>
      </c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8" t="str">
        <f>IFERROR(__xludf.DUMMYFUNCTION("""COMPUTED_VALUE"""),"CHROMO ( SHINE )")</f>
        <v>CHROMO ( SHINE )</v>
      </c>
      <c r="B60" s="68">
        <f>IFERROR(__xludf.DUMMYFUNCTION("""COMPUTED_VALUE"""),80.0)</f>
        <v>80</v>
      </c>
      <c r="C60" s="69">
        <f>IFERROR(__xludf.DUMMYFUNCTION("""COMPUTED_VALUE"""),210.0)</f>
        <v>210</v>
      </c>
      <c r="D60" s="70">
        <f>IFERROR(SUMIFS('Stock In'!F:F,'Stock In'!C:C,$A60,'Stock In'!D:D,$B60,'Stock In'!E:E,$C60),0)</f>
        <v>1000</v>
      </c>
      <c r="E60" s="70">
        <f>IFERROR(SUMIFS(Issues!H:H,Issues!C:C,$A60,Issues!D:D,$B60,Issues!E:E,$C60),0)</f>
        <v>0</v>
      </c>
      <c r="F60" s="70">
        <f>IFERROR(SUMIFS(Returns!H:H,Returns!C:C,$A60,Returns!D:D,$B60,Returns!E:E,$C60),0)</f>
        <v>0</v>
      </c>
      <c r="G60" s="70">
        <f t="shared" si="1"/>
        <v>1000</v>
      </c>
      <c r="H60" s="71">
        <f t="shared" si="2"/>
        <v>210</v>
      </c>
      <c r="I60" s="72">
        <f>IFERROR( SUMIFS('Stock In'!I:I,'Stock In'!C:C,$A60,'Stock In'!D:D,$B60,'Stock In'!E:E,$C60) / SUMIFS('Stock In'!H:H,'Stock In'!C:C,$A60,'Stock In'!D:D,$B60,'Stock In'!E:E,$C60) , 0)</f>
        <v>30</v>
      </c>
      <c r="J60" s="71">
        <f t="shared" si="3"/>
        <v>6300</v>
      </c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8" t="str">
        <f>IFERROR(__xludf.DUMMYFUNCTION("""COMPUTED_VALUE"""),"RAFLACOAT NXT (CHROMO PAPER)")</f>
        <v>RAFLACOAT NXT (CHROMO PAPER)</v>
      </c>
      <c r="B61" s="68">
        <f>IFERROR(__xludf.DUMMYFUNCTION("""COMPUTED_VALUE"""),70.0)</f>
        <v>70</v>
      </c>
      <c r="C61" s="69">
        <f>IFERROR(__xludf.DUMMYFUNCTION("""COMPUTED_VALUE"""),160.0)</f>
        <v>160</v>
      </c>
      <c r="D61" s="70">
        <f>IFERROR(SUMIFS('Stock In'!F:F,'Stock In'!C:C,$A61,'Stock In'!D:D,$B61,'Stock In'!E:E,$C61),0)</f>
        <v>17930</v>
      </c>
      <c r="E61" s="70">
        <f>IFERROR(SUMIFS(Issues!H:H,Issues!C:C,$A61,Issues!D:D,$B61,Issues!E:E,$C61),0)</f>
        <v>0</v>
      </c>
      <c r="F61" s="70">
        <f>IFERROR(SUMIFS(Returns!H:H,Returns!C:C,$A61,Returns!D:D,$B61,Returns!E:E,$C61),0)</f>
        <v>0</v>
      </c>
      <c r="G61" s="70">
        <f t="shared" si="1"/>
        <v>17930</v>
      </c>
      <c r="H61" s="71">
        <f t="shared" si="2"/>
        <v>2868.8</v>
      </c>
      <c r="I61" s="72">
        <f>IFERROR( SUMIFS('Stock In'!I:I,'Stock In'!C:C,$A61,'Stock In'!D:D,$B61,'Stock In'!E:E,$C61) / SUMIFS('Stock In'!H:H,'Stock In'!C:C,$A61,'Stock In'!D:D,$B61,'Stock In'!E:E,$C61) , 0)</f>
        <v>27.5</v>
      </c>
      <c r="J61" s="71">
        <f t="shared" si="3"/>
        <v>78892</v>
      </c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8" t="str">
        <f>IFERROR(__xludf.DUMMYFUNCTION("""COMPUTED_VALUE"""),"PE CLEAR")</f>
        <v>PE CLEAR</v>
      </c>
      <c r="B62" s="68">
        <f>IFERROR(__xludf.DUMMYFUNCTION("""COMPUTED_VALUE"""),50.0)</f>
        <v>50</v>
      </c>
      <c r="C62" s="69">
        <f>IFERROR(__xludf.DUMMYFUNCTION("""COMPUTED_VALUE"""),265.0)</f>
        <v>265</v>
      </c>
      <c r="D62" s="70">
        <f>IFERROR(SUMIFS('Stock In'!F:F,'Stock In'!C:C,$A62,'Stock In'!D:D,$B62,'Stock In'!E:E,$C62),0)</f>
        <v>1500</v>
      </c>
      <c r="E62" s="70">
        <f>IFERROR(SUMIFS(Issues!H:H,Issues!C:C,$A62,Issues!D:D,$B62,Issues!E:E,$C62),0)</f>
        <v>0</v>
      </c>
      <c r="F62" s="70">
        <f>IFERROR(SUMIFS(Returns!H:H,Returns!C:C,$A62,Returns!D:D,$B62,Returns!E:E,$C62),0)</f>
        <v>0</v>
      </c>
      <c r="G62" s="70">
        <f t="shared" si="1"/>
        <v>1500</v>
      </c>
      <c r="H62" s="71">
        <f t="shared" si="2"/>
        <v>397.5</v>
      </c>
      <c r="I62" s="72">
        <f>IFERROR( SUMIFS('Stock In'!I:I,'Stock In'!C:C,$A62,'Stock In'!D:D,$B62,'Stock In'!E:E,$C62) / SUMIFS('Stock In'!H:H,'Stock In'!C:C,$A62,'Stock In'!D:D,$B62,'Stock In'!E:E,$C62) , 0)</f>
        <v>48</v>
      </c>
      <c r="J62" s="71">
        <f t="shared" si="3"/>
        <v>19080</v>
      </c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8" t="str">
        <f>IFERROR(__xludf.DUMMYFUNCTION("""COMPUTED_VALUE"""),"PE CLEAR")</f>
        <v>PE CLEAR</v>
      </c>
      <c r="B63" s="68">
        <f>IFERROR(__xludf.DUMMYFUNCTION("""COMPUTED_VALUE"""),50.0)</f>
        <v>50</v>
      </c>
      <c r="C63" s="69">
        <f>IFERROR(__xludf.DUMMYFUNCTION("""COMPUTED_VALUE"""),266.0)</f>
        <v>266</v>
      </c>
      <c r="D63" s="70">
        <f>IFERROR(SUMIFS('Stock In'!F:F,'Stock In'!C:C,$A63,'Stock In'!D:D,$B63,'Stock In'!E:E,$C63),0)</f>
        <v>4000</v>
      </c>
      <c r="E63" s="70">
        <f>IFERROR(SUMIFS(Issues!H:H,Issues!C:C,$A63,Issues!D:D,$B63,Issues!E:E,$C63),0)</f>
        <v>0</v>
      </c>
      <c r="F63" s="70">
        <f>IFERROR(SUMIFS(Returns!H:H,Returns!C:C,$A63,Returns!D:D,$B63,Returns!E:E,$C63),0)</f>
        <v>0</v>
      </c>
      <c r="G63" s="70">
        <f t="shared" si="1"/>
        <v>4000</v>
      </c>
      <c r="H63" s="71">
        <f t="shared" si="2"/>
        <v>1064</v>
      </c>
      <c r="I63" s="72">
        <f>IFERROR( SUMIFS('Stock In'!I:I,'Stock In'!C:C,$A63,'Stock In'!D:D,$B63,'Stock In'!E:E,$C63) / SUMIFS('Stock In'!H:H,'Stock In'!C:C,$A63,'Stock In'!D:D,$B63,'Stock In'!E:E,$C63) , 0)</f>
        <v>48</v>
      </c>
      <c r="J63" s="71">
        <f t="shared" si="3"/>
        <v>51072</v>
      </c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8" t="str">
        <f>IFERROR(__xludf.DUMMYFUNCTION("""COMPUTED_VALUE"""),"PP WHITE")</f>
        <v>PP WHITE</v>
      </c>
      <c r="B64" s="68">
        <f>IFERROR(__xludf.DUMMYFUNCTION("""COMPUTED_VALUE"""),50.0)</f>
        <v>50</v>
      </c>
      <c r="C64" s="69">
        <f>IFERROR(__xludf.DUMMYFUNCTION("""COMPUTED_VALUE"""),150.0)</f>
        <v>150</v>
      </c>
      <c r="D64" s="70">
        <f>IFERROR(SUMIFS('Stock In'!F:F,'Stock In'!C:C,$A64,'Stock In'!D:D,$B64,'Stock In'!E:E,$C64),0)</f>
        <v>800</v>
      </c>
      <c r="E64" s="70">
        <f>IFERROR(SUMIFS(Issues!H:H,Issues!C:C,$A64,Issues!D:D,$B64,Issues!E:E,$C64),0)</f>
        <v>0</v>
      </c>
      <c r="F64" s="70">
        <f>IFERROR(SUMIFS(Returns!H:H,Returns!C:C,$A64,Returns!D:D,$B64,Returns!E:E,$C64),0)</f>
        <v>0</v>
      </c>
      <c r="G64" s="70">
        <f t="shared" si="1"/>
        <v>800</v>
      </c>
      <c r="H64" s="71">
        <f t="shared" si="2"/>
        <v>120</v>
      </c>
      <c r="I64" s="72">
        <f>IFERROR( SUMIFS('Stock In'!I:I,'Stock In'!C:C,$A64,'Stock In'!D:D,$B64,'Stock In'!E:E,$C64) / SUMIFS('Stock In'!H:H,'Stock In'!C:C,$A64,'Stock In'!D:D,$B64,'Stock In'!E:E,$C64) , 0)</f>
        <v>35</v>
      </c>
      <c r="J64" s="71">
        <f t="shared" si="3"/>
        <v>4200</v>
      </c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8" t="str">
        <f>IFERROR(__xludf.DUMMYFUNCTION("""COMPUTED_VALUE"""),"PP WHITE")</f>
        <v>PP WHITE</v>
      </c>
      <c r="B65" s="68">
        <f>IFERROR(__xludf.DUMMYFUNCTION("""COMPUTED_VALUE"""),50.0)</f>
        <v>50</v>
      </c>
      <c r="C65" s="69">
        <f>IFERROR(__xludf.DUMMYFUNCTION("""COMPUTED_VALUE"""),265.0)</f>
        <v>265</v>
      </c>
      <c r="D65" s="70">
        <f>IFERROR(SUMIFS('Stock In'!F:F,'Stock In'!C:C,$A65,'Stock In'!D:D,$B65,'Stock In'!E:E,$C65),0)</f>
        <v>1000</v>
      </c>
      <c r="E65" s="70">
        <f>IFERROR(SUMIFS(Issues!H:H,Issues!C:C,$A65,Issues!D:D,$B65,Issues!E:E,$C65),0)</f>
        <v>0</v>
      </c>
      <c r="F65" s="70">
        <f>IFERROR(SUMIFS(Returns!H:H,Returns!C:C,$A65,Returns!D:D,$B65,Returns!E:E,$C65),0)</f>
        <v>0</v>
      </c>
      <c r="G65" s="70">
        <f t="shared" si="1"/>
        <v>1000</v>
      </c>
      <c r="H65" s="71">
        <f t="shared" si="2"/>
        <v>265</v>
      </c>
      <c r="I65" s="72">
        <f>IFERROR( SUMIFS('Stock In'!I:I,'Stock In'!C:C,$A65,'Stock In'!D:D,$B65,'Stock In'!E:E,$C65) / SUMIFS('Stock In'!H:H,'Stock In'!C:C,$A65,'Stock In'!D:D,$B65,'Stock In'!E:E,$C65) , 0)</f>
        <v>35</v>
      </c>
      <c r="J65" s="71">
        <f t="shared" si="3"/>
        <v>9275</v>
      </c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8" t="str">
        <f>IFERROR(__xludf.DUMMYFUNCTION("""COMPUTED_VALUE"""),"ONLY CHROMO ( GLOSS PAPER ) RAHAT HD")</f>
        <v>ONLY CHROMO ( GLOSS PAPER ) RAHAT HD</v>
      </c>
      <c r="B66" s="68">
        <f>IFERROR(__xludf.DUMMYFUNCTION("""COMPUTED_VALUE"""),120.0)</f>
        <v>120</v>
      </c>
      <c r="C66" s="69">
        <f>IFERROR(__xludf.DUMMYFUNCTION("""COMPUTED_VALUE"""),250.0)</f>
        <v>250</v>
      </c>
      <c r="D66" s="70">
        <f>IFERROR(SUMIFS('Stock In'!F:F,'Stock In'!C:C,$A66,'Stock In'!D:D,$B66,'Stock In'!E:E,$C66),0)</f>
        <v>6000</v>
      </c>
      <c r="E66" s="70">
        <f>IFERROR(SUMIFS(Issues!H:H,Issues!C:C,$A66,Issues!D:D,$B66,Issues!E:E,$C66),0)</f>
        <v>6100</v>
      </c>
      <c r="F66" s="70">
        <f>IFERROR(SUMIFS(Returns!H:H,Returns!C:C,$A66,Returns!D:D,$B66,Returns!E:E,$C66),0)</f>
        <v>315</v>
      </c>
      <c r="G66" s="70">
        <f t="shared" si="1"/>
        <v>215</v>
      </c>
      <c r="H66" s="71">
        <f t="shared" si="2"/>
        <v>53.75</v>
      </c>
      <c r="I66" s="72">
        <f>IFERROR( SUMIFS('Stock In'!I:I,'Stock In'!C:C,$A66,'Stock In'!D:D,$B66,'Stock In'!E:E,$C66) / SUMIFS('Stock In'!H:H,'Stock In'!C:C,$A66,'Stock In'!D:D,$B66,'Stock In'!E:E,$C66) , 0)</f>
        <v>0</v>
      </c>
      <c r="J66" s="71">
        <f t="shared" si="3"/>
        <v>0</v>
      </c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8" t="str">
        <f>IFERROR(__xludf.DUMMYFUNCTION("""COMPUTED_VALUE"""),"IML Blow Mould")</f>
        <v>IML Blow Mould</v>
      </c>
      <c r="B67" s="68">
        <f>IFERROR(__xludf.DUMMYFUNCTION("""COMPUTED_VALUE"""),70.0)</f>
        <v>70</v>
      </c>
      <c r="C67" s="69">
        <f>IFERROR(__xludf.DUMMYFUNCTION("""COMPUTED_VALUE"""),210.0)</f>
        <v>210</v>
      </c>
      <c r="D67" s="70">
        <f>IFERROR(SUMIFS('Stock In'!F:F,'Stock In'!C:C,$A67,'Stock In'!D:D,$B67,'Stock In'!E:E,$C67),0)</f>
        <v>2700</v>
      </c>
      <c r="E67" s="70">
        <f>IFERROR(SUMIFS(Issues!H:H,Issues!C:C,$A67,Issues!D:D,$B67,Issues!E:E,$C67),0)</f>
        <v>0</v>
      </c>
      <c r="F67" s="70">
        <f>IFERROR(SUMIFS(Returns!H:H,Returns!C:C,$A67,Returns!D:D,$B67,Returns!E:E,$C67),0)</f>
        <v>0</v>
      </c>
      <c r="G67" s="70">
        <f t="shared" si="1"/>
        <v>2700</v>
      </c>
      <c r="H67" s="71">
        <f t="shared" si="2"/>
        <v>567</v>
      </c>
      <c r="I67" s="72">
        <f>IFERROR( SUMIFS('Stock In'!I:I,'Stock In'!C:C,$A67,'Stock In'!D:D,$B67,'Stock In'!E:E,$C67) / SUMIFS('Stock In'!H:H,'Stock In'!C:C,$A67,'Stock In'!D:D,$B67,'Stock In'!E:E,$C67) , 0)</f>
        <v>48</v>
      </c>
      <c r="J67" s="71">
        <f t="shared" si="3"/>
        <v>27216</v>
      </c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8" t="str">
        <f>IFERROR(__xludf.DUMMYFUNCTION("""COMPUTED_VALUE"""),"IML Blow Mould")</f>
        <v>IML Blow Mould</v>
      </c>
      <c r="B68" s="68">
        <f>IFERROR(__xludf.DUMMYFUNCTION("""COMPUTED_VALUE"""),70.0)</f>
        <v>70</v>
      </c>
      <c r="C68" s="69">
        <f>IFERROR(__xludf.DUMMYFUNCTION("""COMPUTED_VALUE"""),200.0)</f>
        <v>200</v>
      </c>
      <c r="D68" s="70">
        <f>IFERROR(SUMIFS('Stock In'!F:F,'Stock In'!C:C,$A68,'Stock In'!D:D,$B68,'Stock In'!E:E,$C68),0)</f>
        <v>1950</v>
      </c>
      <c r="E68" s="70">
        <f>IFERROR(SUMIFS(Issues!H:H,Issues!C:C,$A68,Issues!D:D,$B68,Issues!E:E,$C68),0)</f>
        <v>0</v>
      </c>
      <c r="F68" s="70">
        <f>IFERROR(SUMIFS(Returns!H:H,Returns!C:C,$A68,Returns!D:D,$B68,Returns!E:E,$C68),0)</f>
        <v>0</v>
      </c>
      <c r="G68" s="70">
        <f t="shared" si="1"/>
        <v>1950</v>
      </c>
      <c r="H68" s="71">
        <f t="shared" si="2"/>
        <v>390</v>
      </c>
      <c r="I68" s="72">
        <f>IFERROR( SUMIFS('Stock In'!I:I,'Stock In'!C:C,$A68,'Stock In'!D:D,$B68,'Stock In'!E:E,$C68) / SUMIFS('Stock In'!H:H,'Stock In'!C:C,$A68,'Stock In'!D:D,$B68,'Stock In'!E:E,$C68) , 0)</f>
        <v>48</v>
      </c>
      <c r="J68" s="71">
        <f t="shared" si="3"/>
        <v>18720</v>
      </c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8" t="str">
        <f>IFERROR(__xludf.DUMMYFUNCTION("""COMPUTED_VALUE"""),"IML Blow Mould")</f>
        <v>IML Blow Mould</v>
      </c>
      <c r="B69" s="68">
        <f>IFERROR(__xludf.DUMMYFUNCTION("""COMPUTED_VALUE"""),70.0)</f>
        <v>70</v>
      </c>
      <c r="C69" s="69">
        <f>IFERROR(__xludf.DUMMYFUNCTION("""COMPUTED_VALUE"""),380.0)</f>
        <v>380</v>
      </c>
      <c r="D69" s="70">
        <f>IFERROR(SUMIFS('Stock In'!F:F,'Stock In'!C:C,$A69,'Stock In'!D:D,$B69,'Stock In'!E:E,$C69),0)</f>
        <v>2000</v>
      </c>
      <c r="E69" s="70">
        <f>IFERROR(SUMIFS(Issues!H:H,Issues!C:C,$A69,Issues!D:D,$B69,Issues!E:E,$C69),0)</f>
        <v>0</v>
      </c>
      <c r="F69" s="70">
        <f>IFERROR(SUMIFS(Returns!H:H,Returns!C:C,$A69,Returns!D:D,$B69,Returns!E:E,$C69),0)</f>
        <v>0</v>
      </c>
      <c r="G69" s="70">
        <f t="shared" si="1"/>
        <v>2000</v>
      </c>
      <c r="H69" s="71">
        <f t="shared" si="2"/>
        <v>760</v>
      </c>
      <c r="I69" s="72">
        <f>IFERROR( SUMIFS('Stock In'!I:I,'Stock In'!C:C,$A69,'Stock In'!D:D,$B69,'Stock In'!E:E,$C69) / SUMIFS('Stock In'!H:H,'Stock In'!C:C,$A69,'Stock In'!D:D,$B69,'Stock In'!E:E,$C69) , 0)</f>
        <v>48</v>
      </c>
      <c r="J69" s="71">
        <f t="shared" si="3"/>
        <v>36480</v>
      </c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8" t="str">
        <f>IFERROR(__xludf.DUMMYFUNCTION("""COMPUTED_VALUE"""),"Void")</f>
        <v>Void</v>
      </c>
      <c r="B70" s="68">
        <f>IFERROR(__xludf.DUMMYFUNCTION("""COMPUTED_VALUE"""),50.0)</f>
        <v>50</v>
      </c>
      <c r="C70" s="69">
        <f>IFERROR(__xludf.DUMMYFUNCTION("""COMPUTED_VALUE"""),205.0)</f>
        <v>205</v>
      </c>
      <c r="D70" s="70">
        <f>IFERROR(SUMIFS('Stock In'!F:F,'Stock In'!C:C,$A70,'Stock In'!D:D,$B70,'Stock In'!E:E,$C70),0)</f>
        <v>900</v>
      </c>
      <c r="E70" s="70">
        <f>IFERROR(SUMIFS(Issues!H:H,Issues!C:C,$A70,Issues!D:D,$B70,Issues!E:E,$C70),0)</f>
        <v>0</v>
      </c>
      <c r="F70" s="70">
        <f>IFERROR(SUMIFS(Returns!H:H,Returns!C:C,$A70,Returns!D:D,$B70,Returns!E:E,$C70),0)</f>
        <v>0</v>
      </c>
      <c r="G70" s="70">
        <f t="shared" si="1"/>
        <v>900</v>
      </c>
      <c r="H70" s="71">
        <f t="shared" si="2"/>
        <v>184.5</v>
      </c>
      <c r="I70" s="72">
        <f>IFERROR( SUMIFS('Stock In'!I:I,'Stock In'!C:C,$A70,'Stock In'!D:D,$B70,'Stock In'!E:E,$C70) / SUMIFS('Stock In'!H:H,'Stock In'!C:C,$A70,'Stock In'!D:D,$B70,'Stock In'!E:E,$C70) , 0)</f>
        <v>165</v>
      </c>
      <c r="J70" s="71">
        <f t="shared" si="3"/>
        <v>30442.5</v>
      </c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8" t="str">
        <f>IFERROR(__xludf.DUMMYFUNCTION("""COMPUTED_VALUE"""),"PET MATT")</f>
        <v>PET MATT</v>
      </c>
      <c r="B71" s="68">
        <f>IFERROR(__xludf.DUMMYFUNCTION("""COMPUTED_VALUE"""),125.0)</f>
        <v>125</v>
      </c>
      <c r="C71" s="69">
        <f>IFERROR(__xludf.DUMMYFUNCTION("""COMPUTED_VALUE"""),180.0)</f>
        <v>180</v>
      </c>
      <c r="D71" s="70">
        <f>IFERROR(SUMIFS('Stock In'!F:F,'Stock In'!C:C,$A71,'Stock In'!D:D,$B71,'Stock In'!E:E,$C71),0)</f>
        <v>500</v>
      </c>
      <c r="E71" s="70">
        <f>IFERROR(SUMIFS(Issues!H:H,Issues!C:C,$A71,Issues!D:D,$B71,Issues!E:E,$C71),0)</f>
        <v>0</v>
      </c>
      <c r="F71" s="70">
        <f>IFERROR(SUMIFS(Returns!H:H,Returns!C:C,$A71,Returns!D:D,$B71,Returns!E:E,$C71),0)</f>
        <v>0</v>
      </c>
      <c r="G71" s="70">
        <f t="shared" si="1"/>
        <v>500</v>
      </c>
      <c r="H71" s="71">
        <f t="shared" si="2"/>
        <v>90</v>
      </c>
      <c r="I71" s="72">
        <f>IFERROR( SUMIFS('Stock In'!I:I,'Stock In'!C:C,$A71,'Stock In'!D:D,$B71,'Stock In'!E:E,$C71) / SUMIFS('Stock In'!H:H,'Stock In'!C:C,$A71,'Stock In'!D:D,$B71,'Stock In'!E:E,$C71) , 0)</f>
        <v>47</v>
      </c>
      <c r="J71" s="71">
        <f t="shared" si="3"/>
        <v>4230</v>
      </c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8" t="str">
        <f>IFERROR(__xludf.DUMMYFUNCTION("""COMPUTED_VALUE"""),"PET MATT")</f>
        <v>PET MATT</v>
      </c>
      <c r="B72" s="68">
        <f>IFERROR(__xludf.DUMMYFUNCTION("""COMPUTED_VALUE"""),125.0)</f>
        <v>125</v>
      </c>
      <c r="C72" s="69">
        <f>IFERROR(__xludf.DUMMYFUNCTION("""COMPUTED_VALUE"""),220.0)</f>
        <v>220</v>
      </c>
      <c r="D72" s="70">
        <f>IFERROR(SUMIFS('Stock In'!F:F,'Stock In'!C:C,$A72,'Stock In'!D:D,$B72,'Stock In'!E:E,$C72),0)</f>
        <v>1200</v>
      </c>
      <c r="E72" s="70">
        <f>IFERROR(SUMIFS(Issues!H:H,Issues!C:C,$A72,Issues!D:D,$B72,Issues!E:E,$C72),0)</f>
        <v>0</v>
      </c>
      <c r="F72" s="70">
        <f>IFERROR(SUMIFS(Returns!H:H,Returns!C:C,$A72,Returns!D:D,$B72,Returns!E:E,$C72),0)</f>
        <v>0</v>
      </c>
      <c r="G72" s="70">
        <f t="shared" si="1"/>
        <v>1200</v>
      </c>
      <c r="H72" s="71">
        <f t="shared" si="2"/>
        <v>264</v>
      </c>
      <c r="I72" s="72">
        <f>IFERROR( SUMIFS('Stock In'!I:I,'Stock In'!C:C,$A72,'Stock In'!D:D,$B72,'Stock In'!E:E,$C72) / SUMIFS('Stock In'!H:H,'Stock In'!C:C,$A72,'Stock In'!D:D,$B72,'Stock In'!E:E,$C72) , 0)</f>
        <v>47</v>
      </c>
      <c r="J72" s="71">
        <f t="shared" si="3"/>
        <v>12408</v>
      </c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8" t="str">
        <f>IFERROR(__xludf.DUMMYFUNCTION("""COMPUTED_VALUE"""),"U- CHROMO 80/60 WGL (HM)")</f>
        <v>U- CHROMO 80/60 WGL (HM)</v>
      </c>
      <c r="B73" s="68">
        <f>IFERROR(__xludf.DUMMYFUNCTION("""COMPUTED_VALUE"""),80.0)</f>
        <v>80</v>
      </c>
      <c r="C73" s="69">
        <f>IFERROR(__xludf.DUMMYFUNCTION("""COMPUTED_VALUE"""),334.0)</f>
        <v>334</v>
      </c>
      <c r="D73" s="70">
        <f>IFERROR(SUMIFS('Stock In'!F:F,'Stock In'!C:C,$A73,'Stock In'!D:D,$B73,'Stock In'!E:E,$C73),0)</f>
        <v>1856</v>
      </c>
      <c r="E73" s="70">
        <f>IFERROR(SUMIFS(Issues!H:H,Issues!C:C,$A73,Issues!D:D,$B73,Issues!E:E,$C73),0)</f>
        <v>0</v>
      </c>
      <c r="F73" s="70">
        <f>IFERROR(SUMIFS(Returns!H:H,Returns!C:C,$A73,Returns!D:D,$B73,Returns!E:E,$C73),0)</f>
        <v>0</v>
      </c>
      <c r="G73" s="70">
        <f t="shared" si="1"/>
        <v>1856</v>
      </c>
      <c r="H73" s="71">
        <f t="shared" si="2"/>
        <v>619.904</v>
      </c>
      <c r="I73" s="72">
        <f>IFERROR( SUMIFS('Stock In'!I:I,'Stock In'!C:C,$A73,'Stock In'!D:D,$B73,'Stock In'!E:E,$C73) / SUMIFS('Stock In'!H:H,'Stock In'!C:C,$A73,'Stock In'!D:D,$B73,'Stock In'!E:E,$C73) , 0)</f>
        <v>25.5</v>
      </c>
      <c r="J73" s="71">
        <f t="shared" si="3"/>
        <v>15807.552</v>
      </c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8" t="str">
        <f>IFERROR(__xludf.DUMMYFUNCTION("""COMPUTED_VALUE"""),"Void")</f>
        <v>Void</v>
      </c>
      <c r="B74" s="68">
        <f>IFERROR(__xludf.DUMMYFUNCTION("""COMPUTED_VALUE"""),50.0)</f>
        <v>50</v>
      </c>
      <c r="C74" s="69">
        <f>IFERROR(__xludf.DUMMYFUNCTION("""COMPUTED_VALUE"""),125.0)</f>
        <v>125</v>
      </c>
      <c r="D74" s="70">
        <f>IFERROR(SUMIFS('Stock In'!F:F,'Stock In'!C:C,$A74,'Stock In'!D:D,$B74,'Stock In'!E:E,$C74),0)</f>
        <v>3920</v>
      </c>
      <c r="E74" s="70">
        <f>IFERROR(SUMIFS(Issues!H:H,Issues!C:C,$A74,Issues!D:D,$B74,Issues!E:E,$C74),0)</f>
        <v>1000</v>
      </c>
      <c r="F74" s="70">
        <f>IFERROR(SUMIFS(Returns!H:H,Returns!C:C,$A74,Returns!D:D,$B74,Returns!E:E,$C74),0)</f>
        <v>0</v>
      </c>
      <c r="G74" s="70">
        <f t="shared" si="1"/>
        <v>2920</v>
      </c>
      <c r="H74" s="71">
        <f t="shared" si="2"/>
        <v>365</v>
      </c>
      <c r="I74" s="72">
        <f>IFERROR( SUMIFS('Stock In'!I:I,'Stock In'!C:C,$A74,'Stock In'!D:D,$B74,'Stock In'!E:E,$C74) / SUMIFS('Stock In'!H:H,'Stock In'!C:C,$A74,'Stock In'!D:D,$B74,'Stock In'!E:E,$C74) , 0)</f>
        <v>165</v>
      </c>
      <c r="J74" s="71">
        <f t="shared" si="3"/>
        <v>60225</v>
      </c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8" t="str">
        <f>IFERROR(__xludf.DUMMYFUNCTION("""COMPUTED_VALUE"""),"Void")</f>
        <v>Void</v>
      </c>
      <c r="B75" s="68">
        <f>IFERROR(__xludf.DUMMYFUNCTION("""COMPUTED_VALUE"""),50.0)</f>
        <v>50</v>
      </c>
      <c r="C75" s="69">
        <f>IFERROR(__xludf.DUMMYFUNCTION("""COMPUTED_VALUE"""),165.0)</f>
        <v>165</v>
      </c>
      <c r="D75" s="70">
        <f>IFERROR(SUMIFS('Stock In'!F:F,'Stock In'!C:C,$A75,'Stock In'!D:D,$B75,'Stock In'!E:E,$C75),0)</f>
        <v>500</v>
      </c>
      <c r="E75" s="70">
        <f>IFERROR(SUMIFS(Issues!H:H,Issues!C:C,$A75,Issues!D:D,$B75,Issues!E:E,$C75),0)</f>
        <v>350</v>
      </c>
      <c r="F75" s="70">
        <f>IFERROR(SUMIFS(Returns!H:H,Returns!C:C,$A75,Returns!D:D,$B75,Returns!E:E,$C75),0)</f>
        <v>0</v>
      </c>
      <c r="G75" s="70">
        <f t="shared" si="1"/>
        <v>150</v>
      </c>
      <c r="H75" s="71">
        <f t="shared" si="2"/>
        <v>24.75</v>
      </c>
      <c r="I75" s="72">
        <f>IFERROR( SUMIFS('Stock In'!I:I,'Stock In'!C:C,$A75,'Stock In'!D:D,$B75,'Stock In'!E:E,$C75) / SUMIFS('Stock In'!H:H,'Stock In'!C:C,$A75,'Stock In'!D:D,$B75,'Stock In'!E:E,$C75) , 0)</f>
        <v>165</v>
      </c>
      <c r="J75" s="71">
        <f t="shared" si="3"/>
        <v>4083.75</v>
      </c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8" t="str">
        <f>IFERROR(__xludf.DUMMYFUNCTION("""COMPUTED_VALUE"""),"SGL Hologram ")</f>
        <v>SGL Hologram </v>
      </c>
      <c r="B76" s="68">
        <f>IFERROR(__xludf.DUMMYFUNCTION("""COMPUTED_VALUE"""),23.0)</f>
        <v>23</v>
      </c>
      <c r="C76" s="69">
        <f>IFERROR(__xludf.DUMMYFUNCTION("""COMPUTED_VALUE"""),13.0)</f>
        <v>13</v>
      </c>
      <c r="D76" s="70">
        <f>IFERROR(SUMIFS('Stock In'!F:F,'Stock In'!C:C,$A76,'Stock In'!D:D,$B76,'Stock In'!E:E,$C76),0)</f>
        <v>1530</v>
      </c>
      <c r="E76" s="70">
        <f>IFERROR(SUMIFS(Issues!H:H,Issues!C:C,$A76,Issues!D:D,$B76,Issues!E:E,$C76),0)</f>
        <v>0</v>
      </c>
      <c r="F76" s="70">
        <f>IFERROR(SUMIFS(Returns!H:H,Returns!C:C,$A76,Returns!D:D,$B76,Returns!E:E,$C76),0)</f>
        <v>0</v>
      </c>
      <c r="G76" s="70">
        <f t="shared" si="1"/>
        <v>1530</v>
      </c>
      <c r="H76" s="71">
        <f t="shared" si="2"/>
        <v>19.89</v>
      </c>
      <c r="I76" s="72">
        <f>IFERROR( SUMIFS('Stock In'!I:I,'Stock In'!C:C,$A76,'Stock In'!D:D,$B76,'Stock In'!E:E,$C76) / SUMIFS('Stock In'!H:H,'Stock In'!C:C,$A76,'Stock In'!D:D,$B76,'Stock In'!E:E,$C76) , 0)</f>
        <v>226</v>
      </c>
      <c r="J76" s="71">
        <f t="shared" si="3"/>
        <v>4495.14</v>
      </c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8" t="str">
        <f>IFERROR(__xludf.DUMMYFUNCTION("""COMPUTED_VALUE"""),"SGL Hologram ")</f>
        <v>SGL Hologram </v>
      </c>
      <c r="B77" s="68">
        <f>IFERROR(__xludf.DUMMYFUNCTION("""COMPUTED_VALUE"""),23.0)</f>
        <v>23</v>
      </c>
      <c r="C77" s="69">
        <f>IFERROR(__xludf.DUMMYFUNCTION("""COMPUTED_VALUE"""),20.0)</f>
        <v>20</v>
      </c>
      <c r="D77" s="70">
        <f>IFERROR(SUMIFS('Stock In'!F:F,'Stock In'!C:C,$A77,'Stock In'!D:D,$B77,'Stock In'!E:E,$C77),0)</f>
        <v>920</v>
      </c>
      <c r="E77" s="70">
        <f>IFERROR(SUMIFS(Issues!H:H,Issues!C:C,$A77,Issues!D:D,$B77,Issues!E:E,$C77),0)</f>
        <v>0</v>
      </c>
      <c r="F77" s="70">
        <f>IFERROR(SUMIFS(Returns!H:H,Returns!C:C,$A77,Returns!D:D,$B77,Returns!E:E,$C77),0)</f>
        <v>0</v>
      </c>
      <c r="G77" s="70">
        <f t="shared" si="1"/>
        <v>920</v>
      </c>
      <c r="H77" s="71">
        <f t="shared" si="2"/>
        <v>18.4</v>
      </c>
      <c r="I77" s="72">
        <f>IFERROR( SUMIFS('Stock In'!I:I,'Stock In'!C:C,$A77,'Stock In'!D:D,$B77,'Stock In'!E:E,$C77) / SUMIFS('Stock In'!H:H,'Stock In'!C:C,$A77,'Stock In'!D:D,$B77,'Stock In'!E:E,$C77) , 0)</f>
        <v>280</v>
      </c>
      <c r="J77" s="71">
        <f t="shared" si="3"/>
        <v>5152</v>
      </c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8" t="str">
        <f>IFERROR(__xludf.DUMMYFUNCTION("""COMPUTED_VALUE"""),"Blochum Blue Paper Sheet ")</f>
        <v>Blochum Blue Paper Sheet </v>
      </c>
      <c r="B78" s="68">
        <f>IFERROR(__xludf.DUMMYFUNCTION("""COMPUTED_VALUE"""),250.0)</f>
        <v>250</v>
      </c>
      <c r="C78" s="69">
        <f>IFERROR(__xludf.DUMMYFUNCTION("""COMPUTED_VALUE"""),0.0)</f>
        <v>0</v>
      </c>
      <c r="D78" s="70">
        <f>IFERROR(SUMIFS('Stock In'!F:F,'Stock In'!C:C,$A78,'Stock In'!D:D,$B78,'Stock In'!E:E,$C78),0)</f>
        <v>0</v>
      </c>
      <c r="E78" s="70">
        <f>IFERROR(SUMIFS(Issues!H:H,Issues!C:C,$A78,Issues!D:D,$B78,Issues!E:E,$C78),0)</f>
        <v>0</v>
      </c>
      <c r="F78" s="70">
        <f>IFERROR(SUMIFS(Returns!H:H,Returns!C:C,$A78,Returns!D:D,$B78,Returns!E:E,$C78),0)</f>
        <v>0</v>
      </c>
      <c r="G78" s="70">
        <f t="shared" si="1"/>
        <v>0</v>
      </c>
      <c r="H78" s="71">
        <f t="shared" si="2"/>
        <v>0</v>
      </c>
      <c r="I78" s="72">
        <f>IFERROR( SUMIFS('Stock In'!I:I,'Stock In'!C:C,$A78,'Stock In'!D:D,$B78,'Stock In'!E:E,$C78) / SUMIFS('Stock In'!H:H,'Stock In'!C:C,$A78,'Stock In'!D:D,$B78,'Stock In'!E:E,$C78) , 0)</f>
        <v>0</v>
      </c>
      <c r="J78" s="71">
        <f t="shared" si="3"/>
        <v>0</v>
      </c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8" t="str">
        <f>IFERROR(__xludf.DUMMYFUNCTION("""COMPUTED_VALUE"""),"PP WHITE")</f>
        <v>PP WHITE</v>
      </c>
      <c r="B79" s="68">
        <f>IFERROR(__xludf.DUMMYFUNCTION("""COMPUTED_VALUE"""),50.0)</f>
        <v>50</v>
      </c>
      <c r="C79" s="69">
        <f>IFERROR(__xludf.DUMMYFUNCTION("""COMPUTED_VALUE"""),167.0)</f>
        <v>167</v>
      </c>
      <c r="D79" s="70">
        <f>IFERROR(SUMIFS('Stock In'!F:F,'Stock In'!C:C,$A79,'Stock In'!D:D,$B79,'Stock In'!E:E,$C79),0)</f>
        <v>2000</v>
      </c>
      <c r="E79" s="70">
        <f>IFERROR(SUMIFS(Issues!H:H,Issues!C:C,$A79,Issues!D:D,$B79,Issues!E:E,$C79),0)</f>
        <v>2000</v>
      </c>
      <c r="F79" s="70">
        <f>IFERROR(SUMIFS(Returns!H:H,Returns!C:C,$A79,Returns!D:D,$B79,Returns!E:E,$C79),0)</f>
        <v>0</v>
      </c>
      <c r="G79" s="70">
        <f t="shared" si="1"/>
        <v>0</v>
      </c>
      <c r="H79" s="71">
        <f t="shared" si="2"/>
        <v>0</v>
      </c>
      <c r="I79" s="72">
        <f>IFERROR( SUMIFS('Stock In'!I:I,'Stock In'!C:C,$A79,'Stock In'!D:D,$B79,'Stock In'!E:E,$C79) / SUMIFS('Stock In'!H:H,'Stock In'!C:C,$A79,'Stock In'!D:D,$B79,'Stock In'!E:E,$C79) , 0)</f>
        <v>35</v>
      </c>
      <c r="J79" s="71">
        <f t="shared" si="3"/>
        <v>0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8" t="str">
        <f>IFERROR(__xludf.DUMMYFUNCTION("""COMPUTED_VALUE"""),"PP WHITE")</f>
        <v>PP WHITE</v>
      </c>
      <c r="B80" s="68">
        <f>IFERROR(__xludf.DUMMYFUNCTION("""COMPUTED_VALUE"""),50.0)</f>
        <v>50</v>
      </c>
      <c r="C80" s="69">
        <f>IFERROR(__xludf.DUMMYFUNCTION("""COMPUTED_VALUE"""),160.0)</f>
        <v>160</v>
      </c>
      <c r="D80" s="70">
        <f>IFERROR(SUMIFS('Stock In'!F:F,'Stock In'!C:C,$A80,'Stock In'!D:D,$B80,'Stock In'!E:E,$C80),0)</f>
        <v>8000</v>
      </c>
      <c r="E80" s="70">
        <f>IFERROR(SUMIFS(Issues!H:H,Issues!C:C,$A80,Issues!D:D,$B80,Issues!E:E,$C80),0)</f>
        <v>600</v>
      </c>
      <c r="F80" s="70">
        <f>IFERROR(SUMIFS(Returns!H:H,Returns!C:C,$A80,Returns!D:D,$B80,Returns!E:E,$C80),0)</f>
        <v>300</v>
      </c>
      <c r="G80" s="70">
        <f t="shared" si="1"/>
        <v>7700</v>
      </c>
      <c r="H80" s="71">
        <f t="shared" si="2"/>
        <v>1232</v>
      </c>
      <c r="I80" s="72">
        <f>IFERROR( SUMIFS('Stock In'!I:I,'Stock In'!C:C,$A80,'Stock In'!D:D,$B80,'Stock In'!E:E,$C80) / SUMIFS('Stock In'!H:H,'Stock In'!C:C,$A80,'Stock In'!D:D,$B80,'Stock In'!E:E,$C80) , 0)</f>
        <v>37</v>
      </c>
      <c r="J80" s="71">
        <f t="shared" si="3"/>
        <v>45584</v>
      </c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8" t="str">
        <f>IFERROR(__xludf.DUMMYFUNCTION("""COMPUTED_VALUE"""),"PP WHITE")</f>
        <v>PP WHITE</v>
      </c>
      <c r="B81" s="68">
        <f>IFERROR(__xludf.DUMMYFUNCTION("""COMPUTED_VALUE"""),50.0)</f>
        <v>50</v>
      </c>
      <c r="C81" s="69">
        <f>IFERROR(__xludf.DUMMYFUNCTION("""COMPUTED_VALUE"""),100.0)</f>
        <v>100</v>
      </c>
      <c r="D81" s="70">
        <f>IFERROR(SUMIFS('Stock In'!F:F,'Stock In'!C:C,$A81,'Stock In'!D:D,$B81,'Stock In'!E:E,$C81),0)</f>
        <v>19670</v>
      </c>
      <c r="E81" s="70">
        <f>IFERROR(SUMIFS(Issues!H:H,Issues!C:C,$A81,Issues!D:D,$B81,Issues!E:E,$C81),0)</f>
        <v>1750</v>
      </c>
      <c r="F81" s="70">
        <f>IFERROR(SUMIFS(Returns!H:H,Returns!C:C,$A81,Returns!D:D,$B81,Returns!E:E,$C81),0)</f>
        <v>400</v>
      </c>
      <c r="G81" s="70">
        <f t="shared" si="1"/>
        <v>18320</v>
      </c>
      <c r="H81" s="71">
        <f t="shared" si="2"/>
        <v>1832</v>
      </c>
      <c r="I81" s="72">
        <f>IFERROR( SUMIFS('Stock In'!I:I,'Stock In'!C:C,$A81,'Stock In'!D:D,$B81,'Stock In'!E:E,$C81) / SUMIFS('Stock In'!H:H,'Stock In'!C:C,$A81,'Stock In'!D:D,$B81,'Stock In'!E:E,$C81) , 0)</f>
        <v>41.72215557</v>
      </c>
      <c r="J81" s="71">
        <f t="shared" si="3"/>
        <v>76434.989</v>
      </c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8" t="str">
        <f>IFERROR(__xludf.DUMMYFUNCTION("""COMPUTED_VALUE"""),"Tape")</f>
        <v>Tape</v>
      </c>
      <c r="B82" s="68">
        <f>IFERROR(__xludf.DUMMYFUNCTION("""COMPUTED_VALUE"""),12.0)</f>
        <v>12</v>
      </c>
      <c r="C82" s="69">
        <f>IFERROR(__xludf.DUMMYFUNCTION("""COMPUTED_VALUE"""),72.0)</f>
        <v>72</v>
      </c>
      <c r="D82" s="70">
        <f>IFERROR(SUMIFS('Stock In'!F:F,'Stock In'!C:C,$A82,'Stock In'!D:D,$B82,'Stock In'!E:E,$C82),0)</f>
        <v>6000</v>
      </c>
      <c r="E82" s="70">
        <f>IFERROR(SUMIFS(Issues!H:H,Issues!C:C,$A82,Issues!D:D,$B82,Issues!E:E,$C82),0)</f>
        <v>0</v>
      </c>
      <c r="F82" s="70">
        <f>IFERROR(SUMIFS(Returns!H:H,Returns!C:C,$A82,Returns!D:D,$B82,Returns!E:E,$C82),0)</f>
        <v>0</v>
      </c>
      <c r="G82" s="70">
        <f t="shared" si="1"/>
        <v>6000</v>
      </c>
      <c r="H82" s="71">
        <f t="shared" si="2"/>
        <v>432</v>
      </c>
      <c r="I82" s="72">
        <f>IFERROR( SUMIFS('Stock In'!I:I,'Stock In'!C:C,$A82,'Stock In'!D:D,$B82,'Stock In'!E:E,$C82) / SUMIFS('Stock In'!H:H,'Stock In'!C:C,$A82,'Stock In'!D:D,$B82,'Stock In'!E:E,$C82) , 0)</f>
        <v>230</v>
      </c>
      <c r="J82" s="71">
        <f t="shared" si="3"/>
        <v>99360</v>
      </c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8" t="str">
        <f>IFERROR(__xludf.DUMMYFUNCTION("""COMPUTED_VALUE"""),"PP WHITE")</f>
        <v>PP WHITE</v>
      </c>
      <c r="B83" s="68">
        <f>IFERROR(__xludf.DUMMYFUNCTION("""COMPUTED_VALUE"""),50.0)</f>
        <v>50</v>
      </c>
      <c r="C83" s="69">
        <f>IFERROR(__xludf.DUMMYFUNCTION("""COMPUTED_VALUE"""),125.0)</f>
        <v>125</v>
      </c>
      <c r="D83" s="70">
        <f>IFERROR(SUMIFS('Stock In'!F:F,'Stock In'!C:C,$A83,'Stock In'!D:D,$B83,'Stock In'!E:E,$C83),0)</f>
        <v>84253</v>
      </c>
      <c r="E83" s="70">
        <f>IFERROR(SUMIFS(Issues!H:H,Issues!C:C,$A83,Issues!D:D,$B83,Issues!E:E,$C83),0)</f>
        <v>72680</v>
      </c>
      <c r="F83" s="70">
        <f>IFERROR(SUMIFS(Returns!H:H,Returns!C:C,$A83,Returns!D:D,$B83,Returns!E:E,$C83),0)</f>
        <v>29370</v>
      </c>
      <c r="G83" s="70">
        <f t="shared" si="1"/>
        <v>40943</v>
      </c>
      <c r="H83" s="71">
        <f t="shared" si="2"/>
        <v>5117.875</v>
      </c>
      <c r="I83" s="72">
        <f>IFERROR( SUMIFS('Stock In'!I:I,'Stock In'!C:C,$A83,'Stock In'!D:D,$B83,'Stock In'!E:E,$C83) / SUMIFS('Stock In'!H:H,'Stock In'!C:C,$A83,'Stock In'!D:D,$B83,'Stock In'!E:E,$C83) , 0)</f>
        <v>36.15826143</v>
      </c>
      <c r="J83" s="71">
        <f t="shared" si="3"/>
        <v>185053.4622</v>
      </c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8" t="str">
        <f>IFERROR(__xludf.DUMMYFUNCTION("""COMPUTED_VALUE"""),"PP WHITE")</f>
        <v>PP WHITE</v>
      </c>
      <c r="B84" s="68">
        <f>IFERROR(__xludf.DUMMYFUNCTION("""COMPUTED_VALUE"""),50.0)</f>
        <v>50</v>
      </c>
      <c r="C84" s="69">
        <f>IFERROR(__xludf.DUMMYFUNCTION("""COMPUTED_VALUE"""),190.0)</f>
        <v>190</v>
      </c>
      <c r="D84" s="70">
        <f>IFERROR(SUMIFS('Stock In'!F:F,'Stock In'!C:C,$A84,'Stock In'!D:D,$B84,'Stock In'!E:E,$C84),0)</f>
        <v>46201</v>
      </c>
      <c r="E84" s="70">
        <f>IFERROR(SUMIFS(Issues!H:H,Issues!C:C,$A84,Issues!D:D,$B84,Issues!E:E,$C84),0)</f>
        <v>5210</v>
      </c>
      <c r="F84" s="70">
        <f>IFERROR(SUMIFS(Returns!H:H,Returns!C:C,$A84,Returns!D:D,$B84,Returns!E:E,$C84),0)</f>
        <v>1360</v>
      </c>
      <c r="G84" s="70">
        <f t="shared" si="1"/>
        <v>42351</v>
      </c>
      <c r="H84" s="71">
        <f t="shared" si="2"/>
        <v>8046.69</v>
      </c>
      <c r="I84" s="72">
        <f>IFERROR( SUMIFS('Stock In'!I:I,'Stock In'!C:C,$A84,'Stock In'!D:D,$B84,'Stock In'!E:E,$C84) / SUMIFS('Stock In'!H:H,'Stock In'!C:C,$A84,'Stock In'!D:D,$B84,'Stock In'!E:E,$C84) , 0)</f>
        <v>42.00918595</v>
      </c>
      <c r="J84" s="71">
        <f t="shared" si="3"/>
        <v>338034.8965</v>
      </c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8" t="str">
        <f>IFERROR(__xludf.DUMMYFUNCTION("""COMPUTED_VALUE"""),"SILVER PAPER")</f>
        <v>SILVER PAPER</v>
      </c>
      <c r="B85" s="68">
        <f>IFERROR(__xludf.DUMMYFUNCTION("""COMPUTED_VALUE"""),80.0)</f>
        <v>80</v>
      </c>
      <c r="C85" s="69">
        <f>IFERROR(__xludf.DUMMYFUNCTION("""COMPUTED_VALUE"""),167.0)</f>
        <v>167</v>
      </c>
      <c r="D85" s="70">
        <f>IFERROR(SUMIFS('Stock In'!F:F,'Stock In'!C:C,$A85,'Stock In'!D:D,$B85,'Stock In'!E:E,$C85),0)</f>
        <v>12437</v>
      </c>
      <c r="E85" s="70">
        <f>IFERROR(SUMIFS(Issues!H:H,Issues!C:C,$A85,Issues!D:D,$B85,Issues!E:E,$C85),0)</f>
        <v>9900</v>
      </c>
      <c r="F85" s="70">
        <f>IFERROR(SUMIFS(Returns!H:H,Returns!C:C,$A85,Returns!D:D,$B85,Returns!E:E,$C85),0)</f>
        <v>1450</v>
      </c>
      <c r="G85" s="70">
        <f t="shared" si="1"/>
        <v>3987</v>
      </c>
      <c r="H85" s="71">
        <f t="shared" si="2"/>
        <v>665.829</v>
      </c>
      <c r="I85" s="72">
        <f>IFERROR( SUMIFS('Stock In'!I:I,'Stock In'!C:C,$A85,'Stock In'!D:D,$B85,'Stock In'!E:E,$C85) / SUMIFS('Stock In'!H:H,'Stock In'!C:C,$A85,'Stock In'!D:D,$B85,'Stock In'!E:E,$C85) , 0)</f>
        <v>44.72051138</v>
      </c>
      <c r="J85" s="71">
        <f t="shared" si="3"/>
        <v>29776.21337</v>
      </c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8" t="str">
        <f>IFERROR(__xludf.DUMMYFUNCTION("""COMPUTED_VALUE"""),"Chromo")</f>
        <v>Chromo</v>
      </c>
      <c r="B86" s="68">
        <f>IFERROR(__xludf.DUMMYFUNCTION("""COMPUTED_VALUE"""),80.0)</f>
        <v>80</v>
      </c>
      <c r="C86" s="69">
        <f>IFERROR(__xludf.DUMMYFUNCTION("""COMPUTED_VALUE"""),229.0)</f>
        <v>229</v>
      </c>
      <c r="D86" s="70">
        <f>IFERROR(SUMIFS('Stock In'!F:F,'Stock In'!C:C,$A86,'Stock In'!D:D,$B86,'Stock In'!E:E,$C86),0)</f>
        <v>6000</v>
      </c>
      <c r="E86" s="70">
        <f>IFERROR(SUMIFS(Issues!H:H,Issues!C:C,$A86,Issues!D:D,$B86,Issues!E:E,$C86),0)</f>
        <v>3980</v>
      </c>
      <c r="F86" s="70">
        <f>IFERROR(SUMIFS(Returns!H:H,Returns!C:C,$A86,Returns!D:D,$B86,Returns!E:E,$C86),0)</f>
        <v>2050</v>
      </c>
      <c r="G86" s="70">
        <f t="shared" si="1"/>
        <v>4070</v>
      </c>
      <c r="H86" s="71">
        <f t="shared" si="2"/>
        <v>932.03</v>
      </c>
      <c r="I86" s="72">
        <f>IFERROR( SUMIFS('Stock In'!I:I,'Stock In'!C:C,$A86,'Stock In'!D:D,$B86,'Stock In'!E:E,$C86) / SUMIFS('Stock In'!H:H,'Stock In'!C:C,$A86,'Stock In'!D:D,$B86,'Stock In'!E:E,$C86) , 0)</f>
        <v>28.5</v>
      </c>
      <c r="J86" s="71">
        <f t="shared" si="3"/>
        <v>26562.855</v>
      </c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8" t="str">
        <f>IFERROR(__xludf.DUMMYFUNCTION("""COMPUTED_VALUE"""),"Chromo")</f>
        <v>Chromo</v>
      </c>
      <c r="B87" s="68">
        <f>IFERROR(__xludf.DUMMYFUNCTION("""COMPUTED_VALUE"""),80.0)</f>
        <v>80</v>
      </c>
      <c r="C87" s="69">
        <f>IFERROR(__xludf.DUMMYFUNCTION("""COMPUTED_VALUE"""),395.0)</f>
        <v>395</v>
      </c>
      <c r="D87" s="70">
        <f>IFERROR(SUMIFS('Stock In'!F:F,'Stock In'!C:C,$A87,'Stock In'!D:D,$B87,'Stock In'!E:E,$C87),0)</f>
        <v>46035</v>
      </c>
      <c r="E87" s="70">
        <f>IFERROR(SUMIFS(Issues!H:H,Issues!C:C,$A87,Issues!D:D,$B87,Issues!E:E,$C87),0)</f>
        <v>40530</v>
      </c>
      <c r="F87" s="70">
        <f>IFERROR(SUMIFS(Returns!H:H,Returns!C:C,$A87,Returns!D:D,$B87,Returns!E:E,$C87),0)</f>
        <v>5640</v>
      </c>
      <c r="G87" s="70">
        <f t="shared" si="1"/>
        <v>11145</v>
      </c>
      <c r="H87" s="71">
        <f t="shared" si="2"/>
        <v>4402.275</v>
      </c>
      <c r="I87" s="72">
        <f>IFERROR( SUMIFS('Stock In'!I:I,'Stock In'!C:C,$A87,'Stock In'!D:D,$B87,'Stock In'!E:E,$C87) / SUMIFS('Stock In'!H:H,'Stock In'!C:C,$A87,'Stock In'!D:D,$B87,'Stock In'!E:E,$C87) , 0)</f>
        <v>29.18140762</v>
      </c>
      <c r="J87" s="71">
        <f t="shared" si="3"/>
        <v>128464.5813</v>
      </c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8" t="str">
        <f>IFERROR(__xludf.DUMMYFUNCTION("""COMPUTED_VALUE"""),"PP WHITE")</f>
        <v>PP WHITE</v>
      </c>
      <c r="B88" s="68">
        <f>IFERROR(__xludf.DUMMYFUNCTION("""COMPUTED_VALUE"""),50.0)</f>
        <v>50</v>
      </c>
      <c r="C88" s="69">
        <f>IFERROR(__xludf.DUMMYFUNCTION("""COMPUTED_VALUE"""),215.0)</f>
        <v>215</v>
      </c>
      <c r="D88" s="70">
        <f>IFERROR(SUMIFS('Stock In'!F:F,'Stock In'!C:C,$A88,'Stock In'!D:D,$B88,'Stock In'!E:E,$C88),0)</f>
        <v>1090</v>
      </c>
      <c r="E88" s="70">
        <f>IFERROR(SUMIFS(Issues!H:H,Issues!C:C,$A88,Issues!D:D,$B88,Issues!E:E,$C88),0)</f>
        <v>0</v>
      </c>
      <c r="F88" s="70">
        <f>IFERROR(SUMIFS(Returns!H:H,Returns!C:C,$A88,Returns!D:D,$B88,Returns!E:E,$C88),0)</f>
        <v>0</v>
      </c>
      <c r="G88" s="70">
        <f t="shared" si="1"/>
        <v>1090</v>
      </c>
      <c r="H88" s="71">
        <f t="shared" si="2"/>
        <v>234.35</v>
      </c>
      <c r="I88" s="72">
        <f>IFERROR( SUMIFS('Stock In'!I:I,'Stock In'!C:C,$A88,'Stock In'!D:D,$B88,'Stock In'!E:E,$C88) / SUMIFS('Stock In'!H:H,'Stock In'!C:C,$A88,'Stock In'!D:D,$B88,'Stock In'!E:E,$C88) , 0)</f>
        <v>35</v>
      </c>
      <c r="J88" s="71">
        <f t="shared" si="3"/>
        <v>8202.25</v>
      </c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8" t="str">
        <f>IFERROR(__xludf.DUMMYFUNCTION("""COMPUTED_VALUE"""),"PP WHITE")</f>
        <v>PP WHITE</v>
      </c>
      <c r="B89" s="68">
        <f>IFERROR(__xludf.DUMMYFUNCTION("""COMPUTED_VALUE"""),50.0)</f>
        <v>50</v>
      </c>
      <c r="C89" s="69">
        <f>IFERROR(__xludf.DUMMYFUNCTION("""COMPUTED_VALUE"""),255.0)</f>
        <v>255</v>
      </c>
      <c r="D89" s="70">
        <f>IFERROR(SUMIFS('Stock In'!F:F,'Stock In'!C:C,$A89,'Stock In'!D:D,$B89,'Stock In'!E:E,$C89),0)</f>
        <v>1000</v>
      </c>
      <c r="E89" s="70">
        <f>IFERROR(SUMIFS(Issues!H:H,Issues!C:C,$A89,Issues!D:D,$B89,Issues!E:E,$C89),0)</f>
        <v>0</v>
      </c>
      <c r="F89" s="70">
        <f>IFERROR(SUMIFS(Returns!H:H,Returns!C:C,$A89,Returns!D:D,$B89,Returns!E:E,$C89),0)</f>
        <v>0</v>
      </c>
      <c r="G89" s="70">
        <f t="shared" si="1"/>
        <v>1000</v>
      </c>
      <c r="H89" s="71">
        <f t="shared" si="2"/>
        <v>255</v>
      </c>
      <c r="I89" s="72">
        <f>IFERROR( SUMIFS('Stock In'!I:I,'Stock In'!C:C,$A89,'Stock In'!D:D,$B89,'Stock In'!E:E,$C89) / SUMIFS('Stock In'!H:H,'Stock In'!C:C,$A89,'Stock In'!D:D,$B89,'Stock In'!E:E,$C89) , 0)</f>
        <v>35</v>
      </c>
      <c r="J89" s="71">
        <f t="shared" si="3"/>
        <v>8925</v>
      </c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8" t="str">
        <f>IFERROR(__xludf.DUMMYFUNCTION("""COMPUTED_VALUE"""),"SILVER PAPER")</f>
        <v>SILVER PAPER</v>
      </c>
      <c r="B90" s="68">
        <f>IFERROR(__xludf.DUMMYFUNCTION("""COMPUTED_VALUE"""),80.0)</f>
        <v>80</v>
      </c>
      <c r="C90" s="69">
        <f>IFERROR(__xludf.DUMMYFUNCTION("""COMPUTED_VALUE"""),145.0)</f>
        <v>145</v>
      </c>
      <c r="D90" s="70">
        <f>IFERROR(SUMIFS('Stock In'!F:F,'Stock In'!C:C,$A90,'Stock In'!D:D,$B90,'Stock In'!E:E,$C90),0)</f>
        <v>2000</v>
      </c>
      <c r="E90" s="70">
        <f>IFERROR(SUMIFS(Issues!H:H,Issues!C:C,$A90,Issues!D:D,$B90,Issues!E:E,$C90),0)</f>
        <v>2000</v>
      </c>
      <c r="F90" s="70">
        <f>IFERROR(SUMIFS(Returns!H:H,Returns!C:C,$A90,Returns!D:D,$B90,Returns!E:E,$C90),0)</f>
        <v>150</v>
      </c>
      <c r="G90" s="70">
        <f t="shared" si="1"/>
        <v>150</v>
      </c>
      <c r="H90" s="71">
        <f t="shared" si="2"/>
        <v>21.75</v>
      </c>
      <c r="I90" s="72">
        <f>IFERROR( SUMIFS('Stock In'!I:I,'Stock In'!C:C,$A90,'Stock In'!D:D,$B90,'Stock In'!E:E,$C90) / SUMIFS('Stock In'!H:H,'Stock In'!C:C,$A90,'Stock In'!D:D,$B90,'Stock In'!E:E,$C90) , 0)</f>
        <v>39</v>
      </c>
      <c r="J90" s="71">
        <f t="shared" si="3"/>
        <v>848.25</v>
      </c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8" t="str">
        <f>IFERROR(__xludf.DUMMYFUNCTION("""COMPUTED_VALUE"""),"SILVER PAPER")</f>
        <v>SILVER PAPER</v>
      </c>
      <c r="B91" s="68">
        <f>IFERROR(__xludf.DUMMYFUNCTION("""COMPUTED_VALUE"""),80.0)</f>
        <v>80</v>
      </c>
      <c r="C91" s="69">
        <f>IFERROR(__xludf.DUMMYFUNCTION("""COMPUTED_VALUE"""),230.0)</f>
        <v>230</v>
      </c>
      <c r="D91" s="70">
        <f>IFERROR(SUMIFS('Stock In'!F:F,'Stock In'!C:C,$A91,'Stock In'!D:D,$B91,'Stock In'!E:E,$C91),0)</f>
        <v>1000</v>
      </c>
      <c r="E91" s="70">
        <f>IFERROR(SUMIFS(Issues!H:H,Issues!C:C,$A91,Issues!D:D,$B91,Issues!E:E,$C91),0)</f>
        <v>1000</v>
      </c>
      <c r="F91" s="70">
        <f>IFERROR(SUMIFS(Returns!H:H,Returns!C:C,$A91,Returns!D:D,$B91,Returns!E:E,$C91),0)</f>
        <v>0</v>
      </c>
      <c r="G91" s="70">
        <f t="shared" si="1"/>
        <v>0</v>
      </c>
      <c r="H91" s="71">
        <f t="shared" si="2"/>
        <v>0</v>
      </c>
      <c r="I91" s="72">
        <f>IFERROR( SUMIFS('Stock In'!I:I,'Stock In'!C:C,$A91,'Stock In'!D:D,$B91,'Stock In'!E:E,$C91) / SUMIFS('Stock In'!H:H,'Stock In'!C:C,$A91,'Stock In'!D:D,$B91,'Stock In'!E:E,$C91) , 0)</f>
        <v>39</v>
      </c>
      <c r="J91" s="71">
        <f t="shared" si="3"/>
        <v>0</v>
      </c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8" t="str">
        <f>IFERROR(__xludf.DUMMYFUNCTION("""COMPUTED_VALUE"""),"SILVER PAPER")</f>
        <v>SILVER PAPER</v>
      </c>
      <c r="B92" s="68">
        <f>IFERROR(__xludf.DUMMYFUNCTION("""COMPUTED_VALUE"""),80.0)</f>
        <v>80</v>
      </c>
      <c r="C92" s="69">
        <f>IFERROR(__xludf.DUMMYFUNCTION("""COMPUTED_VALUE"""),135.0)</f>
        <v>135</v>
      </c>
      <c r="D92" s="70">
        <f>IFERROR(SUMIFS('Stock In'!F:F,'Stock In'!C:C,$A92,'Stock In'!D:D,$B92,'Stock In'!E:E,$C92),0)</f>
        <v>2020</v>
      </c>
      <c r="E92" s="70">
        <f>IFERROR(SUMIFS(Issues!H:H,Issues!C:C,$A92,Issues!D:D,$B92,Issues!E:E,$C92),0)</f>
        <v>2500</v>
      </c>
      <c r="F92" s="70">
        <f>IFERROR(SUMIFS(Returns!H:H,Returns!C:C,$A92,Returns!D:D,$B92,Returns!E:E,$C92),0)</f>
        <v>860</v>
      </c>
      <c r="G92" s="70">
        <f t="shared" si="1"/>
        <v>380</v>
      </c>
      <c r="H92" s="71">
        <f t="shared" si="2"/>
        <v>51.3</v>
      </c>
      <c r="I92" s="72">
        <f>IFERROR( SUMIFS('Stock In'!I:I,'Stock In'!C:C,$A92,'Stock In'!D:D,$B92,'Stock In'!E:E,$C92) / SUMIFS('Stock In'!H:H,'Stock In'!C:C,$A92,'Stock In'!D:D,$B92,'Stock In'!E:E,$C92) , 0)</f>
        <v>39</v>
      </c>
      <c r="J92" s="71">
        <f t="shared" si="3"/>
        <v>2000.7</v>
      </c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8" t="str">
        <f>IFERROR(__xludf.DUMMYFUNCTION("""COMPUTED_VALUE"""),"PP SILVER")</f>
        <v>PP SILVER</v>
      </c>
      <c r="B93" s="68">
        <f>IFERROR(__xludf.DUMMYFUNCTION("""COMPUTED_VALUE"""),50.0)</f>
        <v>50</v>
      </c>
      <c r="C93" s="69">
        <f>IFERROR(__xludf.DUMMYFUNCTION("""COMPUTED_VALUE"""),148.0)</f>
        <v>148</v>
      </c>
      <c r="D93" s="70">
        <f>IFERROR(SUMIFS('Stock In'!F:F,'Stock In'!C:C,$A93,'Stock In'!D:D,$B93,'Stock In'!E:E,$C93),0)</f>
        <v>1820</v>
      </c>
      <c r="E93" s="70">
        <f>IFERROR(SUMIFS(Issues!H:H,Issues!C:C,$A93,Issues!D:D,$B93,Issues!E:E,$C93),0)</f>
        <v>1500</v>
      </c>
      <c r="F93" s="70">
        <f>IFERROR(SUMIFS(Returns!H:H,Returns!C:C,$A93,Returns!D:D,$B93,Returns!E:E,$C93),0)</f>
        <v>200</v>
      </c>
      <c r="G93" s="70">
        <f t="shared" si="1"/>
        <v>520</v>
      </c>
      <c r="H93" s="71">
        <f t="shared" si="2"/>
        <v>76.96</v>
      </c>
      <c r="I93" s="72">
        <f>IFERROR( SUMIFS('Stock In'!I:I,'Stock In'!C:C,$A93,'Stock In'!D:D,$B93,'Stock In'!E:E,$C93) / SUMIFS('Stock In'!H:H,'Stock In'!C:C,$A93,'Stock In'!D:D,$B93,'Stock In'!E:E,$C93) , 0)</f>
        <v>36</v>
      </c>
      <c r="J93" s="71">
        <f t="shared" si="3"/>
        <v>2770.56</v>
      </c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8" t="str">
        <f>IFERROR(__xludf.DUMMYFUNCTION("""COMPUTED_VALUE"""),"PP WHITE")</f>
        <v>PP WHITE</v>
      </c>
      <c r="B94" s="68">
        <f>IFERROR(__xludf.DUMMYFUNCTION("""COMPUTED_VALUE"""),50.0)</f>
        <v>50</v>
      </c>
      <c r="C94" s="69">
        <f>IFERROR(__xludf.DUMMYFUNCTION("""COMPUTED_VALUE"""),110.0)</f>
        <v>110</v>
      </c>
      <c r="D94" s="70">
        <f>IFERROR(SUMIFS('Stock In'!F:F,'Stock In'!C:C,$A94,'Stock In'!D:D,$B94,'Stock In'!E:E,$C94),0)</f>
        <v>98080</v>
      </c>
      <c r="E94" s="70">
        <f>IFERROR(SUMIFS(Issues!H:H,Issues!C:C,$A94,Issues!D:D,$B94,Issues!E:E,$C94),0)</f>
        <v>8610</v>
      </c>
      <c r="F94" s="70">
        <f>IFERROR(SUMIFS(Returns!H:H,Returns!C:C,$A94,Returns!D:D,$B94,Returns!E:E,$C94),0)</f>
        <v>1000</v>
      </c>
      <c r="G94" s="70">
        <f t="shared" si="1"/>
        <v>90470</v>
      </c>
      <c r="H94" s="71">
        <f t="shared" si="2"/>
        <v>9951.7</v>
      </c>
      <c r="I94" s="72">
        <f>IFERROR( SUMIFS('Stock In'!I:I,'Stock In'!C:C,$A94,'Stock In'!D:D,$B94,'Stock In'!E:E,$C94) / SUMIFS('Stock In'!H:H,'Stock In'!C:C,$A94,'Stock In'!D:D,$B94,'Stock In'!E:E,$C94) , 0)</f>
        <v>35.22006525</v>
      </c>
      <c r="J94" s="71">
        <f t="shared" si="3"/>
        <v>350499.5234</v>
      </c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8" t="str">
        <f>IFERROR(__xludf.DUMMYFUNCTION("""COMPUTED_VALUE"""),"Chromo")</f>
        <v>Chromo</v>
      </c>
      <c r="B95" s="68">
        <f>IFERROR(__xludf.DUMMYFUNCTION("""COMPUTED_VALUE"""),80.0)</f>
        <v>80</v>
      </c>
      <c r="C95" s="69">
        <f>IFERROR(__xludf.DUMMYFUNCTION("""COMPUTED_VALUE"""),225.0)</f>
        <v>225</v>
      </c>
      <c r="D95" s="70">
        <f>IFERROR(SUMIFS('Stock In'!F:F,'Stock In'!C:C,$A95,'Stock In'!D:D,$B95,'Stock In'!E:E,$C95),0)</f>
        <v>34000</v>
      </c>
      <c r="E95" s="70">
        <f>IFERROR(SUMIFS(Issues!H:H,Issues!C:C,$A95,Issues!D:D,$B95,Issues!E:E,$C95),0)</f>
        <v>44500</v>
      </c>
      <c r="F95" s="70">
        <f>IFERROR(SUMIFS(Returns!H:H,Returns!C:C,$A95,Returns!D:D,$B95,Returns!E:E,$C95),0)</f>
        <v>2050</v>
      </c>
      <c r="G95" s="70">
        <f t="shared" si="1"/>
        <v>-8450</v>
      </c>
      <c r="H95" s="71">
        <f t="shared" si="2"/>
        <v>-1901.25</v>
      </c>
      <c r="I95" s="72">
        <f>IFERROR( SUMIFS('Stock In'!I:I,'Stock In'!C:C,$A95,'Stock In'!D:D,$B95,'Stock In'!E:E,$C95) / SUMIFS('Stock In'!H:H,'Stock In'!C:C,$A95,'Stock In'!D:D,$B95,'Stock In'!E:E,$C95) , 0)</f>
        <v>28.5</v>
      </c>
      <c r="J95" s="71">
        <f t="shared" si="3"/>
        <v>-54185.625</v>
      </c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8" t="str">
        <f>IFERROR(__xludf.DUMMYFUNCTION("""COMPUTED_VALUE"""),"SILVER PAPER")</f>
        <v>SILVER PAPER</v>
      </c>
      <c r="B96" s="68">
        <f>IFERROR(__xludf.DUMMYFUNCTION("""COMPUTED_VALUE"""),80.0)</f>
        <v>80</v>
      </c>
      <c r="C96" s="69">
        <f>IFERROR(__xludf.DUMMYFUNCTION("""COMPUTED_VALUE"""),210.0)</f>
        <v>210</v>
      </c>
      <c r="D96" s="70">
        <f>IFERROR(SUMIFS('Stock In'!F:F,'Stock In'!C:C,$A96,'Stock In'!D:D,$B96,'Stock In'!E:E,$C96),0)</f>
        <v>11760</v>
      </c>
      <c r="E96" s="70">
        <f>IFERROR(SUMIFS(Issues!H:H,Issues!C:C,$A96,Issues!D:D,$B96,Issues!E:E,$C96),0)</f>
        <v>13960</v>
      </c>
      <c r="F96" s="70">
        <f>IFERROR(SUMIFS(Returns!H:H,Returns!C:C,$A96,Returns!D:D,$B96,Returns!E:E,$C96),0)</f>
        <v>2070</v>
      </c>
      <c r="G96" s="70">
        <f t="shared" si="1"/>
        <v>-130</v>
      </c>
      <c r="H96" s="71">
        <f t="shared" si="2"/>
        <v>-27.3</v>
      </c>
      <c r="I96" s="72">
        <f>IFERROR( SUMIFS('Stock In'!I:I,'Stock In'!C:C,$A96,'Stock In'!D:D,$B96,'Stock In'!E:E,$C96) / SUMIFS('Stock In'!H:H,'Stock In'!C:C,$A96,'Stock In'!D:D,$B96,'Stock In'!E:E,$C96) , 0)</f>
        <v>39.57831633</v>
      </c>
      <c r="J96" s="71">
        <f t="shared" si="3"/>
        <v>-1080.488036</v>
      </c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8" t="str">
        <f>IFERROR(__xludf.DUMMYFUNCTION("""COMPUTED_VALUE"""),"SILVER PAPER")</f>
        <v>SILVER PAPER</v>
      </c>
      <c r="B97" s="68">
        <f>IFERROR(__xludf.DUMMYFUNCTION("""COMPUTED_VALUE"""),80.0)</f>
        <v>80</v>
      </c>
      <c r="C97" s="69">
        <f>IFERROR(__xludf.DUMMYFUNCTION("""COMPUTED_VALUE"""),126.0)</f>
        <v>126</v>
      </c>
      <c r="D97" s="70">
        <f>IFERROR(SUMIFS('Stock In'!F:F,'Stock In'!C:C,$A97,'Stock In'!D:D,$B97,'Stock In'!E:E,$C97),0)</f>
        <v>5040</v>
      </c>
      <c r="E97" s="70">
        <f>IFERROR(SUMIFS(Issues!H:H,Issues!C:C,$A97,Issues!D:D,$B97,Issues!E:E,$C97),0)</f>
        <v>5040</v>
      </c>
      <c r="F97" s="70">
        <f>IFERROR(SUMIFS(Returns!H:H,Returns!C:C,$A97,Returns!D:D,$B97,Returns!E:E,$C97),0)</f>
        <v>300</v>
      </c>
      <c r="G97" s="70">
        <f t="shared" si="1"/>
        <v>300</v>
      </c>
      <c r="H97" s="71">
        <f t="shared" si="2"/>
        <v>37.8</v>
      </c>
      <c r="I97" s="72">
        <f>IFERROR( SUMIFS('Stock In'!I:I,'Stock In'!C:C,$A97,'Stock In'!D:D,$B97,'Stock In'!E:E,$C97) / SUMIFS('Stock In'!H:H,'Stock In'!C:C,$A97,'Stock In'!D:D,$B97,'Stock In'!E:E,$C97) , 0)</f>
        <v>43.85</v>
      </c>
      <c r="J97" s="71">
        <f t="shared" si="3"/>
        <v>1657.53</v>
      </c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8" t="str">
        <f>IFERROR(__xludf.DUMMYFUNCTION("""COMPUTED_VALUE"""),"SILVER PAPER")</f>
        <v>SILVER PAPER</v>
      </c>
      <c r="B98" s="68">
        <f>IFERROR(__xludf.DUMMYFUNCTION("""COMPUTED_VALUE"""),80.0)</f>
        <v>80</v>
      </c>
      <c r="C98" s="69">
        <f>IFERROR(__xludf.DUMMYFUNCTION("""COMPUTED_VALUE"""),185.0)</f>
        <v>185</v>
      </c>
      <c r="D98" s="70">
        <f>IFERROR(SUMIFS('Stock In'!F:F,'Stock In'!C:C,$A98,'Stock In'!D:D,$B98,'Stock In'!E:E,$C98),0)</f>
        <v>8540</v>
      </c>
      <c r="E98" s="70">
        <f>IFERROR(SUMIFS(Issues!H:H,Issues!C:C,$A98,Issues!D:D,$B98,Issues!E:E,$C98),0)</f>
        <v>3000</v>
      </c>
      <c r="F98" s="70">
        <f>IFERROR(SUMIFS(Returns!H:H,Returns!C:C,$A98,Returns!D:D,$B98,Returns!E:E,$C98),0)</f>
        <v>0</v>
      </c>
      <c r="G98" s="70">
        <f t="shared" si="1"/>
        <v>5540</v>
      </c>
      <c r="H98" s="71">
        <f t="shared" si="2"/>
        <v>1024.9</v>
      </c>
      <c r="I98" s="72">
        <f>IFERROR( SUMIFS('Stock In'!I:I,'Stock In'!C:C,$A98,'Stock In'!D:D,$B98,'Stock In'!E:E,$C98) / SUMIFS('Stock In'!H:H,'Stock In'!C:C,$A98,'Stock In'!D:D,$B98,'Stock In'!E:E,$C98) , 0)</f>
        <v>33.56791569</v>
      </c>
      <c r="J98" s="71">
        <f t="shared" si="3"/>
        <v>34403.75679</v>
      </c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8" t="str">
        <f>IFERROR(__xludf.DUMMYFUNCTION("""COMPUTED_VALUE"""),"SILVER PAPER")</f>
        <v>SILVER PAPER</v>
      </c>
      <c r="B99" s="68">
        <f>IFERROR(__xludf.DUMMYFUNCTION("""COMPUTED_VALUE"""),80.0)</f>
        <v>80</v>
      </c>
      <c r="C99" s="69">
        <f>IFERROR(__xludf.DUMMYFUNCTION("""COMPUTED_VALUE"""),130.0)</f>
        <v>130</v>
      </c>
      <c r="D99" s="70">
        <f>IFERROR(SUMIFS('Stock In'!F:F,'Stock In'!C:C,$A99,'Stock In'!D:D,$B99,'Stock In'!E:E,$C99),0)</f>
        <v>1500</v>
      </c>
      <c r="E99" s="70">
        <f>IFERROR(SUMIFS(Issues!H:H,Issues!C:C,$A99,Issues!D:D,$B99,Issues!E:E,$C99),0)</f>
        <v>1500</v>
      </c>
      <c r="F99" s="70">
        <f>IFERROR(SUMIFS(Returns!H:H,Returns!C:C,$A99,Returns!D:D,$B99,Returns!E:E,$C99),0)</f>
        <v>650</v>
      </c>
      <c r="G99" s="70">
        <f t="shared" si="1"/>
        <v>650</v>
      </c>
      <c r="H99" s="71">
        <f t="shared" si="2"/>
        <v>84.5</v>
      </c>
      <c r="I99" s="72">
        <f>IFERROR( SUMIFS('Stock In'!I:I,'Stock In'!C:C,$A99,'Stock In'!D:D,$B99,'Stock In'!E:E,$C99) / SUMIFS('Stock In'!H:H,'Stock In'!C:C,$A99,'Stock In'!D:D,$B99,'Stock In'!E:E,$C99) , 0)</f>
        <v>43.85</v>
      </c>
      <c r="J99" s="71">
        <f t="shared" si="3"/>
        <v>3705.325</v>
      </c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8" t="str">
        <f>IFERROR(__xludf.DUMMYFUNCTION("""COMPUTED_VALUE"""),"PP WHITE")</f>
        <v>PP WHITE</v>
      </c>
      <c r="B100" s="68">
        <f>IFERROR(__xludf.DUMMYFUNCTION("""COMPUTED_VALUE"""),50.0)</f>
        <v>50</v>
      </c>
      <c r="C100" s="69">
        <f>IFERROR(__xludf.DUMMYFUNCTION("""COMPUTED_VALUE"""),140.0)</f>
        <v>140</v>
      </c>
      <c r="D100" s="70">
        <f>IFERROR(SUMIFS('Stock In'!F:F,'Stock In'!C:C,$A100,'Stock In'!D:D,$B100,'Stock In'!E:E,$C100),0)</f>
        <v>3610</v>
      </c>
      <c r="E100" s="70">
        <f>IFERROR(SUMIFS(Issues!H:H,Issues!C:C,$A100,Issues!D:D,$B100,Issues!E:E,$C100),0)</f>
        <v>0</v>
      </c>
      <c r="F100" s="70">
        <f>IFERROR(SUMIFS(Returns!H:H,Returns!C:C,$A100,Returns!D:D,$B100,Returns!E:E,$C100),0)</f>
        <v>0</v>
      </c>
      <c r="G100" s="70">
        <f t="shared" si="1"/>
        <v>3610</v>
      </c>
      <c r="H100" s="71">
        <f t="shared" si="2"/>
        <v>505.4</v>
      </c>
      <c r="I100" s="72">
        <f>IFERROR( SUMIFS('Stock In'!I:I,'Stock In'!C:C,$A100,'Stock In'!D:D,$B100,'Stock In'!E:E,$C100) / SUMIFS('Stock In'!H:H,'Stock In'!C:C,$A100,'Stock In'!D:D,$B100,'Stock In'!E:E,$C100) , 0)</f>
        <v>36.67036011</v>
      </c>
      <c r="J100" s="71">
        <f t="shared" si="3"/>
        <v>18533.2</v>
      </c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8" t="str">
        <f>IFERROR(__xludf.DUMMYFUNCTION("""COMPUTED_VALUE"""),"Only ART Paper Without Gumming")</f>
        <v>Only ART Paper Without Gumming</v>
      </c>
      <c r="B101" s="68">
        <f>IFERROR(__xludf.DUMMYFUNCTION("""COMPUTED_VALUE"""),120.0)</f>
        <v>120</v>
      </c>
      <c r="C101" s="69">
        <f>IFERROR(__xludf.DUMMYFUNCTION("""COMPUTED_VALUE"""),340.0)</f>
        <v>340</v>
      </c>
      <c r="D101" s="70">
        <f>IFERROR(SUMIFS('Stock In'!F:F,'Stock In'!C:C,$A101,'Stock In'!D:D,$B101,'Stock In'!E:E,$C101),0)</f>
        <v>2000</v>
      </c>
      <c r="E101" s="70">
        <f>IFERROR(SUMIFS(Issues!H:H,Issues!C:C,$A101,Issues!D:D,$B101,Issues!E:E,$C101),0)</f>
        <v>2000</v>
      </c>
      <c r="F101" s="70">
        <f>IFERROR(SUMIFS(Returns!H:H,Returns!C:C,$A101,Returns!D:D,$B101,Returns!E:E,$C101),0)</f>
        <v>560</v>
      </c>
      <c r="G101" s="70">
        <f t="shared" si="1"/>
        <v>560</v>
      </c>
      <c r="H101" s="71">
        <f t="shared" si="2"/>
        <v>190.4</v>
      </c>
      <c r="I101" s="72">
        <f>IFERROR( SUMIFS('Stock In'!I:I,'Stock In'!C:C,$A101,'Stock In'!D:D,$B101,'Stock In'!E:E,$C101) / SUMIFS('Stock In'!H:H,'Stock In'!C:C,$A101,'Stock In'!D:D,$B101,'Stock In'!E:E,$C101) , 0)</f>
        <v>14.5</v>
      </c>
      <c r="J101" s="71">
        <f t="shared" si="3"/>
        <v>2760.8</v>
      </c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8" t="str">
        <f>IFERROR(__xludf.DUMMYFUNCTION("""COMPUTED_VALUE"""),"Only ART Paper Without Gumming")</f>
        <v>Only ART Paper Without Gumming</v>
      </c>
      <c r="B102" s="68">
        <f>IFERROR(__xludf.DUMMYFUNCTION("""COMPUTED_VALUE"""),120.0)</f>
        <v>120</v>
      </c>
      <c r="C102" s="69">
        <f>IFERROR(__xludf.DUMMYFUNCTION("""COMPUTED_VALUE"""),130.0)</f>
        <v>130</v>
      </c>
      <c r="D102" s="70">
        <f>IFERROR(SUMIFS('Stock In'!F:F,'Stock In'!C:C,$A102,'Stock In'!D:D,$B102,'Stock In'!E:E,$C102),0)</f>
        <v>2000</v>
      </c>
      <c r="E102" s="70">
        <f>IFERROR(SUMIFS(Issues!H:H,Issues!C:C,$A102,Issues!D:D,$B102,Issues!E:E,$C102),0)</f>
        <v>0</v>
      </c>
      <c r="F102" s="70">
        <f>IFERROR(SUMIFS(Returns!H:H,Returns!C:C,$A102,Returns!D:D,$B102,Returns!E:E,$C102),0)</f>
        <v>0</v>
      </c>
      <c r="G102" s="70">
        <f t="shared" si="1"/>
        <v>2000</v>
      </c>
      <c r="H102" s="71">
        <f t="shared" si="2"/>
        <v>260</v>
      </c>
      <c r="I102" s="72">
        <f>IFERROR( SUMIFS('Stock In'!I:I,'Stock In'!C:C,$A102,'Stock In'!D:D,$B102,'Stock In'!E:E,$C102) / SUMIFS('Stock In'!H:H,'Stock In'!C:C,$A102,'Stock In'!D:D,$B102,'Stock In'!E:E,$C102) , 0)</f>
        <v>14.5</v>
      </c>
      <c r="J102" s="71">
        <f t="shared" si="3"/>
        <v>3770</v>
      </c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8" t="str">
        <f>IFERROR(__xludf.DUMMYFUNCTION("""COMPUTED_VALUE"""),"PP WHITE MATT")</f>
        <v>PP WHITE MATT</v>
      </c>
      <c r="B103" s="68">
        <f>IFERROR(__xludf.DUMMYFUNCTION("""COMPUTED_VALUE"""),50.0)</f>
        <v>50</v>
      </c>
      <c r="C103" s="69">
        <f>IFERROR(__xludf.DUMMYFUNCTION("""COMPUTED_VALUE"""),160.0)</f>
        <v>160</v>
      </c>
      <c r="D103" s="70">
        <f>IFERROR(SUMIFS('Stock In'!F:F,'Stock In'!C:C,$A103,'Stock In'!D:D,$B103,'Stock In'!E:E,$C103),0)</f>
        <v>5460</v>
      </c>
      <c r="E103" s="70">
        <f>IFERROR(SUMIFS(Issues!H:H,Issues!C:C,$A103,Issues!D:D,$B103,Issues!E:E,$C103),0)</f>
        <v>0</v>
      </c>
      <c r="F103" s="70">
        <f>IFERROR(SUMIFS(Returns!H:H,Returns!C:C,$A103,Returns!D:D,$B103,Returns!E:E,$C103),0)</f>
        <v>0</v>
      </c>
      <c r="G103" s="70">
        <f t="shared" si="1"/>
        <v>5460</v>
      </c>
      <c r="H103" s="71">
        <f t="shared" si="2"/>
        <v>873.6</v>
      </c>
      <c r="I103" s="72">
        <f>IFERROR( SUMIFS('Stock In'!I:I,'Stock In'!C:C,$A103,'Stock In'!D:D,$B103,'Stock In'!E:E,$C103) / SUMIFS('Stock In'!H:H,'Stock In'!C:C,$A103,'Stock In'!D:D,$B103,'Stock In'!E:E,$C103) , 0)</f>
        <v>42</v>
      </c>
      <c r="J103" s="71">
        <f t="shared" si="3"/>
        <v>36691.2</v>
      </c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8" t="str">
        <f>IFERROR(__xludf.DUMMYFUNCTION("""COMPUTED_VALUE"""),"Paper- AMA5050 ( PIGGYBACK) ")</f>
        <v>Paper- AMA5050 ( PIGGYBACK) </v>
      </c>
      <c r="B104" s="68">
        <f>IFERROR(__xludf.DUMMYFUNCTION("""COMPUTED_VALUE"""),230.0)</f>
        <v>230</v>
      </c>
      <c r="C104" s="69">
        <f>IFERROR(__xludf.DUMMYFUNCTION("""COMPUTED_VALUE"""),200.0)</f>
        <v>200</v>
      </c>
      <c r="D104" s="70">
        <f>IFERROR(SUMIFS('Stock In'!F:F,'Stock In'!C:C,$A104,'Stock In'!D:D,$B104,'Stock In'!E:E,$C104),0)</f>
        <v>34350</v>
      </c>
      <c r="E104" s="70">
        <f>IFERROR(SUMIFS(Issues!H:H,Issues!C:C,$A104,Issues!D:D,$B104,Issues!E:E,$C104),0)</f>
        <v>7800</v>
      </c>
      <c r="F104" s="70">
        <f>IFERROR(SUMIFS(Returns!H:H,Returns!C:C,$A104,Returns!D:D,$B104,Returns!E:E,$C104),0)</f>
        <v>650</v>
      </c>
      <c r="G104" s="70">
        <f t="shared" si="1"/>
        <v>27200</v>
      </c>
      <c r="H104" s="71">
        <f t="shared" si="2"/>
        <v>5440</v>
      </c>
      <c r="I104" s="72">
        <f>IFERROR( SUMIFS('Stock In'!I:I,'Stock In'!C:C,$A104,'Stock In'!D:D,$B104,'Stock In'!E:E,$C104) / SUMIFS('Stock In'!H:H,'Stock In'!C:C,$A104,'Stock In'!D:D,$B104,'Stock In'!E:E,$C104) , 0)</f>
        <v>57.70959243</v>
      </c>
      <c r="J104" s="71">
        <f t="shared" si="3"/>
        <v>313940.1828</v>
      </c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8" t="str">
        <f>IFERROR(__xludf.DUMMYFUNCTION("""COMPUTED_VALUE"""),"SILVER PAPER")</f>
        <v>SILVER PAPER</v>
      </c>
      <c r="B105" s="68">
        <f>IFERROR(__xludf.DUMMYFUNCTION("""COMPUTED_VALUE"""),80.0)</f>
        <v>80</v>
      </c>
      <c r="C105" s="69">
        <f>IFERROR(__xludf.DUMMYFUNCTION("""COMPUTED_VALUE"""),143.0)</f>
        <v>143</v>
      </c>
      <c r="D105" s="70">
        <f>IFERROR(SUMIFS('Stock In'!F:F,'Stock In'!C:C,$A105,'Stock In'!D:D,$B105,'Stock In'!E:E,$C105),0)</f>
        <v>2320</v>
      </c>
      <c r="E105" s="70">
        <f>IFERROR(SUMIFS(Issues!H:H,Issues!C:C,$A105,Issues!D:D,$B105,Issues!E:E,$C105),0)</f>
        <v>3370</v>
      </c>
      <c r="F105" s="70">
        <f>IFERROR(SUMIFS(Returns!H:H,Returns!C:C,$A105,Returns!D:D,$B105,Returns!E:E,$C105),0)</f>
        <v>620</v>
      </c>
      <c r="G105" s="70">
        <f t="shared" si="1"/>
        <v>-430</v>
      </c>
      <c r="H105" s="71">
        <f t="shared" si="2"/>
        <v>-61.49</v>
      </c>
      <c r="I105" s="72">
        <f>IFERROR( SUMIFS('Stock In'!I:I,'Stock In'!C:C,$A105,'Stock In'!D:D,$B105,'Stock In'!E:E,$C105) / SUMIFS('Stock In'!H:H,'Stock In'!C:C,$A105,'Stock In'!D:D,$B105,'Stock In'!E:E,$C105) , 0)</f>
        <v>25</v>
      </c>
      <c r="J105" s="71">
        <f t="shared" si="3"/>
        <v>-1537.25</v>
      </c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8" t="str">
        <f>IFERROR(__xludf.DUMMYFUNCTION("""COMPUTED_VALUE"""),"SILVER PAPER")</f>
        <v>SILVER PAPER</v>
      </c>
      <c r="B106" s="68">
        <f>IFERROR(__xludf.DUMMYFUNCTION("""COMPUTED_VALUE"""),80.0)</f>
        <v>80</v>
      </c>
      <c r="C106" s="69">
        <f>IFERROR(__xludf.DUMMYFUNCTION("""COMPUTED_VALUE"""),142.0)</f>
        <v>142</v>
      </c>
      <c r="D106" s="70">
        <f>IFERROR(SUMIFS('Stock In'!F:F,'Stock In'!C:C,$A106,'Stock In'!D:D,$B106,'Stock In'!E:E,$C106),0)</f>
        <v>1050</v>
      </c>
      <c r="E106" s="70">
        <f>IFERROR(SUMIFS(Issues!H:H,Issues!C:C,$A106,Issues!D:D,$B106,Issues!E:E,$C106),0)</f>
        <v>700</v>
      </c>
      <c r="F106" s="70">
        <f>IFERROR(SUMIFS(Returns!H:H,Returns!C:C,$A106,Returns!D:D,$B106,Returns!E:E,$C106),0)</f>
        <v>0</v>
      </c>
      <c r="G106" s="70">
        <f t="shared" si="1"/>
        <v>350</v>
      </c>
      <c r="H106" s="71">
        <f t="shared" si="2"/>
        <v>49.7</v>
      </c>
      <c r="I106" s="72">
        <f>IFERROR( SUMIFS('Stock In'!I:I,'Stock In'!C:C,$A106,'Stock In'!D:D,$B106,'Stock In'!E:E,$C106) / SUMIFS('Stock In'!H:H,'Stock In'!C:C,$A106,'Stock In'!D:D,$B106,'Stock In'!E:E,$C106) , 0)</f>
        <v>25</v>
      </c>
      <c r="J106" s="71">
        <f t="shared" si="3"/>
        <v>1242.5</v>
      </c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8" t="str">
        <f>IFERROR(__xludf.DUMMYFUNCTION("""COMPUTED_VALUE"""),"clear on clear")</f>
        <v>clear on clear</v>
      </c>
      <c r="B107" s="68">
        <f>IFERROR(__xludf.DUMMYFUNCTION("""COMPUTED_VALUE"""),50.0)</f>
        <v>50</v>
      </c>
      <c r="C107" s="69">
        <f>IFERROR(__xludf.DUMMYFUNCTION("""COMPUTED_VALUE"""),335.0)</f>
        <v>335</v>
      </c>
      <c r="D107" s="70">
        <f>IFERROR(SUMIFS('Stock In'!F:F,'Stock In'!C:C,$A107,'Stock In'!D:D,$B107,'Stock In'!E:E,$C107),0)</f>
        <v>3051</v>
      </c>
      <c r="E107" s="70">
        <f>IFERROR(SUMIFS(Issues!H:H,Issues!C:C,$A107,Issues!D:D,$B107,Issues!E:E,$C107),0)</f>
        <v>0</v>
      </c>
      <c r="F107" s="70">
        <f>IFERROR(SUMIFS(Returns!H:H,Returns!C:C,$A107,Returns!D:D,$B107,Returns!E:E,$C107),0)</f>
        <v>0</v>
      </c>
      <c r="G107" s="70">
        <f t="shared" si="1"/>
        <v>3051</v>
      </c>
      <c r="H107" s="71">
        <f t="shared" si="2"/>
        <v>1022.085</v>
      </c>
      <c r="I107" s="72">
        <f>IFERROR( SUMIFS('Stock In'!I:I,'Stock In'!C:C,$A107,'Stock In'!D:D,$B107,'Stock In'!E:E,$C107) / SUMIFS('Stock In'!H:H,'Stock In'!C:C,$A107,'Stock In'!D:D,$B107,'Stock In'!E:E,$C107) , 0)</f>
        <v>48</v>
      </c>
      <c r="J107" s="71">
        <f t="shared" si="3"/>
        <v>49060.08</v>
      </c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8" t="str">
        <f>IFERROR(__xludf.DUMMYFUNCTION("""COMPUTED_VALUE"""),"PP CLEAR")</f>
        <v>PP CLEAR</v>
      </c>
      <c r="B108" s="68">
        <f>IFERROR(__xludf.DUMMYFUNCTION("""COMPUTED_VALUE"""),50.0)</f>
        <v>50</v>
      </c>
      <c r="C108" s="69">
        <f>IFERROR(__xludf.DUMMYFUNCTION("""COMPUTED_VALUE"""),330.0)</f>
        <v>330</v>
      </c>
      <c r="D108" s="70">
        <f>IFERROR(SUMIFS('Stock In'!F:F,'Stock In'!C:C,$A108,'Stock In'!D:D,$B108,'Stock In'!E:E,$C108),0)</f>
        <v>3000</v>
      </c>
      <c r="E108" s="70">
        <f>IFERROR(SUMIFS(Issues!H:H,Issues!C:C,$A108,Issues!D:D,$B108,Issues!E:E,$C108),0)</f>
        <v>2000</v>
      </c>
      <c r="F108" s="70">
        <f>IFERROR(SUMIFS(Returns!H:H,Returns!C:C,$A108,Returns!D:D,$B108,Returns!E:E,$C108),0)</f>
        <v>330</v>
      </c>
      <c r="G108" s="70">
        <f t="shared" si="1"/>
        <v>1330</v>
      </c>
      <c r="H108" s="71">
        <f t="shared" si="2"/>
        <v>438.9</v>
      </c>
      <c r="I108" s="72">
        <f>IFERROR( SUMIFS('Stock In'!I:I,'Stock In'!C:C,$A108,'Stock In'!D:D,$B108,'Stock In'!E:E,$C108) / SUMIFS('Stock In'!H:H,'Stock In'!C:C,$A108,'Stock In'!D:D,$B108,'Stock In'!E:E,$C108) , 0)</f>
        <v>34.5</v>
      </c>
      <c r="J108" s="71">
        <f t="shared" si="3"/>
        <v>15142.05</v>
      </c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8" t="str">
        <f>IFERROR(__xludf.DUMMYFUNCTION("""COMPUTED_VALUE"""),"SILVER PAPER")</f>
        <v>SILVER PAPER</v>
      </c>
      <c r="B109" s="68">
        <f>IFERROR(__xludf.DUMMYFUNCTION("""COMPUTED_VALUE"""),80.0)</f>
        <v>80</v>
      </c>
      <c r="C109" s="69">
        <f>IFERROR(__xludf.DUMMYFUNCTION("""COMPUTED_VALUE"""),150.0)</f>
        <v>150</v>
      </c>
      <c r="D109" s="70">
        <f>IFERROR(SUMIFS('Stock In'!F:F,'Stock In'!C:C,$A109,'Stock In'!D:D,$B109,'Stock In'!E:E,$C109),0)</f>
        <v>3020</v>
      </c>
      <c r="E109" s="70">
        <f>IFERROR(SUMIFS(Issues!H:H,Issues!C:C,$A109,Issues!D:D,$B109,Issues!E:E,$C109),0)</f>
        <v>10120</v>
      </c>
      <c r="F109" s="70">
        <f>IFERROR(SUMIFS(Returns!H:H,Returns!C:C,$A109,Returns!D:D,$B109,Returns!E:E,$C109),0)</f>
        <v>2660</v>
      </c>
      <c r="G109" s="70">
        <f t="shared" si="1"/>
        <v>-4440</v>
      </c>
      <c r="H109" s="71">
        <f t="shared" si="2"/>
        <v>-666</v>
      </c>
      <c r="I109" s="72">
        <f>IFERROR( SUMIFS('Stock In'!I:I,'Stock In'!C:C,$A109,'Stock In'!D:D,$B109,'Stock In'!E:E,$C109) / SUMIFS('Stock In'!H:H,'Stock In'!C:C,$A109,'Stock In'!D:D,$B109,'Stock In'!E:E,$C109) , 0)</f>
        <v>34</v>
      </c>
      <c r="J109" s="71">
        <f t="shared" si="3"/>
        <v>-22644</v>
      </c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8" t="str">
        <f>IFERROR(__xludf.DUMMYFUNCTION("""COMPUTED_VALUE"""),"SILVER PAPER")</f>
        <v>SILVER PAPER</v>
      </c>
      <c r="B110" s="68">
        <f>IFERROR(__xludf.DUMMYFUNCTION("""COMPUTED_VALUE"""),80.0)</f>
        <v>80</v>
      </c>
      <c r="C110" s="69">
        <f>IFERROR(__xludf.DUMMYFUNCTION("""COMPUTED_VALUE"""),165.0)</f>
        <v>165</v>
      </c>
      <c r="D110" s="70">
        <f>IFERROR(SUMIFS('Stock In'!F:F,'Stock In'!C:C,$A110,'Stock In'!D:D,$B110,'Stock In'!E:E,$C110),0)</f>
        <v>5910</v>
      </c>
      <c r="E110" s="70">
        <f>IFERROR(SUMIFS(Issues!H:H,Issues!C:C,$A110,Issues!D:D,$B110,Issues!E:E,$C110),0)</f>
        <v>5910</v>
      </c>
      <c r="F110" s="70">
        <f>IFERROR(SUMIFS(Returns!H:H,Returns!C:C,$A110,Returns!D:D,$B110,Returns!E:E,$C110),0)</f>
        <v>0</v>
      </c>
      <c r="G110" s="70">
        <f t="shared" si="1"/>
        <v>0</v>
      </c>
      <c r="H110" s="71">
        <f t="shared" si="2"/>
        <v>0</v>
      </c>
      <c r="I110" s="72">
        <f>IFERROR( SUMIFS('Stock In'!I:I,'Stock In'!C:C,$A110,'Stock In'!D:D,$B110,'Stock In'!E:E,$C110) / SUMIFS('Stock In'!H:H,'Stock In'!C:C,$A110,'Stock In'!D:D,$B110,'Stock In'!E:E,$C110) , 0)</f>
        <v>34</v>
      </c>
      <c r="J110" s="71">
        <f t="shared" si="3"/>
        <v>0</v>
      </c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8" t="str">
        <f>IFERROR(__xludf.DUMMYFUNCTION("""COMPUTED_VALUE"""),"SILVER PAPER")</f>
        <v>SILVER PAPER</v>
      </c>
      <c r="B111" s="68">
        <f>IFERROR(__xludf.DUMMYFUNCTION("""COMPUTED_VALUE"""),80.0)</f>
        <v>80</v>
      </c>
      <c r="C111" s="69">
        <f>IFERROR(__xludf.DUMMYFUNCTION("""COMPUTED_VALUE"""),240.0)</f>
        <v>240</v>
      </c>
      <c r="D111" s="70">
        <f>IFERROR(SUMIFS('Stock In'!F:F,'Stock In'!C:C,$A111,'Stock In'!D:D,$B111,'Stock In'!E:E,$C111),0)</f>
        <v>1930</v>
      </c>
      <c r="E111" s="70">
        <f>IFERROR(SUMIFS(Issues!H:H,Issues!C:C,$A111,Issues!D:D,$B111,Issues!E:E,$C111),0)</f>
        <v>0</v>
      </c>
      <c r="F111" s="70">
        <f>IFERROR(SUMIFS(Returns!H:H,Returns!C:C,$A111,Returns!D:D,$B111,Returns!E:E,$C111),0)</f>
        <v>0</v>
      </c>
      <c r="G111" s="70">
        <f t="shared" si="1"/>
        <v>1930</v>
      </c>
      <c r="H111" s="71">
        <f t="shared" si="2"/>
        <v>463.2</v>
      </c>
      <c r="I111" s="72">
        <f>IFERROR( SUMIFS('Stock In'!I:I,'Stock In'!C:C,$A111,'Stock In'!D:D,$B111,'Stock In'!E:E,$C111) / SUMIFS('Stock In'!H:H,'Stock In'!C:C,$A111,'Stock In'!D:D,$B111,'Stock In'!E:E,$C111) , 0)</f>
        <v>34</v>
      </c>
      <c r="J111" s="71">
        <f t="shared" si="3"/>
        <v>15748.8</v>
      </c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8" t="str">
        <f>IFERROR(__xludf.DUMMYFUNCTION("""COMPUTED_VALUE"""),"SILVER PAPER")</f>
        <v>SILVER PAPER</v>
      </c>
      <c r="B112" s="68">
        <f>IFERROR(__xludf.DUMMYFUNCTION("""COMPUTED_VALUE"""),80.0)</f>
        <v>80</v>
      </c>
      <c r="C112" s="69">
        <f>IFERROR(__xludf.DUMMYFUNCTION("""COMPUTED_VALUE"""),260.0)</f>
        <v>260</v>
      </c>
      <c r="D112" s="70">
        <f>IFERROR(SUMIFS('Stock In'!F:F,'Stock In'!C:C,$A112,'Stock In'!D:D,$B112,'Stock In'!E:E,$C112),0)</f>
        <v>1510</v>
      </c>
      <c r="E112" s="70">
        <f>IFERROR(SUMIFS(Issues!H:H,Issues!C:C,$A112,Issues!D:D,$B112,Issues!E:E,$C112),0)</f>
        <v>1000</v>
      </c>
      <c r="F112" s="70">
        <f>IFERROR(SUMIFS(Returns!H:H,Returns!C:C,$A112,Returns!D:D,$B112,Returns!E:E,$C112),0)</f>
        <v>0</v>
      </c>
      <c r="G112" s="70">
        <f t="shared" si="1"/>
        <v>510</v>
      </c>
      <c r="H112" s="71">
        <f t="shared" si="2"/>
        <v>132.6</v>
      </c>
      <c r="I112" s="72">
        <f>IFERROR( SUMIFS('Stock In'!I:I,'Stock In'!C:C,$A112,'Stock In'!D:D,$B112,'Stock In'!E:E,$C112) / SUMIFS('Stock In'!H:H,'Stock In'!C:C,$A112,'Stock In'!D:D,$B112,'Stock In'!E:E,$C112) , 0)</f>
        <v>34</v>
      </c>
      <c r="J112" s="71">
        <f t="shared" si="3"/>
        <v>4508.4</v>
      </c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8" t="str">
        <f>IFERROR(__xludf.DUMMYFUNCTION("""COMPUTED_VALUE"""),"SILVER PAPER")</f>
        <v>SILVER PAPER</v>
      </c>
      <c r="B113" s="68">
        <f>IFERROR(__xludf.DUMMYFUNCTION("""COMPUTED_VALUE"""),80.0)</f>
        <v>80</v>
      </c>
      <c r="C113" s="69">
        <f>IFERROR(__xludf.DUMMYFUNCTION("""COMPUTED_VALUE"""),300.0)</f>
        <v>300</v>
      </c>
      <c r="D113" s="70">
        <f>IFERROR(SUMIFS('Stock In'!F:F,'Stock In'!C:C,$A113,'Stock In'!D:D,$B113,'Stock In'!E:E,$C113),0)</f>
        <v>2000</v>
      </c>
      <c r="E113" s="70">
        <f>IFERROR(SUMIFS(Issues!H:H,Issues!C:C,$A113,Issues!D:D,$B113,Issues!E:E,$C113),0)</f>
        <v>2200</v>
      </c>
      <c r="F113" s="70">
        <f>IFERROR(SUMIFS(Returns!H:H,Returns!C:C,$A113,Returns!D:D,$B113,Returns!E:E,$C113),0)</f>
        <v>200</v>
      </c>
      <c r="G113" s="70">
        <f t="shared" si="1"/>
        <v>0</v>
      </c>
      <c r="H113" s="71">
        <f t="shared" si="2"/>
        <v>0</v>
      </c>
      <c r="I113" s="72">
        <f>IFERROR( SUMIFS('Stock In'!I:I,'Stock In'!C:C,$A113,'Stock In'!D:D,$B113,'Stock In'!E:E,$C113) / SUMIFS('Stock In'!H:H,'Stock In'!C:C,$A113,'Stock In'!D:D,$B113,'Stock In'!E:E,$C113) , 0)</f>
        <v>34</v>
      </c>
      <c r="J113" s="71">
        <f t="shared" si="3"/>
        <v>0</v>
      </c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8" t="str">
        <f>IFERROR(__xludf.DUMMYFUNCTION("""COMPUTED_VALUE"""),"Only ART Paper Without Gumming")</f>
        <v>Only ART Paper Without Gumming</v>
      </c>
      <c r="B114" s="68">
        <f>IFERROR(__xludf.DUMMYFUNCTION("""COMPUTED_VALUE"""),120.0)</f>
        <v>120</v>
      </c>
      <c r="C114" s="69">
        <f>IFERROR(__xludf.DUMMYFUNCTION("""COMPUTED_VALUE"""),230.0)</f>
        <v>230</v>
      </c>
      <c r="D114" s="70">
        <f>IFERROR(SUMIFS('Stock In'!F:F,'Stock In'!C:C,$A114,'Stock In'!D:D,$B114,'Stock In'!E:E,$C114),0)</f>
        <v>1533</v>
      </c>
      <c r="E114" s="70">
        <f>IFERROR(SUMIFS(Issues!H:H,Issues!C:C,$A114,Issues!D:D,$B114,Issues!E:E,$C114),0)</f>
        <v>0</v>
      </c>
      <c r="F114" s="70">
        <f>IFERROR(SUMIFS(Returns!H:H,Returns!C:C,$A114,Returns!D:D,$B114,Returns!E:E,$C114),0)</f>
        <v>0</v>
      </c>
      <c r="G114" s="70">
        <f t="shared" si="1"/>
        <v>1533</v>
      </c>
      <c r="H114" s="71">
        <f t="shared" si="2"/>
        <v>352.59</v>
      </c>
      <c r="I114" s="72">
        <f>IFERROR( SUMIFS('Stock In'!I:I,'Stock In'!C:C,$A114,'Stock In'!D:D,$B114,'Stock In'!E:E,$C114) / SUMIFS('Stock In'!H:H,'Stock In'!C:C,$A114,'Stock In'!D:D,$B114,'Stock In'!E:E,$C114) , 0)</f>
        <v>14.5</v>
      </c>
      <c r="J114" s="71">
        <f t="shared" si="3"/>
        <v>5112.555</v>
      </c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8" t="str">
        <f>IFERROR(__xludf.DUMMYFUNCTION("""COMPUTED_VALUE"""),"PP CLEAR")</f>
        <v>PP CLEAR</v>
      </c>
      <c r="B115" s="68">
        <f>IFERROR(__xludf.DUMMYFUNCTION("""COMPUTED_VALUE"""),50.0)</f>
        <v>50</v>
      </c>
      <c r="C115" s="69">
        <f>IFERROR(__xludf.DUMMYFUNCTION("""COMPUTED_VALUE"""),205.0)</f>
        <v>205</v>
      </c>
      <c r="D115" s="70">
        <f>IFERROR(SUMIFS('Stock In'!F:F,'Stock In'!C:C,$A115,'Stock In'!D:D,$B115,'Stock In'!E:E,$C115),0)</f>
        <v>1500</v>
      </c>
      <c r="E115" s="70">
        <f>IFERROR(SUMIFS(Issues!H:H,Issues!C:C,$A115,Issues!D:D,$B115,Issues!E:E,$C115),0)</f>
        <v>1500</v>
      </c>
      <c r="F115" s="70">
        <f>IFERROR(SUMIFS(Returns!H:H,Returns!C:C,$A115,Returns!D:D,$B115,Returns!E:E,$C115),0)</f>
        <v>0</v>
      </c>
      <c r="G115" s="70">
        <f t="shared" si="1"/>
        <v>0</v>
      </c>
      <c r="H115" s="71">
        <f t="shared" si="2"/>
        <v>0</v>
      </c>
      <c r="I115" s="72">
        <f>IFERROR( SUMIFS('Stock In'!I:I,'Stock In'!C:C,$A115,'Stock In'!D:D,$B115,'Stock In'!E:E,$C115) / SUMIFS('Stock In'!H:H,'Stock In'!C:C,$A115,'Stock In'!D:D,$B115,'Stock In'!E:E,$C115) , 0)</f>
        <v>31</v>
      </c>
      <c r="J115" s="71">
        <f t="shared" si="3"/>
        <v>0</v>
      </c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8" t="str">
        <f>IFERROR(__xludf.DUMMYFUNCTION("""COMPUTED_VALUE"""),"Paper- ISF- IOF 105 Blow Mould ")</f>
        <v>Paper- ISF- IOF 105 Blow Mould </v>
      </c>
      <c r="B116" s="68">
        <f>IFERROR(__xludf.DUMMYFUNCTION("""COMPUTED_VALUE"""),105.0)</f>
        <v>105</v>
      </c>
      <c r="C116" s="69">
        <f>IFERROR(__xludf.DUMMYFUNCTION("""COMPUTED_VALUE"""),205.0)</f>
        <v>205</v>
      </c>
      <c r="D116" s="70">
        <f>IFERROR(SUMIFS('Stock In'!F:F,'Stock In'!C:C,$A116,'Stock In'!D:D,$B116,'Stock In'!E:E,$C116),0)</f>
        <v>24000</v>
      </c>
      <c r="E116" s="70">
        <f>IFERROR(SUMIFS(Issues!H:H,Issues!C:C,$A116,Issues!D:D,$B116,Issues!E:E,$C116),0)</f>
        <v>0</v>
      </c>
      <c r="F116" s="70">
        <f>IFERROR(SUMIFS(Returns!H:H,Returns!C:C,$A116,Returns!D:D,$B116,Returns!E:E,$C116),0)</f>
        <v>0</v>
      </c>
      <c r="G116" s="70">
        <f t="shared" si="1"/>
        <v>24000</v>
      </c>
      <c r="H116" s="71">
        <f t="shared" si="2"/>
        <v>4920</v>
      </c>
      <c r="I116" s="72">
        <f>IFERROR( SUMIFS('Stock In'!I:I,'Stock In'!C:C,$A116,'Stock In'!D:D,$B116,'Stock In'!E:E,$C116) / SUMIFS('Stock In'!H:H,'Stock In'!C:C,$A116,'Stock In'!D:D,$B116,'Stock In'!E:E,$C116) , 0)</f>
        <v>34</v>
      </c>
      <c r="J116" s="71">
        <f t="shared" si="3"/>
        <v>167280</v>
      </c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8" t="str">
        <f>IFERROR(__xludf.DUMMYFUNCTION("""COMPUTED_VALUE"""),"Paper- ISF- IOF 105 Blow Mould ")</f>
        <v>Paper- ISF- IOF 105 Blow Mould </v>
      </c>
      <c r="B117" s="68">
        <f>IFERROR(__xludf.DUMMYFUNCTION("""COMPUTED_VALUE"""),105.0)</f>
        <v>105</v>
      </c>
      <c r="C117" s="69">
        <f>IFERROR(__xludf.DUMMYFUNCTION("""COMPUTED_VALUE"""),140.0)</f>
        <v>140</v>
      </c>
      <c r="D117" s="70">
        <f>IFERROR(SUMIFS('Stock In'!F:F,'Stock In'!C:C,$A117,'Stock In'!D:D,$B117,'Stock In'!E:E,$C117),0)</f>
        <v>6000</v>
      </c>
      <c r="E117" s="70">
        <f>IFERROR(SUMIFS(Issues!H:H,Issues!C:C,$A117,Issues!D:D,$B117,Issues!E:E,$C117),0)</f>
        <v>0</v>
      </c>
      <c r="F117" s="70">
        <f>IFERROR(SUMIFS(Returns!H:H,Returns!C:C,$A117,Returns!D:D,$B117,Returns!E:E,$C117),0)</f>
        <v>0</v>
      </c>
      <c r="G117" s="70">
        <f t="shared" si="1"/>
        <v>6000</v>
      </c>
      <c r="H117" s="71">
        <f t="shared" si="2"/>
        <v>840</v>
      </c>
      <c r="I117" s="72">
        <f>IFERROR( SUMIFS('Stock In'!I:I,'Stock In'!C:C,$A117,'Stock In'!D:D,$B117,'Stock In'!E:E,$C117) / SUMIFS('Stock In'!H:H,'Stock In'!C:C,$A117,'Stock In'!D:D,$B117,'Stock In'!E:E,$C117) , 0)</f>
        <v>34</v>
      </c>
      <c r="J117" s="71">
        <f t="shared" si="3"/>
        <v>28560</v>
      </c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8" t="str">
        <f>IFERROR(__xludf.DUMMYFUNCTION("""COMPUTED_VALUE"""),"PP WHITE")</f>
        <v>PP WHITE</v>
      </c>
      <c r="B118" s="68">
        <f>IFERROR(__xludf.DUMMYFUNCTION("""COMPUTED_VALUE"""),50.0)</f>
        <v>50</v>
      </c>
      <c r="C118" s="69">
        <f>IFERROR(__xludf.DUMMYFUNCTION("""COMPUTED_VALUE"""),185.0)</f>
        <v>185</v>
      </c>
      <c r="D118" s="70">
        <f>IFERROR(SUMIFS('Stock In'!F:F,'Stock In'!C:C,$A118,'Stock In'!D:D,$B118,'Stock In'!E:E,$C118),0)</f>
        <v>1800</v>
      </c>
      <c r="E118" s="70">
        <f>IFERROR(SUMIFS(Issues!H:H,Issues!C:C,$A118,Issues!D:D,$B118,Issues!E:E,$C118),0)</f>
        <v>2520</v>
      </c>
      <c r="F118" s="70">
        <f>IFERROR(SUMIFS(Returns!H:H,Returns!C:C,$A118,Returns!D:D,$B118,Returns!E:E,$C118),0)</f>
        <v>610</v>
      </c>
      <c r="G118" s="70">
        <f t="shared" si="1"/>
        <v>-110</v>
      </c>
      <c r="H118" s="71">
        <f t="shared" si="2"/>
        <v>-20.35</v>
      </c>
      <c r="I118" s="72">
        <f>IFERROR( SUMIFS('Stock In'!I:I,'Stock In'!C:C,$A118,'Stock In'!D:D,$B118,'Stock In'!E:E,$C118) / SUMIFS('Stock In'!H:H,'Stock In'!C:C,$A118,'Stock In'!D:D,$B118,'Stock In'!E:E,$C118) , 0)</f>
        <v>35</v>
      </c>
      <c r="J118" s="71">
        <f t="shared" si="3"/>
        <v>-712.25</v>
      </c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8" t="str">
        <f>IFERROR(__xludf.DUMMYFUNCTION("""COMPUTED_VALUE"""),"Special SDV Grade Security Film")</f>
        <v>Special SDV Grade Security Film</v>
      </c>
      <c r="B119" s="68"/>
      <c r="C119" s="69">
        <f>IFERROR(__xludf.DUMMYFUNCTION("""COMPUTED_VALUE"""),300.0)</f>
        <v>300</v>
      </c>
      <c r="D119" s="70">
        <f>IFERROR(SUMIFS('Stock In'!F:F,'Stock In'!C:C,$A119,'Stock In'!D:D,$B119,'Stock In'!E:E,$C119),0)</f>
        <v>0</v>
      </c>
      <c r="E119" s="70">
        <f>IFERROR(SUMIFS(Issues!H:H,Issues!C:C,$A119,Issues!D:D,$B119,Issues!E:E,$C119),0)</f>
        <v>0</v>
      </c>
      <c r="F119" s="70">
        <f>IFERROR(SUMIFS(Returns!H:H,Returns!C:C,$A119,Returns!D:D,$B119,Returns!E:E,$C119),0)</f>
        <v>0</v>
      </c>
      <c r="G119" s="70">
        <f t="shared" si="1"/>
        <v>0</v>
      </c>
      <c r="H119" s="71">
        <f t="shared" si="2"/>
        <v>0</v>
      </c>
      <c r="I119" s="72">
        <f>IFERROR( SUMIFS('Stock In'!I:I,'Stock In'!C:C,$A119,'Stock In'!D:D,$B119,'Stock In'!E:E,$C119) / SUMIFS('Stock In'!H:H,'Stock In'!C:C,$A119,'Stock In'!D:D,$B119,'Stock In'!E:E,$C119) , 0)</f>
        <v>0</v>
      </c>
      <c r="J119" s="71">
        <f t="shared" si="3"/>
        <v>0</v>
      </c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8" t="str">
        <f>IFERROR(__xludf.DUMMYFUNCTION("""COMPUTED_VALUE"""),"PP SILVER")</f>
        <v>PP SILVER</v>
      </c>
      <c r="B120" s="68">
        <f>IFERROR(__xludf.DUMMYFUNCTION("""COMPUTED_VALUE"""),50.0)</f>
        <v>50</v>
      </c>
      <c r="C120" s="69">
        <f>IFERROR(__xludf.DUMMYFUNCTION("""COMPUTED_VALUE"""),135.0)</f>
        <v>135</v>
      </c>
      <c r="D120" s="70">
        <f>IFERROR(SUMIFS('Stock In'!F:F,'Stock In'!C:C,$A120,'Stock In'!D:D,$B120,'Stock In'!E:E,$C120),0)</f>
        <v>1700</v>
      </c>
      <c r="E120" s="70">
        <f>IFERROR(SUMIFS(Issues!H:H,Issues!C:C,$A120,Issues!D:D,$B120,Issues!E:E,$C120),0)</f>
        <v>0</v>
      </c>
      <c r="F120" s="70">
        <f>IFERROR(SUMIFS(Returns!H:H,Returns!C:C,$A120,Returns!D:D,$B120,Returns!E:E,$C120),0)</f>
        <v>0</v>
      </c>
      <c r="G120" s="70">
        <f t="shared" si="1"/>
        <v>1700</v>
      </c>
      <c r="H120" s="71">
        <f t="shared" si="2"/>
        <v>229.5</v>
      </c>
      <c r="I120" s="72">
        <f>IFERROR( SUMIFS('Stock In'!I:I,'Stock In'!C:C,$A120,'Stock In'!D:D,$B120,'Stock In'!E:E,$C120) / SUMIFS('Stock In'!H:H,'Stock In'!C:C,$A120,'Stock In'!D:D,$B120,'Stock In'!E:E,$C120) , 0)</f>
        <v>39.18</v>
      </c>
      <c r="J120" s="71">
        <f t="shared" si="3"/>
        <v>8991.81</v>
      </c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8" t="str">
        <f>IFERROR(__xludf.DUMMYFUNCTION("""COMPUTED_VALUE"""),"SILVER PAPER")</f>
        <v>SILVER PAPER</v>
      </c>
      <c r="B121" s="68">
        <f>IFERROR(__xludf.DUMMYFUNCTION("""COMPUTED_VALUE"""),50.0)</f>
        <v>50</v>
      </c>
      <c r="C121" s="69">
        <f>IFERROR(__xludf.DUMMYFUNCTION("""COMPUTED_VALUE"""),150.0)</f>
        <v>150</v>
      </c>
      <c r="D121" s="70">
        <f>IFERROR(SUMIFS('Stock In'!F:F,'Stock In'!C:C,$A121,'Stock In'!D:D,$B121,'Stock In'!E:E,$C121),0)</f>
        <v>4710</v>
      </c>
      <c r="E121" s="70">
        <f>IFERROR(SUMIFS(Issues!H:H,Issues!C:C,$A121,Issues!D:D,$B121,Issues!E:E,$C121),0)</f>
        <v>0</v>
      </c>
      <c r="F121" s="70">
        <f>IFERROR(SUMIFS(Returns!H:H,Returns!C:C,$A121,Returns!D:D,$B121,Returns!E:E,$C121),0)</f>
        <v>0</v>
      </c>
      <c r="G121" s="70">
        <f t="shared" si="1"/>
        <v>4710</v>
      </c>
      <c r="H121" s="71">
        <f t="shared" si="2"/>
        <v>706.5</v>
      </c>
      <c r="I121" s="72">
        <f>IFERROR( SUMIFS('Stock In'!I:I,'Stock In'!C:C,$A121,'Stock In'!D:D,$B121,'Stock In'!E:E,$C121) / SUMIFS('Stock In'!H:H,'Stock In'!C:C,$A121,'Stock In'!D:D,$B121,'Stock In'!E:E,$C121) , 0)</f>
        <v>48</v>
      </c>
      <c r="J121" s="71">
        <f t="shared" si="3"/>
        <v>33912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8" t="str">
        <f>IFERROR(__xludf.DUMMYFUNCTION("""COMPUTED_VALUE"""),"PP CLEAR")</f>
        <v>PP CLEAR</v>
      </c>
      <c r="B122" s="68">
        <f>IFERROR(__xludf.DUMMYFUNCTION("""COMPUTED_VALUE"""),50.0)</f>
        <v>50</v>
      </c>
      <c r="C122" s="69">
        <f>IFERROR(__xludf.DUMMYFUNCTION("""COMPUTED_VALUE"""),125.0)</f>
        <v>125</v>
      </c>
      <c r="D122" s="70">
        <f>IFERROR(SUMIFS('Stock In'!F:F,'Stock In'!C:C,$A122,'Stock In'!D:D,$B122,'Stock In'!E:E,$C122),0)</f>
        <v>12300</v>
      </c>
      <c r="E122" s="70">
        <f>IFERROR(SUMIFS(Issues!H:H,Issues!C:C,$A122,Issues!D:D,$B122,Issues!E:E,$C122),0)</f>
        <v>0</v>
      </c>
      <c r="F122" s="70">
        <f>IFERROR(SUMIFS(Returns!H:H,Returns!C:C,$A122,Returns!D:D,$B122,Returns!E:E,$C122),0)</f>
        <v>0</v>
      </c>
      <c r="G122" s="70">
        <f t="shared" si="1"/>
        <v>12300</v>
      </c>
      <c r="H122" s="71">
        <f t="shared" si="2"/>
        <v>1537.5</v>
      </c>
      <c r="I122" s="72">
        <f>IFERROR( SUMIFS('Stock In'!I:I,'Stock In'!C:C,$A122,'Stock In'!D:D,$B122,'Stock In'!E:E,$C122) / SUMIFS('Stock In'!H:H,'Stock In'!C:C,$A122,'Stock In'!D:D,$B122,'Stock In'!E:E,$C122) , 0)</f>
        <v>40</v>
      </c>
      <c r="J122" s="71">
        <f t="shared" si="3"/>
        <v>61500</v>
      </c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8" t="str">
        <f>IFERROR(__xludf.DUMMYFUNCTION("""COMPUTED_VALUE"""),"SILVER PAPER")</f>
        <v>SILVER PAPER</v>
      </c>
      <c r="B123" s="68">
        <f>IFERROR(__xludf.DUMMYFUNCTION("""COMPUTED_VALUE"""),50.0)</f>
        <v>50</v>
      </c>
      <c r="C123" s="69">
        <f>IFERROR(__xludf.DUMMYFUNCTION("""COMPUTED_VALUE"""),250.0)</f>
        <v>250</v>
      </c>
      <c r="D123" s="70">
        <f>IFERROR(SUMIFS('Stock In'!F:F,'Stock In'!C:C,$A123,'Stock In'!D:D,$B123,'Stock In'!E:E,$C123),0)</f>
        <v>1500</v>
      </c>
      <c r="E123" s="70">
        <f>IFERROR(SUMIFS(Issues!H:H,Issues!C:C,$A123,Issues!D:D,$B123,Issues!E:E,$C123),0)</f>
        <v>0</v>
      </c>
      <c r="F123" s="70">
        <f>IFERROR(SUMIFS(Returns!H:H,Returns!C:C,$A123,Returns!D:D,$B123,Returns!E:E,$C123),0)</f>
        <v>0</v>
      </c>
      <c r="G123" s="70">
        <f t="shared" si="1"/>
        <v>1500</v>
      </c>
      <c r="H123" s="71">
        <f t="shared" si="2"/>
        <v>375</v>
      </c>
      <c r="I123" s="72">
        <f>IFERROR( SUMIFS('Stock In'!I:I,'Stock In'!C:C,$A123,'Stock In'!D:D,$B123,'Stock In'!E:E,$C123) / SUMIFS('Stock In'!H:H,'Stock In'!C:C,$A123,'Stock In'!D:D,$B123,'Stock In'!E:E,$C123) , 0)</f>
        <v>49</v>
      </c>
      <c r="J123" s="71">
        <f t="shared" si="3"/>
        <v>18375</v>
      </c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8" t="str">
        <f>IFERROR(__xludf.DUMMYFUNCTION("""COMPUTED_VALUE"""),"SILVER PAPER")</f>
        <v>SILVER PAPER</v>
      </c>
      <c r="B124" s="68">
        <f>IFERROR(__xludf.DUMMYFUNCTION("""COMPUTED_VALUE"""),50.0)</f>
        <v>50</v>
      </c>
      <c r="C124" s="69">
        <f>IFERROR(__xludf.DUMMYFUNCTION("""COMPUTED_VALUE"""),190.0)</f>
        <v>190</v>
      </c>
      <c r="D124" s="70">
        <f>IFERROR(SUMIFS('Stock In'!F:F,'Stock In'!C:C,$A124,'Stock In'!D:D,$B124,'Stock In'!E:E,$C124),0)</f>
        <v>1535</v>
      </c>
      <c r="E124" s="70">
        <f>IFERROR(SUMIFS(Issues!H:H,Issues!C:C,$A124,Issues!D:D,$B124,Issues!E:E,$C124),0)</f>
        <v>0</v>
      </c>
      <c r="F124" s="70">
        <f>IFERROR(SUMIFS(Returns!H:H,Returns!C:C,$A124,Returns!D:D,$B124,Returns!E:E,$C124),0)</f>
        <v>0</v>
      </c>
      <c r="G124" s="70">
        <f t="shared" si="1"/>
        <v>1535</v>
      </c>
      <c r="H124" s="71">
        <f t="shared" si="2"/>
        <v>291.65</v>
      </c>
      <c r="I124" s="72">
        <f>IFERROR( SUMIFS('Stock In'!I:I,'Stock In'!C:C,$A124,'Stock In'!D:D,$B124,'Stock In'!E:E,$C124) / SUMIFS('Stock In'!H:H,'Stock In'!C:C,$A124,'Stock In'!D:D,$B124,'Stock In'!E:E,$C124) , 0)</f>
        <v>49</v>
      </c>
      <c r="J124" s="71">
        <f t="shared" si="3"/>
        <v>14290.85</v>
      </c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8" t="str">
        <f>IFERROR(__xludf.DUMMYFUNCTION("""COMPUTED_VALUE"""),"SILVER PAPER")</f>
        <v>SILVER PAPER</v>
      </c>
      <c r="B125" s="68">
        <f>IFERROR(__xludf.DUMMYFUNCTION("""COMPUTED_VALUE"""),50.0)</f>
        <v>50</v>
      </c>
      <c r="C125" s="69">
        <f>IFERROR(__xludf.DUMMYFUNCTION("""COMPUTED_VALUE"""),168.0)</f>
        <v>168</v>
      </c>
      <c r="D125" s="70">
        <f>IFERROR(SUMIFS('Stock In'!F:F,'Stock In'!C:C,$A125,'Stock In'!D:D,$B125,'Stock In'!E:E,$C125),0)</f>
        <v>6048</v>
      </c>
      <c r="E125" s="70">
        <f>IFERROR(SUMIFS(Issues!H:H,Issues!C:C,$A125,Issues!D:D,$B125,Issues!E:E,$C125),0)</f>
        <v>0</v>
      </c>
      <c r="F125" s="70">
        <f>IFERROR(SUMIFS(Returns!H:H,Returns!C:C,$A125,Returns!D:D,$B125,Returns!E:E,$C125),0)</f>
        <v>0</v>
      </c>
      <c r="G125" s="70">
        <f t="shared" si="1"/>
        <v>6048</v>
      </c>
      <c r="H125" s="71">
        <f t="shared" si="2"/>
        <v>1016.064</v>
      </c>
      <c r="I125" s="72">
        <f>IFERROR( SUMIFS('Stock In'!I:I,'Stock In'!C:C,$A125,'Stock In'!D:D,$B125,'Stock In'!E:E,$C125) / SUMIFS('Stock In'!H:H,'Stock In'!C:C,$A125,'Stock In'!D:D,$B125,'Stock In'!E:E,$C125) , 0)</f>
        <v>47</v>
      </c>
      <c r="J125" s="71">
        <f t="shared" si="3"/>
        <v>47755.008</v>
      </c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8" t="str">
        <f>IFERROR(__xludf.DUMMYFUNCTION("""COMPUTED_VALUE"""),"SILVER PAPER")</f>
        <v>SILVER PAPER</v>
      </c>
      <c r="B126" s="68">
        <f>IFERROR(__xludf.DUMMYFUNCTION("""COMPUTED_VALUE"""),50.0)</f>
        <v>50</v>
      </c>
      <c r="C126" s="69">
        <f>IFERROR(__xludf.DUMMYFUNCTION("""COMPUTED_VALUE"""),140.0)</f>
        <v>140</v>
      </c>
      <c r="D126" s="70">
        <f>IFERROR(SUMIFS('Stock In'!F:F,'Stock In'!C:C,$A126,'Stock In'!D:D,$B126,'Stock In'!E:E,$C126),0)</f>
        <v>2858</v>
      </c>
      <c r="E126" s="70">
        <f>IFERROR(SUMIFS(Issues!H:H,Issues!C:C,$A126,Issues!D:D,$B126,Issues!E:E,$C126),0)</f>
        <v>0</v>
      </c>
      <c r="F126" s="70">
        <f>IFERROR(SUMIFS(Returns!H:H,Returns!C:C,$A126,Returns!D:D,$B126,Returns!E:E,$C126),0)</f>
        <v>0</v>
      </c>
      <c r="G126" s="70">
        <f t="shared" si="1"/>
        <v>2858</v>
      </c>
      <c r="H126" s="71">
        <f t="shared" si="2"/>
        <v>400.12</v>
      </c>
      <c r="I126" s="72">
        <f>IFERROR( SUMIFS('Stock In'!I:I,'Stock In'!C:C,$A126,'Stock In'!D:D,$B126,'Stock In'!E:E,$C126) / SUMIFS('Stock In'!H:H,'Stock In'!C:C,$A126,'Stock In'!D:D,$B126,'Stock In'!E:E,$C126) , 0)</f>
        <v>47</v>
      </c>
      <c r="J126" s="71">
        <f t="shared" si="3"/>
        <v>18805.64</v>
      </c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8" t="str">
        <f>IFERROR(__xludf.DUMMYFUNCTION("""COMPUTED_VALUE"""),"PP WHITE")</f>
        <v>PP WHITE</v>
      </c>
      <c r="B127" s="68">
        <f>IFERROR(__xludf.DUMMYFUNCTION("""COMPUTED_VALUE"""),50.0)</f>
        <v>50</v>
      </c>
      <c r="C127" s="69">
        <f>IFERROR(__xludf.DUMMYFUNCTION("""COMPUTED_VALUE"""),120.0)</f>
        <v>120</v>
      </c>
      <c r="D127" s="70">
        <f>IFERROR(SUMIFS('Stock In'!F:F,'Stock In'!C:C,$A127,'Stock In'!D:D,$B127,'Stock In'!E:E,$C127),0)</f>
        <v>6030</v>
      </c>
      <c r="E127" s="70">
        <f>IFERROR(SUMIFS(Issues!H:H,Issues!C:C,$A127,Issues!D:D,$B127,Issues!E:E,$C127),0)</f>
        <v>0</v>
      </c>
      <c r="F127" s="70">
        <f>IFERROR(SUMIFS(Returns!H:H,Returns!C:C,$A127,Returns!D:D,$B127,Returns!E:E,$C127),0)</f>
        <v>0</v>
      </c>
      <c r="G127" s="70">
        <f t="shared" si="1"/>
        <v>6030</v>
      </c>
      <c r="H127" s="71">
        <f t="shared" si="2"/>
        <v>723.6</v>
      </c>
      <c r="I127" s="72">
        <f>IFERROR( SUMIFS('Stock In'!I:I,'Stock In'!C:C,$A127,'Stock In'!D:D,$B127,'Stock In'!E:E,$C127) / SUMIFS('Stock In'!H:H,'Stock In'!C:C,$A127,'Stock In'!D:D,$B127,'Stock In'!E:E,$C127) , 0)</f>
        <v>38</v>
      </c>
      <c r="J127" s="71">
        <f t="shared" si="3"/>
        <v>27496.8</v>
      </c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8" t="str">
        <f>IFERROR(__xludf.DUMMYFUNCTION("""COMPUTED_VALUE"""),"PP WHITE")</f>
        <v>PP WHITE</v>
      </c>
      <c r="B128" s="68">
        <f>IFERROR(__xludf.DUMMYFUNCTION("""COMPUTED_VALUE"""),50.0)</f>
        <v>50</v>
      </c>
      <c r="C128" s="69">
        <f>IFERROR(__xludf.DUMMYFUNCTION("""COMPUTED_VALUE"""),165.0)</f>
        <v>165</v>
      </c>
      <c r="D128" s="70">
        <f>IFERROR(SUMIFS('Stock In'!F:F,'Stock In'!C:C,$A128,'Stock In'!D:D,$B128,'Stock In'!E:E,$C128),0)</f>
        <v>11637</v>
      </c>
      <c r="E128" s="70">
        <f>IFERROR(SUMIFS(Issues!H:H,Issues!C:C,$A128,Issues!D:D,$B128,Issues!E:E,$C128),0)</f>
        <v>12595</v>
      </c>
      <c r="F128" s="70">
        <f>IFERROR(SUMIFS(Returns!H:H,Returns!C:C,$A128,Returns!D:D,$B128,Returns!E:E,$C128),0)</f>
        <v>0</v>
      </c>
      <c r="G128" s="70">
        <f t="shared" si="1"/>
        <v>-958</v>
      </c>
      <c r="H128" s="71">
        <f t="shared" si="2"/>
        <v>-158.07</v>
      </c>
      <c r="I128" s="72">
        <f>IFERROR( SUMIFS('Stock In'!I:I,'Stock In'!C:C,$A128,'Stock In'!D:D,$B128,'Stock In'!E:E,$C128) / SUMIFS('Stock In'!H:H,'Stock In'!C:C,$A128,'Stock In'!D:D,$B128,'Stock In'!E:E,$C128) , 0)</f>
        <v>28.5</v>
      </c>
      <c r="J128" s="71">
        <f t="shared" si="3"/>
        <v>-4504.995</v>
      </c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8" t="str">
        <f>IFERROR(__xludf.DUMMYFUNCTION("""COMPUTED_VALUE"""),"PP WHITE")</f>
        <v>PP WHITE</v>
      </c>
      <c r="B129" s="68">
        <f>IFERROR(__xludf.DUMMYFUNCTION("""COMPUTED_VALUE"""),50.0)</f>
        <v>50</v>
      </c>
      <c r="C129" s="69">
        <f>IFERROR(__xludf.DUMMYFUNCTION("""COMPUTED_VALUE"""),230.0)</f>
        <v>230</v>
      </c>
      <c r="D129" s="70">
        <f>IFERROR(SUMIFS('Stock In'!F:F,'Stock In'!C:C,$A129,'Stock In'!D:D,$B129,'Stock In'!E:E,$C129),0)</f>
        <v>2200</v>
      </c>
      <c r="E129" s="70">
        <f>IFERROR(SUMIFS(Issues!H:H,Issues!C:C,$A129,Issues!D:D,$B129,Issues!E:E,$C129),0)</f>
        <v>0</v>
      </c>
      <c r="F129" s="70">
        <f>IFERROR(SUMIFS(Returns!H:H,Returns!C:C,$A129,Returns!D:D,$B129,Returns!E:E,$C129),0)</f>
        <v>0</v>
      </c>
      <c r="G129" s="70">
        <f t="shared" si="1"/>
        <v>2200</v>
      </c>
      <c r="H129" s="71">
        <f t="shared" si="2"/>
        <v>506</v>
      </c>
      <c r="I129" s="72">
        <f>IFERROR( SUMIFS('Stock In'!I:I,'Stock In'!C:C,$A129,'Stock In'!D:D,$B129,'Stock In'!E:E,$C129) / SUMIFS('Stock In'!H:H,'Stock In'!C:C,$A129,'Stock In'!D:D,$B129,'Stock In'!E:E,$C129) , 0)</f>
        <v>35</v>
      </c>
      <c r="J129" s="71">
        <f t="shared" si="3"/>
        <v>17710</v>
      </c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8" t="str">
        <f>IFERROR(__xludf.DUMMYFUNCTION("""COMPUTED_VALUE"""),"Chromo")</f>
        <v>Chromo</v>
      </c>
      <c r="B130" s="68">
        <f>IFERROR(__xludf.DUMMYFUNCTION("""COMPUTED_VALUE"""),80.0)</f>
        <v>80</v>
      </c>
      <c r="C130" s="69">
        <f>IFERROR(__xludf.DUMMYFUNCTION("""COMPUTED_VALUE"""),310.0)</f>
        <v>310</v>
      </c>
      <c r="D130" s="70">
        <f>IFERROR(SUMIFS('Stock In'!F:F,'Stock In'!C:C,$A130,'Stock In'!D:D,$B130,'Stock In'!E:E,$C130),0)</f>
        <v>7890</v>
      </c>
      <c r="E130" s="70">
        <f>IFERROR(SUMIFS(Issues!H:H,Issues!C:C,$A130,Issues!D:D,$B130,Issues!E:E,$C130),0)</f>
        <v>0</v>
      </c>
      <c r="F130" s="70">
        <f>IFERROR(SUMIFS(Returns!H:H,Returns!C:C,$A130,Returns!D:D,$B130,Returns!E:E,$C130),0)</f>
        <v>0</v>
      </c>
      <c r="G130" s="70">
        <f t="shared" si="1"/>
        <v>7890</v>
      </c>
      <c r="H130" s="71">
        <f t="shared" si="2"/>
        <v>2445.9</v>
      </c>
      <c r="I130" s="72">
        <f>IFERROR( SUMIFS('Stock In'!I:I,'Stock In'!C:C,$A130,'Stock In'!D:D,$B130,'Stock In'!E:E,$C130) / SUMIFS('Stock In'!H:H,'Stock In'!C:C,$A130,'Stock In'!D:D,$B130,'Stock In'!E:E,$C130) , 0)</f>
        <v>31.64</v>
      </c>
      <c r="J130" s="71">
        <f t="shared" si="3"/>
        <v>77388.276</v>
      </c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8" t="str">
        <f>IFERROR(__xludf.DUMMYFUNCTION("""COMPUTED_VALUE"""),"PP WHITE")</f>
        <v>PP WHITE</v>
      </c>
      <c r="B131" s="68">
        <f>IFERROR(__xludf.DUMMYFUNCTION("""COMPUTED_VALUE"""),80.0)</f>
        <v>80</v>
      </c>
      <c r="C131" s="69">
        <f>IFERROR(__xludf.DUMMYFUNCTION("""COMPUTED_VALUE"""),100.0)</f>
        <v>100</v>
      </c>
      <c r="D131" s="70">
        <f>IFERROR(SUMIFS('Stock In'!F:F,'Stock In'!C:C,$A131,'Stock In'!D:D,$B131,'Stock In'!E:E,$C131),0)</f>
        <v>62035</v>
      </c>
      <c r="E131" s="70">
        <f>IFERROR(SUMIFS(Issues!H:H,Issues!C:C,$A131,Issues!D:D,$B131,Issues!E:E,$C131),0)</f>
        <v>2000</v>
      </c>
      <c r="F131" s="70">
        <f>IFERROR(SUMIFS(Returns!H:H,Returns!C:C,$A131,Returns!D:D,$B131,Returns!E:E,$C131),0)</f>
        <v>0</v>
      </c>
      <c r="G131" s="70">
        <f t="shared" si="1"/>
        <v>60035</v>
      </c>
      <c r="H131" s="71">
        <f t="shared" si="2"/>
        <v>6003.5</v>
      </c>
      <c r="I131" s="72">
        <f>IFERROR( SUMIFS('Stock In'!I:I,'Stock In'!C:C,$A131,'Stock In'!D:D,$B131,'Stock In'!E:E,$C131) / SUMIFS('Stock In'!H:H,'Stock In'!C:C,$A131,'Stock In'!D:D,$B131,'Stock In'!E:E,$C131) , 0)</f>
        <v>42.92</v>
      </c>
      <c r="J131" s="71">
        <f t="shared" si="3"/>
        <v>257670.22</v>
      </c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8" t="str">
        <f>IFERROR(__xludf.DUMMYFUNCTION("""COMPUTED_VALUE"""),"SILVER PAPER")</f>
        <v>SILVER PAPER</v>
      </c>
      <c r="B132" s="68">
        <f>IFERROR(__xludf.DUMMYFUNCTION("""COMPUTED_VALUE"""),80.0)</f>
        <v>80</v>
      </c>
      <c r="C132" s="69">
        <f>IFERROR(__xludf.DUMMYFUNCTION("""COMPUTED_VALUE"""),245.0)</f>
        <v>245</v>
      </c>
      <c r="D132" s="70">
        <f>IFERROR(SUMIFS('Stock In'!F:F,'Stock In'!C:C,$A132,'Stock In'!D:D,$B132,'Stock In'!E:E,$C132),0)</f>
        <v>4240</v>
      </c>
      <c r="E132" s="70">
        <f>IFERROR(SUMIFS(Issues!H:H,Issues!C:C,$A132,Issues!D:D,$B132,Issues!E:E,$C132),0)</f>
        <v>3030</v>
      </c>
      <c r="F132" s="70">
        <f>IFERROR(SUMIFS(Returns!H:H,Returns!C:C,$A132,Returns!D:D,$B132,Returns!E:E,$C132),0)</f>
        <v>1600</v>
      </c>
      <c r="G132" s="70">
        <f t="shared" si="1"/>
        <v>2810</v>
      </c>
      <c r="H132" s="71">
        <f t="shared" si="2"/>
        <v>688.45</v>
      </c>
      <c r="I132" s="72">
        <f>IFERROR( SUMIFS('Stock In'!I:I,'Stock In'!C:C,$A132,'Stock In'!D:D,$B132,'Stock In'!E:E,$C132) / SUMIFS('Stock In'!H:H,'Stock In'!C:C,$A132,'Stock In'!D:D,$B132,'Stock In'!E:E,$C132) , 0)</f>
        <v>42</v>
      </c>
      <c r="J132" s="71">
        <f t="shared" si="3"/>
        <v>28914.9</v>
      </c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8" t="str">
        <f>IFERROR(__xludf.DUMMYFUNCTION("""COMPUTED_VALUE"""),"PP CLEAR")</f>
        <v>PP CLEAR</v>
      </c>
      <c r="B133" s="68">
        <f>IFERROR(__xludf.DUMMYFUNCTION("""COMPUTED_VALUE"""),50.0)</f>
        <v>50</v>
      </c>
      <c r="C133" s="69">
        <f>IFERROR(__xludf.DUMMYFUNCTION("""COMPUTED_VALUE"""),90.0)</f>
        <v>90</v>
      </c>
      <c r="D133" s="70">
        <f>IFERROR(SUMIFS('Stock In'!F:F,'Stock In'!C:C,$A133,'Stock In'!D:D,$B133,'Stock In'!E:E,$C133),0)</f>
        <v>80640</v>
      </c>
      <c r="E133" s="70">
        <f>IFERROR(SUMIFS(Issues!H:H,Issues!C:C,$A133,Issues!D:D,$B133,Issues!E:E,$C133),0)</f>
        <v>0</v>
      </c>
      <c r="F133" s="70">
        <f>IFERROR(SUMIFS(Returns!H:H,Returns!C:C,$A133,Returns!D:D,$B133,Returns!E:E,$C133),0)</f>
        <v>0</v>
      </c>
      <c r="G133" s="70">
        <f t="shared" si="1"/>
        <v>80640</v>
      </c>
      <c r="H133" s="71">
        <f t="shared" si="2"/>
        <v>7257.6</v>
      </c>
      <c r="I133" s="72">
        <f>IFERROR( SUMIFS('Stock In'!I:I,'Stock In'!C:C,$A133,'Stock In'!D:D,$B133,'Stock In'!E:E,$C133) / SUMIFS('Stock In'!H:H,'Stock In'!C:C,$A133,'Stock In'!D:D,$B133,'Stock In'!E:E,$C133) , 0)</f>
        <v>34.5</v>
      </c>
      <c r="J133" s="71">
        <f t="shared" si="3"/>
        <v>250387.2</v>
      </c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8" t="str">
        <f>IFERROR(__xludf.DUMMYFUNCTION("""COMPUTED_VALUE"""),"PP CLEAR")</f>
        <v>PP CLEAR</v>
      </c>
      <c r="B134" s="68">
        <f>IFERROR(__xludf.DUMMYFUNCTION("""COMPUTED_VALUE"""),50.0)</f>
        <v>50</v>
      </c>
      <c r="C134" s="69">
        <f>IFERROR(__xludf.DUMMYFUNCTION("""COMPUTED_VALUE"""),180.0)</f>
        <v>180</v>
      </c>
      <c r="D134" s="70">
        <f>IFERROR(SUMIFS('Stock In'!F:F,'Stock In'!C:C,$A134,'Stock In'!D:D,$B134,'Stock In'!E:E,$C134),0)</f>
        <v>40470</v>
      </c>
      <c r="E134" s="70">
        <f>IFERROR(SUMIFS(Issues!H:H,Issues!C:C,$A134,Issues!D:D,$B134,Issues!E:E,$C134),0)</f>
        <v>400</v>
      </c>
      <c r="F134" s="70">
        <f>IFERROR(SUMIFS(Returns!H:H,Returns!C:C,$A134,Returns!D:D,$B134,Returns!E:E,$C134),0)</f>
        <v>350</v>
      </c>
      <c r="G134" s="70">
        <f t="shared" si="1"/>
        <v>40420</v>
      </c>
      <c r="H134" s="71">
        <f t="shared" si="2"/>
        <v>7275.6</v>
      </c>
      <c r="I134" s="72">
        <f>IFERROR( SUMIFS('Stock In'!I:I,'Stock In'!C:C,$A134,'Stock In'!D:D,$B134,'Stock In'!E:E,$C134) / SUMIFS('Stock In'!H:H,'Stock In'!C:C,$A134,'Stock In'!D:D,$B134,'Stock In'!E:E,$C134) , 0)</f>
        <v>36.02619224</v>
      </c>
      <c r="J134" s="71">
        <f t="shared" si="3"/>
        <v>262112.1643</v>
      </c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8" t="str">
        <f>IFERROR(__xludf.DUMMYFUNCTION("""COMPUTED_VALUE"""),"PP CLEAR")</f>
        <v>PP CLEAR</v>
      </c>
      <c r="B135" s="68">
        <f>IFERROR(__xludf.DUMMYFUNCTION("""COMPUTED_VALUE"""),50.0)</f>
        <v>50</v>
      </c>
      <c r="C135" s="69">
        <f>IFERROR(__xludf.DUMMYFUNCTION("""COMPUTED_VALUE"""),143.0)</f>
        <v>143</v>
      </c>
      <c r="D135" s="70">
        <f>IFERROR(SUMIFS('Stock In'!F:F,'Stock In'!C:C,$A135,'Stock In'!D:D,$B135,'Stock In'!E:E,$C135),0)</f>
        <v>6915</v>
      </c>
      <c r="E135" s="70">
        <f>IFERROR(SUMIFS(Issues!H:H,Issues!C:C,$A135,Issues!D:D,$B135,Issues!E:E,$C135),0)</f>
        <v>0</v>
      </c>
      <c r="F135" s="70">
        <f>IFERROR(SUMIFS(Returns!H:H,Returns!C:C,$A135,Returns!D:D,$B135,Returns!E:E,$C135),0)</f>
        <v>0</v>
      </c>
      <c r="G135" s="70">
        <f t="shared" si="1"/>
        <v>6915</v>
      </c>
      <c r="H135" s="71">
        <f t="shared" si="2"/>
        <v>988.845</v>
      </c>
      <c r="I135" s="72">
        <f>IFERROR( SUMIFS('Stock In'!I:I,'Stock In'!C:C,$A135,'Stock In'!D:D,$B135,'Stock In'!E:E,$C135) / SUMIFS('Stock In'!H:H,'Stock In'!C:C,$A135,'Stock In'!D:D,$B135,'Stock In'!E:E,$C135) , 0)</f>
        <v>36</v>
      </c>
      <c r="J135" s="71">
        <f t="shared" si="3"/>
        <v>35598.42</v>
      </c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8" t="str">
        <f>IFERROR(__xludf.DUMMYFUNCTION("""COMPUTED_VALUE"""),"PP WHITE")</f>
        <v>PP WHITE</v>
      </c>
      <c r="B136" s="68">
        <f>IFERROR(__xludf.DUMMYFUNCTION("""COMPUTED_VALUE"""),50.0)</f>
        <v>50</v>
      </c>
      <c r="C136" s="69">
        <f>IFERROR(__xludf.DUMMYFUNCTION("""COMPUTED_VALUE"""),195.0)</f>
        <v>195</v>
      </c>
      <c r="D136" s="70">
        <f>IFERROR(SUMIFS('Stock In'!F:F,'Stock In'!C:C,$A136,'Stock In'!D:D,$B136,'Stock In'!E:E,$C136),0)</f>
        <v>6000</v>
      </c>
      <c r="E136" s="70">
        <f>IFERROR(SUMIFS(Issues!H:H,Issues!C:C,$A136,Issues!D:D,$B136,Issues!E:E,$C136),0)</f>
        <v>0</v>
      </c>
      <c r="F136" s="70">
        <f>IFERROR(SUMIFS(Returns!H:H,Returns!C:C,$A136,Returns!D:D,$B136,Returns!E:E,$C136),0)</f>
        <v>0</v>
      </c>
      <c r="G136" s="70">
        <f t="shared" si="1"/>
        <v>6000</v>
      </c>
      <c r="H136" s="71">
        <f t="shared" si="2"/>
        <v>1170</v>
      </c>
      <c r="I136" s="72">
        <f>IFERROR( SUMIFS('Stock In'!I:I,'Stock In'!C:C,$A136,'Stock In'!D:D,$B136,'Stock In'!E:E,$C136) / SUMIFS('Stock In'!H:H,'Stock In'!C:C,$A136,'Stock In'!D:D,$B136,'Stock In'!E:E,$C136) , 0)</f>
        <v>36</v>
      </c>
      <c r="J136" s="71">
        <f t="shared" si="3"/>
        <v>42120</v>
      </c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8" t="str">
        <f>IFERROR(__xludf.DUMMYFUNCTION("""COMPUTED_VALUE"""),"PP CLEAR")</f>
        <v>PP CLEAR</v>
      </c>
      <c r="B137" s="68">
        <f>IFERROR(__xludf.DUMMYFUNCTION("""COMPUTED_VALUE"""),50.0)</f>
        <v>50</v>
      </c>
      <c r="C137" s="69">
        <f>IFERROR(__xludf.DUMMYFUNCTION("""COMPUTED_VALUE"""),210.0)</f>
        <v>210</v>
      </c>
      <c r="D137" s="70">
        <f>IFERROR(SUMIFS('Stock In'!F:F,'Stock In'!C:C,$A137,'Stock In'!D:D,$B137,'Stock In'!E:E,$C137),0)</f>
        <v>4000</v>
      </c>
      <c r="E137" s="70">
        <f>IFERROR(SUMIFS(Issues!H:H,Issues!C:C,$A137,Issues!D:D,$B137,Issues!E:E,$C137),0)</f>
        <v>0</v>
      </c>
      <c r="F137" s="70">
        <f>IFERROR(SUMIFS(Returns!H:H,Returns!C:C,$A137,Returns!D:D,$B137,Returns!E:E,$C137),0)</f>
        <v>0</v>
      </c>
      <c r="G137" s="70">
        <f t="shared" si="1"/>
        <v>4000</v>
      </c>
      <c r="H137" s="71">
        <f t="shared" si="2"/>
        <v>840</v>
      </c>
      <c r="I137" s="72">
        <f>IFERROR( SUMIFS('Stock In'!I:I,'Stock In'!C:C,$A137,'Stock In'!D:D,$B137,'Stock In'!E:E,$C137) / SUMIFS('Stock In'!H:H,'Stock In'!C:C,$A137,'Stock In'!D:D,$B137,'Stock In'!E:E,$C137) , 0)</f>
        <v>34</v>
      </c>
      <c r="J137" s="71">
        <f t="shared" si="3"/>
        <v>28560</v>
      </c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8" t="str">
        <f>IFERROR(__xludf.DUMMYFUNCTION("""COMPUTED_VALUE"""),"PP CLEAR")</f>
        <v>PP CLEAR</v>
      </c>
      <c r="B138" s="68">
        <f>IFERROR(__xludf.DUMMYFUNCTION("""COMPUTED_VALUE"""),50.0)</f>
        <v>50</v>
      </c>
      <c r="C138" s="69">
        <f>IFERROR(__xludf.DUMMYFUNCTION("""COMPUTED_VALUE"""),280.0)</f>
        <v>280</v>
      </c>
      <c r="D138" s="70">
        <f>IFERROR(SUMIFS('Stock In'!F:F,'Stock In'!C:C,$A138,'Stock In'!D:D,$B138,'Stock In'!E:E,$C138),0)</f>
        <v>3200</v>
      </c>
      <c r="E138" s="70">
        <f>IFERROR(SUMIFS(Issues!H:H,Issues!C:C,$A138,Issues!D:D,$B138,Issues!E:E,$C138),0)</f>
        <v>0</v>
      </c>
      <c r="F138" s="70">
        <f>IFERROR(SUMIFS(Returns!H:H,Returns!C:C,$A138,Returns!D:D,$B138,Returns!E:E,$C138),0)</f>
        <v>0</v>
      </c>
      <c r="G138" s="70">
        <f t="shared" si="1"/>
        <v>3200</v>
      </c>
      <c r="H138" s="71">
        <f t="shared" si="2"/>
        <v>896</v>
      </c>
      <c r="I138" s="72">
        <f>IFERROR( SUMIFS('Stock In'!I:I,'Stock In'!C:C,$A138,'Stock In'!D:D,$B138,'Stock In'!E:E,$C138) / SUMIFS('Stock In'!H:H,'Stock In'!C:C,$A138,'Stock In'!D:D,$B138,'Stock In'!E:E,$C138) , 0)</f>
        <v>34</v>
      </c>
      <c r="J138" s="71">
        <f t="shared" si="3"/>
        <v>30464</v>
      </c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8" t="str">
        <f>IFERROR(__xludf.DUMMYFUNCTION("""COMPUTED_VALUE"""),"PP CLEAR")</f>
        <v>PP CLEAR</v>
      </c>
      <c r="B139" s="68">
        <f>IFERROR(__xludf.DUMMYFUNCTION("""COMPUTED_VALUE"""),50.0)</f>
        <v>50</v>
      </c>
      <c r="C139" s="69">
        <f>IFERROR(__xludf.DUMMYFUNCTION("""COMPUTED_VALUE"""),215.0)</f>
        <v>215</v>
      </c>
      <c r="D139" s="70">
        <f>IFERROR(SUMIFS('Stock In'!F:F,'Stock In'!C:C,$A139,'Stock In'!D:D,$B139,'Stock In'!E:E,$C139),0)</f>
        <v>1780</v>
      </c>
      <c r="E139" s="70">
        <f>IFERROR(SUMIFS(Issues!H:H,Issues!C:C,$A139,Issues!D:D,$B139,Issues!E:E,$C139),0)</f>
        <v>4000</v>
      </c>
      <c r="F139" s="70">
        <f>IFERROR(SUMIFS(Returns!H:H,Returns!C:C,$A139,Returns!D:D,$B139,Returns!E:E,$C139),0)</f>
        <v>400</v>
      </c>
      <c r="G139" s="70">
        <f t="shared" si="1"/>
        <v>-1820</v>
      </c>
      <c r="H139" s="71">
        <f t="shared" si="2"/>
        <v>-391.3</v>
      </c>
      <c r="I139" s="72">
        <f>IFERROR( SUMIFS('Stock In'!I:I,'Stock In'!C:C,$A139,'Stock In'!D:D,$B139,'Stock In'!E:E,$C139) / SUMIFS('Stock In'!H:H,'Stock In'!C:C,$A139,'Stock In'!D:D,$B139,'Stock In'!E:E,$C139) , 0)</f>
        <v>34</v>
      </c>
      <c r="J139" s="71">
        <f t="shared" si="3"/>
        <v>-13304.2</v>
      </c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8" t="str">
        <f>IFERROR(__xludf.DUMMYFUNCTION("""COMPUTED_VALUE"""),"PP CLEAR")</f>
        <v>PP CLEAR</v>
      </c>
      <c r="B140" s="68">
        <f>IFERROR(__xludf.DUMMYFUNCTION("""COMPUTED_VALUE"""),50.0)</f>
        <v>50</v>
      </c>
      <c r="C140" s="69">
        <f>IFERROR(__xludf.DUMMYFUNCTION("""COMPUTED_VALUE"""),100.0)</f>
        <v>100</v>
      </c>
      <c r="D140" s="70">
        <f>IFERROR(SUMIFS('Stock In'!F:F,'Stock In'!C:C,$A140,'Stock In'!D:D,$B140,'Stock In'!E:E,$C140),0)</f>
        <v>960</v>
      </c>
      <c r="E140" s="70">
        <f>IFERROR(SUMIFS(Issues!H:H,Issues!C:C,$A140,Issues!D:D,$B140,Issues!E:E,$C140),0)</f>
        <v>0</v>
      </c>
      <c r="F140" s="70">
        <f>IFERROR(SUMIFS(Returns!H:H,Returns!C:C,$A140,Returns!D:D,$B140,Returns!E:E,$C140),0)</f>
        <v>0</v>
      </c>
      <c r="G140" s="70">
        <f t="shared" si="1"/>
        <v>960</v>
      </c>
      <c r="H140" s="71">
        <f t="shared" si="2"/>
        <v>96</v>
      </c>
      <c r="I140" s="72">
        <f>IFERROR( SUMIFS('Stock In'!I:I,'Stock In'!C:C,$A140,'Stock In'!D:D,$B140,'Stock In'!E:E,$C140) / SUMIFS('Stock In'!H:H,'Stock In'!C:C,$A140,'Stock In'!D:D,$B140,'Stock In'!E:E,$C140) , 0)</f>
        <v>42.92</v>
      </c>
      <c r="J140" s="71">
        <f t="shared" si="3"/>
        <v>4120.32</v>
      </c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8" t="str">
        <f>IFERROR(__xludf.DUMMYFUNCTION("""COMPUTED_VALUE"""),"SILVER PAPER")</f>
        <v>SILVER PAPER</v>
      </c>
      <c r="B141" s="68">
        <f>IFERROR(__xludf.DUMMYFUNCTION("""COMPUTED_VALUE"""),50.0)</f>
        <v>50</v>
      </c>
      <c r="C141" s="69">
        <f>IFERROR(__xludf.DUMMYFUNCTION("""COMPUTED_VALUE"""),170.0)</f>
        <v>170</v>
      </c>
      <c r="D141" s="70">
        <f>IFERROR(SUMIFS('Stock In'!F:F,'Stock In'!C:C,$A141,'Stock In'!D:D,$B141,'Stock In'!E:E,$C141),0)</f>
        <v>1280</v>
      </c>
      <c r="E141" s="70">
        <f>IFERROR(SUMIFS(Issues!H:H,Issues!C:C,$A141,Issues!D:D,$B141,Issues!E:E,$C141),0)</f>
        <v>0</v>
      </c>
      <c r="F141" s="70">
        <f>IFERROR(SUMIFS(Returns!H:H,Returns!C:C,$A141,Returns!D:D,$B141,Returns!E:E,$C141),0)</f>
        <v>0</v>
      </c>
      <c r="G141" s="70">
        <f t="shared" si="1"/>
        <v>1280</v>
      </c>
      <c r="H141" s="71">
        <f t="shared" si="2"/>
        <v>217.6</v>
      </c>
      <c r="I141" s="72">
        <f>IFERROR( SUMIFS('Stock In'!I:I,'Stock In'!C:C,$A141,'Stock In'!D:D,$B141,'Stock In'!E:E,$C141) / SUMIFS('Stock In'!H:H,'Stock In'!C:C,$A141,'Stock In'!D:D,$B141,'Stock In'!E:E,$C141) , 0)</f>
        <v>47</v>
      </c>
      <c r="J141" s="71">
        <f t="shared" si="3"/>
        <v>10227.2</v>
      </c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8" t="str">
        <f>IFERROR(__xludf.DUMMYFUNCTION("""COMPUTED_VALUE"""),"SILVER PAPER")</f>
        <v>SILVER PAPER</v>
      </c>
      <c r="B142" s="68">
        <f>IFERROR(__xludf.DUMMYFUNCTION("""COMPUTED_VALUE"""),50.0)</f>
        <v>50</v>
      </c>
      <c r="C142" s="69">
        <f>IFERROR(__xludf.DUMMYFUNCTION("""COMPUTED_VALUE"""),167.0)</f>
        <v>167</v>
      </c>
      <c r="D142" s="70">
        <f>IFERROR(SUMIFS('Stock In'!F:F,'Stock In'!C:C,$A142,'Stock In'!D:D,$B142,'Stock In'!E:E,$C142),0)</f>
        <v>4600</v>
      </c>
      <c r="E142" s="70">
        <f>IFERROR(SUMIFS(Issues!H:H,Issues!C:C,$A142,Issues!D:D,$B142,Issues!E:E,$C142),0)</f>
        <v>0</v>
      </c>
      <c r="F142" s="70">
        <f>IFERROR(SUMIFS(Returns!H:H,Returns!C:C,$A142,Returns!D:D,$B142,Returns!E:E,$C142),0)</f>
        <v>0</v>
      </c>
      <c r="G142" s="70">
        <f t="shared" si="1"/>
        <v>4600</v>
      </c>
      <c r="H142" s="71">
        <f t="shared" si="2"/>
        <v>768.2</v>
      </c>
      <c r="I142" s="72">
        <f>IFERROR( SUMIFS('Stock In'!I:I,'Stock In'!C:C,$A142,'Stock In'!D:D,$B142,'Stock In'!E:E,$C142) / SUMIFS('Stock In'!H:H,'Stock In'!C:C,$A142,'Stock In'!D:D,$B142,'Stock In'!E:E,$C142) , 0)</f>
        <v>47</v>
      </c>
      <c r="J142" s="71">
        <f t="shared" si="3"/>
        <v>36105.4</v>
      </c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8" t="str">
        <f>IFERROR(__xludf.DUMMYFUNCTION("""COMPUTED_VALUE"""),"PP CLEAR")</f>
        <v>PP CLEAR</v>
      </c>
      <c r="B143" s="68">
        <f>IFERROR(__xludf.DUMMYFUNCTION("""COMPUTED_VALUE"""),80.0)</f>
        <v>80</v>
      </c>
      <c r="C143" s="69">
        <f>IFERROR(__xludf.DUMMYFUNCTION("""COMPUTED_VALUE"""),180.0)</f>
        <v>180</v>
      </c>
      <c r="D143" s="70">
        <f>IFERROR(SUMIFS('Stock In'!F:F,'Stock In'!C:C,$A143,'Stock In'!D:D,$B143,'Stock In'!E:E,$C143),0)</f>
        <v>29600</v>
      </c>
      <c r="E143" s="70">
        <f>IFERROR(SUMIFS(Issues!H:H,Issues!C:C,$A143,Issues!D:D,$B143,Issues!E:E,$C143),0)</f>
        <v>0</v>
      </c>
      <c r="F143" s="70">
        <f>IFERROR(SUMIFS(Returns!H:H,Returns!C:C,$A143,Returns!D:D,$B143,Returns!E:E,$C143),0)</f>
        <v>0</v>
      </c>
      <c r="G143" s="70">
        <f t="shared" si="1"/>
        <v>29600</v>
      </c>
      <c r="H143" s="71">
        <f t="shared" si="2"/>
        <v>5328</v>
      </c>
      <c r="I143" s="72">
        <f>IFERROR( SUMIFS('Stock In'!I:I,'Stock In'!C:C,$A143,'Stock In'!D:D,$B143,'Stock In'!E:E,$C143) / SUMIFS('Stock In'!H:H,'Stock In'!C:C,$A143,'Stock In'!D:D,$B143,'Stock In'!E:E,$C143) , 0)</f>
        <v>34.5</v>
      </c>
      <c r="J143" s="71">
        <f t="shared" si="3"/>
        <v>183816</v>
      </c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8"/>
      <c r="B144" s="68"/>
      <c r="C144" s="68"/>
      <c r="D144" s="70">
        <f>IFERROR(SUMIFS('Stock In'!F:F,'Stock In'!C:C,$A144,'Stock In'!D:D,$B144,'Stock In'!E:E,$C144),0)</f>
        <v>0</v>
      </c>
      <c r="E144" s="70">
        <f>IFERROR(SUMIFS(Issues!H:H,Issues!C:C,$A144,Issues!D:D,$B144,Issues!E:E,$C144),0)</f>
        <v>0</v>
      </c>
      <c r="F144" s="70">
        <f>IFERROR(SUMIFS(Returns!H:H,Returns!C:C,$A144,Returns!D:D,$B144,Returns!E:E,$C144),0)</f>
        <v>0</v>
      </c>
      <c r="G144" s="70">
        <f t="shared" si="1"/>
        <v>0</v>
      </c>
      <c r="H144" s="71">
        <f t="shared" si="2"/>
        <v>0</v>
      </c>
      <c r="I144" s="72">
        <f>IFERROR( SUMIFS('Stock In'!I:I,'Stock In'!C:C,$A144,'Stock In'!D:D,$B144,'Stock In'!E:E,$C144) / SUMIFS('Stock In'!H:H,'Stock In'!C:C,$A144,'Stock In'!D:D,$B144,'Stock In'!E:E,$C144) , 0)</f>
        <v>0</v>
      </c>
      <c r="J144" s="71">
        <f t="shared" si="3"/>
        <v>0</v>
      </c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8"/>
      <c r="B145" s="68"/>
      <c r="C145" s="68"/>
      <c r="D145" s="70">
        <f>IFERROR(SUMIFS('Stock In'!F:F,'Stock In'!C:C,$A145,'Stock In'!D:D,$B145,'Stock In'!E:E,$C145),0)</f>
        <v>0</v>
      </c>
      <c r="E145" s="70">
        <f>IFERROR(SUMIFS(Issues!H:H,Issues!C:C,$A145,Issues!D:D,$B145,Issues!E:E,$C145),0)</f>
        <v>0</v>
      </c>
      <c r="F145" s="70">
        <f>IFERROR(SUMIFS(Returns!H:H,Returns!C:C,$A145,Returns!D:D,$B145,Returns!E:E,$C145),0)</f>
        <v>0</v>
      </c>
      <c r="G145" s="70">
        <f t="shared" si="1"/>
        <v>0</v>
      </c>
      <c r="H145" s="71">
        <f t="shared" si="2"/>
        <v>0</v>
      </c>
      <c r="I145" s="72">
        <f>IFERROR( SUMIFS('Stock In'!I:I,'Stock In'!C:C,$A145,'Stock In'!D:D,$B145,'Stock In'!E:E,$C145) / SUMIFS('Stock In'!H:H,'Stock In'!C:C,$A145,'Stock In'!D:D,$B145,'Stock In'!E:E,$C145) , 0)</f>
        <v>0</v>
      </c>
      <c r="J145" s="71">
        <f t="shared" si="3"/>
        <v>0</v>
      </c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8"/>
      <c r="B146" s="68"/>
      <c r="C146" s="68"/>
      <c r="D146" s="70">
        <f>IFERROR(SUMIFS('Stock In'!F:F,'Stock In'!C:C,$A146,'Stock In'!D:D,$B146,'Stock In'!E:E,$C146),0)</f>
        <v>0</v>
      </c>
      <c r="E146" s="70">
        <f>IFERROR(SUMIFS(Issues!H:H,Issues!C:C,$A146,Issues!D:D,$B146,Issues!E:E,$C146),0)</f>
        <v>0</v>
      </c>
      <c r="F146" s="70">
        <f>IFERROR(SUMIFS(Returns!H:H,Returns!C:C,$A146,Returns!D:D,$B146,Returns!E:E,$C146),0)</f>
        <v>0</v>
      </c>
      <c r="G146" s="70">
        <f t="shared" si="1"/>
        <v>0</v>
      </c>
      <c r="H146" s="71">
        <f t="shared" si="2"/>
        <v>0</v>
      </c>
      <c r="I146" s="72">
        <f>IFERROR( SUMIFS('Stock In'!I:I,'Stock In'!C:C,$A146,'Stock In'!D:D,$B146,'Stock In'!E:E,$C146) / SUMIFS('Stock In'!H:H,'Stock In'!C:C,$A146,'Stock In'!D:D,$B146,'Stock In'!E:E,$C146) , 0)</f>
        <v>0</v>
      </c>
      <c r="J146" s="71">
        <f t="shared" si="3"/>
        <v>0</v>
      </c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8"/>
      <c r="B147" s="68"/>
      <c r="C147" s="68"/>
      <c r="D147" s="70">
        <f>IFERROR(SUMIFS('Stock In'!F:F,'Stock In'!C:C,$A147,'Stock In'!D:D,$B147,'Stock In'!E:E,$C147),0)</f>
        <v>0</v>
      </c>
      <c r="E147" s="70">
        <f>IFERROR(SUMIFS(Issues!H:H,Issues!C:C,$A147,Issues!D:D,$B147,Issues!E:E,$C147),0)</f>
        <v>0</v>
      </c>
      <c r="F147" s="70">
        <f>IFERROR(SUMIFS(Returns!H:H,Returns!C:C,$A147,Returns!D:D,$B147,Returns!E:E,$C147),0)</f>
        <v>0</v>
      </c>
      <c r="G147" s="70">
        <f t="shared" si="1"/>
        <v>0</v>
      </c>
      <c r="H147" s="71">
        <f t="shared" si="2"/>
        <v>0</v>
      </c>
      <c r="I147" s="72">
        <f>IFERROR( SUMIFS('Stock In'!I:I,'Stock In'!C:C,$A147,'Stock In'!D:D,$B147,'Stock In'!E:E,$C147) / SUMIFS('Stock In'!H:H,'Stock In'!C:C,$A147,'Stock In'!D:D,$B147,'Stock In'!E:E,$C147) , 0)</f>
        <v>0</v>
      </c>
      <c r="J147" s="71">
        <f t="shared" si="3"/>
        <v>0</v>
      </c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8"/>
      <c r="B148" s="68"/>
      <c r="C148" s="68"/>
      <c r="D148" s="70">
        <f>IFERROR(SUMIFS('Stock In'!F:F,'Stock In'!C:C,$A148,'Stock In'!D:D,$B148,'Stock In'!E:E,$C148),0)</f>
        <v>0</v>
      </c>
      <c r="E148" s="70">
        <f>IFERROR(SUMIFS(Issues!H:H,Issues!C:C,$A148,Issues!D:D,$B148,Issues!E:E,$C148),0)</f>
        <v>0</v>
      </c>
      <c r="F148" s="70">
        <f>IFERROR(SUMIFS(Returns!H:H,Returns!C:C,$A148,Returns!D:D,$B148,Returns!E:E,$C148),0)</f>
        <v>0</v>
      </c>
      <c r="G148" s="70">
        <f t="shared" si="1"/>
        <v>0</v>
      </c>
      <c r="H148" s="71">
        <f t="shared" si="2"/>
        <v>0</v>
      </c>
      <c r="I148" s="72">
        <f>IFERROR( SUMIFS('Stock In'!I:I,'Stock In'!C:C,$A148,'Stock In'!D:D,$B148,'Stock In'!E:E,$C148) / SUMIFS('Stock In'!H:H,'Stock In'!C:C,$A148,'Stock In'!D:D,$B148,'Stock In'!E:E,$C148) , 0)</f>
        <v>0</v>
      </c>
      <c r="J148" s="71">
        <f t="shared" si="3"/>
        <v>0</v>
      </c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8"/>
      <c r="B149" s="68"/>
      <c r="C149" s="68"/>
      <c r="D149" s="70">
        <f>IFERROR(SUMIFS('Stock In'!F:F,'Stock In'!C:C,$A149,'Stock In'!D:D,$B149,'Stock In'!E:E,$C149),0)</f>
        <v>0</v>
      </c>
      <c r="E149" s="70">
        <f>IFERROR(SUMIFS(Issues!H:H,Issues!C:C,$A149,Issues!D:D,$B149,Issues!E:E,$C149),0)</f>
        <v>0</v>
      </c>
      <c r="F149" s="70">
        <f>IFERROR(SUMIFS(Returns!H:H,Returns!C:C,$A149,Returns!D:D,$B149,Returns!E:E,$C149),0)</f>
        <v>0</v>
      </c>
      <c r="G149" s="70">
        <f t="shared" si="1"/>
        <v>0</v>
      </c>
      <c r="H149" s="71">
        <f t="shared" si="2"/>
        <v>0</v>
      </c>
      <c r="I149" s="72">
        <f>IFERROR( SUMIFS('Stock In'!I:I,'Stock In'!C:C,$A149,'Stock In'!D:D,$B149,'Stock In'!E:E,$C149) / SUMIFS('Stock In'!H:H,'Stock In'!C:C,$A149,'Stock In'!D:D,$B149,'Stock In'!E:E,$C149) , 0)</f>
        <v>0</v>
      </c>
      <c r="J149" s="71">
        <f t="shared" si="3"/>
        <v>0</v>
      </c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8"/>
      <c r="B150" s="68"/>
      <c r="C150" s="68"/>
      <c r="D150" s="70">
        <f>IFERROR(SUMIFS('Stock In'!F:F,'Stock In'!C:C,$A150,'Stock In'!D:D,$B150,'Stock In'!E:E,$C150),0)</f>
        <v>0</v>
      </c>
      <c r="E150" s="70">
        <f>IFERROR(SUMIFS(Issues!H:H,Issues!C:C,$A150,Issues!D:D,$B150,Issues!E:E,$C150),0)</f>
        <v>0</v>
      </c>
      <c r="F150" s="70">
        <f>IFERROR(SUMIFS(Returns!H:H,Returns!C:C,$A150,Returns!D:D,$B150,Returns!E:E,$C150),0)</f>
        <v>0</v>
      </c>
      <c r="G150" s="70">
        <f t="shared" si="1"/>
        <v>0</v>
      </c>
      <c r="H150" s="71">
        <f t="shared" si="2"/>
        <v>0</v>
      </c>
      <c r="I150" s="72">
        <f>IFERROR( SUMIFS('Stock In'!I:I,'Stock In'!C:C,$A150,'Stock In'!D:D,$B150,'Stock In'!E:E,$C150) / SUMIFS('Stock In'!H:H,'Stock In'!C:C,$A150,'Stock In'!D:D,$B150,'Stock In'!E:E,$C150) , 0)</f>
        <v>0</v>
      </c>
      <c r="J150" s="71">
        <f t="shared" si="3"/>
        <v>0</v>
      </c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8"/>
      <c r="B151" s="68"/>
      <c r="C151" s="68"/>
      <c r="D151" s="70">
        <f>IFERROR(SUMIFS('Stock In'!F:F,'Stock In'!C:C,$A151,'Stock In'!D:D,$B151,'Stock In'!E:E,$C151),0)</f>
        <v>0</v>
      </c>
      <c r="E151" s="70">
        <f>IFERROR(SUMIFS(Issues!H:H,Issues!C:C,$A151,Issues!D:D,$B151,Issues!E:E,$C151),0)</f>
        <v>0</v>
      </c>
      <c r="F151" s="70">
        <f>IFERROR(SUMIFS(Returns!H:H,Returns!C:C,$A151,Returns!D:D,$B151,Returns!E:E,$C151),0)</f>
        <v>0</v>
      </c>
      <c r="G151" s="70">
        <f t="shared" si="1"/>
        <v>0</v>
      </c>
      <c r="H151" s="71">
        <f t="shared" si="2"/>
        <v>0</v>
      </c>
      <c r="I151" s="72">
        <f>IFERROR( SUMIFS('Stock In'!I:I,'Stock In'!C:C,$A151,'Stock In'!D:D,$B151,'Stock In'!E:E,$C151) / SUMIFS('Stock In'!H:H,'Stock In'!C:C,$A151,'Stock In'!D:D,$B151,'Stock In'!E:E,$C151) , 0)</f>
        <v>0</v>
      </c>
      <c r="J151" s="71">
        <f t="shared" si="3"/>
        <v>0</v>
      </c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8"/>
      <c r="B152" s="68"/>
      <c r="C152" s="68"/>
      <c r="D152" s="70">
        <f>IFERROR(SUMIFS('Stock In'!F:F,'Stock In'!C:C,$A152,'Stock In'!D:D,$B152,'Stock In'!E:E,$C152),0)</f>
        <v>0</v>
      </c>
      <c r="E152" s="70">
        <f>IFERROR(SUMIFS(Issues!H:H,Issues!C:C,$A152,Issues!D:D,$B152,Issues!E:E,$C152),0)</f>
        <v>0</v>
      </c>
      <c r="F152" s="70">
        <f>IFERROR(SUMIFS(Returns!H:H,Returns!C:C,$A152,Returns!D:D,$B152,Returns!E:E,$C152),0)</f>
        <v>0</v>
      </c>
      <c r="G152" s="70">
        <f t="shared" si="1"/>
        <v>0</v>
      </c>
      <c r="H152" s="71">
        <f t="shared" si="2"/>
        <v>0</v>
      </c>
      <c r="I152" s="72">
        <f>IFERROR( SUMIFS('Stock In'!I:I,'Stock In'!C:C,$A152,'Stock In'!D:D,$B152,'Stock In'!E:E,$C152) / SUMIFS('Stock In'!H:H,'Stock In'!C:C,$A152,'Stock In'!D:D,$B152,'Stock In'!E:E,$C152) , 0)</f>
        <v>0</v>
      </c>
      <c r="J152" s="71">
        <f t="shared" si="3"/>
        <v>0</v>
      </c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8"/>
      <c r="B153" s="68"/>
      <c r="C153" s="68"/>
      <c r="D153" s="70">
        <f>IFERROR(SUMIFS('Stock In'!F:F,'Stock In'!C:C,$A153,'Stock In'!D:D,$B153,'Stock In'!E:E,$C153),0)</f>
        <v>0</v>
      </c>
      <c r="E153" s="70">
        <f>IFERROR(SUMIFS(Issues!H:H,Issues!C:C,$A153,Issues!D:D,$B153,Issues!E:E,$C153),0)</f>
        <v>0</v>
      </c>
      <c r="F153" s="70">
        <f>IFERROR(SUMIFS(Returns!H:H,Returns!C:C,$A153,Returns!D:D,$B153,Returns!E:E,$C153),0)</f>
        <v>0</v>
      </c>
      <c r="G153" s="70">
        <f t="shared" si="1"/>
        <v>0</v>
      </c>
      <c r="H153" s="71">
        <f t="shared" si="2"/>
        <v>0</v>
      </c>
      <c r="I153" s="72">
        <f>IFERROR( SUMIFS('Stock In'!I:I,'Stock In'!C:C,$A153,'Stock In'!D:D,$B153,'Stock In'!E:E,$C153) / SUMIFS('Stock In'!H:H,'Stock In'!C:C,$A153,'Stock In'!D:D,$B153,'Stock In'!E:E,$C153) , 0)</f>
        <v>0</v>
      </c>
      <c r="J153" s="71">
        <f t="shared" si="3"/>
        <v>0</v>
      </c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8"/>
      <c r="B154" s="68"/>
      <c r="C154" s="68"/>
      <c r="D154" s="70">
        <f>IFERROR(SUMIFS('Stock In'!F:F,'Stock In'!C:C,$A154,'Stock In'!D:D,$B154,'Stock In'!E:E,$C154),0)</f>
        <v>0</v>
      </c>
      <c r="E154" s="70">
        <f>IFERROR(SUMIFS(Issues!H:H,Issues!C:C,$A154,Issues!D:D,$B154,Issues!E:E,$C154),0)</f>
        <v>0</v>
      </c>
      <c r="F154" s="70">
        <f>IFERROR(SUMIFS(Returns!H:H,Returns!C:C,$A154,Returns!D:D,$B154,Returns!E:E,$C154),0)</f>
        <v>0</v>
      </c>
      <c r="G154" s="70">
        <f t="shared" si="1"/>
        <v>0</v>
      </c>
      <c r="H154" s="71">
        <f t="shared" si="2"/>
        <v>0</v>
      </c>
      <c r="I154" s="72">
        <f>IFERROR( SUMIFS('Stock In'!I:I,'Stock In'!C:C,$A154,'Stock In'!D:D,$B154,'Stock In'!E:E,$C154) / SUMIFS('Stock In'!H:H,'Stock In'!C:C,$A154,'Stock In'!D:D,$B154,'Stock In'!E:E,$C154) , 0)</f>
        <v>0</v>
      </c>
      <c r="J154" s="71">
        <f t="shared" si="3"/>
        <v>0</v>
      </c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8"/>
      <c r="B155" s="68"/>
      <c r="C155" s="68"/>
      <c r="D155" s="70">
        <f>IFERROR(SUMIFS('Stock In'!F:F,'Stock In'!C:C,$A155,'Stock In'!D:D,$B155,'Stock In'!E:E,$C155),0)</f>
        <v>0</v>
      </c>
      <c r="E155" s="70">
        <f>IFERROR(SUMIFS(Issues!H:H,Issues!C:C,$A155,Issues!D:D,$B155,Issues!E:E,$C155),0)</f>
        <v>0</v>
      </c>
      <c r="F155" s="70">
        <f>IFERROR(SUMIFS(Returns!H:H,Returns!C:C,$A155,Returns!D:D,$B155,Returns!E:E,$C155),0)</f>
        <v>0</v>
      </c>
      <c r="G155" s="70">
        <f t="shared" si="1"/>
        <v>0</v>
      </c>
      <c r="H155" s="71">
        <f t="shared" si="2"/>
        <v>0</v>
      </c>
      <c r="I155" s="72">
        <f>IFERROR( SUMIFS('Stock In'!I:I,'Stock In'!C:C,$A155,'Stock In'!D:D,$B155,'Stock In'!E:E,$C155) / SUMIFS('Stock In'!H:H,'Stock In'!C:C,$A155,'Stock In'!D:D,$B155,'Stock In'!E:E,$C155) , 0)</f>
        <v>0</v>
      </c>
      <c r="J155" s="71">
        <f t="shared" si="3"/>
        <v>0</v>
      </c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8"/>
      <c r="B156" s="68"/>
      <c r="C156" s="68"/>
      <c r="D156" s="70">
        <f>IFERROR(SUMIFS('Stock In'!F:F,'Stock In'!C:C,$A156,'Stock In'!D:D,$B156,'Stock In'!E:E,$C156),0)</f>
        <v>0</v>
      </c>
      <c r="E156" s="70">
        <f>IFERROR(SUMIFS(Issues!H:H,Issues!C:C,$A156,Issues!D:D,$B156,Issues!E:E,$C156),0)</f>
        <v>0</v>
      </c>
      <c r="F156" s="70">
        <f>IFERROR(SUMIFS(Returns!H:H,Returns!C:C,$A156,Returns!D:D,$B156,Returns!E:E,$C156),0)</f>
        <v>0</v>
      </c>
      <c r="G156" s="70">
        <f t="shared" si="1"/>
        <v>0</v>
      </c>
      <c r="H156" s="71">
        <f t="shared" si="2"/>
        <v>0</v>
      </c>
      <c r="I156" s="72">
        <f>IFERROR( SUMIFS('Stock In'!I:I,'Stock In'!C:C,$A156,'Stock In'!D:D,$B156,'Stock In'!E:E,$C156) / SUMIFS('Stock In'!H:H,'Stock In'!C:C,$A156,'Stock In'!D:D,$B156,'Stock In'!E:E,$C156) , 0)</f>
        <v>0</v>
      </c>
      <c r="J156" s="71">
        <f t="shared" si="3"/>
        <v>0</v>
      </c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8"/>
      <c r="B157" s="68"/>
      <c r="C157" s="68"/>
      <c r="D157" s="70">
        <f>IFERROR(SUMIFS('Stock In'!F:F,'Stock In'!C:C,$A157,'Stock In'!D:D,$B157,'Stock In'!E:E,$C157),0)</f>
        <v>0</v>
      </c>
      <c r="E157" s="70">
        <f>IFERROR(SUMIFS(Issues!H:H,Issues!C:C,$A157,Issues!D:D,$B157,Issues!E:E,$C157),0)</f>
        <v>0</v>
      </c>
      <c r="F157" s="70">
        <f>IFERROR(SUMIFS(Returns!H:H,Returns!C:C,$A157,Returns!D:D,$B157,Returns!E:E,$C157),0)</f>
        <v>0</v>
      </c>
      <c r="G157" s="70">
        <f t="shared" si="1"/>
        <v>0</v>
      </c>
      <c r="H157" s="71">
        <f t="shared" si="2"/>
        <v>0</v>
      </c>
      <c r="I157" s="72">
        <f>IFERROR( SUMIFS('Stock In'!I:I,'Stock In'!C:C,$A157,'Stock In'!D:D,$B157,'Stock In'!E:E,$C157) / SUMIFS('Stock In'!H:H,'Stock In'!C:C,$A157,'Stock In'!D:D,$B157,'Stock In'!E:E,$C157) , 0)</f>
        <v>0</v>
      </c>
      <c r="J157" s="71">
        <f t="shared" si="3"/>
        <v>0</v>
      </c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8"/>
      <c r="B158" s="68"/>
      <c r="C158" s="68"/>
      <c r="D158" s="70">
        <f>IFERROR(SUMIFS('Stock In'!F:F,'Stock In'!C:C,$A158,'Stock In'!D:D,$B158,'Stock In'!E:E,$C158),0)</f>
        <v>0</v>
      </c>
      <c r="E158" s="70">
        <f>IFERROR(SUMIFS(Issues!H:H,Issues!C:C,$A158,Issues!D:D,$B158,Issues!E:E,$C158),0)</f>
        <v>0</v>
      </c>
      <c r="F158" s="70">
        <f>IFERROR(SUMIFS(Returns!H:H,Returns!C:C,$A158,Returns!D:D,$B158,Returns!E:E,$C158),0)</f>
        <v>0</v>
      </c>
      <c r="G158" s="70">
        <f t="shared" si="1"/>
        <v>0</v>
      </c>
      <c r="H158" s="71">
        <f t="shared" si="2"/>
        <v>0</v>
      </c>
      <c r="I158" s="72">
        <f>IFERROR( SUMIFS('Stock In'!I:I,'Stock In'!C:C,$A158,'Stock In'!D:D,$B158,'Stock In'!E:E,$C158) / SUMIFS('Stock In'!H:H,'Stock In'!C:C,$A158,'Stock In'!D:D,$B158,'Stock In'!E:E,$C158) , 0)</f>
        <v>0</v>
      </c>
      <c r="J158" s="71">
        <f t="shared" si="3"/>
        <v>0</v>
      </c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8"/>
      <c r="B159" s="68"/>
      <c r="C159" s="68"/>
      <c r="D159" s="70">
        <f>IFERROR(SUMIFS('Stock In'!F:F,'Stock In'!C:C,$A159,'Stock In'!D:D,$B159,'Stock In'!E:E,$C159),0)</f>
        <v>0</v>
      </c>
      <c r="E159" s="70">
        <f>IFERROR(SUMIFS(Issues!H:H,Issues!C:C,$A159,Issues!D:D,$B159,Issues!E:E,$C159),0)</f>
        <v>0</v>
      </c>
      <c r="F159" s="70">
        <f>IFERROR(SUMIFS(Returns!H:H,Returns!C:C,$A159,Returns!D:D,$B159,Returns!E:E,$C159),0)</f>
        <v>0</v>
      </c>
      <c r="G159" s="70">
        <f t="shared" si="1"/>
        <v>0</v>
      </c>
      <c r="H159" s="71">
        <f t="shared" si="2"/>
        <v>0</v>
      </c>
      <c r="I159" s="72">
        <f>IFERROR( SUMIFS('Stock In'!I:I,'Stock In'!C:C,$A159,'Stock In'!D:D,$B159,'Stock In'!E:E,$C159) / SUMIFS('Stock In'!H:H,'Stock In'!C:C,$A159,'Stock In'!D:D,$B159,'Stock In'!E:E,$C159) , 0)</f>
        <v>0</v>
      </c>
      <c r="J159" s="71">
        <f t="shared" si="3"/>
        <v>0</v>
      </c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8"/>
      <c r="B160" s="68"/>
      <c r="C160" s="68"/>
      <c r="D160" s="70">
        <f>IFERROR(SUMIFS('Stock In'!F:F,'Stock In'!C:C,$A160,'Stock In'!D:D,$B160,'Stock In'!E:E,$C160),0)</f>
        <v>0</v>
      </c>
      <c r="E160" s="70">
        <f>IFERROR(SUMIFS(Issues!H:H,Issues!C:C,$A160,Issues!D:D,$B160,Issues!E:E,$C160),0)</f>
        <v>0</v>
      </c>
      <c r="F160" s="70">
        <f>IFERROR(SUMIFS(Returns!H:H,Returns!C:C,$A160,Returns!D:D,$B160,Returns!E:E,$C160),0)</f>
        <v>0</v>
      </c>
      <c r="G160" s="70">
        <f t="shared" si="1"/>
        <v>0</v>
      </c>
      <c r="H160" s="71">
        <f t="shared" si="2"/>
        <v>0</v>
      </c>
      <c r="I160" s="72">
        <f>IFERROR( SUMIFS('Stock In'!I:I,'Stock In'!C:C,$A160,'Stock In'!D:D,$B160,'Stock In'!E:E,$C160) / SUMIFS('Stock In'!H:H,'Stock In'!C:C,$A160,'Stock In'!D:D,$B160,'Stock In'!E:E,$C160) , 0)</f>
        <v>0</v>
      </c>
      <c r="J160" s="71">
        <f t="shared" si="3"/>
        <v>0</v>
      </c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8"/>
      <c r="B161" s="68"/>
      <c r="C161" s="68"/>
      <c r="D161" s="70">
        <f>IFERROR(SUMIFS('Stock In'!F:F,'Stock In'!C:C,$A161,'Stock In'!D:D,$B161,'Stock In'!E:E,$C161),0)</f>
        <v>0</v>
      </c>
      <c r="E161" s="70">
        <f>IFERROR(SUMIFS(Issues!H:H,Issues!C:C,$A161,Issues!D:D,$B161,Issues!E:E,$C161),0)</f>
        <v>0</v>
      </c>
      <c r="F161" s="70">
        <f>IFERROR(SUMIFS(Returns!H:H,Returns!C:C,$A161,Returns!D:D,$B161,Returns!E:E,$C161),0)</f>
        <v>0</v>
      </c>
      <c r="G161" s="70">
        <f t="shared" si="1"/>
        <v>0</v>
      </c>
      <c r="H161" s="71">
        <f t="shared" si="2"/>
        <v>0</v>
      </c>
      <c r="I161" s="72">
        <f>IFERROR( SUMIFS('Stock In'!I:I,'Stock In'!C:C,$A161,'Stock In'!D:D,$B161,'Stock In'!E:E,$C161) / SUMIFS('Stock In'!H:H,'Stock In'!C:C,$A161,'Stock In'!D:D,$B161,'Stock In'!E:E,$C161) , 0)</f>
        <v>0</v>
      </c>
      <c r="J161" s="71">
        <f t="shared" si="3"/>
        <v>0</v>
      </c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8"/>
      <c r="B162" s="68"/>
      <c r="C162" s="68"/>
      <c r="D162" s="70">
        <f>IFERROR(SUMIFS('Stock In'!F:F,'Stock In'!C:C,$A162,'Stock In'!D:D,$B162,'Stock In'!E:E,$C162),0)</f>
        <v>0</v>
      </c>
      <c r="E162" s="70">
        <f>IFERROR(SUMIFS(Issues!H:H,Issues!C:C,$A162,Issues!D:D,$B162,Issues!E:E,$C162),0)</f>
        <v>0</v>
      </c>
      <c r="F162" s="70">
        <f>IFERROR(SUMIFS(Returns!H:H,Returns!C:C,$A162,Returns!D:D,$B162,Returns!E:E,$C162),0)</f>
        <v>0</v>
      </c>
      <c r="G162" s="70">
        <f t="shared" si="1"/>
        <v>0</v>
      </c>
      <c r="H162" s="71">
        <f t="shared" si="2"/>
        <v>0</v>
      </c>
      <c r="I162" s="72">
        <f>IFERROR( SUMIFS('Stock In'!I:I,'Stock In'!C:C,$A162,'Stock In'!D:D,$B162,'Stock In'!E:E,$C162) / SUMIFS('Stock In'!H:H,'Stock In'!C:C,$A162,'Stock In'!D:D,$B162,'Stock In'!E:E,$C162) , 0)</f>
        <v>0</v>
      </c>
      <c r="J162" s="71">
        <f t="shared" si="3"/>
        <v>0</v>
      </c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8"/>
      <c r="B163" s="68"/>
      <c r="C163" s="68"/>
      <c r="D163" s="70">
        <f>IFERROR(SUMIFS('Stock In'!F:F,'Stock In'!C:C,$A163,'Stock In'!D:D,$B163,'Stock In'!E:E,$C163),0)</f>
        <v>0</v>
      </c>
      <c r="E163" s="70">
        <f>IFERROR(SUMIFS(Issues!H:H,Issues!C:C,$A163,Issues!D:D,$B163,Issues!E:E,$C163),0)</f>
        <v>0</v>
      </c>
      <c r="F163" s="70">
        <f>IFERROR(SUMIFS(Returns!H:H,Returns!C:C,$A163,Returns!D:D,$B163,Returns!E:E,$C163),0)</f>
        <v>0</v>
      </c>
      <c r="G163" s="70">
        <f t="shared" si="1"/>
        <v>0</v>
      </c>
      <c r="H163" s="71">
        <f t="shared" si="2"/>
        <v>0</v>
      </c>
      <c r="I163" s="72">
        <f>IFERROR( SUMIFS('Stock In'!I:I,'Stock In'!C:C,$A163,'Stock In'!D:D,$B163,'Stock In'!E:E,$C163) / SUMIFS('Stock In'!H:H,'Stock In'!C:C,$A163,'Stock In'!D:D,$B163,'Stock In'!E:E,$C163) , 0)</f>
        <v>0</v>
      </c>
      <c r="J163" s="71">
        <f t="shared" si="3"/>
        <v>0</v>
      </c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8"/>
      <c r="B164" s="68"/>
      <c r="C164" s="68"/>
      <c r="D164" s="70">
        <f>IFERROR(SUMIFS('Stock In'!F:F,'Stock In'!C:C,$A164,'Stock In'!D:D,$B164,'Stock In'!E:E,$C164),0)</f>
        <v>0</v>
      </c>
      <c r="E164" s="70">
        <f>IFERROR(SUMIFS(Issues!H:H,Issues!C:C,$A164,Issues!D:D,$B164,Issues!E:E,$C164),0)</f>
        <v>0</v>
      </c>
      <c r="F164" s="70">
        <f>IFERROR(SUMIFS(Returns!H:H,Returns!C:C,$A164,Returns!D:D,$B164,Returns!E:E,$C164),0)</f>
        <v>0</v>
      </c>
      <c r="G164" s="70">
        <f t="shared" si="1"/>
        <v>0</v>
      </c>
      <c r="H164" s="71">
        <f t="shared" si="2"/>
        <v>0</v>
      </c>
      <c r="I164" s="72">
        <f>IFERROR( SUMIFS('Stock In'!I:I,'Stock In'!C:C,$A164,'Stock In'!D:D,$B164,'Stock In'!E:E,$C164) / SUMIFS('Stock In'!H:H,'Stock In'!C:C,$A164,'Stock In'!D:D,$B164,'Stock In'!E:E,$C164) , 0)</f>
        <v>0</v>
      </c>
      <c r="J164" s="71">
        <f t="shared" si="3"/>
        <v>0</v>
      </c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8"/>
      <c r="B165" s="68"/>
      <c r="C165" s="68"/>
      <c r="D165" s="70">
        <f>IFERROR(SUMIFS('Stock In'!F:F,'Stock In'!C:C,$A165,'Stock In'!D:D,$B165,'Stock In'!E:E,$C165),0)</f>
        <v>0</v>
      </c>
      <c r="E165" s="70">
        <f>IFERROR(SUMIFS(Issues!H:H,Issues!C:C,$A165,Issues!D:D,$B165,Issues!E:E,$C165),0)</f>
        <v>0</v>
      </c>
      <c r="F165" s="70">
        <f>IFERROR(SUMIFS(Returns!H:H,Returns!C:C,$A165,Returns!D:D,$B165,Returns!E:E,$C165),0)</f>
        <v>0</v>
      </c>
      <c r="G165" s="70">
        <f t="shared" si="1"/>
        <v>0</v>
      </c>
      <c r="H165" s="71">
        <f t="shared" si="2"/>
        <v>0</v>
      </c>
      <c r="I165" s="72">
        <f>IFERROR( SUMIFS('Stock In'!I:I,'Stock In'!C:C,$A165,'Stock In'!D:D,$B165,'Stock In'!E:E,$C165) / SUMIFS('Stock In'!H:H,'Stock In'!C:C,$A165,'Stock In'!D:D,$B165,'Stock In'!E:E,$C165) , 0)</f>
        <v>0</v>
      </c>
      <c r="J165" s="71">
        <f t="shared" si="3"/>
        <v>0</v>
      </c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8"/>
      <c r="B166" s="68"/>
      <c r="C166" s="68"/>
      <c r="D166" s="70">
        <f>IFERROR(SUMIFS('Stock In'!F:F,'Stock In'!C:C,$A166,'Stock In'!D:D,$B166,'Stock In'!E:E,$C166),0)</f>
        <v>0</v>
      </c>
      <c r="E166" s="70">
        <f>IFERROR(SUMIFS(Issues!H:H,Issues!C:C,$A166,Issues!D:D,$B166,Issues!E:E,$C166),0)</f>
        <v>0</v>
      </c>
      <c r="F166" s="70">
        <f>IFERROR(SUMIFS(Returns!H:H,Returns!C:C,$A166,Returns!D:D,$B166,Returns!E:E,$C166),0)</f>
        <v>0</v>
      </c>
      <c r="G166" s="70">
        <f t="shared" si="1"/>
        <v>0</v>
      </c>
      <c r="H166" s="71">
        <f t="shared" si="2"/>
        <v>0</v>
      </c>
      <c r="I166" s="72">
        <f>IFERROR( SUMIFS('Stock In'!I:I,'Stock In'!C:C,$A166,'Stock In'!D:D,$B166,'Stock In'!E:E,$C166) / SUMIFS('Stock In'!H:H,'Stock In'!C:C,$A166,'Stock In'!D:D,$B166,'Stock In'!E:E,$C166) , 0)</f>
        <v>0</v>
      </c>
      <c r="J166" s="71">
        <f t="shared" si="3"/>
        <v>0</v>
      </c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8"/>
      <c r="B167" s="68"/>
      <c r="C167" s="68"/>
      <c r="D167" s="70">
        <f>IFERROR(SUMIFS('Stock In'!F:F,'Stock In'!C:C,$A167,'Stock In'!D:D,$B167,'Stock In'!E:E,$C167),0)</f>
        <v>0</v>
      </c>
      <c r="E167" s="70">
        <f>IFERROR(SUMIFS(Issues!H:H,Issues!C:C,$A167,Issues!D:D,$B167,Issues!E:E,$C167),0)</f>
        <v>0</v>
      </c>
      <c r="F167" s="70">
        <f>IFERROR(SUMIFS(Returns!H:H,Returns!C:C,$A167,Returns!D:D,$B167,Returns!E:E,$C167),0)</f>
        <v>0</v>
      </c>
      <c r="G167" s="70">
        <f t="shared" si="1"/>
        <v>0</v>
      </c>
      <c r="H167" s="71">
        <f t="shared" si="2"/>
        <v>0</v>
      </c>
      <c r="I167" s="72">
        <f>IFERROR( SUMIFS('Stock In'!I:I,'Stock In'!C:C,$A167,'Stock In'!D:D,$B167,'Stock In'!E:E,$C167) / SUMIFS('Stock In'!H:H,'Stock In'!C:C,$A167,'Stock In'!D:D,$B167,'Stock In'!E:E,$C167) , 0)</f>
        <v>0</v>
      </c>
      <c r="J167" s="71">
        <f t="shared" si="3"/>
        <v>0</v>
      </c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8"/>
      <c r="B168" s="68"/>
      <c r="C168" s="68"/>
      <c r="D168" s="70">
        <f>IFERROR(SUMIFS('Stock In'!F:F,'Stock In'!C:C,$A168,'Stock In'!D:D,$B168,'Stock In'!E:E,$C168),0)</f>
        <v>0</v>
      </c>
      <c r="E168" s="70">
        <f>IFERROR(SUMIFS(Issues!H:H,Issues!C:C,$A168,Issues!D:D,$B168,Issues!E:E,$C168),0)</f>
        <v>0</v>
      </c>
      <c r="F168" s="70">
        <f>IFERROR(SUMIFS(Returns!H:H,Returns!C:C,$A168,Returns!D:D,$B168,Returns!E:E,$C168),0)</f>
        <v>0</v>
      </c>
      <c r="G168" s="70">
        <f t="shared" si="1"/>
        <v>0</v>
      </c>
      <c r="H168" s="71">
        <f t="shared" si="2"/>
        <v>0</v>
      </c>
      <c r="I168" s="72">
        <f>IFERROR( SUMIFS('Stock In'!I:I,'Stock In'!C:C,$A168,'Stock In'!D:D,$B168,'Stock In'!E:E,$C168) / SUMIFS('Stock In'!H:H,'Stock In'!C:C,$A168,'Stock In'!D:D,$B168,'Stock In'!E:E,$C168) , 0)</f>
        <v>0</v>
      </c>
      <c r="J168" s="71">
        <f t="shared" si="3"/>
        <v>0</v>
      </c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8"/>
      <c r="B169" s="68"/>
      <c r="C169" s="68"/>
      <c r="D169" s="70">
        <f>IFERROR(SUMIFS('Stock In'!F:F,'Stock In'!C:C,$A169,'Stock In'!D:D,$B169,'Stock In'!E:E,$C169),0)</f>
        <v>0</v>
      </c>
      <c r="E169" s="70">
        <f>IFERROR(SUMIFS(Issues!H:H,Issues!C:C,$A169,Issues!D:D,$B169,Issues!E:E,$C169),0)</f>
        <v>0</v>
      </c>
      <c r="F169" s="70">
        <f>IFERROR(SUMIFS(Returns!H:H,Returns!C:C,$A169,Returns!D:D,$B169,Returns!E:E,$C169),0)</f>
        <v>0</v>
      </c>
      <c r="G169" s="70">
        <f t="shared" si="1"/>
        <v>0</v>
      </c>
      <c r="H169" s="71">
        <f t="shared" si="2"/>
        <v>0</v>
      </c>
      <c r="I169" s="72">
        <f>IFERROR( SUMIFS('Stock In'!I:I,'Stock In'!C:C,$A169,'Stock In'!D:D,$B169,'Stock In'!E:E,$C169) / SUMIFS('Stock In'!H:H,'Stock In'!C:C,$A169,'Stock In'!D:D,$B169,'Stock In'!E:E,$C169) , 0)</f>
        <v>0</v>
      </c>
      <c r="J169" s="71">
        <f t="shared" si="3"/>
        <v>0</v>
      </c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8"/>
      <c r="B170" s="68"/>
      <c r="C170" s="68"/>
      <c r="D170" s="70">
        <f>IFERROR(SUMIFS('Stock In'!F:F,'Stock In'!C:C,$A170,'Stock In'!D:D,$B170,'Stock In'!E:E,$C170),0)</f>
        <v>0</v>
      </c>
      <c r="E170" s="70">
        <f>IFERROR(SUMIFS(Issues!H:H,Issues!C:C,$A170,Issues!D:D,$B170,Issues!E:E,$C170),0)</f>
        <v>0</v>
      </c>
      <c r="F170" s="70">
        <f>IFERROR(SUMIFS(Returns!H:H,Returns!C:C,$A170,Returns!D:D,$B170,Returns!E:E,$C170),0)</f>
        <v>0</v>
      </c>
      <c r="G170" s="70">
        <f t="shared" si="1"/>
        <v>0</v>
      </c>
      <c r="H170" s="71">
        <f t="shared" si="2"/>
        <v>0</v>
      </c>
      <c r="I170" s="72">
        <f>IFERROR( SUMIFS('Stock In'!I:I,'Stock In'!C:C,$A170,'Stock In'!D:D,$B170,'Stock In'!E:E,$C170) / SUMIFS('Stock In'!H:H,'Stock In'!C:C,$A170,'Stock In'!D:D,$B170,'Stock In'!E:E,$C170) , 0)</f>
        <v>0</v>
      </c>
      <c r="J170" s="71">
        <f t="shared" si="3"/>
        <v>0</v>
      </c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8"/>
      <c r="B171" s="68"/>
      <c r="C171" s="68"/>
      <c r="D171" s="70">
        <f>IFERROR(SUMIFS('Stock In'!F:F,'Stock In'!C:C,$A171,'Stock In'!D:D,$B171,'Stock In'!E:E,$C171),0)</f>
        <v>0</v>
      </c>
      <c r="E171" s="70">
        <f>IFERROR(SUMIFS(Issues!H:H,Issues!C:C,$A171,Issues!D:D,$B171,Issues!E:E,$C171),0)</f>
        <v>0</v>
      </c>
      <c r="F171" s="70">
        <f>IFERROR(SUMIFS(Returns!H:H,Returns!C:C,$A171,Returns!D:D,$B171,Returns!E:E,$C171),0)</f>
        <v>0</v>
      </c>
      <c r="G171" s="70">
        <f t="shared" si="1"/>
        <v>0</v>
      </c>
      <c r="H171" s="71">
        <f t="shared" si="2"/>
        <v>0</v>
      </c>
      <c r="I171" s="72">
        <f>IFERROR( SUMIFS('Stock In'!I:I,'Stock In'!C:C,$A171,'Stock In'!D:D,$B171,'Stock In'!E:E,$C171) / SUMIFS('Stock In'!H:H,'Stock In'!C:C,$A171,'Stock In'!D:D,$B171,'Stock In'!E:E,$C171) , 0)</f>
        <v>0</v>
      </c>
      <c r="J171" s="71">
        <f t="shared" si="3"/>
        <v>0</v>
      </c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8"/>
      <c r="B172" s="68"/>
      <c r="C172" s="68"/>
      <c r="D172" s="70">
        <f>IFERROR(SUMIFS('Stock In'!F:F,'Stock In'!C:C,$A172,'Stock In'!D:D,$B172,'Stock In'!E:E,$C172),0)</f>
        <v>0</v>
      </c>
      <c r="E172" s="70">
        <f>IFERROR(SUMIFS(Issues!H:H,Issues!C:C,$A172,Issues!D:D,$B172,Issues!E:E,$C172),0)</f>
        <v>0</v>
      </c>
      <c r="F172" s="70">
        <f>IFERROR(SUMIFS(Returns!H:H,Returns!C:C,$A172,Returns!D:D,$B172,Returns!E:E,$C172),0)</f>
        <v>0</v>
      </c>
      <c r="G172" s="70">
        <f t="shared" si="1"/>
        <v>0</v>
      </c>
      <c r="H172" s="71">
        <f t="shared" si="2"/>
        <v>0</v>
      </c>
      <c r="I172" s="72">
        <f>IFERROR( SUMIFS('Stock In'!I:I,'Stock In'!C:C,$A172,'Stock In'!D:D,$B172,'Stock In'!E:E,$C172) / SUMIFS('Stock In'!H:H,'Stock In'!C:C,$A172,'Stock In'!D:D,$B172,'Stock In'!E:E,$C172) , 0)</f>
        <v>0</v>
      </c>
      <c r="J172" s="71">
        <f t="shared" si="3"/>
        <v>0</v>
      </c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8"/>
      <c r="B173" s="68"/>
      <c r="C173" s="68"/>
      <c r="D173" s="70">
        <f>IFERROR(SUMIFS('Stock In'!F:F,'Stock In'!C:C,$A173,'Stock In'!D:D,$B173,'Stock In'!E:E,$C173),0)</f>
        <v>0</v>
      </c>
      <c r="E173" s="70">
        <f>IFERROR(SUMIFS(Issues!H:H,Issues!C:C,$A173,Issues!D:D,$B173,Issues!E:E,$C173),0)</f>
        <v>0</v>
      </c>
      <c r="F173" s="70">
        <f>IFERROR(SUMIFS(Returns!H:H,Returns!C:C,$A173,Returns!D:D,$B173,Returns!E:E,$C173),0)</f>
        <v>0</v>
      </c>
      <c r="G173" s="70">
        <f t="shared" si="1"/>
        <v>0</v>
      </c>
      <c r="H173" s="71">
        <f t="shared" si="2"/>
        <v>0</v>
      </c>
      <c r="I173" s="72">
        <f>IFERROR( SUMIFS('Stock In'!I:I,'Stock In'!C:C,$A173,'Stock In'!D:D,$B173,'Stock In'!E:E,$C173) / SUMIFS('Stock In'!H:H,'Stock In'!C:C,$A173,'Stock In'!D:D,$B173,'Stock In'!E:E,$C173) , 0)</f>
        <v>0</v>
      </c>
      <c r="J173" s="71">
        <f t="shared" si="3"/>
        <v>0</v>
      </c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8"/>
      <c r="B174" s="68"/>
      <c r="C174" s="68"/>
      <c r="D174" s="70">
        <f>IFERROR(SUMIFS('Stock In'!F:F,'Stock In'!C:C,$A174,'Stock In'!D:D,$B174,'Stock In'!E:E,$C174),0)</f>
        <v>0</v>
      </c>
      <c r="E174" s="70">
        <f>IFERROR(SUMIFS(Issues!H:H,Issues!C:C,$A174,Issues!D:D,$B174,Issues!E:E,$C174),0)</f>
        <v>0</v>
      </c>
      <c r="F174" s="70">
        <f>IFERROR(SUMIFS(Returns!H:H,Returns!C:C,$A174,Returns!D:D,$B174,Returns!E:E,$C174),0)</f>
        <v>0</v>
      </c>
      <c r="G174" s="70">
        <f t="shared" si="1"/>
        <v>0</v>
      </c>
      <c r="H174" s="71">
        <f t="shared" si="2"/>
        <v>0</v>
      </c>
      <c r="I174" s="72">
        <f>IFERROR( SUMIFS('Stock In'!I:I,'Stock In'!C:C,$A174,'Stock In'!D:D,$B174,'Stock In'!E:E,$C174) / SUMIFS('Stock In'!H:H,'Stock In'!C:C,$A174,'Stock In'!D:D,$B174,'Stock In'!E:E,$C174) , 0)</f>
        <v>0</v>
      </c>
      <c r="J174" s="71">
        <f t="shared" si="3"/>
        <v>0</v>
      </c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8"/>
      <c r="B175" s="68"/>
      <c r="C175" s="68"/>
      <c r="D175" s="70">
        <f>IFERROR(SUMIFS('Stock In'!F:F,'Stock In'!C:C,$A175,'Stock In'!D:D,$B175,'Stock In'!E:E,$C175),0)</f>
        <v>0</v>
      </c>
      <c r="E175" s="70">
        <f>IFERROR(SUMIFS(Issues!H:H,Issues!C:C,$A175,Issues!D:D,$B175,Issues!E:E,$C175),0)</f>
        <v>0</v>
      </c>
      <c r="F175" s="70">
        <f>IFERROR(SUMIFS(Returns!H:H,Returns!C:C,$A175,Returns!D:D,$B175,Returns!E:E,$C175),0)</f>
        <v>0</v>
      </c>
      <c r="G175" s="70">
        <f t="shared" si="1"/>
        <v>0</v>
      </c>
      <c r="H175" s="71">
        <f t="shared" si="2"/>
        <v>0</v>
      </c>
      <c r="I175" s="72">
        <f>IFERROR( SUMIFS('Stock In'!I:I,'Stock In'!C:C,$A175,'Stock In'!D:D,$B175,'Stock In'!E:E,$C175) / SUMIFS('Stock In'!H:H,'Stock In'!C:C,$A175,'Stock In'!D:D,$B175,'Stock In'!E:E,$C175) , 0)</f>
        <v>0</v>
      </c>
      <c r="J175" s="71">
        <f t="shared" si="3"/>
        <v>0</v>
      </c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8"/>
      <c r="B176" s="68"/>
      <c r="C176" s="68"/>
      <c r="D176" s="70">
        <f>IFERROR(SUMIFS('Stock In'!F:F,'Stock In'!C:C,$A176,'Stock In'!D:D,$B176,'Stock In'!E:E,$C176),0)</f>
        <v>0</v>
      </c>
      <c r="E176" s="70">
        <f>IFERROR(SUMIFS(Issues!H:H,Issues!C:C,$A176,Issues!D:D,$B176,Issues!E:E,$C176),0)</f>
        <v>0</v>
      </c>
      <c r="F176" s="70">
        <f>IFERROR(SUMIFS(Returns!H:H,Returns!C:C,$A176,Returns!D:D,$B176,Returns!E:E,$C176),0)</f>
        <v>0</v>
      </c>
      <c r="G176" s="70">
        <f t="shared" si="1"/>
        <v>0</v>
      </c>
      <c r="H176" s="71">
        <f t="shared" si="2"/>
        <v>0</v>
      </c>
      <c r="I176" s="72">
        <f>IFERROR( SUMIFS('Stock In'!I:I,'Stock In'!C:C,$A176,'Stock In'!D:D,$B176,'Stock In'!E:E,$C176) / SUMIFS('Stock In'!H:H,'Stock In'!C:C,$A176,'Stock In'!D:D,$B176,'Stock In'!E:E,$C176) , 0)</f>
        <v>0</v>
      </c>
      <c r="J176" s="71">
        <f t="shared" si="3"/>
        <v>0</v>
      </c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8"/>
      <c r="B177" s="68"/>
      <c r="C177" s="68"/>
      <c r="D177" s="70">
        <f>IFERROR(SUMIFS('Stock In'!F:F,'Stock In'!C:C,$A177,'Stock In'!D:D,$B177,'Stock In'!E:E,$C177),0)</f>
        <v>0</v>
      </c>
      <c r="E177" s="70">
        <f>IFERROR(SUMIFS(Issues!H:H,Issues!C:C,$A177,Issues!D:D,$B177,Issues!E:E,$C177),0)</f>
        <v>0</v>
      </c>
      <c r="F177" s="70">
        <f>IFERROR(SUMIFS(Returns!H:H,Returns!C:C,$A177,Returns!D:D,$B177,Returns!E:E,$C177),0)</f>
        <v>0</v>
      </c>
      <c r="G177" s="70">
        <f t="shared" si="1"/>
        <v>0</v>
      </c>
      <c r="H177" s="71">
        <f t="shared" si="2"/>
        <v>0</v>
      </c>
      <c r="I177" s="72">
        <f>IFERROR( SUMIFS('Stock In'!I:I,'Stock In'!C:C,$A177,'Stock In'!D:D,$B177,'Stock In'!E:E,$C177) / SUMIFS('Stock In'!H:H,'Stock In'!C:C,$A177,'Stock In'!D:D,$B177,'Stock In'!E:E,$C177) , 0)</f>
        <v>0</v>
      </c>
      <c r="J177" s="71">
        <f t="shared" si="3"/>
        <v>0</v>
      </c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8"/>
      <c r="B178" s="68"/>
      <c r="C178" s="68"/>
      <c r="D178" s="70">
        <f>IFERROR(SUMIFS('Stock In'!F:F,'Stock In'!C:C,$A178,'Stock In'!D:D,$B178,'Stock In'!E:E,$C178),0)</f>
        <v>0</v>
      </c>
      <c r="E178" s="70">
        <f>IFERROR(SUMIFS(Issues!H:H,Issues!C:C,$A178,Issues!D:D,$B178,Issues!E:E,$C178),0)</f>
        <v>0</v>
      </c>
      <c r="F178" s="70">
        <f>IFERROR(SUMIFS(Returns!H:H,Returns!C:C,$A178,Returns!D:D,$B178,Returns!E:E,$C178),0)</f>
        <v>0</v>
      </c>
      <c r="G178" s="70">
        <f t="shared" si="1"/>
        <v>0</v>
      </c>
      <c r="H178" s="71">
        <f t="shared" si="2"/>
        <v>0</v>
      </c>
      <c r="I178" s="72">
        <f>IFERROR( SUMIFS('Stock In'!I:I,'Stock In'!C:C,$A178,'Stock In'!D:D,$B178,'Stock In'!E:E,$C178) / SUMIFS('Stock In'!H:H,'Stock In'!C:C,$A178,'Stock In'!D:D,$B178,'Stock In'!E:E,$C178) , 0)</f>
        <v>0</v>
      </c>
      <c r="J178" s="71">
        <f t="shared" si="3"/>
        <v>0</v>
      </c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8"/>
      <c r="B179" s="68"/>
      <c r="C179" s="68"/>
      <c r="D179" s="70">
        <f>IFERROR(SUMIFS('Stock In'!F:F,'Stock In'!C:C,$A179,'Stock In'!D:D,$B179,'Stock In'!E:E,$C179),0)</f>
        <v>0</v>
      </c>
      <c r="E179" s="70">
        <f>IFERROR(SUMIFS(Issues!H:H,Issues!C:C,$A179,Issues!D:D,$B179,Issues!E:E,$C179),0)</f>
        <v>0</v>
      </c>
      <c r="F179" s="70">
        <f>IFERROR(SUMIFS(Returns!H:H,Returns!C:C,$A179,Returns!D:D,$B179,Returns!E:E,$C179),0)</f>
        <v>0</v>
      </c>
      <c r="G179" s="70">
        <f t="shared" si="1"/>
        <v>0</v>
      </c>
      <c r="H179" s="71">
        <f t="shared" si="2"/>
        <v>0</v>
      </c>
      <c r="I179" s="72">
        <f>IFERROR( SUMIFS('Stock In'!I:I,'Stock In'!C:C,$A179,'Stock In'!D:D,$B179,'Stock In'!E:E,$C179) / SUMIFS('Stock In'!H:H,'Stock In'!C:C,$A179,'Stock In'!D:D,$B179,'Stock In'!E:E,$C179) , 0)</f>
        <v>0</v>
      </c>
      <c r="J179" s="71">
        <f t="shared" si="3"/>
        <v>0</v>
      </c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8"/>
      <c r="B180" s="68"/>
      <c r="C180" s="68"/>
      <c r="D180" s="70">
        <f>IFERROR(SUMIFS('Stock In'!F:F,'Stock In'!C:C,$A180,'Stock In'!D:D,$B180,'Stock In'!E:E,$C180),0)</f>
        <v>0</v>
      </c>
      <c r="E180" s="70">
        <f>IFERROR(SUMIFS(Issues!H:H,Issues!C:C,$A180,Issues!D:D,$B180,Issues!E:E,$C180),0)</f>
        <v>0</v>
      </c>
      <c r="F180" s="70">
        <f>IFERROR(SUMIFS(Returns!H:H,Returns!C:C,$A180,Returns!D:D,$B180,Returns!E:E,$C180),0)</f>
        <v>0</v>
      </c>
      <c r="G180" s="70">
        <f t="shared" si="1"/>
        <v>0</v>
      </c>
      <c r="H180" s="71">
        <f t="shared" si="2"/>
        <v>0</v>
      </c>
      <c r="I180" s="72">
        <f>IFERROR( SUMIFS('Stock In'!I:I,'Stock In'!C:C,$A180,'Stock In'!D:D,$B180,'Stock In'!E:E,$C180) / SUMIFS('Stock In'!H:H,'Stock In'!C:C,$A180,'Stock In'!D:D,$B180,'Stock In'!E:E,$C180) , 0)</f>
        <v>0</v>
      </c>
      <c r="J180" s="71">
        <f t="shared" si="3"/>
        <v>0</v>
      </c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8"/>
      <c r="B181" s="68"/>
      <c r="C181" s="68"/>
      <c r="D181" s="70">
        <f>IFERROR(SUMIFS('Stock In'!F:F,'Stock In'!C:C,$A181,'Stock In'!D:D,$B181,'Stock In'!E:E,$C181),0)</f>
        <v>0</v>
      </c>
      <c r="E181" s="70">
        <f>IFERROR(SUMIFS(Issues!H:H,Issues!C:C,$A181,Issues!D:D,$B181,Issues!E:E,$C181),0)</f>
        <v>0</v>
      </c>
      <c r="F181" s="70">
        <f>IFERROR(SUMIFS(Returns!H:H,Returns!C:C,$A181,Returns!D:D,$B181,Returns!E:E,$C181),0)</f>
        <v>0</v>
      </c>
      <c r="G181" s="70">
        <f t="shared" si="1"/>
        <v>0</v>
      </c>
      <c r="H181" s="71">
        <f t="shared" si="2"/>
        <v>0</v>
      </c>
      <c r="I181" s="72">
        <f>IFERROR( SUMIFS('Stock In'!I:I,'Stock In'!C:C,$A181,'Stock In'!D:D,$B181,'Stock In'!E:E,$C181) / SUMIFS('Stock In'!H:H,'Stock In'!C:C,$A181,'Stock In'!D:D,$B181,'Stock In'!E:E,$C181) , 0)</f>
        <v>0</v>
      </c>
      <c r="J181" s="71">
        <f t="shared" si="3"/>
        <v>0</v>
      </c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8"/>
      <c r="B182" s="68"/>
      <c r="C182" s="68"/>
      <c r="D182" s="70">
        <f>IFERROR(SUMIFS('Stock In'!F:F,'Stock In'!C:C,$A182,'Stock In'!D:D,$B182,'Stock In'!E:E,$C182),0)</f>
        <v>0</v>
      </c>
      <c r="E182" s="70">
        <f>IFERROR(SUMIFS(Issues!H:H,Issues!C:C,$A182,Issues!D:D,$B182,Issues!E:E,$C182),0)</f>
        <v>0</v>
      </c>
      <c r="F182" s="70">
        <f>IFERROR(SUMIFS(Returns!H:H,Returns!C:C,$A182,Returns!D:D,$B182,Returns!E:E,$C182),0)</f>
        <v>0</v>
      </c>
      <c r="G182" s="70">
        <f t="shared" si="1"/>
        <v>0</v>
      </c>
      <c r="H182" s="71">
        <f t="shared" si="2"/>
        <v>0</v>
      </c>
      <c r="I182" s="72">
        <f>IFERROR( SUMIFS('Stock In'!I:I,'Stock In'!C:C,$A182,'Stock In'!D:D,$B182,'Stock In'!E:E,$C182) / SUMIFS('Stock In'!H:H,'Stock In'!C:C,$A182,'Stock In'!D:D,$B182,'Stock In'!E:E,$C182) , 0)</f>
        <v>0</v>
      </c>
      <c r="J182" s="71">
        <f t="shared" si="3"/>
        <v>0</v>
      </c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8"/>
      <c r="B183" s="68"/>
      <c r="C183" s="68"/>
      <c r="D183" s="70">
        <f>IFERROR(SUMIFS('Stock In'!F:F,'Stock In'!C:C,$A183,'Stock In'!D:D,$B183,'Stock In'!E:E,$C183),0)</f>
        <v>0</v>
      </c>
      <c r="E183" s="70">
        <f>IFERROR(SUMIFS(Issues!H:H,Issues!C:C,$A183,Issues!D:D,$B183,Issues!E:E,$C183),0)</f>
        <v>0</v>
      </c>
      <c r="F183" s="70">
        <f>IFERROR(SUMIFS(Returns!H:H,Returns!C:C,$A183,Returns!D:D,$B183,Returns!E:E,$C183),0)</f>
        <v>0</v>
      </c>
      <c r="G183" s="70">
        <f t="shared" si="1"/>
        <v>0</v>
      </c>
      <c r="H183" s="71">
        <f t="shared" si="2"/>
        <v>0</v>
      </c>
      <c r="I183" s="72">
        <f>IFERROR( SUMIFS('Stock In'!I:I,'Stock In'!C:C,$A183,'Stock In'!D:D,$B183,'Stock In'!E:E,$C183) / SUMIFS('Stock In'!H:H,'Stock In'!C:C,$A183,'Stock In'!D:D,$B183,'Stock In'!E:E,$C183) , 0)</f>
        <v>0</v>
      </c>
      <c r="J183" s="71">
        <f t="shared" si="3"/>
        <v>0</v>
      </c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8"/>
      <c r="B184" s="68"/>
      <c r="C184" s="68"/>
      <c r="D184" s="70">
        <f>IFERROR(SUMIFS('Stock In'!F:F,'Stock In'!C:C,$A184,'Stock In'!D:D,$B184,'Stock In'!E:E,$C184),0)</f>
        <v>0</v>
      </c>
      <c r="E184" s="70">
        <f>IFERROR(SUMIFS(Issues!H:H,Issues!C:C,$A184,Issues!D:D,$B184,Issues!E:E,$C184),0)</f>
        <v>0</v>
      </c>
      <c r="F184" s="70">
        <f>IFERROR(SUMIFS(Returns!H:H,Returns!C:C,$A184,Returns!D:D,$B184,Returns!E:E,$C184),0)</f>
        <v>0</v>
      </c>
      <c r="G184" s="70">
        <f t="shared" si="1"/>
        <v>0</v>
      </c>
      <c r="H184" s="71">
        <f t="shared" si="2"/>
        <v>0</v>
      </c>
      <c r="I184" s="72">
        <f>IFERROR( SUMIFS('Stock In'!I:I,'Stock In'!C:C,$A184,'Stock In'!D:D,$B184,'Stock In'!E:E,$C184) / SUMIFS('Stock In'!H:H,'Stock In'!C:C,$A184,'Stock In'!D:D,$B184,'Stock In'!E:E,$C184) , 0)</f>
        <v>0</v>
      </c>
      <c r="J184" s="71">
        <f t="shared" si="3"/>
        <v>0</v>
      </c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8"/>
      <c r="B185" s="68"/>
      <c r="C185" s="68"/>
      <c r="D185" s="70">
        <f>IFERROR(SUMIFS('Stock In'!F:F,'Stock In'!C:C,$A185,'Stock In'!D:D,$B185,'Stock In'!E:E,$C185),0)</f>
        <v>0</v>
      </c>
      <c r="E185" s="70">
        <f>IFERROR(SUMIFS(Issues!H:H,Issues!C:C,$A185,Issues!D:D,$B185,Issues!E:E,$C185),0)</f>
        <v>0</v>
      </c>
      <c r="F185" s="70">
        <f>IFERROR(SUMIFS(Returns!H:H,Returns!C:C,$A185,Returns!D:D,$B185,Returns!E:E,$C185),0)</f>
        <v>0</v>
      </c>
      <c r="G185" s="70">
        <f t="shared" si="1"/>
        <v>0</v>
      </c>
      <c r="H185" s="71">
        <f t="shared" si="2"/>
        <v>0</v>
      </c>
      <c r="I185" s="72">
        <f>IFERROR( SUMIFS('Stock In'!I:I,'Stock In'!C:C,$A185,'Stock In'!D:D,$B185,'Stock In'!E:E,$C185) / SUMIFS('Stock In'!H:H,'Stock In'!C:C,$A185,'Stock In'!D:D,$B185,'Stock In'!E:E,$C185) , 0)</f>
        <v>0</v>
      </c>
      <c r="J185" s="71">
        <f t="shared" si="3"/>
        <v>0</v>
      </c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8"/>
      <c r="B186" s="68"/>
      <c r="C186" s="68"/>
      <c r="D186" s="70">
        <f>IFERROR(SUMIFS('Stock In'!F:F,'Stock In'!C:C,$A186,'Stock In'!D:D,$B186,'Stock In'!E:E,$C186),0)</f>
        <v>0</v>
      </c>
      <c r="E186" s="70">
        <f>IFERROR(SUMIFS(Issues!H:H,Issues!C:C,$A186,Issues!D:D,$B186,Issues!E:E,$C186),0)</f>
        <v>0</v>
      </c>
      <c r="F186" s="70">
        <f>IFERROR(SUMIFS(Returns!H:H,Returns!C:C,$A186,Returns!D:D,$B186,Returns!E:E,$C186),0)</f>
        <v>0</v>
      </c>
      <c r="G186" s="70">
        <f t="shared" si="1"/>
        <v>0</v>
      </c>
      <c r="H186" s="71">
        <f t="shared" si="2"/>
        <v>0</v>
      </c>
      <c r="I186" s="72">
        <f>IFERROR( SUMIFS('Stock In'!I:I,'Stock In'!C:C,$A186,'Stock In'!D:D,$B186,'Stock In'!E:E,$C186) / SUMIFS('Stock In'!H:H,'Stock In'!C:C,$A186,'Stock In'!D:D,$B186,'Stock In'!E:E,$C186) , 0)</f>
        <v>0</v>
      </c>
      <c r="J186" s="71">
        <f t="shared" si="3"/>
        <v>0</v>
      </c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8"/>
      <c r="B187" s="68"/>
      <c r="C187" s="68"/>
      <c r="D187" s="70">
        <f>IFERROR(SUMIFS('Stock In'!F:F,'Stock In'!C:C,$A187,'Stock In'!D:D,$B187,'Stock In'!E:E,$C187),0)</f>
        <v>0</v>
      </c>
      <c r="E187" s="70">
        <f>IFERROR(SUMIFS(Issues!H:H,Issues!C:C,$A187,Issues!D:D,$B187,Issues!E:E,$C187),0)</f>
        <v>0</v>
      </c>
      <c r="F187" s="70">
        <f>IFERROR(SUMIFS(Returns!H:H,Returns!C:C,$A187,Returns!D:D,$B187,Returns!E:E,$C187),0)</f>
        <v>0</v>
      </c>
      <c r="G187" s="70">
        <f t="shared" si="1"/>
        <v>0</v>
      </c>
      <c r="H187" s="71">
        <f t="shared" si="2"/>
        <v>0</v>
      </c>
      <c r="I187" s="72">
        <f>IFERROR( SUMIFS('Stock In'!I:I,'Stock In'!C:C,$A187,'Stock In'!D:D,$B187,'Stock In'!E:E,$C187) / SUMIFS('Stock In'!H:H,'Stock In'!C:C,$A187,'Stock In'!D:D,$B187,'Stock In'!E:E,$C187) , 0)</f>
        <v>0</v>
      </c>
      <c r="J187" s="71">
        <f t="shared" si="3"/>
        <v>0</v>
      </c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8"/>
      <c r="B188" s="68"/>
      <c r="C188" s="68"/>
      <c r="D188" s="70">
        <f>IFERROR(SUMIFS('Stock In'!F:F,'Stock In'!C:C,$A188,'Stock In'!D:D,$B188,'Stock In'!E:E,$C188),0)</f>
        <v>0</v>
      </c>
      <c r="E188" s="70">
        <f>IFERROR(SUMIFS(Issues!H:H,Issues!C:C,$A188,Issues!D:D,$B188,Issues!E:E,$C188),0)</f>
        <v>0</v>
      </c>
      <c r="F188" s="70">
        <f>IFERROR(SUMIFS(Returns!H:H,Returns!C:C,$A188,Returns!D:D,$B188,Returns!E:E,$C188),0)</f>
        <v>0</v>
      </c>
      <c r="G188" s="70">
        <f t="shared" si="1"/>
        <v>0</v>
      </c>
      <c r="H188" s="71">
        <f t="shared" si="2"/>
        <v>0</v>
      </c>
      <c r="I188" s="72">
        <f>IFERROR( SUMIFS('Stock In'!I:I,'Stock In'!C:C,$A188,'Stock In'!D:D,$B188,'Stock In'!E:E,$C188) / SUMIFS('Stock In'!H:H,'Stock In'!C:C,$A188,'Stock In'!D:D,$B188,'Stock In'!E:E,$C188) , 0)</f>
        <v>0</v>
      </c>
      <c r="J188" s="71">
        <f t="shared" si="3"/>
        <v>0</v>
      </c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8"/>
      <c r="B189" s="68"/>
      <c r="C189" s="68"/>
      <c r="D189" s="70">
        <f>IFERROR(SUMIFS('Stock In'!F:F,'Stock In'!C:C,$A189,'Stock In'!D:D,$B189,'Stock In'!E:E,$C189),0)</f>
        <v>0</v>
      </c>
      <c r="E189" s="70">
        <f>IFERROR(SUMIFS(Issues!H:H,Issues!C:C,$A189,Issues!D:D,$B189,Issues!E:E,$C189),0)</f>
        <v>0</v>
      </c>
      <c r="F189" s="70">
        <f>IFERROR(SUMIFS(Returns!H:H,Returns!C:C,$A189,Returns!D:D,$B189,Returns!E:E,$C189),0)</f>
        <v>0</v>
      </c>
      <c r="G189" s="70">
        <f t="shared" si="1"/>
        <v>0</v>
      </c>
      <c r="H189" s="71">
        <f t="shared" si="2"/>
        <v>0</v>
      </c>
      <c r="I189" s="72">
        <f>IFERROR( SUMIFS('Stock In'!I:I,'Stock In'!C:C,$A189,'Stock In'!D:D,$B189,'Stock In'!E:E,$C189) / SUMIFS('Stock In'!H:H,'Stock In'!C:C,$A189,'Stock In'!D:D,$B189,'Stock In'!E:E,$C189) , 0)</f>
        <v>0</v>
      </c>
      <c r="J189" s="71">
        <f t="shared" si="3"/>
        <v>0</v>
      </c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8"/>
      <c r="B190" s="68"/>
      <c r="C190" s="68"/>
      <c r="D190" s="70">
        <f>IFERROR(SUMIFS('Stock In'!F:F,'Stock In'!C:C,$A190,'Stock In'!D:D,$B190,'Stock In'!E:E,$C190),0)</f>
        <v>0</v>
      </c>
      <c r="E190" s="70">
        <f>IFERROR(SUMIFS(Issues!H:H,Issues!C:C,$A190,Issues!D:D,$B190,Issues!E:E,$C190),0)</f>
        <v>0</v>
      </c>
      <c r="F190" s="70">
        <f>IFERROR(SUMIFS(Returns!H:H,Returns!C:C,$A190,Returns!D:D,$B190,Returns!E:E,$C190),0)</f>
        <v>0</v>
      </c>
      <c r="G190" s="70">
        <f t="shared" si="1"/>
        <v>0</v>
      </c>
      <c r="H190" s="71">
        <f t="shared" si="2"/>
        <v>0</v>
      </c>
      <c r="I190" s="72">
        <f>IFERROR( SUMIFS('Stock In'!I:I,'Stock In'!C:C,$A190,'Stock In'!D:D,$B190,'Stock In'!E:E,$C190) / SUMIFS('Stock In'!H:H,'Stock In'!C:C,$A190,'Stock In'!D:D,$B190,'Stock In'!E:E,$C190) , 0)</f>
        <v>0</v>
      </c>
      <c r="J190" s="71">
        <f t="shared" si="3"/>
        <v>0</v>
      </c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8"/>
      <c r="B191" s="68"/>
      <c r="C191" s="68"/>
      <c r="D191" s="70">
        <f>IFERROR(SUMIFS('Stock In'!F:F,'Stock In'!C:C,$A191,'Stock In'!D:D,$B191,'Stock In'!E:E,$C191),0)</f>
        <v>0</v>
      </c>
      <c r="E191" s="70">
        <f>IFERROR(SUMIFS(Issues!H:H,Issues!C:C,$A191,Issues!D:D,$B191,Issues!E:E,$C191),0)</f>
        <v>0</v>
      </c>
      <c r="F191" s="70">
        <f>IFERROR(SUMIFS(Returns!H:H,Returns!C:C,$A191,Returns!D:D,$B191,Returns!E:E,$C191),0)</f>
        <v>0</v>
      </c>
      <c r="G191" s="70">
        <f t="shared" si="1"/>
        <v>0</v>
      </c>
      <c r="H191" s="71">
        <f t="shared" si="2"/>
        <v>0</v>
      </c>
      <c r="I191" s="72">
        <f>IFERROR( SUMIFS('Stock In'!I:I,'Stock In'!C:C,$A191,'Stock In'!D:D,$B191,'Stock In'!E:E,$C191) / SUMIFS('Stock In'!H:H,'Stock In'!C:C,$A191,'Stock In'!D:D,$B191,'Stock In'!E:E,$C191) , 0)</f>
        <v>0</v>
      </c>
      <c r="J191" s="71">
        <f t="shared" si="3"/>
        <v>0</v>
      </c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8"/>
      <c r="B192" s="68"/>
      <c r="C192" s="68"/>
      <c r="D192" s="70">
        <f>IFERROR(SUMIFS('Stock In'!F:F,'Stock In'!C:C,$A192,'Stock In'!D:D,$B192,'Stock In'!E:E,$C192),0)</f>
        <v>0</v>
      </c>
      <c r="E192" s="70">
        <f>IFERROR(SUMIFS(Issues!H:H,Issues!C:C,$A192,Issues!D:D,$B192,Issues!E:E,$C192),0)</f>
        <v>0</v>
      </c>
      <c r="F192" s="70">
        <f>IFERROR(SUMIFS(Returns!H:H,Returns!C:C,$A192,Returns!D:D,$B192,Returns!E:E,$C192),0)</f>
        <v>0</v>
      </c>
      <c r="G192" s="70">
        <f t="shared" si="1"/>
        <v>0</v>
      </c>
      <c r="H192" s="71">
        <f t="shared" si="2"/>
        <v>0</v>
      </c>
      <c r="I192" s="72">
        <f>IFERROR( SUMIFS('Stock In'!I:I,'Stock In'!C:C,$A192,'Stock In'!D:D,$B192,'Stock In'!E:E,$C192) / SUMIFS('Stock In'!H:H,'Stock In'!C:C,$A192,'Stock In'!D:D,$B192,'Stock In'!E:E,$C192) , 0)</f>
        <v>0</v>
      </c>
      <c r="J192" s="71">
        <f t="shared" si="3"/>
        <v>0</v>
      </c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8"/>
      <c r="B193" s="68"/>
      <c r="C193" s="68"/>
      <c r="D193" s="70">
        <f>IFERROR(SUMIFS('Stock In'!F:F,'Stock In'!C:C,$A193,'Stock In'!D:D,$B193,'Stock In'!E:E,$C193),0)</f>
        <v>0</v>
      </c>
      <c r="E193" s="70">
        <f>IFERROR(SUMIFS(Issues!H:H,Issues!C:C,$A193,Issues!D:D,$B193,Issues!E:E,$C193),0)</f>
        <v>0</v>
      </c>
      <c r="F193" s="70">
        <f>IFERROR(SUMIFS(Returns!H:H,Returns!C:C,$A193,Returns!D:D,$B193,Returns!E:E,$C193),0)</f>
        <v>0</v>
      </c>
      <c r="G193" s="70">
        <f t="shared" si="1"/>
        <v>0</v>
      </c>
      <c r="H193" s="71">
        <f t="shared" si="2"/>
        <v>0</v>
      </c>
      <c r="I193" s="72">
        <f>IFERROR( SUMIFS('Stock In'!I:I,'Stock In'!C:C,$A193,'Stock In'!D:D,$B193,'Stock In'!E:E,$C193) / SUMIFS('Stock In'!H:H,'Stock In'!C:C,$A193,'Stock In'!D:D,$B193,'Stock In'!E:E,$C193) , 0)</f>
        <v>0</v>
      </c>
      <c r="J193" s="71">
        <f t="shared" si="3"/>
        <v>0</v>
      </c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8"/>
      <c r="B194" s="68"/>
      <c r="C194" s="68"/>
      <c r="D194" s="70">
        <f>IFERROR(SUMIFS('Stock In'!F:F,'Stock In'!C:C,$A194,'Stock In'!D:D,$B194,'Stock In'!E:E,$C194),0)</f>
        <v>0</v>
      </c>
      <c r="E194" s="70">
        <f>IFERROR(SUMIFS(Issues!H:H,Issues!C:C,$A194,Issues!D:D,$B194,Issues!E:E,$C194),0)</f>
        <v>0</v>
      </c>
      <c r="F194" s="70">
        <f>IFERROR(SUMIFS(Returns!H:H,Returns!C:C,$A194,Returns!D:D,$B194,Returns!E:E,$C194),0)</f>
        <v>0</v>
      </c>
      <c r="G194" s="70">
        <f t="shared" si="1"/>
        <v>0</v>
      </c>
      <c r="H194" s="71">
        <f t="shared" si="2"/>
        <v>0</v>
      </c>
      <c r="I194" s="72">
        <f>IFERROR( SUMIFS('Stock In'!I:I,'Stock In'!C:C,$A194,'Stock In'!D:D,$B194,'Stock In'!E:E,$C194) / SUMIFS('Stock In'!H:H,'Stock In'!C:C,$A194,'Stock In'!D:D,$B194,'Stock In'!E:E,$C194) , 0)</f>
        <v>0</v>
      </c>
      <c r="J194" s="71">
        <f t="shared" si="3"/>
        <v>0</v>
      </c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8"/>
      <c r="B195" s="68"/>
      <c r="C195" s="68"/>
      <c r="D195" s="70">
        <f>IFERROR(SUMIFS('Stock In'!F:F,'Stock In'!C:C,$A195,'Stock In'!D:D,$B195,'Stock In'!E:E,$C195),0)</f>
        <v>0</v>
      </c>
      <c r="E195" s="70">
        <f>IFERROR(SUMIFS(Issues!H:H,Issues!C:C,$A195,Issues!D:D,$B195,Issues!E:E,$C195),0)</f>
        <v>0</v>
      </c>
      <c r="F195" s="70">
        <f>IFERROR(SUMIFS(Returns!H:H,Returns!C:C,$A195,Returns!D:D,$B195,Returns!E:E,$C195),0)</f>
        <v>0</v>
      </c>
      <c r="G195" s="70">
        <f t="shared" si="1"/>
        <v>0</v>
      </c>
      <c r="H195" s="71">
        <f t="shared" si="2"/>
        <v>0</v>
      </c>
      <c r="I195" s="72">
        <f>IFERROR( SUMIFS('Stock In'!I:I,'Stock In'!C:C,$A195,'Stock In'!D:D,$B195,'Stock In'!E:E,$C195) / SUMIFS('Stock In'!H:H,'Stock In'!C:C,$A195,'Stock In'!D:D,$B195,'Stock In'!E:E,$C195) , 0)</f>
        <v>0</v>
      </c>
      <c r="J195" s="71">
        <f t="shared" si="3"/>
        <v>0</v>
      </c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8"/>
      <c r="B196" s="68"/>
      <c r="C196" s="68"/>
      <c r="D196" s="70">
        <f>IFERROR(SUMIFS('Stock In'!F:F,'Stock In'!C:C,$A196,'Stock In'!D:D,$B196,'Stock In'!E:E,$C196),0)</f>
        <v>0</v>
      </c>
      <c r="E196" s="70">
        <f>IFERROR(SUMIFS(Issues!H:H,Issues!C:C,$A196,Issues!D:D,$B196,Issues!E:E,$C196),0)</f>
        <v>0</v>
      </c>
      <c r="F196" s="70">
        <f>IFERROR(SUMIFS(Returns!H:H,Returns!C:C,$A196,Returns!D:D,$B196,Returns!E:E,$C196),0)</f>
        <v>0</v>
      </c>
      <c r="G196" s="70">
        <f t="shared" si="1"/>
        <v>0</v>
      </c>
      <c r="H196" s="71">
        <f t="shared" si="2"/>
        <v>0</v>
      </c>
      <c r="I196" s="72">
        <f>IFERROR( SUMIFS('Stock In'!I:I,'Stock In'!C:C,$A196,'Stock In'!D:D,$B196,'Stock In'!E:E,$C196) / SUMIFS('Stock In'!H:H,'Stock In'!C:C,$A196,'Stock In'!D:D,$B196,'Stock In'!E:E,$C196) , 0)</f>
        <v>0</v>
      </c>
      <c r="J196" s="71">
        <f t="shared" si="3"/>
        <v>0</v>
      </c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8"/>
      <c r="B197" s="68"/>
      <c r="C197" s="68"/>
      <c r="D197" s="70">
        <f>IFERROR(SUMIFS('Stock In'!F:F,'Stock In'!C:C,$A197,'Stock In'!D:D,$B197,'Stock In'!E:E,$C197),0)</f>
        <v>0</v>
      </c>
      <c r="E197" s="70">
        <f>IFERROR(SUMIFS(Issues!H:H,Issues!C:C,$A197,Issues!D:D,$B197,Issues!E:E,$C197),0)</f>
        <v>0</v>
      </c>
      <c r="F197" s="70">
        <f>IFERROR(SUMIFS(Returns!H:H,Returns!C:C,$A197,Returns!D:D,$B197,Returns!E:E,$C197),0)</f>
        <v>0</v>
      </c>
      <c r="G197" s="70">
        <f t="shared" si="1"/>
        <v>0</v>
      </c>
      <c r="H197" s="71">
        <f t="shared" si="2"/>
        <v>0</v>
      </c>
      <c r="I197" s="72">
        <f>IFERROR( SUMIFS('Stock In'!I:I,'Stock In'!C:C,$A197,'Stock In'!D:D,$B197,'Stock In'!E:E,$C197) / SUMIFS('Stock In'!H:H,'Stock In'!C:C,$A197,'Stock In'!D:D,$B197,'Stock In'!E:E,$C197) , 0)</f>
        <v>0</v>
      </c>
      <c r="J197" s="71">
        <f t="shared" si="3"/>
        <v>0</v>
      </c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8"/>
      <c r="B198" s="68"/>
      <c r="C198" s="68"/>
      <c r="D198" s="70">
        <f>IFERROR(SUMIFS('Stock In'!F:F,'Stock In'!C:C,$A198,'Stock In'!D:D,$B198,'Stock In'!E:E,$C198),0)</f>
        <v>0</v>
      </c>
      <c r="E198" s="70">
        <f>IFERROR(SUMIFS(Issues!H:H,Issues!C:C,$A198,Issues!D:D,$B198,Issues!E:E,$C198),0)</f>
        <v>0</v>
      </c>
      <c r="F198" s="70">
        <f>IFERROR(SUMIFS(Returns!H:H,Returns!C:C,$A198,Returns!D:D,$B198,Returns!E:E,$C198),0)</f>
        <v>0</v>
      </c>
      <c r="G198" s="70">
        <f t="shared" si="1"/>
        <v>0</v>
      </c>
      <c r="H198" s="71">
        <f t="shared" si="2"/>
        <v>0</v>
      </c>
      <c r="I198" s="72">
        <f>IFERROR( SUMIFS('Stock In'!I:I,'Stock In'!C:C,$A198,'Stock In'!D:D,$B198,'Stock In'!E:E,$C198) / SUMIFS('Stock In'!H:H,'Stock In'!C:C,$A198,'Stock In'!D:D,$B198,'Stock In'!E:E,$C198) , 0)</f>
        <v>0</v>
      </c>
      <c r="J198" s="71">
        <f t="shared" si="3"/>
        <v>0</v>
      </c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8"/>
      <c r="B199" s="68"/>
      <c r="C199" s="68"/>
      <c r="D199" s="70">
        <f>IFERROR(SUMIFS('Stock In'!F:F,'Stock In'!C:C,$A199,'Stock In'!D:D,$B199,'Stock In'!E:E,$C199),0)</f>
        <v>0</v>
      </c>
      <c r="E199" s="70">
        <f>IFERROR(SUMIFS(Issues!H:H,Issues!C:C,$A199,Issues!D:D,$B199,Issues!E:E,$C199),0)</f>
        <v>0</v>
      </c>
      <c r="F199" s="70">
        <f>IFERROR(SUMIFS(Returns!H:H,Returns!C:C,$A199,Returns!D:D,$B199,Returns!E:E,$C199),0)</f>
        <v>0</v>
      </c>
      <c r="G199" s="70">
        <f t="shared" si="1"/>
        <v>0</v>
      </c>
      <c r="H199" s="71">
        <f t="shared" si="2"/>
        <v>0</v>
      </c>
      <c r="I199" s="72">
        <f>IFERROR( SUMIFS('Stock In'!I:I,'Stock In'!C:C,$A199,'Stock In'!D:D,$B199,'Stock In'!E:E,$C199) / SUMIFS('Stock In'!H:H,'Stock In'!C:C,$A199,'Stock In'!D:D,$B199,'Stock In'!E:E,$C199) , 0)</f>
        <v>0</v>
      </c>
      <c r="J199" s="71">
        <f t="shared" si="3"/>
        <v>0</v>
      </c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8"/>
      <c r="B200" s="68"/>
      <c r="C200" s="68"/>
      <c r="D200" s="70">
        <f>IFERROR(SUMIFS('Stock In'!F:F,'Stock In'!C:C,$A200,'Stock In'!D:D,$B200,'Stock In'!E:E,$C200),0)</f>
        <v>0</v>
      </c>
      <c r="E200" s="70">
        <f>IFERROR(SUMIFS(Issues!H:H,Issues!C:C,$A200,Issues!D:D,$B200,Issues!E:E,$C200),0)</f>
        <v>0</v>
      </c>
      <c r="F200" s="70">
        <f>IFERROR(SUMIFS(Returns!H:H,Returns!C:C,$A200,Returns!D:D,$B200,Returns!E:E,$C200),0)</f>
        <v>0</v>
      </c>
      <c r="G200" s="70">
        <f t="shared" si="1"/>
        <v>0</v>
      </c>
      <c r="H200" s="71">
        <f t="shared" si="2"/>
        <v>0</v>
      </c>
      <c r="I200" s="72">
        <f>IFERROR( SUMIFS('Stock In'!I:I,'Stock In'!C:C,$A200,'Stock In'!D:D,$B200,'Stock In'!E:E,$C200) / SUMIFS('Stock In'!H:H,'Stock In'!C:C,$A200,'Stock In'!D:D,$B200,'Stock In'!E:E,$C200) , 0)</f>
        <v>0</v>
      </c>
      <c r="J200" s="71">
        <f t="shared" si="3"/>
        <v>0</v>
      </c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8"/>
      <c r="B201" s="68"/>
      <c r="C201" s="68"/>
      <c r="D201" s="70">
        <f>IFERROR(SUMIFS('Stock In'!F:F,'Stock In'!C:C,$A201,'Stock In'!D:D,$B201,'Stock In'!E:E,$C201),0)</f>
        <v>0</v>
      </c>
      <c r="E201" s="70">
        <f>IFERROR(SUMIFS(Issues!H:H,Issues!C:C,$A201,Issues!D:D,$B201,Issues!E:E,$C201),0)</f>
        <v>0</v>
      </c>
      <c r="F201" s="70">
        <f>IFERROR(SUMIFS(Returns!H:H,Returns!C:C,$A201,Returns!D:D,$B201,Returns!E:E,$C201),0)</f>
        <v>0</v>
      </c>
      <c r="G201" s="70">
        <f t="shared" si="1"/>
        <v>0</v>
      </c>
      <c r="H201" s="71">
        <f t="shared" si="2"/>
        <v>0</v>
      </c>
      <c r="I201" s="72">
        <f>IFERROR( SUMIFS('Stock In'!I:I,'Stock In'!C:C,$A201,'Stock In'!D:D,$B201,'Stock In'!E:E,$C201) / SUMIFS('Stock In'!H:H,'Stock In'!C:C,$A201,'Stock In'!D:D,$B201,'Stock In'!E:E,$C201) , 0)</f>
        <v>0</v>
      </c>
      <c r="J201" s="71">
        <f t="shared" si="3"/>
        <v>0</v>
      </c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8"/>
      <c r="B202" s="68"/>
      <c r="C202" s="68"/>
      <c r="D202" s="70">
        <f>IFERROR(SUMIFS('Stock In'!F:F,'Stock In'!C:C,$A202,'Stock In'!D:D,$B202,'Stock In'!E:E,$C202),0)</f>
        <v>0</v>
      </c>
      <c r="E202" s="70">
        <f>IFERROR(SUMIFS(Issues!H:H,Issues!C:C,$A202,Issues!D:D,$B202,Issues!E:E,$C202),0)</f>
        <v>0</v>
      </c>
      <c r="F202" s="70">
        <f>IFERROR(SUMIFS(Returns!H:H,Returns!C:C,$A202,Returns!D:D,$B202,Returns!E:E,$C202),0)</f>
        <v>0</v>
      </c>
      <c r="G202" s="70">
        <f t="shared" si="1"/>
        <v>0</v>
      </c>
      <c r="H202" s="71">
        <f t="shared" si="2"/>
        <v>0</v>
      </c>
      <c r="I202" s="72">
        <f>IFERROR( SUMIFS('Stock In'!I:I,'Stock In'!C:C,$A202,'Stock In'!D:D,$B202,'Stock In'!E:E,$C202) / SUMIFS('Stock In'!H:H,'Stock In'!C:C,$A202,'Stock In'!D:D,$B202,'Stock In'!E:E,$C202) , 0)</f>
        <v>0</v>
      </c>
      <c r="J202" s="71">
        <f t="shared" si="3"/>
        <v>0</v>
      </c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8"/>
      <c r="B203" s="68"/>
      <c r="C203" s="68"/>
      <c r="D203" s="70">
        <f>IFERROR(SUMIFS('Stock In'!F:F,'Stock In'!C:C,$A203,'Stock In'!D:D,$B203,'Stock In'!E:E,$C203),0)</f>
        <v>0</v>
      </c>
      <c r="E203" s="70">
        <f>IFERROR(SUMIFS(Issues!H:H,Issues!C:C,$A203,Issues!D:D,$B203,Issues!E:E,$C203),0)</f>
        <v>0</v>
      </c>
      <c r="F203" s="70">
        <f>IFERROR(SUMIFS(Returns!H:H,Returns!C:C,$A203,Returns!D:D,$B203,Returns!E:E,$C203),0)</f>
        <v>0</v>
      </c>
      <c r="G203" s="70">
        <f t="shared" si="1"/>
        <v>0</v>
      </c>
      <c r="H203" s="71">
        <f t="shared" si="2"/>
        <v>0</v>
      </c>
      <c r="I203" s="72">
        <f>IFERROR( SUMIFS('Stock In'!I:I,'Stock In'!C:C,$A203,'Stock In'!D:D,$B203,'Stock In'!E:E,$C203) / SUMIFS('Stock In'!H:H,'Stock In'!C:C,$A203,'Stock In'!D:D,$B203,'Stock In'!E:E,$C203) , 0)</f>
        <v>0</v>
      </c>
      <c r="J203" s="71">
        <f t="shared" si="3"/>
        <v>0</v>
      </c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8"/>
      <c r="B204" s="68"/>
      <c r="C204" s="68"/>
      <c r="D204" s="70">
        <f>IFERROR(SUMIFS('Stock In'!F:F,'Stock In'!C:C,$A204,'Stock In'!D:D,$B204,'Stock In'!E:E,$C204),0)</f>
        <v>0</v>
      </c>
      <c r="E204" s="70">
        <f>IFERROR(SUMIFS(Issues!H:H,Issues!C:C,$A204,Issues!D:D,$B204,Issues!E:E,$C204),0)</f>
        <v>0</v>
      </c>
      <c r="F204" s="70">
        <f>IFERROR(SUMIFS(Returns!H:H,Returns!C:C,$A204,Returns!D:D,$B204,Returns!E:E,$C204),0)</f>
        <v>0</v>
      </c>
      <c r="G204" s="70">
        <f t="shared" si="1"/>
        <v>0</v>
      </c>
      <c r="H204" s="71">
        <f t="shared" si="2"/>
        <v>0</v>
      </c>
      <c r="I204" s="72">
        <f>IFERROR( SUMIFS('Stock In'!I:I,'Stock In'!C:C,$A204,'Stock In'!D:D,$B204,'Stock In'!E:E,$C204) / SUMIFS('Stock In'!H:H,'Stock In'!C:C,$A204,'Stock In'!D:D,$B204,'Stock In'!E:E,$C204) , 0)</f>
        <v>0</v>
      </c>
      <c r="J204" s="71">
        <f t="shared" si="3"/>
        <v>0</v>
      </c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8"/>
      <c r="B205" s="68"/>
      <c r="C205" s="68"/>
      <c r="D205" s="70">
        <f>IFERROR(SUMIFS('Stock In'!F:F,'Stock In'!C:C,$A205,'Stock In'!D:D,$B205,'Stock In'!E:E,$C205),0)</f>
        <v>0</v>
      </c>
      <c r="E205" s="70">
        <f>IFERROR(SUMIFS(Issues!H:H,Issues!C:C,$A205,Issues!D:D,$B205,Issues!E:E,$C205),0)</f>
        <v>0</v>
      </c>
      <c r="F205" s="70">
        <f>IFERROR(SUMIFS(Returns!H:H,Returns!C:C,$A205,Returns!D:D,$B205,Returns!E:E,$C205),0)</f>
        <v>0</v>
      </c>
      <c r="G205" s="70">
        <f t="shared" si="1"/>
        <v>0</v>
      </c>
      <c r="H205" s="71">
        <f t="shared" si="2"/>
        <v>0</v>
      </c>
      <c r="I205" s="72">
        <f>IFERROR( SUMIFS('Stock In'!I:I,'Stock In'!C:C,$A205,'Stock In'!D:D,$B205,'Stock In'!E:E,$C205) / SUMIFS('Stock In'!H:H,'Stock In'!C:C,$A205,'Stock In'!D:D,$B205,'Stock In'!E:E,$C205) , 0)</f>
        <v>0</v>
      </c>
      <c r="J205" s="71">
        <f t="shared" si="3"/>
        <v>0</v>
      </c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8"/>
      <c r="B206" s="68"/>
      <c r="C206" s="68"/>
      <c r="D206" s="70">
        <f>IFERROR(SUMIFS('Stock In'!F:F,'Stock In'!C:C,$A206,'Stock In'!D:D,$B206,'Stock In'!E:E,$C206),0)</f>
        <v>0</v>
      </c>
      <c r="E206" s="70">
        <f>IFERROR(SUMIFS(Issues!H:H,Issues!C:C,$A206,Issues!D:D,$B206,Issues!E:E,$C206),0)</f>
        <v>0</v>
      </c>
      <c r="F206" s="70">
        <f>IFERROR(SUMIFS(Returns!H:H,Returns!C:C,$A206,Returns!D:D,$B206,Returns!E:E,$C206),0)</f>
        <v>0</v>
      </c>
      <c r="G206" s="70">
        <f t="shared" si="1"/>
        <v>0</v>
      </c>
      <c r="H206" s="71">
        <f t="shared" si="2"/>
        <v>0</v>
      </c>
      <c r="I206" s="72">
        <f>IFERROR( SUMIFS('Stock In'!I:I,'Stock In'!C:C,$A206,'Stock In'!D:D,$B206,'Stock In'!E:E,$C206) / SUMIFS('Stock In'!H:H,'Stock In'!C:C,$A206,'Stock In'!D:D,$B206,'Stock In'!E:E,$C206) , 0)</f>
        <v>0</v>
      </c>
      <c r="J206" s="71">
        <f t="shared" si="3"/>
        <v>0</v>
      </c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8"/>
      <c r="B207" s="68"/>
      <c r="C207" s="68"/>
      <c r="D207" s="70">
        <f>IFERROR(SUMIFS('Stock In'!F:F,'Stock In'!C:C,$A207,'Stock In'!D:D,$B207,'Stock In'!E:E,$C207),0)</f>
        <v>0</v>
      </c>
      <c r="E207" s="70">
        <f>IFERROR(SUMIFS(Issues!H:H,Issues!C:C,$A207,Issues!D:D,$B207,Issues!E:E,$C207),0)</f>
        <v>0</v>
      </c>
      <c r="F207" s="70">
        <f>IFERROR(SUMIFS(Returns!H:H,Returns!C:C,$A207,Returns!D:D,$B207,Returns!E:E,$C207),0)</f>
        <v>0</v>
      </c>
      <c r="G207" s="70">
        <f t="shared" si="1"/>
        <v>0</v>
      </c>
      <c r="H207" s="71">
        <f t="shared" si="2"/>
        <v>0</v>
      </c>
      <c r="I207" s="72">
        <f>IFERROR( SUMIFS('Stock In'!I:I,'Stock In'!C:C,$A207,'Stock In'!D:D,$B207,'Stock In'!E:E,$C207) / SUMIFS('Stock In'!H:H,'Stock In'!C:C,$A207,'Stock In'!D:D,$B207,'Stock In'!E:E,$C207) , 0)</f>
        <v>0</v>
      </c>
      <c r="J207" s="71">
        <f t="shared" si="3"/>
        <v>0</v>
      </c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8"/>
      <c r="B208" s="68"/>
      <c r="C208" s="68"/>
      <c r="D208" s="70">
        <f>IFERROR(SUMIFS('Stock In'!F:F,'Stock In'!C:C,$A208,'Stock In'!D:D,$B208,'Stock In'!E:E,$C208),0)</f>
        <v>0</v>
      </c>
      <c r="E208" s="70">
        <f>IFERROR(SUMIFS(Issues!H:H,Issues!C:C,$A208,Issues!D:D,$B208,Issues!E:E,$C208),0)</f>
        <v>0</v>
      </c>
      <c r="F208" s="70">
        <f>IFERROR(SUMIFS(Returns!H:H,Returns!C:C,$A208,Returns!D:D,$B208,Returns!E:E,$C208),0)</f>
        <v>0</v>
      </c>
      <c r="G208" s="70">
        <f t="shared" si="1"/>
        <v>0</v>
      </c>
      <c r="H208" s="71">
        <f t="shared" si="2"/>
        <v>0</v>
      </c>
      <c r="I208" s="72">
        <f>IFERROR( SUMIFS('Stock In'!I:I,'Stock In'!C:C,$A208,'Stock In'!D:D,$B208,'Stock In'!E:E,$C208) / SUMIFS('Stock In'!H:H,'Stock In'!C:C,$A208,'Stock In'!D:D,$B208,'Stock In'!E:E,$C208) , 0)</f>
        <v>0</v>
      </c>
      <c r="J208" s="71">
        <f t="shared" si="3"/>
        <v>0</v>
      </c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8"/>
      <c r="B209" s="68"/>
      <c r="C209" s="68"/>
      <c r="D209" s="70">
        <f>IFERROR(SUMIFS('Stock In'!F:F,'Stock In'!C:C,$A209,'Stock In'!D:D,$B209,'Stock In'!E:E,$C209),0)</f>
        <v>0</v>
      </c>
      <c r="E209" s="70">
        <f>IFERROR(SUMIFS(Issues!H:H,Issues!C:C,$A209,Issues!D:D,$B209,Issues!E:E,$C209),0)</f>
        <v>0</v>
      </c>
      <c r="F209" s="70">
        <f>IFERROR(SUMIFS(Returns!H:H,Returns!C:C,$A209,Returns!D:D,$B209,Returns!E:E,$C209),0)</f>
        <v>0</v>
      </c>
      <c r="G209" s="70">
        <f t="shared" si="1"/>
        <v>0</v>
      </c>
      <c r="H209" s="71">
        <f t="shared" si="2"/>
        <v>0</v>
      </c>
      <c r="I209" s="72">
        <f>IFERROR( SUMIFS('Stock In'!I:I,'Stock In'!C:C,$A209,'Stock In'!D:D,$B209,'Stock In'!E:E,$C209) / SUMIFS('Stock In'!H:H,'Stock In'!C:C,$A209,'Stock In'!D:D,$B209,'Stock In'!E:E,$C209) , 0)</f>
        <v>0</v>
      </c>
      <c r="J209" s="71">
        <f t="shared" si="3"/>
        <v>0</v>
      </c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8"/>
      <c r="B210" s="68"/>
      <c r="C210" s="68"/>
      <c r="D210" s="70">
        <f>IFERROR(SUMIFS('Stock In'!F:F,'Stock In'!C:C,$A210,'Stock In'!D:D,$B210,'Stock In'!E:E,$C210),0)</f>
        <v>0</v>
      </c>
      <c r="E210" s="70">
        <f>IFERROR(SUMIFS(Issues!H:H,Issues!C:C,$A210,Issues!D:D,$B210,Issues!E:E,$C210),0)</f>
        <v>0</v>
      </c>
      <c r="F210" s="70">
        <f>IFERROR(SUMIFS(Returns!H:H,Returns!C:C,$A210,Returns!D:D,$B210,Returns!E:E,$C210),0)</f>
        <v>0</v>
      </c>
      <c r="G210" s="70">
        <f t="shared" si="1"/>
        <v>0</v>
      </c>
      <c r="H210" s="71">
        <f t="shared" si="2"/>
        <v>0</v>
      </c>
      <c r="I210" s="72">
        <f>IFERROR( SUMIFS('Stock In'!I:I,'Stock In'!C:C,$A210,'Stock In'!D:D,$B210,'Stock In'!E:E,$C210) / SUMIFS('Stock In'!H:H,'Stock In'!C:C,$A210,'Stock In'!D:D,$B210,'Stock In'!E:E,$C210) , 0)</f>
        <v>0</v>
      </c>
      <c r="J210" s="71">
        <f t="shared" si="3"/>
        <v>0</v>
      </c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8"/>
      <c r="B211" s="68"/>
      <c r="C211" s="68"/>
      <c r="D211" s="70">
        <f>IFERROR(SUMIFS('Stock In'!F:F,'Stock In'!C:C,$A211,'Stock In'!D:D,$B211,'Stock In'!E:E,$C211),0)</f>
        <v>0</v>
      </c>
      <c r="E211" s="70">
        <f>IFERROR(SUMIFS(Issues!H:H,Issues!C:C,$A211,Issues!D:D,$B211,Issues!E:E,$C211),0)</f>
        <v>0</v>
      </c>
      <c r="F211" s="70">
        <f>IFERROR(SUMIFS(Returns!H:H,Returns!C:C,$A211,Returns!D:D,$B211,Returns!E:E,$C211),0)</f>
        <v>0</v>
      </c>
      <c r="G211" s="70">
        <f t="shared" si="1"/>
        <v>0</v>
      </c>
      <c r="H211" s="71">
        <f t="shared" si="2"/>
        <v>0</v>
      </c>
      <c r="I211" s="72">
        <f>IFERROR( SUMIFS('Stock In'!I:I,'Stock In'!C:C,$A211,'Stock In'!D:D,$B211,'Stock In'!E:E,$C211) / SUMIFS('Stock In'!H:H,'Stock In'!C:C,$A211,'Stock In'!D:D,$B211,'Stock In'!E:E,$C211) , 0)</f>
        <v>0</v>
      </c>
      <c r="J211" s="71">
        <f t="shared" si="3"/>
        <v>0</v>
      </c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8"/>
      <c r="B212" s="68"/>
      <c r="C212" s="68"/>
      <c r="D212" s="70">
        <f>IFERROR(SUMIFS('Stock In'!F:F,'Stock In'!C:C,$A212,'Stock In'!D:D,$B212,'Stock In'!E:E,$C212),0)</f>
        <v>0</v>
      </c>
      <c r="E212" s="70">
        <f>IFERROR(SUMIFS(Issues!H:H,Issues!C:C,$A212,Issues!D:D,$B212,Issues!E:E,$C212),0)</f>
        <v>0</v>
      </c>
      <c r="F212" s="70">
        <f>IFERROR(SUMIFS(Returns!H:H,Returns!C:C,$A212,Returns!D:D,$B212,Returns!E:E,$C212),0)</f>
        <v>0</v>
      </c>
      <c r="G212" s="70">
        <f t="shared" si="1"/>
        <v>0</v>
      </c>
      <c r="H212" s="71">
        <f t="shared" si="2"/>
        <v>0</v>
      </c>
      <c r="I212" s="72">
        <f>IFERROR( SUMIFS('Stock In'!I:I,'Stock In'!C:C,$A212,'Stock In'!D:D,$B212,'Stock In'!E:E,$C212) / SUMIFS('Stock In'!H:H,'Stock In'!C:C,$A212,'Stock In'!D:D,$B212,'Stock In'!E:E,$C212) , 0)</f>
        <v>0</v>
      </c>
      <c r="J212" s="71">
        <f t="shared" si="3"/>
        <v>0</v>
      </c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8"/>
      <c r="B213" s="68"/>
      <c r="C213" s="68"/>
      <c r="D213" s="70">
        <f>IFERROR(SUMIFS('Stock In'!F:F,'Stock In'!C:C,$A213,'Stock In'!D:D,$B213,'Stock In'!E:E,$C213),0)</f>
        <v>0</v>
      </c>
      <c r="E213" s="70">
        <f>IFERROR(SUMIFS(Issues!H:H,Issues!C:C,$A213,Issues!D:D,$B213,Issues!E:E,$C213),0)</f>
        <v>0</v>
      </c>
      <c r="F213" s="70">
        <f>IFERROR(SUMIFS(Returns!H:H,Returns!C:C,$A213,Returns!D:D,$B213,Returns!E:E,$C213),0)</f>
        <v>0</v>
      </c>
      <c r="G213" s="70">
        <f t="shared" si="1"/>
        <v>0</v>
      </c>
      <c r="H213" s="71">
        <f t="shared" si="2"/>
        <v>0</v>
      </c>
      <c r="I213" s="72">
        <f>IFERROR( SUMIFS('Stock In'!I:I,'Stock In'!C:C,$A213,'Stock In'!D:D,$B213,'Stock In'!E:E,$C213) / SUMIFS('Stock In'!H:H,'Stock In'!C:C,$A213,'Stock In'!D:D,$B213,'Stock In'!E:E,$C213) , 0)</f>
        <v>0</v>
      </c>
      <c r="J213" s="71">
        <f t="shared" si="3"/>
        <v>0</v>
      </c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8"/>
      <c r="B214" s="68"/>
      <c r="C214" s="68"/>
      <c r="D214" s="70">
        <f>IFERROR(SUMIFS('Stock In'!F:F,'Stock In'!C:C,$A214,'Stock In'!D:D,$B214,'Stock In'!E:E,$C214),0)</f>
        <v>0</v>
      </c>
      <c r="E214" s="70">
        <f>IFERROR(SUMIFS(Issues!H:H,Issues!C:C,$A214,Issues!D:D,$B214,Issues!E:E,$C214),0)</f>
        <v>0</v>
      </c>
      <c r="F214" s="70">
        <f>IFERROR(SUMIFS(Returns!H:H,Returns!C:C,$A214,Returns!D:D,$B214,Returns!E:E,$C214),0)</f>
        <v>0</v>
      </c>
      <c r="G214" s="70">
        <f t="shared" si="1"/>
        <v>0</v>
      </c>
      <c r="H214" s="71">
        <f t="shared" si="2"/>
        <v>0</v>
      </c>
      <c r="I214" s="72">
        <f>IFERROR( SUMIFS('Stock In'!I:I,'Stock In'!C:C,$A214,'Stock In'!D:D,$B214,'Stock In'!E:E,$C214) / SUMIFS('Stock In'!H:H,'Stock In'!C:C,$A214,'Stock In'!D:D,$B214,'Stock In'!E:E,$C214) , 0)</f>
        <v>0</v>
      </c>
      <c r="J214" s="71">
        <f t="shared" si="3"/>
        <v>0</v>
      </c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8"/>
      <c r="B215" s="68"/>
      <c r="C215" s="68"/>
      <c r="D215" s="70">
        <f>IFERROR(SUMIFS('Stock In'!F:F,'Stock In'!C:C,$A215,'Stock In'!D:D,$B215,'Stock In'!E:E,$C215),0)</f>
        <v>0</v>
      </c>
      <c r="E215" s="70">
        <f>IFERROR(SUMIFS(Issues!H:H,Issues!C:C,$A215,Issues!D:D,$B215,Issues!E:E,$C215),0)</f>
        <v>0</v>
      </c>
      <c r="F215" s="70">
        <f>IFERROR(SUMIFS(Returns!H:H,Returns!C:C,$A215,Returns!D:D,$B215,Returns!E:E,$C215),0)</f>
        <v>0</v>
      </c>
      <c r="G215" s="70">
        <f t="shared" si="1"/>
        <v>0</v>
      </c>
      <c r="H215" s="71">
        <f t="shared" si="2"/>
        <v>0</v>
      </c>
      <c r="I215" s="72">
        <f>IFERROR( SUMIFS('Stock In'!I:I,'Stock In'!C:C,$A215,'Stock In'!D:D,$B215,'Stock In'!E:E,$C215) / SUMIFS('Stock In'!H:H,'Stock In'!C:C,$A215,'Stock In'!D:D,$B215,'Stock In'!E:E,$C215) , 0)</f>
        <v>0</v>
      </c>
      <c r="J215" s="71">
        <f t="shared" si="3"/>
        <v>0</v>
      </c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8"/>
      <c r="B216" s="68"/>
      <c r="C216" s="68"/>
      <c r="D216" s="70">
        <f>IFERROR(SUMIFS('Stock In'!F:F,'Stock In'!C:C,$A216,'Stock In'!D:D,$B216,'Stock In'!E:E,$C216),0)</f>
        <v>0</v>
      </c>
      <c r="E216" s="70">
        <f>IFERROR(SUMIFS(Issues!H:H,Issues!C:C,$A216,Issues!D:D,$B216,Issues!E:E,$C216),0)</f>
        <v>0</v>
      </c>
      <c r="F216" s="70">
        <f>IFERROR(SUMIFS(Returns!H:H,Returns!C:C,$A216,Returns!D:D,$B216,Returns!E:E,$C216),0)</f>
        <v>0</v>
      </c>
      <c r="G216" s="70">
        <f t="shared" si="1"/>
        <v>0</v>
      </c>
      <c r="H216" s="71">
        <f t="shared" si="2"/>
        <v>0</v>
      </c>
      <c r="I216" s="72">
        <f>IFERROR( SUMIFS('Stock In'!I:I,'Stock In'!C:C,$A216,'Stock In'!D:D,$B216,'Stock In'!E:E,$C216) / SUMIFS('Stock In'!H:H,'Stock In'!C:C,$A216,'Stock In'!D:D,$B216,'Stock In'!E:E,$C216) , 0)</f>
        <v>0</v>
      </c>
      <c r="J216" s="71">
        <f t="shared" si="3"/>
        <v>0</v>
      </c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8"/>
      <c r="B217" s="68"/>
      <c r="C217" s="68"/>
      <c r="D217" s="70">
        <f>IFERROR(SUMIFS('Stock In'!F:F,'Stock In'!C:C,$A217,'Stock In'!D:D,$B217,'Stock In'!E:E,$C217),0)</f>
        <v>0</v>
      </c>
      <c r="E217" s="70">
        <f>IFERROR(SUMIFS(Issues!H:H,Issues!C:C,$A217,Issues!D:D,$B217,Issues!E:E,$C217),0)</f>
        <v>0</v>
      </c>
      <c r="F217" s="70">
        <f>IFERROR(SUMIFS(Returns!H:H,Returns!C:C,$A217,Returns!D:D,$B217,Returns!E:E,$C217),0)</f>
        <v>0</v>
      </c>
      <c r="G217" s="70">
        <f t="shared" si="1"/>
        <v>0</v>
      </c>
      <c r="H217" s="71">
        <f t="shared" si="2"/>
        <v>0</v>
      </c>
      <c r="I217" s="72">
        <f>IFERROR( SUMIFS('Stock In'!I:I,'Stock In'!C:C,$A217,'Stock In'!D:D,$B217,'Stock In'!E:E,$C217) / SUMIFS('Stock In'!H:H,'Stock In'!C:C,$A217,'Stock In'!D:D,$B217,'Stock In'!E:E,$C217) , 0)</f>
        <v>0</v>
      </c>
      <c r="J217" s="71">
        <f t="shared" si="3"/>
        <v>0</v>
      </c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8"/>
      <c r="B218" s="68"/>
      <c r="C218" s="68"/>
      <c r="D218" s="70">
        <f>IFERROR(SUMIFS('Stock In'!F:F,'Stock In'!C:C,$A218,'Stock In'!D:D,$B218,'Stock In'!E:E,$C218),0)</f>
        <v>0</v>
      </c>
      <c r="E218" s="70">
        <f>IFERROR(SUMIFS(Issues!H:H,Issues!C:C,$A218,Issues!D:D,$B218,Issues!E:E,$C218),0)</f>
        <v>0</v>
      </c>
      <c r="F218" s="70">
        <f>IFERROR(SUMIFS(Returns!H:H,Returns!C:C,$A218,Returns!D:D,$B218,Returns!E:E,$C218),0)</f>
        <v>0</v>
      </c>
      <c r="G218" s="70">
        <f t="shared" si="1"/>
        <v>0</v>
      </c>
      <c r="H218" s="71">
        <f t="shared" si="2"/>
        <v>0</v>
      </c>
      <c r="I218" s="72">
        <f>IFERROR( SUMIFS('Stock In'!I:I,'Stock In'!C:C,$A218,'Stock In'!D:D,$B218,'Stock In'!E:E,$C218) / SUMIFS('Stock In'!H:H,'Stock In'!C:C,$A218,'Stock In'!D:D,$B218,'Stock In'!E:E,$C218) , 0)</f>
        <v>0</v>
      </c>
      <c r="J218" s="71">
        <f t="shared" si="3"/>
        <v>0</v>
      </c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8"/>
      <c r="B219" s="68"/>
      <c r="C219" s="68"/>
      <c r="D219" s="70">
        <f>IFERROR(SUMIFS('Stock In'!F:F,'Stock In'!C:C,$A219,'Stock In'!D:D,$B219,'Stock In'!E:E,$C219),0)</f>
        <v>0</v>
      </c>
      <c r="E219" s="70">
        <f>IFERROR(SUMIFS(Issues!H:H,Issues!C:C,$A219,Issues!D:D,$B219,Issues!E:E,$C219),0)</f>
        <v>0</v>
      </c>
      <c r="F219" s="70">
        <f>IFERROR(SUMIFS(Returns!H:H,Returns!C:C,$A219,Returns!D:D,$B219,Returns!E:E,$C219),0)</f>
        <v>0</v>
      </c>
      <c r="G219" s="70">
        <f t="shared" si="1"/>
        <v>0</v>
      </c>
      <c r="H219" s="71">
        <f t="shared" si="2"/>
        <v>0</v>
      </c>
      <c r="I219" s="72">
        <f>IFERROR( SUMIFS('Stock In'!I:I,'Stock In'!C:C,$A219,'Stock In'!D:D,$B219,'Stock In'!E:E,$C219) / SUMIFS('Stock In'!H:H,'Stock In'!C:C,$A219,'Stock In'!D:D,$B219,'Stock In'!E:E,$C219) , 0)</f>
        <v>0</v>
      </c>
      <c r="J219" s="71">
        <f t="shared" si="3"/>
        <v>0</v>
      </c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8"/>
      <c r="B220" s="68"/>
      <c r="C220" s="68"/>
      <c r="D220" s="70">
        <f>IFERROR(SUMIFS('Stock In'!F:F,'Stock In'!C:C,$A220,'Stock In'!D:D,$B220,'Stock In'!E:E,$C220),0)</f>
        <v>0</v>
      </c>
      <c r="E220" s="70">
        <f>IFERROR(SUMIFS(Issues!H:H,Issues!C:C,$A220,Issues!D:D,$B220,Issues!E:E,$C220),0)</f>
        <v>0</v>
      </c>
      <c r="F220" s="70">
        <f>IFERROR(SUMIFS(Returns!H:H,Returns!C:C,$A220,Returns!D:D,$B220,Returns!E:E,$C220),0)</f>
        <v>0</v>
      </c>
      <c r="G220" s="70">
        <f t="shared" si="1"/>
        <v>0</v>
      </c>
      <c r="H220" s="71">
        <f t="shared" si="2"/>
        <v>0</v>
      </c>
      <c r="I220" s="72">
        <f>IFERROR( SUMIFS('Stock In'!I:I,'Stock In'!C:C,$A220,'Stock In'!D:D,$B220,'Stock In'!E:E,$C220) / SUMIFS('Stock In'!H:H,'Stock In'!C:C,$A220,'Stock In'!D:D,$B220,'Stock In'!E:E,$C220) , 0)</f>
        <v>0</v>
      </c>
      <c r="J220" s="71">
        <f t="shared" si="3"/>
        <v>0</v>
      </c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8"/>
      <c r="B221" s="68"/>
      <c r="C221" s="68"/>
      <c r="D221" s="70">
        <f>IFERROR(SUMIFS('Stock In'!F:F,'Stock In'!C:C,$A221,'Stock In'!D:D,$B221,'Stock In'!E:E,$C221),0)</f>
        <v>0</v>
      </c>
      <c r="E221" s="70">
        <f>IFERROR(SUMIFS(Issues!H:H,Issues!C:C,$A221,Issues!D:D,$B221,Issues!E:E,$C221),0)</f>
        <v>0</v>
      </c>
      <c r="F221" s="70">
        <f>IFERROR(SUMIFS(Returns!H:H,Returns!C:C,$A221,Returns!D:D,$B221,Returns!E:E,$C221),0)</f>
        <v>0</v>
      </c>
      <c r="G221" s="70">
        <f t="shared" si="1"/>
        <v>0</v>
      </c>
      <c r="H221" s="71">
        <f t="shared" si="2"/>
        <v>0</v>
      </c>
      <c r="I221" s="72">
        <f>IFERROR( SUMIFS('Stock In'!I:I,'Stock In'!C:C,$A221,'Stock In'!D:D,$B221,'Stock In'!E:E,$C221) / SUMIFS('Stock In'!H:H,'Stock In'!C:C,$A221,'Stock In'!D:D,$B221,'Stock In'!E:E,$C221) , 0)</f>
        <v>0</v>
      </c>
      <c r="J221" s="71">
        <f t="shared" si="3"/>
        <v>0</v>
      </c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8"/>
      <c r="B222" s="68"/>
      <c r="C222" s="68"/>
      <c r="D222" s="70">
        <f>IFERROR(SUMIFS('Stock In'!F:F,'Stock In'!C:C,$A222,'Stock In'!D:D,$B222,'Stock In'!E:E,$C222),0)</f>
        <v>0</v>
      </c>
      <c r="E222" s="70">
        <f>IFERROR(SUMIFS(Issues!H:H,Issues!C:C,$A222,Issues!D:D,$B222,Issues!E:E,$C222),0)</f>
        <v>0</v>
      </c>
      <c r="F222" s="70">
        <f>IFERROR(SUMIFS(Returns!H:H,Returns!C:C,$A222,Returns!D:D,$B222,Returns!E:E,$C222),0)</f>
        <v>0</v>
      </c>
      <c r="G222" s="70">
        <f t="shared" si="1"/>
        <v>0</v>
      </c>
      <c r="H222" s="71">
        <f t="shared" si="2"/>
        <v>0</v>
      </c>
      <c r="I222" s="72">
        <f>IFERROR( SUMIFS('Stock In'!I:I,'Stock In'!C:C,$A222,'Stock In'!D:D,$B222,'Stock In'!E:E,$C222) / SUMIFS('Stock In'!H:H,'Stock In'!C:C,$A222,'Stock In'!D:D,$B222,'Stock In'!E:E,$C222) , 0)</f>
        <v>0</v>
      </c>
      <c r="J222" s="71">
        <f t="shared" si="3"/>
        <v>0</v>
      </c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8"/>
      <c r="B223" s="68"/>
      <c r="C223" s="68"/>
      <c r="D223" s="70">
        <f>IFERROR(SUMIFS('Stock In'!F:F,'Stock In'!C:C,$A223,'Stock In'!D:D,$B223,'Stock In'!E:E,$C223),0)</f>
        <v>0</v>
      </c>
      <c r="E223" s="70">
        <f>IFERROR(SUMIFS(Issues!H:H,Issues!C:C,$A223,Issues!D:D,$B223,Issues!E:E,$C223),0)</f>
        <v>0</v>
      </c>
      <c r="F223" s="70">
        <f>IFERROR(SUMIFS(Returns!H:H,Returns!C:C,$A223,Returns!D:D,$B223,Returns!E:E,$C223),0)</f>
        <v>0</v>
      </c>
      <c r="G223" s="70">
        <f t="shared" si="1"/>
        <v>0</v>
      </c>
      <c r="H223" s="71">
        <f t="shared" si="2"/>
        <v>0</v>
      </c>
      <c r="I223" s="72">
        <f>IFERROR( SUMIFS('Stock In'!I:I,'Stock In'!C:C,$A223,'Stock In'!D:D,$B223,'Stock In'!E:E,$C223) / SUMIFS('Stock In'!H:H,'Stock In'!C:C,$A223,'Stock In'!D:D,$B223,'Stock In'!E:E,$C223) , 0)</f>
        <v>0</v>
      </c>
      <c r="J223" s="71">
        <f t="shared" si="3"/>
        <v>0</v>
      </c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8"/>
      <c r="B224" s="68"/>
      <c r="C224" s="68"/>
      <c r="D224" s="70">
        <f>IFERROR(SUMIFS('Stock In'!F:F,'Stock In'!C:C,$A224,'Stock In'!D:D,$B224,'Stock In'!E:E,$C224),0)</f>
        <v>0</v>
      </c>
      <c r="E224" s="70">
        <f>IFERROR(SUMIFS(Issues!H:H,Issues!C:C,$A224,Issues!D:D,$B224,Issues!E:E,$C224),0)</f>
        <v>0</v>
      </c>
      <c r="F224" s="70">
        <f>IFERROR(SUMIFS(Returns!H:H,Returns!C:C,$A224,Returns!D:D,$B224,Returns!E:E,$C224),0)</f>
        <v>0</v>
      </c>
      <c r="G224" s="70">
        <f t="shared" si="1"/>
        <v>0</v>
      </c>
      <c r="H224" s="71">
        <f t="shared" si="2"/>
        <v>0</v>
      </c>
      <c r="I224" s="72">
        <f>IFERROR( SUMIFS('Stock In'!I:I,'Stock In'!C:C,$A224,'Stock In'!D:D,$B224,'Stock In'!E:E,$C224) / SUMIFS('Stock In'!H:H,'Stock In'!C:C,$A224,'Stock In'!D:D,$B224,'Stock In'!E:E,$C224) , 0)</f>
        <v>0</v>
      </c>
      <c r="J224" s="71">
        <f t="shared" si="3"/>
        <v>0</v>
      </c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8"/>
      <c r="B225" s="68"/>
      <c r="C225" s="68"/>
      <c r="D225" s="70">
        <f>IFERROR(SUMIFS('Stock In'!F:F,'Stock In'!C:C,$A225,'Stock In'!D:D,$B225,'Stock In'!E:E,$C225),0)</f>
        <v>0</v>
      </c>
      <c r="E225" s="70">
        <f>IFERROR(SUMIFS(Issues!H:H,Issues!C:C,$A225,Issues!D:D,$B225,Issues!E:E,$C225),0)</f>
        <v>0</v>
      </c>
      <c r="F225" s="70">
        <f>IFERROR(SUMIFS(Returns!H:H,Returns!C:C,$A225,Returns!D:D,$B225,Returns!E:E,$C225),0)</f>
        <v>0</v>
      </c>
      <c r="G225" s="70">
        <f t="shared" si="1"/>
        <v>0</v>
      </c>
      <c r="H225" s="71">
        <f t="shared" si="2"/>
        <v>0</v>
      </c>
      <c r="I225" s="72">
        <f>IFERROR( SUMIFS('Stock In'!I:I,'Stock In'!C:C,$A225,'Stock In'!D:D,$B225,'Stock In'!E:E,$C225) / SUMIFS('Stock In'!H:H,'Stock In'!C:C,$A225,'Stock In'!D:D,$B225,'Stock In'!E:E,$C225) , 0)</f>
        <v>0</v>
      </c>
      <c r="J225" s="71">
        <f t="shared" si="3"/>
        <v>0</v>
      </c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8"/>
      <c r="B226" s="68"/>
      <c r="C226" s="68"/>
      <c r="D226" s="70">
        <f>IFERROR(SUMIFS('Stock In'!F:F,'Stock In'!C:C,$A226,'Stock In'!D:D,$B226,'Stock In'!E:E,$C226),0)</f>
        <v>0</v>
      </c>
      <c r="E226" s="70">
        <f>IFERROR(SUMIFS(Issues!H:H,Issues!C:C,$A226,Issues!D:D,$B226,Issues!E:E,$C226),0)</f>
        <v>0</v>
      </c>
      <c r="F226" s="70">
        <f>IFERROR(SUMIFS(Returns!H:H,Returns!C:C,$A226,Returns!D:D,$B226,Returns!E:E,$C226),0)</f>
        <v>0</v>
      </c>
      <c r="G226" s="70">
        <f t="shared" si="1"/>
        <v>0</v>
      </c>
      <c r="H226" s="71">
        <f t="shared" si="2"/>
        <v>0</v>
      </c>
      <c r="I226" s="72">
        <f>IFERROR( SUMIFS('Stock In'!I:I,'Stock In'!C:C,$A226,'Stock In'!D:D,$B226,'Stock In'!E:E,$C226) / SUMIFS('Stock In'!H:H,'Stock In'!C:C,$A226,'Stock In'!D:D,$B226,'Stock In'!E:E,$C226) , 0)</f>
        <v>0</v>
      </c>
      <c r="J226" s="71">
        <f t="shared" si="3"/>
        <v>0</v>
      </c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8"/>
      <c r="B227" s="68"/>
      <c r="C227" s="68"/>
      <c r="D227" s="70">
        <f>IFERROR(SUMIFS('Stock In'!F:F,'Stock In'!C:C,$A227,'Stock In'!D:D,$B227,'Stock In'!E:E,$C227),0)</f>
        <v>0</v>
      </c>
      <c r="E227" s="70">
        <f>IFERROR(SUMIFS(Issues!H:H,Issues!C:C,$A227,Issues!D:D,$B227,Issues!E:E,$C227),0)</f>
        <v>0</v>
      </c>
      <c r="F227" s="70">
        <f>IFERROR(SUMIFS(Returns!H:H,Returns!C:C,$A227,Returns!D:D,$B227,Returns!E:E,$C227),0)</f>
        <v>0</v>
      </c>
      <c r="G227" s="70">
        <f t="shared" si="1"/>
        <v>0</v>
      </c>
      <c r="H227" s="71">
        <f t="shared" si="2"/>
        <v>0</v>
      </c>
      <c r="I227" s="72">
        <f>IFERROR( SUMIFS('Stock In'!I:I,'Stock In'!C:C,$A227,'Stock In'!D:D,$B227,'Stock In'!E:E,$C227) / SUMIFS('Stock In'!H:H,'Stock In'!C:C,$A227,'Stock In'!D:D,$B227,'Stock In'!E:E,$C227) , 0)</f>
        <v>0</v>
      </c>
      <c r="J227" s="71">
        <f t="shared" si="3"/>
        <v>0</v>
      </c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8"/>
      <c r="B228" s="68"/>
      <c r="C228" s="68"/>
      <c r="D228" s="70">
        <f>IFERROR(SUMIFS('Stock In'!F:F,'Stock In'!C:C,$A228,'Stock In'!D:D,$B228,'Stock In'!E:E,$C228),0)</f>
        <v>0</v>
      </c>
      <c r="E228" s="70">
        <f>IFERROR(SUMIFS(Issues!H:H,Issues!C:C,$A228,Issues!D:D,$B228,Issues!E:E,$C228),0)</f>
        <v>0</v>
      </c>
      <c r="F228" s="70">
        <f>IFERROR(SUMIFS(Returns!H:H,Returns!C:C,$A228,Returns!D:D,$B228,Returns!E:E,$C228),0)</f>
        <v>0</v>
      </c>
      <c r="G228" s="70">
        <f t="shared" si="1"/>
        <v>0</v>
      </c>
      <c r="H228" s="71">
        <f t="shared" si="2"/>
        <v>0</v>
      </c>
      <c r="I228" s="72">
        <f>IFERROR( SUMIFS('Stock In'!I:I,'Stock In'!C:C,$A228,'Stock In'!D:D,$B228,'Stock In'!E:E,$C228) / SUMIFS('Stock In'!H:H,'Stock In'!C:C,$A228,'Stock In'!D:D,$B228,'Stock In'!E:E,$C228) , 0)</f>
        <v>0</v>
      </c>
      <c r="J228" s="71">
        <f t="shared" si="3"/>
        <v>0</v>
      </c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8"/>
      <c r="B229" s="68"/>
      <c r="C229" s="68"/>
      <c r="D229" s="70">
        <f>IFERROR(SUMIFS('Stock In'!F:F,'Stock In'!C:C,$A229,'Stock In'!D:D,$B229,'Stock In'!E:E,$C229),0)</f>
        <v>0</v>
      </c>
      <c r="E229" s="70">
        <f>IFERROR(SUMIFS(Issues!H:H,Issues!C:C,$A229,Issues!D:D,$B229,Issues!E:E,$C229),0)</f>
        <v>0</v>
      </c>
      <c r="F229" s="70">
        <f>IFERROR(SUMIFS(Returns!H:H,Returns!C:C,$A229,Returns!D:D,$B229,Returns!E:E,$C229),0)</f>
        <v>0</v>
      </c>
      <c r="G229" s="70">
        <f t="shared" si="1"/>
        <v>0</v>
      </c>
      <c r="H229" s="71">
        <f t="shared" si="2"/>
        <v>0</v>
      </c>
      <c r="I229" s="72">
        <f>IFERROR( SUMIFS('Stock In'!I:I,'Stock In'!C:C,$A229,'Stock In'!D:D,$B229,'Stock In'!E:E,$C229) / SUMIFS('Stock In'!H:H,'Stock In'!C:C,$A229,'Stock In'!D:D,$B229,'Stock In'!E:E,$C229) , 0)</f>
        <v>0</v>
      </c>
      <c r="J229" s="71">
        <f t="shared" si="3"/>
        <v>0</v>
      </c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8"/>
      <c r="B230" s="68"/>
      <c r="C230" s="68"/>
      <c r="D230" s="70">
        <f>IFERROR(SUMIFS('Stock In'!F:F,'Stock In'!C:C,$A230,'Stock In'!D:D,$B230,'Stock In'!E:E,$C230),0)</f>
        <v>0</v>
      </c>
      <c r="E230" s="70">
        <f>IFERROR(SUMIFS(Issues!H:H,Issues!C:C,$A230,Issues!D:D,$B230,Issues!E:E,$C230),0)</f>
        <v>0</v>
      </c>
      <c r="F230" s="70">
        <f>IFERROR(SUMIFS(Returns!H:H,Returns!C:C,$A230,Returns!D:D,$B230,Returns!E:E,$C230),0)</f>
        <v>0</v>
      </c>
      <c r="G230" s="70">
        <f t="shared" si="1"/>
        <v>0</v>
      </c>
      <c r="H230" s="71">
        <f t="shared" si="2"/>
        <v>0</v>
      </c>
      <c r="I230" s="72">
        <f>IFERROR( SUMIFS('Stock In'!I:I,'Stock In'!C:C,$A230,'Stock In'!D:D,$B230,'Stock In'!E:E,$C230) / SUMIFS('Stock In'!H:H,'Stock In'!C:C,$A230,'Stock In'!D:D,$B230,'Stock In'!E:E,$C230) , 0)</f>
        <v>0</v>
      </c>
      <c r="J230" s="71">
        <f t="shared" si="3"/>
        <v>0</v>
      </c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8"/>
      <c r="B231" s="68"/>
      <c r="C231" s="68"/>
      <c r="D231" s="70">
        <f>IFERROR(SUMIFS('Stock In'!F:F,'Stock In'!C:C,$A231,'Stock In'!D:D,$B231,'Stock In'!E:E,$C231),0)</f>
        <v>0</v>
      </c>
      <c r="E231" s="70">
        <f>IFERROR(SUMIFS(Issues!H:H,Issues!C:C,$A231,Issues!D:D,$B231,Issues!E:E,$C231),0)</f>
        <v>0</v>
      </c>
      <c r="F231" s="70">
        <f>IFERROR(SUMIFS(Returns!H:H,Returns!C:C,$A231,Returns!D:D,$B231,Returns!E:E,$C231),0)</f>
        <v>0</v>
      </c>
      <c r="G231" s="70">
        <f t="shared" si="1"/>
        <v>0</v>
      </c>
      <c r="H231" s="71">
        <f t="shared" si="2"/>
        <v>0</v>
      </c>
      <c r="I231" s="72">
        <f>IFERROR( SUMIFS('Stock In'!I:I,'Stock In'!C:C,$A231,'Stock In'!D:D,$B231,'Stock In'!E:E,$C231) / SUMIFS('Stock In'!H:H,'Stock In'!C:C,$A231,'Stock In'!D:D,$B231,'Stock In'!E:E,$C231) , 0)</f>
        <v>0</v>
      </c>
      <c r="J231" s="71">
        <f t="shared" si="3"/>
        <v>0</v>
      </c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8"/>
      <c r="B232" s="68"/>
      <c r="C232" s="68"/>
      <c r="D232" s="70">
        <f>IFERROR(SUMIFS('Stock In'!F:F,'Stock In'!C:C,$A232,'Stock In'!D:D,$B232,'Stock In'!E:E,$C232),0)</f>
        <v>0</v>
      </c>
      <c r="E232" s="70">
        <f>IFERROR(SUMIFS(Issues!H:H,Issues!C:C,$A232,Issues!D:D,$B232,Issues!E:E,$C232),0)</f>
        <v>0</v>
      </c>
      <c r="F232" s="70">
        <f>IFERROR(SUMIFS(Returns!H:H,Returns!C:C,$A232,Returns!D:D,$B232,Returns!E:E,$C232),0)</f>
        <v>0</v>
      </c>
      <c r="G232" s="70">
        <f t="shared" si="1"/>
        <v>0</v>
      </c>
      <c r="H232" s="71">
        <f t="shared" si="2"/>
        <v>0</v>
      </c>
      <c r="I232" s="72">
        <f>IFERROR( SUMIFS('Stock In'!I:I,'Stock In'!C:C,$A232,'Stock In'!D:D,$B232,'Stock In'!E:E,$C232) / SUMIFS('Stock In'!H:H,'Stock In'!C:C,$A232,'Stock In'!D:D,$B232,'Stock In'!E:E,$C232) , 0)</f>
        <v>0</v>
      </c>
      <c r="J232" s="71">
        <f t="shared" si="3"/>
        <v>0</v>
      </c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8"/>
      <c r="B233" s="68"/>
      <c r="C233" s="68"/>
      <c r="D233" s="70">
        <f>IFERROR(SUMIFS('Stock In'!F:F,'Stock In'!C:C,$A233,'Stock In'!D:D,$B233,'Stock In'!E:E,$C233),0)</f>
        <v>0</v>
      </c>
      <c r="E233" s="70">
        <f>IFERROR(SUMIFS(Issues!H:H,Issues!C:C,$A233,Issues!D:D,$B233,Issues!E:E,$C233),0)</f>
        <v>0</v>
      </c>
      <c r="F233" s="70">
        <f>IFERROR(SUMIFS(Returns!H:H,Returns!C:C,$A233,Returns!D:D,$B233,Returns!E:E,$C233),0)</f>
        <v>0</v>
      </c>
      <c r="G233" s="70">
        <f t="shared" si="1"/>
        <v>0</v>
      </c>
      <c r="H233" s="71">
        <f t="shared" si="2"/>
        <v>0</v>
      </c>
      <c r="I233" s="72">
        <f>IFERROR( SUMIFS('Stock In'!I:I,'Stock In'!C:C,$A233,'Stock In'!D:D,$B233,'Stock In'!E:E,$C233) / SUMIFS('Stock In'!H:H,'Stock In'!C:C,$A233,'Stock In'!D:D,$B233,'Stock In'!E:E,$C233) , 0)</f>
        <v>0</v>
      </c>
      <c r="J233" s="71">
        <f t="shared" si="3"/>
        <v>0</v>
      </c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8"/>
      <c r="B234" s="68"/>
      <c r="C234" s="68"/>
      <c r="D234" s="70">
        <f>IFERROR(SUMIFS('Stock In'!F:F,'Stock In'!C:C,$A234,'Stock In'!D:D,$B234,'Stock In'!E:E,$C234),0)</f>
        <v>0</v>
      </c>
      <c r="E234" s="70">
        <f>IFERROR(SUMIFS(Issues!H:H,Issues!C:C,$A234,Issues!D:D,$B234,Issues!E:E,$C234),0)</f>
        <v>0</v>
      </c>
      <c r="F234" s="70">
        <f>IFERROR(SUMIFS(Returns!H:H,Returns!C:C,$A234,Returns!D:D,$B234,Returns!E:E,$C234),0)</f>
        <v>0</v>
      </c>
      <c r="G234" s="70">
        <f t="shared" si="1"/>
        <v>0</v>
      </c>
      <c r="H234" s="71">
        <f t="shared" si="2"/>
        <v>0</v>
      </c>
      <c r="I234" s="72">
        <f>IFERROR( SUMIFS('Stock In'!I:I,'Stock In'!C:C,$A234,'Stock In'!D:D,$B234,'Stock In'!E:E,$C234) / SUMIFS('Stock In'!H:H,'Stock In'!C:C,$A234,'Stock In'!D:D,$B234,'Stock In'!E:E,$C234) , 0)</f>
        <v>0</v>
      </c>
      <c r="J234" s="71">
        <f t="shared" si="3"/>
        <v>0</v>
      </c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8"/>
      <c r="B235" s="68"/>
      <c r="C235" s="68"/>
      <c r="D235" s="70">
        <f>IFERROR(SUMIFS('Stock In'!F:F,'Stock In'!C:C,$A235,'Stock In'!D:D,$B235,'Stock In'!E:E,$C235),0)</f>
        <v>0</v>
      </c>
      <c r="E235" s="70">
        <f>IFERROR(SUMIFS(Issues!H:H,Issues!C:C,$A235,Issues!D:D,$B235,Issues!E:E,$C235),0)</f>
        <v>0</v>
      </c>
      <c r="F235" s="70">
        <f>IFERROR(SUMIFS(Returns!H:H,Returns!C:C,$A235,Returns!D:D,$B235,Returns!E:E,$C235),0)</f>
        <v>0</v>
      </c>
      <c r="G235" s="70">
        <f t="shared" si="1"/>
        <v>0</v>
      </c>
      <c r="H235" s="71">
        <f t="shared" si="2"/>
        <v>0</v>
      </c>
      <c r="I235" s="72">
        <f>IFERROR( SUMIFS('Stock In'!I:I,'Stock In'!C:C,$A235,'Stock In'!D:D,$B235,'Stock In'!E:E,$C235) / SUMIFS('Stock In'!H:H,'Stock In'!C:C,$A235,'Stock In'!D:D,$B235,'Stock In'!E:E,$C235) , 0)</f>
        <v>0</v>
      </c>
      <c r="J235" s="71">
        <f t="shared" si="3"/>
        <v>0</v>
      </c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8"/>
      <c r="B236" s="68"/>
      <c r="C236" s="68"/>
      <c r="D236" s="70">
        <f>IFERROR(SUMIFS('Stock In'!F:F,'Stock In'!C:C,$A236,'Stock In'!D:D,$B236,'Stock In'!E:E,$C236),0)</f>
        <v>0</v>
      </c>
      <c r="E236" s="70">
        <f>IFERROR(SUMIFS(Issues!H:H,Issues!C:C,$A236,Issues!D:D,$B236,Issues!E:E,$C236),0)</f>
        <v>0</v>
      </c>
      <c r="F236" s="70">
        <f>IFERROR(SUMIFS(Returns!H:H,Returns!C:C,$A236,Returns!D:D,$B236,Returns!E:E,$C236),0)</f>
        <v>0</v>
      </c>
      <c r="G236" s="70">
        <f t="shared" si="1"/>
        <v>0</v>
      </c>
      <c r="H236" s="71">
        <f t="shared" si="2"/>
        <v>0</v>
      </c>
      <c r="I236" s="72">
        <f>IFERROR( SUMIFS('Stock In'!I:I,'Stock In'!C:C,$A236,'Stock In'!D:D,$B236,'Stock In'!E:E,$C236) / SUMIFS('Stock In'!H:H,'Stock In'!C:C,$A236,'Stock In'!D:D,$B236,'Stock In'!E:E,$C236) , 0)</f>
        <v>0</v>
      </c>
      <c r="J236" s="71">
        <f t="shared" si="3"/>
        <v>0</v>
      </c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8"/>
      <c r="B237" s="68"/>
      <c r="C237" s="68"/>
      <c r="D237" s="70">
        <f>IFERROR(SUMIFS('Stock In'!F:F,'Stock In'!C:C,$A237,'Stock In'!D:D,$B237,'Stock In'!E:E,$C237),0)</f>
        <v>0</v>
      </c>
      <c r="E237" s="70">
        <f>IFERROR(SUMIFS(Issues!H:H,Issues!C:C,$A237,Issues!D:D,$B237,Issues!E:E,$C237),0)</f>
        <v>0</v>
      </c>
      <c r="F237" s="70">
        <f>IFERROR(SUMIFS(Returns!H:H,Returns!C:C,$A237,Returns!D:D,$B237,Returns!E:E,$C237),0)</f>
        <v>0</v>
      </c>
      <c r="G237" s="70">
        <f t="shared" si="1"/>
        <v>0</v>
      </c>
      <c r="H237" s="71">
        <f t="shared" si="2"/>
        <v>0</v>
      </c>
      <c r="I237" s="72">
        <f>IFERROR( SUMIFS('Stock In'!I:I,'Stock In'!C:C,$A237,'Stock In'!D:D,$B237,'Stock In'!E:E,$C237) / SUMIFS('Stock In'!H:H,'Stock In'!C:C,$A237,'Stock In'!D:D,$B237,'Stock In'!E:E,$C237) , 0)</f>
        <v>0</v>
      </c>
      <c r="J237" s="71">
        <f t="shared" si="3"/>
        <v>0</v>
      </c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8"/>
      <c r="B238" s="68"/>
      <c r="C238" s="68"/>
      <c r="D238" s="70">
        <f>IFERROR(SUMIFS('Stock In'!F:F,'Stock In'!C:C,$A238,'Stock In'!D:D,$B238,'Stock In'!E:E,$C238),0)</f>
        <v>0</v>
      </c>
      <c r="E238" s="70">
        <f>IFERROR(SUMIFS(Issues!H:H,Issues!C:C,$A238,Issues!D:D,$B238,Issues!E:E,$C238),0)</f>
        <v>0</v>
      </c>
      <c r="F238" s="70">
        <f>IFERROR(SUMIFS(Returns!H:H,Returns!C:C,$A238,Returns!D:D,$B238,Returns!E:E,$C238),0)</f>
        <v>0</v>
      </c>
      <c r="G238" s="70">
        <f t="shared" si="1"/>
        <v>0</v>
      </c>
      <c r="H238" s="71">
        <f t="shared" si="2"/>
        <v>0</v>
      </c>
      <c r="I238" s="72">
        <f>IFERROR( SUMIFS('Stock In'!I:I,'Stock In'!C:C,$A238,'Stock In'!D:D,$B238,'Stock In'!E:E,$C238) / SUMIFS('Stock In'!H:H,'Stock In'!C:C,$A238,'Stock In'!D:D,$B238,'Stock In'!E:E,$C238) , 0)</f>
        <v>0</v>
      </c>
      <c r="J238" s="71">
        <f t="shared" si="3"/>
        <v>0</v>
      </c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8"/>
      <c r="B239" s="68"/>
      <c r="C239" s="68"/>
      <c r="D239" s="70">
        <f>IFERROR(SUMIFS('Stock In'!F:F,'Stock In'!C:C,$A239,'Stock In'!D:D,$B239,'Stock In'!E:E,$C239),0)</f>
        <v>0</v>
      </c>
      <c r="E239" s="70">
        <f>IFERROR(SUMIFS(Issues!H:H,Issues!C:C,$A239,Issues!D:D,$B239,Issues!E:E,$C239),0)</f>
        <v>0</v>
      </c>
      <c r="F239" s="70">
        <f>IFERROR(SUMIFS(Returns!H:H,Returns!C:C,$A239,Returns!D:D,$B239,Returns!E:E,$C239),0)</f>
        <v>0</v>
      </c>
      <c r="G239" s="70">
        <f t="shared" si="1"/>
        <v>0</v>
      </c>
      <c r="H239" s="71">
        <f t="shared" si="2"/>
        <v>0</v>
      </c>
      <c r="I239" s="72">
        <f>IFERROR( SUMIFS('Stock In'!I:I,'Stock In'!C:C,$A239,'Stock In'!D:D,$B239,'Stock In'!E:E,$C239) / SUMIFS('Stock In'!H:H,'Stock In'!C:C,$A239,'Stock In'!D:D,$B239,'Stock In'!E:E,$C239) , 0)</f>
        <v>0</v>
      </c>
      <c r="J239" s="71">
        <f t="shared" si="3"/>
        <v>0</v>
      </c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8"/>
      <c r="B240" s="68"/>
      <c r="C240" s="68"/>
      <c r="D240" s="70">
        <f>IFERROR(SUMIFS('Stock In'!F:F,'Stock In'!C:C,$A240,'Stock In'!D:D,$B240,'Stock In'!E:E,$C240),0)</f>
        <v>0</v>
      </c>
      <c r="E240" s="70">
        <f>IFERROR(SUMIFS(Issues!H:H,Issues!C:C,$A240,Issues!D:D,$B240,Issues!E:E,$C240),0)</f>
        <v>0</v>
      </c>
      <c r="F240" s="70">
        <f>IFERROR(SUMIFS(Returns!H:H,Returns!C:C,$A240,Returns!D:D,$B240,Returns!E:E,$C240),0)</f>
        <v>0</v>
      </c>
      <c r="G240" s="70">
        <f t="shared" si="1"/>
        <v>0</v>
      </c>
      <c r="H240" s="71">
        <f t="shared" si="2"/>
        <v>0</v>
      </c>
      <c r="I240" s="72">
        <f>IFERROR( SUMIFS('Stock In'!I:I,'Stock In'!C:C,$A240,'Stock In'!D:D,$B240,'Stock In'!E:E,$C240) / SUMIFS('Stock In'!H:H,'Stock In'!C:C,$A240,'Stock In'!D:D,$B240,'Stock In'!E:E,$C240) , 0)</f>
        <v>0</v>
      </c>
      <c r="J240" s="71">
        <f t="shared" si="3"/>
        <v>0</v>
      </c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8"/>
      <c r="B241" s="68"/>
      <c r="C241" s="68"/>
      <c r="D241" s="70">
        <f>IFERROR(SUMIFS('Stock In'!F:F,'Stock In'!C:C,$A241,'Stock In'!D:D,$B241,'Stock In'!E:E,$C241),0)</f>
        <v>0</v>
      </c>
      <c r="E241" s="70">
        <f>IFERROR(SUMIFS(Issues!H:H,Issues!C:C,$A241,Issues!D:D,$B241,Issues!E:E,$C241),0)</f>
        <v>0</v>
      </c>
      <c r="F241" s="70">
        <f>IFERROR(SUMIFS(Returns!H:H,Returns!C:C,$A241,Returns!D:D,$B241,Returns!E:E,$C241),0)</f>
        <v>0</v>
      </c>
      <c r="G241" s="70">
        <f t="shared" si="1"/>
        <v>0</v>
      </c>
      <c r="H241" s="71">
        <f t="shared" si="2"/>
        <v>0</v>
      </c>
      <c r="I241" s="72">
        <f>IFERROR( SUMIFS('Stock In'!I:I,'Stock In'!C:C,$A241,'Stock In'!D:D,$B241,'Stock In'!E:E,$C241) / SUMIFS('Stock In'!H:H,'Stock In'!C:C,$A241,'Stock In'!D:D,$B241,'Stock In'!E:E,$C241) , 0)</f>
        <v>0</v>
      </c>
      <c r="J241" s="71">
        <f t="shared" si="3"/>
        <v>0</v>
      </c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8"/>
      <c r="B242" s="68"/>
      <c r="C242" s="68"/>
      <c r="D242" s="70">
        <f>IFERROR(SUMIFS('Stock In'!F:F,'Stock In'!C:C,$A242,'Stock In'!D:D,$B242,'Stock In'!E:E,$C242),0)</f>
        <v>0</v>
      </c>
      <c r="E242" s="70">
        <f>IFERROR(SUMIFS(Issues!H:H,Issues!C:C,$A242,Issues!D:D,$B242,Issues!E:E,$C242),0)</f>
        <v>0</v>
      </c>
      <c r="F242" s="70">
        <f>IFERROR(SUMIFS(Returns!H:H,Returns!C:C,$A242,Returns!D:D,$B242,Returns!E:E,$C242),0)</f>
        <v>0</v>
      </c>
      <c r="G242" s="70">
        <f t="shared" si="1"/>
        <v>0</v>
      </c>
      <c r="H242" s="71">
        <f t="shared" si="2"/>
        <v>0</v>
      </c>
      <c r="I242" s="72">
        <f>IFERROR( SUMIFS('Stock In'!I:I,'Stock In'!C:C,$A242,'Stock In'!D:D,$B242,'Stock In'!E:E,$C242) / SUMIFS('Stock In'!H:H,'Stock In'!C:C,$A242,'Stock In'!D:D,$B242,'Stock In'!E:E,$C242) , 0)</f>
        <v>0</v>
      </c>
      <c r="J242" s="71">
        <f t="shared" si="3"/>
        <v>0</v>
      </c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8"/>
      <c r="B243" s="68"/>
      <c r="C243" s="68"/>
      <c r="D243" s="70">
        <f>IFERROR(SUMIFS('Stock In'!F:F,'Stock In'!C:C,$A243,'Stock In'!D:D,$B243,'Stock In'!E:E,$C243),0)</f>
        <v>0</v>
      </c>
      <c r="E243" s="70">
        <f>IFERROR(SUMIFS(Issues!H:H,Issues!C:C,$A243,Issues!D:D,$B243,Issues!E:E,$C243),0)</f>
        <v>0</v>
      </c>
      <c r="F243" s="70">
        <f>IFERROR(SUMIFS(Returns!H:H,Returns!C:C,$A243,Returns!D:D,$B243,Returns!E:E,$C243),0)</f>
        <v>0</v>
      </c>
      <c r="G243" s="70">
        <f t="shared" si="1"/>
        <v>0</v>
      </c>
      <c r="H243" s="71">
        <f t="shared" si="2"/>
        <v>0</v>
      </c>
      <c r="I243" s="72">
        <f>IFERROR( SUMIFS('Stock In'!I:I,'Stock In'!C:C,$A243,'Stock In'!D:D,$B243,'Stock In'!E:E,$C243) / SUMIFS('Stock In'!H:H,'Stock In'!C:C,$A243,'Stock In'!D:D,$B243,'Stock In'!E:E,$C243) , 0)</f>
        <v>0</v>
      </c>
      <c r="J243" s="71">
        <f t="shared" si="3"/>
        <v>0</v>
      </c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8"/>
      <c r="B244" s="68"/>
      <c r="C244" s="68"/>
      <c r="D244" s="70">
        <f>IFERROR(SUMIFS('Stock In'!F:F,'Stock In'!C:C,$A244,'Stock In'!D:D,$B244,'Stock In'!E:E,$C244),0)</f>
        <v>0</v>
      </c>
      <c r="E244" s="70">
        <f>IFERROR(SUMIFS(Issues!H:H,Issues!C:C,$A244,Issues!D:D,$B244,Issues!E:E,$C244),0)</f>
        <v>0</v>
      </c>
      <c r="F244" s="70">
        <f>IFERROR(SUMIFS(Returns!H:H,Returns!C:C,$A244,Returns!D:D,$B244,Returns!E:E,$C244),0)</f>
        <v>0</v>
      </c>
      <c r="G244" s="70">
        <f t="shared" si="1"/>
        <v>0</v>
      </c>
      <c r="H244" s="71">
        <f t="shared" si="2"/>
        <v>0</v>
      </c>
      <c r="I244" s="72">
        <f>IFERROR( SUMIFS('Stock In'!I:I,'Stock In'!C:C,$A244,'Stock In'!D:D,$B244,'Stock In'!E:E,$C244) / SUMIFS('Stock In'!H:H,'Stock In'!C:C,$A244,'Stock In'!D:D,$B244,'Stock In'!E:E,$C244) , 0)</f>
        <v>0</v>
      </c>
      <c r="J244" s="71">
        <f t="shared" si="3"/>
        <v>0</v>
      </c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8"/>
      <c r="B245" s="68"/>
      <c r="C245" s="68"/>
      <c r="D245" s="70">
        <f>IFERROR(SUMIFS('Stock In'!F:F,'Stock In'!C:C,$A245,'Stock In'!D:D,$B245,'Stock In'!E:E,$C245),0)</f>
        <v>0</v>
      </c>
      <c r="E245" s="70">
        <f>IFERROR(SUMIFS(Issues!H:H,Issues!C:C,$A245,Issues!D:D,$B245,Issues!E:E,$C245),0)</f>
        <v>0</v>
      </c>
      <c r="F245" s="70">
        <f>IFERROR(SUMIFS(Returns!H:H,Returns!C:C,$A245,Returns!D:D,$B245,Returns!E:E,$C245),0)</f>
        <v>0</v>
      </c>
      <c r="G245" s="70">
        <f t="shared" si="1"/>
        <v>0</v>
      </c>
      <c r="H245" s="71">
        <f t="shared" si="2"/>
        <v>0</v>
      </c>
      <c r="I245" s="72">
        <f>IFERROR( SUMIFS('Stock In'!I:I,'Stock In'!C:C,$A245,'Stock In'!D:D,$B245,'Stock In'!E:E,$C245) / SUMIFS('Stock In'!H:H,'Stock In'!C:C,$A245,'Stock In'!D:D,$B245,'Stock In'!E:E,$C245) , 0)</f>
        <v>0</v>
      </c>
      <c r="J245" s="71">
        <f t="shared" si="3"/>
        <v>0</v>
      </c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8"/>
      <c r="B246" s="68"/>
      <c r="C246" s="68"/>
      <c r="D246" s="70">
        <f>IFERROR(SUMIFS('Stock In'!F:F,'Stock In'!C:C,$A246,'Stock In'!D:D,$B246,'Stock In'!E:E,$C246),0)</f>
        <v>0</v>
      </c>
      <c r="E246" s="70">
        <f>IFERROR(SUMIFS(Issues!H:H,Issues!C:C,$A246,Issues!D:D,$B246,Issues!E:E,$C246),0)</f>
        <v>0</v>
      </c>
      <c r="F246" s="70">
        <f>IFERROR(SUMIFS(Returns!H:H,Returns!C:C,$A246,Returns!D:D,$B246,Returns!E:E,$C246),0)</f>
        <v>0</v>
      </c>
      <c r="G246" s="70">
        <f t="shared" si="1"/>
        <v>0</v>
      </c>
      <c r="H246" s="71">
        <f t="shared" si="2"/>
        <v>0</v>
      </c>
      <c r="I246" s="72">
        <f>IFERROR( SUMIFS('Stock In'!I:I,'Stock In'!C:C,$A246,'Stock In'!D:D,$B246,'Stock In'!E:E,$C246) / SUMIFS('Stock In'!H:H,'Stock In'!C:C,$A246,'Stock In'!D:D,$B246,'Stock In'!E:E,$C246) , 0)</f>
        <v>0</v>
      </c>
      <c r="J246" s="71">
        <f t="shared" si="3"/>
        <v>0</v>
      </c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8"/>
      <c r="B247" s="68"/>
      <c r="C247" s="68"/>
      <c r="D247" s="70">
        <f>IFERROR(SUMIFS('Stock In'!F:F,'Stock In'!C:C,$A247,'Stock In'!D:D,$B247,'Stock In'!E:E,$C247),0)</f>
        <v>0</v>
      </c>
      <c r="E247" s="70">
        <f>IFERROR(SUMIFS(Issues!H:H,Issues!C:C,$A247,Issues!D:D,$B247,Issues!E:E,$C247),0)</f>
        <v>0</v>
      </c>
      <c r="F247" s="70">
        <f>IFERROR(SUMIFS(Returns!H:H,Returns!C:C,$A247,Returns!D:D,$B247,Returns!E:E,$C247),0)</f>
        <v>0</v>
      </c>
      <c r="G247" s="70">
        <f t="shared" si="1"/>
        <v>0</v>
      </c>
      <c r="H247" s="71">
        <f t="shared" si="2"/>
        <v>0</v>
      </c>
      <c r="I247" s="72">
        <f>IFERROR( SUMIFS('Stock In'!I:I,'Stock In'!C:C,$A247,'Stock In'!D:D,$B247,'Stock In'!E:E,$C247) / SUMIFS('Stock In'!H:H,'Stock In'!C:C,$A247,'Stock In'!D:D,$B247,'Stock In'!E:E,$C247) , 0)</f>
        <v>0</v>
      </c>
      <c r="J247" s="71">
        <f t="shared" si="3"/>
        <v>0</v>
      </c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8"/>
      <c r="B248" s="68"/>
      <c r="C248" s="68"/>
      <c r="D248" s="70">
        <f>IFERROR(SUMIFS('Stock In'!F:F,'Stock In'!C:C,$A248,'Stock In'!D:D,$B248,'Stock In'!E:E,$C248),0)</f>
        <v>0</v>
      </c>
      <c r="E248" s="70">
        <f>IFERROR(SUMIFS(Issues!H:H,Issues!C:C,$A248,Issues!D:D,$B248,Issues!E:E,$C248),0)</f>
        <v>0</v>
      </c>
      <c r="F248" s="70">
        <f>IFERROR(SUMIFS(Returns!H:H,Returns!C:C,$A248,Returns!D:D,$B248,Returns!E:E,$C248),0)</f>
        <v>0</v>
      </c>
      <c r="G248" s="70">
        <f t="shared" si="1"/>
        <v>0</v>
      </c>
      <c r="H248" s="71">
        <f t="shared" si="2"/>
        <v>0</v>
      </c>
      <c r="I248" s="72">
        <f>IFERROR( SUMIFS('Stock In'!I:I,'Stock In'!C:C,$A248,'Stock In'!D:D,$B248,'Stock In'!E:E,$C248) / SUMIFS('Stock In'!H:H,'Stock In'!C:C,$A248,'Stock In'!D:D,$B248,'Stock In'!E:E,$C248) , 0)</f>
        <v>0</v>
      </c>
      <c r="J248" s="71">
        <f t="shared" si="3"/>
        <v>0</v>
      </c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8"/>
      <c r="B249" s="68"/>
      <c r="C249" s="68"/>
      <c r="D249" s="70">
        <f>IFERROR(SUMIFS('Stock In'!F:F,'Stock In'!C:C,$A249,'Stock In'!D:D,$B249,'Stock In'!E:E,$C249),0)</f>
        <v>0</v>
      </c>
      <c r="E249" s="70">
        <f>IFERROR(SUMIFS(Issues!H:H,Issues!C:C,$A249,Issues!D:D,$B249,Issues!E:E,$C249),0)</f>
        <v>0</v>
      </c>
      <c r="F249" s="70">
        <f>IFERROR(SUMIFS(Returns!H:H,Returns!C:C,$A249,Returns!D:D,$B249,Returns!E:E,$C249),0)</f>
        <v>0</v>
      </c>
      <c r="G249" s="70">
        <f t="shared" si="1"/>
        <v>0</v>
      </c>
      <c r="H249" s="71">
        <f t="shared" si="2"/>
        <v>0</v>
      </c>
      <c r="I249" s="72">
        <f>IFERROR( SUMIFS('Stock In'!I:I,'Stock In'!C:C,$A249,'Stock In'!D:D,$B249,'Stock In'!E:E,$C249) / SUMIFS('Stock In'!H:H,'Stock In'!C:C,$A249,'Stock In'!D:D,$B249,'Stock In'!E:E,$C249) , 0)</f>
        <v>0</v>
      </c>
      <c r="J249" s="71">
        <f t="shared" si="3"/>
        <v>0</v>
      </c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8"/>
      <c r="B250" s="68"/>
      <c r="C250" s="68"/>
      <c r="D250" s="70">
        <f>IFERROR(SUMIFS('Stock In'!F:F,'Stock In'!C:C,$A250,'Stock In'!D:D,$B250,'Stock In'!E:E,$C250),0)</f>
        <v>0</v>
      </c>
      <c r="E250" s="70">
        <f>IFERROR(SUMIFS(Issues!H:H,Issues!C:C,$A250,Issues!D:D,$B250,Issues!E:E,$C250),0)</f>
        <v>0</v>
      </c>
      <c r="F250" s="70">
        <f>IFERROR(SUMIFS(Returns!H:H,Returns!C:C,$A250,Returns!D:D,$B250,Returns!E:E,$C250),0)</f>
        <v>0</v>
      </c>
      <c r="G250" s="70">
        <f t="shared" si="1"/>
        <v>0</v>
      </c>
      <c r="H250" s="71">
        <f t="shared" si="2"/>
        <v>0</v>
      </c>
      <c r="I250" s="72">
        <f>IFERROR( SUMIFS('Stock In'!I:I,'Stock In'!C:C,$A250,'Stock In'!D:D,$B250,'Stock In'!E:E,$C250) / SUMIFS('Stock In'!H:H,'Stock In'!C:C,$A250,'Stock In'!D:D,$B250,'Stock In'!E:E,$C250) , 0)</f>
        <v>0</v>
      </c>
      <c r="J250" s="71">
        <f t="shared" si="3"/>
        <v>0</v>
      </c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8"/>
      <c r="B251" s="68"/>
      <c r="C251" s="68"/>
      <c r="D251" s="70">
        <f>IFERROR(SUMIFS('Stock In'!F:F,'Stock In'!C:C,$A251,'Stock In'!D:D,$B251,'Stock In'!E:E,$C251),0)</f>
        <v>0</v>
      </c>
      <c r="E251" s="70">
        <f>IFERROR(SUMIFS(Issues!H:H,Issues!C:C,$A251,Issues!D:D,$B251,Issues!E:E,$C251),0)</f>
        <v>0</v>
      </c>
      <c r="F251" s="70">
        <f>IFERROR(SUMIFS(Returns!H:H,Returns!C:C,$A251,Returns!D:D,$B251,Returns!E:E,$C251),0)</f>
        <v>0</v>
      </c>
      <c r="G251" s="70">
        <f t="shared" si="1"/>
        <v>0</v>
      </c>
      <c r="H251" s="71">
        <f t="shared" si="2"/>
        <v>0</v>
      </c>
      <c r="I251" s="72">
        <f>IFERROR( SUMIFS('Stock In'!I:I,'Stock In'!C:C,$A251,'Stock In'!D:D,$B251,'Stock In'!E:E,$C251) / SUMIFS('Stock In'!H:H,'Stock In'!C:C,$A251,'Stock In'!D:D,$B251,'Stock In'!E:E,$C251) , 0)</f>
        <v>0</v>
      </c>
      <c r="J251" s="71">
        <f t="shared" si="3"/>
        <v>0</v>
      </c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8"/>
      <c r="B252" s="68"/>
      <c r="C252" s="68"/>
      <c r="D252" s="70">
        <f>IFERROR(SUMIFS('Stock In'!F:F,'Stock In'!C:C,$A252,'Stock In'!D:D,$B252,'Stock In'!E:E,$C252),0)</f>
        <v>0</v>
      </c>
      <c r="E252" s="70">
        <f>IFERROR(SUMIFS(Issues!H:H,Issues!C:C,$A252,Issues!D:D,$B252,Issues!E:E,$C252),0)</f>
        <v>0</v>
      </c>
      <c r="F252" s="70">
        <f>IFERROR(SUMIFS(Returns!H:H,Returns!C:C,$A252,Returns!D:D,$B252,Returns!E:E,$C252),0)</f>
        <v>0</v>
      </c>
      <c r="G252" s="70">
        <f t="shared" si="1"/>
        <v>0</v>
      </c>
      <c r="H252" s="71">
        <f t="shared" si="2"/>
        <v>0</v>
      </c>
      <c r="I252" s="72">
        <f>IFERROR( SUMIFS('Stock In'!I:I,'Stock In'!C:C,$A252,'Stock In'!D:D,$B252,'Stock In'!E:E,$C252) / SUMIFS('Stock In'!H:H,'Stock In'!C:C,$A252,'Stock In'!D:D,$B252,'Stock In'!E:E,$C252) , 0)</f>
        <v>0</v>
      </c>
      <c r="J252" s="71">
        <f t="shared" si="3"/>
        <v>0</v>
      </c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8"/>
      <c r="B253" s="68"/>
      <c r="C253" s="68"/>
      <c r="D253" s="70">
        <f>IFERROR(SUMIFS('Stock In'!F:F,'Stock In'!C:C,$A253,'Stock In'!D:D,$B253,'Stock In'!E:E,$C253),0)</f>
        <v>0</v>
      </c>
      <c r="E253" s="70">
        <f>IFERROR(SUMIFS(Issues!H:H,Issues!C:C,$A253,Issues!D:D,$B253,Issues!E:E,$C253),0)</f>
        <v>0</v>
      </c>
      <c r="F253" s="70">
        <f>IFERROR(SUMIFS(Returns!H:H,Returns!C:C,$A253,Returns!D:D,$B253,Returns!E:E,$C253),0)</f>
        <v>0</v>
      </c>
      <c r="G253" s="70">
        <f t="shared" si="1"/>
        <v>0</v>
      </c>
      <c r="H253" s="71">
        <f t="shared" si="2"/>
        <v>0</v>
      </c>
      <c r="I253" s="72">
        <f>IFERROR( SUMIFS('Stock In'!I:I,'Stock In'!C:C,$A253,'Stock In'!D:D,$B253,'Stock In'!E:E,$C253) / SUMIFS('Stock In'!H:H,'Stock In'!C:C,$A253,'Stock In'!D:D,$B253,'Stock In'!E:E,$C253) , 0)</f>
        <v>0</v>
      </c>
      <c r="J253" s="71">
        <f t="shared" si="3"/>
        <v>0</v>
      </c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8"/>
      <c r="B254" s="68"/>
      <c r="C254" s="68"/>
      <c r="D254" s="70">
        <f>IFERROR(SUMIFS('Stock In'!F:F,'Stock In'!C:C,$A254,'Stock In'!D:D,$B254,'Stock In'!E:E,$C254),0)</f>
        <v>0</v>
      </c>
      <c r="E254" s="70">
        <f>IFERROR(SUMIFS(Issues!H:H,Issues!C:C,$A254,Issues!D:D,$B254,Issues!E:E,$C254),0)</f>
        <v>0</v>
      </c>
      <c r="F254" s="70">
        <f>IFERROR(SUMIFS(Returns!H:H,Returns!C:C,$A254,Returns!D:D,$B254,Returns!E:E,$C254),0)</f>
        <v>0</v>
      </c>
      <c r="G254" s="70">
        <f t="shared" si="1"/>
        <v>0</v>
      </c>
      <c r="H254" s="71">
        <f t="shared" si="2"/>
        <v>0</v>
      </c>
      <c r="I254" s="72">
        <f>IFERROR( SUMIFS('Stock In'!I:I,'Stock In'!C:C,$A254,'Stock In'!D:D,$B254,'Stock In'!E:E,$C254) / SUMIFS('Stock In'!H:H,'Stock In'!C:C,$A254,'Stock In'!D:D,$B254,'Stock In'!E:E,$C254) , 0)</f>
        <v>0</v>
      </c>
      <c r="J254" s="71">
        <f t="shared" si="3"/>
        <v>0</v>
      </c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8"/>
      <c r="B255" s="68"/>
      <c r="C255" s="68"/>
      <c r="D255" s="70">
        <f>IFERROR(SUMIFS('Stock In'!F:F,'Stock In'!C:C,$A255,'Stock In'!D:D,$B255,'Stock In'!E:E,$C255),0)</f>
        <v>0</v>
      </c>
      <c r="E255" s="70">
        <f>IFERROR(SUMIFS(Issues!H:H,Issues!C:C,$A255,Issues!D:D,$B255,Issues!E:E,$C255),0)</f>
        <v>0</v>
      </c>
      <c r="F255" s="70">
        <f>IFERROR(SUMIFS(Returns!H:H,Returns!C:C,$A255,Returns!D:D,$B255,Returns!E:E,$C255),0)</f>
        <v>0</v>
      </c>
      <c r="G255" s="70">
        <f t="shared" si="1"/>
        <v>0</v>
      </c>
      <c r="H255" s="71">
        <f t="shared" si="2"/>
        <v>0</v>
      </c>
      <c r="I255" s="72">
        <f>IFERROR( SUMIFS('Stock In'!I:I,'Stock In'!C:C,$A255,'Stock In'!D:D,$B255,'Stock In'!E:E,$C255) / SUMIFS('Stock In'!H:H,'Stock In'!C:C,$A255,'Stock In'!D:D,$B255,'Stock In'!E:E,$C255) , 0)</f>
        <v>0</v>
      </c>
      <c r="J255" s="71">
        <f t="shared" si="3"/>
        <v>0</v>
      </c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8"/>
      <c r="B256" s="68"/>
      <c r="C256" s="68"/>
      <c r="D256" s="70">
        <f>IFERROR(SUMIFS('Stock In'!F:F,'Stock In'!C:C,$A256,'Stock In'!D:D,$B256,'Stock In'!E:E,$C256),0)</f>
        <v>0</v>
      </c>
      <c r="E256" s="70">
        <f>IFERROR(SUMIFS(Issues!H:H,Issues!C:C,$A256,Issues!D:D,$B256,Issues!E:E,$C256),0)</f>
        <v>0</v>
      </c>
      <c r="F256" s="70">
        <f>IFERROR(SUMIFS(Returns!H:H,Returns!C:C,$A256,Returns!D:D,$B256,Returns!E:E,$C256),0)</f>
        <v>0</v>
      </c>
      <c r="G256" s="70">
        <f t="shared" si="1"/>
        <v>0</v>
      </c>
      <c r="H256" s="71">
        <f t="shared" si="2"/>
        <v>0</v>
      </c>
      <c r="I256" s="72">
        <f>IFERROR( SUMIFS('Stock In'!I:I,'Stock In'!C:C,$A256,'Stock In'!D:D,$B256,'Stock In'!E:E,$C256) / SUMIFS('Stock In'!H:H,'Stock In'!C:C,$A256,'Stock In'!D:D,$B256,'Stock In'!E:E,$C256) , 0)</f>
        <v>0</v>
      </c>
      <c r="J256" s="71">
        <f t="shared" si="3"/>
        <v>0</v>
      </c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8"/>
      <c r="B257" s="68"/>
      <c r="C257" s="68"/>
      <c r="D257" s="70">
        <f>IFERROR(SUMIFS('Stock In'!F:F,'Stock In'!C:C,$A257,'Stock In'!D:D,$B257,'Stock In'!E:E,$C257),0)</f>
        <v>0</v>
      </c>
      <c r="E257" s="70">
        <f>IFERROR(SUMIFS(Issues!H:H,Issues!C:C,$A257,Issues!D:D,$B257,Issues!E:E,$C257),0)</f>
        <v>0</v>
      </c>
      <c r="F257" s="70">
        <f>IFERROR(SUMIFS(Returns!H:H,Returns!C:C,$A257,Returns!D:D,$B257,Returns!E:E,$C257),0)</f>
        <v>0</v>
      </c>
      <c r="G257" s="70">
        <f t="shared" si="1"/>
        <v>0</v>
      </c>
      <c r="H257" s="71">
        <f t="shared" si="2"/>
        <v>0</v>
      </c>
      <c r="I257" s="72">
        <f>IFERROR( SUMIFS('Stock In'!I:I,'Stock In'!C:C,$A257,'Stock In'!D:D,$B257,'Stock In'!E:E,$C257) / SUMIFS('Stock In'!H:H,'Stock In'!C:C,$A257,'Stock In'!D:D,$B257,'Stock In'!E:E,$C257) , 0)</f>
        <v>0</v>
      </c>
      <c r="J257" s="71">
        <f t="shared" si="3"/>
        <v>0</v>
      </c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8"/>
      <c r="B258" s="68"/>
      <c r="C258" s="68"/>
      <c r="D258" s="70">
        <f>IFERROR(SUMIFS('Stock In'!F:F,'Stock In'!C:C,$A258,'Stock In'!D:D,$B258,'Stock In'!E:E,$C258),0)</f>
        <v>0</v>
      </c>
      <c r="E258" s="70">
        <f>IFERROR(SUMIFS(Issues!H:H,Issues!C:C,$A258,Issues!D:D,$B258,Issues!E:E,$C258),0)</f>
        <v>0</v>
      </c>
      <c r="F258" s="70">
        <f>IFERROR(SUMIFS(Returns!H:H,Returns!C:C,$A258,Returns!D:D,$B258,Returns!E:E,$C258),0)</f>
        <v>0</v>
      </c>
      <c r="G258" s="70">
        <f t="shared" si="1"/>
        <v>0</v>
      </c>
      <c r="H258" s="71">
        <f t="shared" si="2"/>
        <v>0</v>
      </c>
      <c r="I258" s="72">
        <f>IFERROR( SUMIFS('Stock In'!I:I,'Stock In'!C:C,$A258,'Stock In'!D:D,$B258,'Stock In'!E:E,$C258) / SUMIFS('Stock In'!H:H,'Stock In'!C:C,$A258,'Stock In'!D:D,$B258,'Stock In'!E:E,$C258) , 0)</f>
        <v>0</v>
      </c>
      <c r="J258" s="71">
        <f t="shared" si="3"/>
        <v>0</v>
      </c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8"/>
      <c r="B259" s="68"/>
      <c r="C259" s="68"/>
      <c r="D259" s="70">
        <f>IFERROR(SUMIFS('Stock In'!F:F,'Stock In'!C:C,$A259,'Stock In'!D:D,$B259,'Stock In'!E:E,$C259),0)</f>
        <v>0</v>
      </c>
      <c r="E259" s="70">
        <f>IFERROR(SUMIFS(Issues!H:H,Issues!C:C,$A259,Issues!D:D,$B259,Issues!E:E,$C259),0)</f>
        <v>0</v>
      </c>
      <c r="F259" s="70">
        <f>IFERROR(SUMIFS(Returns!H:H,Returns!C:C,$A259,Returns!D:D,$B259,Returns!E:E,$C259),0)</f>
        <v>0</v>
      </c>
      <c r="G259" s="70">
        <f t="shared" si="1"/>
        <v>0</v>
      </c>
      <c r="H259" s="71">
        <f t="shared" si="2"/>
        <v>0</v>
      </c>
      <c r="I259" s="72">
        <f>IFERROR( SUMIFS('Stock In'!I:I,'Stock In'!C:C,$A259,'Stock In'!D:D,$B259,'Stock In'!E:E,$C259) / SUMIFS('Stock In'!H:H,'Stock In'!C:C,$A259,'Stock In'!D:D,$B259,'Stock In'!E:E,$C259) , 0)</f>
        <v>0</v>
      </c>
      <c r="J259" s="71">
        <f t="shared" si="3"/>
        <v>0</v>
      </c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8"/>
      <c r="B260" s="68"/>
      <c r="C260" s="68"/>
      <c r="D260" s="70">
        <f>IFERROR(SUMIFS('Stock In'!F:F,'Stock In'!C:C,$A260,'Stock In'!D:D,$B260,'Stock In'!E:E,$C260),0)</f>
        <v>0</v>
      </c>
      <c r="E260" s="70">
        <f>IFERROR(SUMIFS(Issues!H:H,Issues!C:C,$A260,Issues!D:D,$B260,Issues!E:E,$C260),0)</f>
        <v>0</v>
      </c>
      <c r="F260" s="70">
        <f>IFERROR(SUMIFS(Returns!H:H,Returns!C:C,$A260,Returns!D:D,$B260,Returns!E:E,$C260),0)</f>
        <v>0</v>
      </c>
      <c r="G260" s="70">
        <f t="shared" si="1"/>
        <v>0</v>
      </c>
      <c r="H260" s="71">
        <f t="shared" si="2"/>
        <v>0</v>
      </c>
      <c r="I260" s="72">
        <f>IFERROR( SUMIFS('Stock In'!I:I,'Stock In'!C:C,$A260,'Stock In'!D:D,$B260,'Stock In'!E:E,$C260) / SUMIFS('Stock In'!H:H,'Stock In'!C:C,$A260,'Stock In'!D:D,$B260,'Stock In'!E:E,$C260) , 0)</f>
        <v>0</v>
      </c>
      <c r="J260" s="71">
        <f t="shared" si="3"/>
        <v>0</v>
      </c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8"/>
      <c r="B261" s="68"/>
      <c r="C261" s="68"/>
      <c r="D261" s="70">
        <f>IFERROR(SUMIFS('Stock In'!F:F,'Stock In'!C:C,$A261,'Stock In'!D:D,$B261,'Stock In'!E:E,$C261),0)</f>
        <v>0</v>
      </c>
      <c r="E261" s="70">
        <f>IFERROR(SUMIFS(Issues!H:H,Issues!C:C,$A261,Issues!D:D,$B261,Issues!E:E,$C261),0)</f>
        <v>0</v>
      </c>
      <c r="F261" s="70">
        <f>IFERROR(SUMIFS(Returns!H:H,Returns!C:C,$A261,Returns!D:D,$B261,Returns!E:E,$C261),0)</f>
        <v>0</v>
      </c>
      <c r="G261" s="70">
        <f t="shared" si="1"/>
        <v>0</v>
      </c>
      <c r="H261" s="71">
        <f t="shared" si="2"/>
        <v>0</v>
      </c>
      <c r="I261" s="72">
        <f>IFERROR( SUMIFS('Stock In'!I:I,'Stock In'!C:C,$A261,'Stock In'!D:D,$B261,'Stock In'!E:E,$C261) / SUMIFS('Stock In'!H:H,'Stock In'!C:C,$A261,'Stock In'!D:D,$B261,'Stock In'!E:E,$C261) , 0)</f>
        <v>0</v>
      </c>
      <c r="J261" s="71">
        <f t="shared" si="3"/>
        <v>0</v>
      </c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8"/>
      <c r="B262" s="68"/>
      <c r="C262" s="68"/>
      <c r="D262" s="70">
        <f>IFERROR(SUMIFS('Stock In'!F:F,'Stock In'!C:C,$A262,'Stock In'!D:D,$B262,'Stock In'!E:E,$C262),0)</f>
        <v>0</v>
      </c>
      <c r="E262" s="70">
        <f>IFERROR(SUMIFS(Issues!H:H,Issues!C:C,$A262,Issues!D:D,$B262,Issues!E:E,$C262),0)</f>
        <v>0</v>
      </c>
      <c r="F262" s="70">
        <f>IFERROR(SUMIFS(Returns!H:H,Returns!C:C,$A262,Returns!D:D,$B262,Returns!E:E,$C262),0)</f>
        <v>0</v>
      </c>
      <c r="G262" s="70">
        <f t="shared" si="1"/>
        <v>0</v>
      </c>
      <c r="H262" s="71">
        <f t="shared" si="2"/>
        <v>0</v>
      </c>
      <c r="I262" s="72">
        <f>IFERROR( SUMIFS('Stock In'!I:I,'Stock In'!C:C,$A262,'Stock In'!D:D,$B262,'Stock In'!E:E,$C262) / SUMIFS('Stock In'!H:H,'Stock In'!C:C,$A262,'Stock In'!D:D,$B262,'Stock In'!E:E,$C262) , 0)</f>
        <v>0</v>
      </c>
      <c r="J262" s="71">
        <f t="shared" si="3"/>
        <v>0</v>
      </c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8"/>
      <c r="B263" s="68"/>
      <c r="C263" s="68"/>
      <c r="D263" s="70">
        <f>IFERROR(SUMIFS('Stock In'!F:F,'Stock In'!C:C,$A263,'Stock In'!D:D,$B263,'Stock In'!E:E,$C263),0)</f>
        <v>0</v>
      </c>
      <c r="E263" s="70">
        <f>IFERROR(SUMIFS(Issues!H:H,Issues!C:C,$A263,Issues!D:D,$B263,Issues!E:E,$C263),0)</f>
        <v>0</v>
      </c>
      <c r="F263" s="70">
        <f>IFERROR(SUMIFS(Returns!H:H,Returns!C:C,$A263,Returns!D:D,$B263,Returns!E:E,$C263),0)</f>
        <v>0</v>
      </c>
      <c r="G263" s="70">
        <f t="shared" si="1"/>
        <v>0</v>
      </c>
      <c r="H263" s="71">
        <f t="shared" si="2"/>
        <v>0</v>
      </c>
      <c r="I263" s="72">
        <f>IFERROR( SUMIFS('Stock In'!I:I,'Stock In'!C:C,$A263,'Stock In'!D:D,$B263,'Stock In'!E:E,$C263) / SUMIFS('Stock In'!H:H,'Stock In'!C:C,$A263,'Stock In'!D:D,$B263,'Stock In'!E:E,$C263) , 0)</f>
        <v>0</v>
      </c>
      <c r="J263" s="71">
        <f t="shared" si="3"/>
        <v>0</v>
      </c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8"/>
      <c r="B264" s="68"/>
      <c r="C264" s="68"/>
      <c r="D264" s="70">
        <f>IFERROR(SUMIFS('Stock In'!F:F,'Stock In'!C:C,$A264,'Stock In'!D:D,$B264,'Stock In'!E:E,$C264),0)</f>
        <v>0</v>
      </c>
      <c r="E264" s="70">
        <f>IFERROR(SUMIFS(Issues!H:H,Issues!C:C,$A264,Issues!D:D,$B264,Issues!E:E,$C264),0)</f>
        <v>0</v>
      </c>
      <c r="F264" s="70">
        <f>IFERROR(SUMIFS(Returns!H:H,Returns!C:C,$A264,Returns!D:D,$B264,Returns!E:E,$C264),0)</f>
        <v>0</v>
      </c>
      <c r="G264" s="70">
        <f t="shared" si="1"/>
        <v>0</v>
      </c>
      <c r="H264" s="71">
        <f t="shared" si="2"/>
        <v>0</v>
      </c>
      <c r="I264" s="72">
        <f>IFERROR( SUMIFS('Stock In'!I:I,'Stock In'!C:C,$A264,'Stock In'!D:D,$B264,'Stock In'!E:E,$C264) / SUMIFS('Stock In'!H:H,'Stock In'!C:C,$A264,'Stock In'!D:D,$B264,'Stock In'!E:E,$C264) , 0)</f>
        <v>0</v>
      </c>
      <c r="J264" s="71">
        <f t="shared" si="3"/>
        <v>0</v>
      </c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8"/>
      <c r="B265" s="68"/>
      <c r="C265" s="68"/>
      <c r="D265" s="70">
        <f>IFERROR(SUMIFS('Stock In'!F:F,'Stock In'!C:C,$A265,'Stock In'!D:D,$B265,'Stock In'!E:E,$C265),0)</f>
        <v>0</v>
      </c>
      <c r="E265" s="70">
        <f>IFERROR(SUMIFS(Issues!H:H,Issues!C:C,$A265,Issues!D:D,$B265,Issues!E:E,$C265),0)</f>
        <v>0</v>
      </c>
      <c r="F265" s="70">
        <f>IFERROR(SUMIFS(Returns!H:H,Returns!C:C,$A265,Returns!D:D,$B265,Returns!E:E,$C265),0)</f>
        <v>0</v>
      </c>
      <c r="G265" s="70">
        <f t="shared" si="1"/>
        <v>0</v>
      </c>
      <c r="H265" s="71">
        <f t="shared" si="2"/>
        <v>0</v>
      </c>
      <c r="I265" s="72">
        <f>IFERROR( SUMIFS('Stock In'!I:I,'Stock In'!C:C,$A265,'Stock In'!D:D,$B265,'Stock In'!E:E,$C265) / SUMIFS('Stock In'!H:H,'Stock In'!C:C,$A265,'Stock In'!D:D,$B265,'Stock In'!E:E,$C265) , 0)</f>
        <v>0</v>
      </c>
      <c r="J265" s="71">
        <f t="shared" si="3"/>
        <v>0</v>
      </c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8"/>
      <c r="B266" s="68"/>
      <c r="C266" s="68"/>
      <c r="D266" s="70">
        <f>IFERROR(SUMIFS('Stock In'!F:F,'Stock In'!C:C,$A266,'Stock In'!D:D,$B266,'Stock In'!E:E,$C266),0)</f>
        <v>0</v>
      </c>
      <c r="E266" s="70">
        <f>IFERROR(SUMIFS(Issues!H:H,Issues!C:C,$A266,Issues!D:D,$B266,Issues!E:E,$C266),0)</f>
        <v>0</v>
      </c>
      <c r="F266" s="70">
        <f>IFERROR(SUMIFS(Returns!H:H,Returns!C:C,$A266,Returns!D:D,$B266,Returns!E:E,$C266),0)</f>
        <v>0</v>
      </c>
      <c r="G266" s="70">
        <f t="shared" si="1"/>
        <v>0</v>
      </c>
      <c r="H266" s="71">
        <f t="shared" si="2"/>
        <v>0</v>
      </c>
      <c r="I266" s="72">
        <f>IFERROR( SUMIFS('Stock In'!I:I,'Stock In'!C:C,$A266,'Stock In'!D:D,$B266,'Stock In'!E:E,$C266) / SUMIFS('Stock In'!H:H,'Stock In'!C:C,$A266,'Stock In'!D:D,$B266,'Stock In'!E:E,$C266) , 0)</f>
        <v>0</v>
      </c>
      <c r="J266" s="71">
        <f t="shared" si="3"/>
        <v>0</v>
      </c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8"/>
      <c r="B267" s="68"/>
      <c r="C267" s="68"/>
      <c r="D267" s="70">
        <f>IFERROR(SUMIFS('Stock In'!F:F,'Stock In'!C:C,$A267,'Stock In'!D:D,$B267,'Stock In'!E:E,$C267),0)</f>
        <v>0</v>
      </c>
      <c r="E267" s="70">
        <f>IFERROR(SUMIFS(Issues!H:H,Issues!C:C,$A267,Issues!D:D,$B267,Issues!E:E,$C267),0)</f>
        <v>0</v>
      </c>
      <c r="F267" s="70">
        <f>IFERROR(SUMIFS(Returns!H:H,Returns!C:C,$A267,Returns!D:D,$B267,Returns!E:E,$C267),0)</f>
        <v>0</v>
      </c>
      <c r="G267" s="70">
        <f t="shared" si="1"/>
        <v>0</v>
      </c>
      <c r="H267" s="71">
        <f t="shared" si="2"/>
        <v>0</v>
      </c>
      <c r="I267" s="72">
        <f>IFERROR( SUMIFS('Stock In'!I:I,'Stock In'!C:C,$A267,'Stock In'!D:D,$B267,'Stock In'!E:E,$C267) / SUMIFS('Stock In'!H:H,'Stock In'!C:C,$A267,'Stock In'!D:D,$B267,'Stock In'!E:E,$C267) , 0)</f>
        <v>0</v>
      </c>
      <c r="J267" s="71">
        <f t="shared" si="3"/>
        <v>0</v>
      </c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8"/>
      <c r="B268" s="68"/>
      <c r="C268" s="68"/>
      <c r="D268" s="70">
        <f>IFERROR(SUMIFS('Stock In'!F:F,'Stock In'!C:C,$A268,'Stock In'!D:D,$B268,'Stock In'!E:E,$C268),0)</f>
        <v>0</v>
      </c>
      <c r="E268" s="70">
        <f>IFERROR(SUMIFS(Issues!H:H,Issues!C:C,$A268,Issues!D:D,$B268,Issues!E:E,$C268),0)</f>
        <v>0</v>
      </c>
      <c r="F268" s="70">
        <f>IFERROR(SUMIFS(Returns!H:H,Returns!C:C,$A268,Returns!D:D,$B268,Returns!E:E,$C268),0)</f>
        <v>0</v>
      </c>
      <c r="G268" s="70">
        <f t="shared" si="1"/>
        <v>0</v>
      </c>
      <c r="H268" s="71">
        <f t="shared" si="2"/>
        <v>0</v>
      </c>
      <c r="I268" s="72">
        <f>IFERROR( SUMIFS('Stock In'!I:I,'Stock In'!C:C,$A268,'Stock In'!D:D,$B268,'Stock In'!E:E,$C268) / SUMIFS('Stock In'!H:H,'Stock In'!C:C,$A268,'Stock In'!D:D,$B268,'Stock In'!E:E,$C268) , 0)</f>
        <v>0</v>
      </c>
      <c r="J268" s="71">
        <f t="shared" si="3"/>
        <v>0</v>
      </c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8"/>
      <c r="B269" s="68"/>
      <c r="C269" s="68"/>
      <c r="D269" s="70">
        <f>IFERROR(SUMIFS('Stock In'!F:F,'Stock In'!C:C,$A269,'Stock In'!D:D,$B269,'Stock In'!E:E,$C269),0)</f>
        <v>0</v>
      </c>
      <c r="E269" s="70">
        <f>IFERROR(SUMIFS(Issues!H:H,Issues!C:C,$A269,Issues!D:D,$B269,Issues!E:E,$C269),0)</f>
        <v>0</v>
      </c>
      <c r="F269" s="70">
        <f>IFERROR(SUMIFS(Returns!H:H,Returns!C:C,$A269,Returns!D:D,$B269,Returns!E:E,$C269),0)</f>
        <v>0</v>
      </c>
      <c r="G269" s="70">
        <f t="shared" si="1"/>
        <v>0</v>
      </c>
      <c r="H269" s="71">
        <f t="shared" si="2"/>
        <v>0</v>
      </c>
      <c r="I269" s="72">
        <f>IFERROR( SUMIFS('Stock In'!I:I,'Stock In'!C:C,$A269,'Stock In'!D:D,$B269,'Stock In'!E:E,$C269) / SUMIFS('Stock In'!H:H,'Stock In'!C:C,$A269,'Stock In'!D:D,$B269,'Stock In'!E:E,$C269) , 0)</f>
        <v>0</v>
      </c>
      <c r="J269" s="71">
        <f t="shared" si="3"/>
        <v>0</v>
      </c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8"/>
      <c r="B270" s="68"/>
      <c r="C270" s="68"/>
      <c r="D270" s="70">
        <f>IFERROR(SUMIFS('Stock In'!F:F,'Stock In'!C:C,$A270,'Stock In'!D:D,$B270,'Stock In'!E:E,$C270),0)</f>
        <v>0</v>
      </c>
      <c r="E270" s="70">
        <f>IFERROR(SUMIFS(Issues!H:H,Issues!C:C,$A270,Issues!D:D,$B270,Issues!E:E,$C270),0)</f>
        <v>0</v>
      </c>
      <c r="F270" s="70">
        <f>IFERROR(SUMIFS(Returns!H:H,Returns!C:C,$A270,Returns!D:D,$B270,Returns!E:E,$C270),0)</f>
        <v>0</v>
      </c>
      <c r="G270" s="70">
        <f t="shared" si="1"/>
        <v>0</v>
      </c>
      <c r="H270" s="71">
        <f t="shared" si="2"/>
        <v>0</v>
      </c>
      <c r="I270" s="72">
        <f>IFERROR( SUMIFS('Stock In'!I:I,'Stock In'!C:C,$A270,'Stock In'!D:D,$B270,'Stock In'!E:E,$C270) / SUMIFS('Stock In'!H:H,'Stock In'!C:C,$A270,'Stock In'!D:D,$B270,'Stock In'!E:E,$C270) , 0)</f>
        <v>0</v>
      </c>
      <c r="J270" s="71">
        <f t="shared" si="3"/>
        <v>0</v>
      </c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8"/>
      <c r="B271" s="68"/>
      <c r="C271" s="68"/>
      <c r="D271" s="70">
        <f>IFERROR(SUMIFS('Stock In'!F:F,'Stock In'!C:C,$A271,'Stock In'!D:D,$B271,'Stock In'!E:E,$C271),0)</f>
        <v>0</v>
      </c>
      <c r="E271" s="70">
        <f>IFERROR(SUMIFS(Issues!H:H,Issues!C:C,$A271,Issues!D:D,$B271,Issues!E:E,$C271),0)</f>
        <v>0</v>
      </c>
      <c r="F271" s="70">
        <f>IFERROR(SUMIFS(Returns!H:H,Returns!C:C,$A271,Returns!D:D,$B271,Returns!E:E,$C271),0)</f>
        <v>0</v>
      </c>
      <c r="G271" s="70">
        <f t="shared" si="1"/>
        <v>0</v>
      </c>
      <c r="H271" s="71">
        <f t="shared" si="2"/>
        <v>0</v>
      </c>
      <c r="I271" s="72">
        <f>IFERROR( SUMIFS('Stock In'!I:I,'Stock In'!C:C,$A271,'Stock In'!D:D,$B271,'Stock In'!E:E,$C271) / SUMIFS('Stock In'!H:H,'Stock In'!C:C,$A271,'Stock In'!D:D,$B271,'Stock In'!E:E,$C271) , 0)</f>
        <v>0</v>
      </c>
      <c r="J271" s="71">
        <f t="shared" si="3"/>
        <v>0</v>
      </c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8"/>
      <c r="B272" s="68"/>
      <c r="C272" s="68"/>
      <c r="D272" s="70">
        <f>IFERROR(SUMIFS('Stock In'!F:F,'Stock In'!C:C,$A272,'Stock In'!D:D,$B272,'Stock In'!E:E,$C272),0)</f>
        <v>0</v>
      </c>
      <c r="E272" s="70">
        <f>IFERROR(SUMIFS(Issues!H:H,Issues!C:C,$A272,Issues!D:D,$B272,Issues!E:E,$C272),0)</f>
        <v>0</v>
      </c>
      <c r="F272" s="70">
        <f>IFERROR(SUMIFS(Returns!H:H,Returns!C:C,$A272,Returns!D:D,$B272,Returns!E:E,$C272),0)</f>
        <v>0</v>
      </c>
      <c r="G272" s="70">
        <f t="shared" si="1"/>
        <v>0</v>
      </c>
      <c r="H272" s="71">
        <f t="shared" si="2"/>
        <v>0</v>
      </c>
      <c r="I272" s="72">
        <f>IFERROR( SUMIFS('Stock In'!I:I,'Stock In'!C:C,$A272,'Stock In'!D:D,$B272,'Stock In'!E:E,$C272) / SUMIFS('Stock In'!H:H,'Stock In'!C:C,$A272,'Stock In'!D:D,$B272,'Stock In'!E:E,$C272) , 0)</f>
        <v>0</v>
      </c>
      <c r="J272" s="71">
        <f t="shared" si="3"/>
        <v>0</v>
      </c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8"/>
      <c r="B273" s="68"/>
      <c r="C273" s="68"/>
      <c r="D273" s="70">
        <f>IFERROR(SUMIFS('Stock In'!F:F,'Stock In'!C:C,$A273,'Stock In'!D:D,$B273,'Stock In'!E:E,$C273),0)</f>
        <v>0</v>
      </c>
      <c r="E273" s="70">
        <f>IFERROR(SUMIFS(Issues!H:H,Issues!C:C,$A273,Issues!D:D,$B273,Issues!E:E,$C273),0)</f>
        <v>0</v>
      </c>
      <c r="F273" s="70">
        <f>IFERROR(SUMIFS(Returns!H:H,Returns!C:C,$A273,Returns!D:D,$B273,Returns!E:E,$C273),0)</f>
        <v>0</v>
      </c>
      <c r="G273" s="70">
        <f t="shared" si="1"/>
        <v>0</v>
      </c>
      <c r="H273" s="71">
        <f t="shared" si="2"/>
        <v>0</v>
      </c>
      <c r="I273" s="72">
        <f>IFERROR( SUMIFS('Stock In'!I:I,'Stock In'!C:C,$A273,'Stock In'!D:D,$B273,'Stock In'!E:E,$C273) / SUMIFS('Stock In'!H:H,'Stock In'!C:C,$A273,'Stock In'!D:D,$B273,'Stock In'!E:E,$C273) , 0)</f>
        <v>0</v>
      </c>
      <c r="J273" s="71">
        <f t="shared" si="3"/>
        <v>0</v>
      </c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8"/>
      <c r="B274" s="68"/>
      <c r="C274" s="68"/>
      <c r="D274" s="70">
        <f>IFERROR(SUMIFS('Stock In'!F:F,'Stock In'!C:C,$A274,'Stock In'!D:D,$B274,'Stock In'!E:E,$C274),0)</f>
        <v>0</v>
      </c>
      <c r="E274" s="70">
        <f>IFERROR(SUMIFS(Issues!H:H,Issues!C:C,$A274,Issues!D:D,$B274,Issues!E:E,$C274),0)</f>
        <v>0</v>
      </c>
      <c r="F274" s="70">
        <f>IFERROR(SUMIFS(Returns!H:H,Returns!C:C,$A274,Returns!D:D,$B274,Returns!E:E,$C274),0)</f>
        <v>0</v>
      </c>
      <c r="G274" s="70">
        <f t="shared" si="1"/>
        <v>0</v>
      </c>
      <c r="H274" s="71">
        <f t="shared" si="2"/>
        <v>0</v>
      </c>
      <c r="I274" s="72">
        <f>IFERROR( SUMIFS('Stock In'!I:I,'Stock In'!C:C,$A274,'Stock In'!D:D,$B274,'Stock In'!E:E,$C274) / SUMIFS('Stock In'!H:H,'Stock In'!C:C,$A274,'Stock In'!D:D,$B274,'Stock In'!E:E,$C274) , 0)</f>
        <v>0</v>
      </c>
      <c r="J274" s="71">
        <f t="shared" si="3"/>
        <v>0</v>
      </c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8"/>
      <c r="B275" s="68"/>
      <c r="C275" s="68"/>
      <c r="D275" s="70">
        <f>IFERROR(SUMIFS('Stock In'!F:F,'Stock In'!C:C,$A275,'Stock In'!D:D,$B275,'Stock In'!E:E,$C275),0)</f>
        <v>0</v>
      </c>
      <c r="E275" s="70">
        <f>IFERROR(SUMIFS(Issues!H:H,Issues!C:C,$A275,Issues!D:D,$B275,Issues!E:E,$C275),0)</f>
        <v>0</v>
      </c>
      <c r="F275" s="70">
        <f>IFERROR(SUMIFS(Returns!H:H,Returns!C:C,$A275,Returns!D:D,$B275,Returns!E:E,$C275),0)</f>
        <v>0</v>
      </c>
      <c r="G275" s="70">
        <f t="shared" si="1"/>
        <v>0</v>
      </c>
      <c r="H275" s="71">
        <f t="shared" si="2"/>
        <v>0</v>
      </c>
      <c r="I275" s="72">
        <f>IFERROR( SUMIFS('Stock In'!I:I,'Stock In'!C:C,$A275,'Stock In'!D:D,$B275,'Stock In'!E:E,$C275) / SUMIFS('Stock In'!H:H,'Stock In'!C:C,$A275,'Stock In'!D:D,$B275,'Stock In'!E:E,$C275) , 0)</f>
        <v>0</v>
      </c>
      <c r="J275" s="71">
        <f t="shared" si="3"/>
        <v>0</v>
      </c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8"/>
      <c r="B276" s="68"/>
      <c r="C276" s="68"/>
      <c r="D276" s="70">
        <f>IFERROR(SUMIFS('Stock In'!F:F,'Stock In'!C:C,$A276,'Stock In'!D:D,$B276,'Stock In'!E:E,$C276),0)</f>
        <v>0</v>
      </c>
      <c r="E276" s="70">
        <f>IFERROR(SUMIFS(Issues!H:H,Issues!C:C,$A276,Issues!D:D,$B276,Issues!E:E,$C276),0)</f>
        <v>0</v>
      </c>
      <c r="F276" s="70">
        <f>IFERROR(SUMIFS(Returns!H:H,Returns!C:C,$A276,Returns!D:D,$B276,Returns!E:E,$C276),0)</f>
        <v>0</v>
      </c>
      <c r="G276" s="70">
        <f t="shared" si="1"/>
        <v>0</v>
      </c>
      <c r="H276" s="71">
        <f t="shared" si="2"/>
        <v>0</v>
      </c>
      <c r="I276" s="72">
        <f>IFERROR( SUMIFS('Stock In'!I:I,'Stock In'!C:C,$A276,'Stock In'!D:D,$B276,'Stock In'!E:E,$C276) / SUMIFS('Stock In'!H:H,'Stock In'!C:C,$A276,'Stock In'!D:D,$B276,'Stock In'!E:E,$C276) , 0)</f>
        <v>0</v>
      </c>
      <c r="J276" s="71">
        <f t="shared" si="3"/>
        <v>0</v>
      </c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8"/>
      <c r="B277" s="68"/>
      <c r="C277" s="68"/>
      <c r="D277" s="70">
        <f>IFERROR(SUMIFS('Stock In'!F:F,'Stock In'!C:C,$A277,'Stock In'!D:D,$B277,'Stock In'!E:E,$C277),0)</f>
        <v>0</v>
      </c>
      <c r="E277" s="70">
        <f>IFERROR(SUMIFS(Issues!H:H,Issues!C:C,$A277,Issues!D:D,$B277,Issues!E:E,$C277),0)</f>
        <v>0</v>
      </c>
      <c r="F277" s="70">
        <f>IFERROR(SUMIFS(Returns!H:H,Returns!C:C,$A277,Returns!D:D,$B277,Returns!E:E,$C277),0)</f>
        <v>0</v>
      </c>
      <c r="G277" s="70">
        <f t="shared" si="1"/>
        <v>0</v>
      </c>
      <c r="H277" s="71">
        <f t="shared" si="2"/>
        <v>0</v>
      </c>
      <c r="I277" s="72">
        <f>IFERROR( SUMIFS('Stock In'!I:I,'Stock In'!C:C,$A277,'Stock In'!D:D,$B277,'Stock In'!E:E,$C277) / SUMIFS('Stock In'!H:H,'Stock In'!C:C,$A277,'Stock In'!D:D,$B277,'Stock In'!E:E,$C277) , 0)</f>
        <v>0</v>
      </c>
      <c r="J277" s="71">
        <f t="shared" si="3"/>
        <v>0</v>
      </c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8"/>
      <c r="B278" s="68"/>
      <c r="C278" s="68"/>
      <c r="D278" s="70">
        <f>IFERROR(SUMIFS('Stock In'!F:F,'Stock In'!C:C,$A278,'Stock In'!D:D,$B278,'Stock In'!E:E,$C278),0)</f>
        <v>0</v>
      </c>
      <c r="E278" s="70">
        <f>IFERROR(SUMIFS(Issues!H:H,Issues!C:C,$A278,Issues!D:D,$B278,Issues!E:E,$C278),0)</f>
        <v>0</v>
      </c>
      <c r="F278" s="70">
        <f>IFERROR(SUMIFS(Returns!H:H,Returns!C:C,$A278,Returns!D:D,$B278,Returns!E:E,$C278),0)</f>
        <v>0</v>
      </c>
      <c r="G278" s="70">
        <f t="shared" si="1"/>
        <v>0</v>
      </c>
      <c r="H278" s="71">
        <f t="shared" si="2"/>
        <v>0</v>
      </c>
      <c r="I278" s="72">
        <f>IFERROR( SUMIFS('Stock In'!I:I,'Stock In'!C:C,$A278,'Stock In'!D:D,$B278,'Stock In'!E:E,$C278) / SUMIFS('Stock In'!H:H,'Stock In'!C:C,$A278,'Stock In'!D:D,$B278,'Stock In'!E:E,$C278) , 0)</f>
        <v>0</v>
      </c>
      <c r="J278" s="71">
        <f t="shared" si="3"/>
        <v>0</v>
      </c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8"/>
      <c r="B279" s="68"/>
      <c r="C279" s="68"/>
      <c r="D279" s="70">
        <f>IFERROR(SUMIFS('Stock In'!F:F,'Stock In'!C:C,$A279,'Stock In'!D:D,$B279,'Stock In'!E:E,$C279),0)</f>
        <v>0</v>
      </c>
      <c r="E279" s="70">
        <f>IFERROR(SUMIFS(Issues!H:H,Issues!C:C,$A279,Issues!D:D,$B279,Issues!E:E,$C279),0)</f>
        <v>0</v>
      </c>
      <c r="F279" s="70">
        <f>IFERROR(SUMIFS(Returns!H:H,Returns!C:C,$A279,Returns!D:D,$B279,Returns!E:E,$C279),0)</f>
        <v>0</v>
      </c>
      <c r="G279" s="70">
        <f t="shared" si="1"/>
        <v>0</v>
      </c>
      <c r="H279" s="71">
        <f t="shared" si="2"/>
        <v>0</v>
      </c>
      <c r="I279" s="72">
        <f>IFERROR( SUMIFS('Stock In'!I:I,'Stock In'!C:C,$A279,'Stock In'!D:D,$B279,'Stock In'!E:E,$C279) / SUMIFS('Stock In'!H:H,'Stock In'!C:C,$A279,'Stock In'!D:D,$B279,'Stock In'!E:E,$C279) , 0)</f>
        <v>0</v>
      </c>
      <c r="J279" s="71">
        <f t="shared" si="3"/>
        <v>0</v>
      </c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8"/>
      <c r="B280" s="68"/>
      <c r="C280" s="68"/>
      <c r="D280" s="70">
        <f>IFERROR(SUMIFS('Stock In'!F:F,'Stock In'!C:C,$A280,'Stock In'!D:D,$B280,'Stock In'!E:E,$C280),0)</f>
        <v>0</v>
      </c>
      <c r="E280" s="70">
        <f>IFERROR(SUMIFS(Issues!H:H,Issues!C:C,$A280,Issues!D:D,$B280,Issues!E:E,$C280),0)</f>
        <v>0</v>
      </c>
      <c r="F280" s="70">
        <f>IFERROR(SUMIFS(Returns!H:H,Returns!C:C,$A280,Returns!D:D,$B280,Returns!E:E,$C280),0)</f>
        <v>0</v>
      </c>
      <c r="G280" s="70">
        <f t="shared" si="1"/>
        <v>0</v>
      </c>
      <c r="H280" s="71">
        <f t="shared" si="2"/>
        <v>0</v>
      </c>
      <c r="I280" s="72">
        <f>IFERROR( SUMIFS('Stock In'!I:I,'Stock In'!C:C,$A280,'Stock In'!D:D,$B280,'Stock In'!E:E,$C280) / SUMIFS('Stock In'!H:H,'Stock In'!C:C,$A280,'Stock In'!D:D,$B280,'Stock In'!E:E,$C280) , 0)</f>
        <v>0</v>
      </c>
      <c r="J280" s="71">
        <f t="shared" si="3"/>
        <v>0</v>
      </c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8"/>
      <c r="B281" s="68"/>
      <c r="C281" s="68"/>
      <c r="D281" s="70">
        <f>IFERROR(SUMIFS('Stock In'!F:F,'Stock In'!C:C,$A281,'Stock In'!D:D,$B281,'Stock In'!E:E,$C281),0)</f>
        <v>0</v>
      </c>
      <c r="E281" s="70">
        <f>IFERROR(SUMIFS(Issues!H:H,Issues!C:C,$A281,Issues!D:D,$B281,Issues!E:E,$C281),0)</f>
        <v>0</v>
      </c>
      <c r="F281" s="70">
        <f>IFERROR(SUMIFS(Returns!H:H,Returns!C:C,$A281,Returns!D:D,$B281,Returns!E:E,$C281),0)</f>
        <v>0</v>
      </c>
      <c r="G281" s="70">
        <f t="shared" si="1"/>
        <v>0</v>
      </c>
      <c r="H281" s="71">
        <f t="shared" si="2"/>
        <v>0</v>
      </c>
      <c r="I281" s="72">
        <f>IFERROR( SUMIFS('Stock In'!I:I,'Stock In'!C:C,$A281,'Stock In'!D:D,$B281,'Stock In'!E:E,$C281) / SUMIFS('Stock In'!H:H,'Stock In'!C:C,$A281,'Stock In'!D:D,$B281,'Stock In'!E:E,$C281) , 0)</f>
        <v>0</v>
      </c>
      <c r="J281" s="71">
        <f t="shared" si="3"/>
        <v>0</v>
      </c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8"/>
      <c r="B282" s="68"/>
      <c r="C282" s="68"/>
      <c r="D282" s="70">
        <f>IFERROR(SUMIFS('Stock In'!F:F,'Stock In'!C:C,$A282,'Stock In'!D:D,$B282,'Stock In'!E:E,$C282),0)</f>
        <v>0</v>
      </c>
      <c r="E282" s="70">
        <f>IFERROR(SUMIFS(Issues!H:H,Issues!C:C,$A282,Issues!D:D,$B282,Issues!E:E,$C282),0)</f>
        <v>0</v>
      </c>
      <c r="F282" s="70">
        <f>IFERROR(SUMIFS(Returns!H:H,Returns!C:C,$A282,Returns!D:D,$B282,Returns!E:E,$C282),0)</f>
        <v>0</v>
      </c>
      <c r="G282" s="70">
        <f t="shared" si="1"/>
        <v>0</v>
      </c>
      <c r="H282" s="71">
        <f t="shared" si="2"/>
        <v>0</v>
      </c>
      <c r="I282" s="72">
        <f>IFERROR( SUMIFS('Stock In'!I:I,'Stock In'!C:C,$A282,'Stock In'!D:D,$B282,'Stock In'!E:E,$C282) / SUMIFS('Stock In'!H:H,'Stock In'!C:C,$A282,'Stock In'!D:D,$B282,'Stock In'!E:E,$C282) , 0)</f>
        <v>0</v>
      </c>
      <c r="J282" s="71">
        <f t="shared" si="3"/>
        <v>0</v>
      </c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8"/>
      <c r="B283" s="68"/>
      <c r="C283" s="68"/>
      <c r="D283" s="70">
        <f>IFERROR(SUMIFS('Stock In'!F:F,'Stock In'!C:C,$A283,'Stock In'!D:D,$B283,'Stock In'!E:E,$C283),0)</f>
        <v>0</v>
      </c>
      <c r="E283" s="70">
        <f>IFERROR(SUMIFS(Issues!H:H,Issues!C:C,$A283,Issues!D:D,$B283,Issues!E:E,$C283),0)</f>
        <v>0</v>
      </c>
      <c r="F283" s="70">
        <f>IFERROR(SUMIFS(Returns!H:H,Returns!C:C,$A283,Returns!D:D,$B283,Returns!E:E,$C283),0)</f>
        <v>0</v>
      </c>
      <c r="G283" s="70">
        <f t="shared" si="1"/>
        <v>0</v>
      </c>
      <c r="H283" s="71">
        <f t="shared" si="2"/>
        <v>0</v>
      </c>
      <c r="I283" s="72">
        <f>IFERROR( SUMIFS('Stock In'!I:I,'Stock In'!C:C,$A283,'Stock In'!D:D,$B283,'Stock In'!E:E,$C283) / SUMIFS('Stock In'!H:H,'Stock In'!C:C,$A283,'Stock In'!D:D,$B283,'Stock In'!E:E,$C283) , 0)</f>
        <v>0</v>
      </c>
      <c r="J283" s="71">
        <f t="shared" si="3"/>
        <v>0</v>
      </c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8"/>
      <c r="B284" s="68"/>
      <c r="C284" s="68"/>
      <c r="D284" s="70">
        <f>IFERROR(SUMIFS('Stock In'!F:F,'Stock In'!C:C,$A284,'Stock In'!D:D,$B284,'Stock In'!E:E,$C284),0)</f>
        <v>0</v>
      </c>
      <c r="E284" s="70">
        <f>IFERROR(SUMIFS(Issues!H:H,Issues!C:C,$A284,Issues!D:D,$B284,Issues!E:E,$C284),0)</f>
        <v>0</v>
      </c>
      <c r="F284" s="70">
        <f>IFERROR(SUMIFS(Returns!H:H,Returns!C:C,$A284,Returns!D:D,$B284,Returns!E:E,$C284),0)</f>
        <v>0</v>
      </c>
      <c r="G284" s="70">
        <f t="shared" si="1"/>
        <v>0</v>
      </c>
      <c r="H284" s="71">
        <f t="shared" si="2"/>
        <v>0</v>
      </c>
      <c r="I284" s="72">
        <f>IFERROR( SUMIFS('Stock In'!I:I,'Stock In'!C:C,$A284,'Stock In'!D:D,$B284,'Stock In'!E:E,$C284) / SUMIFS('Stock In'!H:H,'Stock In'!C:C,$A284,'Stock In'!D:D,$B284,'Stock In'!E:E,$C284) , 0)</f>
        <v>0</v>
      </c>
      <c r="J284" s="71">
        <f t="shared" si="3"/>
        <v>0</v>
      </c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8"/>
      <c r="B285" s="68"/>
      <c r="C285" s="68"/>
      <c r="D285" s="70">
        <f>IFERROR(SUMIFS('Stock In'!F:F,'Stock In'!C:C,$A285,'Stock In'!D:D,$B285,'Stock In'!E:E,$C285),0)</f>
        <v>0</v>
      </c>
      <c r="E285" s="70">
        <f>IFERROR(SUMIFS(Issues!H:H,Issues!C:C,$A285,Issues!D:D,$B285,Issues!E:E,$C285),0)</f>
        <v>0</v>
      </c>
      <c r="F285" s="70">
        <f>IFERROR(SUMIFS(Returns!H:H,Returns!C:C,$A285,Returns!D:D,$B285,Returns!E:E,$C285),0)</f>
        <v>0</v>
      </c>
      <c r="G285" s="70">
        <f t="shared" si="1"/>
        <v>0</v>
      </c>
      <c r="H285" s="71">
        <f t="shared" si="2"/>
        <v>0</v>
      </c>
      <c r="I285" s="72">
        <f>IFERROR( SUMIFS('Stock In'!I:I,'Stock In'!C:C,$A285,'Stock In'!D:D,$B285,'Stock In'!E:E,$C285) / SUMIFS('Stock In'!H:H,'Stock In'!C:C,$A285,'Stock In'!D:D,$B285,'Stock In'!E:E,$C285) , 0)</f>
        <v>0</v>
      </c>
      <c r="J285" s="71">
        <f t="shared" si="3"/>
        <v>0</v>
      </c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8"/>
      <c r="B286" s="68"/>
      <c r="C286" s="68"/>
      <c r="D286" s="70">
        <f>IFERROR(SUMIFS('Stock In'!F:F,'Stock In'!C:C,$A286,'Stock In'!D:D,$B286,'Stock In'!E:E,$C286),0)</f>
        <v>0</v>
      </c>
      <c r="E286" s="70">
        <f>IFERROR(SUMIFS(Issues!H:H,Issues!C:C,$A286,Issues!D:D,$B286,Issues!E:E,$C286),0)</f>
        <v>0</v>
      </c>
      <c r="F286" s="70">
        <f>IFERROR(SUMIFS(Returns!H:H,Returns!C:C,$A286,Returns!D:D,$B286,Returns!E:E,$C286),0)</f>
        <v>0</v>
      </c>
      <c r="G286" s="70">
        <f t="shared" si="1"/>
        <v>0</v>
      </c>
      <c r="H286" s="71">
        <f t="shared" si="2"/>
        <v>0</v>
      </c>
      <c r="I286" s="72">
        <f>IFERROR( SUMIFS('Stock In'!I:I,'Stock In'!C:C,$A286,'Stock In'!D:D,$B286,'Stock In'!E:E,$C286) / SUMIFS('Stock In'!H:H,'Stock In'!C:C,$A286,'Stock In'!D:D,$B286,'Stock In'!E:E,$C286) , 0)</f>
        <v>0</v>
      </c>
      <c r="J286" s="71">
        <f t="shared" si="3"/>
        <v>0</v>
      </c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8"/>
      <c r="B287" s="68"/>
      <c r="C287" s="68"/>
      <c r="D287" s="70">
        <f>IFERROR(SUMIFS('Stock In'!F:F,'Stock In'!C:C,$A287,'Stock In'!D:D,$B287,'Stock In'!E:E,$C287),0)</f>
        <v>0</v>
      </c>
      <c r="E287" s="70">
        <f>IFERROR(SUMIFS(Issues!H:H,Issues!C:C,$A287,Issues!D:D,$B287,Issues!E:E,$C287),0)</f>
        <v>0</v>
      </c>
      <c r="F287" s="70">
        <f>IFERROR(SUMIFS(Returns!H:H,Returns!C:C,$A287,Returns!D:D,$B287,Returns!E:E,$C287),0)</f>
        <v>0</v>
      </c>
      <c r="G287" s="70">
        <f t="shared" si="1"/>
        <v>0</v>
      </c>
      <c r="H287" s="71">
        <f t="shared" si="2"/>
        <v>0</v>
      </c>
      <c r="I287" s="72">
        <f>IFERROR( SUMIFS('Stock In'!I:I,'Stock In'!C:C,$A287,'Stock In'!D:D,$B287,'Stock In'!E:E,$C287) / SUMIFS('Stock In'!H:H,'Stock In'!C:C,$A287,'Stock In'!D:D,$B287,'Stock In'!E:E,$C287) , 0)</f>
        <v>0</v>
      </c>
      <c r="J287" s="71">
        <f t="shared" si="3"/>
        <v>0</v>
      </c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8"/>
      <c r="B288" s="68"/>
      <c r="C288" s="68"/>
      <c r="D288" s="70">
        <f>IFERROR(SUMIFS('Stock In'!F:F,'Stock In'!C:C,$A288,'Stock In'!D:D,$B288,'Stock In'!E:E,$C288),0)</f>
        <v>0</v>
      </c>
      <c r="E288" s="70">
        <f>IFERROR(SUMIFS(Issues!H:H,Issues!C:C,$A288,Issues!D:D,$B288,Issues!E:E,$C288),0)</f>
        <v>0</v>
      </c>
      <c r="F288" s="70">
        <f>IFERROR(SUMIFS(Returns!H:H,Returns!C:C,$A288,Returns!D:D,$B288,Returns!E:E,$C288),0)</f>
        <v>0</v>
      </c>
      <c r="G288" s="70">
        <f t="shared" si="1"/>
        <v>0</v>
      </c>
      <c r="H288" s="71">
        <f t="shared" si="2"/>
        <v>0</v>
      </c>
      <c r="I288" s="72">
        <f>IFERROR( SUMIFS('Stock In'!I:I,'Stock In'!C:C,$A288,'Stock In'!D:D,$B288,'Stock In'!E:E,$C288) / SUMIFS('Stock In'!H:H,'Stock In'!C:C,$A288,'Stock In'!D:D,$B288,'Stock In'!E:E,$C288) , 0)</f>
        <v>0</v>
      </c>
      <c r="J288" s="71">
        <f t="shared" si="3"/>
        <v>0</v>
      </c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8"/>
      <c r="B289" s="68"/>
      <c r="C289" s="68"/>
      <c r="D289" s="70">
        <f>IFERROR(SUMIFS('Stock In'!F:F,'Stock In'!C:C,$A289,'Stock In'!D:D,$B289,'Stock In'!E:E,$C289),0)</f>
        <v>0</v>
      </c>
      <c r="E289" s="70">
        <f>IFERROR(SUMIFS(Issues!H:H,Issues!C:C,$A289,Issues!D:D,$B289,Issues!E:E,$C289),0)</f>
        <v>0</v>
      </c>
      <c r="F289" s="70">
        <f>IFERROR(SUMIFS(Returns!H:H,Returns!C:C,$A289,Returns!D:D,$B289,Returns!E:E,$C289),0)</f>
        <v>0</v>
      </c>
      <c r="G289" s="70">
        <f t="shared" si="1"/>
        <v>0</v>
      </c>
      <c r="H289" s="71">
        <f t="shared" si="2"/>
        <v>0</v>
      </c>
      <c r="I289" s="72">
        <f>IFERROR( SUMIFS('Stock In'!I:I,'Stock In'!C:C,$A289,'Stock In'!D:D,$B289,'Stock In'!E:E,$C289) / SUMIFS('Stock In'!H:H,'Stock In'!C:C,$A289,'Stock In'!D:D,$B289,'Stock In'!E:E,$C289) , 0)</f>
        <v>0</v>
      </c>
      <c r="J289" s="71">
        <f t="shared" si="3"/>
        <v>0</v>
      </c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8"/>
      <c r="B290" s="68"/>
      <c r="C290" s="68"/>
      <c r="D290" s="70">
        <f>IFERROR(SUMIFS('Stock In'!F:F,'Stock In'!C:C,$A290,'Stock In'!D:D,$B290,'Stock In'!E:E,$C290),0)</f>
        <v>0</v>
      </c>
      <c r="E290" s="70">
        <f>IFERROR(SUMIFS(Issues!H:H,Issues!C:C,$A290,Issues!D:D,$B290,Issues!E:E,$C290),0)</f>
        <v>0</v>
      </c>
      <c r="F290" s="70">
        <f>IFERROR(SUMIFS(Returns!H:H,Returns!C:C,$A290,Returns!D:D,$B290,Returns!E:E,$C290),0)</f>
        <v>0</v>
      </c>
      <c r="G290" s="70">
        <f t="shared" si="1"/>
        <v>0</v>
      </c>
      <c r="H290" s="71">
        <f t="shared" si="2"/>
        <v>0</v>
      </c>
      <c r="I290" s="72">
        <f>IFERROR( SUMIFS('Stock In'!I:I,'Stock In'!C:C,$A290,'Stock In'!D:D,$B290,'Stock In'!E:E,$C290) / SUMIFS('Stock In'!H:H,'Stock In'!C:C,$A290,'Stock In'!D:D,$B290,'Stock In'!E:E,$C290) , 0)</f>
        <v>0</v>
      </c>
      <c r="J290" s="71">
        <f t="shared" si="3"/>
        <v>0</v>
      </c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8"/>
      <c r="B291" s="68"/>
      <c r="C291" s="68"/>
      <c r="D291" s="70">
        <f>IFERROR(SUMIFS('Stock In'!F:F,'Stock In'!C:C,$A291,'Stock In'!D:D,$B291,'Stock In'!E:E,$C291),0)</f>
        <v>0</v>
      </c>
      <c r="E291" s="70">
        <f>IFERROR(SUMIFS(Issues!H:H,Issues!C:C,$A291,Issues!D:D,$B291,Issues!E:E,$C291),0)</f>
        <v>0</v>
      </c>
      <c r="F291" s="70">
        <f>IFERROR(SUMIFS(Returns!H:H,Returns!C:C,$A291,Returns!D:D,$B291,Returns!E:E,$C291),0)</f>
        <v>0</v>
      </c>
      <c r="G291" s="70">
        <f t="shared" si="1"/>
        <v>0</v>
      </c>
      <c r="H291" s="71">
        <f t="shared" si="2"/>
        <v>0</v>
      </c>
      <c r="I291" s="72">
        <f>IFERROR( SUMIFS('Stock In'!I:I,'Stock In'!C:C,$A291,'Stock In'!D:D,$B291,'Stock In'!E:E,$C291) / SUMIFS('Stock In'!H:H,'Stock In'!C:C,$A291,'Stock In'!D:D,$B291,'Stock In'!E:E,$C291) , 0)</f>
        <v>0</v>
      </c>
      <c r="J291" s="71">
        <f t="shared" si="3"/>
        <v>0</v>
      </c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8"/>
      <c r="B292" s="68"/>
      <c r="C292" s="68"/>
      <c r="D292" s="70">
        <f>IFERROR(SUMIFS('Stock In'!F:F,'Stock In'!C:C,$A292,'Stock In'!D:D,$B292,'Stock In'!E:E,$C292),0)</f>
        <v>0</v>
      </c>
      <c r="E292" s="70">
        <f>IFERROR(SUMIFS(Issues!H:H,Issues!C:C,$A292,Issues!D:D,$B292,Issues!E:E,$C292),0)</f>
        <v>0</v>
      </c>
      <c r="F292" s="70">
        <f>IFERROR(SUMIFS(Returns!H:H,Returns!C:C,$A292,Returns!D:D,$B292,Returns!E:E,$C292),0)</f>
        <v>0</v>
      </c>
      <c r="G292" s="70">
        <f t="shared" si="1"/>
        <v>0</v>
      </c>
      <c r="H292" s="71">
        <f t="shared" si="2"/>
        <v>0</v>
      </c>
      <c r="I292" s="72">
        <f>IFERROR( SUMIFS('Stock In'!I:I,'Stock In'!C:C,$A292,'Stock In'!D:D,$B292,'Stock In'!E:E,$C292) / SUMIFS('Stock In'!H:H,'Stock In'!C:C,$A292,'Stock In'!D:D,$B292,'Stock In'!E:E,$C292) , 0)</f>
        <v>0</v>
      </c>
      <c r="J292" s="71">
        <f t="shared" si="3"/>
        <v>0</v>
      </c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8"/>
      <c r="B293" s="68"/>
      <c r="C293" s="68"/>
      <c r="D293" s="70">
        <f>IFERROR(SUMIFS('Stock In'!F:F,'Stock In'!C:C,$A293,'Stock In'!D:D,$B293,'Stock In'!E:E,$C293),0)</f>
        <v>0</v>
      </c>
      <c r="E293" s="70">
        <f>IFERROR(SUMIFS(Issues!H:H,Issues!C:C,$A293,Issues!D:D,$B293,Issues!E:E,$C293),0)</f>
        <v>0</v>
      </c>
      <c r="F293" s="70">
        <f>IFERROR(SUMIFS(Returns!H:H,Returns!C:C,$A293,Returns!D:D,$B293,Returns!E:E,$C293),0)</f>
        <v>0</v>
      </c>
      <c r="G293" s="70">
        <f t="shared" si="1"/>
        <v>0</v>
      </c>
      <c r="H293" s="71">
        <f t="shared" si="2"/>
        <v>0</v>
      </c>
      <c r="I293" s="72">
        <f>IFERROR( SUMIFS('Stock In'!I:I,'Stock In'!C:C,$A293,'Stock In'!D:D,$B293,'Stock In'!E:E,$C293) / SUMIFS('Stock In'!H:H,'Stock In'!C:C,$A293,'Stock In'!D:D,$B293,'Stock In'!E:E,$C293) , 0)</f>
        <v>0</v>
      </c>
      <c r="J293" s="71">
        <f t="shared" si="3"/>
        <v>0</v>
      </c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8"/>
      <c r="B294" s="68"/>
      <c r="C294" s="68"/>
      <c r="D294" s="70">
        <f>IFERROR(SUMIFS('Stock In'!F:F,'Stock In'!C:C,$A294,'Stock In'!D:D,$B294,'Stock In'!E:E,$C294),0)</f>
        <v>0</v>
      </c>
      <c r="E294" s="70">
        <f>IFERROR(SUMIFS(Issues!H:H,Issues!C:C,$A294,Issues!D:D,$B294,Issues!E:E,$C294),0)</f>
        <v>0</v>
      </c>
      <c r="F294" s="70">
        <f>IFERROR(SUMIFS(Returns!H:H,Returns!C:C,$A294,Returns!D:D,$B294,Returns!E:E,$C294),0)</f>
        <v>0</v>
      </c>
      <c r="G294" s="70">
        <f t="shared" si="1"/>
        <v>0</v>
      </c>
      <c r="H294" s="71">
        <f t="shared" si="2"/>
        <v>0</v>
      </c>
      <c r="I294" s="72">
        <f>IFERROR( SUMIFS('Stock In'!I:I,'Stock In'!C:C,$A294,'Stock In'!D:D,$B294,'Stock In'!E:E,$C294) / SUMIFS('Stock In'!H:H,'Stock In'!C:C,$A294,'Stock In'!D:D,$B294,'Stock In'!E:E,$C294) , 0)</f>
        <v>0</v>
      </c>
      <c r="J294" s="71">
        <f t="shared" si="3"/>
        <v>0</v>
      </c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8"/>
      <c r="B295" s="68"/>
      <c r="C295" s="68"/>
      <c r="D295" s="70">
        <f>IFERROR(SUMIFS('Stock In'!F:F,'Stock In'!C:C,$A295,'Stock In'!D:D,$B295,'Stock In'!E:E,$C295),0)</f>
        <v>0</v>
      </c>
      <c r="E295" s="70">
        <f>IFERROR(SUMIFS(Issues!H:H,Issues!C:C,$A295,Issues!D:D,$B295,Issues!E:E,$C295),0)</f>
        <v>0</v>
      </c>
      <c r="F295" s="70">
        <f>IFERROR(SUMIFS(Returns!H:H,Returns!C:C,$A295,Returns!D:D,$B295,Returns!E:E,$C295),0)</f>
        <v>0</v>
      </c>
      <c r="G295" s="70">
        <f t="shared" si="1"/>
        <v>0</v>
      </c>
      <c r="H295" s="71">
        <f t="shared" si="2"/>
        <v>0</v>
      </c>
      <c r="I295" s="72">
        <f>IFERROR( SUMIFS('Stock In'!I:I,'Stock In'!C:C,$A295,'Stock In'!D:D,$B295,'Stock In'!E:E,$C295) / SUMIFS('Stock In'!H:H,'Stock In'!C:C,$A295,'Stock In'!D:D,$B295,'Stock In'!E:E,$C295) , 0)</f>
        <v>0</v>
      </c>
      <c r="J295" s="71">
        <f t="shared" si="3"/>
        <v>0</v>
      </c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8"/>
      <c r="B296" s="68"/>
      <c r="C296" s="68"/>
      <c r="D296" s="70">
        <f>IFERROR(SUMIFS('Stock In'!F:F,'Stock In'!C:C,$A296,'Stock In'!D:D,$B296,'Stock In'!E:E,$C296),0)</f>
        <v>0</v>
      </c>
      <c r="E296" s="70">
        <f>IFERROR(SUMIFS(Issues!H:H,Issues!C:C,$A296,Issues!D:D,$B296,Issues!E:E,$C296),0)</f>
        <v>0</v>
      </c>
      <c r="F296" s="70">
        <f>IFERROR(SUMIFS(Returns!H:H,Returns!C:C,$A296,Returns!D:D,$B296,Returns!E:E,$C296),0)</f>
        <v>0</v>
      </c>
      <c r="G296" s="70">
        <f t="shared" si="1"/>
        <v>0</v>
      </c>
      <c r="H296" s="71">
        <f t="shared" si="2"/>
        <v>0</v>
      </c>
      <c r="I296" s="72">
        <f>IFERROR( SUMIFS('Stock In'!I:I,'Stock In'!C:C,$A296,'Stock In'!D:D,$B296,'Stock In'!E:E,$C296) / SUMIFS('Stock In'!H:H,'Stock In'!C:C,$A296,'Stock In'!D:D,$B296,'Stock In'!E:E,$C296) , 0)</f>
        <v>0</v>
      </c>
      <c r="J296" s="71">
        <f t="shared" si="3"/>
        <v>0</v>
      </c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8"/>
      <c r="B297" s="68"/>
      <c r="C297" s="68"/>
      <c r="D297" s="70">
        <f>IFERROR(SUMIFS('Stock In'!F:F,'Stock In'!C:C,$A297,'Stock In'!D:D,$B297,'Stock In'!E:E,$C297),0)</f>
        <v>0</v>
      </c>
      <c r="E297" s="70">
        <f>IFERROR(SUMIFS(Issues!H:H,Issues!C:C,$A297,Issues!D:D,$B297,Issues!E:E,$C297),0)</f>
        <v>0</v>
      </c>
      <c r="F297" s="70">
        <f>IFERROR(SUMIFS(Returns!H:H,Returns!C:C,$A297,Returns!D:D,$B297,Returns!E:E,$C297),0)</f>
        <v>0</v>
      </c>
      <c r="G297" s="70">
        <f t="shared" si="1"/>
        <v>0</v>
      </c>
      <c r="H297" s="71">
        <f t="shared" si="2"/>
        <v>0</v>
      </c>
      <c r="I297" s="72">
        <f>IFERROR( SUMIFS('Stock In'!I:I,'Stock In'!C:C,$A297,'Stock In'!D:D,$B297,'Stock In'!E:E,$C297) / SUMIFS('Stock In'!H:H,'Stock In'!C:C,$A297,'Stock In'!D:D,$B297,'Stock In'!E:E,$C297) , 0)</f>
        <v>0</v>
      </c>
      <c r="J297" s="71">
        <f t="shared" si="3"/>
        <v>0</v>
      </c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8"/>
      <c r="B298" s="68"/>
      <c r="C298" s="68"/>
      <c r="D298" s="70">
        <f>IFERROR(SUMIFS('Stock In'!F:F,'Stock In'!C:C,$A298,'Stock In'!D:D,$B298,'Stock In'!E:E,$C298),0)</f>
        <v>0</v>
      </c>
      <c r="E298" s="70">
        <f>IFERROR(SUMIFS(Issues!H:H,Issues!C:C,$A298,Issues!D:D,$B298,Issues!E:E,$C298),0)</f>
        <v>0</v>
      </c>
      <c r="F298" s="70">
        <f>IFERROR(SUMIFS(Returns!H:H,Returns!C:C,$A298,Returns!D:D,$B298,Returns!E:E,$C298),0)</f>
        <v>0</v>
      </c>
      <c r="G298" s="70">
        <f t="shared" si="1"/>
        <v>0</v>
      </c>
      <c r="H298" s="71">
        <f t="shared" si="2"/>
        <v>0</v>
      </c>
      <c r="I298" s="72">
        <f>IFERROR( SUMIFS('Stock In'!I:I,'Stock In'!C:C,$A298,'Stock In'!D:D,$B298,'Stock In'!E:E,$C298) / SUMIFS('Stock In'!H:H,'Stock In'!C:C,$A298,'Stock In'!D:D,$B298,'Stock In'!E:E,$C298) , 0)</f>
        <v>0</v>
      </c>
      <c r="J298" s="71">
        <f t="shared" si="3"/>
        <v>0</v>
      </c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8"/>
      <c r="B299" s="68"/>
      <c r="C299" s="68"/>
      <c r="D299" s="70">
        <f>IFERROR(SUMIFS('Stock In'!F:F,'Stock In'!C:C,$A299,'Stock In'!D:D,$B299,'Stock In'!E:E,$C299),0)</f>
        <v>0</v>
      </c>
      <c r="E299" s="70">
        <f>IFERROR(SUMIFS(Issues!H:H,Issues!C:C,$A299,Issues!D:D,$B299,Issues!E:E,$C299),0)</f>
        <v>0</v>
      </c>
      <c r="F299" s="70">
        <f>IFERROR(SUMIFS(Returns!H:H,Returns!C:C,$A299,Returns!D:D,$B299,Returns!E:E,$C299),0)</f>
        <v>0</v>
      </c>
      <c r="G299" s="70">
        <f t="shared" si="1"/>
        <v>0</v>
      </c>
      <c r="H299" s="71">
        <f t="shared" si="2"/>
        <v>0</v>
      </c>
      <c r="I299" s="72">
        <f>IFERROR( SUMIFS('Stock In'!I:I,'Stock In'!C:C,$A299,'Stock In'!D:D,$B299,'Stock In'!E:E,$C299) / SUMIFS('Stock In'!H:H,'Stock In'!C:C,$A299,'Stock In'!D:D,$B299,'Stock In'!E:E,$C299) , 0)</f>
        <v>0</v>
      </c>
      <c r="J299" s="71">
        <f t="shared" si="3"/>
        <v>0</v>
      </c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8"/>
      <c r="B300" s="68"/>
      <c r="C300" s="68"/>
      <c r="D300" s="70">
        <f>IFERROR(SUMIFS('Stock In'!F:F,'Stock In'!C:C,$A300,'Stock In'!D:D,$B300,'Stock In'!E:E,$C300),0)</f>
        <v>0</v>
      </c>
      <c r="E300" s="70">
        <f>IFERROR(SUMIFS(Issues!H:H,Issues!C:C,$A300,Issues!D:D,$B300,Issues!E:E,$C300),0)</f>
        <v>0</v>
      </c>
      <c r="F300" s="70">
        <f>IFERROR(SUMIFS(Returns!H:H,Returns!C:C,$A300,Returns!D:D,$B300,Returns!E:E,$C300),0)</f>
        <v>0</v>
      </c>
      <c r="G300" s="70">
        <f t="shared" si="1"/>
        <v>0</v>
      </c>
      <c r="H300" s="71">
        <f t="shared" si="2"/>
        <v>0</v>
      </c>
      <c r="I300" s="72">
        <f>IFERROR( SUMIFS('Stock In'!I:I,'Stock In'!C:C,$A300,'Stock In'!D:D,$B300,'Stock In'!E:E,$C300) / SUMIFS('Stock In'!H:H,'Stock In'!C:C,$A300,'Stock In'!D:D,$B300,'Stock In'!E:E,$C300) , 0)</f>
        <v>0</v>
      </c>
      <c r="J300" s="71">
        <f t="shared" si="3"/>
        <v>0</v>
      </c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8"/>
      <c r="B301" s="68"/>
      <c r="C301" s="68"/>
      <c r="D301" s="70">
        <f>IFERROR(SUMIFS('Stock In'!F:F,'Stock In'!C:C,$A301,'Stock In'!D:D,$B301,'Stock In'!E:E,$C301),0)</f>
        <v>0</v>
      </c>
      <c r="E301" s="70">
        <f>IFERROR(SUMIFS(Issues!H:H,Issues!C:C,$A301,Issues!D:D,$B301,Issues!E:E,$C301),0)</f>
        <v>0</v>
      </c>
      <c r="F301" s="70">
        <f>IFERROR(SUMIFS(Returns!H:H,Returns!C:C,$A301,Returns!D:D,$B301,Returns!E:E,$C301),0)</f>
        <v>0</v>
      </c>
      <c r="G301" s="70">
        <f t="shared" si="1"/>
        <v>0</v>
      </c>
      <c r="H301" s="71">
        <f t="shared" si="2"/>
        <v>0</v>
      </c>
      <c r="I301" s="72">
        <f>IFERROR( SUMIFS('Stock In'!I:I,'Stock In'!C:C,$A301,'Stock In'!D:D,$B301,'Stock In'!E:E,$C301) / SUMIFS('Stock In'!H:H,'Stock In'!C:C,$A301,'Stock In'!D:D,$B301,'Stock In'!E:E,$C301) , 0)</f>
        <v>0</v>
      </c>
      <c r="J301" s="71">
        <f t="shared" si="3"/>
        <v>0</v>
      </c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8"/>
      <c r="B302" s="68"/>
      <c r="C302" s="68"/>
      <c r="D302" s="70">
        <f>IFERROR(SUMIFS('Stock In'!F:F,'Stock In'!C:C,$A302,'Stock In'!D:D,$B302,'Stock In'!E:E,$C302),0)</f>
        <v>0</v>
      </c>
      <c r="E302" s="70">
        <f>IFERROR(SUMIFS(Issues!H:H,Issues!C:C,$A302,Issues!D:D,$B302,Issues!E:E,$C302),0)</f>
        <v>0</v>
      </c>
      <c r="F302" s="70">
        <f>IFERROR(SUMIFS(Returns!H:H,Returns!C:C,$A302,Returns!D:D,$B302,Returns!E:E,$C302),0)</f>
        <v>0</v>
      </c>
      <c r="G302" s="70">
        <f t="shared" si="1"/>
        <v>0</v>
      </c>
      <c r="H302" s="71">
        <f t="shared" si="2"/>
        <v>0</v>
      </c>
      <c r="I302" s="72">
        <f>IFERROR( SUMIFS('Stock In'!I:I,'Stock In'!C:C,$A302,'Stock In'!D:D,$B302,'Stock In'!E:E,$C302) / SUMIFS('Stock In'!H:H,'Stock In'!C:C,$A302,'Stock In'!D:D,$B302,'Stock In'!E:E,$C302) , 0)</f>
        <v>0</v>
      </c>
      <c r="J302" s="71">
        <f t="shared" si="3"/>
        <v>0</v>
      </c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8"/>
      <c r="B303" s="68"/>
      <c r="C303" s="68"/>
      <c r="D303" s="70">
        <f>IFERROR(SUMIFS('Stock In'!F:F,'Stock In'!C:C,$A303,'Stock In'!D:D,$B303,'Stock In'!E:E,$C303),0)</f>
        <v>0</v>
      </c>
      <c r="E303" s="70">
        <f>IFERROR(SUMIFS(Issues!H:H,Issues!C:C,$A303,Issues!D:D,$B303,Issues!E:E,$C303),0)</f>
        <v>0</v>
      </c>
      <c r="F303" s="70">
        <f>IFERROR(SUMIFS(Returns!H:H,Returns!C:C,$A303,Returns!D:D,$B303,Returns!E:E,$C303),0)</f>
        <v>0</v>
      </c>
      <c r="G303" s="70">
        <f t="shared" si="1"/>
        <v>0</v>
      </c>
      <c r="H303" s="71">
        <f t="shared" si="2"/>
        <v>0</v>
      </c>
      <c r="I303" s="72">
        <f>IFERROR( SUMIFS('Stock In'!I:I,'Stock In'!C:C,$A303,'Stock In'!D:D,$B303,'Stock In'!E:E,$C303) / SUMIFS('Stock In'!H:H,'Stock In'!C:C,$A303,'Stock In'!D:D,$B303,'Stock In'!E:E,$C303) , 0)</f>
        <v>0</v>
      </c>
      <c r="J303" s="71">
        <f t="shared" si="3"/>
        <v>0</v>
      </c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8"/>
      <c r="B304" s="68"/>
      <c r="C304" s="68"/>
      <c r="D304" s="70">
        <f>IFERROR(SUMIFS('Stock In'!F:F,'Stock In'!C:C,$A304,'Stock In'!D:D,$B304,'Stock In'!E:E,$C304),0)</f>
        <v>0</v>
      </c>
      <c r="E304" s="70">
        <f>IFERROR(SUMIFS(Issues!H:H,Issues!C:C,$A304,Issues!D:D,$B304,Issues!E:E,$C304),0)</f>
        <v>0</v>
      </c>
      <c r="F304" s="70">
        <f>IFERROR(SUMIFS(Returns!H:H,Returns!C:C,$A304,Returns!D:D,$B304,Returns!E:E,$C304),0)</f>
        <v>0</v>
      </c>
      <c r="G304" s="70">
        <f t="shared" si="1"/>
        <v>0</v>
      </c>
      <c r="H304" s="71">
        <f t="shared" si="2"/>
        <v>0</v>
      </c>
      <c r="I304" s="72">
        <f>IFERROR( SUMIFS('Stock In'!I:I,'Stock In'!C:C,$A304,'Stock In'!D:D,$B304,'Stock In'!E:E,$C304) / SUMIFS('Stock In'!H:H,'Stock In'!C:C,$A304,'Stock In'!D:D,$B304,'Stock In'!E:E,$C304) , 0)</f>
        <v>0</v>
      </c>
      <c r="J304" s="71">
        <f t="shared" si="3"/>
        <v>0</v>
      </c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8"/>
      <c r="B305" s="68"/>
      <c r="C305" s="68"/>
      <c r="D305" s="70">
        <f>IFERROR(SUMIFS('Stock In'!F:F,'Stock In'!C:C,$A305,'Stock In'!D:D,$B305,'Stock In'!E:E,$C305),0)</f>
        <v>0</v>
      </c>
      <c r="E305" s="70">
        <f>IFERROR(SUMIFS(Issues!H:H,Issues!C:C,$A305,Issues!D:D,$B305,Issues!E:E,$C305),0)</f>
        <v>0</v>
      </c>
      <c r="F305" s="70">
        <f>IFERROR(SUMIFS(Returns!H:H,Returns!C:C,$A305,Returns!D:D,$B305,Returns!E:E,$C305),0)</f>
        <v>0</v>
      </c>
      <c r="G305" s="70">
        <f t="shared" si="1"/>
        <v>0</v>
      </c>
      <c r="H305" s="71">
        <f t="shared" si="2"/>
        <v>0</v>
      </c>
      <c r="I305" s="72">
        <f>IFERROR( SUMIFS('Stock In'!I:I,'Stock In'!C:C,$A305,'Stock In'!D:D,$B305,'Stock In'!E:E,$C305) / SUMIFS('Stock In'!H:H,'Stock In'!C:C,$A305,'Stock In'!D:D,$B305,'Stock In'!E:E,$C305) , 0)</f>
        <v>0</v>
      </c>
      <c r="J305" s="71">
        <f t="shared" si="3"/>
        <v>0</v>
      </c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8"/>
      <c r="B306" s="68"/>
      <c r="C306" s="68"/>
      <c r="D306" s="70">
        <f>IFERROR(SUMIFS('Stock In'!F:F,'Stock In'!C:C,$A306,'Stock In'!D:D,$B306,'Stock In'!E:E,$C306),0)</f>
        <v>0</v>
      </c>
      <c r="E306" s="70">
        <f>IFERROR(SUMIFS(Issues!H:H,Issues!C:C,$A306,Issues!D:D,$B306,Issues!E:E,$C306),0)</f>
        <v>0</v>
      </c>
      <c r="F306" s="70">
        <f>IFERROR(SUMIFS(Returns!H:H,Returns!C:C,$A306,Returns!D:D,$B306,Returns!E:E,$C306),0)</f>
        <v>0</v>
      </c>
      <c r="G306" s="70">
        <f t="shared" si="1"/>
        <v>0</v>
      </c>
      <c r="H306" s="71">
        <f t="shared" si="2"/>
        <v>0</v>
      </c>
      <c r="I306" s="72">
        <f>IFERROR( SUMIFS('Stock In'!I:I,'Stock In'!C:C,$A306,'Stock In'!D:D,$B306,'Stock In'!E:E,$C306) / SUMIFS('Stock In'!H:H,'Stock In'!C:C,$A306,'Stock In'!D:D,$B306,'Stock In'!E:E,$C306) , 0)</f>
        <v>0</v>
      </c>
      <c r="J306" s="71">
        <f t="shared" si="3"/>
        <v>0</v>
      </c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8"/>
      <c r="B307" s="68"/>
      <c r="C307" s="68"/>
      <c r="D307" s="70">
        <f>IFERROR(SUMIFS('Stock In'!F:F,'Stock In'!C:C,$A307,'Stock In'!D:D,$B307,'Stock In'!E:E,$C307),0)</f>
        <v>0</v>
      </c>
      <c r="E307" s="70">
        <f>IFERROR(SUMIFS(Issues!H:H,Issues!C:C,$A307,Issues!D:D,$B307,Issues!E:E,$C307),0)</f>
        <v>0</v>
      </c>
      <c r="F307" s="70">
        <f>IFERROR(SUMIFS(Returns!H:H,Returns!C:C,$A307,Returns!D:D,$B307,Returns!E:E,$C307),0)</f>
        <v>0</v>
      </c>
      <c r="G307" s="70">
        <f t="shared" si="1"/>
        <v>0</v>
      </c>
      <c r="H307" s="71">
        <f t="shared" si="2"/>
        <v>0</v>
      </c>
      <c r="I307" s="72">
        <f>IFERROR( SUMIFS('Stock In'!I:I,'Stock In'!C:C,$A307,'Stock In'!D:D,$B307,'Stock In'!E:E,$C307) / SUMIFS('Stock In'!H:H,'Stock In'!C:C,$A307,'Stock In'!D:D,$B307,'Stock In'!E:E,$C307) , 0)</f>
        <v>0</v>
      </c>
      <c r="J307" s="71">
        <f t="shared" si="3"/>
        <v>0</v>
      </c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8"/>
      <c r="B308" s="68"/>
      <c r="C308" s="68"/>
      <c r="D308" s="70">
        <f>IFERROR(SUMIFS('Stock In'!F:F,'Stock In'!C:C,$A308,'Stock In'!D:D,$B308,'Stock In'!E:E,$C308),0)</f>
        <v>0</v>
      </c>
      <c r="E308" s="70">
        <f>IFERROR(SUMIFS(Issues!H:H,Issues!C:C,$A308,Issues!D:D,$B308,Issues!E:E,$C308),0)</f>
        <v>0</v>
      </c>
      <c r="F308" s="70">
        <f>IFERROR(SUMIFS(Returns!H:H,Returns!C:C,$A308,Returns!D:D,$B308,Returns!E:E,$C308),0)</f>
        <v>0</v>
      </c>
      <c r="G308" s="70">
        <f t="shared" si="1"/>
        <v>0</v>
      </c>
      <c r="H308" s="71">
        <f t="shared" si="2"/>
        <v>0</v>
      </c>
      <c r="I308" s="72">
        <f>IFERROR( SUMIFS('Stock In'!I:I,'Stock In'!C:C,$A308,'Stock In'!D:D,$B308,'Stock In'!E:E,$C308) / SUMIFS('Stock In'!H:H,'Stock In'!C:C,$A308,'Stock In'!D:D,$B308,'Stock In'!E:E,$C308) , 0)</f>
        <v>0</v>
      </c>
      <c r="J308" s="71">
        <f t="shared" si="3"/>
        <v>0</v>
      </c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8"/>
      <c r="B309" s="68"/>
      <c r="C309" s="68"/>
      <c r="D309" s="70">
        <f>IFERROR(SUMIFS('Stock In'!F:F,'Stock In'!C:C,$A309,'Stock In'!D:D,$B309,'Stock In'!E:E,$C309),0)</f>
        <v>0</v>
      </c>
      <c r="E309" s="70">
        <f>IFERROR(SUMIFS(Issues!H:H,Issues!C:C,$A309,Issues!D:D,$B309,Issues!E:E,$C309),0)</f>
        <v>0</v>
      </c>
      <c r="F309" s="70">
        <f>IFERROR(SUMIFS(Returns!H:H,Returns!C:C,$A309,Returns!D:D,$B309,Returns!E:E,$C309),0)</f>
        <v>0</v>
      </c>
      <c r="G309" s="70">
        <f t="shared" si="1"/>
        <v>0</v>
      </c>
      <c r="H309" s="71">
        <f t="shared" si="2"/>
        <v>0</v>
      </c>
      <c r="I309" s="72">
        <f>IFERROR( SUMIFS('Stock In'!I:I,'Stock In'!C:C,$A309,'Stock In'!D:D,$B309,'Stock In'!E:E,$C309) / SUMIFS('Stock In'!H:H,'Stock In'!C:C,$A309,'Stock In'!D:D,$B309,'Stock In'!E:E,$C309) , 0)</f>
        <v>0</v>
      </c>
      <c r="J309" s="71">
        <f t="shared" si="3"/>
        <v>0</v>
      </c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8"/>
      <c r="B310" s="68"/>
      <c r="C310" s="68"/>
      <c r="D310" s="70">
        <f>IFERROR(SUMIFS('Stock In'!F:F,'Stock In'!C:C,$A310,'Stock In'!D:D,$B310,'Stock In'!E:E,$C310),0)</f>
        <v>0</v>
      </c>
      <c r="E310" s="70">
        <f>IFERROR(SUMIFS(Issues!H:H,Issues!C:C,$A310,Issues!D:D,$B310,Issues!E:E,$C310),0)</f>
        <v>0</v>
      </c>
      <c r="F310" s="70">
        <f>IFERROR(SUMIFS(Returns!H:H,Returns!C:C,$A310,Returns!D:D,$B310,Returns!E:E,$C310),0)</f>
        <v>0</v>
      </c>
      <c r="G310" s="70">
        <f t="shared" si="1"/>
        <v>0</v>
      </c>
      <c r="H310" s="71">
        <f t="shared" si="2"/>
        <v>0</v>
      </c>
      <c r="I310" s="72">
        <f>IFERROR( SUMIFS('Stock In'!I:I,'Stock In'!C:C,$A310,'Stock In'!D:D,$B310,'Stock In'!E:E,$C310) / SUMIFS('Stock In'!H:H,'Stock In'!C:C,$A310,'Stock In'!D:D,$B310,'Stock In'!E:E,$C310) , 0)</f>
        <v>0</v>
      </c>
      <c r="J310" s="71">
        <f t="shared" si="3"/>
        <v>0</v>
      </c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8"/>
      <c r="B311" s="68"/>
      <c r="C311" s="68"/>
      <c r="D311" s="70">
        <f>IFERROR(SUMIFS('Stock In'!F:F,'Stock In'!C:C,$A311,'Stock In'!D:D,$B311,'Stock In'!E:E,$C311),0)</f>
        <v>0</v>
      </c>
      <c r="E311" s="70">
        <f>IFERROR(SUMIFS(Issues!H:H,Issues!C:C,$A311,Issues!D:D,$B311,Issues!E:E,$C311),0)</f>
        <v>0</v>
      </c>
      <c r="F311" s="70">
        <f>IFERROR(SUMIFS(Returns!H:H,Returns!C:C,$A311,Returns!D:D,$B311,Returns!E:E,$C311),0)</f>
        <v>0</v>
      </c>
      <c r="G311" s="70">
        <f t="shared" si="1"/>
        <v>0</v>
      </c>
      <c r="H311" s="71">
        <f t="shared" si="2"/>
        <v>0</v>
      </c>
      <c r="I311" s="72">
        <f>IFERROR( SUMIFS('Stock In'!I:I,'Stock In'!C:C,$A311,'Stock In'!D:D,$B311,'Stock In'!E:E,$C311) / SUMIFS('Stock In'!H:H,'Stock In'!C:C,$A311,'Stock In'!D:D,$B311,'Stock In'!E:E,$C311) , 0)</f>
        <v>0</v>
      </c>
      <c r="J311" s="71">
        <f t="shared" si="3"/>
        <v>0</v>
      </c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8"/>
      <c r="B312" s="68"/>
      <c r="C312" s="68"/>
      <c r="D312" s="70">
        <f>IFERROR(SUMIFS('Stock In'!F:F,'Stock In'!C:C,$A312,'Stock In'!D:D,$B312,'Stock In'!E:E,$C312),0)</f>
        <v>0</v>
      </c>
      <c r="E312" s="70">
        <f>IFERROR(SUMIFS(Issues!H:H,Issues!C:C,$A312,Issues!D:D,$B312,Issues!E:E,$C312),0)</f>
        <v>0</v>
      </c>
      <c r="F312" s="70">
        <f>IFERROR(SUMIFS(Returns!H:H,Returns!C:C,$A312,Returns!D:D,$B312,Returns!E:E,$C312),0)</f>
        <v>0</v>
      </c>
      <c r="G312" s="70">
        <f t="shared" si="1"/>
        <v>0</v>
      </c>
      <c r="H312" s="71">
        <f t="shared" si="2"/>
        <v>0</v>
      </c>
      <c r="I312" s="72">
        <f>IFERROR( SUMIFS('Stock In'!I:I,'Stock In'!C:C,$A312,'Stock In'!D:D,$B312,'Stock In'!E:E,$C312) / SUMIFS('Stock In'!H:H,'Stock In'!C:C,$A312,'Stock In'!D:D,$B312,'Stock In'!E:E,$C312) , 0)</f>
        <v>0</v>
      </c>
      <c r="J312" s="71">
        <f t="shared" si="3"/>
        <v>0</v>
      </c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8"/>
      <c r="B313" s="68"/>
      <c r="C313" s="68"/>
      <c r="D313" s="70">
        <f>IFERROR(SUMIFS('Stock In'!F:F,'Stock In'!C:C,$A313,'Stock In'!D:D,$B313,'Stock In'!E:E,$C313),0)</f>
        <v>0</v>
      </c>
      <c r="E313" s="70">
        <f>IFERROR(SUMIFS(Issues!H:H,Issues!C:C,$A313,Issues!D:D,$B313,Issues!E:E,$C313),0)</f>
        <v>0</v>
      </c>
      <c r="F313" s="70">
        <f>IFERROR(SUMIFS(Returns!H:H,Returns!C:C,$A313,Returns!D:D,$B313,Returns!E:E,$C313),0)</f>
        <v>0</v>
      </c>
      <c r="G313" s="70">
        <f t="shared" si="1"/>
        <v>0</v>
      </c>
      <c r="H313" s="71">
        <f t="shared" si="2"/>
        <v>0</v>
      </c>
      <c r="I313" s="72">
        <f>IFERROR( SUMIFS('Stock In'!I:I,'Stock In'!C:C,$A313,'Stock In'!D:D,$B313,'Stock In'!E:E,$C313) / SUMIFS('Stock In'!H:H,'Stock In'!C:C,$A313,'Stock In'!D:D,$B313,'Stock In'!E:E,$C313) , 0)</f>
        <v>0</v>
      </c>
      <c r="J313" s="71">
        <f t="shared" si="3"/>
        <v>0</v>
      </c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8"/>
      <c r="B314" s="68"/>
      <c r="C314" s="68"/>
      <c r="D314" s="70">
        <f>IFERROR(SUMIFS('Stock In'!F:F,'Stock In'!C:C,$A314,'Stock In'!D:D,$B314,'Stock In'!E:E,$C314),0)</f>
        <v>0</v>
      </c>
      <c r="E314" s="70">
        <f>IFERROR(SUMIFS(Issues!H:H,Issues!C:C,$A314,Issues!D:D,$B314,Issues!E:E,$C314),0)</f>
        <v>0</v>
      </c>
      <c r="F314" s="70">
        <f>IFERROR(SUMIFS(Returns!H:H,Returns!C:C,$A314,Returns!D:D,$B314,Returns!E:E,$C314),0)</f>
        <v>0</v>
      </c>
      <c r="G314" s="70">
        <f t="shared" si="1"/>
        <v>0</v>
      </c>
      <c r="H314" s="71">
        <f t="shared" si="2"/>
        <v>0</v>
      </c>
      <c r="I314" s="72">
        <f>IFERROR( SUMIFS('Stock In'!I:I,'Stock In'!C:C,$A314,'Stock In'!D:D,$B314,'Stock In'!E:E,$C314) / SUMIFS('Stock In'!H:H,'Stock In'!C:C,$A314,'Stock In'!D:D,$B314,'Stock In'!E:E,$C314) , 0)</f>
        <v>0</v>
      </c>
      <c r="J314" s="71">
        <f t="shared" si="3"/>
        <v>0</v>
      </c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8"/>
      <c r="B315" s="68"/>
      <c r="C315" s="68"/>
      <c r="D315" s="70">
        <f>IFERROR(SUMIFS('Stock In'!F:F,'Stock In'!C:C,$A315,'Stock In'!D:D,$B315,'Stock In'!E:E,$C315),0)</f>
        <v>0</v>
      </c>
      <c r="E315" s="70">
        <f>IFERROR(SUMIFS(Issues!H:H,Issues!C:C,$A315,Issues!D:D,$B315,Issues!E:E,$C315),0)</f>
        <v>0</v>
      </c>
      <c r="F315" s="70">
        <f>IFERROR(SUMIFS(Returns!H:H,Returns!C:C,$A315,Returns!D:D,$B315,Returns!E:E,$C315),0)</f>
        <v>0</v>
      </c>
      <c r="G315" s="70">
        <f t="shared" si="1"/>
        <v>0</v>
      </c>
      <c r="H315" s="71">
        <f t="shared" si="2"/>
        <v>0</v>
      </c>
      <c r="I315" s="72">
        <f>IFERROR( SUMIFS('Stock In'!I:I,'Stock In'!C:C,$A315,'Stock In'!D:D,$B315,'Stock In'!E:E,$C315) / SUMIFS('Stock In'!H:H,'Stock In'!C:C,$A315,'Stock In'!D:D,$B315,'Stock In'!E:E,$C315) , 0)</f>
        <v>0</v>
      </c>
      <c r="J315" s="71">
        <f t="shared" si="3"/>
        <v>0</v>
      </c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8"/>
      <c r="B316" s="68"/>
      <c r="C316" s="68"/>
      <c r="D316" s="70">
        <f>IFERROR(SUMIFS('Stock In'!F:F,'Stock In'!C:C,$A316,'Stock In'!D:D,$B316,'Stock In'!E:E,$C316),0)</f>
        <v>0</v>
      </c>
      <c r="E316" s="70">
        <f>IFERROR(SUMIFS(Issues!H:H,Issues!C:C,$A316,Issues!D:D,$B316,Issues!E:E,$C316),0)</f>
        <v>0</v>
      </c>
      <c r="F316" s="70">
        <f>IFERROR(SUMIFS(Returns!H:H,Returns!C:C,$A316,Returns!D:D,$B316,Returns!E:E,$C316),0)</f>
        <v>0</v>
      </c>
      <c r="G316" s="70">
        <f t="shared" si="1"/>
        <v>0</v>
      </c>
      <c r="H316" s="71">
        <f t="shared" si="2"/>
        <v>0</v>
      </c>
      <c r="I316" s="72">
        <f>IFERROR( SUMIFS('Stock In'!I:I,'Stock In'!C:C,$A316,'Stock In'!D:D,$B316,'Stock In'!E:E,$C316) / SUMIFS('Stock In'!H:H,'Stock In'!C:C,$A316,'Stock In'!D:D,$B316,'Stock In'!E:E,$C316) , 0)</f>
        <v>0</v>
      </c>
      <c r="J316" s="71">
        <f t="shared" si="3"/>
        <v>0</v>
      </c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8"/>
      <c r="B317" s="68"/>
      <c r="C317" s="68"/>
      <c r="D317" s="70">
        <f>IFERROR(SUMIFS('Stock In'!F:F,'Stock In'!C:C,$A317,'Stock In'!D:D,$B317,'Stock In'!E:E,$C317),0)</f>
        <v>0</v>
      </c>
      <c r="E317" s="70">
        <f>IFERROR(SUMIFS(Issues!H:H,Issues!C:C,$A317,Issues!D:D,$B317,Issues!E:E,$C317),0)</f>
        <v>0</v>
      </c>
      <c r="F317" s="70">
        <f>IFERROR(SUMIFS(Returns!H:H,Returns!C:C,$A317,Returns!D:D,$B317,Returns!E:E,$C317),0)</f>
        <v>0</v>
      </c>
      <c r="G317" s="70">
        <f t="shared" si="1"/>
        <v>0</v>
      </c>
      <c r="H317" s="71">
        <f t="shared" si="2"/>
        <v>0</v>
      </c>
      <c r="I317" s="72">
        <f>IFERROR( SUMIFS('Stock In'!I:I,'Stock In'!C:C,$A317,'Stock In'!D:D,$B317,'Stock In'!E:E,$C317) / SUMIFS('Stock In'!H:H,'Stock In'!C:C,$A317,'Stock In'!D:D,$B317,'Stock In'!E:E,$C317) , 0)</f>
        <v>0</v>
      </c>
      <c r="J317" s="71">
        <f t="shared" si="3"/>
        <v>0</v>
      </c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8"/>
      <c r="B318" s="68"/>
      <c r="C318" s="68"/>
      <c r="D318" s="70">
        <f>IFERROR(SUMIFS('Stock In'!F:F,'Stock In'!C:C,$A318,'Stock In'!D:D,$B318,'Stock In'!E:E,$C318),0)</f>
        <v>0</v>
      </c>
      <c r="E318" s="70">
        <f>IFERROR(SUMIFS(Issues!H:H,Issues!C:C,$A318,Issues!D:D,$B318,Issues!E:E,$C318),0)</f>
        <v>0</v>
      </c>
      <c r="F318" s="70">
        <f>IFERROR(SUMIFS(Returns!H:H,Returns!C:C,$A318,Returns!D:D,$B318,Returns!E:E,$C318),0)</f>
        <v>0</v>
      </c>
      <c r="G318" s="70">
        <f t="shared" si="1"/>
        <v>0</v>
      </c>
      <c r="H318" s="71">
        <f t="shared" si="2"/>
        <v>0</v>
      </c>
      <c r="I318" s="72">
        <f>IFERROR( SUMIFS('Stock In'!I:I,'Stock In'!C:C,$A318,'Stock In'!D:D,$B318,'Stock In'!E:E,$C318) / SUMIFS('Stock In'!H:H,'Stock In'!C:C,$A318,'Stock In'!D:D,$B318,'Stock In'!E:E,$C318) , 0)</f>
        <v>0</v>
      </c>
      <c r="J318" s="71">
        <f t="shared" si="3"/>
        <v>0</v>
      </c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8"/>
      <c r="B319" s="68"/>
      <c r="C319" s="68"/>
      <c r="D319" s="70">
        <f>IFERROR(SUMIFS('Stock In'!F:F,'Stock In'!C:C,$A319,'Stock In'!D:D,$B319,'Stock In'!E:E,$C319),0)</f>
        <v>0</v>
      </c>
      <c r="E319" s="70">
        <f>IFERROR(SUMIFS(Issues!H:H,Issues!C:C,$A319,Issues!D:D,$B319,Issues!E:E,$C319),0)</f>
        <v>0</v>
      </c>
      <c r="F319" s="70">
        <f>IFERROR(SUMIFS(Returns!H:H,Returns!C:C,$A319,Returns!D:D,$B319,Returns!E:E,$C319),0)</f>
        <v>0</v>
      </c>
      <c r="G319" s="70">
        <f t="shared" si="1"/>
        <v>0</v>
      </c>
      <c r="H319" s="71">
        <f t="shared" si="2"/>
        <v>0</v>
      </c>
      <c r="I319" s="72">
        <f>IFERROR( SUMIFS('Stock In'!I:I,'Stock In'!C:C,$A319,'Stock In'!D:D,$B319,'Stock In'!E:E,$C319) / SUMIFS('Stock In'!H:H,'Stock In'!C:C,$A319,'Stock In'!D:D,$B319,'Stock In'!E:E,$C319) , 0)</f>
        <v>0</v>
      </c>
      <c r="J319" s="71">
        <f t="shared" si="3"/>
        <v>0</v>
      </c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8"/>
      <c r="B320" s="68"/>
      <c r="C320" s="68"/>
      <c r="D320" s="70">
        <f>IFERROR(SUMIFS('Stock In'!F:F,'Stock In'!C:C,$A320,'Stock In'!D:D,$B320,'Stock In'!E:E,$C320),0)</f>
        <v>0</v>
      </c>
      <c r="E320" s="70">
        <f>IFERROR(SUMIFS(Issues!H:H,Issues!C:C,$A320,Issues!D:D,$B320,Issues!E:E,$C320),0)</f>
        <v>0</v>
      </c>
      <c r="F320" s="70">
        <f>IFERROR(SUMIFS(Returns!H:H,Returns!C:C,$A320,Returns!D:D,$B320,Returns!E:E,$C320),0)</f>
        <v>0</v>
      </c>
      <c r="G320" s="70">
        <f t="shared" si="1"/>
        <v>0</v>
      </c>
      <c r="H320" s="71">
        <f t="shared" si="2"/>
        <v>0</v>
      </c>
      <c r="I320" s="72">
        <f>IFERROR( SUMIFS('Stock In'!I:I,'Stock In'!C:C,$A320,'Stock In'!D:D,$B320,'Stock In'!E:E,$C320) / SUMIFS('Stock In'!H:H,'Stock In'!C:C,$A320,'Stock In'!D:D,$B320,'Stock In'!E:E,$C320) , 0)</f>
        <v>0</v>
      </c>
      <c r="J320" s="71">
        <f t="shared" si="3"/>
        <v>0</v>
      </c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8"/>
      <c r="B321" s="68"/>
      <c r="C321" s="68"/>
      <c r="D321" s="70">
        <f>IFERROR(SUMIFS('Stock In'!F:F,'Stock In'!C:C,$A321,'Stock In'!D:D,$B321,'Stock In'!E:E,$C321),0)</f>
        <v>0</v>
      </c>
      <c r="E321" s="70">
        <f>IFERROR(SUMIFS(Issues!H:H,Issues!C:C,$A321,Issues!D:D,$B321,Issues!E:E,$C321),0)</f>
        <v>0</v>
      </c>
      <c r="F321" s="70">
        <f>IFERROR(SUMIFS(Returns!H:H,Returns!C:C,$A321,Returns!D:D,$B321,Returns!E:E,$C321),0)</f>
        <v>0</v>
      </c>
      <c r="G321" s="70">
        <f t="shared" si="1"/>
        <v>0</v>
      </c>
      <c r="H321" s="71">
        <f t="shared" si="2"/>
        <v>0</v>
      </c>
      <c r="I321" s="72">
        <f>IFERROR( SUMIFS('Stock In'!I:I,'Stock In'!C:C,$A321,'Stock In'!D:D,$B321,'Stock In'!E:E,$C321) / SUMIFS('Stock In'!H:H,'Stock In'!C:C,$A321,'Stock In'!D:D,$B321,'Stock In'!E:E,$C321) , 0)</f>
        <v>0</v>
      </c>
      <c r="J321" s="71">
        <f t="shared" si="3"/>
        <v>0</v>
      </c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8"/>
      <c r="B322" s="68"/>
      <c r="C322" s="68"/>
      <c r="D322" s="70">
        <f>IFERROR(SUMIFS('Stock In'!F:F,'Stock In'!C:C,$A322,'Stock In'!D:D,$B322,'Stock In'!E:E,$C322),0)</f>
        <v>0</v>
      </c>
      <c r="E322" s="70">
        <f>IFERROR(SUMIFS(Issues!H:H,Issues!C:C,$A322,Issues!D:D,$B322,Issues!E:E,$C322),0)</f>
        <v>0</v>
      </c>
      <c r="F322" s="70">
        <f>IFERROR(SUMIFS(Returns!H:H,Returns!C:C,$A322,Returns!D:D,$B322,Returns!E:E,$C322),0)</f>
        <v>0</v>
      </c>
      <c r="G322" s="70">
        <f t="shared" si="1"/>
        <v>0</v>
      </c>
      <c r="H322" s="71">
        <f t="shared" si="2"/>
        <v>0</v>
      </c>
      <c r="I322" s="72">
        <f>IFERROR( SUMIFS('Stock In'!I:I,'Stock In'!C:C,$A322,'Stock In'!D:D,$B322,'Stock In'!E:E,$C322) / SUMIFS('Stock In'!H:H,'Stock In'!C:C,$A322,'Stock In'!D:D,$B322,'Stock In'!E:E,$C322) , 0)</f>
        <v>0</v>
      </c>
      <c r="J322" s="71">
        <f t="shared" si="3"/>
        <v>0</v>
      </c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8"/>
      <c r="B323" s="68"/>
      <c r="C323" s="68"/>
      <c r="D323" s="70">
        <f>IFERROR(SUMIFS('Stock In'!F:F,'Stock In'!C:C,$A323,'Stock In'!D:D,$B323,'Stock In'!E:E,$C323),0)</f>
        <v>0</v>
      </c>
      <c r="E323" s="70">
        <f>IFERROR(SUMIFS(Issues!H:H,Issues!C:C,$A323,Issues!D:D,$B323,Issues!E:E,$C323),0)</f>
        <v>0</v>
      </c>
      <c r="F323" s="70">
        <f>IFERROR(SUMIFS(Returns!H:H,Returns!C:C,$A323,Returns!D:D,$B323,Returns!E:E,$C323),0)</f>
        <v>0</v>
      </c>
      <c r="G323" s="70">
        <f t="shared" si="1"/>
        <v>0</v>
      </c>
      <c r="H323" s="71">
        <f t="shared" si="2"/>
        <v>0</v>
      </c>
      <c r="I323" s="72">
        <f>IFERROR( SUMIFS('Stock In'!I:I,'Stock In'!C:C,$A323,'Stock In'!D:D,$B323,'Stock In'!E:E,$C323) / SUMIFS('Stock In'!H:H,'Stock In'!C:C,$A323,'Stock In'!D:D,$B323,'Stock In'!E:E,$C323) , 0)</f>
        <v>0</v>
      </c>
      <c r="J323" s="71">
        <f t="shared" si="3"/>
        <v>0</v>
      </c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8"/>
      <c r="B324" s="68"/>
      <c r="C324" s="68"/>
      <c r="D324" s="70">
        <f>IFERROR(SUMIFS('Stock In'!F:F,'Stock In'!C:C,$A324,'Stock In'!D:D,$B324,'Stock In'!E:E,$C324),0)</f>
        <v>0</v>
      </c>
      <c r="E324" s="70">
        <f>IFERROR(SUMIFS(Issues!H:H,Issues!C:C,$A324,Issues!D:D,$B324,Issues!E:E,$C324),0)</f>
        <v>0</v>
      </c>
      <c r="F324" s="70">
        <f>IFERROR(SUMIFS(Returns!H:H,Returns!C:C,$A324,Returns!D:D,$B324,Returns!E:E,$C324),0)</f>
        <v>0</v>
      </c>
      <c r="G324" s="70">
        <f t="shared" si="1"/>
        <v>0</v>
      </c>
      <c r="H324" s="71">
        <f t="shared" si="2"/>
        <v>0</v>
      </c>
      <c r="I324" s="72">
        <f>IFERROR( SUMIFS('Stock In'!I:I,'Stock In'!C:C,$A324,'Stock In'!D:D,$B324,'Stock In'!E:E,$C324) / SUMIFS('Stock In'!H:H,'Stock In'!C:C,$A324,'Stock In'!D:D,$B324,'Stock In'!E:E,$C324) , 0)</f>
        <v>0</v>
      </c>
      <c r="J324" s="71">
        <f t="shared" si="3"/>
        <v>0</v>
      </c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8"/>
      <c r="B325" s="68"/>
      <c r="C325" s="68"/>
      <c r="D325" s="70">
        <f>IFERROR(SUMIFS('Stock In'!F:F,'Stock In'!C:C,$A325,'Stock In'!D:D,$B325,'Stock In'!E:E,$C325),0)</f>
        <v>0</v>
      </c>
      <c r="E325" s="70">
        <f>IFERROR(SUMIFS(Issues!H:H,Issues!C:C,$A325,Issues!D:D,$B325,Issues!E:E,$C325),0)</f>
        <v>0</v>
      </c>
      <c r="F325" s="70">
        <f>IFERROR(SUMIFS(Returns!H:H,Returns!C:C,$A325,Returns!D:D,$B325,Returns!E:E,$C325),0)</f>
        <v>0</v>
      </c>
      <c r="G325" s="70">
        <f t="shared" si="1"/>
        <v>0</v>
      </c>
      <c r="H325" s="71">
        <f t="shared" si="2"/>
        <v>0</v>
      </c>
      <c r="I325" s="72">
        <f>IFERROR( SUMIFS('Stock In'!I:I,'Stock In'!C:C,$A325,'Stock In'!D:D,$B325,'Stock In'!E:E,$C325) / SUMIFS('Stock In'!H:H,'Stock In'!C:C,$A325,'Stock In'!D:D,$B325,'Stock In'!E:E,$C325) , 0)</f>
        <v>0</v>
      </c>
      <c r="J325" s="71">
        <f t="shared" si="3"/>
        <v>0</v>
      </c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8"/>
      <c r="B326" s="68"/>
      <c r="C326" s="68"/>
      <c r="D326" s="70">
        <f>IFERROR(SUMIFS('Stock In'!F:F,'Stock In'!C:C,$A326,'Stock In'!D:D,$B326,'Stock In'!E:E,$C326),0)</f>
        <v>0</v>
      </c>
      <c r="E326" s="70">
        <f>IFERROR(SUMIFS(Issues!H:H,Issues!C:C,$A326,Issues!D:D,$B326,Issues!E:E,$C326),0)</f>
        <v>0</v>
      </c>
      <c r="F326" s="70">
        <f>IFERROR(SUMIFS(Returns!H:H,Returns!C:C,$A326,Returns!D:D,$B326,Returns!E:E,$C326),0)</f>
        <v>0</v>
      </c>
      <c r="G326" s="70">
        <f t="shared" si="1"/>
        <v>0</v>
      </c>
      <c r="H326" s="71">
        <f t="shared" si="2"/>
        <v>0</v>
      </c>
      <c r="I326" s="72">
        <f>IFERROR( SUMIFS('Stock In'!I:I,'Stock In'!C:C,$A326,'Stock In'!D:D,$B326,'Stock In'!E:E,$C326) / SUMIFS('Stock In'!H:H,'Stock In'!C:C,$A326,'Stock In'!D:D,$B326,'Stock In'!E:E,$C326) , 0)</f>
        <v>0</v>
      </c>
      <c r="J326" s="71">
        <f t="shared" si="3"/>
        <v>0</v>
      </c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8"/>
      <c r="B327" s="68"/>
      <c r="C327" s="68"/>
      <c r="D327" s="70">
        <f>IFERROR(SUMIFS('Stock In'!F:F,'Stock In'!C:C,$A327,'Stock In'!D:D,$B327,'Stock In'!E:E,$C327),0)</f>
        <v>0</v>
      </c>
      <c r="E327" s="70">
        <f>IFERROR(SUMIFS(Issues!H:H,Issues!C:C,$A327,Issues!D:D,$B327,Issues!E:E,$C327),0)</f>
        <v>0</v>
      </c>
      <c r="F327" s="70">
        <f>IFERROR(SUMIFS(Returns!H:H,Returns!C:C,$A327,Returns!D:D,$B327,Returns!E:E,$C327),0)</f>
        <v>0</v>
      </c>
      <c r="G327" s="70">
        <f t="shared" si="1"/>
        <v>0</v>
      </c>
      <c r="H327" s="71">
        <f t="shared" si="2"/>
        <v>0</v>
      </c>
      <c r="I327" s="72">
        <f>IFERROR( SUMIFS('Stock In'!I:I,'Stock In'!C:C,$A327,'Stock In'!D:D,$B327,'Stock In'!E:E,$C327) / SUMIFS('Stock In'!H:H,'Stock In'!C:C,$A327,'Stock In'!D:D,$B327,'Stock In'!E:E,$C327) , 0)</f>
        <v>0</v>
      </c>
      <c r="J327" s="71">
        <f t="shared" si="3"/>
        <v>0</v>
      </c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8"/>
      <c r="B328" s="68"/>
      <c r="C328" s="68"/>
      <c r="D328" s="70">
        <f>IFERROR(SUMIFS('Stock In'!F:F,'Stock In'!C:C,$A328,'Stock In'!D:D,$B328,'Stock In'!E:E,$C328),0)</f>
        <v>0</v>
      </c>
      <c r="E328" s="70">
        <f>IFERROR(SUMIFS(Issues!H:H,Issues!C:C,$A328,Issues!D:D,$B328,Issues!E:E,$C328),0)</f>
        <v>0</v>
      </c>
      <c r="F328" s="70">
        <f>IFERROR(SUMIFS(Returns!H:H,Returns!C:C,$A328,Returns!D:D,$B328,Returns!E:E,$C328),0)</f>
        <v>0</v>
      </c>
      <c r="G328" s="70">
        <f t="shared" si="1"/>
        <v>0</v>
      </c>
      <c r="H328" s="71">
        <f t="shared" si="2"/>
        <v>0</v>
      </c>
      <c r="I328" s="72">
        <f>IFERROR( SUMIFS('Stock In'!I:I,'Stock In'!C:C,$A328,'Stock In'!D:D,$B328,'Stock In'!E:E,$C328) / SUMIFS('Stock In'!H:H,'Stock In'!C:C,$A328,'Stock In'!D:D,$B328,'Stock In'!E:E,$C328) , 0)</f>
        <v>0</v>
      </c>
      <c r="J328" s="71">
        <f t="shared" si="3"/>
        <v>0</v>
      </c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8"/>
      <c r="B329" s="68"/>
      <c r="C329" s="68"/>
      <c r="D329" s="70">
        <f>IFERROR(SUMIFS('Stock In'!F:F,'Stock In'!C:C,$A329,'Stock In'!D:D,$B329,'Stock In'!E:E,$C329),0)</f>
        <v>0</v>
      </c>
      <c r="E329" s="70">
        <f>IFERROR(SUMIFS(Issues!H:H,Issues!C:C,$A329,Issues!D:D,$B329,Issues!E:E,$C329),0)</f>
        <v>0</v>
      </c>
      <c r="F329" s="70">
        <f>IFERROR(SUMIFS(Returns!H:H,Returns!C:C,$A329,Returns!D:D,$B329,Returns!E:E,$C329),0)</f>
        <v>0</v>
      </c>
      <c r="G329" s="70">
        <f t="shared" si="1"/>
        <v>0</v>
      </c>
      <c r="H329" s="71">
        <f t="shared" si="2"/>
        <v>0</v>
      </c>
      <c r="I329" s="72">
        <f>IFERROR( SUMIFS('Stock In'!I:I,'Stock In'!C:C,$A329,'Stock In'!D:D,$B329,'Stock In'!E:E,$C329) / SUMIFS('Stock In'!H:H,'Stock In'!C:C,$A329,'Stock In'!D:D,$B329,'Stock In'!E:E,$C329) , 0)</f>
        <v>0</v>
      </c>
      <c r="J329" s="71">
        <f t="shared" si="3"/>
        <v>0</v>
      </c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8"/>
      <c r="B330" s="68"/>
      <c r="C330" s="68"/>
      <c r="D330" s="70">
        <f>IFERROR(SUMIFS('Stock In'!F:F,'Stock In'!C:C,$A330,'Stock In'!D:D,$B330,'Stock In'!E:E,$C330),0)</f>
        <v>0</v>
      </c>
      <c r="E330" s="70">
        <f>IFERROR(SUMIFS(Issues!H:H,Issues!C:C,$A330,Issues!D:D,$B330,Issues!E:E,$C330),0)</f>
        <v>0</v>
      </c>
      <c r="F330" s="70">
        <f>IFERROR(SUMIFS(Returns!H:H,Returns!C:C,$A330,Returns!D:D,$B330,Returns!E:E,$C330),0)</f>
        <v>0</v>
      </c>
      <c r="G330" s="70">
        <f t="shared" si="1"/>
        <v>0</v>
      </c>
      <c r="H330" s="71">
        <f t="shared" si="2"/>
        <v>0</v>
      </c>
      <c r="I330" s="72">
        <f>IFERROR( SUMIFS('Stock In'!I:I,'Stock In'!C:C,$A330,'Stock In'!D:D,$B330,'Stock In'!E:E,$C330) / SUMIFS('Stock In'!H:H,'Stock In'!C:C,$A330,'Stock In'!D:D,$B330,'Stock In'!E:E,$C330) , 0)</f>
        <v>0</v>
      </c>
      <c r="J330" s="71">
        <f t="shared" si="3"/>
        <v>0</v>
      </c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8"/>
      <c r="B331" s="68"/>
      <c r="C331" s="68"/>
      <c r="D331" s="70">
        <f>IFERROR(SUMIFS('Stock In'!F:F,'Stock In'!C:C,$A331,'Stock In'!D:D,$B331,'Stock In'!E:E,$C331),0)</f>
        <v>0</v>
      </c>
      <c r="E331" s="70">
        <f>IFERROR(SUMIFS(Issues!H:H,Issues!C:C,$A331,Issues!D:D,$B331,Issues!E:E,$C331),0)</f>
        <v>0</v>
      </c>
      <c r="F331" s="70">
        <f>IFERROR(SUMIFS(Returns!H:H,Returns!C:C,$A331,Returns!D:D,$B331,Returns!E:E,$C331),0)</f>
        <v>0</v>
      </c>
      <c r="G331" s="70">
        <f t="shared" si="1"/>
        <v>0</v>
      </c>
      <c r="H331" s="71">
        <f t="shared" si="2"/>
        <v>0</v>
      </c>
      <c r="I331" s="72">
        <f>IFERROR( SUMIFS('Stock In'!I:I,'Stock In'!C:C,$A331,'Stock In'!D:D,$B331,'Stock In'!E:E,$C331) / SUMIFS('Stock In'!H:H,'Stock In'!C:C,$A331,'Stock In'!D:D,$B331,'Stock In'!E:E,$C331) , 0)</f>
        <v>0</v>
      </c>
      <c r="J331" s="71">
        <f t="shared" si="3"/>
        <v>0</v>
      </c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8"/>
      <c r="B332" s="68"/>
      <c r="C332" s="68"/>
      <c r="D332" s="70">
        <f>IFERROR(SUMIFS('Stock In'!F:F,'Stock In'!C:C,$A332,'Stock In'!D:D,$B332,'Stock In'!E:E,$C332),0)</f>
        <v>0</v>
      </c>
      <c r="E332" s="70">
        <f>IFERROR(SUMIFS(Issues!H:H,Issues!C:C,$A332,Issues!D:D,$B332,Issues!E:E,$C332),0)</f>
        <v>0</v>
      </c>
      <c r="F332" s="70">
        <f>IFERROR(SUMIFS(Returns!H:H,Returns!C:C,$A332,Returns!D:D,$B332,Returns!E:E,$C332),0)</f>
        <v>0</v>
      </c>
      <c r="G332" s="70">
        <f t="shared" si="1"/>
        <v>0</v>
      </c>
      <c r="H332" s="71">
        <f t="shared" si="2"/>
        <v>0</v>
      </c>
      <c r="I332" s="72">
        <f>IFERROR( SUMIFS('Stock In'!I:I,'Stock In'!C:C,$A332,'Stock In'!D:D,$B332,'Stock In'!E:E,$C332) / SUMIFS('Stock In'!H:H,'Stock In'!C:C,$A332,'Stock In'!D:D,$B332,'Stock In'!E:E,$C332) , 0)</f>
        <v>0</v>
      </c>
      <c r="J332" s="71">
        <f t="shared" si="3"/>
        <v>0</v>
      </c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8"/>
      <c r="B333" s="68"/>
      <c r="C333" s="68"/>
      <c r="D333" s="70">
        <f>IFERROR(SUMIFS('Stock In'!F:F,'Stock In'!C:C,$A333,'Stock In'!D:D,$B333,'Stock In'!E:E,$C333),0)</f>
        <v>0</v>
      </c>
      <c r="E333" s="70">
        <f>IFERROR(SUMIFS(Issues!H:H,Issues!C:C,$A333,Issues!D:D,$B333,Issues!E:E,$C333),0)</f>
        <v>0</v>
      </c>
      <c r="F333" s="70">
        <f>IFERROR(SUMIFS(Returns!H:H,Returns!C:C,$A333,Returns!D:D,$B333,Returns!E:E,$C333),0)</f>
        <v>0</v>
      </c>
      <c r="G333" s="70">
        <f t="shared" si="1"/>
        <v>0</v>
      </c>
      <c r="H333" s="71">
        <f t="shared" si="2"/>
        <v>0</v>
      </c>
      <c r="I333" s="72">
        <f>IFERROR( SUMIFS('Stock In'!I:I,'Stock In'!C:C,$A333,'Stock In'!D:D,$B333,'Stock In'!E:E,$C333) / SUMIFS('Stock In'!H:H,'Stock In'!C:C,$A333,'Stock In'!D:D,$B333,'Stock In'!E:E,$C333) , 0)</f>
        <v>0</v>
      </c>
      <c r="J333" s="71">
        <f t="shared" si="3"/>
        <v>0</v>
      </c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8"/>
      <c r="B334" s="68"/>
      <c r="C334" s="68"/>
      <c r="D334" s="70">
        <f>IFERROR(SUMIFS('Stock In'!F:F,'Stock In'!C:C,$A334,'Stock In'!D:D,$B334,'Stock In'!E:E,$C334),0)</f>
        <v>0</v>
      </c>
      <c r="E334" s="70">
        <f>IFERROR(SUMIFS(Issues!H:H,Issues!C:C,$A334,Issues!D:D,$B334,Issues!E:E,$C334),0)</f>
        <v>0</v>
      </c>
      <c r="F334" s="70">
        <f>IFERROR(SUMIFS(Returns!H:H,Returns!C:C,$A334,Returns!D:D,$B334,Returns!E:E,$C334),0)</f>
        <v>0</v>
      </c>
      <c r="G334" s="70">
        <f t="shared" si="1"/>
        <v>0</v>
      </c>
      <c r="H334" s="71">
        <f t="shared" si="2"/>
        <v>0</v>
      </c>
      <c r="I334" s="72">
        <f>IFERROR( SUMIFS('Stock In'!I:I,'Stock In'!C:C,$A334,'Stock In'!D:D,$B334,'Stock In'!E:E,$C334) / SUMIFS('Stock In'!H:H,'Stock In'!C:C,$A334,'Stock In'!D:D,$B334,'Stock In'!E:E,$C334) , 0)</f>
        <v>0</v>
      </c>
      <c r="J334" s="71">
        <f t="shared" si="3"/>
        <v>0</v>
      </c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8"/>
      <c r="B335" s="68"/>
      <c r="C335" s="68"/>
      <c r="D335" s="70">
        <f>IFERROR(SUMIFS('Stock In'!F:F,'Stock In'!C:C,$A335,'Stock In'!D:D,$B335,'Stock In'!E:E,$C335),0)</f>
        <v>0</v>
      </c>
      <c r="E335" s="70">
        <f>IFERROR(SUMIFS(Issues!H:H,Issues!C:C,$A335,Issues!D:D,$B335,Issues!E:E,$C335),0)</f>
        <v>0</v>
      </c>
      <c r="F335" s="70">
        <f>IFERROR(SUMIFS(Returns!H:H,Returns!C:C,$A335,Returns!D:D,$B335,Returns!E:E,$C335),0)</f>
        <v>0</v>
      </c>
      <c r="G335" s="70">
        <f t="shared" si="1"/>
        <v>0</v>
      </c>
      <c r="H335" s="71">
        <f t="shared" si="2"/>
        <v>0</v>
      </c>
      <c r="I335" s="72">
        <f>IFERROR( SUMIFS('Stock In'!I:I,'Stock In'!C:C,$A335,'Stock In'!D:D,$B335,'Stock In'!E:E,$C335) / SUMIFS('Stock In'!H:H,'Stock In'!C:C,$A335,'Stock In'!D:D,$B335,'Stock In'!E:E,$C335) , 0)</f>
        <v>0</v>
      </c>
      <c r="J335" s="71">
        <f t="shared" si="3"/>
        <v>0</v>
      </c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8"/>
      <c r="B336" s="68"/>
      <c r="C336" s="68"/>
      <c r="D336" s="70">
        <f>IFERROR(SUMIFS('Stock In'!F:F,'Stock In'!C:C,$A336,'Stock In'!D:D,$B336,'Stock In'!E:E,$C336),0)</f>
        <v>0</v>
      </c>
      <c r="E336" s="70">
        <f>IFERROR(SUMIFS(Issues!H:H,Issues!C:C,$A336,Issues!D:D,$B336,Issues!E:E,$C336),0)</f>
        <v>0</v>
      </c>
      <c r="F336" s="70">
        <f>IFERROR(SUMIFS(Returns!H:H,Returns!C:C,$A336,Returns!D:D,$B336,Returns!E:E,$C336),0)</f>
        <v>0</v>
      </c>
      <c r="G336" s="70">
        <f t="shared" si="1"/>
        <v>0</v>
      </c>
      <c r="H336" s="71">
        <f t="shared" si="2"/>
        <v>0</v>
      </c>
      <c r="I336" s="72">
        <f>IFERROR( SUMIFS('Stock In'!I:I,'Stock In'!C:C,$A336,'Stock In'!D:D,$B336,'Stock In'!E:E,$C336) / SUMIFS('Stock In'!H:H,'Stock In'!C:C,$A336,'Stock In'!D:D,$B336,'Stock In'!E:E,$C336) , 0)</f>
        <v>0</v>
      </c>
      <c r="J336" s="71">
        <f t="shared" si="3"/>
        <v>0</v>
      </c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8"/>
      <c r="B337" s="68"/>
      <c r="C337" s="68"/>
      <c r="D337" s="70">
        <f>IFERROR(SUMIFS('Stock In'!F:F,'Stock In'!C:C,$A337,'Stock In'!D:D,$B337,'Stock In'!E:E,$C337),0)</f>
        <v>0</v>
      </c>
      <c r="E337" s="70">
        <f>IFERROR(SUMIFS(Issues!H:H,Issues!C:C,$A337,Issues!D:D,$B337,Issues!E:E,$C337),0)</f>
        <v>0</v>
      </c>
      <c r="F337" s="70">
        <f>IFERROR(SUMIFS(Returns!H:H,Returns!C:C,$A337,Returns!D:D,$B337,Returns!E:E,$C337),0)</f>
        <v>0</v>
      </c>
      <c r="G337" s="70">
        <f t="shared" si="1"/>
        <v>0</v>
      </c>
      <c r="H337" s="71">
        <f t="shared" si="2"/>
        <v>0</v>
      </c>
      <c r="I337" s="72">
        <f>IFERROR( SUMIFS('Stock In'!I:I,'Stock In'!C:C,$A337,'Stock In'!D:D,$B337,'Stock In'!E:E,$C337) / SUMIFS('Stock In'!H:H,'Stock In'!C:C,$A337,'Stock In'!D:D,$B337,'Stock In'!E:E,$C337) , 0)</f>
        <v>0</v>
      </c>
      <c r="J337" s="71">
        <f t="shared" si="3"/>
        <v>0</v>
      </c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8"/>
      <c r="B338" s="68"/>
      <c r="C338" s="68"/>
      <c r="D338" s="70">
        <f>IFERROR(SUMIFS('Stock In'!F:F,'Stock In'!C:C,$A338,'Stock In'!D:D,$B338,'Stock In'!E:E,$C338),0)</f>
        <v>0</v>
      </c>
      <c r="E338" s="70">
        <f>IFERROR(SUMIFS(Issues!H:H,Issues!C:C,$A338,Issues!D:D,$B338,Issues!E:E,$C338),0)</f>
        <v>0</v>
      </c>
      <c r="F338" s="70">
        <f>IFERROR(SUMIFS(Returns!H:H,Returns!C:C,$A338,Returns!D:D,$B338,Returns!E:E,$C338),0)</f>
        <v>0</v>
      </c>
      <c r="G338" s="70">
        <f t="shared" si="1"/>
        <v>0</v>
      </c>
      <c r="H338" s="71">
        <f t="shared" si="2"/>
        <v>0</v>
      </c>
      <c r="I338" s="72">
        <f>IFERROR( SUMIFS('Stock In'!I:I,'Stock In'!C:C,$A338,'Stock In'!D:D,$B338,'Stock In'!E:E,$C338) / SUMIFS('Stock In'!H:H,'Stock In'!C:C,$A338,'Stock In'!D:D,$B338,'Stock In'!E:E,$C338) , 0)</f>
        <v>0</v>
      </c>
      <c r="J338" s="71">
        <f t="shared" si="3"/>
        <v>0</v>
      </c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8"/>
      <c r="B339" s="68"/>
      <c r="C339" s="68"/>
      <c r="D339" s="70">
        <f>IFERROR(SUMIFS('Stock In'!F:F,'Stock In'!C:C,$A339,'Stock In'!D:D,$B339,'Stock In'!E:E,$C339),0)</f>
        <v>0</v>
      </c>
      <c r="E339" s="70">
        <f>IFERROR(SUMIFS(Issues!H:H,Issues!C:C,$A339,Issues!D:D,$B339,Issues!E:E,$C339),0)</f>
        <v>0</v>
      </c>
      <c r="F339" s="70">
        <f>IFERROR(SUMIFS(Returns!H:H,Returns!C:C,$A339,Returns!D:D,$B339,Returns!E:E,$C339),0)</f>
        <v>0</v>
      </c>
      <c r="G339" s="70">
        <f t="shared" si="1"/>
        <v>0</v>
      </c>
      <c r="H339" s="71">
        <f t="shared" si="2"/>
        <v>0</v>
      </c>
      <c r="I339" s="72">
        <f>IFERROR( SUMIFS('Stock In'!I:I,'Stock In'!C:C,$A339,'Stock In'!D:D,$B339,'Stock In'!E:E,$C339) / SUMIFS('Stock In'!H:H,'Stock In'!C:C,$A339,'Stock In'!D:D,$B339,'Stock In'!E:E,$C339) , 0)</f>
        <v>0</v>
      </c>
      <c r="J339" s="71">
        <f t="shared" si="3"/>
        <v>0</v>
      </c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8"/>
      <c r="B340" s="68"/>
      <c r="C340" s="68"/>
      <c r="D340" s="70">
        <f>IFERROR(SUMIFS('Stock In'!F:F,'Stock In'!C:C,$A340,'Stock In'!D:D,$B340,'Stock In'!E:E,$C340),0)</f>
        <v>0</v>
      </c>
      <c r="E340" s="70">
        <f>IFERROR(SUMIFS(Issues!H:H,Issues!C:C,$A340,Issues!D:D,$B340,Issues!E:E,$C340),0)</f>
        <v>0</v>
      </c>
      <c r="F340" s="70">
        <f>IFERROR(SUMIFS(Returns!H:H,Returns!C:C,$A340,Returns!D:D,$B340,Returns!E:E,$C340),0)</f>
        <v>0</v>
      </c>
      <c r="G340" s="70">
        <f t="shared" si="1"/>
        <v>0</v>
      </c>
      <c r="H340" s="71">
        <f t="shared" si="2"/>
        <v>0</v>
      </c>
      <c r="I340" s="72">
        <f>IFERROR( SUMIFS('Stock In'!I:I,'Stock In'!C:C,$A340,'Stock In'!D:D,$B340,'Stock In'!E:E,$C340) / SUMIFS('Stock In'!H:H,'Stock In'!C:C,$A340,'Stock In'!D:D,$B340,'Stock In'!E:E,$C340) , 0)</f>
        <v>0</v>
      </c>
      <c r="J340" s="71">
        <f t="shared" si="3"/>
        <v>0</v>
      </c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8"/>
      <c r="B341" s="68"/>
      <c r="C341" s="68"/>
      <c r="D341" s="70">
        <f>IFERROR(SUMIFS('Stock In'!F:F,'Stock In'!C:C,$A341,'Stock In'!D:D,$B341,'Stock In'!E:E,$C341),0)</f>
        <v>0</v>
      </c>
      <c r="E341" s="70">
        <f>IFERROR(SUMIFS(Issues!H:H,Issues!C:C,$A341,Issues!D:D,$B341,Issues!E:E,$C341),0)</f>
        <v>0</v>
      </c>
      <c r="F341" s="70">
        <f>IFERROR(SUMIFS(Returns!H:H,Returns!C:C,$A341,Returns!D:D,$B341,Returns!E:E,$C341),0)</f>
        <v>0</v>
      </c>
      <c r="G341" s="70">
        <f t="shared" si="1"/>
        <v>0</v>
      </c>
      <c r="H341" s="71">
        <f t="shared" si="2"/>
        <v>0</v>
      </c>
      <c r="I341" s="72">
        <f>IFERROR( SUMIFS('Stock In'!I:I,'Stock In'!C:C,$A341,'Stock In'!D:D,$B341,'Stock In'!E:E,$C341) / SUMIFS('Stock In'!H:H,'Stock In'!C:C,$A341,'Stock In'!D:D,$B341,'Stock In'!E:E,$C341) , 0)</f>
        <v>0</v>
      </c>
      <c r="J341" s="71">
        <f t="shared" si="3"/>
        <v>0</v>
      </c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8"/>
      <c r="B342" s="68"/>
      <c r="C342" s="68"/>
      <c r="D342" s="70">
        <f>IFERROR(SUMIFS('Stock In'!F:F,'Stock In'!C:C,$A342,'Stock In'!D:D,$B342,'Stock In'!E:E,$C342),0)</f>
        <v>0</v>
      </c>
      <c r="E342" s="70">
        <f>IFERROR(SUMIFS(Issues!H:H,Issues!C:C,$A342,Issues!D:D,$B342,Issues!E:E,$C342),0)</f>
        <v>0</v>
      </c>
      <c r="F342" s="70">
        <f>IFERROR(SUMIFS(Returns!H:H,Returns!C:C,$A342,Returns!D:D,$B342,Returns!E:E,$C342),0)</f>
        <v>0</v>
      </c>
      <c r="G342" s="70">
        <f t="shared" si="1"/>
        <v>0</v>
      </c>
      <c r="H342" s="71">
        <f t="shared" si="2"/>
        <v>0</v>
      </c>
      <c r="I342" s="72">
        <f>IFERROR( SUMIFS('Stock In'!I:I,'Stock In'!C:C,$A342,'Stock In'!D:D,$B342,'Stock In'!E:E,$C342) / SUMIFS('Stock In'!H:H,'Stock In'!C:C,$A342,'Stock In'!D:D,$B342,'Stock In'!E:E,$C342) , 0)</f>
        <v>0</v>
      </c>
      <c r="J342" s="71">
        <f t="shared" si="3"/>
        <v>0</v>
      </c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8"/>
      <c r="B343" s="68"/>
      <c r="C343" s="68"/>
      <c r="D343" s="70">
        <f>IFERROR(SUMIFS('Stock In'!F:F,'Stock In'!C:C,$A343,'Stock In'!D:D,$B343,'Stock In'!E:E,$C343),0)</f>
        <v>0</v>
      </c>
      <c r="E343" s="70">
        <f>IFERROR(SUMIFS(Issues!H:H,Issues!C:C,$A343,Issues!D:D,$B343,Issues!E:E,$C343),0)</f>
        <v>0</v>
      </c>
      <c r="F343" s="70">
        <f>IFERROR(SUMIFS(Returns!H:H,Returns!C:C,$A343,Returns!D:D,$B343,Returns!E:E,$C343),0)</f>
        <v>0</v>
      </c>
      <c r="G343" s="70">
        <f t="shared" si="1"/>
        <v>0</v>
      </c>
      <c r="H343" s="71">
        <f t="shared" si="2"/>
        <v>0</v>
      </c>
      <c r="I343" s="72">
        <f>IFERROR( SUMIFS('Stock In'!I:I,'Stock In'!C:C,$A343,'Stock In'!D:D,$B343,'Stock In'!E:E,$C343) / SUMIFS('Stock In'!H:H,'Stock In'!C:C,$A343,'Stock In'!D:D,$B343,'Stock In'!E:E,$C343) , 0)</f>
        <v>0</v>
      </c>
      <c r="J343" s="71">
        <f t="shared" si="3"/>
        <v>0</v>
      </c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8"/>
      <c r="B344" s="68"/>
      <c r="C344" s="68"/>
      <c r="D344" s="70">
        <f>IFERROR(SUMIFS('Stock In'!F:F,'Stock In'!C:C,$A344,'Stock In'!D:D,$B344,'Stock In'!E:E,$C344),0)</f>
        <v>0</v>
      </c>
      <c r="E344" s="70">
        <f>IFERROR(SUMIFS(Issues!H:H,Issues!C:C,$A344,Issues!D:D,$B344,Issues!E:E,$C344),0)</f>
        <v>0</v>
      </c>
      <c r="F344" s="70">
        <f>IFERROR(SUMIFS(Returns!H:H,Returns!C:C,$A344,Returns!D:D,$B344,Returns!E:E,$C344),0)</f>
        <v>0</v>
      </c>
      <c r="G344" s="70">
        <f t="shared" si="1"/>
        <v>0</v>
      </c>
      <c r="H344" s="71">
        <f t="shared" si="2"/>
        <v>0</v>
      </c>
      <c r="I344" s="72">
        <f>IFERROR( SUMIFS('Stock In'!I:I,'Stock In'!C:C,$A344,'Stock In'!D:D,$B344,'Stock In'!E:E,$C344) / SUMIFS('Stock In'!H:H,'Stock In'!C:C,$A344,'Stock In'!D:D,$B344,'Stock In'!E:E,$C344) , 0)</f>
        <v>0</v>
      </c>
      <c r="J344" s="71">
        <f t="shared" si="3"/>
        <v>0</v>
      </c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8"/>
      <c r="B345" s="68"/>
      <c r="C345" s="68"/>
      <c r="D345" s="70">
        <f>IFERROR(SUMIFS('Stock In'!F:F,'Stock In'!C:C,$A345,'Stock In'!D:D,$B345,'Stock In'!E:E,$C345),0)</f>
        <v>0</v>
      </c>
      <c r="E345" s="70">
        <f>IFERROR(SUMIFS(Issues!H:H,Issues!C:C,$A345,Issues!D:D,$B345,Issues!E:E,$C345),0)</f>
        <v>0</v>
      </c>
      <c r="F345" s="70">
        <f>IFERROR(SUMIFS(Returns!H:H,Returns!C:C,$A345,Returns!D:D,$B345,Returns!E:E,$C345),0)</f>
        <v>0</v>
      </c>
      <c r="G345" s="70">
        <f t="shared" si="1"/>
        <v>0</v>
      </c>
      <c r="H345" s="71">
        <f t="shared" si="2"/>
        <v>0</v>
      </c>
      <c r="I345" s="72">
        <f>IFERROR( SUMIFS('Stock In'!I:I,'Stock In'!C:C,$A345,'Stock In'!D:D,$B345,'Stock In'!E:E,$C345) / SUMIFS('Stock In'!H:H,'Stock In'!C:C,$A345,'Stock In'!D:D,$B345,'Stock In'!E:E,$C345) , 0)</f>
        <v>0</v>
      </c>
      <c r="J345" s="71">
        <f t="shared" si="3"/>
        <v>0</v>
      </c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8"/>
      <c r="B346" s="68"/>
      <c r="C346" s="68"/>
      <c r="D346" s="70">
        <f>IFERROR(SUMIFS('Stock In'!F:F,'Stock In'!C:C,$A346,'Stock In'!D:D,$B346,'Stock In'!E:E,$C346),0)</f>
        <v>0</v>
      </c>
      <c r="E346" s="70">
        <f>IFERROR(SUMIFS(Issues!H:H,Issues!C:C,$A346,Issues!D:D,$B346,Issues!E:E,$C346),0)</f>
        <v>0</v>
      </c>
      <c r="F346" s="70">
        <f>IFERROR(SUMIFS(Returns!H:H,Returns!C:C,$A346,Returns!D:D,$B346,Returns!E:E,$C346),0)</f>
        <v>0</v>
      </c>
      <c r="G346" s="70">
        <f t="shared" si="1"/>
        <v>0</v>
      </c>
      <c r="H346" s="71">
        <f t="shared" si="2"/>
        <v>0</v>
      </c>
      <c r="I346" s="72">
        <f>IFERROR( SUMIFS('Stock In'!I:I,'Stock In'!C:C,$A346,'Stock In'!D:D,$B346,'Stock In'!E:E,$C346) / SUMIFS('Stock In'!H:H,'Stock In'!C:C,$A346,'Stock In'!D:D,$B346,'Stock In'!E:E,$C346) , 0)</f>
        <v>0</v>
      </c>
      <c r="J346" s="71">
        <f t="shared" si="3"/>
        <v>0</v>
      </c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8"/>
      <c r="B347" s="68"/>
      <c r="C347" s="68"/>
      <c r="D347" s="70">
        <f>IFERROR(SUMIFS('Stock In'!F:F,'Stock In'!C:C,$A347,'Stock In'!D:D,$B347,'Stock In'!E:E,$C347),0)</f>
        <v>0</v>
      </c>
      <c r="E347" s="70">
        <f>IFERROR(SUMIFS(Issues!H:H,Issues!C:C,$A347,Issues!D:D,$B347,Issues!E:E,$C347),0)</f>
        <v>0</v>
      </c>
      <c r="F347" s="70">
        <f>IFERROR(SUMIFS(Returns!H:H,Returns!C:C,$A347,Returns!D:D,$B347,Returns!E:E,$C347),0)</f>
        <v>0</v>
      </c>
      <c r="G347" s="70">
        <f t="shared" si="1"/>
        <v>0</v>
      </c>
      <c r="H347" s="71">
        <f t="shared" si="2"/>
        <v>0</v>
      </c>
      <c r="I347" s="72">
        <f>IFERROR( SUMIFS('Stock In'!I:I,'Stock In'!C:C,$A347,'Stock In'!D:D,$B347,'Stock In'!E:E,$C347) / SUMIFS('Stock In'!H:H,'Stock In'!C:C,$A347,'Stock In'!D:D,$B347,'Stock In'!E:E,$C347) , 0)</f>
        <v>0</v>
      </c>
      <c r="J347" s="71">
        <f t="shared" si="3"/>
        <v>0</v>
      </c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8"/>
      <c r="B348" s="68"/>
      <c r="C348" s="68"/>
      <c r="D348" s="70">
        <f>IFERROR(SUMIFS('Stock In'!F:F,'Stock In'!C:C,$A348,'Stock In'!D:D,$B348,'Stock In'!E:E,$C348),0)</f>
        <v>0</v>
      </c>
      <c r="E348" s="70">
        <f>IFERROR(SUMIFS(Issues!H:H,Issues!C:C,$A348,Issues!D:D,$B348,Issues!E:E,$C348),0)</f>
        <v>0</v>
      </c>
      <c r="F348" s="70">
        <f>IFERROR(SUMIFS(Returns!H:H,Returns!C:C,$A348,Returns!D:D,$B348,Returns!E:E,$C348),0)</f>
        <v>0</v>
      </c>
      <c r="G348" s="70">
        <f t="shared" si="1"/>
        <v>0</v>
      </c>
      <c r="H348" s="71">
        <f t="shared" si="2"/>
        <v>0</v>
      </c>
      <c r="I348" s="72">
        <f>IFERROR( SUMIFS('Stock In'!I:I,'Stock In'!C:C,$A348,'Stock In'!D:D,$B348,'Stock In'!E:E,$C348) / SUMIFS('Stock In'!H:H,'Stock In'!C:C,$A348,'Stock In'!D:D,$B348,'Stock In'!E:E,$C348) , 0)</f>
        <v>0</v>
      </c>
      <c r="J348" s="71">
        <f t="shared" si="3"/>
        <v>0</v>
      </c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8"/>
      <c r="B349" s="68"/>
      <c r="C349" s="68"/>
      <c r="D349" s="70">
        <f>IFERROR(SUMIFS('Stock In'!F:F,'Stock In'!C:C,$A349,'Stock In'!D:D,$B349,'Stock In'!E:E,$C349),0)</f>
        <v>0</v>
      </c>
      <c r="E349" s="70">
        <f>IFERROR(SUMIFS(Issues!H:H,Issues!C:C,$A349,Issues!D:D,$B349,Issues!E:E,$C349),0)</f>
        <v>0</v>
      </c>
      <c r="F349" s="70">
        <f>IFERROR(SUMIFS(Returns!H:H,Returns!C:C,$A349,Returns!D:D,$B349,Returns!E:E,$C349),0)</f>
        <v>0</v>
      </c>
      <c r="G349" s="70">
        <f t="shared" si="1"/>
        <v>0</v>
      </c>
      <c r="H349" s="71">
        <f t="shared" si="2"/>
        <v>0</v>
      </c>
      <c r="I349" s="72">
        <f>IFERROR( SUMIFS('Stock In'!I:I,'Stock In'!C:C,$A349,'Stock In'!D:D,$B349,'Stock In'!E:E,$C349) / SUMIFS('Stock In'!H:H,'Stock In'!C:C,$A349,'Stock In'!D:D,$B349,'Stock In'!E:E,$C349) , 0)</f>
        <v>0</v>
      </c>
      <c r="J349" s="71">
        <f t="shared" si="3"/>
        <v>0</v>
      </c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8"/>
      <c r="B350" s="68"/>
      <c r="C350" s="68"/>
      <c r="D350" s="70">
        <f>IFERROR(SUMIFS('Stock In'!F:F,'Stock In'!C:C,$A350,'Stock In'!D:D,$B350,'Stock In'!E:E,$C350),0)</f>
        <v>0</v>
      </c>
      <c r="E350" s="70">
        <f>IFERROR(SUMIFS(Issues!H:H,Issues!C:C,$A350,Issues!D:D,$B350,Issues!E:E,$C350),0)</f>
        <v>0</v>
      </c>
      <c r="F350" s="70">
        <f>IFERROR(SUMIFS(Returns!H:H,Returns!C:C,$A350,Returns!D:D,$B350,Returns!E:E,$C350),0)</f>
        <v>0</v>
      </c>
      <c r="G350" s="70">
        <f t="shared" si="1"/>
        <v>0</v>
      </c>
      <c r="H350" s="71">
        <f t="shared" si="2"/>
        <v>0</v>
      </c>
      <c r="I350" s="72">
        <f>IFERROR( SUMIFS('Stock In'!I:I,'Stock In'!C:C,$A350,'Stock In'!D:D,$B350,'Stock In'!E:E,$C350) / SUMIFS('Stock In'!H:H,'Stock In'!C:C,$A350,'Stock In'!D:D,$B350,'Stock In'!E:E,$C350) , 0)</f>
        <v>0</v>
      </c>
      <c r="J350" s="71">
        <f t="shared" si="3"/>
        <v>0</v>
      </c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8"/>
      <c r="B351" s="68"/>
      <c r="C351" s="68"/>
      <c r="D351" s="70">
        <f>IFERROR(SUMIFS('Stock In'!F:F,'Stock In'!C:C,$A351,'Stock In'!D:D,$B351,'Stock In'!E:E,$C351),0)</f>
        <v>0</v>
      </c>
      <c r="E351" s="70">
        <f>IFERROR(SUMIFS(Issues!H:H,Issues!C:C,$A351,Issues!D:D,$B351,Issues!E:E,$C351),0)</f>
        <v>0</v>
      </c>
      <c r="F351" s="70">
        <f>IFERROR(SUMIFS(Returns!H:H,Returns!C:C,$A351,Returns!D:D,$B351,Returns!E:E,$C351),0)</f>
        <v>0</v>
      </c>
      <c r="G351" s="70">
        <f t="shared" si="1"/>
        <v>0</v>
      </c>
      <c r="H351" s="71">
        <f t="shared" si="2"/>
        <v>0</v>
      </c>
      <c r="I351" s="72">
        <f>IFERROR( SUMIFS('Stock In'!I:I,'Stock In'!C:C,$A351,'Stock In'!D:D,$B351,'Stock In'!E:E,$C351) / SUMIFS('Stock In'!H:H,'Stock In'!C:C,$A351,'Stock In'!D:D,$B351,'Stock In'!E:E,$C351) , 0)</f>
        <v>0</v>
      </c>
      <c r="J351" s="71">
        <f t="shared" si="3"/>
        <v>0</v>
      </c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8"/>
      <c r="B352" s="68"/>
      <c r="C352" s="68"/>
      <c r="D352" s="70">
        <f>IFERROR(SUMIFS('Stock In'!F:F,'Stock In'!C:C,$A352,'Stock In'!D:D,$B352,'Stock In'!E:E,$C352),0)</f>
        <v>0</v>
      </c>
      <c r="E352" s="70">
        <f>IFERROR(SUMIFS(Issues!H:H,Issues!C:C,$A352,Issues!D:D,$B352,Issues!E:E,$C352),0)</f>
        <v>0</v>
      </c>
      <c r="F352" s="70">
        <f>IFERROR(SUMIFS(Returns!H:H,Returns!C:C,$A352,Returns!D:D,$B352,Returns!E:E,$C352),0)</f>
        <v>0</v>
      </c>
      <c r="G352" s="70">
        <f t="shared" si="1"/>
        <v>0</v>
      </c>
      <c r="H352" s="71">
        <f t="shared" si="2"/>
        <v>0</v>
      </c>
      <c r="I352" s="72">
        <f>IFERROR( SUMIFS('Stock In'!I:I,'Stock In'!C:C,$A352,'Stock In'!D:D,$B352,'Stock In'!E:E,$C352) / SUMIFS('Stock In'!H:H,'Stock In'!C:C,$A352,'Stock In'!D:D,$B352,'Stock In'!E:E,$C352) , 0)</f>
        <v>0</v>
      </c>
      <c r="J352" s="71">
        <f t="shared" si="3"/>
        <v>0</v>
      </c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8"/>
      <c r="B353" s="68"/>
      <c r="C353" s="68"/>
      <c r="D353" s="70">
        <f>IFERROR(SUMIFS('Stock In'!F:F,'Stock In'!C:C,$A353,'Stock In'!D:D,$B353,'Stock In'!E:E,$C353),0)</f>
        <v>0</v>
      </c>
      <c r="E353" s="70">
        <f>IFERROR(SUMIFS(Issues!H:H,Issues!C:C,$A353,Issues!D:D,$B353,Issues!E:E,$C353),0)</f>
        <v>0</v>
      </c>
      <c r="F353" s="70">
        <f>IFERROR(SUMIFS(Returns!H:H,Returns!C:C,$A353,Returns!D:D,$B353,Returns!E:E,$C353),0)</f>
        <v>0</v>
      </c>
      <c r="G353" s="70">
        <f t="shared" si="1"/>
        <v>0</v>
      </c>
      <c r="H353" s="71">
        <f t="shared" si="2"/>
        <v>0</v>
      </c>
      <c r="I353" s="72">
        <f>IFERROR( SUMIFS('Stock In'!I:I,'Stock In'!C:C,$A353,'Stock In'!D:D,$B353,'Stock In'!E:E,$C353) / SUMIFS('Stock In'!H:H,'Stock In'!C:C,$A353,'Stock In'!D:D,$B353,'Stock In'!E:E,$C353) , 0)</f>
        <v>0</v>
      </c>
      <c r="J353" s="71">
        <f t="shared" si="3"/>
        <v>0</v>
      </c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8"/>
      <c r="B354" s="68"/>
      <c r="C354" s="68"/>
      <c r="D354" s="70">
        <f>IFERROR(SUMIFS('Stock In'!F:F,'Stock In'!C:C,$A354,'Stock In'!D:D,$B354,'Stock In'!E:E,$C354),0)</f>
        <v>0</v>
      </c>
      <c r="E354" s="70">
        <f>IFERROR(SUMIFS(Issues!H:H,Issues!C:C,$A354,Issues!D:D,$B354,Issues!E:E,$C354),0)</f>
        <v>0</v>
      </c>
      <c r="F354" s="70">
        <f>IFERROR(SUMIFS(Returns!H:H,Returns!C:C,$A354,Returns!D:D,$B354,Returns!E:E,$C354),0)</f>
        <v>0</v>
      </c>
      <c r="G354" s="70">
        <f t="shared" si="1"/>
        <v>0</v>
      </c>
      <c r="H354" s="71">
        <f t="shared" si="2"/>
        <v>0</v>
      </c>
      <c r="I354" s="72">
        <f>IFERROR( SUMIFS('Stock In'!I:I,'Stock In'!C:C,$A354,'Stock In'!D:D,$B354,'Stock In'!E:E,$C354) / SUMIFS('Stock In'!H:H,'Stock In'!C:C,$A354,'Stock In'!D:D,$B354,'Stock In'!E:E,$C354) , 0)</f>
        <v>0</v>
      </c>
      <c r="J354" s="71">
        <f t="shared" si="3"/>
        <v>0</v>
      </c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8"/>
      <c r="B355" s="68"/>
      <c r="C355" s="68"/>
      <c r="D355" s="70">
        <f>IFERROR(SUMIFS('Stock In'!F:F,'Stock In'!C:C,$A355,'Stock In'!D:D,$B355,'Stock In'!E:E,$C355),0)</f>
        <v>0</v>
      </c>
      <c r="E355" s="70">
        <f>IFERROR(SUMIFS(Issues!H:H,Issues!C:C,$A355,Issues!D:D,$B355,Issues!E:E,$C355),0)</f>
        <v>0</v>
      </c>
      <c r="F355" s="70">
        <f>IFERROR(SUMIFS(Returns!H:H,Returns!C:C,$A355,Returns!D:D,$B355,Returns!E:E,$C355),0)</f>
        <v>0</v>
      </c>
      <c r="G355" s="70">
        <f t="shared" si="1"/>
        <v>0</v>
      </c>
      <c r="H355" s="71">
        <f t="shared" si="2"/>
        <v>0</v>
      </c>
      <c r="I355" s="72">
        <f>IFERROR( SUMIFS('Stock In'!I:I,'Stock In'!C:C,$A355,'Stock In'!D:D,$B355,'Stock In'!E:E,$C355) / SUMIFS('Stock In'!H:H,'Stock In'!C:C,$A355,'Stock In'!D:D,$B355,'Stock In'!E:E,$C355) , 0)</f>
        <v>0</v>
      </c>
      <c r="J355" s="71">
        <f t="shared" si="3"/>
        <v>0</v>
      </c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8"/>
      <c r="B356" s="68"/>
      <c r="C356" s="68"/>
      <c r="D356" s="70">
        <f>IFERROR(SUMIFS('Stock In'!F:F,'Stock In'!C:C,$A356,'Stock In'!D:D,$B356,'Stock In'!E:E,$C356),0)</f>
        <v>0</v>
      </c>
      <c r="E356" s="70">
        <f>IFERROR(SUMIFS(Issues!H:H,Issues!C:C,$A356,Issues!D:D,$B356,Issues!E:E,$C356),0)</f>
        <v>0</v>
      </c>
      <c r="F356" s="70">
        <f>IFERROR(SUMIFS(Returns!H:H,Returns!C:C,$A356,Returns!D:D,$B356,Returns!E:E,$C356),0)</f>
        <v>0</v>
      </c>
      <c r="G356" s="70">
        <f t="shared" si="1"/>
        <v>0</v>
      </c>
      <c r="H356" s="71">
        <f t="shared" si="2"/>
        <v>0</v>
      </c>
      <c r="I356" s="72">
        <f>IFERROR( SUMIFS('Stock In'!I:I,'Stock In'!C:C,$A356,'Stock In'!D:D,$B356,'Stock In'!E:E,$C356) / SUMIFS('Stock In'!H:H,'Stock In'!C:C,$A356,'Stock In'!D:D,$B356,'Stock In'!E:E,$C356) , 0)</f>
        <v>0</v>
      </c>
      <c r="J356" s="71">
        <f t="shared" si="3"/>
        <v>0</v>
      </c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8"/>
      <c r="B357" s="68"/>
      <c r="C357" s="68"/>
      <c r="D357" s="70">
        <f>IFERROR(SUMIFS('Stock In'!F:F,'Stock In'!C:C,$A357,'Stock In'!D:D,$B357,'Stock In'!E:E,$C357),0)</f>
        <v>0</v>
      </c>
      <c r="E357" s="70">
        <f>IFERROR(SUMIFS(Issues!H:H,Issues!C:C,$A357,Issues!D:D,$B357,Issues!E:E,$C357),0)</f>
        <v>0</v>
      </c>
      <c r="F357" s="70">
        <f>IFERROR(SUMIFS(Returns!H:H,Returns!C:C,$A357,Returns!D:D,$B357,Returns!E:E,$C357),0)</f>
        <v>0</v>
      </c>
      <c r="G357" s="70">
        <f t="shared" si="1"/>
        <v>0</v>
      </c>
      <c r="H357" s="71">
        <f t="shared" si="2"/>
        <v>0</v>
      </c>
      <c r="I357" s="72">
        <f>IFERROR( SUMIFS('Stock In'!I:I,'Stock In'!C:C,$A357,'Stock In'!D:D,$B357,'Stock In'!E:E,$C357) / SUMIFS('Stock In'!H:H,'Stock In'!C:C,$A357,'Stock In'!D:D,$B357,'Stock In'!E:E,$C357) , 0)</f>
        <v>0</v>
      </c>
      <c r="J357" s="71">
        <f t="shared" si="3"/>
        <v>0</v>
      </c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8"/>
      <c r="B358" s="68"/>
      <c r="C358" s="68"/>
      <c r="D358" s="70">
        <f>IFERROR(SUMIFS('Stock In'!F:F,'Stock In'!C:C,$A358,'Stock In'!D:D,$B358,'Stock In'!E:E,$C358),0)</f>
        <v>0</v>
      </c>
      <c r="E358" s="70">
        <f>IFERROR(SUMIFS(Issues!H:H,Issues!C:C,$A358,Issues!D:D,$B358,Issues!E:E,$C358),0)</f>
        <v>0</v>
      </c>
      <c r="F358" s="70">
        <f>IFERROR(SUMIFS(Returns!H:H,Returns!C:C,$A358,Returns!D:D,$B358,Returns!E:E,$C358),0)</f>
        <v>0</v>
      </c>
      <c r="G358" s="70">
        <f t="shared" si="1"/>
        <v>0</v>
      </c>
      <c r="H358" s="71">
        <f t="shared" si="2"/>
        <v>0</v>
      </c>
      <c r="I358" s="72">
        <f>IFERROR( SUMIFS('Stock In'!I:I,'Stock In'!C:C,$A358,'Stock In'!D:D,$B358,'Stock In'!E:E,$C358) / SUMIFS('Stock In'!H:H,'Stock In'!C:C,$A358,'Stock In'!D:D,$B358,'Stock In'!E:E,$C358) , 0)</f>
        <v>0</v>
      </c>
      <c r="J358" s="71">
        <f t="shared" si="3"/>
        <v>0</v>
      </c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8"/>
      <c r="B359" s="68"/>
      <c r="C359" s="68"/>
      <c r="D359" s="70">
        <f>IFERROR(SUMIFS('Stock In'!F:F,'Stock In'!C:C,$A359,'Stock In'!D:D,$B359,'Stock In'!E:E,$C359),0)</f>
        <v>0</v>
      </c>
      <c r="E359" s="70">
        <f>IFERROR(SUMIFS(Issues!H:H,Issues!C:C,$A359,Issues!D:D,$B359,Issues!E:E,$C359),0)</f>
        <v>0</v>
      </c>
      <c r="F359" s="70">
        <f>IFERROR(SUMIFS(Returns!H:H,Returns!C:C,$A359,Returns!D:D,$B359,Returns!E:E,$C359),0)</f>
        <v>0</v>
      </c>
      <c r="G359" s="70">
        <f t="shared" si="1"/>
        <v>0</v>
      </c>
      <c r="H359" s="71">
        <f t="shared" si="2"/>
        <v>0</v>
      </c>
      <c r="I359" s="72">
        <f>IFERROR( SUMIFS('Stock In'!I:I,'Stock In'!C:C,$A359,'Stock In'!D:D,$B359,'Stock In'!E:E,$C359) / SUMIFS('Stock In'!H:H,'Stock In'!C:C,$A359,'Stock In'!D:D,$B359,'Stock In'!E:E,$C359) , 0)</f>
        <v>0</v>
      </c>
      <c r="J359" s="71">
        <f t="shared" si="3"/>
        <v>0</v>
      </c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8"/>
      <c r="B360" s="68"/>
      <c r="C360" s="68"/>
      <c r="D360" s="70">
        <f>IFERROR(SUMIFS('Stock In'!F:F,'Stock In'!C:C,$A360,'Stock In'!D:D,$B360,'Stock In'!E:E,$C360),0)</f>
        <v>0</v>
      </c>
      <c r="E360" s="70">
        <f>IFERROR(SUMIFS(Issues!H:H,Issues!C:C,$A360,Issues!D:D,$B360,Issues!E:E,$C360),0)</f>
        <v>0</v>
      </c>
      <c r="F360" s="70">
        <f>IFERROR(SUMIFS(Returns!H:H,Returns!C:C,$A360,Returns!D:D,$B360,Returns!E:E,$C360),0)</f>
        <v>0</v>
      </c>
      <c r="G360" s="70">
        <f t="shared" si="1"/>
        <v>0</v>
      </c>
      <c r="H360" s="71">
        <f t="shared" si="2"/>
        <v>0</v>
      </c>
      <c r="I360" s="72">
        <f>IFERROR( SUMIFS('Stock In'!I:I,'Stock In'!C:C,$A360,'Stock In'!D:D,$B360,'Stock In'!E:E,$C360) / SUMIFS('Stock In'!H:H,'Stock In'!C:C,$A360,'Stock In'!D:D,$B360,'Stock In'!E:E,$C360) , 0)</f>
        <v>0</v>
      </c>
      <c r="J360" s="71">
        <f t="shared" si="3"/>
        <v>0</v>
      </c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8"/>
      <c r="B361" s="68"/>
      <c r="C361" s="68"/>
      <c r="D361" s="70">
        <f>IFERROR(SUMIFS('Stock In'!F:F,'Stock In'!C:C,$A361,'Stock In'!D:D,$B361,'Stock In'!E:E,$C361),0)</f>
        <v>0</v>
      </c>
      <c r="E361" s="70">
        <f>IFERROR(SUMIFS(Issues!H:H,Issues!C:C,$A361,Issues!D:D,$B361,Issues!E:E,$C361),0)</f>
        <v>0</v>
      </c>
      <c r="F361" s="70">
        <f>IFERROR(SUMIFS(Returns!H:H,Returns!C:C,$A361,Returns!D:D,$B361,Returns!E:E,$C361),0)</f>
        <v>0</v>
      </c>
      <c r="G361" s="70">
        <f t="shared" si="1"/>
        <v>0</v>
      </c>
      <c r="H361" s="71">
        <f t="shared" si="2"/>
        <v>0</v>
      </c>
      <c r="I361" s="72">
        <f>IFERROR( SUMIFS('Stock In'!I:I,'Stock In'!C:C,$A361,'Stock In'!D:D,$B361,'Stock In'!E:E,$C361) / SUMIFS('Stock In'!H:H,'Stock In'!C:C,$A361,'Stock In'!D:D,$B361,'Stock In'!E:E,$C361) , 0)</f>
        <v>0</v>
      </c>
      <c r="J361" s="71">
        <f t="shared" si="3"/>
        <v>0</v>
      </c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8"/>
      <c r="B362" s="68"/>
      <c r="C362" s="68"/>
      <c r="D362" s="70">
        <f>IFERROR(SUMIFS('Stock In'!F:F,'Stock In'!C:C,$A362,'Stock In'!D:D,$B362,'Stock In'!E:E,$C362),0)</f>
        <v>0</v>
      </c>
      <c r="E362" s="70">
        <f>IFERROR(SUMIFS(Issues!H:H,Issues!C:C,$A362,Issues!D:D,$B362,Issues!E:E,$C362),0)</f>
        <v>0</v>
      </c>
      <c r="F362" s="70">
        <f>IFERROR(SUMIFS(Returns!H:H,Returns!C:C,$A362,Returns!D:D,$B362,Returns!E:E,$C362),0)</f>
        <v>0</v>
      </c>
      <c r="G362" s="70">
        <f t="shared" si="1"/>
        <v>0</v>
      </c>
      <c r="H362" s="71">
        <f t="shared" si="2"/>
        <v>0</v>
      </c>
      <c r="I362" s="72">
        <f>IFERROR( SUMIFS('Stock In'!I:I,'Stock In'!C:C,$A362,'Stock In'!D:D,$B362,'Stock In'!E:E,$C362) / SUMIFS('Stock In'!H:H,'Stock In'!C:C,$A362,'Stock In'!D:D,$B362,'Stock In'!E:E,$C362) , 0)</f>
        <v>0</v>
      </c>
      <c r="J362" s="71">
        <f t="shared" si="3"/>
        <v>0</v>
      </c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8"/>
      <c r="B363" s="68"/>
      <c r="C363" s="68"/>
      <c r="D363" s="70">
        <f>IFERROR(SUMIFS('Stock In'!F:F,'Stock In'!C:C,$A363,'Stock In'!D:D,$B363,'Stock In'!E:E,$C363),0)</f>
        <v>0</v>
      </c>
      <c r="E363" s="70">
        <f>IFERROR(SUMIFS(Issues!H:H,Issues!C:C,$A363,Issues!D:D,$B363,Issues!E:E,$C363),0)</f>
        <v>0</v>
      </c>
      <c r="F363" s="70">
        <f>IFERROR(SUMIFS(Returns!H:H,Returns!C:C,$A363,Returns!D:D,$B363,Returns!E:E,$C363),0)</f>
        <v>0</v>
      </c>
      <c r="G363" s="70">
        <f t="shared" si="1"/>
        <v>0</v>
      </c>
      <c r="H363" s="71">
        <f t="shared" si="2"/>
        <v>0</v>
      </c>
      <c r="I363" s="72">
        <f>IFERROR( SUMIFS('Stock In'!I:I,'Stock In'!C:C,$A363,'Stock In'!D:D,$B363,'Stock In'!E:E,$C363) / SUMIFS('Stock In'!H:H,'Stock In'!C:C,$A363,'Stock In'!D:D,$B363,'Stock In'!E:E,$C363) , 0)</f>
        <v>0</v>
      </c>
      <c r="J363" s="71">
        <f t="shared" si="3"/>
        <v>0</v>
      </c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8"/>
      <c r="B364" s="68"/>
      <c r="C364" s="68"/>
      <c r="D364" s="70">
        <f>IFERROR(SUMIFS('Stock In'!F:F,'Stock In'!C:C,$A364,'Stock In'!D:D,$B364,'Stock In'!E:E,$C364),0)</f>
        <v>0</v>
      </c>
      <c r="E364" s="70">
        <f>IFERROR(SUMIFS(Issues!H:H,Issues!C:C,$A364,Issues!D:D,$B364,Issues!E:E,$C364),0)</f>
        <v>0</v>
      </c>
      <c r="F364" s="70">
        <f>IFERROR(SUMIFS(Returns!H:H,Returns!C:C,$A364,Returns!D:D,$B364,Returns!E:E,$C364),0)</f>
        <v>0</v>
      </c>
      <c r="G364" s="70">
        <f t="shared" si="1"/>
        <v>0</v>
      </c>
      <c r="H364" s="71">
        <f t="shared" si="2"/>
        <v>0</v>
      </c>
      <c r="I364" s="72">
        <f>IFERROR( SUMIFS('Stock In'!I:I,'Stock In'!C:C,$A364,'Stock In'!D:D,$B364,'Stock In'!E:E,$C364) / SUMIFS('Stock In'!H:H,'Stock In'!C:C,$A364,'Stock In'!D:D,$B364,'Stock In'!E:E,$C364) , 0)</f>
        <v>0</v>
      </c>
      <c r="J364" s="71">
        <f t="shared" si="3"/>
        <v>0</v>
      </c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8"/>
      <c r="B365" s="68"/>
      <c r="C365" s="68"/>
      <c r="D365" s="70">
        <f>IFERROR(SUMIFS('Stock In'!F:F,'Stock In'!C:C,$A365,'Stock In'!D:D,$B365,'Stock In'!E:E,$C365),0)</f>
        <v>0</v>
      </c>
      <c r="E365" s="70">
        <f>IFERROR(SUMIFS(Issues!H:H,Issues!C:C,$A365,Issues!D:D,$B365,Issues!E:E,$C365),0)</f>
        <v>0</v>
      </c>
      <c r="F365" s="70">
        <f>IFERROR(SUMIFS(Returns!H:H,Returns!C:C,$A365,Returns!D:D,$B365,Returns!E:E,$C365),0)</f>
        <v>0</v>
      </c>
      <c r="G365" s="70">
        <f t="shared" si="1"/>
        <v>0</v>
      </c>
      <c r="H365" s="71">
        <f t="shared" si="2"/>
        <v>0</v>
      </c>
      <c r="I365" s="72">
        <f>IFERROR( SUMIFS('Stock In'!I:I,'Stock In'!C:C,$A365,'Stock In'!D:D,$B365,'Stock In'!E:E,$C365) / SUMIFS('Stock In'!H:H,'Stock In'!C:C,$A365,'Stock In'!D:D,$B365,'Stock In'!E:E,$C365) , 0)</f>
        <v>0</v>
      </c>
      <c r="J365" s="71">
        <f t="shared" si="3"/>
        <v>0</v>
      </c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8"/>
      <c r="B366" s="68"/>
      <c r="C366" s="68"/>
      <c r="D366" s="70">
        <f>IFERROR(SUMIFS('Stock In'!F:F,'Stock In'!C:C,$A366,'Stock In'!D:D,$B366,'Stock In'!E:E,$C366),0)</f>
        <v>0</v>
      </c>
      <c r="E366" s="70">
        <f>IFERROR(SUMIFS(Issues!H:H,Issues!C:C,$A366,Issues!D:D,$B366,Issues!E:E,$C366),0)</f>
        <v>0</v>
      </c>
      <c r="F366" s="70">
        <f>IFERROR(SUMIFS(Returns!H:H,Returns!C:C,$A366,Returns!D:D,$B366,Returns!E:E,$C366),0)</f>
        <v>0</v>
      </c>
      <c r="G366" s="70">
        <f t="shared" si="1"/>
        <v>0</v>
      </c>
      <c r="H366" s="71">
        <f t="shared" si="2"/>
        <v>0</v>
      </c>
      <c r="I366" s="72">
        <f>IFERROR( SUMIFS('Stock In'!I:I,'Stock In'!C:C,$A366,'Stock In'!D:D,$B366,'Stock In'!E:E,$C366) / SUMIFS('Stock In'!H:H,'Stock In'!C:C,$A366,'Stock In'!D:D,$B366,'Stock In'!E:E,$C366) , 0)</f>
        <v>0</v>
      </c>
      <c r="J366" s="71">
        <f t="shared" si="3"/>
        <v>0</v>
      </c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8"/>
      <c r="B367" s="68"/>
      <c r="C367" s="68"/>
      <c r="D367" s="70">
        <f>IFERROR(SUMIFS('Stock In'!F:F,'Stock In'!C:C,$A367,'Stock In'!D:D,$B367,'Stock In'!E:E,$C367),0)</f>
        <v>0</v>
      </c>
      <c r="E367" s="70">
        <f>IFERROR(SUMIFS(Issues!H:H,Issues!C:C,$A367,Issues!D:D,$B367,Issues!E:E,$C367),0)</f>
        <v>0</v>
      </c>
      <c r="F367" s="70">
        <f>IFERROR(SUMIFS(Returns!H:H,Returns!C:C,$A367,Returns!D:D,$B367,Returns!E:E,$C367),0)</f>
        <v>0</v>
      </c>
      <c r="G367" s="70">
        <f t="shared" si="1"/>
        <v>0</v>
      </c>
      <c r="H367" s="71">
        <f t="shared" si="2"/>
        <v>0</v>
      </c>
      <c r="I367" s="72">
        <f>IFERROR( SUMIFS('Stock In'!I:I,'Stock In'!C:C,$A367,'Stock In'!D:D,$B367,'Stock In'!E:E,$C367) / SUMIFS('Stock In'!H:H,'Stock In'!C:C,$A367,'Stock In'!D:D,$B367,'Stock In'!E:E,$C367) , 0)</f>
        <v>0</v>
      </c>
      <c r="J367" s="71">
        <f t="shared" si="3"/>
        <v>0</v>
      </c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8"/>
      <c r="B368" s="68"/>
      <c r="C368" s="68"/>
      <c r="D368" s="70">
        <f>IFERROR(SUMIFS('Stock In'!F:F,'Stock In'!C:C,$A368,'Stock In'!D:D,$B368,'Stock In'!E:E,$C368),0)</f>
        <v>0</v>
      </c>
      <c r="E368" s="70">
        <f>IFERROR(SUMIFS(Issues!H:H,Issues!C:C,$A368,Issues!D:D,$B368,Issues!E:E,$C368),0)</f>
        <v>0</v>
      </c>
      <c r="F368" s="70">
        <f>IFERROR(SUMIFS(Returns!H:H,Returns!C:C,$A368,Returns!D:D,$B368,Returns!E:E,$C368),0)</f>
        <v>0</v>
      </c>
      <c r="G368" s="70">
        <f t="shared" si="1"/>
        <v>0</v>
      </c>
      <c r="H368" s="71">
        <f t="shared" si="2"/>
        <v>0</v>
      </c>
      <c r="I368" s="72">
        <f>IFERROR( SUMIFS('Stock In'!I:I,'Stock In'!C:C,$A368,'Stock In'!D:D,$B368,'Stock In'!E:E,$C368) / SUMIFS('Stock In'!H:H,'Stock In'!C:C,$A368,'Stock In'!D:D,$B368,'Stock In'!E:E,$C368) , 0)</f>
        <v>0</v>
      </c>
      <c r="J368" s="71">
        <f t="shared" si="3"/>
        <v>0</v>
      </c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8"/>
      <c r="B369" s="68"/>
      <c r="C369" s="68"/>
      <c r="D369" s="70">
        <f>IFERROR(SUMIFS('Stock In'!F:F,'Stock In'!C:C,$A369,'Stock In'!D:D,$B369,'Stock In'!E:E,$C369),0)</f>
        <v>0</v>
      </c>
      <c r="E369" s="70">
        <f>IFERROR(SUMIFS(Issues!H:H,Issues!C:C,$A369,Issues!D:D,$B369,Issues!E:E,$C369),0)</f>
        <v>0</v>
      </c>
      <c r="F369" s="70">
        <f>IFERROR(SUMIFS(Returns!H:H,Returns!C:C,$A369,Returns!D:D,$B369,Returns!E:E,$C369),0)</f>
        <v>0</v>
      </c>
      <c r="G369" s="70">
        <f t="shared" si="1"/>
        <v>0</v>
      </c>
      <c r="H369" s="71">
        <f t="shared" si="2"/>
        <v>0</v>
      </c>
      <c r="I369" s="72">
        <f>IFERROR( SUMIFS('Stock In'!I:I,'Stock In'!C:C,$A369,'Stock In'!D:D,$B369,'Stock In'!E:E,$C369) / SUMIFS('Stock In'!H:H,'Stock In'!C:C,$A369,'Stock In'!D:D,$B369,'Stock In'!E:E,$C369) , 0)</f>
        <v>0</v>
      </c>
      <c r="J369" s="71">
        <f t="shared" si="3"/>
        <v>0</v>
      </c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8"/>
      <c r="B370" s="68"/>
      <c r="C370" s="68"/>
      <c r="D370" s="70">
        <f>IFERROR(SUMIFS('Stock In'!F:F,'Stock In'!C:C,$A370,'Stock In'!D:D,$B370,'Stock In'!E:E,$C370),0)</f>
        <v>0</v>
      </c>
      <c r="E370" s="70">
        <f>IFERROR(SUMIFS(Issues!H:H,Issues!C:C,$A370,Issues!D:D,$B370,Issues!E:E,$C370),0)</f>
        <v>0</v>
      </c>
      <c r="F370" s="70">
        <f>IFERROR(SUMIFS(Returns!H:H,Returns!C:C,$A370,Returns!D:D,$B370,Returns!E:E,$C370),0)</f>
        <v>0</v>
      </c>
      <c r="G370" s="70">
        <f t="shared" si="1"/>
        <v>0</v>
      </c>
      <c r="H370" s="71">
        <f t="shared" si="2"/>
        <v>0</v>
      </c>
      <c r="I370" s="72">
        <f>IFERROR( SUMIFS('Stock In'!I:I,'Stock In'!C:C,$A370,'Stock In'!D:D,$B370,'Stock In'!E:E,$C370) / SUMIFS('Stock In'!H:H,'Stock In'!C:C,$A370,'Stock In'!D:D,$B370,'Stock In'!E:E,$C370) , 0)</f>
        <v>0</v>
      </c>
      <c r="J370" s="71">
        <f t="shared" si="3"/>
        <v>0</v>
      </c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8"/>
      <c r="B371" s="68"/>
      <c r="C371" s="68"/>
      <c r="D371" s="70">
        <f>IFERROR(SUMIFS('Stock In'!F:F,'Stock In'!C:C,$A371,'Stock In'!D:D,$B371,'Stock In'!E:E,$C371),0)</f>
        <v>0</v>
      </c>
      <c r="E371" s="70">
        <f>IFERROR(SUMIFS(Issues!H:H,Issues!C:C,$A371,Issues!D:D,$B371,Issues!E:E,$C371),0)</f>
        <v>0</v>
      </c>
      <c r="F371" s="70">
        <f>IFERROR(SUMIFS(Returns!H:H,Returns!C:C,$A371,Returns!D:D,$B371,Returns!E:E,$C371),0)</f>
        <v>0</v>
      </c>
      <c r="G371" s="70">
        <f t="shared" si="1"/>
        <v>0</v>
      </c>
      <c r="H371" s="71">
        <f t="shared" si="2"/>
        <v>0</v>
      </c>
      <c r="I371" s="72">
        <f>IFERROR( SUMIFS('Stock In'!I:I,'Stock In'!C:C,$A371,'Stock In'!D:D,$B371,'Stock In'!E:E,$C371) / SUMIFS('Stock In'!H:H,'Stock In'!C:C,$A371,'Stock In'!D:D,$B371,'Stock In'!E:E,$C371) , 0)</f>
        <v>0</v>
      </c>
      <c r="J371" s="71">
        <f t="shared" si="3"/>
        <v>0</v>
      </c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8"/>
      <c r="B372" s="68"/>
      <c r="C372" s="68"/>
      <c r="D372" s="70">
        <f>IFERROR(SUMIFS('Stock In'!F:F,'Stock In'!C:C,$A372,'Stock In'!D:D,$B372,'Stock In'!E:E,$C372),0)</f>
        <v>0</v>
      </c>
      <c r="E372" s="70">
        <f>IFERROR(SUMIFS(Issues!H:H,Issues!C:C,$A372,Issues!D:D,$B372,Issues!E:E,$C372),0)</f>
        <v>0</v>
      </c>
      <c r="F372" s="70">
        <f>IFERROR(SUMIFS(Returns!H:H,Returns!C:C,$A372,Returns!D:D,$B372,Returns!E:E,$C372),0)</f>
        <v>0</v>
      </c>
      <c r="G372" s="70">
        <f t="shared" si="1"/>
        <v>0</v>
      </c>
      <c r="H372" s="71">
        <f t="shared" si="2"/>
        <v>0</v>
      </c>
      <c r="I372" s="72">
        <f>IFERROR( SUMIFS('Stock In'!I:I,'Stock In'!C:C,$A372,'Stock In'!D:D,$B372,'Stock In'!E:E,$C372) / SUMIFS('Stock In'!H:H,'Stock In'!C:C,$A372,'Stock In'!D:D,$B372,'Stock In'!E:E,$C372) , 0)</f>
        <v>0</v>
      </c>
      <c r="J372" s="71">
        <f t="shared" si="3"/>
        <v>0</v>
      </c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8"/>
      <c r="B373" s="68"/>
      <c r="C373" s="68"/>
      <c r="D373" s="70">
        <f>IFERROR(SUMIFS('Stock In'!F:F,'Stock In'!C:C,$A373,'Stock In'!D:D,$B373,'Stock In'!E:E,$C373),0)</f>
        <v>0</v>
      </c>
      <c r="E373" s="70">
        <f>IFERROR(SUMIFS(Issues!H:H,Issues!C:C,$A373,Issues!D:D,$B373,Issues!E:E,$C373),0)</f>
        <v>0</v>
      </c>
      <c r="F373" s="70">
        <f>IFERROR(SUMIFS(Returns!H:H,Returns!C:C,$A373,Returns!D:D,$B373,Returns!E:E,$C373),0)</f>
        <v>0</v>
      </c>
      <c r="G373" s="70">
        <f t="shared" si="1"/>
        <v>0</v>
      </c>
      <c r="H373" s="71">
        <f t="shared" si="2"/>
        <v>0</v>
      </c>
      <c r="I373" s="72">
        <f>IFERROR( SUMIFS('Stock In'!I:I,'Stock In'!C:C,$A373,'Stock In'!D:D,$B373,'Stock In'!E:E,$C373) / SUMIFS('Stock In'!H:H,'Stock In'!C:C,$A373,'Stock In'!D:D,$B373,'Stock In'!E:E,$C373) , 0)</f>
        <v>0</v>
      </c>
      <c r="J373" s="71">
        <f t="shared" si="3"/>
        <v>0</v>
      </c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8"/>
      <c r="B374" s="68"/>
      <c r="C374" s="68"/>
      <c r="D374" s="70">
        <f>IFERROR(SUMIFS('Stock In'!F:F,'Stock In'!C:C,$A374,'Stock In'!D:D,$B374,'Stock In'!E:E,$C374),0)</f>
        <v>0</v>
      </c>
      <c r="E374" s="70">
        <f>IFERROR(SUMIFS(Issues!H:H,Issues!C:C,$A374,Issues!D:D,$B374,Issues!E:E,$C374),0)</f>
        <v>0</v>
      </c>
      <c r="F374" s="70">
        <f>IFERROR(SUMIFS(Returns!H:H,Returns!C:C,$A374,Returns!D:D,$B374,Returns!E:E,$C374),0)</f>
        <v>0</v>
      </c>
      <c r="G374" s="70">
        <f t="shared" si="1"/>
        <v>0</v>
      </c>
      <c r="H374" s="71">
        <f t="shared" si="2"/>
        <v>0</v>
      </c>
      <c r="I374" s="72">
        <f>IFERROR( SUMIFS('Stock In'!I:I,'Stock In'!C:C,$A374,'Stock In'!D:D,$B374,'Stock In'!E:E,$C374) / SUMIFS('Stock In'!H:H,'Stock In'!C:C,$A374,'Stock In'!D:D,$B374,'Stock In'!E:E,$C374) , 0)</f>
        <v>0</v>
      </c>
      <c r="J374" s="71">
        <f t="shared" si="3"/>
        <v>0</v>
      </c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8"/>
      <c r="B375" s="68"/>
      <c r="C375" s="68"/>
      <c r="D375" s="70">
        <f>IFERROR(SUMIFS('Stock In'!F:F,'Stock In'!C:C,$A375,'Stock In'!D:D,$B375,'Stock In'!E:E,$C375),0)</f>
        <v>0</v>
      </c>
      <c r="E375" s="70">
        <f>IFERROR(SUMIFS(Issues!H:H,Issues!C:C,$A375,Issues!D:D,$B375,Issues!E:E,$C375),0)</f>
        <v>0</v>
      </c>
      <c r="F375" s="70">
        <f>IFERROR(SUMIFS(Returns!H:H,Returns!C:C,$A375,Returns!D:D,$B375,Returns!E:E,$C375),0)</f>
        <v>0</v>
      </c>
      <c r="G375" s="70">
        <f t="shared" si="1"/>
        <v>0</v>
      </c>
      <c r="H375" s="71">
        <f t="shared" si="2"/>
        <v>0</v>
      </c>
      <c r="I375" s="72">
        <f>IFERROR( SUMIFS('Stock In'!I:I,'Stock In'!C:C,$A375,'Stock In'!D:D,$B375,'Stock In'!E:E,$C375) / SUMIFS('Stock In'!H:H,'Stock In'!C:C,$A375,'Stock In'!D:D,$B375,'Stock In'!E:E,$C375) , 0)</f>
        <v>0</v>
      </c>
      <c r="J375" s="71">
        <f t="shared" si="3"/>
        <v>0</v>
      </c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8"/>
      <c r="B376" s="68"/>
      <c r="C376" s="68"/>
      <c r="D376" s="70">
        <f>IFERROR(SUMIFS('Stock In'!F:F,'Stock In'!C:C,$A376,'Stock In'!D:D,$B376,'Stock In'!E:E,$C376),0)</f>
        <v>0</v>
      </c>
      <c r="E376" s="70">
        <f>IFERROR(SUMIFS(Issues!H:H,Issues!C:C,$A376,Issues!D:D,$B376,Issues!E:E,$C376),0)</f>
        <v>0</v>
      </c>
      <c r="F376" s="70">
        <f>IFERROR(SUMIFS(Returns!H:H,Returns!C:C,$A376,Returns!D:D,$B376,Returns!E:E,$C376),0)</f>
        <v>0</v>
      </c>
      <c r="G376" s="70">
        <f t="shared" si="1"/>
        <v>0</v>
      </c>
      <c r="H376" s="71">
        <f t="shared" si="2"/>
        <v>0</v>
      </c>
      <c r="I376" s="72">
        <f>IFERROR( SUMIFS('Stock In'!I:I,'Stock In'!C:C,$A376,'Stock In'!D:D,$B376,'Stock In'!E:E,$C376) / SUMIFS('Stock In'!H:H,'Stock In'!C:C,$A376,'Stock In'!D:D,$B376,'Stock In'!E:E,$C376) , 0)</f>
        <v>0</v>
      </c>
      <c r="J376" s="71">
        <f t="shared" si="3"/>
        <v>0</v>
      </c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8"/>
      <c r="B377" s="68"/>
      <c r="C377" s="68"/>
      <c r="D377" s="70">
        <f>IFERROR(SUMIFS('Stock In'!F:F,'Stock In'!C:C,$A377,'Stock In'!D:D,$B377,'Stock In'!E:E,$C377),0)</f>
        <v>0</v>
      </c>
      <c r="E377" s="70">
        <f>IFERROR(SUMIFS(Issues!H:H,Issues!C:C,$A377,Issues!D:D,$B377,Issues!E:E,$C377),0)</f>
        <v>0</v>
      </c>
      <c r="F377" s="70">
        <f>IFERROR(SUMIFS(Returns!H:H,Returns!C:C,$A377,Returns!D:D,$B377,Returns!E:E,$C377),0)</f>
        <v>0</v>
      </c>
      <c r="G377" s="70">
        <f t="shared" si="1"/>
        <v>0</v>
      </c>
      <c r="H377" s="71">
        <f t="shared" si="2"/>
        <v>0</v>
      </c>
      <c r="I377" s="72">
        <f>IFERROR( SUMIFS('Stock In'!I:I,'Stock In'!C:C,$A377,'Stock In'!D:D,$B377,'Stock In'!E:E,$C377) / SUMIFS('Stock In'!H:H,'Stock In'!C:C,$A377,'Stock In'!D:D,$B377,'Stock In'!E:E,$C377) , 0)</f>
        <v>0</v>
      </c>
      <c r="J377" s="71">
        <f t="shared" si="3"/>
        <v>0</v>
      </c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8"/>
      <c r="B378" s="68"/>
      <c r="C378" s="68"/>
      <c r="D378" s="70">
        <f>IFERROR(SUMIFS('Stock In'!F:F,'Stock In'!C:C,$A378,'Stock In'!D:D,$B378,'Stock In'!E:E,$C378),0)</f>
        <v>0</v>
      </c>
      <c r="E378" s="70">
        <f>IFERROR(SUMIFS(Issues!H:H,Issues!C:C,$A378,Issues!D:D,$B378,Issues!E:E,$C378),0)</f>
        <v>0</v>
      </c>
      <c r="F378" s="70">
        <f>IFERROR(SUMIFS(Returns!H:H,Returns!C:C,$A378,Returns!D:D,$B378,Returns!E:E,$C378),0)</f>
        <v>0</v>
      </c>
      <c r="G378" s="70">
        <f t="shared" si="1"/>
        <v>0</v>
      </c>
      <c r="H378" s="71">
        <f t="shared" si="2"/>
        <v>0</v>
      </c>
      <c r="I378" s="72">
        <f>IFERROR( SUMIFS('Stock In'!I:I,'Stock In'!C:C,$A378,'Stock In'!D:D,$B378,'Stock In'!E:E,$C378) / SUMIFS('Stock In'!H:H,'Stock In'!C:C,$A378,'Stock In'!D:D,$B378,'Stock In'!E:E,$C378) , 0)</f>
        <v>0</v>
      </c>
      <c r="J378" s="71">
        <f t="shared" si="3"/>
        <v>0</v>
      </c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8"/>
      <c r="B379" s="68"/>
      <c r="C379" s="68"/>
      <c r="D379" s="70">
        <f>IFERROR(SUMIFS('Stock In'!F:F,'Stock In'!C:C,$A379,'Stock In'!D:D,$B379,'Stock In'!E:E,$C379),0)</f>
        <v>0</v>
      </c>
      <c r="E379" s="70">
        <f>IFERROR(SUMIFS(Issues!H:H,Issues!C:C,$A379,Issues!D:D,$B379,Issues!E:E,$C379),0)</f>
        <v>0</v>
      </c>
      <c r="F379" s="70">
        <f>IFERROR(SUMIFS(Returns!H:H,Returns!C:C,$A379,Returns!D:D,$B379,Returns!E:E,$C379),0)</f>
        <v>0</v>
      </c>
      <c r="G379" s="70">
        <f t="shared" si="1"/>
        <v>0</v>
      </c>
      <c r="H379" s="71">
        <f t="shared" si="2"/>
        <v>0</v>
      </c>
      <c r="I379" s="72">
        <f>IFERROR( SUMIFS('Stock In'!I:I,'Stock In'!C:C,$A379,'Stock In'!D:D,$B379,'Stock In'!E:E,$C379) / SUMIFS('Stock In'!H:H,'Stock In'!C:C,$A379,'Stock In'!D:D,$B379,'Stock In'!E:E,$C379) , 0)</f>
        <v>0</v>
      </c>
      <c r="J379" s="71">
        <f t="shared" si="3"/>
        <v>0</v>
      </c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8"/>
      <c r="B380" s="68"/>
      <c r="C380" s="68"/>
      <c r="D380" s="70">
        <f>IFERROR(SUMIFS('Stock In'!F:F,'Stock In'!C:C,$A380,'Stock In'!D:D,$B380,'Stock In'!E:E,$C380),0)</f>
        <v>0</v>
      </c>
      <c r="E380" s="70">
        <f>IFERROR(SUMIFS(Issues!H:H,Issues!C:C,$A380,Issues!D:D,$B380,Issues!E:E,$C380),0)</f>
        <v>0</v>
      </c>
      <c r="F380" s="70">
        <f>IFERROR(SUMIFS(Returns!H:H,Returns!C:C,$A380,Returns!D:D,$B380,Returns!E:E,$C380),0)</f>
        <v>0</v>
      </c>
      <c r="G380" s="70">
        <f t="shared" si="1"/>
        <v>0</v>
      </c>
      <c r="H380" s="71">
        <f t="shared" si="2"/>
        <v>0</v>
      </c>
      <c r="I380" s="72">
        <f>IFERROR( SUMIFS('Stock In'!I:I,'Stock In'!C:C,$A380,'Stock In'!D:D,$B380,'Stock In'!E:E,$C380) / SUMIFS('Stock In'!H:H,'Stock In'!C:C,$A380,'Stock In'!D:D,$B380,'Stock In'!E:E,$C380) , 0)</f>
        <v>0</v>
      </c>
      <c r="J380" s="71">
        <f t="shared" si="3"/>
        <v>0</v>
      </c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8"/>
      <c r="B381" s="68"/>
      <c r="C381" s="68"/>
      <c r="D381" s="70">
        <f>IFERROR(SUMIFS('Stock In'!F:F,'Stock In'!C:C,$A381,'Stock In'!D:D,$B381,'Stock In'!E:E,$C381),0)</f>
        <v>0</v>
      </c>
      <c r="E381" s="70">
        <f>IFERROR(SUMIFS(Issues!H:H,Issues!C:C,$A381,Issues!D:D,$B381,Issues!E:E,$C381),0)</f>
        <v>0</v>
      </c>
      <c r="F381" s="70">
        <f>IFERROR(SUMIFS(Returns!H:H,Returns!C:C,$A381,Returns!D:D,$B381,Returns!E:E,$C381),0)</f>
        <v>0</v>
      </c>
      <c r="G381" s="70">
        <f t="shared" si="1"/>
        <v>0</v>
      </c>
      <c r="H381" s="71">
        <f t="shared" si="2"/>
        <v>0</v>
      </c>
      <c r="I381" s="72">
        <f>IFERROR( SUMIFS('Stock In'!I:I,'Stock In'!C:C,$A381,'Stock In'!D:D,$B381,'Stock In'!E:E,$C381) / SUMIFS('Stock In'!H:H,'Stock In'!C:C,$A381,'Stock In'!D:D,$B381,'Stock In'!E:E,$C381) , 0)</f>
        <v>0</v>
      </c>
      <c r="J381" s="71">
        <f t="shared" si="3"/>
        <v>0</v>
      </c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8"/>
      <c r="B382" s="68"/>
      <c r="C382" s="68"/>
      <c r="D382" s="70">
        <f>IFERROR(SUMIFS('Stock In'!F:F,'Stock In'!C:C,$A382,'Stock In'!D:D,$B382,'Stock In'!E:E,$C382),0)</f>
        <v>0</v>
      </c>
      <c r="E382" s="70">
        <f>IFERROR(SUMIFS(Issues!H:H,Issues!C:C,$A382,Issues!D:D,$B382,Issues!E:E,$C382),0)</f>
        <v>0</v>
      </c>
      <c r="F382" s="70">
        <f>IFERROR(SUMIFS(Returns!H:H,Returns!C:C,$A382,Returns!D:D,$B382,Returns!E:E,$C382),0)</f>
        <v>0</v>
      </c>
      <c r="G382" s="70">
        <f t="shared" si="1"/>
        <v>0</v>
      </c>
      <c r="H382" s="71">
        <f t="shared" si="2"/>
        <v>0</v>
      </c>
      <c r="I382" s="72">
        <f>IFERROR( SUMIFS('Stock In'!I:I,'Stock In'!C:C,$A382,'Stock In'!D:D,$B382,'Stock In'!E:E,$C382) / SUMIFS('Stock In'!H:H,'Stock In'!C:C,$A382,'Stock In'!D:D,$B382,'Stock In'!E:E,$C382) , 0)</f>
        <v>0</v>
      </c>
      <c r="J382" s="71">
        <f t="shared" si="3"/>
        <v>0</v>
      </c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8"/>
      <c r="B383" s="68"/>
      <c r="C383" s="68"/>
      <c r="D383" s="70">
        <f>IFERROR(SUMIFS('Stock In'!F:F,'Stock In'!C:C,$A383,'Stock In'!D:D,$B383,'Stock In'!E:E,$C383),0)</f>
        <v>0</v>
      </c>
      <c r="E383" s="70">
        <f>IFERROR(SUMIFS(Issues!H:H,Issues!C:C,$A383,Issues!D:D,$B383,Issues!E:E,$C383),0)</f>
        <v>0</v>
      </c>
      <c r="F383" s="70">
        <f>IFERROR(SUMIFS(Returns!H:H,Returns!C:C,$A383,Returns!D:D,$B383,Returns!E:E,$C383),0)</f>
        <v>0</v>
      </c>
      <c r="G383" s="70">
        <f t="shared" si="1"/>
        <v>0</v>
      </c>
      <c r="H383" s="71">
        <f t="shared" si="2"/>
        <v>0</v>
      </c>
      <c r="I383" s="72">
        <f>IFERROR( SUMIFS('Stock In'!I:I,'Stock In'!C:C,$A383,'Stock In'!D:D,$B383,'Stock In'!E:E,$C383) / SUMIFS('Stock In'!H:H,'Stock In'!C:C,$A383,'Stock In'!D:D,$B383,'Stock In'!E:E,$C383) , 0)</f>
        <v>0</v>
      </c>
      <c r="J383" s="71">
        <f t="shared" si="3"/>
        <v>0</v>
      </c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8"/>
      <c r="B384" s="68"/>
      <c r="C384" s="68"/>
      <c r="D384" s="70">
        <f>IFERROR(SUMIFS('Stock In'!F:F,'Stock In'!C:C,$A384,'Stock In'!D:D,$B384,'Stock In'!E:E,$C384),0)</f>
        <v>0</v>
      </c>
      <c r="E384" s="70">
        <f>IFERROR(SUMIFS(Issues!H:H,Issues!C:C,$A384,Issues!D:D,$B384,Issues!E:E,$C384),0)</f>
        <v>0</v>
      </c>
      <c r="F384" s="70">
        <f>IFERROR(SUMIFS(Returns!H:H,Returns!C:C,$A384,Returns!D:D,$B384,Returns!E:E,$C384),0)</f>
        <v>0</v>
      </c>
      <c r="G384" s="70">
        <f t="shared" si="1"/>
        <v>0</v>
      </c>
      <c r="H384" s="71">
        <f t="shared" si="2"/>
        <v>0</v>
      </c>
      <c r="I384" s="72">
        <f>IFERROR( SUMIFS('Stock In'!I:I,'Stock In'!C:C,$A384,'Stock In'!D:D,$B384,'Stock In'!E:E,$C384) / SUMIFS('Stock In'!H:H,'Stock In'!C:C,$A384,'Stock In'!D:D,$B384,'Stock In'!E:E,$C384) , 0)</f>
        <v>0</v>
      </c>
      <c r="J384" s="71">
        <f t="shared" si="3"/>
        <v>0</v>
      </c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8"/>
      <c r="B385" s="68"/>
      <c r="C385" s="68"/>
      <c r="D385" s="70">
        <f>IFERROR(SUMIFS('Stock In'!F:F,'Stock In'!C:C,$A385,'Stock In'!D:D,$B385,'Stock In'!E:E,$C385),0)</f>
        <v>0</v>
      </c>
      <c r="E385" s="70">
        <f>IFERROR(SUMIFS(Issues!H:H,Issues!C:C,$A385,Issues!D:D,$B385,Issues!E:E,$C385),0)</f>
        <v>0</v>
      </c>
      <c r="F385" s="70">
        <f>IFERROR(SUMIFS(Returns!H:H,Returns!C:C,$A385,Returns!D:D,$B385,Returns!E:E,$C385),0)</f>
        <v>0</v>
      </c>
      <c r="G385" s="70">
        <f t="shared" si="1"/>
        <v>0</v>
      </c>
      <c r="H385" s="71">
        <f t="shared" si="2"/>
        <v>0</v>
      </c>
      <c r="I385" s="72">
        <f>IFERROR( SUMIFS('Stock In'!I:I,'Stock In'!C:C,$A385,'Stock In'!D:D,$B385,'Stock In'!E:E,$C385) / SUMIFS('Stock In'!H:H,'Stock In'!C:C,$A385,'Stock In'!D:D,$B385,'Stock In'!E:E,$C385) , 0)</f>
        <v>0</v>
      </c>
      <c r="J385" s="71">
        <f t="shared" si="3"/>
        <v>0</v>
      </c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8"/>
      <c r="B386" s="68"/>
      <c r="C386" s="68"/>
      <c r="D386" s="70">
        <f>IFERROR(SUMIFS('Stock In'!F:F,'Stock In'!C:C,$A386,'Stock In'!D:D,$B386,'Stock In'!E:E,$C386),0)</f>
        <v>0</v>
      </c>
      <c r="E386" s="70">
        <f>IFERROR(SUMIFS(Issues!H:H,Issues!C:C,$A386,Issues!D:D,$B386,Issues!E:E,$C386),0)</f>
        <v>0</v>
      </c>
      <c r="F386" s="70">
        <f>IFERROR(SUMIFS(Returns!H:H,Returns!C:C,$A386,Returns!D:D,$B386,Returns!E:E,$C386),0)</f>
        <v>0</v>
      </c>
      <c r="G386" s="70">
        <f t="shared" si="1"/>
        <v>0</v>
      </c>
      <c r="H386" s="71">
        <f t="shared" si="2"/>
        <v>0</v>
      </c>
      <c r="I386" s="72">
        <f>IFERROR( SUMIFS('Stock In'!I:I,'Stock In'!C:C,$A386,'Stock In'!D:D,$B386,'Stock In'!E:E,$C386) / SUMIFS('Stock In'!H:H,'Stock In'!C:C,$A386,'Stock In'!D:D,$B386,'Stock In'!E:E,$C386) , 0)</f>
        <v>0</v>
      </c>
      <c r="J386" s="71">
        <f t="shared" si="3"/>
        <v>0</v>
      </c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8"/>
      <c r="B387" s="68"/>
      <c r="C387" s="68"/>
      <c r="D387" s="70">
        <f>IFERROR(SUMIFS('Stock In'!F:F,'Stock In'!C:C,$A387,'Stock In'!D:D,$B387,'Stock In'!E:E,$C387),0)</f>
        <v>0</v>
      </c>
      <c r="E387" s="70">
        <f>IFERROR(SUMIFS(Issues!H:H,Issues!C:C,$A387,Issues!D:D,$B387,Issues!E:E,$C387),0)</f>
        <v>0</v>
      </c>
      <c r="F387" s="70">
        <f>IFERROR(SUMIFS(Returns!H:H,Returns!C:C,$A387,Returns!D:D,$B387,Returns!E:E,$C387),0)</f>
        <v>0</v>
      </c>
      <c r="G387" s="70">
        <f t="shared" si="1"/>
        <v>0</v>
      </c>
      <c r="H387" s="71">
        <f t="shared" si="2"/>
        <v>0</v>
      </c>
      <c r="I387" s="72">
        <f>IFERROR( SUMIFS('Stock In'!I:I,'Stock In'!C:C,$A387,'Stock In'!D:D,$B387,'Stock In'!E:E,$C387) / SUMIFS('Stock In'!H:H,'Stock In'!C:C,$A387,'Stock In'!D:D,$B387,'Stock In'!E:E,$C387) , 0)</f>
        <v>0</v>
      </c>
      <c r="J387" s="71">
        <f t="shared" si="3"/>
        <v>0</v>
      </c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8"/>
      <c r="B388" s="68"/>
      <c r="C388" s="68"/>
      <c r="D388" s="70">
        <f>IFERROR(SUMIFS('Stock In'!F:F,'Stock In'!C:C,$A388,'Stock In'!D:D,$B388,'Stock In'!E:E,$C388),0)</f>
        <v>0</v>
      </c>
      <c r="E388" s="70">
        <f>IFERROR(SUMIFS(Issues!H:H,Issues!C:C,$A388,Issues!D:D,$B388,Issues!E:E,$C388),0)</f>
        <v>0</v>
      </c>
      <c r="F388" s="70">
        <f>IFERROR(SUMIFS(Returns!H:H,Returns!C:C,$A388,Returns!D:D,$B388,Returns!E:E,$C388),0)</f>
        <v>0</v>
      </c>
      <c r="G388" s="70">
        <f t="shared" si="1"/>
        <v>0</v>
      </c>
      <c r="H388" s="71">
        <f t="shared" si="2"/>
        <v>0</v>
      </c>
      <c r="I388" s="72">
        <f>IFERROR( SUMIFS('Stock In'!I:I,'Stock In'!C:C,$A388,'Stock In'!D:D,$B388,'Stock In'!E:E,$C388) / SUMIFS('Stock In'!H:H,'Stock In'!C:C,$A388,'Stock In'!D:D,$B388,'Stock In'!E:E,$C388) , 0)</f>
        <v>0</v>
      </c>
      <c r="J388" s="71">
        <f t="shared" si="3"/>
        <v>0</v>
      </c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8"/>
      <c r="B389" s="68"/>
      <c r="C389" s="68"/>
      <c r="D389" s="70">
        <f>IFERROR(SUMIFS('Stock In'!F:F,'Stock In'!C:C,$A389,'Stock In'!D:D,$B389,'Stock In'!E:E,$C389),0)</f>
        <v>0</v>
      </c>
      <c r="E389" s="70">
        <f>IFERROR(SUMIFS(Issues!H:H,Issues!C:C,$A389,Issues!D:D,$B389,Issues!E:E,$C389),0)</f>
        <v>0</v>
      </c>
      <c r="F389" s="70">
        <f>IFERROR(SUMIFS(Returns!H:H,Returns!C:C,$A389,Returns!D:D,$B389,Returns!E:E,$C389),0)</f>
        <v>0</v>
      </c>
      <c r="G389" s="70">
        <f t="shared" si="1"/>
        <v>0</v>
      </c>
      <c r="H389" s="71">
        <f t="shared" si="2"/>
        <v>0</v>
      </c>
      <c r="I389" s="72">
        <f>IFERROR( SUMIFS('Stock In'!I:I,'Stock In'!C:C,$A389,'Stock In'!D:D,$B389,'Stock In'!E:E,$C389) / SUMIFS('Stock In'!H:H,'Stock In'!C:C,$A389,'Stock In'!D:D,$B389,'Stock In'!E:E,$C389) , 0)</f>
        <v>0</v>
      </c>
      <c r="J389" s="71">
        <f t="shared" si="3"/>
        <v>0</v>
      </c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8"/>
      <c r="B390" s="68"/>
      <c r="C390" s="68"/>
      <c r="D390" s="70">
        <f>IFERROR(SUMIFS('Stock In'!F:F,'Stock In'!C:C,$A390,'Stock In'!D:D,$B390,'Stock In'!E:E,$C390),0)</f>
        <v>0</v>
      </c>
      <c r="E390" s="70">
        <f>IFERROR(SUMIFS(Issues!H:H,Issues!C:C,$A390,Issues!D:D,$B390,Issues!E:E,$C390),0)</f>
        <v>0</v>
      </c>
      <c r="F390" s="70">
        <f>IFERROR(SUMIFS(Returns!H:H,Returns!C:C,$A390,Returns!D:D,$B390,Returns!E:E,$C390),0)</f>
        <v>0</v>
      </c>
      <c r="G390" s="70">
        <f t="shared" si="1"/>
        <v>0</v>
      </c>
      <c r="H390" s="71">
        <f t="shared" si="2"/>
        <v>0</v>
      </c>
      <c r="I390" s="72">
        <f>IFERROR( SUMIFS('Stock In'!I:I,'Stock In'!C:C,$A390,'Stock In'!D:D,$B390,'Stock In'!E:E,$C390) / SUMIFS('Stock In'!H:H,'Stock In'!C:C,$A390,'Stock In'!D:D,$B390,'Stock In'!E:E,$C390) , 0)</f>
        <v>0</v>
      </c>
      <c r="J390" s="71">
        <f t="shared" si="3"/>
        <v>0</v>
      </c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8"/>
      <c r="B391" s="68"/>
      <c r="C391" s="68"/>
      <c r="D391" s="70">
        <f>IFERROR(SUMIFS('Stock In'!F:F,'Stock In'!C:C,$A391,'Stock In'!D:D,$B391,'Stock In'!E:E,$C391),0)</f>
        <v>0</v>
      </c>
      <c r="E391" s="70">
        <f>IFERROR(SUMIFS(Issues!H:H,Issues!C:C,$A391,Issues!D:D,$B391,Issues!E:E,$C391),0)</f>
        <v>0</v>
      </c>
      <c r="F391" s="70">
        <f>IFERROR(SUMIFS(Returns!H:H,Returns!C:C,$A391,Returns!D:D,$B391,Returns!E:E,$C391),0)</f>
        <v>0</v>
      </c>
      <c r="G391" s="70">
        <f t="shared" si="1"/>
        <v>0</v>
      </c>
      <c r="H391" s="71">
        <f t="shared" si="2"/>
        <v>0</v>
      </c>
      <c r="I391" s="72">
        <f>IFERROR( SUMIFS('Stock In'!I:I,'Stock In'!C:C,$A391,'Stock In'!D:D,$B391,'Stock In'!E:E,$C391) / SUMIFS('Stock In'!H:H,'Stock In'!C:C,$A391,'Stock In'!D:D,$B391,'Stock In'!E:E,$C391) , 0)</f>
        <v>0</v>
      </c>
      <c r="J391" s="71">
        <f t="shared" si="3"/>
        <v>0</v>
      </c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8"/>
      <c r="B392" s="68"/>
      <c r="C392" s="68"/>
      <c r="D392" s="70">
        <f>IFERROR(SUMIFS('Stock In'!F:F,'Stock In'!C:C,$A392,'Stock In'!D:D,$B392,'Stock In'!E:E,$C392),0)</f>
        <v>0</v>
      </c>
      <c r="E392" s="70">
        <f>IFERROR(SUMIFS(Issues!H:H,Issues!C:C,$A392,Issues!D:D,$B392,Issues!E:E,$C392),0)</f>
        <v>0</v>
      </c>
      <c r="F392" s="70">
        <f>IFERROR(SUMIFS(Returns!H:H,Returns!C:C,$A392,Returns!D:D,$B392,Returns!E:E,$C392),0)</f>
        <v>0</v>
      </c>
      <c r="G392" s="70">
        <f t="shared" si="1"/>
        <v>0</v>
      </c>
      <c r="H392" s="71">
        <f t="shared" si="2"/>
        <v>0</v>
      </c>
      <c r="I392" s="72">
        <f>IFERROR( SUMIFS('Stock In'!I:I,'Stock In'!C:C,$A392,'Stock In'!D:D,$B392,'Stock In'!E:E,$C392) / SUMIFS('Stock In'!H:H,'Stock In'!C:C,$A392,'Stock In'!D:D,$B392,'Stock In'!E:E,$C392) , 0)</f>
        <v>0</v>
      </c>
      <c r="J392" s="71">
        <f t="shared" si="3"/>
        <v>0</v>
      </c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8"/>
      <c r="B393" s="68"/>
      <c r="C393" s="68"/>
      <c r="D393" s="70">
        <f>IFERROR(SUMIFS('Stock In'!F:F,'Stock In'!C:C,$A393,'Stock In'!D:D,$B393,'Stock In'!E:E,$C393),0)</f>
        <v>0</v>
      </c>
      <c r="E393" s="70">
        <f>IFERROR(SUMIFS(Issues!H:H,Issues!C:C,$A393,Issues!D:D,$B393,Issues!E:E,$C393),0)</f>
        <v>0</v>
      </c>
      <c r="F393" s="70">
        <f>IFERROR(SUMIFS(Returns!H:H,Returns!C:C,$A393,Returns!D:D,$B393,Returns!E:E,$C393),0)</f>
        <v>0</v>
      </c>
      <c r="G393" s="70">
        <f t="shared" si="1"/>
        <v>0</v>
      </c>
      <c r="H393" s="71">
        <f t="shared" si="2"/>
        <v>0</v>
      </c>
      <c r="I393" s="72">
        <f>IFERROR( SUMIFS('Stock In'!I:I,'Stock In'!C:C,$A393,'Stock In'!D:D,$B393,'Stock In'!E:E,$C393) / SUMIFS('Stock In'!H:H,'Stock In'!C:C,$A393,'Stock In'!D:D,$B393,'Stock In'!E:E,$C393) , 0)</f>
        <v>0</v>
      </c>
      <c r="J393" s="71">
        <f t="shared" si="3"/>
        <v>0</v>
      </c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8"/>
      <c r="B394" s="68"/>
      <c r="C394" s="68"/>
      <c r="D394" s="70">
        <f>IFERROR(SUMIFS('Stock In'!F:F,'Stock In'!C:C,$A394,'Stock In'!D:D,$B394,'Stock In'!E:E,$C394),0)</f>
        <v>0</v>
      </c>
      <c r="E394" s="70">
        <f>IFERROR(SUMIFS(Issues!H:H,Issues!C:C,$A394,Issues!D:D,$B394,Issues!E:E,$C394),0)</f>
        <v>0</v>
      </c>
      <c r="F394" s="70">
        <f>IFERROR(SUMIFS(Returns!H:H,Returns!C:C,$A394,Returns!D:D,$B394,Returns!E:E,$C394),0)</f>
        <v>0</v>
      </c>
      <c r="G394" s="70">
        <f t="shared" si="1"/>
        <v>0</v>
      </c>
      <c r="H394" s="71">
        <f t="shared" si="2"/>
        <v>0</v>
      </c>
      <c r="I394" s="72">
        <f>IFERROR( SUMIFS('Stock In'!I:I,'Stock In'!C:C,$A394,'Stock In'!D:D,$B394,'Stock In'!E:E,$C394) / SUMIFS('Stock In'!H:H,'Stock In'!C:C,$A394,'Stock In'!D:D,$B394,'Stock In'!E:E,$C394) , 0)</f>
        <v>0</v>
      </c>
      <c r="J394" s="71">
        <f t="shared" si="3"/>
        <v>0</v>
      </c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8"/>
      <c r="B395" s="68"/>
      <c r="C395" s="68"/>
      <c r="D395" s="70">
        <f>IFERROR(SUMIFS('Stock In'!F:F,'Stock In'!C:C,$A395,'Stock In'!D:D,$B395,'Stock In'!E:E,$C395),0)</f>
        <v>0</v>
      </c>
      <c r="E395" s="70">
        <f>IFERROR(SUMIFS(Issues!H:H,Issues!C:C,$A395,Issues!D:D,$B395,Issues!E:E,$C395),0)</f>
        <v>0</v>
      </c>
      <c r="F395" s="70">
        <f>IFERROR(SUMIFS(Returns!H:H,Returns!C:C,$A395,Returns!D:D,$B395,Returns!E:E,$C395),0)</f>
        <v>0</v>
      </c>
      <c r="G395" s="70">
        <f t="shared" si="1"/>
        <v>0</v>
      </c>
      <c r="H395" s="71">
        <f t="shared" si="2"/>
        <v>0</v>
      </c>
      <c r="I395" s="72">
        <f>IFERROR( SUMIFS('Stock In'!I:I,'Stock In'!C:C,$A395,'Stock In'!D:D,$B395,'Stock In'!E:E,$C395) / SUMIFS('Stock In'!H:H,'Stock In'!C:C,$A395,'Stock In'!D:D,$B395,'Stock In'!E:E,$C395) , 0)</f>
        <v>0</v>
      </c>
      <c r="J395" s="71">
        <f t="shared" si="3"/>
        <v>0</v>
      </c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8"/>
      <c r="B396" s="68"/>
      <c r="C396" s="68"/>
      <c r="D396" s="70">
        <f>IFERROR(SUMIFS('Stock In'!F:F,'Stock In'!C:C,$A396,'Stock In'!D:D,$B396,'Stock In'!E:E,$C396),0)</f>
        <v>0</v>
      </c>
      <c r="E396" s="70">
        <f>IFERROR(SUMIFS(Issues!H:H,Issues!C:C,$A396,Issues!D:D,$B396,Issues!E:E,$C396),0)</f>
        <v>0</v>
      </c>
      <c r="F396" s="70">
        <f>IFERROR(SUMIFS(Returns!H:H,Returns!C:C,$A396,Returns!D:D,$B396,Returns!E:E,$C396),0)</f>
        <v>0</v>
      </c>
      <c r="G396" s="70">
        <f t="shared" si="1"/>
        <v>0</v>
      </c>
      <c r="H396" s="71">
        <f t="shared" si="2"/>
        <v>0</v>
      </c>
      <c r="I396" s="72">
        <f>IFERROR( SUMIFS('Stock In'!I:I,'Stock In'!C:C,$A396,'Stock In'!D:D,$B396,'Stock In'!E:E,$C396) / SUMIFS('Stock In'!H:H,'Stock In'!C:C,$A396,'Stock In'!D:D,$B396,'Stock In'!E:E,$C396) , 0)</f>
        <v>0</v>
      </c>
      <c r="J396" s="71">
        <f t="shared" si="3"/>
        <v>0</v>
      </c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8"/>
      <c r="B397" s="68"/>
      <c r="C397" s="68"/>
      <c r="D397" s="70">
        <f>IFERROR(SUMIFS('Stock In'!F:F,'Stock In'!C:C,$A397,'Stock In'!D:D,$B397,'Stock In'!E:E,$C397),0)</f>
        <v>0</v>
      </c>
      <c r="E397" s="70">
        <f>IFERROR(SUMIFS(Issues!H:H,Issues!C:C,$A397,Issues!D:D,$B397,Issues!E:E,$C397),0)</f>
        <v>0</v>
      </c>
      <c r="F397" s="70">
        <f>IFERROR(SUMIFS(Returns!H:H,Returns!C:C,$A397,Returns!D:D,$B397,Returns!E:E,$C397),0)</f>
        <v>0</v>
      </c>
      <c r="G397" s="70">
        <f t="shared" si="1"/>
        <v>0</v>
      </c>
      <c r="H397" s="71">
        <f t="shared" si="2"/>
        <v>0</v>
      </c>
      <c r="I397" s="72">
        <f>IFERROR( SUMIFS('Stock In'!I:I,'Stock In'!C:C,$A397,'Stock In'!D:D,$B397,'Stock In'!E:E,$C397) / SUMIFS('Stock In'!H:H,'Stock In'!C:C,$A397,'Stock In'!D:D,$B397,'Stock In'!E:E,$C397) , 0)</f>
        <v>0</v>
      </c>
      <c r="J397" s="71">
        <f t="shared" si="3"/>
        <v>0</v>
      </c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8"/>
      <c r="B398" s="68"/>
      <c r="C398" s="68"/>
      <c r="D398" s="70">
        <f>IFERROR(SUMIFS('Stock In'!F:F,'Stock In'!C:C,$A398,'Stock In'!D:D,$B398,'Stock In'!E:E,$C398),0)</f>
        <v>0</v>
      </c>
      <c r="E398" s="70">
        <f>IFERROR(SUMIFS(Issues!H:H,Issues!C:C,$A398,Issues!D:D,$B398,Issues!E:E,$C398),0)</f>
        <v>0</v>
      </c>
      <c r="F398" s="70">
        <f>IFERROR(SUMIFS(Returns!H:H,Returns!C:C,$A398,Returns!D:D,$B398,Returns!E:E,$C398),0)</f>
        <v>0</v>
      </c>
      <c r="G398" s="70">
        <f t="shared" si="1"/>
        <v>0</v>
      </c>
      <c r="H398" s="71">
        <f t="shared" si="2"/>
        <v>0</v>
      </c>
      <c r="I398" s="72">
        <f>IFERROR( SUMIFS('Stock In'!I:I,'Stock In'!C:C,$A398,'Stock In'!D:D,$B398,'Stock In'!E:E,$C398) / SUMIFS('Stock In'!H:H,'Stock In'!C:C,$A398,'Stock In'!D:D,$B398,'Stock In'!E:E,$C398) , 0)</f>
        <v>0</v>
      </c>
      <c r="J398" s="71">
        <f t="shared" si="3"/>
        <v>0</v>
      </c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8"/>
      <c r="B399" s="68"/>
      <c r="C399" s="68"/>
      <c r="D399" s="70">
        <f>IFERROR(SUMIFS('Stock In'!F:F,'Stock In'!C:C,$A399,'Stock In'!D:D,$B399,'Stock In'!E:E,$C399),0)</f>
        <v>0</v>
      </c>
      <c r="E399" s="70">
        <f>IFERROR(SUMIFS(Issues!H:H,Issues!C:C,$A399,Issues!D:D,$B399,Issues!E:E,$C399),0)</f>
        <v>0</v>
      </c>
      <c r="F399" s="70">
        <f>IFERROR(SUMIFS(Returns!H:H,Returns!C:C,$A399,Returns!D:D,$B399,Returns!E:E,$C399),0)</f>
        <v>0</v>
      </c>
      <c r="G399" s="70">
        <f t="shared" si="1"/>
        <v>0</v>
      </c>
      <c r="H399" s="71">
        <f t="shared" si="2"/>
        <v>0</v>
      </c>
      <c r="I399" s="72">
        <f>IFERROR( SUMIFS('Stock In'!I:I,'Stock In'!C:C,$A399,'Stock In'!D:D,$B399,'Stock In'!E:E,$C399) / SUMIFS('Stock In'!H:H,'Stock In'!C:C,$A399,'Stock In'!D:D,$B399,'Stock In'!E:E,$C399) , 0)</f>
        <v>0</v>
      </c>
      <c r="J399" s="71">
        <f t="shared" si="3"/>
        <v>0</v>
      </c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8"/>
      <c r="B400" s="68"/>
      <c r="C400" s="68"/>
      <c r="D400" s="70">
        <f>IFERROR(SUMIFS('Stock In'!F:F,'Stock In'!C:C,$A400,'Stock In'!D:D,$B400,'Stock In'!E:E,$C400),0)</f>
        <v>0</v>
      </c>
      <c r="E400" s="70">
        <f>IFERROR(SUMIFS(Issues!H:H,Issues!C:C,$A400,Issues!D:D,$B400,Issues!E:E,$C400),0)</f>
        <v>0</v>
      </c>
      <c r="F400" s="70">
        <f>IFERROR(SUMIFS(Returns!H:H,Returns!C:C,$A400,Returns!D:D,$B400,Returns!E:E,$C400),0)</f>
        <v>0</v>
      </c>
      <c r="G400" s="70">
        <f t="shared" si="1"/>
        <v>0</v>
      </c>
      <c r="H400" s="71">
        <f t="shared" si="2"/>
        <v>0</v>
      </c>
      <c r="I400" s="72">
        <f>IFERROR( SUMIFS('Stock In'!I:I,'Stock In'!C:C,$A400,'Stock In'!D:D,$B400,'Stock In'!E:E,$C400) / SUMIFS('Stock In'!H:H,'Stock In'!C:C,$A400,'Stock In'!D:D,$B400,'Stock In'!E:E,$C400) , 0)</f>
        <v>0</v>
      </c>
      <c r="J400" s="71">
        <f t="shared" si="3"/>
        <v>0</v>
      </c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8"/>
      <c r="B401" s="68"/>
      <c r="C401" s="68"/>
      <c r="D401" s="70">
        <f>IFERROR(SUMIFS('Stock In'!F:F,'Stock In'!C:C,$A401,'Stock In'!D:D,$B401,'Stock In'!E:E,$C401),0)</f>
        <v>0</v>
      </c>
      <c r="E401" s="70">
        <f>IFERROR(SUMIFS(Issues!H:H,Issues!C:C,$A401,Issues!D:D,$B401,Issues!E:E,$C401),0)</f>
        <v>0</v>
      </c>
      <c r="F401" s="70">
        <f>IFERROR(SUMIFS(Returns!H:H,Returns!C:C,$A401,Returns!D:D,$B401,Returns!E:E,$C401),0)</f>
        <v>0</v>
      </c>
      <c r="G401" s="70">
        <f t="shared" si="1"/>
        <v>0</v>
      </c>
      <c r="H401" s="71">
        <f t="shared" si="2"/>
        <v>0</v>
      </c>
      <c r="I401" s="72">
        <f>IFERROR( SUMIFS('Stock In'!I:I,'Stock In'!C:C,$A401,'Stock In'!D:D,$B401,'Stock In'!E:E,$C401) / SUMIFS('Stock In'!H:H,'Stock In'!C:C,$A401,'Stock In'!D:D,$B401,'Stock In'!E:E,$C401) , 0)</f>
        <v>0</v>
      </c>
      <c r="J401" s="71">
        <f t="shared" si="3"/>
        <v>0</v>
      </c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8"/>
      <c r="B402" s="68"/>
      <c r="C402" s="68"/>
      <c r="D402" s="70">
        <f>IFERROR(SUMIFS('Stock In'!F:F,'Stock In'!C:C,$A402,'Stock In'!D:D,$B402,'Stock In'!E:E,$C402),0)</f>
        <v>0</v>
      </c>
      <c r="E402" s="70">
        <f>IFERROR(SUMIFS(Issues!H:H,Issues!C:C,$A402,Issues!D:D,$B402,Issues!E:E,$C402),0)</f>
        <v>0</v>
      </c>
      <c r="F402" s="70">
        <f>IFERROR(SUMIFS(Returns!H:H,Returns!C:C,$A402,Returns!D:D,$B402,Returns!E:E,$C402),0)</f>
        <v>0</v>
      </c>
      <c r="G402" s="70">
        <f t="shared" si="1"/>
        <v>0</v>
      </c>
      <c r="H402" s="71">
        <f t="shared" si="2"/>
        <v>0</v>
      </c>
      <c r="I402" s="72">
        <f>IFERROR( SUMIFS('Stock In'!I:I,'Stock In'!C:C,$A402,'Stock In'!D:D,$B402,'Stock In'!E:E,$C402) / SUMIFS('Stock In'!H:H,'Stock In'!C:C,$A402,'Stock In'!D:D,$B402,'Stock In'!E:E,$C402) , 0)</f>
        <v>0</v>
      </c>
      <c r="J402" s="71">
        <f t="shared" si="3"/>
        <v>0</v>
      </c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8"/>
      <c r="B403" s="68"/>
      <c r="C403" s="68"/>
      <c r="D403" s="70">
        <f>IFERROR(SUMIFS('Stock In'!F:F,'Stock In'!C:C,$A403,'Stock In'!D:D,$B403,'Stock In'!E:E,$C403),0)</f>
        <v>0</v>
      </c>
      <c r="E403" s="70">
        <f>IFERROR(SUMIFS(Issues!H:H,Issues!C:C,$A403,Issues!D:D,$B403,Issues!E:E,$C403),0)</f>
        <v>0</v>
      </c>
      <c r="F403" s="70">
        <f>IFERROR(SUMIFS(Returns!H:H,Returns!C:C,$A403,Returns!D:D,$B403,Returns!E:E,$C403),0)</f>
        <v>0</v>
      </c>
      <c r="G403" s="70">
        <f t="shared" si="1"/>
        <v>0</v>
      </c>
      <c r="H403" s="71">
        <f t="shared" si="2"/>
        <v>0</v>
      </c>
      <c r="I403" s="72">
        <f>IFERROR( SUMIFS('Stock In'!I:I,'Stock In'!C:C,$A403,'Stock In'!D:D,$B403,'Stock In'!E:E,$C403) / SUMIFS('Stock In'!H:H,'Stock In'!C:C,$A403,'Stock In'!D:D,$B403,'Stock In'!E:E,$C403) , 0)</f>
        <v>0</v>
      </c>
      <c r="J403" s="71">
        <f t="shared" si="3"/>
        <v>0</v>
      </c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8"/>
      <c r="B404" s="68"/>
      <c r="C404" s="68"/>
      <c r="D404" s="70">
        <f>IFERROR(SUMIFS('Stock In'!F:F,'Stock In'!C:C,$A404,'Stock In'!D:D,$B404,'Stock In'!E:E,$C404),0)</f>
        <v>0</v>
      </c>
      <c r="E404" s="70">
        <f>IFERROR(SUMIFS(Issues!H:H,Issues!C:C,$A404,Issues!D:D,$B404,Issues!E:E,$C404),0)</f>
        <v>0</v>
      </c>
      <c r="F404" s="70">
        <f>IFERROR(SUMIFS(Returns!H:H,Returns!C:C,$A404,Returns!D:D,$B404,Returns!E:E,$C404),0)</f>
        <v>0</v>
      </c>
      <c r="G404" s="70">
        <f t="shared" si="1"/>
        <v>0</v>
      </c>
      <c r="H404" s="71">
        <f t="shared" si="2"/>
        <v>0</v>
      </c>
      <c r="I404" s="72">
        <f>IFERROR( SUMIFS('Stock In'!I:I,'Stock In'!C:C,$A404,'Stock In'!D:D,$B404,'Stock In'!E:E,$C404) / SUMIFS('Stock In'!H:H,'Stock In'!C:C,$A404,'Stock In'!D:D,$B404,'Stock In'!E:E,$C404) , 0)</f>
        <v>0</v>
      </c>
      <c r="J404" s="71">
        <f t="shared" si="3"/>
        <v>0</v>
      </c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8"/>
      <c r="B405" s="68"/>
      <c r="C405" s="68"/>
      <c r="D405" s="70">
        <f>IFERROR(SUMIFS('Stock In'!F:F,'Stock In'!C:C,$A405,'Stock In'!D:D,$B405,'Stock In'!E:E,$C405),0)</f>
        <v>0</v>
      </c>
      <c r="E405" s="70">
        <f>IFERROR(SUMIFS(Issues!H:H,Issues!C:C,$A405,Issues!D:D,$B405,Issues!E:E,$C405),0)</f>
        <v>0</v>
      </c>
      <c r="F405" s="70">
        <f>IFERROR(SUMIFS(Returns!H:H,Returns!C:C,$A405,Returns!D:D,$B405,Returns!E:E,$C405),0)</f>
        <v>0</v>
      </c>
      <c r="G405" s="70">
        <f t="shared" si="1"/>
        <v>0</v>
      </c>
      <c r="H405" s="71">
        <f t="shared" si="2"/>
        <v>0</v>
      </c>
      <c r="I405" s="72">
        <f>IFERROR( SUMIFS('Stock In'!I:I,'Stock In'!C:C,$A405,'Stock In'!D:D,$B405,'Stock In'!E:E,$C405) / SUMIFS('Stock In'!H:H,'Stock In'!C:C,$A405,'Stock In'!D:D,$B405,'Stock In'!E:E,$C405) , 0)</f>
        <v>0</v>
      </c>
      <c r="J405" s="71">
        <f t="shared" si="3"/>
        <v>0</v>
      </c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8"/>
      <c r="B406" s="68"/>
      <c r="C406" s="68"/>
      <c r="D406" s="70">
        <f>IFERROR(SUMIFS('Stock In'!F:F,'Stock In'!C:C,$A406,'Stock In'!D:D,$B406,'Stock In'!E:E,$C406),0)</f>
        <v>0</v>
      </c>
      <c r="E406" s="70">
        <f>IFERROR(SUMIFS(Issues!H:H,Issues!C:C,$A406,Issues!D:D,$B406,Issues!E:E,$C406),0)</f>
        <v>0</v>
      </c>
      <c r="F406" s="70">
        <f>IFERROR(SUMIFS(Returns!H:H,Returns!C:C,$A406,Returns!D:D,$B406,Returns!E:E,$C406),0)</f>
        <v>0</v>
      </c>
      <c r="G406" s="70">
        <f t="shared" si="1"/>
        <v>0</v>
      </c>
      <c r="H406" s="71">
        <f t="shared" si="2"/>
        <v>0</v>
      </c>
      <c r="I406" s="72">
        <f>IFERROR( SUMIFS('Stock In'!I:I,'Stock In'!C:C,$A406,'Stock In'!D:D,$B406,'Stock In'!E:E,$C406) / SUMIFS('Stock In'!H:H,'Stock In'!C:C,$A406,'Stock In'!D:D,$B406,'Stock In'!E:E,$C406) , 0)</f>
        <v>0</v>
      </c>
      <c r="J406" s="71">
        <f t="shared" si="3"/>
        <v>0</v>
      </c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8"/>
      <c r="B407" s="68"/>
      <c r="C407" s="68"/>
      <c r="D407" s="70">
        <f>IFERROR(SUMIFS('Stock In'!F:F,'Stock In'!C:C,$A407,'Stock In'!D:D,$B407,'Stock In'!E:E,$C407),0)</f>
        <v>0</v>
      </c>
      <c r="E407" s="70">
        <f>IFERROR(SUMIFS(Issues!H:H,Issues!C:C,$A407,Issues!D:D,$B407,Issues!E:E,$C407),0)</f>
        <v>0</v>
      </c>
      <c r="F407" s="70">
        <f>IFERROR(SUMIFS(Returns!H:H,Returns!C:C,$A407,Returns!D:D,$B407,Returns!E:E,$C407),0)</f>
        <v>0</v>
      </c>
      <c r="G407" s="70">
        <f t="shared" si="1"/>
        <v>0</v>
      </c>
      <c r="H407" s="71">
        <f t="shared" si="2"/>
        <v>0</v>
      </c>
      <c r="I407" s="72">
        <f>IFERROR( SUMIFS('Stock In'!I:I,'Stock In'!C:C,$A407,'Stock In'!D:D,$B407,'Stock In'!E:E,$C407) / SUMIFS('Stock In'!H:H,'Stock In'!C:C,$A407,'Stock In'!D:D,$B407,'Stock In'!E:E,$C407) , 0)</f>
        <v>0</v>
      </c>
      <c r="J407" s="71">
        <f t="shared" si="3"/>
        <v>0</v>
      </c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8"/>
      <c r="B408" s="68"/>
      <c r="C408" s="68"/>
      <c r="D408" s="70">
        <f>IFERROR(SUMIFS('Stock In'!F:F,'Stock In'!C:C,$A408,'Stock In'!D:D,$B408,'Stock In'!E:E,$C408),0)</f>
        <v>0</v>
      </c>
      <c r="E408" s="70">
        <f>IFERROR(SUMIFS(Issues!H:H,Issues!C:C,$A408,Issues!D:D,$B408,Issues!E:E,$C408),0)</f>
        <v>0</v>
      </c>
      <c r="F408" s="70">
        <f>IFERROR(SUMIFS(Returns!H:H,Returns!C:C,$A408,Returns!D:D,$B408,Returns!E:E,$C408),0)</f>
        <v>0</v>
      </c>
      <c r="G408" s="70">
        <f t="shared" si="1"/>
        <v>0</v>
      </c>
      <c r="H408" s="71">
        <f t="shared" si="2"/>
        <v>0</v>
      </c>
      <c r="I408" s="72">
        <f>IFERROR( SUMIFS('Stock In'!I:I,'Stock In'!C:C,$A408,'Stock In'!D:D,$B408,'Stock In'!E:E,$C408) / SUMIFS('Stock In'!H:H,'Stock In'!C:C,$A408,'Stock In'!D:D,$B408,'Stock In'!E:E,$C408) , 0)</f>
        <v>0</v>
      </c>
      <c r="J408" s="71">
        <f t="shared" si="3"/>
        <v>0</v>
      </c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8"/>
      <c r="B409" s="68"/>
      <c r="C409" s="68"/>
      <c r="D409" s="70">
        <f>IFERROR(SUMIFS('Stock In'!F:F,'Stock In'!C:C,$A409,'Stock In'!D:D,$B409,'Stock In'!E:E,$C409),0)</f>
        <v>0</v>
      </c>
      <c r="E409" s="70">
        <f>IFERROR(SUMIFS(Issues!H:H,Issues!C:C,$A409,Issues!D:D,$B409,Issues!E:E,$C409),0)</f>
        <v>0</v>
      </c>
      <c r="F409" s="70">
        <f>IFERROR(SUMIFS(Returns!H:H,Returns!C:C,$A409,Returns!D:D,$B409,Returns!E:E,$C409),0)</f>
        <v>0</v>
      </c>
      <c r="G409" s="70">
        <f t="shared" si="1"/>
        <v>0</v>
      </c>
      <c r="H409" s="71">
        <f t="shared" si="2"/>
        <v>0</v>
      </c>
      <c r="I409" s="72">
        <f>IFERROR( SUMIFS('Stock In'!I:I,'Stock In'!C:C,$A409,'Stock In'!D:D,$B409,'Stock In'!E:E,$C409) / SUMIFS('Stock In'!H:H,'Stock In'!C:C,$A409,'Stock In'!D:D,$B409,'Stock In'!E:E,$C409) , 0)</f>
        <v>0</v>
      </c>
      <c r="J409" s="71">
        <f t="shared" si="3"/>
        <v>0</v>
      </c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8"/>
      <c r="B410" s="68"/>
      <c r="C410" s="68"/>
      <c r="D410" s="70">
        <f>IFERROR(SUMIFS('Stock In'!F:F,'Stock In'!C:C,$A410,'Stock In'!D:D,$B410,'Stock In'!E:E,$C410),0)</f>
        <v>0</v>
      </c>
      <c r="E410" s="70">
        <f>IFERROR(SUMIFS(Issues!H:H,Issues!C:C,$A410,Issues!D:D,$B410,Issues!E:E,$C410),0)</f>
        <v>0</v>
      </c>
      <c r="F410" s="70">
        <f>IFERROR(SUMIFS(Returns!H:H,Returns!C:C,$A410,Returns!D:D,$B410,Returns!E:E,$C410),0)</f>
        <v>0</v>
      </c>
      <c r="G410" s="70">
        <f t="shared" si="1"/>
        <v>0</v>
      </c>
      <c r="H410" s="71">
        <f t="shared" si="2"/>
        <v>0</v>
      </c>
      <c r="I410" s="72">
        <f>IFERROR( SUMIFS('Stock In'!I:I,'Stock In'!C:C,$A410,'Stock In'!D:D,$B410,'Stock In'!E:E,$C410) / SUMIFS('Stock In'!H:H,'Stock In'!C:C,$A410,'Stock In'!D:D,$B410,'Stock In'!E:E,$C410) , 0)</f>
        <v>0</v>
      </c>
      <c r="J410" s="71">
        <f t="shared" si="3"/>
        <v>0</v>
      </c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8"/>
      <c r="B411" s="68"/>
      <c r="C411" s="68"/>
      <c r="D411" s="70">
        <f>IFERROR(SUMIFS('Stock In'!F:F,'Stock In'!C:C,$A411,'Stock In'!D:D,$B411,'Stock In'!E:E,$C411),0)</f>
        <v>0</v>
      </c>
      <c r="E411" s="70">
        <f>IFERROR(SUMIFS(Issues!H:H,Issues!C:C,$A411,Issues!D:D,$B411,Issues!E:E,$C411),0)</f>
        <v>0</v>
      </c>
      <c r="F411" s="70">
        <f>IFERROR(SUMIFS(Returns!H:H,Returns!C:C,$A411,Returns!D:D,$B411,Returns!E:E,$C411),0)</f>
        <v>0</v>
      </c>
      <c r="G411" s="70">
        <f t="shared" si="1"/>
        <v>0</v>
      </c>
      <c r="H411" s="71">
        <f t="shared" si="2"/>
        <v>0</v>
      </c>
      <c r="I411" s="72">
        <f>IFERROR( SUMIFS('Stock In'!I:I,'Stock In'!C:C,$A411,'Stock In'!D:D,$B411,'Stock In'!E:E,$C411) / SUMIFS('Stock In'!H:H,'Stock In'!C:C,$A411,'Stock In'!D:D,$B411,'Stock In'!E:E,$C411) , 0)</f>
        <v>0</v>
      </c>
      <c r="J411" s="71">
        <f t="shared" si="3"/>
        <v>0</v>
      </c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8"/>
      <c r="B412" s="68"/>
      <c r="C412" s="68"/>
      <c r="D412" s="70">
        <f>IFERROR(SUMIFS('Stock In'!F:F,'Stock In'!C:C,$A412,'Stock In'!D:D,$B412,'Stock In'!E:E,$C412),0)</f>
        <v>0</v>
      </c>
      <c r="E412" s="70">
        <f>IFERROR(SUMIFS(Issues!H:H,Issues!C:C,$A412,Issues!D:D,$B412,Issues!E:E,$C412),0)</f>
        <v>0</v>
      </c>
      <c r="F412" s="70">
        <f>IFERROR(SUMIFS(Returns!H:H,Returns!C:C,$A412,Returns!D:D,$B412,Returns!E:E,$C412),0)</f>
        <v>0</v>
      </c>
      <c r="G412" s="70">
        <f t="shared" si="1"/>
        <v>0</v>
      </c>
      <c r="H412" s="71">
        <f t="shared" si="2"/>
        <v>0</v>
      </c>
      <c r="I412" s="72">
        <f>IFERROR( SUMIFS('Stock In'!I:I,'Stock In'!C:C,$A412,'Stock In'!D:D,$B412,'Stock In'!E:E,$C412) / SUMIFS('Stock In'!H:H,'Stock In'!C:C,$A412,'Stock In'!D:D,$B412,'Stock In'!E:E,$C412) , 0)</f>
        <v>0</v>
      </c>
      <c r="J412" s="71">
        <f t="shared" si="3"/>
        <v>0</v>
      </c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8"/>
      <c r="B413" s="68"/>
      <c r="C413" s="68"/>
      <c r="D413" s="70">
        <f>IFERROR(SUMIFS('Stock In'!F:F,'Stock In'!C:C,$A413,'Stock In'!D:D,$B413,'Stock In'!E:E,$C413),0)</f>
        <v>0</v>
      </c>
      <c r="E413" s="70">
        <f>IFERROR(SUMIFS(Issues!H:H,Issues!C:C,$A413,Issues!D:D,$B413,Issues!E:E,$C413),0)</f>
        <v>0</v>
      </c>
      <c r="F413" s="70">
        <f>IFERROR(SUMIFS(Returns!H:H,Returns!C:C,$A413,Returns!D:D,$B413,Returns!E:E,$C413),0)</f>
        <v>0</v>
      </c>
      <c r="G413" s="70">
        <f t="shared" si="1"/>
        <v>0</v>
      </c>
      <c r="H413" s="71">
        <f t="shared" si="2"/>
        <v>0</v>
      </c>
      <c r="I413" s="72">
        <f>IFERROR( SUMIFS('Stock In'!I:I,'Stock In'!C:C,$A413,'Stock In'!D:D,$B413,'Stock In'!E:E,$C413) / SUMIFS('Stock In'!H:H,'Stock In'!C:C,$A413,'Stock In'!D:D,$B413,'Stock In'!E:E,$C413) , 0)</f>
        <v>0</v>
      </c>
      <c r="J413" s="71">
        <f t="shared" si="3"/>
        <v>0</v>
      </c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8"/>
      <c r="B414" s="68"/>
      <c r="C414" s="68"/>
      <c r="D414" s="70">
        <f>IFERROR(SUMIFS('Stock In'!F:F,'Stock In'!C:C,$A414,'Stock In'!D:D,$B414,'Stock In'!E:E,$C414),0)</f>
        <v>0</v>
      </c>
      <c r="E414" s="70">
        <f>IFERROR(SUMIFS(Issues!H:H,Issues!C:C,$A414,Issues!D:D,$B414,Issues!E:E,$C414),0)</f>
        <v>0</v>
      </c>
      <c r="F414" s="70">
        <f>IFERROR(SUMIFS(Returns!H:H,Returns!C:C,$A414,Returns!D:D,$B414,Returns!E:E,$C414),0)</f>
        <v>0</v>
      </c>
      <c r="G414" s="70">
        <f t="shared" si="1"/>
        <v>0</v>
      </c>
      <c r="H414" s="71">
        <f t="shared" si="2"/>
        <v>0</v>
      </c>
      <c r="I414" s="72">
        <f>IFERROR( SUMIFS('Stock In'!I:I,'Stock In'!C:C,$A414,'Stock In'!D:D,$B414,'Stock In'!E:E,$C414) / SUMIFS('Stock In'!H:H,'Stock In'!C:C,$A414,'Stock In'!D:D,$B414,'Stock In'!E:E,$C414) , 0)</f>
        <v>0</v>
      </c>
      <c r="J414" s="71">
        <f t="shared" si="3"/>
        <v>0</v>
      </c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8"/>
      <c r="B415" s="68"/>
      <c r="C415" s="68"/>
      <c r="D415" s="70">
        <f>IFERROR(SUMIFS('Stock In'!F:F,'Stock In'!C:C,$A415,'Stock In'!D:D,$B415,'Stock In'!E:E,$C415),0)</f>
        <v>0</v>
      </c>
      <c r="E415" s="70">
        <f>IFERROR(SUMIFS(Issues!H:H,Issues!C:C,$A415,Issues!D:D,$B415,Issues!E:E,$C415),0)</f>
        <v>0</v>
      </c>
      <c r="F415" s="70">
        <f>IFERROR(SUMIFS(Returns!H:H,Returns!C:C,$A415,Returns!D:D,$B415,Returns!E:E,$C415),0)</f>
        <v>0</v>
      </c>
      <c r="G415" s="70">
        <f t="shared" si="1"/>
        <v>0</v>
      </c>
      <c r="H415" s="71">
        <f t="shared" si="2"/>
        <v>0</v>
      </c>
      <c r="I415" s="72">
        <f>IFERROR( SUMIFS('Stock In'!I:I,'Stock In'!C:C,$A415,'Stock In'!D:D,$B415,'Stock In'!E:E,$C415) / SUMIFS('Stock In'!H:H,'Stock In'!C:C,$A415,'Stock In'!D:D,$B415,'Stock In'!E:E,$C415) , 0)</f>
        <v>0</v>
      </c>
      <c r="J415" s="71">
        <f t="shared" si="3"/>
        <v>0</v>
      </c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8"/>
      <c r="B416" s="68"/>
      <c r="C416" s="68"/>
      <c r="D416" s="70">
        <f>IFERROR(SUMIFS('Stock In'!F:F,'Stock In'!C:C,$A416,'Stock In'!D:D,$B416,'Stock In'!E:E,$C416),0)</f>
        <v>0</v>
      </c>
      <c r="E416" s="70">
        <f>IFERROR(SUMIFS(Issues!H:H,Issues!C:C,$A416,Issues!D:D,$B416,Issues!E:E,$C416),0)</f>
        <v>0</v>
      </c>
      <c r="F416" s="70">
        <f>IFERROR(SUMIFS(Returns!H:H,Returns!C:C,$A416,Returns!D:D,$B416,Returns!E:E,$C416),0)</f>
        <v>0</v>
      </c>
      <c r="G416" s="70">
        <f t="shared" si="1"/>
        <v>0</v>
      </c>
      <c r="H416" s="71">
        <f t="shared" si="2"/>
        <v>0</v>
      </c>
      <c r="I416" s="72">
        <f>IFERROR( SUMIFS('Stock In'!I:I,'Stock In'!C:C,$A416,'Stock In'!D:D,$B416,'Stock In'!E:E,$C416) / SUMIFS('Stock In'!H:H,'Stock In'!C:C,$A416,'Stock In'!D:D,$B416,'Stock In'!E:E,$C416) , 0)</f>
        <v>0</v>
      </c>
      <c r="J416" s="71">
        <f t="shared" si="3"/>
        <v>0</v>
      </c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8"/>
      <c r="B417" s="68"/>
      <c r="C417" s="68"/>
      <c r="D417" s="70">
        <f>IFERROR(SUMIFS('Stock In'!F:F,'Stock In'!C:C,$A417,'Stock In'!D:D,$B417,'Stock In'!E:E,$C417),0)</f>
        <v>0</v>
      </c>
      <c r="E417" s="70">
        <f>IFERROR(SUMIFS(Issues!H:H,Issues!C:C,$A417,Issues!D:D,$B417,Issues!E:E,$C417),0)</f>
        <v>0</v>
      </c>
      <c r="F417" s="70">
        <f>IFERROR(SUMIFS(Returns!H:H,Returns!C:C,$A417,Returns!D:D,$B417,Returns!E:E,$C417),0)</f>
        <v>0</v>
      </c>
      <c r="G417" s="70">
        <f t="shared" si="1"/>
        <v>0</v>
      </c>
      <c r="H417" s="71">
        <f t="shared" si="2"/>
        <v>0</v>
      </c>
      <c r="I417" s="72">
        <f>IFERROR( SUMIFS('Stock In'!I:I,'Stock In'!C:C,$A417,'Stock In'!D:D,$B417,'Stock In'!E:E,$C417) / SUMIFS('Stock In'!H:H,'Stock In'!C:C,$A417,'Stock In'!D:D,$B417,'Stock In'!E:E,$C417) , 0)</f>
        <v>0</v>
      </c>
      <c r="J417" s="71">
        <f t="shared" si="3"/>
        <v>0</v>
      </c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8"/>
      <c r="B418" s="68"/>
      <c r="C418" s="68"/>
      <c r="D418" s="70">
        <f>IFERROR(SUMIFS('Stock In'!F:F,'Stock In'!C:C,$A418,'Stock In'!D:D,$B418,'Stock In'!E:E,$C418),0)</f>
        <v>0</v>
      </c>
      <c r="E418" s="70">
        <f>IFERROR(SUMIFS(Issues!H:H,Issues!C:C,$A418,Issues!D:D,$B418,Issues!E:E,$C418),0)</f>
        <v>0</v>
      </c>
      <c r="F418" s="70">
        <f>IFERROR(SUMIFS(Returns!H:H,Returns!C:C,$A418,Returns!D:D,$B418,Returns!E:E,$C418),0)</f>
        <v>0</v>
      </c>
      <c r="G418" s="70">
        <f t="shared" si="1"/>
        <v>0</v>
      </c>
      <c r="H418" s="71">
        <f t="shared" si="2"/>
        <v>0</v>
      </c>
      <c r="I418" s="72">
        <f>IFERROR( SUMIFS('Stock In'!I:I,'Stock In'!C:C,$A418,'Stock In'!D:D,$B418,'Stock In'!E:E,$C418) / SUMIFS('Stock In'!H:H,'Stock In'!C:C,$A418,'Stock In'!D:D,$B418,'Stock In'!E:E,$C418) , 0)</f>
        <v>0</v>
      </c>
      <c r="J418" s="71">
        <f t="shared" si="3"/>
        <v>0</v>
      </c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8"/>
      <c r="B419" s="68"/>
      <c r="C419" s="68"/>
      <c r="D419" s="70">
        <f>IFERROR(SUMIFS('Stock In'!F:F,'Stock In'!C:C,$A419,'Stock In'!D:D,$B419,'Stock In'!E:E,$C419),0)</f>
        <v>0</v>
      </c>
      <c r="E419" s="70">
        <f>IFERROR(SUMIFS(Issues!H:H,Issues!C:C,$A419,Issues!D:D,$B419,Issues!E:E,$C419),0)</f>
        <v>0</v>
      </c>
      <c r="F419" s="70">
        <f>IFERROR(SUMIFS(Returns!H:H,Returns!C:C,$A419,Returns!D:D,$B419,Returns!E:E,$C419),0)</f>
        <v>0</v>
      </c>
      <c r="G419" s="70">
        <f t="shared" si="1"/>
        <v>0</v>
      </c>
      <c r="H419" s="71">
        <f t="shared" si="2"/>
        <v>0</v>
      </c>
      <c r="I419" s="72">
        <f>IFERROR( SUMIFS('Stock In'!I:I,'Stock In'!C:C,$A419,'Stock In'!D:D,$B419,'Stock In'!E:E,$C419) / SUMIFS('Stock In'!H:H,'Stock In'!C:C,$A419,'Stock In'!D:D,$B419,'Stock In'!E:E,$C419) , 0)</f>
        <v>0</v>
      </c>
      <c r="J419" s="71">
        <f t="shared" si="3"/>
        <v>0</v>
      </c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8"/>
      <c r="B420" s="68"/>
      <c r="C420" s="68"/>
      <c r="D420" s="70">
        <f>IFERROR(SUMIFS('Stock In'!F:F,'Stock In'!C:C,$A420,'Stock In'!D:D,$B420,'Stock In'!E:E,$C420),0)</f>
        <v>0</v>
      </c>
      <c r="E420" s="70">
        <f>IFERROR(SUMIFS(Issues!H:H,Issues!C:C,$A420,Issues!D:D,$B420,Issues!E:E,$C420),0)</f>
        <v>0</v>
      </c>
      <c r="F420" s="70">
        <f>IFERROR(SUMIFS(Returns!H:H,Returns!C:C,$A420,Returns!D:D,$B420,Returns!E:E,$C420),0)</f>
        <v>0</v>
      </c>
      <c r="G420" s="70">
        <f t="shared" si="1"/>
        <v>0</v>
      </c>
      <c r="H420" s="71">
        <f t="shared" si="2"/>
        <v>0</v>
      </c>
      <c r="I420" s="72">
        <f>IFERROR( SUMIFS('Stock In'!I:I,'Stock In'!C:C,$A420,'Stock In'!D:D,$B420,'Stock In'!E:E,$C420) / SUMIFS('Stock In'!H:H,'Stock In'!C:C,$A420,'Stock In'!D:D,$B420,'Stock In'!E:E,$C420) , 0)</f>
        <v>0</v>
      </c>
      <c r="J420" s="71">
        <f t="shared" si="3"/>
        <v>0</v>
      </c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8"/>
      <c r="B421" s="68"/>
      <c r="C421" s="68"/>
      <c r="D421" s="70">
        <f>IFERROR(SUMIFS('Stock In'!F:F,'Stock In'!C:C,$A421,'Stock In'!D:D,$B421,'Stock In'!E:E,$C421),0)</f>
        <v>0</v>
      </c>
      <c r="E421" s="70">
        <f>IFERROR(SUMIFS(Issues!H:H,Issues!C:C,$A421,Issues!D:D,$B421,Issues!E:E,$C421),0)</f>
        <v>0</v>
      </c>
      <c r="F421" s="70">
        <f>IFERROR(SUMIFS(Returns!H:H,Returns!C:C,$A421,Returns!D:D,$B421,Returns!E:E,$C421),0)</f>
        <v>0</v>
      </c>
      <c r="G421" s="70">
        <f t="shared" si="1"/>
        <v>0</v>
      </c>
      <c r="H421" s="71">
        <f t="shared" si="2"/>
        <v>0</v>
      </c>
      <c r="I421" s="72">
        <f>IFERROR( SUMIFS('Stock In'!I:I,'Stock In'!C:C,$A421,'Stock In'!D:D,$B421,'Stock In'!E:E,$C421) / SUMIFS('Stock In'!H:H,'Stock In'!C:C,$A421,'Stock In'!D:D,$B421,'Stock In'!E:E,$C421) , 0)</f>
        <v>0</v>
      </c>
      <c r="J421" s="71">
        <f t="shared" si="3"/>
        <v>0</v>
      </c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8"/>
      <c r="B422" s="68"/>
      <c r="C422" s="68"/>
      <c r="D422" s="70">
        <f>IFERROR(SUMIFS('Stock In'!F:F,'Stock In'!C:C,$A422,'Stock In'!D:D,$B422,'Stock In'!E:E,$C422),0)</f>
        <v>0</v>
      </c>
      <c r="E422" s="70">
        <f>IFERROR(SUMIFS(Issues!H:H,Issues!C:C,$A422,Issues!D:D,$B422,Issues!E:E,$C422),0)</f>
        <v>0</v>
      </c>
      <c r="F422" s="70">
        <f>IFERROR(SUMIFS(Returns!H:H,Returns!C:C,$A422,Returns!D:D,$B422,Returns!E:E,$C422),0)</f>
        <v>0</v>
      </c>
      <c r="G422" s="70">
        <f t="shared" si="1"/>
        <v>0</v>
      </c>
      <c r="H422" s="71">
        <f t="shared" si="2"/>
        <v>0</v>
      </c>
      <c r="I422" s="72">
        <f>IFERROR( SUMIFS('Stock In'!I:I,'Stock In'!C:C,$A422,'Stock In'!D:D,$B422,'Stock In'!E:E,$C422) / SUMIFS('Stock In'!H:H,'Stock In'!C:C,$A422,'Stock In'!D:D,$B422,'Stock In'!E:E,$C422) , 0)</f>
        <v>0</v>
      </c>
      <c r="J422" s="71">
        <f t="shared" si="3"/>
        <v>0</v>
      </c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8"/>
      <c r="B423" s="68"/>
      <c r="C423" s="68"/>
      <c r="D423" s="70">
        <f>IFERROR(SUMIFS('Stock In'!F:F,'Stock In'!C:C,$A423,'Stock In'!D:D,$B423,'Stock In'!E:E,$C423),0)</f>
        <v>0</v>
      </c>
      <c r="E423" s="70">
        <f>IFERROR(SUMIFS(Issues!H:H,Issues!C:C,$A423,Issues!D:D,$B423,Issues!E:E,$C423),0)</f>
        <v>0</v>
      </c>
      <c r="F423" s="70">
        <f>IFERROR(SUMIFS(Returns!H:H,Returns!C:C,$A423,Returns!D:D,$B423,Returns!E:E,$C423),0)</f>
        <v>0</v>
      </c>
      <c r="G423" s="70">
        <f t="shared" si="1"/>
        <v>0</v>
      </c>
      <c r="H423" s="71">
        <f t="shared" si="2"/>
        <v>0</v>
      </c>
      <c r="I423" s="72">
        <f>IFERROR( SUMIFS('Stock In'!I:I,'Stock In'!C:C,$A423,'Stock In'!D:D,$B423,'Stock In'!E:E,$C423) / SUMIFS('Stock In'!H:H,'Stock In'!C:C,$A423,'Stock In'!D:D,$B423,'Stock In'!E:E,$C423) , 0)</f>
        <v>0</v>
      </c>
      <c r="J423" s="71">
        <f t="shared" si="3"/>
        <v>0</v>
      </c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8"/>
      <c r="B424" s="68"/>
      <c r="C424" s="68"/>
      <c r="D424" s="70">
        <f>IFERROR(SUMIFS('Stock In'!F:F,'Stock In'!C:C,$A424,'Stock In'!D:D,$B424,'Stock In'!E:E,$C424),0)</f>
        <v>0</v>
      </c>
      <c r="E424" s="70">
        <f>IFERROR(SUMIFS(Issues!H:H,Issues!C:C,$A424,Issues!D:D,$B424,Issues!E:E,$C424),0)</f>
        <v>0</v>
      </c>
      <c r="F424" s="70">
        <f>IFERROR(SUMIFS(Returns!H:H,Returns!C:C,$A424,Returns!D:D,$B424,Returns!E:E,$C424),0)</f>
        <v>0</v>
      </c>
      <c r="G424" s="70">
        <f t="shared" si="1"/>
        <v>0</v>
      </c>
      <c r="H424" s="71">
        <f t="shared" si="2"/>
        <v>0</v>
      </c>
      <c r="I424" s="72">
        <f>IFERROR( SUMIFS('Stock In'!I:I,'Stock In'!C:C,$A424,'Stock In'!D:D,$B424,'Stock In'!E:E,$C424) / SUMIFS('Stock In'!H:H,'Stock In'!C:C,$A424,'Stock In'!D:D,$B424,'Stock In'!E:E,$C424) , 0)</f>
        <v>0</v>
      </c>
      <c r="J424" s="71">
        <f t="shared" si="3"/>
        <v>0</v>
      </c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8"/>
      <c r="B425" s="68"/>
      <c r="C425" s="68"/>
      <c r="D425" s="70">
        <f>IFERROR(SUMIFS('Stock In'!F:F,'Stock In'!C:C,$A425,'Stock In'!D:D,$B425,'Stock In'!E:E,$C425),0)</f>
        <v>0</v>
      </c>
      <c r="E425" s="70">
        <f>IFERROR(SUMIFS(Issues!H:H,Issues!C:C,$A425,Issues!D:D,$B425,Issues!E:E,$C425),0)</f>
        <v>0</v>
      </c>
      <c r="F425" s="70">
        <f>IFERROR(SUMIFS(Returns!H:H,Returns!C:C,$A425,Returns!D:D,$B425,Returns!E:E,$C425),0)</f>
        <v>0</v>
      </c>
      <c r="G425" s="70">
        <f t="shared" si="1"/>
        <v>0</v>
      </c>
      <c r="H425" s="71">
        <f t="shared" si="2"/>
        <v>0</v>
      </c>
      <c r="I425" s="72">
        <f>IFERROR( SUMIFS('Stock In'!I:I,'Stock In'!C:C,$A425,'Stock In'!D:D,$B425,'Stock In'!E:E,$C425) / SUMIFS('Stock In'!H:H,'Stock In'!C:C,$A425,'Stock In'!D:D,$B425,'Stock In'!E:E,$C425) , 0)</f>
        <v>0</v>
      </c>
      <c r="J425" s="71">
        <f t="shared" si="3"/>
        <v>0</v>
      </c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8"/>
      <c r="B426" s="68"/>
      <c r="C426" s="68"/>
      <c r="D426" s="70">
        <f>IFERROR(SUMIFS('Stock In'!F:F,'Stock In'!C:C,$A426,'Stock In'!D:D,$B426,'Stock In'!E:E,$C426),0)</f>
        <v>0</v>
      </c>
      <c r="E426" s="70">
        <f>IFERROR(SUMIFS(Issues!H:H,Issues!C:C,$A426,Issues!D:D,$B426,Issues!E:E,$C426),0)</f>
        <v>0</v>
      </c>
      <c r="F426" s="70">
        <f>IFERROR(SUMIFS(Returns!H:H,Returns!C:C,$A426,Returns!D:D,$B426,Returns!E:E,$C426),0)</f>
        <v>0</v>
      </c>
      <c r="G426" s="70">
        <f t="shared" si="1"/>
        <v>0</v>
      </c>
      <c r="H426" s="71">
        <f t="shared" si="2"/>
        <v>0</v>
      </c>
      <c r="I426" s="72">
        <f>IFERROR( SUMIFS('Stock In'!I:I,'Stock In'!C:C,$A426,'Stock In'!D:D,$B426,'Stock In'!E:E,$C426) / SUMIFS('Stock In'!H:H,'Stock In'!C:C,$A426,'Stock In'!D:D,$B426,'Stock In'!E:E,$C426) , 0)</f>
        <v>0</v>
      </c>
      <c r="J426" s="71">
        <f t="shared" si="3"/>
        <v>0</v>
      </c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8"/>
      <c r="B427" s="68"/>
      <c r="C427" s="68"/>
      <c r="D427" s="70">
        <f>IFERROR(SUMIFS('Stock In'!F:F,'Stock In'!C:C,$A427,'Stock In'!D:D,$B427,'Stock In'!E:E,$C427),0)</f>
        <v>0</v>
      </c>
      <c r="E427" s="70">
        <f>IFERROR(SUMIFS(Issues!H:H,Issues!C:C,$A427,Issues!D:D,$B427,Issues!E:E,$C427),0)</f>
        <v>0</v>
      </c>
      <c r="F427" s="70">
        <f>IFERROR(SUMIFS(Returns!H:H,Returns!C:C,$A427,Returns!D:D,$B427,Returns!E:E,$C427),0)</f>
        <v>0</v>
      </c>
      <c r="G427" s="70">
        <f t="shared" si="1"/>
        <v>0</v>
      </c>
      <c r="H427" s="71">
        <f t="shared" si="2"/>
        <v>0</v>
      </c>
      <c r="I427" s="72">
        <f>IFERROR( SUMIFS('Stock In'!I:I,'Stock In'!C:C,$A427,'Stock In'!D:D,$B427,'Stock In'!E:E,$C427) / SUMIFS('Stock In'!H:H,'Stock In'!C:C,$A427,'Stock In'!D:D,$B427,'Stock In'!E:E,$C427) , 0)</f>
        <v>0</v>
      </c>
      <c r="J427" s="71">
        <f t="shared" si="3"/>
        <v>0</v>
      </c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8"/>
      <c r="B428" s="68"/>
      <c r="C428" s="68"/>
      <c r="D428" s="70">
        <f>IFERROR(SUMIFS('Stock In'!F:F,'Stock In'!C:C,$A428,'Stock In'!D:D,$B428,'Stock In'!E:E,$C428),0)</f>
        <v>0</v>
      </c>
      <c r="E428" s="70">
        <f>IFERROR(SUMIFS(Issues!H:H,Issues!C:C,$A428,Issues!D:D,$B428,Issues!E:E,$C428),0)</f>
        <v>0</v>
      </c>
      <c r="F428" s="70">
        <f>IFERROR(SUMIFS(Returns!H:H,Returns!C:C,$A428,Returns!D:D,$B428,Returns!E:E,$C428),0)</f>
        <v>0</v>
      </c>
      <c r="G428" s="70">
        <f t="shared" si="1"/>
        <v>0</v>
      </c>
      <c r="H428" s="71">
        <f t="shared" si="2"/>
        <v>0</v>
      </c>
      <c r="I428" s="72">
        <f>IFERROR( SUMIFS('Stock In'!I:I,'Stock In'!C:C,$A428,'Stock In'!D:D,$B428,'Stock In'!E:E,$C428) / SUMIFS('Stock In'!H:H,'Stock In'!C:C,$A428,'Stock In'!D:D,$B428,'Stock In'!E:E,$C428) , 0)</f>
        <v>0</v>
      </c>
      <c r="J428" s="71">
        <f t="shared" si="3"/>
        <v>0</v>
      </c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8"/>
      <c r="B429" s="68"/>
      <c r="C429" s="68"/>
      <c r="D429" s="70">
        <f>IFERROR(SUMIFS('Stock In'!F:F,'Stock In'!C:C,$A429,'Stock In'!D:D,$B429,'Stock In'!E:E,$C429),0)</f>
        <v>0</v>
      </c>
      <c r="E429" s="70">
        <f>IFERROR(SUMIFS(Issues!H:H,Issues!C:C,$A429,Issues!D:D,$B429,Issues!E:E,$C429),0)</f>
        <v>0</v>
      </c>
      <c r="F429" s="70">
        <f>IFERROR(SUMIFS(Returns!H:H,Returns!C:C,$A429,Returns!D:D,$B429,Returns!E:E,$C429),0)</f>
        <v>0</v>
      </c>
      <c r="G429" s="70">
        <f t="shared" si="1"/>
        <v>0</v>
      </c>
      <c r="H429" s="71">
        <f t="shared" si="2"/>
        <v>0</v>
      </c>
      <c r="I429" s="72">
        <f>IFERROR( SUMIFS('Stock In'!I:I,'Stock In'!C:C,$A429,'Stock In'!D:D,$B429,'Stock In'!E:E,$C429) / SUMIFS('Stock In'!H:H,'Stock In'!C:C,$A429,'Stock In'!D:D,$B429,'Stock In'!E:E,$C429) , 0)</f>
        <v>0</v>
      </c>
      <c r="J429" s="71">
        <f t="shared" si="3"/>
        <v>0</v>
      </c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8"/>
      <c r="B430" s="68"/>
      <c r="C430" s="68"/>
      <c r="D430" s="70">
        <f>IFERROR(SUMIFS('Stock In'!F:F,'Stock In'!C:C,$A430,'Stock In'!D:D,$B430,'Stock In'!E:E,$C430),0)</f>
        <v>0</v>
      </c>
      <c r="E430" s="70">
        <f>IFERROR(SUMIFS(Issues!H:H,Issues!C:C,$A430,Issues!D:D,$B430,Issues!E:E,$C430),0)</f>
        <v>0</v>
      </c>
      <c r="F430" s="70">
        <f>IFERROR(SUMIFS(Returns!H:H,Returns!C:C,$A430,Returns!D:D,$B430,Returns!E:E,$C430),0)</f>
        <v>0</v>
      </c>
      <c r="G430" s="70">
        <f t="shared" si="1"/>
        <v>0</v>
      </c>
      <c r="H430" s="71">
        <f t="shared" si="2"/>
        <v>0</v>
      </c>
      <c r="I430" s="72">
        <f>IFERROR( SUMIFS('Stock In'!I:I,'Stock In'!C:C,$A430,'Stock In'!D:D,$B430,'Stock In'!E:E,$C430) / SUMIFS('Stock In'!H:H,'Stock In'!C:C,$A430,'Stock In'!D:D,$B430,'Stock In'!E:E,$C430) , 0)</f>
        <v>0</v>
      </c>
      <c r="J430" s="71">
        <f t="shared" si="3"/>
        <v>0</v>
      </c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8"/>
      <c r="B431" s="68"/>
      <c r="C431" s="68"/>
      <c r="D431" s="70">
        <f>IFERROR(SUMIFS('Stock In'!F:F,'Stock In'!C:C,$A431,'Stock In'!D:D,$B431,'Stock In'!E:E,$C431),0)</f>
        <v>0</v>
      </c>
      <c r="E431" s="70">
        <f>IFERROR(SUMIFS(Issues!H:H,Issues!C:C,$A431,Issues!D:D,$B431,Issues!E:E,$C431),0)</f>
        <v>0</v>
      </c>
      <c r="F431" s="70">
        <f>IFERROR(SUMIFS(Returns!H:H,Returns!C:C,$A431,Returns!D:D,$B431,Returns!E:E,$C431),0)</f>
        <v>0</v>
      </c>
      <c r="G431" s="70">
        <f t="shared" si="1"/>
        <v>0</v>
      </c>
      <c r="H431" s="71">
        <f t="shared" si="2"/>
        <v>0</v>
      </c>
      <c r="I431" s="72">
        <f>IFERROR( SUMIFS('Stock In'!I:I,'Stock In'!C:C,$A431,'Stock In'!D:D,$B431,'Stock In'!E:E,$C431) / SUMIFS('Stock In'!H:H,'Stock In'!C:C,$A431,'Stock In'!D:D,$B431,'Stock In'!E:E,$C431) , 0)</f>
        <v>0</v>
      </c>
      <c r="J431" s="71">
        <f t="shared" si="3"/>
        <v>0</v>
      </c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8"/>
      <c r="B432" s="68"/>
      <c r="C432" s="68"/>
      <c r="D432" s="70">
        <f>IFERROR(SUMIFS('Stock In'!F:F,'Stock In'!C:C,$A432,'Stock In'!D:D,$B432,'Stock In'!E:E,$C432),0)</f>
        <v>0</v>
      </c>
      <c r="E432" s="70">
        <f>IFERROR(SUMIFS(Issues!H:H,Issues!C:C,$A432,Issues!D:D,$B432,Issues!E:E,$C432),0)</f>
        <v>0</v>
      </c>
      <c r="F432" s="70">
        <f>IFERROR(SUMIFS(Returns!H:H,Returns!C:C,$A432,Returns!D:D,$B432,Returns!E:E,$C432),0)</f>
        <v>0</v>
      </c>
      <c r="G432" s="70">
        <f t="shared" si="1"/>
        <v>0</v>
      </c>
      <c r="H432" s="71">
        <f t="shared" si="2"/>
        <v>0</v>
      </c>
      <c r="I432" s="72">
        <f>IFERROR( SUMIFS('Stock In'!I:I,'Stock In'!C:C,$A432,'Stock In'!D:D,$B432,'Stock In'!E:E,$C432) / SUMIFS('Stock In'!H:H,'Stock In'!C:C,$A432,'Stock In'!D:D,$B432,'Stock In'!E:E,$C432) , 0)</f>
        <v>0</v>
      </c>
      <c r="J432" s="71">
        <f t="shared" si="3"/>
        <v>0</v>
      </c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8"/>
      <c r="B433" s="68"/>
      <c r="C433" s="68"/>
      <c r="D433" s="70">
        <f>IFERROR(SUMIFS('Stock In'!F:F,'Stock In'!C:C,$A433,'Stock In'!D:D,$B433,'Stock In'!E:E,$C433),0)</f>
        <v>0</v>
      </c>
      <c r="E433" s="70">
        <f>IFERROR(SUMIFS(Issues!H:H,Issues!C:C,$A433,Issues!D:D,$B433,Issues!E:E,$C433),0)</f>
        <v>0</v>
      </c>
      <c r="F433" s="70">
        <f>IFERROR(SUMIFS(Returns!H:H,Returns!C:C,$A433,Returns!D:D,$B433,Returns!E:E,$C433),0)</f>
        <v>0</v>
      </c>
      <c r="G433" s="70">
        <f t="shared" si="1"/>
        <v>0</v>
      </c>
      <c r="H433" s="71">
        <f t="shared" si="2"/>
        <v>0</v>
      </c>
      <c r="I433" s="72">
        <f>IFERROR( SUMIFS('Stock In'!I:I,'Stock In'!C:C,$A433,'Stock In'!D:D,$B433,'Stock In'!E:E,$C433) / SUMIFS('Stock In'!H:H,'Stock In'!C:C,$A433,'Stock In'!D:D,$B433,'Stock In'!E:E,$C433) , 0)</f>
        <v>0</v>
      </c>
      <c r="J433" s="71">
        <f t="shared" si="3"/>
        <v>0</v>
      </c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8"/>
      <c r="B434" s="68"/>
      <c r="C434" s="68"/>
      <c r="D434" s="70">
        <f>IFERROR(SUMIFS('Stock In'!F:F,'Stock In'!C:C,$A434,'Stock In'!D:D,$B434,'Stock In'!E:E,$C434),0)</f>
        <v>0</v>
      </c>
      <c r="E434" s="70">
        <f>IFERROR(SUMIFS(Issues!H:H,Issues!C:C,$A434,Issues!D:D,$B434,Issues!E:E,$C434),0)</f>
        <v>0</v>
      </c>
      <c r="F434" s="70">
        <f>IFERROR(SUMIFS(Returns!H:H,Returns!C:C,$A434,Returns!D:D,$B434,Returns!E:E,$C434),0)</f>
        <v>0</v>
      </c>
      <c r="G434" s="70">
        <f t="shared" si="1"/>
        <v>0</v>
      </c>
      <c r="H434" s="71">
        <f t="shared" si="2"/>
        <v>0</v>
      </c>
      <c r="I434" s="72">
        <f>IFERROR( SUMIFS('Stock In'!I:I,'Stock In'!C:C,$A434,'Stock In'!D:D,$B434,'Stock In'!E:E,$C434) / SUMIFS('Stock In'!H:H,'Stock In'!C:C,$A434,'Stock In'!D:D,$B434,'Stock In'!E:E,$C434) , 0)</f>
        <v>0</v>
      </c>
      <c r="J434" s="71">
        <f t="shared" si="3"/>
        <v>0</v>
      </c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8"/>
      <c r="B435" s="68"/>
      <c r="C435" s="68"/>
      <c r="D435" s="70">
        <f>IFERROR(SUMIFS('Stock In'!F:F,'Stock In'!C:C,$A435,'Stock In'!D:D,$B435,'Stock In'!E:E,$C435),0)</f>
        <v>0</v>
      </c>
      <c r="E435" s="70">
        <f>IFERROR(SUMIFS(Issues!H:H,Issues!C:C,$A435,Issues!D:D,$B435,Issues!E:E,$C435),0)</f>
        <v>0</v>
      </c>
      <c r="F435" s="70">
        <f>IFERROR(SUMIFS(Returns!H:H,Returns!C:C,$A435,Returns!D:D,$B435,Returns!E:E,$C435),0)</f>
        <v>0</v>
      </c>
      <c r="G435" s="70">
        <f t="shared" si="1"/>
        <v>0</v>
      </c>
      <c r="H435" s="71">
        <f t="shared" si="2"/>
        <v>0</v>
      </c>
      <c r="I435" s="72">
        <f>IFERROR( SUMIFS('Stock In'!I:I,'Stock In'!C:C,$A435,'Stock In'!D:D,$B435,'Stock In'!E:E,$C435) / SUMIFS('Stock In'!H:H,'Stock In'!C:C,$A435,'Stock In'!D:D,$B435,'Stock In'!E:E,$C435) , 0)</f>
        <v>0</v>
      </c>
      <c r="J435" s="71">
        <f t="shared" si="3"/>
        <v>0</v>
      </c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8"/>
      <c r="B436" s="68"/>
      <c r="C436" s="68"/>
      <c r="D436" s="70">
        <f>IFERROR(SUMIFS('Stock In'!F:F,'Stock In'!C:C,$A436,'Stock In'!D:D,$B436,'Stock In'!E:E,$C436),0)</f>
        <v>0</v>
      </c>
      <c r="E436" s="70">
        <f>IFERROR(SUMIFS(Issues!H:H,Issues!C:C,$A436,Issues!D:D,$B436,Issues!E:E,$C436),0)</f>
        <v>0</v>
      </c>
      <c r="F436" s="70">
        <f>IFERROR(SUMIFS(Returns!H:H,Returns!C:C,$A436,Returns!D:D,$B436,Returns!E:E,$C436),0)</f>
        <v>0</v>
      </c>
      <c r="G436" s="70">
        <f t="shared" si="1"/>
        <v>0</v>
      </c>
      <c r="H436" s="71">
        <f t="shared" si="2"/>
        <v>0</v>
      </c>
      <c r="I436" s="72">
        <f>IFERROR( SUMIFS('Stock In'!I:I,'Stock In'!C:C,$A436,'Stock In'!D:D,$B436,'Stock In'!E:E,$C436) / SUMIFS('Stock In'!H:H,'Stock In'!C:C,$A436,'Stock In'!D:D,$B436,'Stock In'!E:E,$C436) , 0)</f>
        <v>0</v>
      </c>
      <c r="J436" s="71">
        <f t="shared" si="3"/>
        <v>0</v>
      </c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8"/>
      <c r="B437" s="68"/>
      <c r="C437" s="68"/>
      <c r="D437" s="70">
        <f>IFERROR(SUMIFS('Stock In'!F:F,'Stock In'!C:C,$A437,'Stock In'!D:D,$B437,'Stock In'!E:E,$C437),0)</f>
        <v>0</v>
      </c>
      <c r="E437" s="70">
        <f>IFERROR(SUMIFS(Issues!H:H,Issues!C:C,$A437,Issues!D:D,$B437,Issues!E:E,$C437),0)</f>
        <v>0</v>
      </c>
      <c r="F437" s="70">
        <f>IFERROR(SUMIFS(Returns!H:H,Returns!C:C,$A437,Returns!D:D,$B437,Returns!E:E,$C437),0)</f>
        <v>0</v>
      </c>
      <c r="G437" s="70">
        <f t="shared" si="1"/>
        <v>0</v>
      </c>
      <c r="H437" s="71">
        <f t="shared" si="2"/>
        <v>0</v>
      </c>
      <c r="I437" s="72">
        <f>IFERROR( SUMIFS('Stock In'!I:I,'Stock In'!C:C,$A437,'Stock In'!D:D,$B437,'Stock In'!E:E,$C437) / SUMIFS('Stock In'!H:H,'Stock In'!C:C,$A437,'Stock In'!D:D,$B437,'Stock In'!E:E,$C437) , 0)</f>
        <v>0</v>
      </c>
      <c r="J437" s="71">
        <f t="shared" si="3"/>
        <v>0</v>
      </c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8"/>
      <c r="B438" s="68"/>
      <c r="C438" s="68"/>
      <c r="D438" s="70">
        <f>IFERROR(SUMIFS('Stock In'!F:F,'Stock In'!C:C,$A438,'Stock In'!D:D,$B438,'Stock In'!E:E,$C438),0)</f>
        <v>0</v>
      </c>
      <c r="E438" s="70">
        <f>IFERROR(SUMIFS(Issues!H:H,Issues!C:C,$A438,Issues!D:D,$B438,Issues!E:E,$C438),0)</f>
        <v>0</v>
      </c>
      <c r="F438" s="70">
        <f>IFERROR(SUMIFS(Returns!H:H,Returns!C:C,$A438,Returns!D:D,$B438,Returns!E:E,$C438),0)</f>
        <v>0</v>
      </c>
      <c r="G438" s="70">
        <f t="shared" si="1"/>
        <v>0</v>
      </c>
      <c r="H438" s="71">
        <f t="shared" si="2"/>
        <v>0</v>
      </c>
      <c r="I438" s="72">
        <f>IFERROR( SUMIFS('Stock In'!I:I,'Stock In'!C:C,$A438,'Stock In'!D:D,$B438,'Stock In'!E:E,$C438) / SUMIFS('Stock In'!H:H,'Stock In'!C:C,$A438,'Stock In'!D:D,$B438,'Stock In'!E:E,$C438) , 0)</f>
        <v>0</v>
      </c>
      <c r="J438" s="71">
        <f t="shared" si="3"/>
        <v>0</v>
      </c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8"/>
      <c r="B439" s="68"/>
      <c r="C439" s="68"/>
      <c r="D439" s="70">
        <f>IFERROR(SUMIFS('Stock In'!F:F,'Stock In'!C:C,$A439,'Stock In'!D:D,$B439,'Stock In'!E:E,$C439),0)</f>
        <v>0</v>
      </c>
      <c r="E439" s="70">
        <f>IFERROR(SUMIFS(Issues!H:H,Issues!C:C,$A439,Issues!D:D,$B439,Issues!E:E,$C439),0)</f>
        <v>0</v>
      </c>
      <c r="F439" s="70">
        <f>IFERROR(SUMIFS(Returns!H:H,Returns!C:C,$A439,Returns!D:D,$B439,Returns!E:E,$C439),0)</f>
        <v>0</v>
      </c>
      <c r="G439" s="70">
        <f t="shared" si="1"/>
        <v>0</v>
      </c>
      <c r="H439" s="71">
        <f t="shared" si="2"/>
        <v>0</v>
      </c>
      <c r="I439" s="72">
        <f>IFERROR( SUMIFS('Stock In'!I:I,'Stock In'!C:C,$A439,'Stock In'!D:D,$B439,'Stock In'!E:E,$C439) / SUMIFS('Stock In'!H:H,'Stock In'!C:C,$A439,'Stock In'!D:D,$B439,'Stock In'!E:E,$C439) , 0)</f>
        <v>0</v>
      </c>
      <c r="J439" s="71">
        <f t="shared" si="3"/>
        <v>0</v>
      </c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8"/>
      <c r="B440" s="68"/>
      <c r="C440" s="68"/>
      <c r="D440" s="70">
        <f>IFERROR(SUMIFS('Stock In'!F:F,'Stock In'!C:C,$A440,'Stock In'!D:D,$B440,'Stock In'!E:E,$C440),0)</f>
        <v>0</v>
      </c>
      <c r="E440" s="70">
        <f>IFERROR(SUMIFS(Issues!H:H,Issues!C:C,$A440,Issues!D:D,$B440,Issues!E:E,$C440),0)</f>
        <v>0</v>
      </c>
      <c r="F440" s="70">
        <f>IFERROR(SUMIFS(Returns!H:H,Returns!C:C,$A440,Returns!D:D,$B440,Returns!E:E,$C440),0)</f>
        <v>0</v>
      </c>
      <c r="G440" s="70">
        <f t="shared" si="1"/>
        <v>0</v>
      </c>
      <c r="H440" s="71">
        <f t="shared" si="2"/>
        <v>0</v>
      </c>
      <c r="I440" s="72">
        <f>IFERROR( SUMIFS('Stock In'!I:I,'Stock In'!C:C,$A440,'Stock In'!D:D,$B440,'Stock In'!E:E,$C440) / SUMIFS('Stock In'!H:H,'Stock In'!C:C,$A440,'Stock In'!D:D,$B440,'Stock In'!E:E,$C440) , 0)</f>
        <v>0</v>
      </c>
      <c r="J440" s="71">
        <f t="shared" si="3"/>
        <v>0</v>
      </c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8"/>
      <c r="B441" s="68"/>
      <c r="C441" s="68"/>
      <c r="D441" s="70">
        <f>IFERROR(SUMIFS('Stock In'!F:F,'Stock In'!C:C,$A441,'Stock In'!D:D,$B441,'Stock In'!E:E,$C441),0)</f>
        <v>0</v>
      </c>
      <c r="E441" s="70">
        <f>IFERROR(SUMIFS(Issues!H:H,Issues!C:C,$A441,Issues!D:D,$B441,Issues!E:E,$C441),0)</f>
        <v>0</v>
      </c>
      <c r="F441" s="70">
        <f>IFERROR(SUMIFS(Returns!H:H,Returns!C:C,$A441,Returns!D:D,$B441,Returns!E:E,$C441),0)</f>
        <v>0</v>
      </c>
      <c r="G441" s="70">
        <f t="shared" si="1"/>
        <v>0</v>
      </c>
      <c r="H441" s="71">
        <f t="shared" si="2"/>
        <v>0</v>
      </c>
      <c r="I441" s="72">
        <f>IFERROR( SUMIFS('Stock In'!I:I,'Stock In'!C:C,$A441,'Stock In'!D:D,$B441,'Stock In'!E:E,$C441) / SUMIFS('Stock In'!H:H,'Stock In'!C:C,$A441,'Stock In'!D:D,$B441,'Stock In'!E:E,$C441) , 0)</f>
        <v>0</v>
      </c>
      <c r="J441" s="71">
        <f t="shared" si="3"/>
        <v>0</v>
      </c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8"/>
      <c r="B442" s="68"/>
      <c r="C442" s="68"/>
      <c r="D442" s="70">
        <f>IFERROR(SUMIFS('Stock In'!F:F,'Stock In'!C:C,$A442,'Stock In'!D:D,$B442,'Stock In'!E:E,$C442),0)</f>
        <v>0</v>
      </c>
      <c r="E442" s="70">
        <f>IFERROR(SUMIFS(Issues!H:H,Issues!C:C,$A442,Issues!D:D,$B442,Issues!E:E,$C442),0)</f>
        <v>0</v>
      </c>
      <c r="F442" s="70">
        <f>IFERROR(SUMIFS(Returns!H:H,Returns!C:C,$A442,Returns!D:D,$B442,Returns!E:E,$C442),0)</f>
        <v>0</v>
      </c>
      <c r="G442" s="70">
        <f t="shared" si="1"/>
        <v>0</v>
      </c>
      <c r="H442" s="71">
        <f t="shared" si="2"/>
        <v>0</v>
      </c>
      <c r="I442" s="72">
        <f>IFERROR( SUMIFS('Stock In'!I:I,'Stock In'!C:C,$A442,'Stock In'!D:D,$B442,'Stock In'!E:E,$C442) / SUMIFS('Stock In'!H:H,'Stock In'!C:C,$A442,'Stock In'!D:D,$B442,'Stock In'!E:E,$C442) , 0)</f>
        <v>0</v>
      </c>
      <c r="J442" s="71">
        <f t="shared" si="3"/>
        <v>0</v>
      </c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8"/>
      <c r="B443" s="68"/>
      <c r="C443" s="68"/>
      <c r="D443" s="70">
        <f>IFERROR(SUMIFS('Stock In'!F:F,'Stock In'!C:C,$A443,'Stock In'!D:D,$B443,'Stock In'!E:E,$C443),0)</f>
        <v>0</v>
      </c>
      <c r="E443" s="70">
        <f>IFERROR(SUMIFS(Issues!H:H,Issues!C:C,$A443,Issues!D:D,$B443,Issues!E:E,$C443),0)</f>
        <v>0</v>
      </c>
      <c r="F443" s="70">
        <f>IFERROR(SUMIFS(Returns!H:H,Returns!C:C,$A443,Returns!D:D,$B443,Returns!E:E,$C443),0)</f>
        <v>0</v>
      </c>
      <c r="G443" s="70">
        <f t="shared" si="1"/>
        <v>0</v>
      </c>
      <c r="H443" s="71">
        <f t="shared" si="2"/>
        <v>0</v>
      </c>
      <c r="I443" s="72">
        <f>IFERROR( SUMIFS('Stock In'!I:I,'Stock In'!C:C,$A443,'Stock In'!D:D,$B443,'Stock In'!E:E,$C443) / SUMIFS('Stock In'!H:H,'Stock In'!C:C,$A443,'Stock In'!D:D,$B443,'Stock In'!E:E,$C443) , 0)</f>
        <v>0</v>
      </c>
      <c r="J443" s="71">
        <f t="shared" si="3"/>
        <v>0</v>
      </c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8"/>
      <c r="B444" s="68"/>
      <c r="C444" s="68"/>
      <c r="D444" s="70">
        <f>IFERROR(SUMIFS('Stock In'!F:F,'Stock In'!C:C,$A444,'Stock In'!D:D,$B444,'Stock In'!E:E,$C444),0)</f>
        <v>0</v>
      </c>
      <c r="E444" s="70">
        <f>IFERROR(SUMIFS(Issues!H:H,Issues!C:C,$A444,Issues!D:D,$B444,Issues!E:E,$C444),0)</f>
        <v>0</v>
      </c>
      <c r="F444" s="70">
        <f>IFERROR(SUMIFS(Returns!H:H,Returns!C:C,$A444,Returns!D:D,$B444,Returns!E:E,$C444),0)</f>
        <v>0</v>
      </c>
      <c r="G444" s="70">
        <f t="shared" si="1"/>
        <v>0</v>
      </c>
      <c r="H444" s="71">
        <f t="shared" si="2"/>
        <v>0</v>
      </c>
      <c r="I444" s="72">
        <f>IFERROR( SUMIFS('Stock In'!I:I,'Stock In'!C:C,$A444,'Stock In'!D:D,$B444,'Stock In'!E:E,$C444) / SUMIFS('Stock In'!H:H,'Stock In'!C:C,$A444,'Stock In'!D:D,$B444,'Stock In'!E:E,$C444) , 0)</f>
        <v>0</v>
      </c>
      <c r="J444" s="71">
        <f t="shared" si="3"/>
        <v>0</v>
      </c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8"/>
      <c r="B445" s="68"/>
      <c r="C445" s="68"/>
      <c r="D445" s="70">
        <f>IFERROR(SUMIFS('Stock In'!F:F,'Stock In'!C:C,$A445,'Stock In'!D:D,$B445,'Stock In'!E:E,$C445),0)</f>
        <v>0</v>
      </c>
      <c r="E445" s="70">
        <f>IFERROR(SUMIFS(Issues!H:H,Issues!C:C,$A445,Issues!D:D,$B445,Issues!E:E,$C445),0)</f>
        <v>0</v>
      </c>
      <c r="F445" s="70">
        <f>IFERROR(SUMIFS(Returns!H:H,Returns!C:C,$A445,Returns!D:D,$B445,Returns!E:E,$C445),0)</f>
        <v>0</v>
      </c>
      <c r="G445" s="70">
        <f t="shared" si="1"/>
        <v>0</v>
      </c>
      <c r="H445" s="71">
        <f t="shared" si="2"/>
        <v>0</v>
      </c>
      <c r="I445" s="72">
        <f>IFERROR( SUMIFS('Stock In'!I:I,'Stock In'!C:C,$A445,'Stock In'!D:D,$B445,'Stock In'!E:E,$C445) / SUMIFS('Stock In'!H:H,'Stock In'!C:C,$A445,'Stock In'!D:D,$B445,'Stock In'!E:E,$C445) , 0)</f>
        <v>0</v>
      </c>
      <c r="J445" s="71">
        <f t="shared" si="3"/>
        <v>0</v>
      </c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8"/>
      <c r="B446" s="68"/>
      <c r="C446" s="68"/>
      <c r="D446" s="70">
        <f>IFERROR(SUMIFS('Stock In'!F:F,'Stock In'!C:C,$A446,'Stock In'!D:D,$B446,'Stock In'!E:E,$C446),0)</f>
        <v>0</v>
      </c>
      <c r="E446" s="70">
        <f>IFERROR(SUMIFS(Issues!H:H,Issues!C:C,$A446,Issues!D:D,$B446,Issues!E:E,$C446),0)</f>
        <v>0</v>
      </c>
      <c r="F446" s="70">
        <f>IFERROR(SUMIFS(Returns!H:H,Returns!C:C,$A446,Returns!D:D,$B446,Returns!E:E,$C446),0)</f>
        <v>0</v>
      </c>
      <c r="G446" s="70">
        <f t="shared" si="1"/>
        <v>0</v>
      </c>
      <c r="H446" s="71">
        <f t="shared" si="2"/>
        <v>0</v>
      </c>
      <c r="I446" s="72">
        <f>IFERROR( SUMIFS('Stock In'!I:I,'Stock In'!C:C,$A446,'Stock In'!D:D,$B446,'Stock In'!E:E,$C446) / SUMIFS('Stock In'!H:H,'Stock In'!C:C,$A446,'Stock In'!D:D,$B446,'Stock In'!E:E,$C446) , 0)</f>
        <v>0</v>
      </c>
      <c r="J446" s="71">
        <f t="shared" si="3"/>
        <v>0</v>
      </c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8"/>
      <c r="B447" s="68"/>
      <c r="C447" s="68"/>
      <c r="D447" s="70">
        <f>IFERROR(SUMIFS('Stock In'!F:F,'Stock In'!C:C,$A447,'Stock In'!D:D,$B447,'Stock In'!E:E,$C447),0)</f>
        <v>0</v>
      </c>
      <c r="E447" s="70">
        <f>IFERROR(SUMIFS(Issues!H:H,Issues!C:C,$A447,Issues!D:D,$B447,Issues!E:E,$C447),0)</f>
        <v>0</v>
      </c>
      <c r="F447" s="70">
        <f>IFERROR(SUMIFS(Returns!H:H,Returns!C:C,$A447,Returns!D:D,$B447,Returns!E:E,$C447),0)</f>
        <v>0</v>
      </c>
      <c r="G447" s="70">
        <f t="shared" si="1"/>
        <v>0</v>
      </c>
      <c r="H447" s="71">
        <f t="shared" si="2"/>
        <v>0</v>
      </c>
      <c r="I447" s="72">
        <f>IFERROR( SUMIFS('Stock In'!I:I,'Stock In'!C:C,$A447,'Stock In'!D:D,$B447,'Stock In'!E:E,$C447) / SUMIFS('Stock In'!H:H,'Stock In'!C:C,$A447,'Stock In'!D:D,$B447,'Stock In'!E:E,$C447) , 0)</f>
        <v>0</v>
      </c>
      <c r="J447" s="71">
        <f t="shared" si="3"/>
        <v>0</v>
      </c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8"/>
      <c r="B448" s="68"/>
      <c r="C448" s="68"/>
      <c r="D448" s="70">
        <f>IFERROR(SUMIFS('Stock In'!F:F,'Stock In'!C:C,$A448,'Stock In'!D:D,$B448,'Stock In'!E:E,$C448),0)</f>
        <v>0</v>
      </c>
      <c r="E448" s="70">
        <f>IFERROR(SUMIFS(Issues!H:H,Issues!C:C,$A448,Issues!D:D,$B448,Issues!E:E,$C448),0)</f>
        <v>0</v>
      </c>
      <c r="F448" s="70">
        <f>IFERROR(SUMIFS(Returns!H:H,Returns!C:C,$A448,Returns!D:D,$B448,Returns!E:E,$C448),0)</f>
        <v>0</v>
      </c>
      <c r="G448" s="70">
        <f t="shared" si="1"/>
        <v>0</v>
      </c>
      <c r="H448" s="71">
        <f t="shared" si="2"/>
        <v>0</v>
      </c>
      <c r="I448" s="72">
        <f>IFERROR( SUMIFS('Stock In'!I:I,'Stock In'!C:C,$A448,'Stock In'!D:D,$B448,'Stock In'!E:E,$C448) / SUMIFS('Stock In'!H:H,'Stock In'!C:C,$A448,'Stock In'!D:D,$B448,'Stock In'!E:E,$C448) , 0)</f>
        <v>0</v>
      </c>
      <c r="J448" s="71">
        <f t="shared" si="3"/>
        <v>0</v>
      </c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8"/>
      <c r="B449" s="68"/>
      <c r="C449" s="68"/>
      <c r="D449" s="70">
        <f>IFERROR(SUMIFS('Stock In'!F:F,'Stock In'!C:C,$A449,'Stock In'!D:D,$B449,'Stock In'!E:E,$C449),0)</f>
        <v>0</v>
      </c>
      <c r="E449" s="70">
        <f>IFERROR(SUMIFS(Issues!H:H,Issues!C:C,$A449,Issues!D:D,$B449,Issues!E:E,$C449),0)</f>
        <v>0</v>
      </c>
      <c r="F449" s="70">
        <f>IFERROR(SUMIFS(Returns!H:H,Returns!C:C,$A449,Returns!D:D,$B449,Returns!E:E,$C449),0)</f>
        <v>0</v>
      </c>
      <c r="G449" s="70">
        <f t="shared" si="1"/>
        <v>0</v>
      </c>
      <c r="H449" s="71">
        <f t="shared" si="2"/>
        <v>0</v>
      </c>
      <c r="I449" s="72">
        <f>IFERROR( SUMIFS('Stock In'!I:I,'Stock In'!C:C,$A449,'Stock In'!D:D,$B449,'Stock In'!E:E,$C449) / SUMIFS('Stock In'!H:H,'Stock In'!C:C,$A449,'Stock In'!D:D,$B449,'Stock In'!E:E,$C449) , 0)</f>
        <v>0</v>
      </c>
      <c r="J449" s="71">
        <f t="shared" si="3"/>
        <v>0</v>
      </c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8"/>
      <c r="B450" s="68"/>
      <c r="C450" s="68"/>
      <c r="D450" s="70">
        <f>IFERROR(SUMIFS('Stock In'!F:F,'Stock In'!C:C,$A450,'Stock In'!D:D,$B450,'Stock In'!E:E,$C450),0)</f>
        <v>0</v>
      </c>
      <c r="E450" s="70">
        <f>IFERROR(SUMIFS(Issues!H:H,Issues!C:C,$A450,Issues!D:D,$B450,Issues!E:E,$C450),0)</f>
        <v>0</v>
      </c>
      <c r="F450" s="70">
        <f>IFERROR(SUMIFS(Returns!H:H,Returns!C:C,$A450,Returns!D:D,$B450,Returns!E:E,$C450),0)</f>
        <v>0</v>
      </c>
      <c r="G450" s="70">
        <f t="shared" si="1"/>
        <v>0</v>
      </c>
      <c r="H450" s="71">
        <f t="shared" si="2"/>
        <v>0</v>
      </c>
      <c r="I450" s="72">
        <f>IFERROR( SUMIFS('Stock In'!I:I,'Stock In'!C:C,$A450,'Stock In'!D:D,$B450,'Stock In'!E:E,$C450) / SUMIFS('Stock In'!H:H,'Stock In'!C:C,$A450,'Stock In'!D:D,$B450,'Stock In'!E:E,$C450) , 0)</f>
        <v>0</v>
      </c>
      <c r="J450" s="71">
        <f t="shared" si="3"/>
        <v>0</v>
      </c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8"/>
      <c r="B451" s="68"/>
      <c r="C451" s="68"/>
      <c r="D451" s="70">
        <f>IFERROR(SUMIFS('Stock In'!F:F,'Stock In'!C:C,$A451,'Stock In'!D:D,$B451,'Stock In'!E:E,$C451),0)</f>
        <v>0</v>
      </c>
      <c r="E451" s="70">
        <f>IFERROR(SUMIFS(Issues!H:H,Issues!C:C,$A451,Issues!D:D,$B451,Issues!E:E,$C451),0)</f>
        <v>0</v>
      </c>
      <c r="F451" s="70">
        <f>IFERROR(SUMIFS(Returns!H:H,Returns!C:C,$A451,Returns!D:D,$B451,Returns!E:E,$C451),0)</f>
        <v>0</v>
      </c>
      <c r="G451" s="70">
        <f t="shared" si="1"/>
        <v>0</v>
      </c>
      <c r="H451" s="71">
        <f t="shared" si="2"/>
        <v>0</v>
      </c>
      <c r="I451" s="72">
        <f>IFERROR( SUMIFS('Stock In'!I:I,'Stock In'!C:C,$A451,'Stock In'!D:D,$B451,'Stock In'!E:E,$C451) / SUMIFS('Stock In'!H:H,'Stock In'!C:C,$A451,'Stock In'!D:D,$B451,'Stock In'!E:E,$C451) , 0)</f>
        <v>0</v>
      </c>
      <c r="J451" s="71">
        <f t="shared" si="3"/>
        <v>0</v>
      </c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8"/>
      <c r="B452" s="68"/>
      <c r="C452" s="68"/>
      <c r="D452" s="70">
        <f>IFERROR(SUMIFS('Stock In'!F:F,'Stock In'!C:C,$A452,'Stock In'!D:D,$B452,'Stock In'!E:E,$C452),0)</f>
        <v>0</v>
      </c>
      <c r="E452" s="70">
        <f>IFERROR(SUMIFS(Issues!H:H,Issues!C:C,$A452,Issues!D:D,$B452,Issues!E:E,$C452),0)</f>
        <v>0</v>
      </c>
      <c r="F452" s="70">
        <f>IFERROR(SUMIFS(Returns!H:H,Returns!C:C,$A452,Returns!D:D,$B452,Returns!E:E,$C452),0)</f>
        <v>0</v>
      </c>
      <c r="G452" s="70">
        <f t="shared" si="1"/>
        <v>0</v>
      </c>
      <c r="H452" s="71">
        <f t="shared" si="2"/>
        <v>0</v>
      </c>
      <c r="I452" s="72">
        <f>IFERROR( SUMIFS('Stock In'!I:I,'Stock In'!C:C,$A452,'Stock In'!D:D,$B452,'Stock In'!E:E,$C452) / SUMIFS('Stock In'!H:H,'Stock In'!C:C,$A452,'Stock In'!D:D,$B452,'Stock In'!E:E,$C452) , 0)</f>
        <v>0</v>
      </c>
      <c r="J452" s="71">
        <f t="shared" si="3"/>
        <v>0</v>
      </c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8"/>
      <c r="B453" s="68"/>
      <c r="C453" s="68"/>
      <c r="D453" s="70">
        <f>IFERROR(SUMIFS('Stock In'!F:F,'Stock In'!C:C,$A453,'Stock In'!D:D,$B453,'Stock In'!E:E,$C453),0)</f>
        <v>0</v>
      </c>
      <c r="E453" s="70">
        <f>IFERROR(SUMIFS(Issues!H:H,Issues!C:C,$A453,Issues!D:D,$B453,Issues!E:E,$C453),0)</f>
        <v>0</v>
      </c>
      <c r="F453" s="70">
        <f>IFERROR(SUMIFS(Returns!H:H,Returns!C:C,$A453,Returns!D:D,$B453,Returns!E:E,$C453),0)</f>
        <v>0</v>
      </c>
      <c r="G453" s="70">
        <f t="shared" si="1"/>
        <v>0</v>
      </c>
      <c r="H453" s="71">
        <f t="shared" si="2"/>
        <v>0</v>
      </c>
      <c r="I453" s="72">
        <f>IFERROR( SUMIFS('Stock In'!I:I,'Stock In'!C:C,$A453,'Stock In'!D:D,$B453,'Stock In'!E:E,$C453) / SUMIFS('Stock In'!H:H,'Stock In'!C:C,$A453,'Stock In'!D:D,$B453,'Stock In'!E:E,$C453) , 0)</f>
        <v>0</v>
      </c>
      <c r="J453" s="71">
        <f t="shared" si="3"/>
        <v>0</v>
      </c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8"/>
      <c r="B454" s="68"/>
      <c r="C454" s="68"/>
      <c r="D454" s="70">
        <f>IFERROR(SUMIFS('Stock In'!F:F,'Stock In'!C:C,$A454,'Stock In'!D:D,$B454,'Stock In'!E:E,$C454),0)</f>
        <v>0</v>
      </c>
      <c r="E454" s="70">
        <f>IFERROR(SUMIFS(Issues!H:H,Issues!C:C,$A454,Issues!D:D,$B454,Issues!E:E,$C454),0)</f>
        <v>0</v>
      </c>
      <c r="F454" s="70">
        <f>IFERROR(SUMIFS(Returns!H:H,Returns!C:C,$A454,Returns!D:D,$B454,Returns!E:E,$C454),0)</f>
        <v>0</v>
      </c>
      <c r="G454" s="70">
        <f t="shared" si="1"/>
        <v>0</v>
      </c>
      <c r="H454" s="71">
        <f t="shared" si="2"/>
        <v>0</v>
      </c>
      <c r="I454" s="72">
        <f>IFERROR( SUMIFS('Stock In'!I:I,'Stock In'!C:C,$A454,'Stock In'!D:D,$B454,'Stock In'!E:E,$C454) / SUMIFS('Stock In'!H:H,'Stock In'!C:C,$A454,'Stock In'!D:D,$B454,'Stock In'!E:E,$C454) , 0)</f>
        <v>0</v>
      </c>
      <c r="J454" s="71">
        <f t="shared" si="3"/>
        <v>0</v>
      </c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8"/>
      <c r="B455" s="68"/>
      <c r="C455" s="68"/>
      <c r="D455" s="70">
        <f>IFERROR(SUMIFS('Stock In'!F:F,'Stock In'!C:C,$A455,'Stock In'!D:D,$B455,'Stock In'!E:E,$C455),0)</f>
        <v>0</v>
      </c>
      <c r="E455" s="70">
        <f>IFERROR(SUMIFS(Issues!H:H,Issues!C:C,$A455,Issues!D:D,$B455,Issues!E:E,$C455),0)</f>
        <v>0</v>
      </c>
      <c r="F455" s="70">
        <f>IFERROR(SUMIFS(Returns!H:H,Returns!C:C,$A455,Returns!D:D,$B455,Returns!E:E,$C455),0)</f>
        <v>0</v>
      </c>
      <c r="G455" s="70">
        <f t="shared" si="1"/>
        <v>0</v>
      </c>
      <c r="H455" s="71">
        <f t="shared" si="2"/>
        <v>0</v>
      </c>
      <c r="I455" s="72">
        <f>IFERROR( SUMIFS('Stock In'!I:I,'Stock In'!C:C,$A455,'Stock In'!D:D,$B455,'Stock In'!E:E,$C455) / SUMIFS('Stock In'!H:H,'Stock In'!C:C,$A455,'Stock In'!D:D,$B455,'Stock In'!E:E,$C455) , 0)</f>
        <v>0</v>
      </c>
      <c r="J455" s="71">
        <f t="shared" si="3"/>
        <v>0</v>
      </c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8"/>
      <c r="B456" s="68"/>
      <c r="C456" s="68"/>
      <c r="D456" s="70">
        <f>IFERROR(SUMIFS('Stock In'!F:F,'Stock In'!C:C,$A456,'Stock In'!D:D,$B456,'Stock In'!E:E,$C456),0)</f>
        <v>0</v>
      </c>
      <c r="E456" s="70">
        <f>IFERROR(SUMIFS(Issues!H:H,Issues!C:C,$A456,Issues!D:D,$B456,Issues!E:E,$C456),0)</f>
        <v>0</v>
      </c>
      <c r="F456" s="70">
        <f>IFERROR(SUMIFS(Returns!H:H,Returns!C:C,$A456,Returns!D:D,$B456,Returns!E:E,$C456),0)</f>
        <v>0</v>
      </c>
      <c r="G456" s="70">
        <f t="shared" si="1"/>
        <v>0</v>
      </c>
      <c r="H456" s="71">
        <f t="shared" si="2"/>
        <v>0</v>
      </c>
      <c r="I456" s="72">
        <f>IFERROR( SUMIFS('Stock In'!I:I,'Stock In'!C:C,$A456,'Stock In'!D:D,$B456,'Stock In'!E:E,$C456) / SUMIFS('Stock In'!H:H,'Stock In'!C:C,$A456,'Stock In'!D:D,$B456,'Stock In'!E:E,$C456) , 0)</f>
        <v>0</v>
      </c>
      <c r="J456" s="71">
        <f t="shared" si="3"/>
        <v>0</v>
      </c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8"/>
      <c r="B457" s="68"/>
      <c r="C457" s="68"/>
      <c r="D457" s="70">
        <f>IFERROR(SUMIFS('Stock In'!F:F,'Stock In'!C:C,$A457,'Stock In'!D:D,$B457,'Stock In'!E:E,$C457),0)</f>
        <v>0</v>
      </c>
      <c r="E457" s="70">
        <f>IFERROR(SUMIFS(Issues!H:H,Issues!C:C,$A457,Issues!D:D,$B457,Issues!E:E,$C457),0)</f>
        <v>0</v>
      </c>
      <c r="F457" s="70">
        <f>IFERROR(SUMIFS(Returns!H:H,Returns!C:C,$A457,Returns!D:D,$B457,Returns!E:E,$C457),0)</f>
        <v>0</v>
      </c>
      <c r="G457" s="70">
        <f t="shared" si="1"/>
        <v>0</v>
      </c>
      <c r="H457" s="71">
        <f t="shared" si="2"/>
        <v>0</v>
      </c>
      <c r="I457" s="72">
        <f>IFERROR( SUMIFS('Stock In'!I:I,'Stock In'!C:C,$A457,'Stock In'!D:D,$B457,'Stock In'!E:E,$C457) / SUMIFS('Stock In'!H:H,'Stock In'!C:C,$A457,'Stock In'!D:D,$B457,'Stock In'!E:E,$C457) , 0)</f>
        <v>0</v>
      </c>
      <c r="J457" s="71">
        <f t="shared" si="3"/>
        <v>0</v>
      </c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8"/>
      <c r="B458" s="68"/>
      <c r="C458" s="68"/>
      <c r="D458" s="70">
        <f>IFERROR(SUMIFS('Stock In'!F:F,'Stock In'!C:C,$A458,'Stock In'!D:D,$B458,'Stock In'!E:E,$C458),0)</f>
        <v>0</v>
      </c>
      <c r="E458" s="70">
        <f>IFERROR(SUMIFS(Issues!H:H,Issues!C:C,$A458,Issues!D:D,$B458,Issues!E:E,$C458),0)</f>
        <v>0</v>
      </c>
      <c r="F458" s="70">
        <f>IFERROR(SUMIFS(Returns!H:H,Returns!C:C,$A458,Returns!D:D,$B458,Returns!E:E,$C458),0)</f>
        <v>0</v>
      </c>
      <c r="G458" s="70">
        <f t="shared" si="1"/>
        <v>0</v>
      </c>
      <c r="H458" s="71">
        <f t="shared" si="2"/>
        <v>0</v>
      </c>
      <c r="I458" s="72">
        <f>IFERROR( SUMIFS('Stock In'!I:I,'Stock In'!C:C,$A458,'Stock In'!D:D,$B458,'Stock In'!E:E,$C458) / SUMIFS('Stock In'!H:H,'Stock In'!C:C,$A458,'Stock In'!D:D,$B458,'Stock In'!E:E,$C458) , 0)</f>
        <v>0</v>
      </c>
      <c r="J458" s="71">
        <f t="shared" si="3"/>
        <v>0</v>
      </c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8"/>
      <c r="B459" s="68"/>
      <c r="C459" s="68"/>
      <c r="D459" s="70">
        <f>IFERROR(SUMIFS('Stock In'!F:F,'Stock In'!C:C,$A459,'Stock In'!D:D,$B459,'Stock In'!E:E,$C459),0)</f>
        <v>0</v>
      </c>
      <c r="E459" s="70">
        <f>IFERROR(SUMIFS(Issues!H:H,Issues!C:C,$A459,Issues!D:D,$B459,Issues!E:E,$C459),0)</f>
        <v>0</v>
      </c>
      <c r="F459" s="70">
        <f>IFERROR(SUMIFS(Returns!H:H,Returns!C:C,$A459,Returns!D:D,$B459,Returns!E:E,$C459),0)</f>
        <v>0</v>
      </c>
      <c r="G459" s="70">
        <f t="shared" si="1"/>
        <v>0</v>
      </c>
      <c r="H459" s="71">
        <f t="shared" si="2"/>
        <v>0</v>
      </c>
      <c r="I459" s="72">
        <f>IFERROR( SUMIFS('Stock In'!I:I,'Stock In'!C:C,$A459,'Stock In'!D:D,$B459,'Stock In'!E:E,$C459) / SUMIFS('Stock In'!H:H,'Stock In'!C:C,$A459,'Stock In'!D:D,$B459,'Stock In'!E:E,$C459) , 0)</f>
        <v>0</v>
      </c>
      <c r="J459" s="71">
        <f t="shared" si="3"/>
        <v>0</v>
      </c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8"/>
      <c r="B460" s="68"/>
      <c r="C460" s="68"/>
      <c r="D460" s="70">
        <f>IFERROR(SUMIFS('Stock In'!F:F,'Stock In'!C:C,$A460,'Stock In'!D:D,$B460,'Stock In'!E:E,$C460),0)</f>
        <v>0</v>
      </c>
      <c r="E460" s="70">
        <f>IFERROR(SUMIFS(Issues!H:H,Issues!C:C,$A460,Issues!D:D,$B460,Issues!E:E,$C460),0)</f>
        <v>0</v>
      </c>
      <c r="F460" s="70">
        <f>IFERROR(SUMIFS(Returns!H:H,Returns!C:C,$A460,Returns!D:D,$B460,Returns!E:E,$C460),0)</f>
        <v>0</v>
      </c>
      <c r="G460" s="70">
        <f t="shared" si="1"/>
        <v>0</v>
      </c>
      <c r="H460" s="71">
        <f t="shared" si="2"/>
        <v>0</v>
      </c>
      <c r="I460" s="72">
        <f>IFERROR( SUMIFS('Stock In'!I:I,'Stock In'!C:C,$A460,'Stock In'!D:D,$B460,'Stock In'!E:E,$C460) / SUMIFS('Stock In'!H:H,'Stock In'!C:C,$A460,'Stock In'!D:D,$B460,'Stock In'!E:E,$C460) , 0)</f>
        <v>0</v>
      </c>
      <c r="J460" s="71">
        <f t="shared" si="3"/>
        <v>0</v>
      </c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8"/>
      <c r="B461" s="68"/>
      <c r="C461" s="68"/>
      <c r="D461" s="70">
        <f>IFERROR(SUMIFS('Stock In'!F:F,'Stock In'!C:C,$A461,'Stock In'!D:D,$B461,'Stock In'!E:E,$C461),0)</f>
        <v>0</v>
      </c>
      <c r="E461" s="70">
        <f>IFERROR(SUMIFS(Issues!H:H,Issues!C:C,$A461,Issues!D:D,$B461,Issues!E:E,$C461),0)</f>
        <v>0</v>
      </c>
      <c r="F461" s="70">
        <f>IFERROR(SUMIFS(Returns!H:H,Returns!C:C,$A461,Returns!D:D,$B461,Returns!E:E,$C461),0)</f>
        <v>0</v>
      </c>
      <c r="G461" s="70">
        <f t="shared" si="1"/>
        <v>0</v>
      </c>
      <c r="H461" s="71">
        <f t="shared" si="2"/>
        <v>0</v>
      </c>
      <c r="I461" s="72">
        <f>IFERROR( SUMIFS('Stock In'!I:I,'Stock In'!C:C,$A461,'Stock In'!D:D,$B461,'Stock In'!E:E,$C461) / SUMIFS('Stock In'!H:H,'Stock In'!C:C,$A461,'Stock In'!D:D,$B461,'Stock In'!E:E,$C461) , 0)</f>
        <v>0</v>
      </c>
      <c r="J461" s="71">
        <f t="shared" si="3"/>
        <v>0</v>
      </c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8"/>
      <c r="B462" s="68"/>
      <c r="C462" s="68"/>
      <c r="D462" s="70">
        <f>IFERROR(SUMIFS('Stock In'!F:F,'Stock In'!C:C,$A462,'Stock In'!D:D,$B462,'Stock In'!E:E,$C462),0)</f>
        <v>0</v>
      </c>
      <c r="E462" s="70">
        <f>IFERROR(SUMIFS(Issues!H:H,Issues!C:C,$A462,Issues!D:D,$B462,Issues!E:E,$C462),0)</f>
        <v>0</v>
      </c>
      <c r="F462" s="70">
        <f>IFERROR(SUMIFS(Returns!H:H,Returns!C:C,$A462,Returns!D:D,$B462,Returns!E:E,$C462),0)</f>
        <v>0</v>
      </c>
      <c r="G462" s="70">
        <f t="shared" si="1"/>
        <v>0</v>
      </c>
      <c r="H462" s="71">
        <f t="shared" si="2"/>
        <v>0</v>
      </c>
      <c r="I462" s="72">
        <f>IFERROR( SUMIFS('Stock In'!I:I,'Stock In'!C:C,$A462,'Stock In'!D:D,$B462,'Stock In'!E:E,$C462) / SUMIFS('Stock In'!H:H,'Stock In'!C:C,$A462,'Stock In'!D:D,$B462,'Stock In'!E:E,$C462) , 0)</f>
        <v>0</v>
      </c>
      <c r="J462" s="71">
        <f t="shared" si="3"/>
        <v>0</v>
      </c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8"/>
      <c r="B463" s="68"/>
      <c r="C463" s="68"/>
      <c r="D463" s="70">
        <f>IFERROR(SUMIFS('Stock In'!F:F,'Stock In'!C:C,$A463,'Stock In'!D:D,$B463,'Stock In'!E:E,$C463),0)</f>
        <v>0</v>
      </c>
      <c r="E463" s="70">
        <f>IFERROR(SUMIFS(Issues!H:H,Issues!C:C,$A463,Issues!D:D,$B463,Issues!E:E,$C463),0)</f>
        <v>0</v>
      </c>
      <c r="F463" s="70">
        <f>IFERROR(SUMIFS(Returns!H:H,Returns!C:C,$A463,Returns!D:D,$B463,Returns!E:E,$C463),0)</f>
        <v>0</v>
      </c>
      <c r="G463" s="70">
        <f t="shared" si="1"/>
        <v>0</v>
      </c>
      <c r="H463" s="71">
        <f t="shared" si="2"/>
        <v>0</v>
      </c>
      <c r="I463" s="72">
        <f>IFERROR( SUMIFS('Stock In'!I:I,'Stock In'!C:C,$A463,'Stock In'!D:D,$B463,'Stock In'!E:E,$C463) / SUMIFS('Stock In'!H:H,'Stock In'!C:C,$A463,'Stock In'!D:D,$B463,'Stock In'!E:E,$C463) , 0)</f>
        <v>0</v>
      </c>
      <c r="J463" s="71">
        <f t="shared" si="3"/>
        <v>0</v>
      </c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8"/>
      <c r="B464" s="68"/>
      <c r="C464" s="68"/>
      <c r="D464" s="70">
        <f>IFERROR(SUMIFS('Stock In'!F:F,'Stock In'!C:C,$A464,'Stock In'!D:D,$B464,'Stock In'!E:E,$C464),0)</f>
        <v>0</v>
      </c>
      <c r="E464" s="70">
        <f>IFERROR(SUMIFS(Issues!H:H,Issues!C:C,$A464,Issues!D:D,$B464,Issues!E:E,$C464),0)</f>
        <v>0</v>
      </c>
      <c r="F464" s="70">
        <f>IFERROR(SUMIFS(Returns!H:H,Returns!C:C,$A464,Returns!D:D,$B464,Returns!E:E,$C464),0)</f>
        <v>0</v>
      </c>
      <c r="G464" s="70">
        <f t="shared" si="1"/>
        <v>0</v>
      </c>
      <c r="H464" s="71">
        <f t="shared" si="2"/>
        <v>0</v>
      </c>
      <c r="I464" s="72">
        <f>IFERROR( SUMIFS('Stock In'!I:I,'Stock In'!C:C,$A464,'Stock In'!D:D,$B464,'Stock In'!E:E,$C464) / SUMIFS('Stock In'!H:H,'Stock In'!C:C,$A464,'Stock In'!D:D,$B464,'Stock In'!E:E,$C464) , 0)</f>
        <v>0</v>
      </c>
      <c r="J464" s="71">
        <f t="shared" si="3"/>
        <v>0</v>
      </c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8"/>
      <c r="B465" s="68"/>
      <c r="C465" s="68"/>
      <c r="D465" s="70">
        <f>IFERROR(SUMIFS('Stock In'!F:F,'Stock In'!C:C,$A465,'Stock In'!D:D,$B465,'Stock In'!E:E,$C465),0)</f>
        <v>0</v>
      </c>
      <c r="E465" s="70">
        <f>IFERROR(SUMIFS(Issues!H:H,Issues!C:C,$A465,Issues!D:D,$B465,Issues!E:E,$C465),0)</f>
        <v>0</v>
      </c>
      <c r="F465" s="70">
        <f>IFERROR(SUMIFS(Returns!H:H,Returns!C:C,$A465,Returns!D:D,$B465,Returns!E:E,$C465),0)</f>
        <v>0</v>
      </c>
      <c r="G465" s="70">
        <f t="shared" si="1"/>
        <v>0</v>
      </c>
      <c r="H465" s="71">
        <f t="shared" si="2"/>
        <v>0</v>
      </c>
      <c r="I465" s="72">
        <f>IFERROR( SUMIFS('Stock In'!I:I,'Stock In'!C:C,$A465,'Stock In'!D:D,$B465,'Stock In'!E:E,$C465) / SUMIFS('Stock In'!H:H,'Stock In'!C:C,$A465,'Stock In'!D:D,$B465,'Stock In'!E:E,$C465) , 0)</f>
        <v>0</v>
      </c>
      <c r="J465" s="71">
        <f t="shared" si="3"/>
        <v>0</v>
      </c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8"/>
      <c r="B466" s="68"/>
      <c r="C466" s="68"/>
      <c r="D466" s="70">
        <f>IFERROR(SUMIFS('Stock In'!F:F,'Stock In'!C:C,$A466,'Stock In'!D:D,$B466,'Stock In'!E:E,$C466),0)</f>
        <v>0</v>
      </c>
      <c r="E466" s="70">
        <f>IFERROR(SUMIFS(Issues!H:H,Issues!C:C,$A466,Issues!D:D,$B466,Issues!E:E,$C466),0)</f>
        <v>0</v>
      </c>
      <c r="F466" s="70">
        <f>IFERROR(SUMIFS(Returns!H:H,Returns!C:C,$A466,Returns!D:D,$B466,Returns!E:E,$C466),0)</f>
        <v>0</v>
      </c>
      <c r="G466" s="70">
        <f t="shared" si="1"/>
        <v>0</v>
      </c>
      <c r="H466" s="71">
        <f t="shared" si="2"/>
        <v>0</v>
      </c>
      <c r="I466" s="72">
        <f>IFERROR( SUMIFS('Stock In'!I:I,'Stock In'!C:C,$A466,'Stock In'!D:D,$B466,'Stock In'!E:E,$C466) / SUMIFS('Stock In'!H:H,'Stock In'!C:C,$A466,'Stock In'!D:D,$B466,'Stock In'!E:E,$C466) , 0)</f>
        <v>0</v>
      </c>
      <c r="J466" s="71">
        <f t="shared" si="3"/>
        <v>0</v>
      </c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8"/>
      <c r="B467" s="68"/>
      <c r="C467" s="68"/>
      <c r="D467" s="70">
        <f>IFERROR(SUMIFS('Stock In'!F:F,'Stock In'!C:C,$A467,'Stock In'!D:D,$B467,'Stock In'!E:E,$C467),0)</f>
        <v>0</v>
      </c>
      <c r="E467" s="70">
        <f>IFERROR(SUMIFS(Issues!H:H,Issues!C:C,$A467,Issues!D:D,$B467,Issues!E:E,$C467),0)</f>
        <v>0</v>
      </c>
      <c r="F467" s="70">
        <f>IFERROR(SUMIFS(Returns!H:H,Returns!C:C,$A467,Returns!D:D,$B467,Returns!E:E,$C467),0)</f>
        <v>0</v>
      </c>
      <c r="G467" s="70">
        <f t="shared" si="1"/>
        <v>0</v>
      </c>
      <c r="H467" s="71">
        <f t="shared" si="2"/>
        <v>0</v>
      </c>
      <c r="I467" s="72">
        <f>IFERROR( SUMIFS('Stock In'!I:I,'Stock In'!C:C,$A467,'Stock In'!D:D,$B467,'Stock In'!E:E,$C467) / SUMIFS('Stock In'!H:H,'Stock In'!C:C,$A467,'Stock In'!D:D,$B467,'Stock In'!E:E,$C467) , 0)</f>
        <v>0</v>
      </c>
      <c r="J467" s="71">
        <f t="shared" si="3"/>
        <v>0</v>
      </c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8"/>
      <c r="B468" s="68"/>
      <c r="C468" s="68"/>
      <c r="D468" s="70">
        <f>IFERROR(SUMIFS('Stock In'!F:F,'Stock In'!C:C,$A468,'Stock In'!D:D,$B468,'Stock In'!E:E,$C468),0)</f>
        <v>0</v>
      </c>
      <c r="E468" s="70">
        <f>IFERROR(SUMIFS(Issues!H:H,Issues!C:C,$A468,Issues!D:D,$B468,Issues!E:E,$C468),0)</f>
        <v>0</v>
      </c>
      <c r="F468" s="70">
        <f>IFERROR(SUMIFS(Returns!H:H,Returns!C:C,$A468,Returns!D:D,$B468,Returns!E:E,$C468),0)</f>
        <v>0</v>
      </c>
      <c r="G468" s="70">
        <f t="shared" si="1"/>
        <v>0</v>
      </c>
      <c r="H468" s="71">
        <f t="shared" si="2"/>
        <v>0</v>
      </c>
      <c r="I468" s="72">
        <f>IFERROR( SUMIFS('Stock In'!I:I,'Stock In'!C:C,$A468,'Stock In'!D:D,$B468,'Stock In'!E:E,$C468) / SUMIFS('Stock In'!H:H,'Stock In'!C:C,$A468,'Stock In'!D:D,$B468,'Stock In'!E:E,$C468) , 0)</f>
        <v>0</v>
      </c>
      <c r="J468" s="71">
        <f t="shared" si="3"/>
        <v>0</v>
      </c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8"/>
      <c r="B469" s="68"/>
      <c r="C469" s="68"/>
      <c r="D469" s="70">
        <f>IFERROR(SUMIFS('Stock In'!F:F,'Stock In'!C:C,$A469,'Stock In'!D:D,$B469,'Stock In'!E:E,$C469),0)</f>
        <v>0</v>
      </c>
      <c r="E469" s="70">
        <f>IFERROR(SUMIFS(Issues!H:H,Issues!C:C,$A469,Issues!D:D,$B469,Issues!E:E,$C469),0)</f>
        <v>0</v>
      </c>
      <c r="F469" s="70">
        <f>IFERROR(SUMIFS(Returns!H:H,Returns!C:C,$A469,Returns!D:D,$B469,Returns!E:E,$C469),0)</f>
        <v>0</v>
      </c>
      <c r="G469" s="70">
        <f t="shared" si="1"/>
        <v>0</v>
      </c>
      <c r="H469" s="71">
        <f t="shared" si="2"/>
        <v>0</v>
      </c>
      <c r="I469" s="72">
        <f>IFERROR( SUMIFS('Stock In'!I:I,'Stock In'!C:C,$A469,'Stock In'!D:D,$B469,'Stock In'!E:E,$C469) / SUMIFS('Stock In'!H:H,'Stock In'!C:C,$A469,'Stock In'!D:D,$B469,'Stock In'!E:E,$C469) , 0)</f>
        <v>0</v>
      </c>
      <c r="J469" s="71">
        <f t="shared" si="3"/>
        <v>0</v>
      </c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8"/>
      <c r="B470" s="68"/>
      <c r="C470" s="68"/>
      <c r="D470" s="70">
        <f>IFERROR(SUMIFS('Stock In'!F:F,'Stock In'!C:C,$A470,'Stock In'!D:D,$B470,'Stock In'!E:E,$C470),0)</f>
        <v>0</v>
      </c>
      <c r="E470" s="70">
        <f>IFERROR(SUMIFS(Issues!H:H,Issues!C:C,$A470,Issues!D:D,$B470,Issues!E:E,$C470),0)</f>
        <v>0</v>
      </c>
      <c r="F470" s="70">
        <f>IFERROR(SUMIFS(Returns!H:H,Returns!C:C,$A470,Returns!D:D,$B470,Returns!E:E,$C470),0)</f>
        <v>0</v>
      </c>
      <c r="G470" s="70">
        <f t="shared" si="1"/>
        <v>0</v>
      </c>
      <c r="H470" s="71">
        <f t="shared" si="2"/>
        <v>0</v>
      </c>
      <c r="I470" s="72">
        <f>IFERROR( SUMIFS('Stock In'!I:I,'Stock In'!C:C,$A470,'Stock In'!D:D,$B470,'Stock In'!E:E,$C470) / SUMIFS('Stock In'!H:H,'Stock In'!C:C,$A470,'Stock In'!D:D,$B470,'Stock In'!E:E,$C470) , 0)</f>
        <v>0</v>
      </c>
      <c r="J470" s="71">
        <f t="shared" si="3"/>
        <v>0</v>
      </c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8"/>
      <c r="B471" s="68"/>
      <c r="C471" s="68"/>
      <c r="D471" s="70">
        <f>IFERROR(SUMIFS('Stock In'!F:F,'Stock In'!C:C,$A471,'Stock In'!D:D,$B471,'Stock In'!E:E,$C471),0)</f>
        <v>0</v>
      </c>
      <c r="E471" s="70">
        <f>IFERROR(SUMIFS(Issues!H:H,Issues!C:C,$A471,Issues!D:D,$B471,Issues!E:E,$C471),0)</f>
        <v>0</v>
      </c>
      <c r="F471" s="70">
        <f>IFERROR(SUMIFS(Returns!H:H,Returns!C:C,$A471,Returns!D:D,$B471,Returns!E:E,$C471),0)</f>
        <v>0</v>
      </c>
      <c r="G471" s="70">
        <f t="shared" si="1"/>
        <v>0</v>
      </c>
      <c r="H471" s="71">
        <f t="shared" si="2"/>
        <v>0</v>
      </c>
      <c r="I471" s="72">
        <f>IFERROR( SUMIFS('Stock In'!I:I,'Stock In'!C:C,$A471,'Stock In'!D:D,$B471,'Stock In'!E:E,$C471) / SUMIFS('Stock In'!H:H,'Stock In'!C:C,$A471,'Stock In'!D:D,$B471,'Stock In'!E:E,$C471) , 0)</f>
        <v>0</v>
      </c>
      <c r="J471" s="71">
        <f t="shared" si="3"/>
        <v>0</v>
      </c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8"/>
      <c r="B472" s="68"/>
      <c r="C472" s="68"/>
      <c r="D472" s="70">
        <f>IFERROR(SUMIFS('Stock In'!F:F,'Stock In'!C:C,$A472,'Stock In'!D:D,$B472,'Stock In'!E:E,$C472),0)</f>
        <v>0</v>
      </c>
      <c r="E472" s="70">
        <f>IFERROR(SUMIFS(Issues!H:H,Issues!C:C,$A472,Issues!D:D,$B472,Issues!E:E,$C472),0)</f>
        <v>0</v>
      </c>
      <c r="F472" s="70">
        <f>IFERROR(SUMIFS(Returns!H:H,Returns!C:C,$A472,Returns!D:D,$B472,Returns!E:E,$C472),0)</f>
        <v>0</v>
      </c>
      <c r="G472" s="70">
        <f t="shared" si="1"/>
        <v>0</v>
      </c>
      <c r="H472" s="71">
        <f t="shared" si="2"/>
        <v>0</v>
      </c>
      <c r="I472" s="72">
        <f>IFERROR( SUMIFS('Stock In'!I:I,'Stock In'!C:C,$A472,'Stock In'!D:D,$B472,'Stock In'!E:E,$C472) / SUMIFS('Stock In'!H:H,'Stock In'!C:C,$A472,'Stock In'!D:D,$B472,'Stock In'!E:E,$C472) , 0)</f>
        <v>0</v>
      </c>
      <c r="J472" s="71">
        <f t="shared" si="3"/>
        <v>0</v>
      </c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8"/>
      <c r="B473" s="68"/>
      <c r="C473" s="68"/>
      <c r="D473" s="70">
        <f>IFERROR(SUMIFS('Stock In'!F:F,'Stock In'!C:C,$A473,'Stock In'!D:D,$B473,'Stock In'!E:E,$C473),0)</f>
        <v>0</v>
      </c>
      <c r="E473" s="70">
        <f>IFERROR(SUMIFS(Issues!H:H,Issues!C:C,$A473,Issues!D:D,$B473,Issues!E:E,$C473),0)</f>
        <v>0</v>
      </c>
      <c r="F473" s="70">
        <f>IFERROR(SUMIFS(Returns!H:H,Returns!C:C,$A473,Returns!D:D,$B473,Returns!E:E,$C473),0)</f>
        <v>0</v>
      </c>
      <c r="G473" s="70">
        <f t="shared" si="1"/>
        <v>0</v>
      </c>
      <c r="H473" s="71">
        <f t="shared" si="2"/>
        <v>0</v>
      </c>
      <c r="I473" s="72">
        <f>IFERROR( SUMIFS('Stock In'!I:I,'Stock In'!C:C,$A473,'Stock In'!D:D,$B473,'Stock In'!E:E,$C473) / SUMIFS('Stock In'!H:H,'Stock In'!C:C,$A473,'Stock In'!D:D,$B473,'Stock In'!E:E,$C473) , 0)</f>
        <v>0</v>
      </c>
      <c r="J473" s="71">
        <f t="shared" si="3"/>
        <v>0</v>
      </c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8"/>
      <c r="B474" s="68"/>
      <c r="C474" s="68"/>
      <c r="D474" s="70">
        <f>IFERROR(SUMIFS('Stock In'!F:F,'Stock In'!C:C,$A474,'Stock In'!D:D,$B474,'Stock In'!E:E,$C474),0)</f>
        <v>0</v>
      </c>
      <c r="E474" s="70">
        <f>IFERROR(SUMIFS(Issues!H:H,Issues!C:C,$A474,Issues!D:D,$B474,Issues!E:E,$C474),0)</f>
        <v>0</v>
      </c>
      <c r="F474" s="70">
        <f>IFERROR(SUMIFS(Returns!H:H,Returns!C:C,$A474,Returns!D:D,$B474,Returns!E:E,$C474),0)</f>
        <v>0</v>
      </c>
      <c r="G474" s="70">
        <f t="shared" si="1"/>
        <v>0</v>
      </c>
      <c r="H474" s="71">
        <f t="shared" si="2"/>
        <v>0</v>
      </c>
      <c r="I474" s="72">
        <f>IFERROR( SUMIFS('Stock In'!I:I,'Stock In'!C:C,$A474,'Stock In'!D:D,$B474,'Stock In'!E:E,$C474) / SUMIFS('Stock In'!H:H,'Stock In'!C:C,$A474,'Stock In'!D:D,$B474,'Stock In'!E:E,$C474) , 0)</f>
        <v>0</v>
      </c>
      <c r="J474" s="71">
        <f t="shared" si="3"/>
        <v>0</v>
      </c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8"/>
      <c r="B475" s="68"/>
      <c r="C475" s="68"/>
      <c r="D475" s="70">
        <f>IFERROR(SUMIFS('Stock In'!F:F,'Stock In'!C:C,$A475,'Stock In'!D:D,$B475,'Stock In'!E:E,$C475),0)</f>
        <v>0</v>
      </c>
      <c r="E475" s="70">
        <f>IFERROR(SUMIFS(Issues!H:H,Issues!C:C,$A475,Issues!D:D,$B475,Issues!E:E,$C475),0)</f>
        <v>0</v>
      </c>
      <c r="F475" s="70">
        <f>IFERROR(SUMIFS(Returns!H:H,Returns!C:C,$A475,Returns!D:D,$B475,Returns!E:E,$C475),0)</f>
        <v>0</v>
      </c>
      <c r="G475" s="70">
        <f t="shared" si="1"/>
        <v>0</v>
      </c>
      <c r="H475" s="71">
        <f t="shared" si="2"/>
        <v>0</v>
      </c>
      <c r="I475" s="72">
        <f>IFERROR( SUMIFS('Stock In'!I:I,'Stock In'!C:C,$A475,'Stock In'!D:D,$B475,'Stock In'!E:E,$C475) / SUMIFS('Stock In'!H:H,'Stock In'!C:C,$A475,'Stock In'!D:D,$B475,'Stock In'!E:E,$C475) , 0)</f>
        <v>0</v>
      </c>
      <c r="J475" s="71">
        <f t="shared" si="3"/>
        <v>0</v>
      </c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8"/>
      <c r="B476" s="68"/>
      <c r="C476" s="68"/>
      <c r="D476" s="70">
        <f>IFERROR(SUMIFS('Stock In'!F:F,'Stock In'!C:C,$A476,'Stock In'!D:D,$B476,'Stock In'!E:E,$C476),0)</f>
        <v>0</v>
      </c>
      <c r="E476" s="70">
        <f>IFERROR(SUMIFS(Issues!H:H,Issues!C:C,$A476,Issues!D:D,$B476,Issues!E:E,$C476),0)</f>
        <v>0</v>
      </c>
      <c r="F476" s="70">
        <f>IFERROR(SUMIFS(Returns!H:H,Returns!C:C,$A476,Returns!D:D,$B476,Returns!E:E,$C476),0)</f>
        <v>0</v>
      </c>
      <c r="G476" s="70">
        <f t="shared" si="1"/>
        <v>0</v>
      </c>
      <c r="H476" s="71">
        <f t="shared" si="2"/>
        <v>0</v>
      </c>
      <c r="I476" s="72">
        <f>IFERROR( SUMIFS('Stock In'!I:I,'Stock In'!C:C,$A476,'Stock In'!D:D,$B476,'Stock In'!E:E,$C476) / SUMIFS('Stock In'!H:H,'Stock In'!C:C,$A476,'Stock In'!D:D,$B476,'Stock In'!E:E,$C476) , 0)</f>
        <v>0</v>
      </c>
      <c r="J476" s="71">
        <f t="shared" si="3"/>
        <v>0</v>
      </c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8"/>
      <c r="B477" s="68"/>
      <c r="C477" s="68"/>
      <c r="D477" s="70">
        <f>IFERROR(SUMIFS('Stock In'!F:F,'Stock In'!C:C,$A477,'Stock In'!D:D,$B477,'Stock In'!E:E,$C477),0)</f>
        <v>0</v>
      </c>
      <c r="E477" s="70">
        <f>IFERROR(SUMIFS(Issues!H:H,Issues!C:C,$A477,Issues!D:D,$B477,Issues!E:E,$C477),0)</f>
        <v>0</v>
      </c>
      <c r="F477" s="70">
        <f>IFERROR(SUMIFS(Returns!H:H,Returns!C:C,$A477,Returns!D:D,$B477,Returns!E:E,$C477),0)</f>
        <v>0</v>
      </c>
      <c r="G477" s="70">
        <f t="shared" si="1"/>
        <v>0</v>
      </c>
      <c r="H477" s="71">
        <f t="shared" si="2"/>
        <v>0</v>
      </c>
      <c r="I477" s="72">
        <f>IFERROR( SUMIFS('Stock In'!I:I,'Stock In'!C:C,$A477,'Stock In'!D:D,$B477,'Stock In'!E:E,$C477) / SUMIFS('Stock In'!H:H,'Stock In'!C:C,$A477,'Stock In'!D:D,$B477,'Stock In'!E:E,$C477) , 0)</f>
        <v>0</v>
      </c>
      <c r="J477" s="71">
        <f t="shared" si="3"/>
        <v>0</v>
      </c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8"/>
      <c r="B478" s="68"/>
      <c r="C478" s="68"/>
      <c r="D478" s="70">
        <f>IFERROR(SUMIFS('Stock In'!F:F,'Stock In'!C:C,$A478,'Stock In'!D:D,$B478,'Stock In'!E:E,$C478),0)</f>
        <v>0</v>
      </c>
      <c r="E478" s="70">
        <f>IFERROR(SUMIFS(Issues!H:H,Issues!C:C,$A478,Issues!D:D,$B478,Issues!E:E,$C478),0)</f>
        <v>0</v>
      </c>
      <c r="F478" s="70">
        <f>IFERROR(SUMIFS(Returns!H:H,Returns!C:C,$A478,Returns!D:D,$B478,Returns!E:E,$C478),0)</f>
        <v>0</v>
      </c>
      <c r="G478" s="70">
        <f t="shared" si="1"/>
        <v>0</v>
      </c>
      <c r="H478" s="71">
        <f t="shared" si="2"/>
        <v>0</v>
      </c>
      <c r="I478" s="72">
        <f>IFERROR( SUMIFS('Stock In'!I:I,'Stock In'!C:C,$A478,'Stock In'!D:D,$B478,'Stock In'!E:E,$C478) / SUMIFS('Stock In'!H:H,'Stock In'!C:C,$A478,'Stock In'!D:D,$B478,'Stock In'!E:E,$C478) , 0)</f>
        <v>0</v>
      </c>
      <c r="J478" s="71">
        <f t="shared" si="3"/>
        <v>0</v>
      </c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8"/>
      <c r="B479" s="68"/>
      <c r="C479" s="68"/>
      <c r="D479" s="70">
        <f>IFERROR(SUMIFS('Stock In'!F:F,'Stock In'!C:C,$A479,'Stock In'!D:D,$B479,'Stock In'!E:E,$C479),0)</f>
        <v>0</v>
      </c>
      <c r="E479" s="70">
        <f>IFERROR(SUMIFS(Issues!H:H,Issues!C:C,$A479,Issues!D:D,$B479,Issues!E:E,$C479),0)</f>
        <v>0</v>
      </c>
      <c r="F479" s="70">
        <f>IFERROR(SUMIFS(Returns!H:H,Returns!C:C,$A479,Returns!D:D,$B479,Returns!E:E,$C479),0)</f>
        <v>0</v>
      </c>
      <c r="G479" s="70">
        <f t="shared" si="1"/>
        <v>0</v>
      </c>
      <c r="H479" s="71">
        <f t="shared" si="2"/>
        <v>0</v>
      </c>
      <c r="I479" s="72">
        <f>IFERROR( SUMIFS('Stock In'!I:I,'Stock In'!C:C,$A479,'Stock In'!D:D,$B479,'Stock In'!E:E,$C479) / SUMIFS('Stock In'!H:H,'Stock In'!C:C,$A479,'Stock In'!D:D,$B479,'Stock In'!E:E,$C479) , 0)</f>
        <v>0</v>
      </c>
      <c r="J479" s="71">
        <f t="shared" si="3"/>
        <v>0</v>
      </c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8"/>
      <c r="B480" s="68"/>
      <c r="C480" s="68"/>
      <c r="D480" s="70">
        <f>IFERROR(SUMIFS('Stock In'!F:F,'Stock In'!C:C,$A480,'Stock In'!D:D,$B480,'Stock In'!E:E,$C480),0)</f>
        <v>0</v>
      </c>
      <c r="E480" s="70">
        <f>IFERROR(SUMIFS(Issues!H:H,Issues!C:C,$A480,Issues!D:D,$B480,Issues!E:E,$C480),0)</f>
        <v>0</v>
      </c>
      <c r="F480" s="70">
        <f>IFERROR(SUMIFS(Returns!H:H,Returns!C:C,$A480,Returns!D:D,$B480,Returns!E:E,$C480),0)</f>
        <v>0</v>
      </c>
      <c r="G480" s="70">
        <f t="shared" si="1"/>
        <v>0</v>
      </c>
      <c r="H480" s="71">
        <f t="shared" si="2"/>
        <v>0</v>
      </c>
      <c r="I480" s="72">
        <f>IFERROR( SUMIFS('Stock In'!I:I,'Stock In'!C:C,$A480,'Stock In'!D:D,$B480,'Stock In'!E:E,$C480) / SUMIFS('Stock In'!H:H,'Stock In'!C:C,$A480,'Stock In'!D:D,$B480,'Stock In'!E:E,$C480) , 0)</f>
        <v>0</v>
      </c>
      <c r="J480" s="71">
        <f t="shared" si="3"/>
        <v>0</v>
      </c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8"/>
      <c r="B481" s="68"/>
      <c r="C481" s="68"/>
      <c r="D481" s="70">
        <f>IFERROR(SUMIFS('Stock In'!F:F,'Stock In'!C:C,$A481,'Stock In'!D:D,$B481,'Stock In'!E:E,$C481),0)</f>
        <v>0</v>
      </c>
      <c r="E481" s="70">
        <f>IFERROR(SUMIFS(Issues!H:H,Issues!C:C,$A481,Issues!D:D,$B481,Issues!E:E,$C481),0)</f>
        <v>0</v>
      </c>
      <c r="F481" s="70">
        <f>IFERROR(SUMIFS(Returns!H:H,Returns!C:C,$A481,Returns!D:D,$B481,Returns!E:E,$C481),0)</f>
        <v>0</v>
      </c>
      <c r="G481" s="70">
        <f t="shared" si="1"/>
        <v>0</v>
      </c>
      <c r="H481" s="71">
        <f t="shared" si="2"/>
        <v>0</v>
      </c>
      <c r="I481" s="72">
        <f>IFERROR( SUMIFS('Stock In'!I:I,'Stock In'!C:C,$A481,'Stock In'!D:D,$B481,'Stock In'!E:E,$C481) / SUMIFS('Stock In'!H:H,'Stock In'!C:C,$A481,'Stock In'!D:D,$B481,'Stock In'!E:E,$C481) , 0)</f>
        <v>0</v>
      </c>
      <c r="J481" s="71">
        <f t="shared" si="3"/>
        <v>0</v>
      </c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8"/>
      <c r="B482" s="68"/>
      <c r="C482" s="68"/>
      <c r="D482" s="70">
        <f>IFERROR(SUMIFS('Stock In'!F:F,'Stock In'!C:C,$A482,'Stock In'!D:D,$B482,'Stock In'!E:E,$C482),0)</f>
        <v>0</v>
      </c>
      <c r="E482" s="70">
        <f>IFERROR(SUMIFS(Issues!H:H,Issues!C:C,$A482,Issues!D:D,$B482,Issues!E:E,$C482),0)</f>
        <v>0</v>
      </c>
      <c r="F482" s="70">
        <f>IFERROR(SUMIFS(Returns!H:H,Returns!C:C,$A482,Returns!D:D,$B482,Returns!E:E,$C482),0)</f>
        <v>0</v>
      </c>
      <c r="G482" s="70">
        <f t="shared" si="1"/>
        <v>0</v>
      </c>
      <c r="H482" s="71">
        <f t="shared" si="2"/>
        <v>0</v>
      </c>
      <c r="I482" s="72">
        <f>IFERROR( SUMIFS('Stock In'!I:I,'Stock In'!C:C,$A482,'Stock In'!D:D,$B482,'Stock In'!E:E,$C482) / SUMIFS('Stock In'!H:H,'Stock In'!C:C,$A482,'Stock In'!D:D,$B482,'Stock In'!E:E,$C482) , 0)</f>
        <v>0</v>
      </c>
      <c r="J482" s="71">
        <f t="shared" si="3"/>
        <v>0</v>
      </c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8"/>
      <c r="B483" s="68"/>
      <c r="C483" s="68"/>
      <c r="D483" s="70">
        <f>IFERROR(SUMIFS('Stock In'!F:F,'Stock In'!C:C,$A483,'Stock In'!D:D,$B483,'Stock In'!E:E,$C483),0)</f>
        <v>0</v>
      </c>
      <c r="E483" s="70">
        <f>IFERROR(SUMIFS(Issues!H:H,Issues!C:C,$A483,Issues!D:D,$B483,Issues!E:E,$C483),0)</f>
        <v>0</v>
      </c>
      <c r="F483" s="70">
        <f>IFERROR(SUMIFS(Returns!H:H,Returns!C:C,$A483,Returns!D:D,$B483,Returns!E:E,$C483),0)</f>
        <v>0</v>
      </c>
      <c r="G483" s="70">
        <f t="shared" si="1"/>
        <v>0</v>
      </c>
      <c r="H483" s="71">
        <f t="shared" si="2"/>
        <v>0</v>
      </c>
      <c r="I483" s="72">
        <f>IFERROR( SUMIFS('Stock In'!I:I,'Stock In'!C:C,$A483,'Stock In'!D:D,$B483,'Stock In'!E:E,$C483) / SUMIFS('Stock In'!H:H,'Stock In'!C:C,$A483,'Stock In'!D:D,$B483,'Stock In'!E:E,$C483) , 0)</f>
        <v>0</v>
      </c>
      <c r="J483" s="71">
        <f t="shared" si="3"/>
        <v>0</v>
      </c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8"/>
      <c r="B484" s="68"/>
      <c r="C484" s="68"/>
      <c r="D484" s="70">
        <f>IFERROR(SUMIFS('Stock In'!F:F,'Stock In'!C:C,$A484,'Stock In'!D:D,$B484,'Stock In'!E:E,$C484),0)</f>
        <v>0</v>
      </c>
      <c r="E484" s="70">
        <f>IFERROR(SUMIFS(Issues!H:H,Issues!C:C,$A484,Issues!D:D,$B484,Issues!E:E,$C484),0)</f>
        <v>0</v>
      </c>
      <c r="F484" s="70">
        <f>IFERROR(SUMIFS(Returns!H:H,Returns!C:C,$A484,Returns!D:D,$B484,Returns!E:E,$C484),0)</f>
        <v>0</v>
      </c>
      <c r="G484" s="70">
        <f t="shared" si="1"/>
        <v>0</v>
      </c>
      <c r="H484" s="71">
        <f t="shared" si="2"/>
        <v>0</v>
      </c>
      <c r="I484" s="72">
        <f>IFERROR( SUMIFS('Stock In'!I:I,'Stock In'!C:C,$A484,'Stock In'!D:D,$B484,'Stock In'!E:E,$C484) / SUMIFS('Stock In'!H:H,'Stock In'!C:C,$A484,'Stock In'!D:D,$B484,'Stock In'!E:E,$C484) , 0)</f>
        <v>0</v>
      </c>
      <c r="J484" s="71">
        <f t="shared" si="3"/>
        <v>0</v>
      </c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8"/>
      <c r="B485" s="68"/>
      <c r="C485" s="68"/>
      <c r="D485" s="70">
        <f>IFERROR(SUMIFS('Stock In'!F:F,'Stock In'!C:C,$A485,'Stock In'!D:D,$B485,'Stock In'!E:E,$C485),0)</f>
        <v>0</v>
      </c>
      <c r="E485" s="70">
        <f>IFERROR(SUMIFS(Issues!H:H,Issues!C:C,$A485,Issues!D:D,$B485,Issues!E:E,$C485),0)</f>
        <v>0</v>
      </c>
      <c r="F485" s="70">
        <f>IFERROR(SUMIFS(Returns!H:H,Returns!C:C,$A485,Returns!D:D,$B485,Returns!E:E,$C485),0)</f>
        <v>0</v>
      </c>
      <c r="G485" s="70">
        <f t="shared" si="1"/>
        <v>0</v>
      </c>
      <c r="H485" s="71">
        <f t="shared" si="2"/>
        <v>0</v>
      </c>
      <c r="I485" s="72">
        <f>IFERROR( SUMIFS('Stock In'!I:I,'Stock In'!C:C,$A485,'Stock In'!D:D,$B485,'Stock In'!E:E,$C485) / SUMIFS('Stock In'!H:H,'Stock In'!C:C,$A485,'Stock In'!D:D,$B485,'Stock In'!E:E,$C485) , 0)</f>
        <v>0</v>
      </c>
      <c r="J485" s="71">
        <f t="shared" si="3"/>
        <v>0</v>
      </c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8"/>
      <c r="B486" s="68"/>
      <c r="C486" s="68"/>
      <c r="D486" s="70">
        <f>IFERROR(SUMIFS('Stock In'!F:F,'Stock In'!C:C,$A486,'Stock In'!D:D,$B486,'Stock In'!E:E,$C486),0)</f>
        <v>0</v>
      </c>
      <c r="E486" s="70">
        <f>IFERROR(SUMIFS(Issues!H:H,Issues!C:C,$A486,Issues!D:D,$B486,Issues!E:E,$C486),0)</f>
        <v>0</v>
      </c>
      <c r="F486" s="70">
        <f>IFERROR(SUMIFS(Returns!H:H,Returns!C:C,$A486,Returns!D:D,$B486,Returns!E:E,$C486),0)</f>
        <v>0</v>
      </c>
      <c r="G486" s="70">
        <f t="shared" si="1"/>
        <v>0</v>
      </c>
      <c r="H486" s="71">
        <f t="shared" si="2"/>
        <v>0</v>
      </c>
      <c r="I486" s="72">
        <f>IFERROR( SUMIFS('Stock In'!I:I,'Stock In'!C:C,$A486,'Stock In'!D:D,$B486,'Stock In'!E:E,$C486) / SUMIFS('Stock In'!H:H,'Stock In'!C:C,$A486,'Stock In'!D:D,$B486,'Stock In'!E:E,$C486) , 0)</f>
        <v>0</v>
      </c>
      <c r="J486" s="71">
        <f t="shared" si="3"/>
        <v>0</v>
      </c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8"/>
      <c r="B487" s="68"/>
      <c r="C487" s="68"/>
      <c r="D487" s="70">
        <f>IFERROR(SUMIFS('Stock In'!F:F,'Stock In'!C:C,$A487,'Stock In'!D:D,$B487,'Stock In'!E:E,$C487),0)</f>
        <v>0</v>
      </c>
      <c r="E487" s="70">
        <f>IFERROR(SUMIFS(Issues!H:H,Issues!C:C,$A487,Issues!D:D,$B487,Issues!E:E,$C487),0)</f>
        <v>0</v>
      </c>
      <c r="F487" s="70">
        <f>IFERROR(SUMIFS(Returns!H:H,Returns!C:C,$A487,Returns!D:D,$B487,Returns!E:E,$C487),0)</f>
        <v>0</v>
      </c>
      <c r="G487" s="70">
        <f t="shared" si="1"/>
        <v>0</v>
      </c>
      <c r="H487" s="71">
        <f t="shared" si="2"/>
        <v>0</v>
      </c>
      <c r="I487" s="72">
        <f>IFERROR( SUMIFS('Stock In'!I:I,'Stock In'!C:C,$A487,'Stock In'!D:D,$B487,'Stock In'!E:E,$C487) / SUMIFS('Stock In'!H:H,'Stock In'!C:C,$A487,'Stock In'!D:D,$B487,'Stock In'!E:E,$C487) , 0)</f>
        <v>0</v>
      </c>
      <c r="J487" s="71">
        <f t="shared" si="3"/>
        <v>0</v>
      </c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8"/>
      <c r="B488" s="68"/>
      <c r="C488" s="68"/>
      <c r="D488" s="70">
        <f>IFERROR(SUMIFS('Stock In'!F:F,'Stock In'!C:C,$A488,'Stock In'!D:D,$B488,'Stock In'!E:E,$C488),0)</f>
        <v>0</v>
      </c>
      <c r="E488" s="70">
        <f>IFERROR(SUMIFS(Issues!H:H,Issues!C:C,$A488,Issues!D:D,$B488,Issues!E:E,$C488),0)</f>
        <v>0</v>
      </c>
      <c r="F488" s="70">
        <f>IFERROR(SUMIFS(Returns!H:H,Returns!C:C,$A488,Returns!D:D,$B488,Returns!E:E,$C488),0)</f>
        <v>0</v>
      </c>
      <c r="G488" s="70">
        <f t="shared" si="1"/>
        <v>0</v>
      </c>
      <c r="H488" s="71">
        <f t="shared" si="2"/>
        <v>0</v>
      </c>
      <c r="I488" s="72">
        <f>IFERROR( SUMIFS('Stock In'!I:I,'Stock In'!C:C,$A488,'Stock In'!D:D,$B488,'Stock In'!E:E,$C488) / SUMIFS('Stock In'!H:H,'Stock In'!C:C,$A488,'Stock In'!D:D,$B488,'Stock In'!E:E,$C488) , 0)</f>
        <v>0</v>
      </c>
      <c r="J488" s="71">
        <f t="shared" si="3"/>
        <v>0</v>
      </c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8"/>
      <c r="B489" s="68"/>
      <c r="C489" s="68"/>
      <c r="D489" s="70">
        <f>IFERROR(SUMIFS('Stock In'!F:F,'Stock In'!C:C,$A489,'Stock In'!D:D,$B489,'Stock In'!E:E,$C489),0)</f>
        <v>0</v>
      </c>
      <c r="E489" s="70">
        <f>IFERROR(SUMIFS(Issues!H:H,Issues!C:C,$A489,Issues!D:D,$B489,Issues!E:E,$C489),0)</f>
        <v>0</v>
      </c>
      <c r="F489" s="70">
        <f>IFERROR(SUMIFS(Returns!H:H,Returns!C:C,$A489,Returns!D:D,$B489,Returns!E:E,$C489),0)</f>
        <v>0</v>
      </c>
      <c r="G489" s="70">
        <f t="shared" si="1"/>
        <v>0</v>
      </c>
      <c r="H489" s="71">
        <f t="shared" si="2"/>
        <v>0</v>
      </c>
      <c r="I489" s="72">
        <f>IFERROR( SUMIFS('Stock In'!I:I,'Stock In'!C:C,$A489,'Stock In'!D:D,$B489,'Stock In'!E:E,$C489) / SUMIFS('Stock In'!H:H,'Stock In'!C:C,$A489,'Stock In'!D:D,$B489,'Stock In'!E:E,$C489) , 0)</f>
        <v>0</v>
      </c>
      <c r="J489" s="71">
        <f t="shared" si="3"/>
        <v>0</v>
      </c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8"/>
      <c r="B490" s="68"/>
      <c r="C490" s="68"/>
      <c r="D490" s="70">
        <f>IFERROR(SUMIFS('Stock In'!F:F,'Stock In'!C:C,$A490,'Stock In'!D:D,$B490,'Stock In'!E:E,$C490),0)</f>
        <v>0</v>
      </c>
      <c r="E490" s="70">
        <f>IFERROR(SUMIFS(Issues!H:H,Issues!C:C,$A490,Issues!D:D,$B490,Issues!E:E,$C490),0)</f>
        <v>0</v>
      </c>
      <c r="F490" s="70">
        <f>IFERROR(SUMIFS(Returns!H:H,Returns!C:C,$A490,Returns!D:D,$B490,Returns!E:E,$C490),0)</f>
        <v>0</v>
      </c>
      <c r="G490" s="70">
        <f t="shared" si="1"/>
        <v>0</v>
      </c>
      <c r="H490" s="71">
        <f t="shared" si="2"/>
        <v>0</v>
      </c>
      <c r="I490" s="72">
        <f>IFERROR( SUMIFS('Stock In'!I:I,'Stock In'!C:C,$A490,'Stock In'!D:D,$B490,'Stock In'!E:E,$C490) / SUMIFS('Stock In'!H:H,'Stock In'!C:C,$A490,'Stock In'!D:D,$B490,'Stock In'!E:E,$C490) , 0)</f>
        <v>0</v>
      </c>
      <c r="J490" s="71">
        <f t="shared" si="3"/>
        <v>0</v>
      </c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8"/>
      <c r="B491" s="68"/>
      <c r="C491" s="68"/>
      <c r="D491" s="70">
        <f>IFERROR(SUMIFS('Stock In'!F:F,'Stock In'!C:C,$A491,'Stock In'!D:D,$B491,'Stock In'!E:E,$C491),0)</f>
        <v>0</v>
      </c>
      <c r="E491" s="70">
        <f>IFERROR(SUMIFS(Issues!H:H,Issues!C:C,$A491,Issues!D:D,$B491,Issues!E:E,$C491),0)</f>
        <v>0</v>
      </c>
      <c r="F491" s="70">
        <f>IFERROR(SUMIFS(Returns!H:H,Returns!C:C,$A491,Returns!D:D,$B491,Returns!E:E,$C491),0)</f>
        <v>0</v>
      </c>
      <c r="G491" s="70">
        <f t="shared" si="1"/>
        <v>0</v>
      </c>
      <c r="H491" s="71">
        <f t="shared" si="2"/>
        <v>0</v>
      </c>
      <c r="I491" s="72">
        <f>IFERROR( SUMIFS('Stock In'!I:I,'Stock In'!C:C,$A491,'Stock In'!D:D,$B491,'Stock In'!E:E,$C491) / SUMIFS('Stock In'!H:H,'Stock In'!C:C,$A491,'Stock In'!D:D,$B491,'Stock In'!E:E,$C491) , 0)</f>
        <v>0</v>
      </c>
      <c r="J491" s="71">
        <f t="shared" si="3"/>
        <v>0</v>
      </c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8"/>
      <c r="B492" s="68"/>
      <c r="C492" s="68"/>
      <c r="D492" s="70">
        <f>IFERROR(SUMIFS('Stock In'!F:F,'Stock In'!C:C,$A492,'Stock In'!D:D,$B492,'Stock In'!E:E,$C492),0)</f>
        <v>0</v>
      </c>
      <c r="E492" s="70">
        <f>IFERROR(SUMIFS(Issues!H:H,Issues!C:C,$A492,Issues!D:D,$B492,Issues!E:E,$C492),0)</f>
        <v>0</v>
      </c>
      <c r="F492" s="70">
        <f>IFERROR(SUMIFS(Returns!H:H,Returns!C:C,$A492,Returns!D:D,$B492,Returns!E:E,$C492),0)</f>
        <v>0</v>
      </c>
      <c r="G492" s="70">
        <f t="shared" si="1"/>
        <v>0</v>
      </c>
      <c r="H492" s="71">
        <f t="shared" si="2"/>
        <v>0</v>
      </c>
      <c r="I492" s="72">
        <f>IFERROR( SUMIFS('Stock In'!I:I,'Stock In'!C:C,$A492,'Stock In'!D:D,$B492,'Stock In'!E:E,$C492) / SUMIFS('Stock In'!H:H,'Stock In'!C:C,$A492,'Stock In'!D:D,$B492,'Stock In'!E:E,$C492) , 0)</f>
        <v>0</v>
      </c>
      <c r="J492" s="71">
        <f t="shared" si="3"/>
        <v>0</v>
      </c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8"/>
      <c r="B493" s="68"/>
      <c r="C493" s="68"/>
      <c r="D493" s="70">
        <f>IFERROR(SUMIFS('Stock In'!F:F,'Stock In'!C:C,$A493,'Stock In'!D:D,$B493,'Stock In'!E:E,$C493),0)</f>
        <v>0</v>
      </c>
      <c r="E493" s="70">
        <f>IFERROR(SUMIFS(Issues!H:H,Issues!C:C,$A493,Issues!D:D,$B493,Issues!E:E,$C493),0)</f>
        <v>0</v>
      </c>
      <c r="F493" s="70">
        <f>IFERROR(SUMIFS(Returns!H:H,Returns!C:C,$A493,Returns!D:D,$B493,Returns!E:E,$C493),0)</f>
        <v>0</v>
      </c>
      <c r="G493" s="70">
        <f t="shared" si="1"/>
        <v>0</v>
      </c>
      <c r="H493" s="71">
        <f t="shared" si="2"/>
        <v>0</v>
      </c>
      <c r="I493" s="72">
        <f>IFERROR( SUMIFS('Stock In'!I:I,'Stock In'!C:C,$A493,'Stock In'!D:D,$B493,'Stock In'!E:E,$C493) / SUMIFS('Stock In'!H:H,'Stock In'!C:C,$A493,'Stock In'!D:D,$B493,'Stock In'!E:E,$C493) , 0)</f>
        <v>0</v>
      </c>
      <c r="J493" s="71">
        <f t="shared" si="3"/>
        <v>0</v>
      </c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8"/>
      <c r="B494" s="68"/>
      <c r="C494" s="68"/>
      <c r="D494" s="70">
        <f>IFERROR(SUMIFS('Stock In'!F:F,'Stock In'!C:C,$A494,'Stock In'!D:D,$B494,'Stock In'!E:E,$C494),0)</f>
        <v>0</v>
      </c>
      <c r="E494" s="70">
        <f>IFERROR(SUMIFS(Issues!H:H,Issues!C:C,$A494,Issues!D:D,$B494,Issues!E:E,$C494),0)</f>
        <v>0</v>
      </c>
      <c r="F494" s="70">
        <f>IFERROR(SUMIFS(Returns!H:H,Returns!C:C,$A494,Returns!D:D,$B494,Returns!E:E,$C494),0)</f>
        <v>0</v>
      </c>
      <c r="G494" s="70">
        <f t="shared" si="1"/>
        <v>0</v>
      </c>
      <c r="H494" s="71">
        <f t="shared" si="2"/>
        <v>0</v>
      </c>
      <c r="I494" s="72">
        <f>IFERROR( SUMIFS('Stock In'!I:I,'Stock In'!C:C,$A494,'Stock In'!D:D,$B494,'Stock In'!E:E,$C494) / SUMIFS('Stock In'!H:H,'Stock In'!C:C,$A494,'Stock In'!D:D,$B494,'Stock In'!E:E,$C494) , 0)</f>
        <v>0</v>
      </c>
      <c r="J494" s="71">
        <f t="shared" si="3"/>
        <v>0</v>
      </c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8"/>
      <c r="B495" s="68"/>
      <c r="C495" s="68"/>
      <c r="D495" s="70">
        <f>IFERROR(SUMIFS('Stock In'!F:F,'Stock In'!C:C,$A495,'Stock In'!D:D,$B495,'Stock In'!E:E,$C495),0)</f>
        <v>0</v>
      </c>
      <c r="E495" s="70">
        <f>IFERROR(SUMIFS(Issues!H:H,Issues!C:C,$A495,Issues!D:D,$B495,Issues!E:E,$C495),0)</f>
        <v>0</v>
      </c>
      <c r="F495" s="70">
        <f>IFERROR(SUMIFS(Returns!H:H,Returns!C:C,$A495,Returns!D:D,$B495,Returns!E:E,$C495),0)</f>
        <v>0</v>
      </c>
      <c r="G495" s="70">
        <f t="shared" si="1"/>
        <v>0</v>
      </c>
      <c r="H495" s="71">
        <f t="shared" si="2"/>
        <v>0</v>
      </c>
      <c r="I495" s="72">
        <f>IFERROR( SUMIFS('Stock In'!I:I,'Stock In'!C:C,$A495,'Stock In'!D:D,$B495,'Stock In'!E:E,$C495) / SUMIFS('Stock In'!H:H,'Stock In'!C:C,$A495,'Stock In'!D:D,$B495,'Stock In'!E:E,$C495) , 0)</f>
        <v>0</v>
      </c>
      <c r="J495" s="71">
        <f t="shared" si="3"/>
        <v>0</v>
      </c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8"/>
      <c r="B496" s="68"/>
      <c r="C496" s="68"/>
      <c r="D496" s="70">
        <f>IFERROR(SUMIFS('Stock In'!F:F,'Stock In'!C:C,$A496,'Stock In'!D:D,$B496,'Stock In'!E:E,$C496),0)</f>
        <v>0</v>
      </c>
      <c r="E496" s="70">
        <f>IFERROR(SUMIFS(Issues!H:H,Issues!C:C,$A496,Issues!D:D,$B496,Issues!E:E,$C496),0)</f>
        <v>0</v>
      </c>
      <c r="F496" s="70">
        <f>IFERROR(SUMIFS(Returns!H:H,Returns!C:C,$A496,Returns!D:D,$B496,Returns!E:E,$C496),0)</f>
        <v>0</v>
      </c>
      <c r="G496" s="70">
        <f t="shared" si="1"/>
        <v>0</v>
      </c>
      <c r="H496" s="71">
        <f t="shared" si="2"/>
        <v>0</v>
      </c>
      <c r="I496" s="72">
        <f>IFERROR( SUMIFS('Stock In'!I:I,'Stock In'!C:C,$A496,'Stock In'!D:D,$B496,'Stock In'!E:E,$C496) / SUMIFS('Stock In'!H:H,'Stock In'!C:C,$A496,'Stock In'!D:D,$B496,'Stock In'!E:E,$C496) , 0)</f>
        <v>0</v>
      </c>
      <c r="J496" s="71">
        <f t="shared" si="3"/>
        <v>0</v>
      </c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8"/>
      <c r="B497" s="68"/>
      <c r="C497" s="68"/>
      <c r="D497" s="70">
        <f>IFERROR(SUMIFS('Stock In'!F:F,'Stock In'!C:C,$A497,'Stock In'!D:D,$B497,'Stock In'!E:E,$C497),0)</f>
        <v>0</v>
      </c>
      <c r="E497" s="70">
        <f>IFERROR(SUMIFS(Issues!H:H,Issues!C:C,$A497,Issues!D:D,$B497,Issues!E:E,$C497),0)</f>
        <v>0</v>
      </c>
      <c r="F497" s="70">
        <f>IFERROR(SUMIFS(Returns!H:H,Returns!C:C,$A497,Returns!D:D,$B497,Returns!E:E,$C497),0)</f>
        <v>0</v>
      </c>
      <c r="G497" s="70">
        <f t="shared" si="1"/>
        <v>0</v>
      </c>
      <c r="H497" s="71">
        <f t="shared" si="2"/>
        <v>0</v>
      </c>
      <c r="I497" s="72">
        <f>IFERROR( SUMIFS('Stock In'!I:I,'Stock In'!C:C,$A497,'Stock In'!D:D,$B497,'Stock In'!E:E,$C497) / SUMIFS('Stock In'!H:H,'Stock In'!C:C,$A497,'Stock In'!D:D,$B497,'Stock In'!E:E,$C497) , 0)</f>
        <v>0</v>
      </c>
      <c r="J497" s="71">
        <f t="shared" si="3"/>
        <v>0</v>
      </c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8"/>
      <c r="B498" s="68"/>
      <c r="C498" s="68"/>
      <c r="D498" s="70">
        <f>IFERROR(SUMIFS('Stock In'!F:F,'Stock In'!C:C,$A498,'Stock In'!D:D,$B498,'Stock In'!E:E,$C498),0)</f>
        <v>0</v>
      </c>
      <c r="E498" s="70">
        <f>IFERROR(SUMIFS(Issues!H:H,Issues!C:C,$A498,Issues!D:D,$B498,Issues!E:E,$C498),0)</f>
        <v>0</v>
      </c>
      <c r="F498" s="70">
        <f>IFERROR(SUMIFS(Returns!H:H,Returns!C:C,$A498,Returns!D:D,$B498,Returns!E:E,$C498),0)</f>
        <v>0</v>
      </c>
      <c r="G498" s="70">
        <f t="shared" si="1"/>
        <v>0</v>
      </c>
      <c r="H498" s="71">
        <f t="shared" si="2"/>
        <v>0</v>
      </c>
      <c r="I498" s="72">
        <f>IFERROR( SUMIFS('Stock In'!I:I,'Stock In'!C:C,$A498,'Stock In'!D:D,$B498,'Stock In'!E:E,$C498) / SUMIFS('Stock In'!H:H,'Stock In'!C:C,$A498,'Stock In'!D:D,$B498,'Stock In'!E:E,$C498) , 0)</f>
        <v>0</v>
      </c>
      <c r="J498" s="71">
        <f t="shared" si="3"/>
        <v>0</v>
      </c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8"/>
      <c r="B499" s="68"/>
      <c r="C499" s="68"/>
      <c r="D499" s="70">
        <f>IFERROR(SUMIFS('Stock In'!F:F,'Stock In'!C:C,$A499,'Stock In'!D:D,$B499,'Stock In'!E:E,$C499),0)</f>
        <v>0</v>
      </c>
      <c r="E499" s="70">
        <f>IFERROR(SUMIFS(Issues!H:H,Issues!C:C,$A499,Issues!D:D,$B499,Issues!E:E,$C499),0)</f>
        <v>0</v>
      </c>
      <c r="F499" s="70">
        <f>IFERROR(SUMIFS(Returns!H:H,Returns!C:C,$A499,Returns!D:D,$B499,Returns!E:E,$C499),0)</f>
        <v>0</v>
      </c>
      <c r="G499" s="70">
        <f t="shared" si="1"/>
        <v>0</v>
      </c>
      <c r="H499" s="71">
        <f t="shared" si="2"/>
        <v>0</v>
      </c>
      <c r="I499" s="72">
        <f>IFERROR( SUMIFS('Stock In'!I:I,'Stock In'!C:C,$A499,'Stock In'!D:D,$B499,'Stock In'!E:E,$C499) / SUMIFS('Stock In'!H:H,'Stock In'!C:C,$A499,'Stock In'!D:D,$B499,'Stock In'!E:E,$C499) , 0)</f>
        <v>0</v>
      </c>
      <c r="J499" s="71">
        <f t="shared" si="3"/>
        <v>0</v>
      </c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8"/>
      <c r="B500" s="68"/>
      <c r="C500" s="68"/>
      <c r="D500" s="70">
        <f>IFERROR(SUMIFS('Stock In'!F:F,'Stock In'!C:C,$A500,'Stock In'!D:D,$B500,'Stock In'!E:E,$C500),0)</f>
        <v>0</v>
      </c>
      <c r="E500" s="70">
        <f>IFERROR(SUMIFS(Issues!H:H,Issues!C:C,$A500,Issues!D:D,$B500,Issues!E:E,$C500),0)</f>
        <v>0</v>
      </c>
      <c r="F500" s="70">
        <f>IFERROR(SUMIFS(Returns!H:H,Returns!C:C,$A500,Returns!D:D,$B500,Returns!E:E,$C500),0)</f>
        <v>0</v>
      </c>
      <c r="G500" s="70">
        <f t="shared" si="1"/>
        <v>0</v>
      </c>
      <c r="H500" s="71">
        <f t="shared" si="2"/>
        <v>0</v>
      </c>
      <c r="I500" s="72">
        <f>IFERROR( SUMIFS('Stock In'!I:I,'Stock In'!C:C,$A500,'Stock In'!D:D,$B500,'Stock In'!E:E,$C500) / SUMIFS('Stock In'!H:H,'Stock In'!C:C,$A500,'Stock In'!D:D,$B500,'Stock In'!E:E,$C500) , 0)</f>
        <v>0</v>
      </c>
      <c r="J500" s="71">
        <f t="shared" si="3"/>
        <v>0</v>
      </c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8"/>
      <c r="B501" s="68"/>
      <c r="C501" s="68"/>
      <c r="D501" s="70">
        <f>IFERROR(SUMIFS('Stock In'!F:F,'Stock In'!C:C,$A501,'Stock In'!D:D,$B501,'Stock In'!E:E,$C501),0)</f>
        <v>0</v>
      </c>
      <c r="E501" s="70">
        <f>IFERROR(SUMIFS(Issues!H:H,Issues!C:C,$A501,Issues!D:D,$B501,Issues!E:E,$C501),0)</f>
        <v>0</v>
      </c>
      <c r="F501" s="70">
        <f>IFERROR(SUMIFS(Returns!H:H,Returns!C:C,$A501,Returns!D:D,$B501,Returns!E:E,$C501),0)</f>
        <v>0</v>
      </c>
      <c r="G501" s="70">
        <f t="shared" si="1"/>
        <v>0</v>
      </c>
      <c r="H501" s="71">
        <f t="shared" si="2"/>
        <v>0</v>
      </c>
      <c r="I501" s="72">
        <f>IFERROR( SUMIFS('Stock In'!I:I,'Stock In'!C:C,$A501,'Stock In'!D:D,$B501,'Stock In'!E:E,$C501) / SUMIFS('Stock In'!H:H,'Stock In'!C:C,$A501,'Stock In'!D:D,$B501,'Stock In'!E:E,$C501) , 0)</f>
        <v>0</v>
      </c>
      <c r="J501" s="71">
        <f t="shared" si="3"/>
        <v>0</v>
      </c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8"/>
      <c r="B502" s="68"/>
      <c r="C502" s="68"/>
      <c r="D502" s="70">
        <f>IFERROR(SUMIFS('Stock In'!F:F,'Stock In'!C:C,$A502,'Stock In'!D:D,$B502,'Stock In'!E:E,$C502),0)</f>
        <v>0</v>
      </c>
      <c r="E502" s="70">
        <f>IFERROR(SUMIFS(Issues!H:H,Issues!C:C,$A502,Issues!D:D,$B502,Issues!E:E,$C502),0)</f>
        <v>0</v>
      </c>
      <c r="F502" s="70">
        <f>IFERROR(SUMIFS(Returns!H:H,Returns!C:C,$A502,Returns!D:D,$B502,Returns!E:E,$C502),0)</f>
        <v>0</v>
      </c>
      <c r="G502" s="70">
        <f t="shared" si="1"/>
        <v>0</v>
      </c>
      <c r="H502" s="71">
        <f t="shared" si="2"/>
        <v>0</v>
      </c>
      <c r="I502" s="72">
        <f>IFERROR( SUMIFS('Stock In'!I:I,'Stock In'!C:C,$A502,'Stock In'!D:D,$B502,'Stock In'!E:E,$C502) / SUMIFS('Stock In'!H:H,'Stock In'!C:C,$A502,'Stock In'!D:D,$B502,'Stock In'!E:E,$C502) , 0)</f>
        <v>0</v>
      </c>
      <c r="J502" s="71">
        <f t="shared" si="3"/>
        <v>0</v>
      </c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8"/>
      <c r="B503" s="68"/>
      <c r="C503" s="68"/>
      <c r="D503" s="70">
        <f>IFERROR(SUMIFS('Stock In'!F:F,'Stock In'!C:C,$A503,'Stock In'!D:D,$B503,'Stock In'!E:E,$C503),0)</f>
        <v>0</v>
      </c>
      <c r="E503" s="70">
        <f>IFERROR(SUMIFS(Issues!H:H,Issues!C:C,$A503,Issues!D:D,$B503,Issues!E:E,$C503),0)</f>
        <v>0</v>
      </c>
      <c r="F503" s="70">
        <f>IFERROR(SUMIFS(Returns!H:H,Returns!C:C,$A503,Returns!D:D,$B503,Returns!E:E,$C503),0)</f>
        <v>0</v>
      </c>
      <c r="G503" s="70">
        <f t="shared" si="1"/>
        <v>0</v>
      </c>
      <c r="H503" s="71">
        <f t="shared" si="2"/>
        <v>0</v>
      </c>
      <c r="I503" s="72">
        <f>IFERROR( SUMIFS('Stock In'!I:I,'Stock In'!C:C,$A503,'Stock In'!D:D,$B503,'Stock In'!E:E,$C503) / SUMIFS('Stock In'!H:H,'Stock In'!C:C,$A503,'Stock In'!D:D,$B503,'Stock In'!E:E,$C503) , 0)</f>
        <v>0</v>
      </c>
      <c r="J503" s="71">
        <f t="shared" si="3"/>
        <v>0</v>
      </c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8"/>
      <c r="B504" s="68"/>
      <c r="C504" s="68"/>
      <c r="D504" s="70">
        <f>IFERROR(SUMIFS('Stock In'!F:F,'Stock In'!C:C,$A504,'Stock In'!D:D,$B504,'Stock In'!E:E,$C504),0)</f>
        <v>0</v>
      </c>
      <c r="E504" s="70">
        <f>IFERROR(SUMIFS(Issues!H:H,Issues!C:C,$A504,Issues!D:D,$B504,Issues!E:E,$C504),0)</f>
        <v>0</v>
      </c>
      <c r="F504" s="70">
        <f>IFERROR(SUMIFS(Returns!H:H,Returns!C:C,$A504,Returns!D:D,$B504,Returns!E:E,$C504),0)</f>
        <v>0</v>
      </c>
      <c r="G504" s="70">
        <f t="shared" si="1"/>
        <v>0</v>
      </c>
      <c r="H504" s="71">
        <f t="shared" si="2"/>
        <v>0</v>
      </c>
      <c r="I504" s="72">
        <f>IFERROR( SUMIFS('Stock In'!I:I,'Stock In'!C:C,$A504,'Stock In'!D:D,$B504,'Stock In'!E:E,$C504) / SUMIFS('Stock In'!H:H,'Stock In'!C:C,$A504,'Stock In'!D:D,$B504,'Stock In'!E:E,$C504) , 0)</f>
        <v>0</v>
      </c>
      <c r="J504" s="71">
        <f t="shared" si="3"/>
        <v>0</v>
      </c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8"/>
      <c r="B505" s="68"/>
      <c r="C505" s="68"/>
      <c r="D505" s="70">
        <f>IFERROR(SUMIFS('Stock In'!F:F,'Stock In'!C:C,$A505,'Stock In'!D:D,$B505,'Stock In'!E:E,$C505),0)</f>
        <v>0</v>
      </c>
      <c r="E505" s="70">
        <f>IFERROR(SUMIFS(Issues!H:H,Issues!C:C,$A505,Issues!D:D,$B505,Issues!E:E,$C505),0)</f>
        <v>0</v>
      </c>
      <c r="F505" s="70">
        <f>IFERROR(SUMIFS(Returns!H:H,Returns!C:C,$A505,Returns!D:D,$B505,Returns!E:E,$C505),0)</f>
        <v>0</v>
      </c>
      <c r="G505" s="70">
        <f t="shared" si="1"/>
        <v>0</v>
      </c>
      <c r="H505" s="71">
        <f t="shared" si="2"/>
        <v>0</v>
      </c>
      <c r="I505" s="72">
        <f>IFERROR( SUMIFS('Stock In'!I:I,'Stock In'!C:C,$A505,'Stock In'!D:D,$B505,'Stock In'!E:E,$C505) / SUMIFS('Stock In'!H:H,'Stock In'!C:C,$A505,'Stock In'!D:D,$B505,'Stock In'!E:E,$C505) , 0)</f>
        <v>0</v>
      </c>
      <c r="J505" s="71">
        <f t="shared" si="3"/>
        <v>0</v>
      </c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8"/>
      <c r="B506" s="68"/>
      <c r="C506" s="68"/>
      <c r="D506" s="70">
        <f>IFERROR(SUMIFS('Stock In'!F:F,'Stock In'!C:C,$A506,'Stock In'!D:D,$B506,'Stock In'!E:E,$C506),0)</f>
        <v>0</v>
      </c>
      <c r="E506" s="70">
        <f>IFERROR(SUMIFS(Issues!H:H,Issues!C:C,$A506,Issues!D:D,$B506,Issues!E:E,$C506),0)</f>
        <v>0</v>
      </c>
      <c r="F506" s="70">
        <f>IFERROR(SUMIFS(Returns!H:H,Returns!C:C,$A506,Returns!D:D,$B506,Returns!E:E,$C506),0)</f>
        <v>0</v>
      </c>
      <c r="G506" s="70">
        <f t="shared" si="1"/>
        <v>0</v>
      </c>
      <c r="H506" s="71">
        <f t="shared" si="2"/>
        <v>0</v>
      </c>
      <c r="I506" s="72">
        <f>IFERROR( SUMIFS('Stock In'!I:I,'Stock In'!C:C,$A506,'Stock In'!D:D,$B506,'Stock In'!E:E,$C506) / SUMIFS('Stock In'!H:H,'Stock In'!C:C,$A506,'Stock In'!D:D,$B506,'Stock In'!E:E,$C506) , 0)</f>
        <v>0</v>
      </c>
      <c r="J506" s="71">
        <f t="shared" si="3"/>
        <v>0</v>
      </c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8"/>
      <c r="B507" s="68"/>
      <c r="C507" s="68"/>
      <c r="D507" s="70">
        <f>IFERROR(SUMIFS('Stock In'!F:F,'Stock In'!C:C,$A507,'Stock In'!D:D,$B507,'Stock In'!E:E,$C507),0)</f>
        <v>0</v>
      </c>
      <c r="E507" s="70">
        <f>IFERROR(SUMIFS(Issues!H:H,Issues!C:C,$A507,Issues!D:D,$B507,Issues!E:E,$C507),0)</f>
        <v>0</v>
      </c>
      <c r="F507" s="70">
        <f>IFERROR(SUMIFS(Returns!H:H,Returns!C:C,$A507,Returns!D:D,$B507,Returns!E:E,$C507),0)</f>
        <v>0</v>
      </c>
      <c r="G507" s="70">
        <f t="shared" si="1"/>
        <v>0</v>
      </c>
      <c r="H507" s="71">
        <f t="shared" si="2"/>
        <v>0</v>
      </c>
      <c r="I507" s="72">
        <f>IFERROR( SUMIFS('Stock In'!I:I,'Stock In'!C:C,$A507,'Stock In'!D:D,$B507,'Stock In'!E:E,$C507) / SUMIFS('Stock In'!H:H,'Stock In'!C:C,$A507,'Stock In'!D:D,$B507,'Stock In'!E:E,$C507) , 0)</f>
        <v>0</v>
      </c>
      <c r="J507" s="71">
        <f t="shared" si="3"/>
        <v>0</v>
      </c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8"/>
      <c r="B508" s="68"/>
      <c r="C508" s="68"/>
      <c r="D508" s="70">
        <f>IFERROR(SUMIFS('Stock In'!F:F,'Stock In'!C:C,$A508,'Stock In'!D:D,$B508,'Stock In'!E:E,$C508),0)</f>
        <v>0</v>
      </c>
      <c r="E508" s="70">
        <f>IFERROR(SUMIFS(Issues!H:H,Issues!C:C,$A508,Issues!D:D,$B508,Issues!E:E,$C508),0)</f>
        <v>0</v>
      </c>
      <c r="F508" s="70">
        <f>IFERROR(SUMIFS(Returns!H:H,Returns!C:C,$A508,Returns!D:D,$B508,Returns!E:E,$C508),0)</f>
        <v>0</v>
      </c>
      <c r="G508" s="70">
        <f t="shared" si="1"/>
        <v>0</v>
      </c>
      <c r="H508" s="71">
        <f t="shared" si="2"/>
        <v>0</v>
      </c>
      <c r="I508" s="72">
        <f>IFERROR( SUMIFS('Stock In'!I:I,'Stock In'!C:C,$A508,'Stock In'!D:D,$B508,'Stock In'!E:E,$C508) / SUMIFS('Stock In'!H:H,'Stock In'!C:C,$A508,'Stock In'!D:D,$B508,'Stock In'!E:E,$C508) , 0)</f>
        <v>0</v>
      </c>
      <c r="J508" s="71">
        <f t="shared" si="3"/>
        <v>0</v>
      </c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8"/>
      <c r="B509" s="68"/>
      <c r="C509" s="68"/>
      <c r="D509" s="70">
        <f>IFERROR(SUMIFS('Stock In'!F:F,'Stock In'!C:C,$A509,'Stock In'!D:D,$B509,'Stock In'!E:E,$C509),0)</f>
        <v>0</v>
      </c>
      <c r="E509" s="70">
        <f>IFERROR(SUMIFS(Issues!H:H,Issues!C:C,$A509,Issues!D:D,$B509,Issues!E:E,$C509),0)</f>
        <v>0</v>
      </c>
      <c r="F509" s="70">
        <f>IFERROR(SUMIFS(Returns!H:H,Returns!C:C,$A509,Returns!D:D,$B509,Returns!E:E,$C509),0)</f>
        <v>0</v>
      </c>
      <c r="G509" s="70">
        <f t="shared" si="1"/>
        <v>0</v>
      </c>
      <c r="H509" s="71">
        <f t="shared" si="2"/>
        <v>0</v>
      </c>
      <c r="I509" s="72">
        <f>IFERROR( SUMIFS('Stock In'!I:I,'Stock In'!C:C,$A509,'Stock In'!D:D,$B509,'Stock In'!E:E,$C509) / SUMIFS('Stock In'!H:H,'Stock In'!C:C,$A509,'Stock In'!D:D,$B509,'Stock In'!E:E,$C509) , 0)</f>
        <v>0</v>
      </c>
      <c r="J509" s="71">
        <f t="shared" si="3"/>
        <v>0</v>
      </c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8"/>
      <c r="B510" s="68"/>
      <c r="C510" s="68"/>
      <c r="D510" s="70">
        <f>IFERROR(SUMIFS('Stock In'!F:F,'Stock In'!C:C,$A510,'Stock In'!D:D,$B510,'Stock In'!E:E,$C510),0)</f>
        <v>0</v>
      </c>
      <c r="E510" s="70">
        <f>IFERROR(SUMIFS(Issues!H:H,Issues!C:C,$A510,Issues!D:D,$B510,Issues!E:E,$C510),0)</f>
        <v>0</v>
      </c>
      <c r="F510" s="70">
        <f>IFERROR(SUMIFS(Returns!H:H,Returns!C:C,$A510,Returns!D:D,$B510,Returns!E:E,$C510),0)</f>
        <v>0</v>
      </c>
      <c r="G510" s="70">
        <f t="shared" si="1"/>
        <v>0</v>
      </c>
      <c r="H510" s="71">
        <f t="shared" si="2"/>
        <v>0</v>
      </c>
      <c r="I510" s="72">
        <f>IFERROR( SUMIFS('Stock In'!I:I,'Stock In'!C:C,$A510,'Stock In'!D:D,$B510,'Stock In'!E:E,$C510) / SUMIFS('Stock In'!H:H,'Stock In'!C:C,$A510,'Stock In'!D:D,$B510,'Stock In'!E:E,$C510) , 0)</f>
        <v>0</v>
      </c>
      <c r="J510" s="71">
        <f t="shared" si="3"/>
        <v>0</v>
      </c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8"/>
      <c r="B511" s="68"/>
      <c r="C511" s="68"/>
      <c r="D511" s="70">
        <f>IFERROR(SUMIFS('Stock In'!F:F,'Stock In'!C:C,$A511,'Stock In'!D:D,$B511,'Stock In'!E:E,$C511),0)</f>
        <v>0</v>
      </c>
      <c r="E511" s="70">
        <f>IFERROR(SUMIFS(Issues!H:H,Issues!C:C,$A511,Issues!D:D,$B511,Issues!E:E,$C511),0)</f>
        <v>0</v>
      </c>
      <c r="F511" s="70">
        <f>IFERROR(SUMIFS(Returns!H:H,Returns!C:C,$A511,Returns!D:D,$B511,Returns!E:E,$C511),0)</f>
        <v>0</v>
      </c>
      <c r="G511" s="70">
        <f t="shared" si="1"/>
        <v>0</v>
      </c>
      <c r="H511" s="71">
        <f t="shared" si="2"/>
        <v>0</v>
      </c>
      <c r="I511" s="72">
        <f>IFERROR( SUMIFS('Stock In'!I:I,'Stock In'!C:C,$A511,'Stock In'!D:D,$B511,'Stock In'!E:E,$C511) / SUMIFS('Stock In'!H:H,'Stock In'!C:C,$A511,'Stock In'!D:D,$B511,'Stock In'!E:E,$C511) , 0)</f>
        <v>0</v>
      </c>
      <c r="J511" s="71">
        <f t="shared" si="3"/>
        <v>0</v>
      </c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8"/>
      <c r="B512" s="68"/>
      <c r="C512" s="68"/>
      <c r="D512" s="70">
        <f>IFERROR(SUMIFS('Stock In'!F:F,'Stock In'!C:C,$A512,'Stock In'!D:D,$B512,'Stock In'!E:E,$C512),0)</f>
        <v>0</v>
      </c>
      <c r="E512" s="70">
        <f>IFERROR(SUMIFS(Issues!H:H,Issues!C:C,$A512,Issues!D:D,$B512,Issues!E:E,$C512),0)</f>
        <v>0</v>
      </c>
      <c r="F512" s="70">
        <f>IFERROR(SUMIFS(Returns!H:H,Returns!C:C,$A512,Returns!D:D,$B512,Returns!E:E,$C512),0)</f>
        <v>0</v>
      </c>
      <c r="G512" s="70">
        <f t="shared" si="1"/>
        <v>0</v>
      </c>
      <c r="H512" s="71">
        <f t="shared" si="2"/>
        <v>0</v>
      </c>
      <c r="I512" s="72">
        <f>IFERROR( SUMIFS('Stock In'!I:I,'Stock In'!C:C,$A512,'Stock In'!D:D,$B512,'Stock In'!E:E,$C512) / SUMIFS('Stock In'!H:H,'Stock In'!C:C,$A512,'Stock In'!D:D,$B512,'Stock In'!E:E,$C512) , 0)</f>
        <v>0</v>
      </c>
      <c r="J512" s="71">
        <f t="shared" si="3"/>
        <v>0</v>
      </c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8"/>
      <c r="B513" s="68"/>
      <c r="C513" s="68"/>
      <c r="D513" s="70">
        <f>IFERROR(SUMIFS('Stock In'!F:F,'Stock In'!C:C,$A513,'Stock In'!D:D,$B513,'Stock In'!E:E,$C513),0)</f>
        <v>0</v>
      </c>
      <c r="E513" s="70">
        <f>IFERROR(SUMIFS(Issues!H:H,Issues!C:C,$A513,Issues!D:D,$B513,Issues!E:E,$C513),0)</f>
        <v>0</v>
      </c>
      <c r="F513" s="70">
        <f>IFERROR(SUMIFS(Returns!H:H,Returns!C:C,$A513,Returns!D:D,$B513,Returns!E:E,$C513),0)</f>
        <v>0</v>
      </c>
      <c r="G513" s="70">
        <f t="shared" si="1"/>
        <v>0</v>
      </c>
      <c r="H513" s="71">
        <f t="shared" si="2"/>
        <v>0</v>
      </c>
      <c r="I513" s="72">
        <f>IFERROR( SUMIFS('Stock In'!I:I,'Stock In'!C:C,$A513,'Stock In'!D:D,$B513,'Stock In'!E:E,$C513) / SUMIFS('Stock In'!H:H,'Stock In'!C:C,$A513,'Stock In'!D:D,$B513,'Stock In'!E:E,$C513) , 0)</f>
        <v>0</v>
      </c>
      <c r="J513" s="71">
        <f t="shared" si="3"/>
        <v>0</v>
      </c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8"/>
      <c r="B514" s="68"/>
      <c r="C514" s="68"/>
      <c r="D514" s="70">
        <f>IFERROR(SUMIFS('Stock In'!F:F,'Stock In'!C:C,$A514,'Stock In'!D:D,$B514,'Stock In'!E:E,$C514),0)</f>
        <v>0</v>
      </c>
      <c r="E514" s="70">
        <f>IFERROR(SUMIFS(Issues!H:H,Issues!C:C,$A514,Issues!D:D,$B514,Issues!E:E,$C514),0)</f>
        <v>0</v>
      </c>
      <c r="F514" s="70">
        <f>IFERROR(SUMIFS(Returns!H:H,Returns!C:C,$A514,Returns!D:D,$B514,Returns!E:E,$C514),0)</f>
        <v>0</v>
      </c>
      <c r="G514" s="70">
        <f t="shared" si="1"/>
        <v>0</v>
      </c>
      <c r="H514" s="71">
        <f t="shared" si="2"/>
        <v>0</v>
      </c>
      <c r="I514" s="72">
        <f>IFERROR( SUMIFS('Stock In'!I:I,'Stock In'!C:C,$A514,'Stock In'!D:D,$B514,'Stock In'!E:E,$C514) / SUMIFS('Stock In'!H:H,'Stock In'!C:C,$A514,'Stock In'!D:D,$B514,'Stock In'!E:E,$C514) , 0)</f>
        <v>0</v>
      </c>
      <c r="J514" s="71">
        <f t="shared" si="3"/>
        <v>0</v>
      </c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8"/>
      <c r="B515" s="68"/>
      <c r="C515" s="68"/>
      <c r="D515" s="70">
        <f>IFERROR(SUMIFS('Stock In'!F:F,'Stock In'!C:C,$A515,'Stock In'!D:D,$B515,'Stock In'!E:E,$C515),0)</f>
        <v>0</v>
      </c>
      <c r="E515" s="70">
        <f>IFERROR(SUMIFS(Issues!H:H,Issues!C:C,$A515,Issues!D:D,$B515,Issues!E:E,$C515),0)</f>
        <v>0</v>
      </c>
      <c r="F515" s="70">
        <f>IFERROR(SUMIFS(Returns!H:H,Returns!C:C,$A515,Returns!D:D,$B515,Returns!E:E,$C515),0)</f>
        <v>0</v>
      </c>
      <c r="G515" s="70">
        <f t="shared" si="1"/>
        <v>0</v>
      </c>
      <c r="H515" s="71">
        <f t="shared" si="2"/>
        <v>0</v>
      </c>
      <c r="I515" s="72">
        <f>IFERROR( SUMIFS('Stock In'!I:I,'Stock In'!C:C,$A515,'Stock In'!D:D,$B515,'Stock In'!E:E,$C515) / SUMIFS('Stock In'!H:H,'Stock In'!C:C,$A515,'Stock In'!D:D,$B515,'Stock In'!E:E,$C515) , 0)</f>
        <v>0</v>
      </c>
      <c r="J515" s="71">
        <f t="shared" si="3"/>
        <v>0</v>
      </c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8"/>
      <c r="B516" s="68"/>
      <c r="C516" s="68"/>
      <c r="D516" s="70">
        <f>IFERROR(SUMIFS('Stock In'!F:F,'Stock In'!C:C,$A516,'Stock In'!D:D,$B516,'Stock In'!E:E,$C516),0)</f>
        <v>0</v>
      </c>
      <c r="E516" s="70">
        <f>IFERROR(SUMIFS(Issues!H:H,Issues!C:C,$A516,Issues!D:D,$B516,Issues!E:E,$C516),0)</f>
        <v>0</v>
      </c>
      <c r="F516" s="70">
        <f>IFERROR(SUMIFS(Returns!H:H,Returns!C:C,$A516,Returns!D:D,$B516,Returns!E:E,$C516),0)</f>
        <v>0</v>
      </c>
      <c r="G516" s="70">
        <f t="shared" si="1"/>
        <v>0</v>
      </c>
      <c r="H516" s="71">
        <f t="shared" si="2"/>
        <v>0</v>
      </c>
      <c r="I516" s="72">
        <f>IFERROR( SUMIFS('Stock In'!I:I,'Stock In'!C:C,$A516,'Stock In'!D:D,$B516,'Stock In'!E:E,$C516) / SUMIFS('Stock In'!H:H,'Stock In'!C:C,$A516,'Stock In'!D:D,$B516,'Stock In'!E:E,$C516) , 0)</f>
        <v>0</v>
      </c>
      <c r="J516" s="71">
        <f t="shared" si="3"/>
        <v>0</v>
      </c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8"/>
      <c r="B517" s="68"/>
      <c r="C517" s="68"/>
      <c r="D517" s="70">
        <f>IFERROR(SUMIFS('Stock In'!F:F,'Stock In'!C:C,$A517,'Stock In'!D:D,$B517,'Stock In'!E:E,$C517),0)</f>
        <v>0</v>
      </c>
      <c r="E517" s="70">
        <f>IFERROR(SUMIFS(Issues!H:H,Issues!C:C,$A517,Issues!D:D,$B517,Issues!E:E,$C517),0)</f>
        <v>0</v>
      </c>
      <c r="F517" s="70">
        <f>IFERROR(SUMIFS(Returns!H:H,Returns!C:C,$A517,Returns!D:D,$B517,Returns!E:E,$C517),0)</f>
        <v>0</v>
      </c>
      <c r="G517" s="70">
        <f t="shared" si="1"/>
        <v>0</v>
      </c>
      <c r="H517" s="71">
        <f t="shared" si="2"/>
        <v>0</v>
      </c>
      <c r="I517" s="72">
        <f>IFERROR( SUMIFS('Stock In'!I:I,'Stock In'!C:C,$A517,'Stock In'!D:D,$B517,'Stock In'!E:E,$C517) / SUMIFS('Stock In'!H:H,'Stock In'!C:C,$A517,'Stock In'!D:D,$B517,'Stock In'!E:E,$C517) , 0)</f>
        <v>0</v>
      </c>
      <c r="J517" s="71">
        <f t="shared" si="3"/>
        <v>0</v>
      </c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8"/>
      <c r="B518" s="68"/>
      <c r="C518" s="68"/>
      <c r="D518" s="70">
        <f>IFERROR(SUMIFS('Stock In'!F:F,'Stock In'!C:C,$A518,'Stock In'!D:D,$B518,'Stock In'!E:E,$C518),0)</f>
        <v>0</v>
      </c>
      <c r="E518" s="70">
        <f>IFERROR(SUMIFS(Issues!H:H,Issues!C:C,$A518,Issues!D:D,$B518,Issues!E:E,$C518),0)</f>
        <v>0</v>
      </c>
      <c r="F518" s="70">
        <f>IFERROR(SUMIFS(Returns!H:H,Returns!C:C,$A518,Returns!D:D,$B518,Returns!E:E,$C518),0)</f>
        <v>0</v>
      </c>
      <c r="G518" s="70">
        <f t="shared" si="1"/>
        <v>0</v>
      </c>
      <c r="H518" s="71">
        <f t="shared" si="2"/>
        <v>0</v>
      </c>
      <c r="I518" s="72">
        <f>IFERROR( SUMIFS('Stock In'!I:I,'Stock In'!C:C,$A518,'Stock In'!D:D,$B518,'Stock In'!E:E,$C518) / SUMIFS('Stock In'!H:H,'Stock In'!C:C,$A518,'Stock In'!D:D,$B518,'Stock In'!E:E,$C518) , 0)</f>
        <v>0</v>
      </c>
      <c r="J518" s="71">
        <f t="shared" si="3"/>
        <v>0</v>
      </c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8"/>
      <c r="B519" s="68"/>
      <c r="C519" s="68"/>
      <c r="D519" s="70">
        <f>IFERROR(SUMIFS('Stock In'!F:F,'Stock In'!C:C,$A519,'Stock In'!D:D,$B519,'Stock In'!E:E,$C519),0)</f>
        <v>0</v>
      </c>
      <c r="E519" s="70">
        <f>IFERROR(SUMIFS(Issues!H:H,Issues!C:C,$A519,Issues!D:D,$B519,Issues!E:E,$C519),0)</f>
        <v>0</v>
      </c>
      <c r="F519" s="70">
        <f>IFERROR(SUMIFS(Returns!H:H,Returns!C:C,$A519,Returns!D:D,$B519,Returns!E:E,$C519),0)</f>
        <v>0</v>
      </c>
      <c r="G519" s="70">
        <f t="shared" si="1"/>
        <v>0</v>
      </c>
      <c r="H519" s="71">
        <f t="shared" si="2"/>
        <v>0</v>
      </c>
      <c r="I519" s="72">
        <f>IFERROR( SUMIFS('Stock In'!I:I,'Stock In'!C:C,$A519,'Stock In'!D:D,$B519,'Stock In'!E:E,$C519) / SUMIFS('Stock In'!H:H,'Stock In'!C:C,$A519,'Stock In'!D:D,$B519,'Stock In'!E:E,$C519) , 0)</f>
        <v>0</v>
      </c>
      <c r="J519" s="71">
        <f t="shared" si="3"/>
        <v>0</v>
      </c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8"/>
      <c r="B520" s="68"/>
      <c r="C520" s="68"/>
      <c r="D520" s="70">
        <f>IFERROR(SUMIFS('Stock In'!F:F,'Stock In'!C:C,$A520,'Stock In'!D:D,$B520,'Stock In'!E:E,$C520),0)</f>
        <v>0</v>
      </c>
      <c r="E520" s="70">
        <f>IFERROR(SUMIFS(Issues!H:H,Issues!C:C,$A520,Issues!D:D,$B520,Issues!E:E,$C520),0)</f>
        <v>0</v>
      </c>
      <c r="F520" s="70">
        <f>IFERROR(SUMIFS(Returns!H:H,Returns!C:C,$A520,Returns!D:D,$B520,Returns!E:E,$C520),0)</f>
        <v>0</v>
      </c>
      <c r="G520" s="70">
        <f t="shared" si="1"/>
        <v>0</v>
      </c>
      <c r="H520" s="71">
        <f t="shared" si="2"/>
        <v>0</v>
      </c>
      <c r="I520" s="72">
        <f>IFERROR( SUMIFS('Stock In'!I:I,'Stock In'!C:C,$A520,'Stock In'!D:D,$B520,'Stock In'!E:E,$C520) / SUMIFS('Stock In'!H:H,'Stock In'!C:C,$A520,'Stock In'!D:D,$B520,'Stock In'!E:E,$C520) , 0)</f>
        <v>0</v>
      </c>
      <c r="J520" s="71">
        <f t="shared" si="3"/>
        <v>0</v>
      </c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8"/>
      <c r="B521" s="68"/>
      <c r="C521" s="68"/>
      <c r="D521" s="70">
        <f>IFERROR(SUMIFS('Stock In'!F:F,'Stock In'!C:C,$A521,'Stock In'!D:D,$B521,'Stock In'!E:E,$C521),0)</f>
        <v>0</v>
      </c>
      <c r="E521" s="70">
        <f>IFERROR(SUMIFS(Issues!H:H,Issues!C:C,$A521,Issues!D:D,$B521,Issues!E:E,$C521),0)</f>
        <v>0</v>
      </c>
      <c r="F521" s="70">
        <f>IFERROR(SUMIFS(Returns!H:H,Returns!C:C,$A521,Returns!D:D,$B521,Returns!E:E,$C521),0)</f>
        <v>0</v>
      </c>
      <c r="G521" s="70">
        <f t="shared" si="1"/>
        <v>0</v>
      </c>
      <c r="H521" s="71">
        <f t="shared" si="2"/>
        <v>0</v>
      </c>
      <c r="I521" s="72">
        <f>IFERROR( SUMIFS('Stock In'!I:I,'Stock In'!C:C,$A521,'Stock In'!D:D,$B521,'Stock In'!E:E,$C521) / SUMIFS('Stock In'!H:H,'Stock In'!C:C,$A521,'Stock In'!D:D,$B521,'Stock In'!E:E,$C521) , 0)</f>
        <v>0</v>
      </c>
      <c r="J521" s="71">
        <f t="shared" si="3"/>
        <v>0</v>
      </c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8"/>
      <c r="B522" s="68"/>
      <c r="C522" s="68"/>
      <c r="D522" s="70">
        <f>IFERROR(SUMIFS('Stock In'!F:F,'Stock In'!C:C,$A522,'Stock In'!D:D,$B522,'Stock In'!E:E,$C522),0)</f>
        <v>0</v>
      </c>
      <c r="E522" s="70">
        <f>IFERROR(SUMIFS(Issues!H:H,Issues!C:C,$A522,Issues!D:D,$B522,Issues!E:E,$C522),0)</f>
        <v>0</v>
      </c>
      <c r="F522" s="70">
        <f>IFERROR(SUMIFS(Returns!H:H,Returns!C:C,$A522,Returns!D:D,$B522,Returns!E:E,$C522),0)</f>
        <v>0</v>
      </c>
      <c r="G522" s="70">
        <f t="shared" si="1"/>
        <v>0</v>
      </c>
      <c r="H522" s="71">
        <f t="shared" si="2"/>
        <v>0</v>
      </c>
      <c r="I522" s="72">
        <f>IFERROR( SUMIFS('Stock In'!I:I,'Stock In'!C:C,$A522,'Stock In'!D:D,$B522,'Stock In'!E:E,$C522) / SUMIFS('Stock In'!H:H,'Stock In'!C:C,$A522,'Stock In'!D:D,$B522,'Stock In'!E:E,$C522) , 0)</f>
        <v>0</v>
      </c>
      <c r="J522" s="71">
        <f t="shared" si="3"/>
        <v>0</v>
      </c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8"/>
      <c r="B523" s="68"/>
      <c r="C523" s="68"/>
      <c r="D523" s="70">
        <f>IFERROR(SUMIFS('Stock In'!F:F,'Stock In'!C:C,$A523,'Stock In'!D:D,$B523,'Stock In'!E:E,$C523),0)</f>
        <v>0</v>
      </c>
      <c r="E523" s="70">
        <f>IFERROR(SUMIFS(Issues!H:H,Issues!C:C,$A523,Issues!D:D,$B523,Issues!E:E,$C523),0)</f>
        <v>0</v>
      </c>
      <c r="F523" s="70">
        <f>IFERROR(SUMIFS(Returns!H:H,Returns!C:C,$A523,Returns!D:D,$B523,Returns!E:E,$C523),0)</f>
        <v>0</v>
      </c>
      <c r="G523" s="70">
        <f t="shared" si="1"/>
        <v>0</v>
      </c>
      <c r="H523" s="71">
        <f t="shared" si="2"/>
        <v>0</v>
      </c>
      <c r="I523" s="72">
        <f>IFERROR( SUMIFS('Stock In'!I:I,'Stock In'!C:C,$A523,'Stock In'!D:D,$B523,'Stock In'!E:E,$C523) / SUMIFS('Stock In'!H:H,'Stock In'!C:C,$A523,'Stock In'!D:D,$B523,'Stock In'!E:E,$C523) , 0)</f>
        <v>0</v>
      </c>
      <c r="J523" s="71">
        <f t="shared" si="3"/>
        <v>0</v>
      </c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8"/>
      <c r="B524" s="68"/>
      <c r="C524" s="68"/>
      <c r="D524" s="70">
        <f>IFERROR(SUMIFS('Stock In'!F:F,'Stock In'!C:C,$A524,'Stock In'!D:D,$B524,'Stock In'!E:E,$C524),0)</f>
        <v>0</v>
      </c>
      <c r="E524" s="70">
        <f>IFERROR(SUMIFS(Issues!H:H,Issues!C:C,$A524,Issues!D:D,$B524,Issues!E:E,$C524),0)</f>
        <v>0</v>
      </c>
      <c r="F524" s="70">
        <f>IFERROR(SUMIFS(Returns!H:H,Returns!C:C,$A524,Returns!D:D,$B524,Returns!E:E,$C524),0)</f>
        <v>0</v>
      </c>
      <c r="G524" s="70">
        <f t="shared" si="1"/>
        <v>0</v>
      </c>
      <c r="H524" s="71">
        <f t="shared" si="2"/>
        <v>0</v>
      </c>
      <c r="I524" s="72">
        <f>IFERROR( SUMIFS('Stock In'!I:I,'Stock In'!C:C,$A524,'Stock In'!D:D,$B524,'Stock In'!E:E,$C524) / SUMIFS('Stock In'!H:H,'Stock In'!C:C,$A524,'Stock In'!D:D,$B524,'Stock In'!E:E,$C524) , 0)</f>
        <v>0</v>
      </c>
      <c r="J524" s="71">
        <f t="shared" si="3"/>
        <v>0</v>
      </c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8"/>
      <c r="B525" s="68"/>
      <c r="C525" s="68"/>
      <c r="D525" s="70">
        <f>IFERROR(SUMIFS('Stock In'!F:F,'Stock In'!C:C,$A525,'Stock In'!D:D,$B525,'Stock In'!E:E,$C525),0)</f>
        <v>0</v>
      </c>
      <c r="E525" s="70">
        <f>IFERROR(SUMIFS(Issues!H:H,Issues!C:C,$A525,Issues!D:D,$B525,Issues!E:E,$C525),0)</f>
        <v>0</v>
      </c>
      <c r="F525" s="70">
        <f>IFERROR(SUMIFS(Returns!H:H,Returns!C:C,$A525,Returns!D:D,$B525,Returns!E:E,$C525),0)</f>
        <v>0</v>
      </c>
      <c r="G525" s="70">
        <f t="shared" si="1"/>
        <v>0</v>
      </c>
      <c r="H525" s="71">
        <f t="shared" si="2"/>
        <v>0</v>
      </c>
      <c r="I525" s="72">
        <f>IFERROR( SUMIFS('Stock In'!I:I,'Stock In'!C:C,$A525,'Stock In'!D:D,$B525,'Stock In'!E:E,$C525) / SUMIFS('Stock In'!H:H,'Stock In'!C:C,$A525,'Stock In'!D:D,$B525,'Stock In'!E:E,$C525) , 0)</f>
        <v>0</v>
      </c>
      <c r="J525" s="71">
        <f t="shared" si="3"/>
        <v>0</v>
      </c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8"/>
      <c r="B526" s="68"/>
      <c r="C526" s="68"/>
      <c r="D526" s="70">
        <f>IFERROR(SUMIFS('Stock In'!F:F,'Stock In'!C:C,$A526,'Stock In'!D:D,$B526,'Stock In'!E:E,$C526),0)</f>
        <v>0</v>
      </c>
      <c r="E526" s="70">
        <f>IFERROR(SUMIFS(Issues!H:H,Issues!C:C,$A526,Issues!D:D,$B526,Issues!E:E,$C526),0)</f>
        <v>0</v>
      </c>
      <c r="F526" s="70">
        <f>IFERROR(SUMIFS(Returns!H:H,Returns!C:C,$A526,Returns!D:D,$B526,Returns!E:E,$C526),0)</f>
        <v>0</v>
      </c>
      <c r="G526" s="70">
        <f t="shared" si="1"/>
        <v>0</v>
      </c>
      <c r="H526" s="71">
        <f t="shared" si="2"/>
        <v>0</v>
      </c>
      <c r="I526" s="72">
        <f>IFERROR( SUMIFS('Stock In'!I:I,'Stock In'!C:C,$A526,'Stock In'!D:D,$B526,'Stock In'!E:E,$C526) / SUMIFS('Stock In'!H:H,'Stock In'!C:C,$A526,'Stock In'!D:D,$B526,'Stock In'!E:E,$C526) , 0)</f>
        <v>0</v>
      </c>
      <c r="J526" s="71">
        <f t="shared" si="3"/>
        <v>0</v>
      </c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8"/>
      <c r="B527" s="68"/>
      <c r="C527" s="68"/>
      <c r="D527" s="70">
        <f>IFERROR(SUMIFS('Stock In'!F:F,'Stock In'!C:C,$A527,'Stock In'!D:D,$B527,'Stock In'!E:E,$C527),0)</f>
        <v>0</v>
      </c>
      <c r="E527" s="70">
        <f>IFERROR(SUMIFS(Issues!H:H,Issues!C:C,$A527,Issues!D:D,$B527,Issues!E:E,$C527),0)</f>
        <v>0</v>
      </c>
      <c r="F527" s="70">
        <f>IFERROR(SUMIFS(Returns!H:H,Returns!C:C,$A527,Returns!D:D,$B527,Returns!E:E,$C527),0)</f>
        <v>0</v>
      </c>
      <c r="G527" s="70">
        <f t="shared" si="1"/>
        <v>0</v>
      </c>
      <c r="H527" s="71">
        <f t="shared" si="2"/>
        <v>0</v>
      </c>
      <c r="I527" s="72">
        <f>IFERROR( SUMIFS('Stock In'!I:I,'Stock In'!C:C,$A527,'Stock In'!D:D,$B527,'Stock In'!E:E,$C527) / SUMIFS('Stock In'!H:H,'Stock In'!C:C,$A527,'Stock In'!D:D,$B527,'Stock In'!E:E,$C527) , 0)</f>
        <v>0</v>
      </c>
      <c r="J527" s="71">
        <f t="shared" si="3"/>
        <v>0</v>
      </c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8"/>
      <c r="B528" s="68"/>
      <c r="C528" s="68"/>
      <c r="D528" s="70">
        <f>IFERROR(SUMIFS('Stock In'!F:F,'Stock In'!C:C,$A528,'Stock In'!D:D,$B528,'Stock In'!E:E,$C528),0)</f>
        <v>0</v>
      </c>
      <c r="E528" s="70">
        <f>IFERROR(SUMIFS(Issues!H:H,Issues!C:C,$A528,Issues!D:D,$B528,Issues!E:E,$C528),0)</f>
        <v>0</v>
      </c>
      <c r="F528" s="70">
        <f>IFERROR(SUMIFS(Returns!H:H,Returns!C:C,$A528,Returns!D:D,$B528,Returns!E:E,$C528),0)</f>
        <v>0</v>
      </c>
      <c r="G528" s="70">
        <f t="shared" si="1"/>
        <v>0</v>
      </c>
      <c r="H528" s="71">
        <f t="shared" si="2"/>
        <v>0</v>
      </c>
      <c r="I528" s="72">
        <f>IFERROR( SUMIFS('Stock In'!I:I,'Stock In'!C:C,$A528,'Stock In'!D:D,$B528,'Stock In'!E:E,$C528) / SUMIFS('Stock In'!H:H,'Stock In'!C:C,$A528,'Stock In'!D:D,$B528,'Stock In'!E:E,$C528) , 0)</f>
        <v>0</v>
      </c>
      <c r="J528" s="71">
        <f t="shared" si="3"/>
        <v>0</v>
      </c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8"/>
      <c r="B529" s="68"/>
      <c r="C529" s="68"/>
      <c r="D529" s="70">
        <f>IFERROR(SUMIFS('Stock In'!F:F,'Stock In'!C:C,$A529,'Stock In'!D:D,$B529,'Stock In'!E:E,$C529),0)</f>
        <v>0</v>
      </c>
      <c r="E529" s="70">
        <f>IFERROR(SUMIFS(Issues!H:H,Issues!C:C,$A529,Issues!D:D,$B529,Issues!E:E,$C529),0)</f>
        <v>0</v>
      </c>
      <c r="F529" s="70">
        <f>IFERROR(SUMIFS(Returns!H:H,Returns!C:C,$A529,Returns!D:D,$B529,Returns!E:E,$C529),0)</f>
        <v>0</v>
      </c>
      <c r="G529" s="70">
        <f t="shared" si="1"/>
        <v>0</v>
      </c>
      <c r="H529" s="71">
        <f t="shared" si="2"/>
        <v>0</v>
      </c>
      <c r="I529" s="72">
        <f>IFERROR( SUMIFS('Stock In'!I:I,'Stock In'!C:C,$A529,'Stock In'!D:D,$B529,'Stock In'!E:E,$C529) / SUMIFS('Stock In'!H:H,'Stock In'!C:C,$A529,'Stock In'!D:D,$B529,'Stock In'!E:E,$C529) , 0)</f>
        <v>0</v>
      </c>
      <c r="J529" s="71">
        <f t="shared" si="3"/>
        <v>0</v>
      </c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8"/>
      <c r="B530" s="68"/>
      <c r="C530" s="68"/>
      <c r="D530" s="70">
        <f>IFERROR(SUMIFS('Stock In'!F:F,'Stock In'!C:C,$A530,'Stock In'!D:D,$B530,'Stock In'!E:E,$C530),0)</f>
        <v>0</v>
      </c>
      <c r="E530" s="70">
        <f>IFERROR(SUMIFS(Issues!H:H,Issues!C:C,$A530,Issues!D:D,$B530,Issues!E:E,$C530),0)</f>
        <v>0</v>
      </c>
      <c r="F530" s="70">
        <f>IFERROR(SUMIFS(Returns!H:H,Returns!C:C,$A530,Returns!D:D,$B530,Returns!E:E,$C530),0)</f>
        <v>0</v>
      </c>
      <c r="G530" s="70">
        <f t="shared" si="1"/>
        <v>0</v>
      </c>
      <c r="H530" s="71">
        <f t="shared" si="2"/>
        <v>0</v>
      </c>
      <c r="I530" s="72">
        <f>IFERROR( SUMIFS('Stock In'!I:I,'Stock In'!C:C,$A530,'Stock In'!D:D,$B530,'Stock In'!E:E,$C530) / SUMIFS('Stock In'!H:H,'Stock In'!C:C,$A530,'Stock In'!D:D,$B530,'Stock In'!E:E,$C530) , 0)</f>
        <v>0</v>
      </c>
      <c r="J530" s="71">
        <f t="shared" si="3"/>
        <v>0</v>
      </c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8"/>
      <c r="B531" s="68"/>
      <c r="C531" s="68"/>
      <c r="D531" s="70">
        <f>IFERROR(SUMIFS('Stock In'!F:F,'Stock In'!C:C,$A531,'Stock In'!D:D,$B531,'Stock In'!E:E,$C531),0)</f>
        <v>0</v>
      </c>
      <c r="E531" s="70">
        <f>IFERROR(SUMIFS(Issues!H:H,Issues!C:C,$A531,Issues!D:D,$B531,Issues!E:E,$C531),0)</f>
        <v>0</v>
      </c>
      <c r="F531" s="70">
        <f>IFERROR(SUMIFS(Returns!H:H,Returns!C:C,$A531,Returns!D:D,$B531,Returns!E:E,$C531),0)</f>
        <v>0</v>
      </c>
      <c r="G531" s="70">
        <f t="shared" si="1"/>
        <v>0</v>
      </c>
      <c r="H531" s="71">
        <f t="shared" si="2"/>
        <v>0</v>
      </c>
      <c r="I531" s="72">
        <f>IFERROR( SUMIFS('Stock In'!I:I,'Stock In'!C:C,$A531,'Stock In'!D:D,$B531,'Stock In'!E:E,$C531) / SUMIFS('Stock In'!H:H,'Stock In'!C:C,$A531,'Stock In'!D:D,$B531,'Stock In'!E:E,$C531) , 0)</f>
        <v>0</v>
      </c>
      <c r="J531" s="71">
        <f t="shared" si="3"/>
        <v>0</v>
      </c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8"/>
      <c r="B532" s="68"/>
      <c r="C532" s="68"/>
      <c r="D532" s="70">
        <f>IFERROR(SUMIFS('Stock In'!F:F,'Stock In'!C:C,$A532,'Stock In'!D:D,$B532,'Stock In'!E:E,$C532),0)</f>
        <v>0</v>
      </c>
      <c r="E532" s="70">
        <f>IFERROR(SUMIFS(Issues!H:H,Issues!C:C,$A532,Issues!D:D,$B532,Issues!E:E,$C532),0)</f>
        <v>0</v>
      </c>
      <c r="F532" s="70">
        <f>IFERROR(SUMIFS(Returns!H:H,Returns!C:C,$A532,Returns!D:D,$B532,Returns!E:E,$C532),0)</f>
        <v>0</v>
      </c>
      <c r="G532" s="70">
        <f t="shared" si="1"/>
        <v>0</v>
      </c>
      <c r="H532" s="71">
        <f t="shared" si="2"/>
        <v>0</v>
      </c>
      <c r="I532" s="72">
        <f>IFERROR( SUMIFS('Stock In'!I:I,'Stock In'!C:C,$A532,'Stock In'!D:D,$B532,'Stock In'!E:E,$C532) / SUMIFS('Stock In'!H:H,'Stock In'!C:C,$A532,'Stock In'!D:D,$B532,'Stock In'!E:E,$C532) , 0)</f>
        <v>0</v>
      </c>
      <c r="J532" s="71">
        <f t="shared" si="3"/>
        <v>0</v>
      </c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8"/>
      <c r="B533" s="68"/>
      <c r="C533" s="68"/>
      <c r="D533" s="70">
        <f>IFERROR(SUMIFS('Stock In'!F:F,'Stock In'!C:C,$A533,'Stock In'!D:D,$B533,'Stock In'!E:E,$C533),0)</f>
        <v>0</v>
      </c>
      <c r="E533" s="70">
        <f>IFERROR(SUMIFS(Issues!H:H,Issues!C:C,$A533,Issues!D:D,$B533,Issues!E:E,$C533),0)</f>
        <v>0</v>
      </c>
      <c r="F533" s="70">
        <f>IFERROR(SUMIFS(Returns!H:H,Returns!C:C,$A533,Returns!D:D,$B533,Returns!E:E,$C533),0)</f>
        <v>0</v>
      </c>
      <c r="G533" s="70">
        <f t="shared" si="1"/>
        <v>0</v>
      </c>
      <c r="H533" s="71">
        <f t="shared" si="2"/>
        <v>0</v>
      </c>
      <c r="I533" s="72">
        <f>IFERROR( SUMIFS('Stock In'!I:I,'Stock In'!C:C,$A533,'Stock In'!D:D,$B533,'Stock In'!E:E,$C533) / SUMIFS('Stock In'!H:H,'Stock In'!C:C,$A533,'Stock In'!D:D,$B533,'Stock In'!E:E,$C533) , 0)</f>
        <v>0</v>
      </c>
      <c r="J533" s="71">
        <f t="shared" si="3"/>
        <v>0</v>
      </c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8"/>
      <c r="B534" s="68"/>
      <c r="C534" s="68"/>
      <c r="D534" s="70">
        <f>IFERROR(SUMIFS('Stock In'!F:F,'Stock In'!C:C,$A534,'Stock In'!D:D,$B534,'Stock In'!E:E,$C534),0)</f>
        <v>0</v>
      </c>
      <c r="E534" s="70">
        <f>IFERROR(SUMIFS(Issues!H:H,Issues!C:C,$A534,Issues!D:D,$B534,Issues!E:E,$C534),0)</f>
        <v>0</v>
      </c>
      <c r="F534" s="70">
        <f>IFERROR(SUMIFS(Returns!H:H,Returns!C:C,$A534,Returns!D:D,$B534,Returns!E:E,$C534),0)</f>
        <v>0</v>
      </c>
      <c r="G534" s="70">
        <f t="shared" si="1"/>
        <v>0</v>
      </c>
      <c r="H534" s="71">
        <f t="shared" si="2"/>
        <v>0</v>
      </c>
      <c r="I534" s="72">
        <f>IFERROR( SUMIFS('Stock In'!I:I,'Stock In'!C:C,$A534,'Stock In'!D:D,$B534,'Stock In'!E:E,$C534) / SUMIFS('Stock In'!H:H,'Stock In'!C:C,$A534,'Stock In'!D:D,$B534,'Stock In'!E:E,$C534) , 0)</f>
        <v>0</v>
      </c>
      <c r="J534" s="71">
        <f t="shared" si="3"/>
        <v>0</v>
      </c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8"/>
      <c r="B535" s="68"/>
      <c r="C535" s="68"/>
      <c r="D535" s="70">
        <f>IFERROR(SUMIFS('Stock In'!F:F,'Stock In'!C:C,$A535,'Stock In'!D:D,$B535,'Stock In'!E:E,$C535),0)</f>
        <v>0</v>
      </c>
      <c r="E535" s="70">
        <f>IFERROR(SUMIFS(Issues!H:H,Issues!C:C,$A535,Issues!D:D,$B535,Issues!E:E,$C535),0)</f>
        <v>0</v>
      </c>
      <c r="F535" s="70">
        <f>IFERROR(SUMIFS(Returns!H:H,Returns!C:C,$A535,Returns!D:D,$B535,Returns!E:E,$C535),0)</f>
        <v>0</v>
      </c>
      <c r="G535" s="70">
        <f t="shared" si="1"/>
        <v>0</v>
      </c>
      <c r="H535" s="71">
        <f t="shared" si="2"/>
        <v>0</v>
      </c>
      <c r="I535" s="72">
        <f>IFERROR( SUMIFS('Stock In'!I:I,'Stock In'!C:C,$A535,'Stock In'!D:D,$B535,'Stock In'!E:E,$C535) / SUMIFS('Stock In'!H:H,'Stock In'!C:C,$A535,'Stock In'!D:D,$B535,'Stock In'!E:E,$C535) , 0)</f>
        <v>0</v>
      </c>
      <c r="J535" s="71">
        <f t="shared" si="3"/>
        <v>0</v>
      </c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8"/>
      <c r="B536" s="68"/>
      <c r="C536" s="68"/>
      <c r="D536" s="70">
        <f>IFERROR(SUMIFS('Stock In'!F:F,'Stock In'!C:C,$A536,'Stock In'!D:D,$B536,'Stock In'!E:E,$C536),0)</f>
        <v>0</v>
      </c>
      <c r="E536" s="70">
        <f>IFERROR(SUMIFS(Issues!H:H,Issues!C:C,$A536,Issues!D:D,$B536,Issues!E:E,$C536),0)</f>
        <v>0</v>
      </c>
      <c r="F536" s="70">
        <f>IFERROR(SUMIFS(Returns!H:H,Returns!C:C,$A536,Returns!D:D,$B536,Returns!E:E,$C536),0)</f>
        <v>0</v>
      </c>
      <c r="G536" s="70">
        <f t="shared" si="1"/>
        <v>0</v>
      </c>
      <c r="H536" s="71">
        <f t="shared" si="2"/>
        <v>0</v>
      </c>
      <c r="I536" s="72">
        <f>IFERROR( SUMIFS('Stock In'!I:I,'Stock In'!C:C,$A536,'Stock In'!D:D,$B536,'Stock In'!E:E,$C536) / SUMIFS('Stock In'!H:H,'Stock In'!C:C,$A536,'Stock In'!D:D,$B536,'Stock In'!E:E,$C536) , 0)</f>
        <v>0</v>
      </c>
      <c r="J536" s="71">
        <f t="shared" si="3"/>
        <v>0</v>
      </c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8"/>
      <c r="B537" s="68"/>
      <c r="C537" s="68"/>
      <c r="D537" s="70">
        <f>IFERROR(SUMIFS('Stock In'!F:F,'Stock In'!C:C,$A537,'Stock In'!D:D,$B537,'Stock In'!E:E,$C537),0)</f>
        <v>0</v>
      </c>
      <c r="E537" s="70">
        <f>IFERROR(SUMIFS(Issues!H:H,Issues!C:C,$A537,Issues!D:D,$B537,Issues!E:E,$C537),0)</f>
        <v>0</v>
      </c>
      <c r="F537" s="70">
        <f>IFERROR(SUMIFS(Returns!H:H,Returns!C:C,$A537,Returns!D:D,$B537,Returns!E:E,$C537),0)</f>
        <v>0</v>
      </c>
      <c r="G537" s="70">
        <f t="shared" si="1"/>
        <v>0</v>
      </c>
      <c r="H537" s="71">
        <f t="shared" si="2"/>
        <v>0</v>
      </c>
      <c r="I537" s="72">
        <f>IFERROR( SUMIFS('Stock In'!I:I,'Stock In'!C:C,$A537,'Stock In'!D:D,$B537,'Stock In'!E:E,$C537) / SUMIFS('Stock In'!H:H,'Stock In'!C:C,$A537,'Stock In'!D:D,$B537,'Stock In'!E:E,$C537) , 0)</f>
        <v>0</v>
      </c>
      <c r="J537" s="71">
        <f t="shared" si="3"/>
        <v>0</v>
      </c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8"/>
      <c r="B538" s="68"/>
      <c r="C538" s="68"/>
      <c r="D538" s="70">
        <f>IFERROR(SUMIFS('Stock In'!F:F,'Stock In'!C:C,$A538,'Stock In'!D:D,$B538,'Stock In'!E:E,$C538),0)</f>
        <v>0</v>
      </c>
      <c r="E538" s="70">
        <f>IFERROR(SUMIFS(Issues!H:H,Issues!C:C,$A538,Issues!D:D,$B538,Issues!E:E,$C538),0)</f>
        <v>0</v>
      </c>
      <c r="F538" s="70">
        <f>IFERROR(SUMIFS(Returns!H:H,Returns!C:C,$A538,Returns!D:D,$B538,Returns!E:E,$C538),0)</f>
        <v>0</v>
      </c>
      <c r="G538" s="70">
        <f t="shared" si="1"/>
        <v>0</v>
      </c>
      <c r="H538" s="71">
        <f t="shared" si="2"/>
        <v>0</v>
      </c>
      <c r="I538" s="72">
        <f>IFERROR( SUMIFS('Stock In'!I:I,'Stock In'!C:C,$A538,'Stock In'!D:D,$B538,'Stock In'!E:E,$C538) / SUMIFS('Stock In'!H:H,'Stock In'!C:C,$A538,'Stock In'!D:D,$B538,'Stock In'!E:E,$C538) , 0)</f>
        <v>0</v>
      </c>
      <c r="J538" s="71">
        <f t="shared" si="3"/>
        <v>0</v>
      </c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8"/>
      <c r="B539" s="68"/>
      <c r="C539" s="68"/>
      <c r="D539" s="70">
        <f>IFERROR(SUMIFS('Stock In'!F:F,'Stock In'!C:C,$A539,'Stock In'!D:D,$B539,'Stock In'!E:E,$C539),0)</f>
        <v>0</v>
      </c>
      <c r="E539" s="70">
        <f>IFERROR(SUMIFS(Issues!H:H,Issues!C:C,$A539,Issues!D:D,$B539,Issues!E:E,$C539),0)</f>
        <v>0</v>
      </c>
      <c r="F539" s="70">
        <f>IFERROR(SUMIFS(Returns!H:H,Returns!C:C,$A539,Returns!D:D,$B539,Returns!E:E,$C539),0)</f>
        <v>0</v>
      </c>
      <c r="G539" s="70">
        <f t="shared" si="1"/>
        <v>0</v>
      </c>
      <c r="H539" s="71">
        <f t="shared" si="2"/>
        <v>0</v>
      </c>
      <c r="I539" s="72">
        <f>IFERROR( SUMIFS('Stock In'!I:I,'Stock In'!C:C,$A539,'Stock In'!D:D,$B539,'Stock In'!E:E,$C539) / SUMIFS('Stock In'!H:H,'Stock In'!C:C,$A539,'Stock In'!D:D,$B539,'Stock In'!E:E,$C539) , 0)</f>
        <v>0</v>
      </c>
      <c r="J539" s="71">
        <f t="shared" si="3"/>
        <v>0</v>
      </c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8"/>
      <c r="B540" s="68"/>
      <c r="C540" s="68"/>
      <c r="D540" s="70">
        <f>IFERROR(SUMIFS('Stock In'!F:F,'Stock In'!C:C,$A540,'Stock In'!D:D,$B540,'Stock In'!E:E,$C540),0)</f>
        <v>0</v>
      </c>
      <c r="E540" s="70">
        <f>IFERROR(SUMIFS(Issues!H:H,Issues!C:C,$A540,Issues!D:D,$B540,Issues!E:E,$C540),0)</f>
        <v>0</v>
      </c>
      <c r="F540" s="70">
        <f>IFERROR(SUMIFS(Returns!H:H,Returns!C:C,$A540,Returns!D:D,$B540,Returns!E:E,$C540),0)</f>
        <v>0</v>
      </c>
      <c r="G540" s="70">
        <f t="shared" si="1"/>
        <v>0</v>
      </c>
      <c r="H540" s="71">
        <f t="shared" si="2"/>
        <v>0</v>
      </c>
      <c r="I540" s="72">
        <f>IFERROR( SUMIFS('Stock In'!I:I,'Stock In'!C:C,$A540,'Stock In'!D:D,$B540,'Stock In'!E:E,$C540) / SUMIFS('Stock In'!H:H,'Stock In'!C:C,$A540,'Stock In'!D:D,$B540,'Stock In'!E:E,$C540) , 0)</f>
        <v>0</v>
      </c>
      <c r="J540" s="71">
        <f t="shared" si="3"/>
        <v>0</v>
      </c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8"/>
      <c r="B541" s="68"/>
      <c r="C541" s="68"/>
      <c r="D541" s="70">
        <f>IFERROR(SUMIFS('Stock In'!F:F,'Stock In'!C:C,$A541,'Stock In'!D:D,$B541,'Stock In'!E:E,$C541),0)</f>
        <v>0</v>
      </c>
      <c r="E541" s="70">
        <f>IFERROR(SUMIFS(Issues!H:H,Issues!C:C,$A541,Issues!D:D,$B541,Issues!E:E,$C541),0)</f>
        <v>0</v>
      </c>
      <c r="F541" s="70">
        <f>IFERROR(SUMIFS(Returns!H:H,Returns!C:C,$A541,Returns!D:D,$B541,Returns!E:E,$C541),0)</f>
        <v>0</v>
      </c>
      <c r="G541" s="70">
        <f t="shared" si="1"/>
        <v>0</v>
      </c>
      <c r="H541" s="71">
        <f t="shared" si="2"/>
        <v>0</v>
      </c>
      <c r="I541" s="72">
        <f>IFERROR( SUMIFS('Stock In'!I:I,'Stock In'!C:C,$A541,'Stock In'!D:D,$B541,'Stock In'!E:E,$C541) / SUMIFS('Stock In'!H:H,'Stock In'!C:C,$A541,'Stock In'!D:D,$B541,'Stock In'!E:E,$C541) , 0)</f>
        <v>0</v>
      </c>
      <c r="J541" s="71">
        <f t="shared" si="3"/>
        <v>0</v>
      </c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8"/>
      <c r="B542" s="68"/>
      <c r="C542" s="68"/>
      <c r="D542" s="70">
        <f>IFERROR(SUMIFS('Stock In'!F:F,'Stock In'!C:C,$A542,'Stock In'!D:D,$B542,'Stock In'!E:E,$C542),0)</f>
        <v>0</v>
      </c>
      <c r="E542" s="70">
        <f>IFERROR(SUMIFS(Issues!H:H,Issues!C:C,$A542,Issues!D:D,$B542,Issues!E:E,$C542),0)</f>
        <v>0</v>
      </c>
      <c r="F542" s="70">
        <f>IFERROR(SUMIFS(Returns!H:H,Returns!C:C,$A542,Returns!D:D,$B542,Returns!E:E,$C542),0)</f>
        <v>0</v>
      </c>
      <c r="G542" s="70">
        <f t="shared" si="1"/>
        <v>0</v>
      </c>
      <c r="H542" s="71">
        <f t="shared" si="2"/>
        <v>0</v>
      </c>
      <c r="I542" s="72">
        <f>IFERROR( SUMIFS('Stock In'!I:I,'Stock In'!C:C,$A542,'Stock In'!D:D,$B542,'Stock In'!E:E,$C542) / SUMIFS('Stock In'!H:H,'Stock In'!C:C,$A542,'Stock In'!D:D,$B542,'Stock In'!E:E,$C542) , 0)</f>
        <v>0</v>
      </c>
      <c r="J542" s="71">
        <f t="shared" si="3"/>
        <v>0</v>
      </c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8"/>
      <c r="B543" s="68"/>
      <c r="C543" s="68"/>
      <c r="D543" s="70">
        <f>IFERROR(SUMIFS('Stock In'!F:F,'Stock In'!C:C,$A543,'Stock In'!D:D,$B543,'Stock In'!E:E,$C543),0)</f>
        <v>0</v>
      </c>
      <c r="E543" s="70">
        <f>IFERROR(SUMIFS(Issues!H:H,Issues!C:C,$A543,Issues!D:D,$B543,Issues!E:E,$C543),0)</f>
        <v>0</v>
      </c>
      <c r="F543" s="70">
        <f>IFERROR(SUMIFS(Returns!H:H,Returns!C:C,$A543,Returns!D:D,$B543,Returns!E:E,$C543),0)</f>
        <v>0</v>
      </c>
      <c r="G543" s="70">
        <f t="shared" si="1"/>
        <v>0</v>
      </c>
      <c r="H543" s="71">
        <f t="shared" si="2"/>
        <v>0</v>
      </c>
      <c r="I543" s="72">
        <f>IFERROR( SUMIFS('Stock In'!I:I,'Stock In'!C:C,$A543,'Stock In'!D:D,$B543,'Stock In'!E:E,$C543) / SUMIFS('Stock In'!H:H,'Stock In'!C:C,$A543,'Stock In'!D:D,$B543,'Stock In'!E:E,$C543) , 0)</f>
        <v>0</v>
      </c>
      <c r="J543" s="71">
        <f t="shared" si="3"/>
        <v>0</v>
      </c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8"/>
      <c r="B544" s="68"/>
      <c r="C544" s="68"/>
      <c r="D544" s="70">
        <f>IFERROR(SUMIFS('Stock In'!F:F,'Stock In'!C:C,$A544,'Stock In'!D:D,$B544,'Stock In'!E:E,$C544),0)</f>
        <v>0</v>
      </c>
      <c r="E544" s="70">
        <f>IFERROR(SUMIFS(Issues!H:H,Issues!C:C,$A544,Issues!D:D,$B544,Issues!E:E,$C544),0)</f>
        <v>0</v>
      </c>
      <c r="F544" s="70">
        <f>IFERROR(SUMIFS(Returns!H:H,Returns!C:C,$A544,Returns!D:D,$B544,Returns!E:E,$C544),0)</f>
        <v>0</v>
      </c>
      <c r="G544" s="70">
        <f t="shared" si="1"/>
        <v>0</v>
      </c>
      <c r="H544" s="71">
        <f t="shared" si="2"/>
        <v>0</v>
      </c>
      <c r="I544" s="72">
        <f>IFERROR( SUMIFS('Stock In'!I:I,'Stock In'!C:C,$A544,'Stock In'!D:D,$B544,'Stock In'!E:E,$C544) / SUMIFS('Stock In'!H:H,'Stock In'!C:C,$A544,'Stock In'!D:D,$B544,'Stock In'!E:E,$C544) , 0)</f>
        <v>0</v>
      </c>
      <c r="J544" s="71">
        <f t="shared" si="3"/>
        <v>0</v>
      </c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8"/>
      <c r="B545" s="68"/>
      <c r="C545" s="68"/>
      <c r="D545" s="70">
        <f>IFERROR(SUMIFS('Stock In'!F:F,'Stock In'!C:C,$A545,'Stock In'!D:D,$B545,'Stock In'!E:E,$C545),0)</f>
        <v>0</v>
      </c>
      <c r="E545" s="70">
        <f>IFERROR(SUMIFS(Issues!H:H,Issues!C:C,$A545,Issues!D:D,$B545,Issues!E:E,$C545),0)</f>
        <v>0</v>
      </c>
      <c r="F545" s="70">
        <f>IFERROR(SUMIFS(Returns!H:H,Returns!C:C,$A545,Returns!D:D,$B545,Returns!E:E,$C545),0)</f>
        <v>0</v>
      </c>
      <c r="G545" s="70">
        <f t="shared" si="1"/>
        <v>0</v>
      </c>
      <c r="H545" s="71">
        <f t="shared" si="2"/>
        <v>0</v>
      </c>
      <c r="I545" s="72">
        <f>IFERROR( SUMIFS('Stock In'!I:I,'Stock In'!C:C,$A545,'Stock In'!D:D,$B545,'Stock In'!E:E,$C545) / SUMIFS('Stock In'!H:H,'Stock In'!C:C,$A545,'Stock In'!D:D,$B545,'Stock In'!E:E,$C545) , 0)</f>
        <v>0</v>
      </c>
      <c r="J545" s="71">
        <f t="shared" si="3"/>
        <v>0</v>
      </c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8"/>
      <c r="B546" s="68"/>
      <c r="C546" s="68"/>
      <c r="D546" s="70">
        <f>IFERROR(SUMIFS('Stock In'!F:F,'Stock In'!C:C,$A546,'Stock In'!D:D,$B546,'Stock In'!E:E,$C546),0)</f>
        <v>0</v>
      </c>
      <c r="E546" s="70">
        <f>IFERROR(SUMIFS(Issues!H:H,Issues!C:C,$A546,Issues!D:D,$B546,Issues!E:E,$C546),0)</f>
        <v>0</v>
      </c>
      <c r="F546" s="70">
        <f>IFERROR(SUMIFS(Returns!H:H,Returns!C:C,$A546,Returns!D:D,$B546,Returns!E:E,$C546),0)</f>
        <v>0</v>
      </c>
      <c r="G546" s="70">
        <f t="shared" si="1"/>
        <v>0</v>
      </c>
      <c r="H546" s="71">
        <f t="shared" si="2"/>
        <v>0</v>
      </c>
      <c r="I546" s="72">
        <f>IFERROR( SUMIFS('Stock In'!I:I,'Stock In'!C:C,$A546,'Stock In'!D:D,$B546,'Stock In'!E:E,$C546) / SUMIFS('Stock In'!H:H,'Stock In'!C:C,$A546,'Stock In'!D:D,$B546,'Stock In'!E:E,$C546) , 0)</f>
        <v>0</v>
      </c>
      <c r="J546" s="71">
        <f t="shared" si="3"/>
        <v>0</v>
      </c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8"/>
      <c r="B547" s="68"/>
      <c r="C547" s="68"/>
      <c r="D547" s="70">
        <f>IFERROR(SUMIFS('Stock In'!F:F,'Stock In'!C:C,$A547,'Stock In'!D:D,$B547,'Stock In'!E:E,$C547),0)</f>
        <v>0</v>
      </c>
      <c r="E547" s="70">
        <f>IFERROR(SUMIFS(Issues!H:H,Issues!C:C,$A547,Issues!D:D,$B547,Issues!E:E,$C547),0)</f>
        <v>0</v>
      </c>
      <c r="F547" s="70">
        <f>IFERROR(SUMIFS(Returns!H:H,Returns!C:C,$A547,Returns!D:D,$B547,Returns!E:E,$C547),0)</f>
        <v>0</v>
      </c>
      <c r="G547" s="70">
        <f t="shared" si="1"/>
        <v>0</v>
      </c>
      <c r="H547" s="71">
        <f t="shared" si="2"/>
        <v>0</v>
      </c>
      <c r="I547" s="72">
        <f>IFERROR( SUMIFS('Stock In'!I:I,'Stock In'!C:C,$A547,'Stock In'!D:D,$B547,'Stock In'!E:E,$C547) / SUMIFS('Stock In'!H:H,'Stock In'!C:C,$A547,'Stock In'!D:D,$B547,'Stock In'!E:E,$C547) , 0)</f>
        <v>0</v>
      </c>
      <c r="J547" s="71">
        <f t="shared" si="3"/>
        <v>0</v>
      </c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8"/>
      <c r="B548" s="68"/>
      <c r="C548" s="68"/>
      <c r="D548" s="70">
        <f>IFERROR(SUMIFS('Stock In'!F:F,'Stock In'!C:C,$A548,'Stock In'!D:D,$B548,'Stock In'!E:E,$C548),0)</f>
        <v>0</v>
      </c>
      <c r="E548" s="70">
        <f>IFERROR(SUMIFS(Issues!H:H,Issues!C:C,$A548,Issues!D:D,$B548,Issues!E:E,$C548),0)</f>
        <v>0</v>
      </c>
      <c r="F548" s="70">
        <f>IFERROR(SUMIFS(Returns!H:H,Returns!C:C,$A548,Returns!D:D,$B548,Returns!E:E,$C548),0)</f>
        <v>0</v>
      </c>
      <c r="G548" s="70">
        <f t="shared" si="1"/>
        <v>0</v>
      </c>
      <c r="H548" s="71">
        <f t="shared" si="2"/>
        <v>0</v>
      </c>
      <c r="I548" s="72">
        <f>IFERROR( SUMIFS('Stock In'!I:I,'Stock In'!C:C,$A548,'Stock In'!D:D,$B548,'Stock In'!E:E,$C548) / SUMIFS('Stock In'!H:H,'Stock In'!C:C,$A548,'Stock In'!D:D,$B548,'Stock In'!E:E,$C548) , 0)</f>
        <v>0</v>
      </c>
      <c r="J548" s="71">
        <f t="shared" si="3"/>
        <v>0</v>
      </c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8"/>
      <c r="B549" s="68"/>
      <c r="C549" s="68"/>
      <c r="D549" s="70">
        <f>IFERROR(SUMIFS('Stock In'!F:F,'Stock In'!C:C,$A549,'Stock In'!D:D,$B549,'Stock In'!E:E,$C549),0)</f>
        <v>0</v>
      </c>
      <c r="E549" s="70">
        <f>IFERROR(SUMIFS(Issues!H:H,Issues!C:C,$A549,Issues!D:D,$B549,Issues!E:E,$C549),0)</f>
        <v>0</v>
      </c>
      <c r="F549" s="70">
        <f>IFERROR(SUMIFS(Returns!H:H,Returns!C:C,$A549,Returns!D:D,$B549,Returns!E:E,$C549),0)</f>
        <v>0</v>
      </c>
      <c r="G549" s="70">
        <f t="shared" si="1"/>
        <v>0</v>
      </c>
      <c r="H549" s="71">
        <f t="shared" si="2"/>
        <v>0</v>
      </c>
      <c r="I549" s="72">
        <f>IFERROR( SUMIFS('Stock In'!I:I,'Stock In'!C:C,$A549,'Stock In'!D:D,$B549,'Stock In'!E:E,$C549) / SUMIFS('Stock In'!H:H,'Stock In'!C:C,$A549,'Stock In'!D:D,$B549,'Stock In'!E:E,$C549) , 0)</f>
        <v>0</v>
      </c>
      <c r="J549" s="71">
        <f t="shared" si="3"/>
        <v>0</v>
      </c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8"/>
      <c r="B550" s="68"/>
      <c r="C550" s="68"/>
      <c r="D550" s="70">
        <f>IFERROR(SUMIFS('Stock In'!F:F,'Stock In'!C:C,$A550,'Stock In'!D:D,$B550,'Stock In'!E:E,$C550),0)</f>
        <v>0</v>
      </c>
      <c r="E550" s="70">
        <f>IFERROR(SUMIFS(Issues!H:H,Issues!C:C,$A550,Issues!D:D,$B550,Issues!E:E,$C550),0)</f>
        <v>0</v>
      </c>
      <c r="F550" s="70">
        <f>IFERROR(SUMIFS(Returns!H:H,Returns!C:C,$A550,Returns!D:D,$B550,Returns!E:E,$C550),0)</f>
        <v>0</v>
      </c>
      <c r="G550" s="70">
        <f t="shared" si="1"/>
        <v>0</v>
      </c>
      <c r="H550" s="71">
        <f t="shared" si="2"/>
        <v>0</v>
      </c>
      <c r="I550" s="72">
        <f>IFERROR( SUMIFS('Stock In'!I:I,'Stock In'!C:C,$A550,'Stock In'!D:D,$B550,'Stock In'!E:E,$C550) / SUMIFS('Stock In'!H:H,'Stock In'!C:C,$A550,'Stock In'!D:D,$B550,'Stock In'!E:E,$C550) , 0)</f>
        <v>0</v>
      </c>
      <c r="J550" s="71">
        <f t="shared" si="3"/>
        <v>0</v>
      </c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8"/>
      <c r="B551" s="68"/>
      <c r="C551" s="68"/>
      <c r="D551" s="70">
        <f>IFERROR(SUMIFS('Stock In'!F:F,'Stock In'!C:C,$A551,'Stock In'!D:D,$B551,'Stock In'!E:E,$C551),0)</f>
        <v>0</v>
      </c>
      <c r="E551" s="70">
        <f>IFERROR(SUMIFS(Issues!H:H,Issues!C:C,$A551,Issues!D:D,$B551,Issues!E:E,$C551),0)</f>
        <v>0</v>
      </c>
      <c r="F551" s="70">
        <f>IFERROR(SUMIFS(Returns!H:H,Returns!C:C,$A551,Returns!D:D,$B551,Returns!E:E,$C551),0)</f>
        <v>0</v>
      </c>
      <c r="G551" s="70">
        <f t="shared" si="1"/>
        <v>0</v>
      </c>
      <c r="H551" s="71">
        <f t="shared" si="2"/>
        <v>0</v>
      </c>
      <c r="I551" s="72">
        <f>IFERROR( SUMIFS('Stock In'!I:I,'Stock In'!C:C,$A551,'Stock In'!D:D,$B551,'Stock In'!E:E,$C551) / SUMIFS('Stock In'!H:H,'Stock In'!C:C,$A551,'Stock In'!D:D,$B551,'Stock In'!E:E,$C551) , 0)</f>
        <v>0</v>
      </c>
      <c r="J551" s="71">
        <f t="shared" si="3"/>
        <v>0</v>
      </c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8"/>
      <c r="B552" s="68"/>
      <c r="C552" s="68"/>
      <c r="D552" s="70">
        <f>IFERROR(SUMIFS('Stock In'!F:F,'Stock In'!C:C,$A552,'Stock In'!D:D,$B552,'Stock In'!E:E,$C552),0)</f>
        <v>0</v>
      </c>
      <c r="E552" s="70">
        <f>IFERROR(SUMIFS(Issues!H:H,Issues!C:C,$A552,Issues!D:D,$B552,Issues!E:E,$C552),0)</f>
        <v>0</v>
      </c>
      <c r="F552" s="70">
        <f>IFERROR(SUMIFS(Returns!H:H,Returns!C:C,$A552,Returns!D:D,$B552,Returns!E:E,$C552),0)</f>
        <v>0</v>
      </c>
      <c r="G552" s="70">
        <f t="shared" si="1"/>
        <v>0</v>
      </c>
      <c r="H552" s="71">
        <f t="shared" si="2"/>
        <v>0</v>
      </c>
      <c r="I552" s="72">
        <f>IFERROR( SUMIFS('Stock In'!I:I,'Stock In'!C:C,$A552,'Stock In'!D:D,$B552,'Stock In'!E:E,$C552) / SUMIFS('Stock In'!H:H,'Stock In'!C:C,$A552,'Stock In'!D:D,$B552,'Stock In'!E:E,$C552) , 0)</f>
        <v>0</v>
      </c>
      <c r="J552" s="71">
        <f t="shared" si="3"/>
        <v>0</v>
      </c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8"/>
      <c r="B553" s="68"/>
      <c r="C553" s="68"/>
      <c r="D553" s="70">
        <f>IFERROR(SUMIFS('Stock In'!F:F,'Stock In'!C:C,$A553,'Stock In'!D:D,$B553,'Stock In'!E:E,$C553),0)</f>
        <v>0</v>
      </c>
      <c r="E553" s="70">
        <f>IFERROR(SUMIFS(Issues!H:H,Issues!C:C,$A553,Issues!D:D,$B553,Issues!E:E,$C553),0)</f>
        <v>0</v>
      </c>
      <c r="F553" s="70">
        <f>IFERROR(SUMIFS(Returns!H:H,Returns!C:C,$A553,Returns!D:D,$B553,Returns!E:E,$C553),0)</f>
        <v>0</v>
      </c>
      <c r="G553" s="70">
        <f t="shared" si="1"/>
        <v>0</v>
      </c>
      <c r="H553" s="71">
        <f t="shared" si="2"/>
        <v>0</v>
      </c>
      <c r="I553" s="72">
        <f>IFERROR( SUMIFS('Stock In'!I:I,'Stock In'!C:C,$A553,'Stock In'!D:D,$B553,'Stock In'!E:E,$C553) / SUMIFS('Stock In'!H:H,'Stock In'!C:C,$A553,'Stock In'!D:D,$B553,'Stock In'!E:E,$C553) , 0)</f>
        <v>0</v>
      </c>
      <c r="J553" s="71">
        <f t="shared" si="3"/>
        <v>0</v>
      </c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8"/>
      <c r="B554" s="68"/>
      <c r="C554" s="68"/>
      <c r="D554" s="70">
        <f>IFERROR(SUMIFS('Stock In'!F:F,'Stock In'!C:C,$A554,'Stock In'!D:D,$B554,'Stock In'!E:E,$C554),0)</f>
        <v>0</v>
      </c>
      <c r="E554" s="70">
        <f>IFERROR(SUMIFS(Issues!H:H,Issues!C:C,$A554,Issues!D:D,$B554,Issues!E:E,$C554),0)</f>
        <v>0</v>
      </c>
      <c r="F554" s="70">
        <f>IFERROR(SUMIFS(Returns!H:H,Returns!C:C,$A554,Returns!D:D,$B554,Returns!E:E,$C554),0)</f>
        <v>0</v>
      </c>
      <c r="G554" s="70">
        <f t="shared" si="1"/>
        <v>0</v>
      </c>
      <c r="H554" s="71">
        <f t="shared" si="2"/>
        <v>0</v>
      </c>
      <c r="I554" s="72">
        <f>IFERROR( SUMIFS('Stock In'!I:I,'Stock In'!C:C,$A554,'Stock In'!D:D,$B554,'Stock In'!E:E,$C554) / SUMIFS('Stock In'!H:H,'Stock In'!C:C,$A554,'Stock In'!D:D,$B554,'Stock In'!E:E,$C554) , 0)</f>
        <v>0</v>
      </c>
      <c r="J554" s="71">
        <f t="shared" si="3"/>
        <v>0</v>
      </c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8"/>
      <c r="B555" s="68"/>
      <c r="C555" s="68"/>
      <c r="D555" s="70">
        <f>IFERROR(SUMIFS('Stock In'!F:F,'Stock In'!C:C,$A555,'Stock In'!D:D,$B555,'Stock In'!E:E,$C555),0)</f>
        <v>0</v>
      </c>
      <c r="E555" s="70">
        <f>IFERROR(SUMIFS(Issues!H:H,Issues!C:C,$A555,Issues!D:D,$B555,Issues!E:E,$C555),0)</f>
        <v>0</v>
      </c>
      <c r="F555" s="70">
        <f>IFERROR(SUMIFS(Returns!H:H,Returns!C:C,$A555,Returns!D:D,$B555,Returns!E:E,$C555),0)</f>
        <v>0</v>
      </c>
      <c r="G555" s="70">
        <f t="shared" si="1"/>
        <v>0</v>
      </c>
      <c r="H555" s="71">
        <f t="shared" si="2"/>
        <v>0</v>
      </c>
      <c r="I555" s="72">
        <f>IFERROR( SUMIFS('Stock In'!I:I,'Stock In'!C:C,$A555,'Stock In'!D:D,$B555,'Stock In'!E:E,$C555) / SUMIFS('Stock In'!H:H,'Stock In'!C:C,$A555,'Stock In'!D:D,$B555,'Stock In'!E:E,$C555) , 0)</f>
        <v>0</v>
      </c>
      <c r="J555" s="71">
        <f t="shared" si="3"/>
        <v>0</v>
      </c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8"/>
      <c r="B556" s="68"/>
      <c r="C556" s="68"/>
      <c r="D556" s="70">
        <f>IFERROR(SUMIFS('Stock In'!F:F,'Stock In'!C:C,$A556,'Stock In'!D:D,$B556,'Stock In'!E:E,$C556),0)</f>
        <v>0</v>
      </c>
      <c r="E556" s="70">
        <f>IFERROR(SUMIFS(Issues!H:H,Issues!C:C,$A556,Issues!D:D,$B556,Issues!E:E,$C556),0)</f>
        <v>0</v>
      </c>
      <c r="F556" s="70">
        <f>IFERROR(SUMIFS(Returns!H:H,Returns!C:C,$A556,Returns!D:D,$B556,Returns!E:E,$C556),0)</f>
        <v>0</v>
      </c>
      <c r="G556" s="70">
        <f t="shared" si="1"/>
        <v>0</v>
      </c>
      <c r="H556" s="71">
        <f t="shared" si="2"/>
        <v>0</v>
      </c>
      <c r="I556" s="72">
        <f>IFERROR( SUMIFS('Stock In'!I:I,'Stock In'!C:C,$A556,'Stock In'!D:D,$B556,'Stock In'!E:E,$C556) / SUMIFS('Stock In'!H:H,'Stock In'!C:C,$A556,'Stock In'!D:D,$B556,'Stock In'!E:E,$C556) , 0)</f>
        <v>0</v>
      </c>
      <c r="J556" s="71">
        <f t="shared" si="3"/>
        <v>0</v>
      </c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8"/>
      <c r="B557" s="68"/>
      <c r="C557" s="68"/>
      <c r="D557" s="70">
        <f>IFERROR(SUMIFS('Stock In'!F:F,'Stock In'!C:C,$A557,'Stock In'!D:D,$B557,'Stock In'!E:E,$C557),0)</f>
        <v>0</v>
      </c>
      <c r="E557" s="70">
        <f>IFERROR(SUMIFS(Issues!H:H,Issues!C:C,$A557,Issues!D:D,$B557,Issues!E:E,$C557),0)</f>
        <v>0</v>
      </c>
      <c r="F557" s="70">
        <f>IFERROR(SUMIFS(Returns!H:H,Returns!C:C,$A557,Returns!D:D,$B557,Returns!E:E,$C557),0)</f>
        <v>0</v>
      </c>
      <c r="G557" s="70">
        <f t="shared" si="1"/>
        <v>0</v>
      </c>
      <c r="H557" s="71">
        <f t="shared" si="2"/>
        <v>0</v>
      </c>
      <c r="I557" s="72">
        <f>IFERROR( SUMIFS('Stock In'!I:I,'Stock In'!C:C,$A557,'Stock In'!D:D,$B557,'Stock In'!E:E,$C557) / SUMIFS('Stock In'!H:H,'Stock In'!C:C,$A557,'Stock In'!D:D,$B557,'Stock In'!E:E,$C557) , 0)</f>
        <v>0</v>
      </c>
      <c r="J557" s="71">
        <f t="shared" si="3"/>
        <v>0</v>
      </c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8"/>
      <c r="B558" s="68"/>
      <c r="C558" s="68"/>
      <c r="D558" s="70">
        <f>IFERROR(SUMIFS('Stock In'!F:F,'Stock In'!C:C,$A558,'Stock In'!D:D,$B558,'Stock In'!E:E,$C558),0)</f>
        <v>0</v>
      </c>
      <c r="E558" s="70">
        <f>IFERROR(SUMIFS(Issues!H:H,Issues!C:C,$A558,Issues!D:D,$B558,Issues!E:E,$C558),0)</f>
        <v>0</v>
      </c>
      <c r="F558" s="70">
        <f>IFERROR(SUMIFS(Returns!H:H,Returns!C:C,$A558,Returns!D:D,$B558,Returns!E:E,$C558),0)</f>
        <v>0</v>
      </c>
      <c r="G558" s="70">
        <f t="shared" si="1"/>
        <v>0</v>
      </c>
      <c r="H558" s="71">
        <f t="shared" si="2"/>
        <v>0</v>
      </c>
      <c r="I558" s="72">
        <f>IFERROR( SUMIFS('Stock In'!I:I,'Stock In'!C:C,$A558,'Stock In'!D:D,$B558,'Stock In'!E:E,$C558) / SUMIFS('Stock In'!H:H,'Stock In'!C:C,$A558,'Stock In'!D:D,$B558,'Stock In'!E:E,$C558) , 0)</f>
        <v>0</v>
      </c>
      <c r="J558" s="71">
        <f t="shared" si="3"/>
        <v>0</v>
      </c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8"/>
      <c r="B559" s="68"/>
      <c r="C559" s="68"/>
      <c r="D559" s="70">
        <f>IFERROR(SUMIFS('Stock In'!F:F,'Stock In'!C:C,$A559,'Stock In'!D:D,$B559,'Stock In'!E:E,$C559),0)</f>
        <v>0</v>
      </c>
      <c r="E559" s="70">
        <f>IFERROR(SUMIFS(Issues!H:H,Issues!C:C,$A559,Issues!D:D,$B559,Issues!E:E,$C559),0)</f>
        <v>0</v>
      </c>
      <c r="F559" s="70">
        <f>IFERROR(SUMIFS(Returns!H:H,Returns!C:C,$A559,Returns!D:D,$B559,Returns!E:E,$C559),0)</f>
        <v>0</v>
      </c>
      <c r="G559" s="70">
        <f t="shared" si="1"/>
        <v>0</v>
      </c>
      <c r="H559" s="71">
        <f t="shared" si="2"/>
        <v>0</v>
      </c>
      <c r="I559" s="72">
        <f>IFERROR( SUMIFS('Stock In'!I:I,'Stock In'!C:C,$A559,'Stock In'!D:D,$B559,'Stock In'!E:E,$C559) / SUMIFS('Stock In'!H:H,'Stock In'!C:C,$A559,'Stock In'!D:D,$B559,'Stock In'!E:E,$C559) , 0)</f>
        <v>0</v>
      </c>
      <c r="J559" s="71">
        <f t="shared" si="3"/>
        <v>0</v>
      </c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8"/>
      <c r="B560" s="68"/>
      <c r="C560" s="68"/>
      <c r="D560" s="70">
        <f>IFERROR(SUMIFS('Stock In'!F:F,'Stock In'!C:C,$A560,'Stock In'!D:D,$B560,'Stock In'!E:E,$C560),0)</f>
        <v>0</v>
      </c>
      <c r="E560" s="70">
        <f>IFERROR(SUMIFS(Issues!H:H,Issues!C:C,$A560,Issues!D:D,$B560,Issues!E:E,$C560),0)</f>
        <v>0</v>
      </c>
      <c r="F560" s="70">
        <f>IFERROR(SUMIFS(Returns!H:H,Returns!C:C,$A560,Returns!D:D,$B560,Returns!E:E,$C560),0)</f>
        <v>0</v>
      </c>
      <c r="G560" s="70">
        <f t="shared" si="1"/>
        <v>0</v>
      </c>
      <c r="H560" s="71">
        <f t="shared" si="2"/>
        <v>0</v>
      </c>
      <c r="I560" s="72">
        <f>IFERROR( SUMIFS('Stock In'!I:I,'Stock In'!C:C,$A560,'Stock In'!D:D,$B560,'Stock In'!E:E,$C560) / SUMIFS('Stock In'!H:H,'Stock In'!C:C,$A560,'Stock In'!D:D,$B560,'Stock In'!E:E,$C560) , 0)</f>
        <v>0</v>
      </c>
      <c r="J560" s="71">
        <f t="shared" si="3"/>
        <v>0</v>
      </c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8"/>
      <c r="B561" s="68"/>
      <c r="C561" s="68"/>
      <c r="D561" s="70">
        <f>IFERROR(SUMIFS('Stock In'!F:F,'Stock In'!C:C,$A561,'Stock In'!D:D,$B561,'Stock In'!E:E,$C561),0)</f>
        <v>0</v>
      </c>
      <c r="E561" s="70">
        <f>IFERROR(SUMIFS(Issues!H:H,Issues!C:C,$A561,Issues!D:D,$B561,Issues!E:E,$C561),0)</f>
        <v>0</v>
      </c>
      <c r="F561" s="70">
        <f>IFERROR(SUMIFS(Returns!H:H,Returns!C:C,$A561,Returns!D:D,$B561,Returns!E:E,$C561),0)</f>
        <v>0</v>
      </c>
      <c r="G561" s="70">
        <f t="shared" si="1"/>
        <v>0</v>
      </c>
      <c r="H561" s="71">
        <f t="shared" si="2"/>
        <v>0</v>
      </c>
      <c r="I561" s="72">
        <f>IFERROR( SUMIFS('Stock In'!I:I,'Stock In'!C:C,$A561,'Stock In'!D:D,$B561,'Stock In'!E:E,$C561) / SUMIFS('Stock In'!H:H,'Stock In'!C:C,$A561,'Stock In'!D:D,$B561,'Stock In'!E:E,$C561) , 0)</f>
        <v>0</v>
      </c>
      <c r="J561" s="71">
        <f t="shared" si="3"/>
        <v>0</v>
      </c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8"/>
      <c r="B562" s="68"/>
      <c r="C562" s="68"/>
      <c r="D562" s="70">
        <f>IFERROR(SUMIFS('Stock In'!F:F,'Stock In'!C:C,$A562,'Stock In'!D:D,$B562,'Stock In'!E:E,$C562),0)</f>
        <v>0</v>
      </c>
      <c r="E562" s="70">
        <f>IFERROR(SUMIFS(Issues!H:H,Issues!C:C,$A562,Issues!D:D,$B562,Issues!E:E,$C562),0)</f>
        <v>0</v>
      </c>
      <c r="F562" s="70">
        <f>IFERROR(SUMIFS(Returns!H:H,Returns!C:C,$A562,Returns!D:D,$B562,Returns!E:E,$C562),0)</f>
        <v>0</v>
      </c>
      <c r="G562" s="70">
        <f t="shared" si="1"/>
        <v>0</v>
      </c>
      <c r="H562" s="71">
        <f t="shared" si="2"/>
        <v>0</v>
      </c>
      <c r="I562" s="72">
        <f>IFERROR( SUMIFS('Stock In'!I:I,'Stock In'!C:C,$A562,'Stock In'!D:D,$B562,'Stock In'!E:E,$C562) / SUMIFS('Stock In'!H:H,'Stock In'!C:C,$A562,'Stock In'!D:D,$B562,'Stock In'!E:E,$C562) , 0)</f>
        <v>0</v>
      </c>
      <c r="J562" s="71">
        <f t="shared" si="3"/>
        <v>0</v>
      </c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8"/>
      <c r="B563" s="68"/>
      <c r="C563" s="68"/>
      <c r="D563" s="70">
        <f>IFERROR(SUMIFS('Stock In'!F:F,'Stock In'!C:C,$A563,'Stock In'!D:D,$B563,'Stock In'!E:E,$C563),0)</f>
        <v>0</v>
      </c>
      <c r="E563" s="70">
        <f>IFERROR(SUMIFS(Issues!H:H,Issues!C:C,$A563,Issues!D:D,$B563,Issues!E:E,$C563),0)</f>
        <v>0</v>
      </c>
      <c r="F563" s="70">
        <f>IFERROR(SUMIFS(Returns!H:H,Returns!C:C,$A563,Returns!D:D,$B563,Returns!E:E,$C563),0)</f>
        <v>0</v>
      </c>
      <c r="G563" s="70">
        <f t="shared" si="1"/>
        <v>0</v>
      </c>
      <c r="H563" s="71">
        <f t="shared" si="2"/>
        <v>0</v>
      </c>
      <c r="I563" s="72">
        <f>IFERROR( SUMIFS('Stock In'!I:I,'Stock In'!C:C,$A563,'Stock In'!D:D,$B563,'Stock In'!E:E,$C563) / SUMIFS('Stock In'!H:H,'Stock In'!C:C,$A563,'Stock In'!D:D,$B563,'Stock In'!E:E,$C563) , 0)</f>
        <v>0</v>
      </c>
      <c r="J563" s="71">
        <f t="shared" si="3"/>
        <v>0</v>
      </c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8"/>
      <c r="B564" s="68"/>
      <c r="C564" s="68"/>
      <c r="D564" s="70">
        <f>IFERROR(SUMIFS('Stock In'!F:F,'Stock In'!C:C,$A564,'Stock In'!D:D,$B564,'Stock In'!E:E,$C564),0)</f>
        <v>0</v>
      </c>
      <c r="E564" s="70">
        <f>IFERROR(SUMIFS(Issues!H:H,Issues!C:C,$A564,Issues!D:D,$B564,Issues!E:E,$C564),0)</f>
        <v>0</v>
      </c>
      <c r="F564" s="70">
        <f>IFERROR(SUMIFS(Returns!H:H,Returns!C:C,$A564,Returns!D:D,$B564,Returns!E:E,$C564),0)</f>
        <v>0</v>
      </c>
      <c r="G564" s="70">
        <f t="shared" si="1"/>
        <v>0</v>
      </c>
      <c r="H564" s="71">
        <f t="shared" si="2"/>
        <v>0</v>
      </c>
      <c r="I564" s="72">
        <f>IFERROR( SUMIFS('Stock In'!I:I,'Stock In'!C:C,$A564,'Stock In'!D:D,$B564,'Stock In'!E:E,$C564) / SUMIFS('Stock In'!H:H,'Stock In'!C:C,$A564,'Stock In'!D:D,$B564,'Stock In'!E:E,$C564) , 0)</f>
        <v>0</v>
      </c>
      <c r="J564" s="71">
        <f t="shared" si="3"/>
        <v>0</v>
      </c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8"/>
      <c r="B565" s="68"/>
      <c r="C565" s="68"/>
      <c r="D565" s="70">
        <f>IFERROR(SUMIFS('Stock In'!F:F,'Stock In'!C:C,$A565,'Stock In'!D:D,$B565,'Stock In'!E:E,$C565),0)</f>
        <v>0</v>
      </c>
      <c r="E565" s="70">
        <f>IFERROR(SUMIFS(Issues!H:H,Issues!C:C,$A565,Issues!D:D,$B565,Issues!E:E,$C565),0)</f>
        <v>0</v>
      </c>
      <c r="F565" s="70">
        <f>IFERROR(SUMIFS(Returns!H:H,Returns!C:C,$A565,Returns!D:D,$B565,Returns!E:E,$C565),0)</f>
        <v>0</v>
      </c>
      <c r="G565" s="70">
        <f t="shared" si="1"/>
        <v>0</v>
      </c>
      <c r="H565" s="71">
        <f t="shared" si="2"/>
        <v>0</v>
      </c>
      <c r="I565" s="72">
        <f>IFERROR( SUMIFS('Stock In'!I:I,'Stock In'!C:C,$A565,'Stock In'!D:D,$B565,'Stock In'!E:E,$C565) / SUMIFS('Stock In'!H:H,'Stock In'!C:C,$A565,'Stock In'!D:D,$B565,'Stock In'!E:E,$C565) , 0)</f>
        <v>0</v>
      </c>
      <c r="J565" s="71">
        <f t="shared" si="3"/>
        <v>0</v>
      </c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8"/>
      <c r="B566" s="68"/>
      <c r="C566" s="68"/>
      <c r="D566" s="70">
        <f>IFERROR(SUMIFS('Stock In'!F:F,'Stock In'!C:C,$A566,'Stock In'!D:D,$B566,'Stock In'!E:E,$C566),0)</f>
        <v>0</v>
      </c>
      <c r="E566" s="70">
        <f>IFERROR(SUMIFS(Issues!H:H,Issues!C:C,$A566,Issues!D:D,$B566,Issues!E:E,$C566),0)</f>
        <v>0</v>
      </c>
      <c r="F566" s="70">
        <f>IFERROR(SUMIFS(Returns!H:H,Returns!C:C,$A566,Returns!D:D,$B566,Returns!E:E,$C566),0)</f>
        <v>0</v>
      </c>
      <c r="G566" s="70">
        <f t="shared" si="1"/>
        <v>0</v>
      </c>
      <c r="H566" s="71">
        <f t="shared" si="2"/>
        <v>0</v>
      </c>
      <c r="I566" s="72">
        <f>IFERROR( SUMIFS('Stock In'!I:I,'Stock In'!C:C,$A566,'Stock In'!D:D,$B566,'Stock In'!E:E,$C566) / SUMIFS('Stock In'!H:H,'Stock In'!C:C,$A566,'Stock In'!D:D,$B566,'Stock In'!E:E,$C566) , 0)</f>
        <v>0</v>
      </c>
      <c r="J566" s="71">
        <f t="shared" si="3"/>
        <v>0</v>
      </c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8"/>
      <c r="B567" s="68"/>
      <c r="C567" s="68"/>
      <c r="D567" s="70">
        <f>IFERROR(SUMIFS('Stock In'!F:F,'Stock In'!C:C,$A567,'Stock In'!D:D,$B567,'Stock In'!E:E,$C567),0)</f>
        <v>0</v>
      </c>
      <c r="E567" s="70">
        <f>IFERROR(SUMIFS(Issues!H:H,Issues!C:C,$A567,Issues!D:D,$B567,Issues!E:E,$C567),0)</f>
        <v>0</v>
      </c>
      <c r="F567" s="70">
        <f>IFERROR(SUMIFS(Returns!H:H,Returns!C:C,$A567,Returns!D:D,$B567,Returns!E:E,$C567),0)</f>
        <v>0</v>
      </c>
      <c r="G567" s="70">
        <f t="shared" si="1"/>
        <v>0</v>
      </c>
      <c r="H567" s="71">
        <f t="shared" si="2"/>
        <v>0</v>
      </c>
      <c r="I567" s="72">
        <f>IFERROR( SUMIFS('Stock In'!I:I,'Stock In'!C:C,$A567,'Stock In'!D:D,$B567,'Stock In'!E:E,$C567) / SUMIFS('Stock In'!H:H,'Stock In'!C:C,$A567,'Stock In'!D:D,$B567,'Stock In'!E:E,$C567) , 0)</f>
        <v>0</v>
      </c>
      <c r="J567" s="71">
        <f t="shared" si="3"/>
        <v>0</v>
      </c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8"/>
      <c r="B568" s="68"/>
      <c r="C568" s="68"/>
      <c r="D568" s="70">
        <f>IFERROR(SUMIFS('Stock In'!F:F,'Stock In'!C:C,$A568,'Stock In'!D:D,$B568,'Stock In'!E:E,$C568),0)</f>
        <v>0</v>
      </c>
      <c r="E568" s="70">
        <f>IFERROR(SUMIFS(Issues!H:H,Issues!C:C,$A568,Issues!D:D,$B568,Issues!E:E,$C568),0)</f>
        <v>0</v>
      </c>
      <c r="F568" s="70">
        <f>IFERROR(SUMIFS(Returns!H:H,Returns!C:C,$A568,Returns!D:D,$B568,Returns!E:E,$C568),0)</f>
        <v>0</v>
      </c>
      <c r="G568" s="70">
        <f t="shared" si="1"/>
        <v>0</v>
      </c>
      <c r="H568" s="71">
        <f t="shared" si="2"/>
        <v>0</v>
      </c>
      <c r="I568" s="72">
        <f>IFERROR( SUMIFS('Stock In'!I:I,'Stock In'!C:C,$A568,'Stock In'!D:D,$B568,'Stock In'!E:E,$C568) / SUMIFS('Stock In'!H:H,'Stock In'!C:C,$A568,'Stock In'!D:D,$B568,'Stock In'!E:E,$C568) , 0)</f>
        <v>0</v>
      </c>
      <c r="J568" s="71">
        <f t="shared" si="3"/>
        <v>0</v>
      </c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8"/>
      <c r="B569" s="68"/>
      <c r="C569" s="68"/>
      <c r="D569" s="70">
        <f>IFERROR(SUMIFS('Stock In'!F:F,'Stock In'!C:C,$A569,'Stock In'!D:D,$B569,'Stock In'!E:E,$C569),0)</f>
        <v>0</v>
      </c>
      <c r="E569" s="70">
        <f>IFERROR(SUMIFS(Issues!H:H,Issues!C:C,$A569,Issues!D:D,$B569,Issues!E:E,$C569),0)</f>
        <v>0</v>
      </c>
      <c r="F569" s="70">
        <f>IFERROR(SUMIFS(Returns!H:H,Returns!C:C,$A569,Returns!D:D,$B569,Returns!E:E,$C569),0)</f>
        <v>0</v>
      </c>
      <c r="G569" s="70">
        <f t="shared" si="1"/>
        <v>0</v>
      </c>
      <c r="H569" s="71">
        <f t="shared" si="2"/>
        <v>0</v>
      </c>
      <c r="I569" s="72">
        <f>IFERROR( SUMIFS('Stock In'!I:I,'Stock In'!C:C,$A569,'Stock In'!D:D,$B569,'Stock In'!E:E,$C569) / SUMIFS('Stock In'!H:H,'Stock In'!C:C,$A569,'Stock In'!D:D,$B569,'Stock In'!E:E,$C569) , 0)</f>
        <v>0</v>
      </c>
      <c r="J569" s="71">
        <f t="shared" si="3"/>
        <v>0</v>
      </c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8"/>
      <c r="B570" s="68"/>
      <c r="C570" s="68"/>
      <c r="D570" s="70">
        <f>IFERROR(SUMIFS('Stock In'!F:F,'Stock In'!C:C,$A570,'Stock In'!D:D,$B570,'Stock In'!E:E,$C570),0)</f>
        <v>0</v>
      </c>
      <c r="E570" s="70">
        <f>IFERROR(SUMIFS(Issues!H:H,Issues!C:C,$A570,Issues!D:D,$B570,Issues!E:E,$C570),0)</f>
        <v>0</v>
      </c>
      <c r="F570" s="70">
        <f>IFERROR(SUMIFS(Returns!H:H,Returns!C:C,$A570,Returns!D:D,$B570,Returns!E:E,$C570),0)</f>
        <v>0</v>
      </c>
      <c r="G570" s="70">
        <f t="shared" si="1"/>
        <v>0</v>
      </c>
      <c r="H570" s="71">
        <f t="shared" si="2"/>
        <v>0</v>
      </c>
      <c r="I570" s="72">
        <f>IFERROR( SUMIFS('Stock In'!I:I,'Stock In'!C:C,$A570,'Stock In'!D:D,$B570,'Stock In'!E:E,$C570) / SUMIFS('Stock In'!H:H,'Stock In'!C:C,$A570,'Stock In'!D:D,$B570,'Stock In'!E:E,$C570) , 0)</f>
        <v>0</v>
      </c>
      <c r="J570" s="71">
        <f t="shared" si="3"/>
        <v>0</v>
      </c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8"/>
      <c r="B571" s="68"/>
      <c r="C571" s="68"/>
      <c r="D571" s="70">
        <f>IFERROR(SUMIFS('Stock In'!F:F,'Stock In'!C:C,$A571,'Stock In'!D:D,$B571,'Stock In'!E:E,$C571),0)</f>
        <v>0</v>
      </c>
      <c r="E571" s="70">
        <f>IFERROR(SUMIFS(Issues!H:H,Issues!C:C,$A571,Issues!D:D,$B571,Issues!E:E,$C571),0)</f>
        <v>0</v>
      </c>
      <c r="F571" s="70">
        <f>IFERROR(SUMIFS(Returns!H:H,Returns!C:C,$A571,Returns!D:D,$B571,Returns!E:E,$C571),0)</f>
        <v>0</v>
      </c>
      <c r="G571" s="70">
        <f t="shared" si="1"/>
        <v>0</v>
      </c>
      <c r="H571" s="71">
        <f t="shared" si="2"/>
        <v>0</v>
      </c>
      <c r="I571" s="72">
        <f>IFERROR( SUMIFS('Stock In'!I:I,'Stock In'!C:C,$A571,'Stock In'!D:D,$B571,'Stock In'!E:E,$C571) / SUMIFS('Stock In'!H:H,'Stock In'!C:C,$A571,'Stock In'!D:D,$B571,'Stock In'!E:E,$C571) , 0)</f>
        <v>0</v>
      </c>
      <c r="J571" s="71">
        <f t="shared" si="3"/>
        <v>0</v>
      </c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8"/>
      <c r="B572" s="68"/>
      <c r="C572" s="68"/>
      <c r="D572" s="70">
        <f>IFERROR(SUMIFS('Stock In'!F:F,'Stock In'!C:C,$A572,'Stock In'!D:D,$B572,'Stock In'!E:E,$C572),0)</f>
        <v>0</v>
      </c>
      <c r="E572" s="70">
        <f>IFERROR(SUMIFS(Issues!H:H,Issues!C:C,$A572,Issues!D:D,$B572,Issues!E:E,$C572),0)</f>
        <v>0</v>
      </c>
      <c r="F572" s="70">
        <f>IFERROR(SUMIFS(Returns!H:H,Returns!C:C,$A572,Returns!D:D,$B572,Returns!E:E,$C572),0)</f>
        <v>0</v>
      </c>
      <c r="G572" s="70">
        <f t="shared" si="1"/>
        <v>0</v>
      </c>
      <c r="H572" s="71">
        <f t="shared" si="2"/>
        <v>0</v>
      </c>
      <c r="I572" s="72">
        <f>IFERROR( SUMIFS('Stock In'!I:I,'Stock In'!C:C,$A572,'Stock In'!D:D,$B572,'Stock In'!E:E,$C572) / SUMIFS('Stock In'!H:H,'Stock In'!C:C,$A572,'Stock In'!D:D,$B572,'Stock In'!E:E,$C572) , 0)</f>
        <v>0</v>
      </c>
      <c r="J572" s="71">
        <f t="shared" si="3"/>
        <v>0</v>
      </c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8"/>
      <c r="B573" s="68"/>
      <c r="C573" s="68"/>
      <c r="D573" s="70">
        <f>IFERROR(SUMIFS('Stock In'!F:F,'Stock In'!C:C,$A573,'Stock In'!D:D,$B573,'Stock In'!E:E,$C573),0)</f>
        <v>0</v>
      </c>
      <c r="E573" s="70">
        <f>IFERROR(SUMIFS(Issues!H:H,Issues!C:C,$A573,Issues!D:D,$B573,Issues!E:E,$C573),0)</f>
        <v>0</v>
      </c>
      <c r="F573" s="70">
        <f>IFERROR(SUMIFS(Returns!H:H,Returns!C:C,$A573,Returns!D:D,$B573,Returns!E:E,$C573),0)</f>
        <v>0</v>
      </c>
      <c r="G573" s="70">
        <f t="shared" si="1"/>
        <v>0</v>
      </c>
      <c r="H573" s="71">
        <f t="shared" si="2"/>
        <v>0</v>
      </c>
      <c r="I573" s="72">
        <f>IFERROR( SUMIFS('Stock In'!I:I,'Stock In'!C:C,$A573,'Stock In'!D:D,$B573,'Stock In'!E:E,$C573) / SUMIFS('Stock In'!H:H,'Stock In'!C:C,$A573,'Stock In'!D:D,$B573,'Stock In'!E:E,$C573) , 0)</f>
        <v>0</v>
      </c>
      <c r="J573" s="71">
        <f t="shared" si="3"/>
        <v>0</v>
      </c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8"/>
      <c r="B574" s="68"/>
      <c r="C574" s="68"/>
      <c r="D574" s="70">
        <f>IFERROR(SUMIFS('Stock In'!F:F,'Stock In'!C:C,$A574,'Stock In'!D:D,$B574,'Stock In'!E:E,$C574),0)</f>
        <v>0</v>
      </c>
      <c r="E574" s="70">
        <f>IFERROR(SUMIFS(Issues!H:H,Issues!C:C,$A574,Issues!D:D,$B574,Issues!E:E,$C574),0)</f>
        <v>0</v>
      </c>
      <c r="F574" s="70">
        <f>IFERROR(SUMIFS(Returns!H:H,Returns!C:C,$A574,Returns!D:D,$B574,Returns!E:E,$C574),0)</f>
        <v>0</v>
      </c>
      <c r="G574" s="70">
        <f t="shared" si="1"/>
        <v>0</v>
      </c>
      <c r="H574" s="71">
        <f t="shared" si="2"/>
        <v>0</v>
      </c>
      <c r="I574" s="72">
        <f>IFERROR( SUMIFS('Stock In'!I:I,'Stock In'!C:C,$A574,'Stock In'!D:D,$B574,'Stock In'!E:E,$C574) / SUMIFS('Stock In'!H:H,'Stock In'!C:C,$A574,'Stock In'!D:D,$B574,'Stock In'!E:E,$C574) , 0)</f>
        <v>0</v>
      </c>
      <c r="J574" s="71">
        <f t="shared" si="3"/>
        <v>0</v>
      </c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8"/>
      <c r="B575" s="68"/>
      <c r="C575" s="68"/>
      <c r="D575" s="70">
        <f>IFERROR(SUMIFS('Stock In'!F:F,'Stock In'!C:C,$A575,'Stock In'!D:D,$B575,'Stock In'!E:E,$C575),0)</f>
        <v>0</v>
      </c>
      <c r="E575" s="70">
        <f>IFERROR(SUMIFS(Issues!H:H,Issues!C:C,$A575,Issues!D:D,$B575,Issues!E:E,$C575),0)</f>
        <v>0</v>
      </c>
      <c r="F575" s="70">
        <f>IFERROR(SUMIFS(Returns!H:H,Returns!C:C,$A575,Returns!D:D,$B575,Returns!E:E,$C575),0)</f>
        <v>0</v>
      </c>
      <c r="G575" s="70">
        <f t="shared" si="1"/>
        <v>0</v>
      </c>
      <c r="H575" s="71">
        <f t="shared" si="2"/>
        <v>0</v>
      </c>
      <c r="I575" s="72">
        <f>IFERROR( SUMIFS('Stock In'!I:I,'Stock In'!C:C,$A575,'Stock In'!D:D,$B575,'Stock In'!E:E,$C575) / SUMIFS('Stock In'!H:H,'Stock In'!C:C,$A575,'Stock In'!D:D,$B575,'Stock In'!E:E,$C575) , 0)</f>
        <v>0</v>
      </c>
      <c r="J575" s="71">
        <f t="shared" si="3"/>
        <v>0</v>
      </c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8"/>
      <c r="B576" s="68"/>
      <c r="C576" s="68"/>
      <c r="D576" s="70">
        <f>IFERROR(SUMIFS('Stock In'!F:F,'Stock In'!C:C,$A576,'Stock In'!D:D,$B576,'Stock In'!E:E,$C576),0)</f>
        <v>0</v>
      </c>
      <c r="E576" s="70">
        <f>IFERROR(SUMIFS(Issues!H:H,Issues!C:C,$A576,Issues!D:D,$B576,Issues!E:E,$C576),0)</f>
        <v>0</v>
      </c>
      <c r="F576" s="70">
        <f>IFERROR(SUMIFS(Returns!H:H,Returns!C:C,$A576,Returns!D:D,$B576,Returns!E:E,$C576),0)</f>
        <v>0</v>
      </c>
      <c r="G576" s="70">
        <f t="shared" si="1"/>
        <v>0</v>
      </c>
      <c r="H576" s="71">
        <f t="shared" si="2"/>
        <v>0</v>
      </c>
      <c r="I576" s="72">
        <f>IFERROR( SUMIFS('Stock In'!I:I,'Stock In'!C:C,$A576,'Stock In'!D:D,$B576,'Stock In'!E:E,$C576) / SUMIFS('Stock In'!H:H,'Stock In'!C:C,$A576,'Stock In'!D:D,$B576,'Stock In'!E:E,$C576) , 0)</f>
        <v>0</v>
      </c>
      <c r="J576" s="71">
        <f t="shared" si="3"/>
        <v>0</v>
      </c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8"/>
      <c r="B577" s="68"/>
      <c r="C577" s="68"/>
      <c r="D577" s="70">
        <f>IFERROR(SUMIFS('Stock In'!F:F,'Stock In'!C:C,$A577,'Stock In'!D:D,$B577,'Stock In'!E:E,$C577),0)</f>
        <v>0</v>
      </c>
      <c r="E577" s="70">
        <f>IFERROR(SUMIFS(Issues!H:H,Issues!C:C,$A577,Issues!D:D,$B577,Issues!E:E,$C577),0)</f>
        <v>0</v>
      </c>
      <c r="F577" s="70">
        <f>IFERROR(SUMIFS(Returns!H:H,Returns!C:C,$A577,Returns!D:D,$B577,Returns!E:E,$C577),0)</f>
        <v>0</v>
      </c>
      <c r="G577" s="70">
        <f t="shared" si="1"/>
        <v>0</v>
      </c>
      <c r="H577" s="71">
        <f t="shared" si="2"/>
        <v>0</v>
      </c>
      <c r="I577" s="72">
        <f>IFERROR( SUMIFS('Stock In'!I:I,'Stock In'!C:C,$A577,'Stock In'!D:D,$B577,'Stock In'!E:E,$C577) / SUMIFS('Stock In'!H:H,'Stock In'!C:C,$A577,'Stock In'!D:D,$B577,'Stock In'!E:E,$C577) , 0)</f>
        <v>0</v>
      </c>
      <c r="J577" s="71">
        <f t="shared" si="3"/>
        <v>0</v>
      </c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8"/>
      <c r="B578" s="68"/>
      <c r="C578" s="68"/>
      <c r="D578" s="70">
        <f>IFERROR(SUMIFS('Stock In'!F:F,'Stock In'!C:C,$A578,'Stock In'!D:D,$B578,'Stock In'!E:E,$C578),0)</f>
        <v>0</v>
      </c>
      <c r="E578" s="70">
        <f>IFERROR(SUMIFS(Issues!H:H,Issues!C:C,$A578,Issues!D:D,$B578,Issues!E:E,$C578),0)</f>
        <v>0</v>
      </c>
      <c r="F578" s="70">
        <f>IFERROR(SUMIFS(Returns!H:H,Returns!C:C,$A578,Returns!D:D,$B578,Returns!E:E,$C578),0)</f>
        <v>0</v>
      </c>
      <c r="G578" s="70">
        <f t="shared" si="1"/>
        <v>0</v>
      </c>
      <c r="H578" s="71">
        <f t="shared" si="2"/>
        <v>0</v>
      </c>
      <c r="I578" s="72">
        <f>IFERROR( SUMIFS('Stock In'!I:I,'Stock In'!C:C,$A578,'Stock In'!D:D,$B578,'Stock In'!E:E,$C578) / SUMIFS('Stock In'!H:H,'Stock In'!C:C,$A578,'Stock In'!D:D,$B578,'Stock In'!E:E,$C578) , 0)</f>
        <v>0</v>
      </c>
      <c r="J578" s="71">
        <f t="shared" si="3"/>
        <v>0</v>
      </c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8"/>
      <c r="B579" s="68"/>
      <c r="C579" s="68"/>
      <c r="D579" s="70">
        <f>IFERROR(SUMIFS('Stock In'!F:F,'Stock In'!C:C,$A579,'Stock In'!D:D,$B579,'Stock In'!E:E,$C579),0)</f>
        <v>0</v>
      </c>
      <c r="E579" s="70">
        <f>IFERROR(SUMIFS(Issues!H:H,Issues!C:C,$A579,Issues!D:D,$B579,Issues!E:E,$C579),0)</f>
        <v>0</v>
      </c>
      <c r="F579" s="70">
        <f>IFERROR(SUMIFS(Returns!H:H,Returns!C:C,$A579,Returns!D:D,$B579,Returns!E:E,$C579),0)</f>
        <v>0</v>
      </c>
      <c r="G579" s="70">
        <f t="shared" si="1"/>
        <v>0</v>
      </c>
      <c r="H579" s="71">
        <f t="shared" si="2"/>
        <v>0</v>
      </c>
      <c r="I579" s="72">
        <f>IFERROR( SUMIFS('Stock In'!I:I,'Stock In'!C:C,$A579,'Stock In'!D:D,$B579,'Stock In'!E:E,$C579) / SUMIFS('Stock In'!H:H,'Stock In'!C:C,$A579,'Stock In'!D:D,$B579,'Stock In'!E:E,$C579) , 0)</f>
        <v>0</v>
      </c>
      <c r="J579" s="71">
        <f t="shared" si="3"/>
        <v>0</v>
      </c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8"/>
      <c r="B580" s="68"/>
      <c r="C580" s="68"/>
      <c r="D580" s="70">
        <f>IFERROR(SUMIFS('Stock In'!F:F,'Stock In'!C:C,$A580,'Stock In'!D:D,$B580,'Stock In'!E:E,$C580),0)</f>
        <v>0</v>
      </c>
      <c r="E580" s="70">
        <f>IFERROR(SUMIFS(Issues!H:H,Issues!C:C,$A580,Issues!D:D,$B580,Issues!E:E,$C580),0)</f>
        <v>0</v>
      </c>
      <c r="F580" s="70">
        <f>IFERROR(SUMIFS(Returns!H:H,Returns!C:C,$A580,Returns!D:D,$B580,Returns!E:E,$C580),0)</f>
        <v>0</v>
      </c>
      <c r="G580" s="70">
        <f t="shared" si="1"/>
        <v>0</v>
      </c>
      <c r="H580" s="71">
        <f t="shared" si="2"/>
        <v>0</v>
      </c>
      <c r="I580" s="72">
        <f>IFERROR( SUMIFS('Stock In'!I:I,'Stock In'!C:C,$A580,'Stock In'!D:D,$B580,'Stock In'!E:E,$C580) / SUMIFS('Stock In'!H:H,'Stock In'!C:C,$A580,'Stock In'!D:D,$B580,'Stock In'!E:E,$C580) , 0)</f>
        <v>0</v>
      </c>
      <c r="J580" s="71">
        <f t="shared" si="3"/>
        <v>0</v>
      </c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8"/>
      <c r="B581" s="68"/>
      <c r="C581" s="68"/>
      <c r="D581" s="70">
        <f>IFERROR(SUMIFS('Stock In'!F:F,'Stock In'!C:C,$A581,'Stock In'!D:D,$B581,'Stock In'!E:E,$C581),0)</f>
        <v>0</v>
      </c>
      <c r="E581" s="70">
        <f>IFERROR(SUMIFS(Issues!H:H,Issues!C:C,$A581,Issues!D:D,$B581,Issues!E:E,$C581),0)</f>
        <v>0</v>
      </c>
      <c r="F581" s="70">
        <f>IFERROR(SUMIFS(Returns!H:H,Returns!C:C,$A581,Returns!D:D,$B581,Returns!E:E,$C581),0)</f>
        <v>0</v>
      </c>
      <c r="G581" s="70">
        <f t="shared" si="1"/>
        <v>0</v>
      </c>
      <c r="H581" s="71">
        <f t="shared" si="2"/>
        <v>0</v>
      </c>
      <c r="I581" s="72">
        <f>IFERROR( SUMIFS('Stock In'!I:I,'Stock In'!C:C,$A581,'Stock In'!D:D,$B581,'Stock In'!E:E,$C581) / SUMIFS('Stock In'!H:H,'Stock In'!C:C,$A581,'Stock In'!D:D,$B581,'Stock In'!E:E,$C581) , 0)</f>
        <v>0</v>
      </c>
      <c r="J581" s="71">
        <f t="shared" si="3"/>
        <v>0</v>
      </c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8"/>
      <c r="B582" s="68"/>
      <c r="C582" s="68"/>
      <c r="D582" s="70">
        <f>IFERROR(SUMIFS('Stock In'!F:F,'Stock In'!C:C,$A582,'Stock In'!D:D,$B582,'Stock In'!E:E,$C582),0)</f>
        <v>0</v>
      </c>
      <c r="E582" s="70">
        <f>IFERROR(SUMIFS(Issues!H:H,Issues!C:C,$A582,Issues!D:D,$B582,Issues!E:E,$C582),0)</f>
        <v>0</v>
      </c>
      <c r="F582" s="70">
        <f>IFERROR(SUMIFS(Returns!H:H,Returns!C:C,$A582,Returns!D:D,$B582,Returns!E:E,$C582),0)</f>
        <v>0</v>
      </c>
      <c r="G582" s="70">
        <f t="shared" si="1"/>
        <v>0</v>
      </c>
      <c r="H582" s="71">
        <f t="shared" si="2"/>
        <v>0</v>
      </c>
      <c r="I582" s="72">
        <f>IFERROR( SUMIFS('Stock In'!I:I,'Stock In'!C:C,$A582,'Stock In'!D:D,$B582,'Stock In'!E:E,$C582) / SUMIFS('Stock In'!H:H,'Stock In'!C:C,$A582,'Stock In'!D:D,$B582,'Stock In'!E:E,$C582) , 0)</f>
        <v>0</v>
      </c>
      <c r="J582" s="71">
        <f t="shared" si="3"/>
        <v>0</v>
      </c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8"/>
      <c r="B583" s="68"/>
      <c r="C583" s="68"/>
      <c r="D583" s="70">
        <f>IFERROR(SUMIFS('Stock In'!F:F,'Stock In'!C:C,$A583,'Stock In'!D:D,$B583,'Stock In'!E:E,$C583),0)</f>
        <v>0</v>
      </c>
      <c r="E583" s="70">
        <f>IFERROR(SUMIFS(Issues!H:H,Issues!C:C,$A583,Issues!D:D,$B583,Issues!E:E,$C583),0)</f>
        <v>0</v>
      </c>
      <c r="F583" s="70">
        <f>IFERROR(SUMIFS(Returns!H:H,Returns!C:C,$A583,Returns!D:D,$B583,Returns!E:E,$C583),0)</f>
        <v>0</v>
      </c>
      <c r="G583" s="70">
        <f t="shared" si="1"/>
        <v>0</v>
      </c>
      <c r="H583" s="71">
        <f t="shared" si="2"/>
        <v>0</v>
      </c>
      <c r="I583" s="72">
        <f>IFERROR( SUMIFS('Stock In'!I:I,'Stock In'!C:C,$A583,'Stock In'!D:D,$B583,'Stock In'!E:E,$C583) / SUMIFS('Stock In'!H:H,'Stock In'!C:C,$A583,'Stock In'!D:D,$B583,'Stock In'!E:E,$C583) , 0)</f>
        <v>0</v>
      </c>
      <c r="J583" s="71">
        <f t="shared" si="3"/>
        <v>0</v>
      </c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8"/>
      <c r="B584" s="68"/>
      <c r="C584" s="68"/>
      <c r="D584" s="70">
        <f>IFERROR(SUMIFS('Stock In'!F:F,'Stock In'!C:C,$A584,'Stock In'!D:D,$B584,'Stock In'!E:E,$C584),0)</f>
        <v>0</v>
      </c>
      <c r="E584" s="70">
        <f>IFERROR(SUMIFS(Issues!H:H,Issues!C:C,$A584,Issues!D:D,$B584,Issues!E:E,$C584),0)</f>
        <v>0</v>
      </c>
      <c r="F584" s="70">
        <f>IFERROR(SUMIFS(Returns!H:H,Returns!C:C,$A584,Returns!D:D,$B584,Returns!E:E,$C584),0)</f>
        <v>0</v>
      </c>
      <c r="G584" s="70">
        <f t="shared" si="1"/>
        <v>0</v>
      </c>
      <c r="H584" s="71">
        <f t="shared" si="2"/>
        <v>0</v>
      </c>
      <c r="I584" s="72">
        <f>IFERROR( SUMIFS('Stock In'!I:I,'Stock In'!C:C,$A584,'Stock In'!D:D,$B584,'Stock In'!E:E,$C584) / SUMIFS('Stock In'!H:H,'Stock In'!C:C,$A584,'Stock In'!D:D,$B584,'Stock In'!E:E,$C584) , 0)</f>
        <v>0</v>
      </c>
      <c r="J584" s="71">
        <f t="shared" si="3"/>
        <v>0</v>
      </c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8"/>
      <c r="B585" s="68"/>
      <c r="C585" s="68"/>
      <c r="D585" s="70">
        <f>IFERROR(SUMIFS('Stock In'!F:F,'Stock In'!C:C,$A585,'Stock In'!D:D,$B585,'Stock In'!E:E,$C585),0)</f>
        <v>0</v>
      </c>
      <c r="E585" s="70">
        <f>IFERROR(SUMIFS(Issues!H:H,Issues!C:C,$A585,Issues!D:D,$B585,Issues!E:E,$C585),0)</f>
        <v>0</v>
      </c>
      <c r="F585" s="70">
        <f>IFERROR(SUMIFS(Returns!H:H,Returns!C:C,$A585,Returns!D:D,$B585,Returns!E:E,$C585),0)</f>
        <v>0</v>
      </c>
      <c r="G585" s="70">
        <f t="shared" si="1"/>
        <v>0</v>
      </c>
      <c r="H585" s="71">
        <f t="shared" si="2"/>
        <v>0</v>
      </c>
      <c r="I585" s="72">
        <f>IFERROR( SUMIFS('Stock In'!I:I,'Stock In'!C:C,$A585,'Stock In'!D:D,$B585,'Stock In'!E:E,$C585) / SUMIFS('Stock In'!H:H,'Stock In'!C:C,$A585,'Stock In'!D:D,$B585,'Stock In'!E:E,$C585) , 0)</f>
        <v>0</v>
      </c>
      <c r="J585" s="71">
        <f t="shared" si="3"/>
        <v>0</v>
      </c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8"/>
      <c r="B586" s="68"/>
      <c r="C586" s="68"/>
      <c r="D586" s="70">
        <f>IFERROR(SUMIFS('Stock In'!F:F,'Stock In'!C:C,$A586,'Stock In'!D:D,$B586,'Stock In'!E:E,$C586),0)</f>
        <v>0</v>
      </c>
      <c r="E586" s="70">
        <f>IFERROR(SUMIFS(Issues!H:H,Issues!C:C,$A586,Issues!D:D,$B586,Issues!E:E,$C586),0)</f>
        <v>0</v>
      </c>
      <c r="F586" s="70">
        <f>IFERROR(SUMIFS(Returns!H:H,Returns!C:C,$A586,Returns!D:D,$B586,Returns!E:E,$C586),0)</f>
        <v>0</v>
      </c>
      <c r="G586" s="70">
        <f t="shared" si="1"/>
        <v>0</v>
      </c>
      <c r="H586" s="71">
        <f t="shared" si="2"/>
        <v>0</v>
      </c>
      <c r="I586" s="72">
        <f>IFERROR( SUMIFS('Stock In'!I:I,'Stock In'!C:C,$A586,'Stock In'!D:D,$B586,'Stock In'!E:E,$C586) / SUMIFS('Stock In'!H:H,'Stock In'!C:C,$A586,'Stock In'!D:D,$B586,'Stock In'!E:E,$C586) , 0)</f>
        <v>0</v>
      </c>
      <c r="J586" s="71">
        <f t="shared" si="3"/>
        <v>0</v>
      </c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8"/>
      <c r="B587" s="68"/>
      <c r="C587" s="68"/>
      <c r="D587" s="70">
        <f>IFERROR(SUMIFS('Stock In'!F:F,'Stock In'!C:C,$A587,'Stock In'!D:D,$B587,'Stock In'!E:E,$C587),0)</f>
        <v>0</v>
      </c>
      <c r="E587" s="70">
        <f>IFERROR(SUMIFS(Issues!H:H,Issues!C:C,$A587,Issues!D:D,$B587,Issues!E:E,$C587),0)</f>
        <v>0</v>
      </c>
      <c r="F587" s="70">
        <f>IFERROR(SUMIFS(Returns!H:H,Returns!C:C,$A587,Returns!D:D,$B587,Returns!E:E,$C587),0)</f>
        <v>0</v>
      </c>
      <c r="G587" s="70">
        <f t="shared" si="1"/>
        <v>0</v>
      </c>
      <c r="H587" s="71">
        <f t="shared" si="2"/>
        <v>0</v>
      </c>
      <c r="I587" s="72">
        <f>IFERROR( SUMIFS('Stock In'!I:I,'Stock In'!C:C,$A587,'Stock In'!D:D,$B587,'Stock In'!E:E,$C587) / SUMIFS('Stock In'!H:H,'Stock In'!C:C,$A587,'Stock In'!D:D,$B587,'Stock In'!E:E,$C587) , 0)</f>
        <v>0</v>
      </c>
      <c r="J587" s="71">
        <f t="shared" si="3"/>
        <v>0</v>
      </c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8"/>
      <c r="B588" s="68"/>
      <c r="C588" s="68"/>
      <c r="D588" s="70">
        <f>IFERROR(SUMIFS('Stock In'!F:F,'Stock In'!C:C,$A588,'Stock In'!D:D,$B588,'Stock In'!E:E,$C588),0)</f>
        <v>0</v>
      </c>
      <c r="E588" s="70">
        <f>IFERROR(SUMIFS(Issues!H:H,Issues!C:C,$A588,Issues!D:D,$B588,Issues!E:E,$C588),0)</f>
        <v>0</v>
      </c>
      <c r="F588" s="70">
        <f>IFERROR(SUMIFS(Returns!H:H,Returns!C:C,$A588,Returns!D:D,$B588,Returns!E:E,$C588),0)</f>
        <v>0</v>
      </c>
      <c r="G588" s="70">
        <f t="shared" si="1"/>
        <v>0</v>
      </c>
      <c r="H588" s="71">
        <f t="shared" si="2"/>
        <v>0</v>
      </c>
      <c r="I588" s="72">
        <f>IFERROR( SUMIFS('Stock In'!I:I,'Stock In'!C:C,$A588,'Stock In'!D:D,$B588,'Stock In'!E:E,$C588) / SUMIFS('Stock In'!H:H,'Stock In'!C:C,$A588,'Stock In'!D:D,$B588,'Stock In'!E:E,$C588) , 0)</f>
        <v>0</v>
      </c>
      <c r="J588" s="71">
        <f t="shared" si="3"/>
        <v>0</v>
      </c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8"/>
      <c r="B589" s="68"/>
      <c r="C589" s="68"/>
      <c r="D589" s="70">
        <f>IFERROR(SUMIFS('Stock In'!F:F,'Stock In'!C:C,$A589,'Stock In'!D:D,$B589,'Stock In'!E:E,$C589),0)</f>
        <v>0</v>
      </c>
      <c r="E589" s="70">
        <f>IFERROR(SUMIFS(Issues!H:H,Issues!C:C,$A589,Issues!D:D,$B589,Issues!E:E,$C589),0)</f>
        <v>0</v>
      </c>
      <c r="F589" s="70">
        <f>IFERROR(SUMIFS(Returns!H:H,Returns!C:C,$A589,Returns!D:D,$B589,Returns!E:E,$C589),0)</f>
        <v>0</v>
      </c>
      <c r="G589" s="70">
        <f t="shared" si="1"/>
        <v>0</v>
      </c>
      <c r="H589" s="71">
        <f t="shared" si="2"/>
        <v>0</v>
      </c>
      <c r="I589" s="72">
        <f>IFERROR( SUMIFS('Stock In'!I:I,'Stock In'!C:C,$A589,'Stock In'!D:D,$B589,'Stock In'!E:E,$C589) / SUMIFS('Stock In'!H:H,'Stock In'!C:C,$A589,'Stock In'!D:D,$B589,'Stock In'!E:E,$C589) , 0)</f>
        <v>0</v>
      </c>
      <c r="J589" s="71">
        <f t="shared" si="3"/>
        <v>0</v>
      </c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8"/>
      <c r="B590" s="68"/>
      <c r="C590" s="68"/>
      <c r="D590" s="70">
        <f>IFERROR(SUMIFS('Stock In'!F:F,'Stock In'!C:C,$A590,'Stock In'!D:D,$B590,'Stock In'!E:E,$C590),0)</f>
        <v>0</v>
      </c>
      <c r="E590" s="70">
        <f>IFERROR(SUMIFS(Issues!H:H,Issues!C:C,$A590,Issues!D:D,$B590,Issues!E:E,$C590),0)</f>
        <v>0</v>
      </c>
      <c r="F590" s="70">
        <f>IFERROR(SUMIFS(Returns!H:H,Returns!C:C,$A590,Returns!D:D,$B590,Returns!E:E,$C590),0)</f>
        <v>0</v>
      </c>
      <c r="G590" s="70">
        <f t="shared" si="1"/>
        <v>0</v>
      </c>
      <c r="H590" s="71">
        <f t="shared" si="2"/>
        <v>0</v>
      </c>
      <c r="I590" s="72">
        <f>IFERROR( SUMIFS('Stock In'!I:I,'Stock In'!C:C,$A590,'Stock In'!D:D,$B590,'Stock In'!E:E,$C590) / SUMIFS('Stock In'!H:H,'Stock In'!C:C,$A590,'Stock In'!D:D,$B590,'Stock In'!E:E,$C590) , 0)</f>
        <v>0</v>
      </c>
      <c r="J590" s="71">
        <f t="shared" si="3"/>
        <v>0</v>
      </c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8"/>
      <c r="B591" s="68"/>
      <c r="C591" s="68"/>
      <c r="D591" s="70">
        <f>IFERROR(SUMIFS('Stock In'!F:F,'Stock In'!C:C,$A591,'Stock In'!D:D,$B591,'Stock In'!E:E,$C591),0)</f>
        <v>0</v>
      </c>
      <c r="E591" s="70">
        <f>IFERROR(SUMIFS(Issues!H:H,Issues!C:C,$A591,Issues!D:D,$B591,Issues!E:E,$C591),0)</f>
        <v>0</v>
      </c>
      <c r="F591" s="70">
        <f>IFERROR(SUMIFS(Returns!H:H,Returns!C:C,$A591,Returns!D:D,$B591,Returns!E:E,$C591),0)</f>
        <v>0</v>
      </c>
      <c r="G591" s="70">
        <f t="shared" si="1"/>
        <v>0</v>
      </c>
      <c r="H591" s="71">
        <f t="shared" si="2"/>
        <v>0</v>
      </c>
      <c r="I591" s="72">
        <f>IFERROR( SUMIFS('Stock In'!I:I,'Stock In'!C:C,$A591,'Stock In'!D:D,$B591,'Stock In'!E:E,$C591) / SUMIFS('Stock In'!H:H,'Stock In'!C:C,$A591,'Stock In'!D:D,$B591,'Stock In'!E:E,$C591) , 0)</f>
        <v>0</v>
      </c>
      <c r="J591" s="71">
        <f t="shared" si="3"/>
        <v>0</v>
      </c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8"/>
      <c r="B592" s="68"/>
      <c r="C592" s="68"/>
      <c r="D592" s="70">
        <f>IFERROR(SUMIFS('Stock In'!F:F,'Stock In'!C:C,$A592,'Stock In'!D:D,$B592,'Stock In'!E:E,$C592),0)</f>
        <v>0</v>
      </c>
      <c r="E592" s="70">
        <f>IFERROR(SUMIFS(Issues!H:H,Issues!C:C,$A592,Issues!D:D,$B592,Issues!E:E,$C592),0)</f>
        <v>0</v>
      </c>
      <c r="F592" s="70">
        <f>IFERROR(SUMIFS(Returns!H:H,Returns!C:C,$A592,Returns!D:D,$B592,Returns!E:E,$C592),0)</f>
        <v>0</v>
      </c>
      <c r="G592" s="70">
        <f t="shared" si="1"/>
        <v>0</v>
      </c>
      <c r="H592" s="71">
        <f t="shared" si="2"/>
        <v>0</v>
      </c>
      <c r="I592" s="72">
        <f>IFERROR( SUMIFS('Stock In'!I:I,'Stock In'!C:C,$A592,'Stock In'!D:D,$B592,'Stock In'!E:E,$C592) / SUMIFS('Stock In'!H:H,'Stock In'!C:C,$A592,'Stock In'!D:D,$B592,'Stock In'!E:E,$C592) , 0)</f>
        <v>0</v>
      </c>
      <c r="J592" s="71">
        <f t="shared" si="3"/>
        <v>0</v>
      </c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8"/>
      <c r="B593" s="68"/>
      <c r="C593" s="68"/>
      <c r="D593" s="70">
        <f>IFERROR(SUMIFS('Stock In'!F:F,'Stock In'!C:C,$A593,'Stock In'!D:D,$B593,'Stock In'!E:E,$C593),0)</f>
        <v>0</v>
      </c>
      <c r="E593" s="70">
        <f>IFERROR(SUMIFS(Issues!H:H,Issues!C:C,$A593,Issues!D:D,$B593,Issues!E:E,$C593),0)</f>
        <v>0</v>
      </c>
      <c r="F593" s="70">
        <f>IFERROR(SUMIFS(Returns!H:H,Returns!C:C,$A593,Returns!D:D,$B593,Returns!E:E,$C593),0)</f>
        <v>0</v>
      </c>
      <c r="G593" s="70">
        <f t="shared" si="1"/>
        <v>0</v>
      </c>
      <c r="H593" s="71">
        <f t="shared" si="2"/>
        <v>0</v>
      </c>
      <c r="I593" s="72">
        <f>IFERROR( SUMIFS('Stock In'!I:I,'Stock In'!C:C,$A593,'Stock In'!D:D,$B593,'Stock In'!E:E,$C593) / SUMIFS('Stock In'!H:H,'Stock In'!C:C,$A593,'Stock In'!D:D,$B593,'Stock In'!E:E,$C593) , 0)</f>
        <v>0</v>
      </c>
      <c r="J593" s="71">
        <f t="shared" si="3"/>
        <v>0</v>
      </c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8"/>
      <c r="B594" s="68"/>
      <c r="C594" s="68"/>
      <c r="D594" s="70">
        <f>IFERROR(SUMIFS('Stock In'!F:F,'Stock In'!C:C,$A594,'Stock In'!D:D,$B594,'Stock In'!E:E,$C594),0)</f>
        <v>0</v>
      </c>
      <c r="E594" s="70">
        <f>IFERROR(SUMIFS(Issues!H:H,Issues!C:C,$A594,Issues!D:D,$B594,Issues!E:E,$C594),0)</f>
        <v>0</v>
      </c>
      <c r="F594" s="70">
        <f>IFERROR(SUMIFS(Returns!H:H,Returns!C:C,$A594,Returns!D:D,$B594,Returns!E:E,$C594),0)</f>
        <v>0</v>
      </c>
      <c r="G594" s="70">
        <f t="shared" si="1"/>
        <v>0</v>
      </c>
      <c r="H594" s="71">
        <f t="shared" si="2"/>
        <v>0</v>
      </c>
      <c r="I594" s="72">
        <f>IFERROR( SUMIFS('Stock In'!I:I,'Stock In'!C:C,$A594,'Stock In'!D:D,$B594,'Stock In'!E:E,$C594) / SUMIFS('Stock In'!H:H,'Stock In'!C:C,$A594,'Stock In'!D:D,$B594,'Stock In'!E:E,$C594) , 0)</f>
        <v>0</v>
      </c>
      <c r="J594" s="71">
        <f t="shared" si="3"/>
        <v>0</v>
      </c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8"/>
      <c r="B595" s="68"/>
      <c r="C595" s="68"/>
      <c r="D595" s="70">
        <f>IFERROR(SUMIFS('Stock In'!F:F,'Stock In'!C:C,$A595,'Stock In'!D:D,$B595,'Stock In'!E:E,$C595),0)</f>
        <v>0</v>
      </c>
      <c r="E595" s="70">
        <f>IFERROR(SUMIFS(Issues!H:H,Issues!C:C,$A595,Issues!D:D,$B595,Issues!E:E,$C595),0)</f>
        <v>0</v>
      </c>
      <c r="F595" s="70">
        <f>IFERROR(SUMIFS(Returns!H:H,Returns!C:C,$A595,Returns!D:D,$B595,Returns!E:E,$C595),0)</f>
        <v>0</v>
      </c>
      <c r="G595" s="70">
        <f t="shared" si="1"/>
        <v>0</v>
      </c>
      <c r="H595" s="71">
        <f t="shared" si="2"/>
        <v>0</v>
      </c>
      <c r="I595" s="72">
        <f>IFERROR( SUMIFS('Stock In'!I:I,'Stock In'!C:C,$A595,'Stock In'!D:D,$B595,'Stock In'!E:E,$C595) / SUMIFS('Stock In'!H:H,'Stock In'!C:C,$A595,'Stock In'!D:D,$B595,'Stock In'!E:E,$C595) , 0)</f>
        <v>0</v>
      </c>
      <c r="J595" s="71">
        <f t="shared" si="3"/>
        <v>0</v>
      </c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8"/>
      <c r="B596" s="68"/>
      <c r="C596" s="68"/>
      <c r="D596" s="70">
        <f>IFERROR(SUMIFS('Stock In'!F:F,'Stock In'!C:C,$A596,'Stock In'!D:D,$B596,'Stock In'!E:E,$C596),0)</f>
        <v>0</v>
      </c>
      <c r="E596" s="70">
        <f>IFERROR(SUMIFS(Issues!H:H,Issues!C:C,$A596,Issues!D:D,$B596,Issues!E:E,$C596),0)</f>
        <v>0</v>
      </c>
      <c r="F596" s="70">
        <f>IFERROR(SUMIFS(Returns!H:H,Returns!C:C,$A596,Returns!D:D,$B596,Returns!E:E,$C596),0)</f>
        <v>0</v>
      </c>
      <c r="G596" s="70">
        <f t="shared" si="1"/>
        <v>0</v>
      </c>
      <c r="H596" s="71">
        <f t="shared" si="2"/>
        <v>0</v>
      </c>
      <c r="I596" s="72">
        <f>IFERROR( SUMIFS('Stock In'!I:I,'Stock In'!C:C,$A596,'Stock In'!D:D,$B596,'Stock In'!E:E,$C596) / SUMIFS('Stock In'!H:H,'Stock In'!C:C,$A596,'Stock In'!D:D,$B596,'Stock In'!E:E,$C596) , 0)</f>
        <v>0</v>
      </c>
      <c r="J596" s="71">
        <f t="shared" si="3"/>
        <v>0</v>
      </c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8"/>
      <c r="B597" s="68"/>
      <c r="C597" s="68"/>
      <c r="D597" s="70">
        <f>IFERROR(SUMIFS('Stock In'!F:F,'Stock In'!C:C,$A597,'Stock In'!D:D,$B597,'Stock In'!E:E,$C597),0)</f>
        <v>0</v>
      </c>
      <c r="E597" s="70">
        <f>IFERROR(SUMIFS(Issues!H:H,Issues!C:C,$A597,Issues!D:D,$B597,Issues!E:E,$C597),0)</f>
        <v>0</v>
      </c>
      <c r="F597" s="70">
        <f>IFERROR(SUMIFS(Returns!H:H,Returns!C:C,$A597,Returns!D:D,$B597,Returns!E:E,$C597),0)</f>
        <v>0</v>
      </c>
      <c r="G597" s="70">
        <f t="shared" si="1"/>
        <v>0</v>
      </c>
      <c r="H597" s="71">
        <f t="shared" si="2"/>
        <v>0</v>
      </c>
      <c r="I597" s="72">
        <f>IFERROR( SUMIFS('Stock In'!I:I,'Stock In'!C:C,$A597,'Stock In'!D:D,$B597,'Stock In'!E:E,$C597) / SUMIFS('Stock In'!H:H,'Stock In'!C:C,$A597,'Stock In'!D:D,$B597,'Stock In'!E:E,$C597) , 0)</f>
        <v>0</v>
      </c>
      <c r="J597" s="71">
        <f t="shared" si="3"/>
        <v>0</v>
      </c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8"/>
      <c r="B598" s="68"/>
      <c r="C598" s="68"/>
      <c r="D598" s="70">
        <f>IFERROR(SUMIFS('Stock In'!F:F,'Stock In'!C:C,$A598,'Stock In'!D:D,$B598,'Stock In'!E:E,$C598),0)</f>
        <v>0</v>
      </c>
      <c r="E598" s="70">
        <f>IFERROR(SUMIFS(Issues!H:H,Issues!C:C,$A598,Issues!D:D,$B598,Issues!E:E,$C598),0)</f>
        <v>0</v>
      </c>
      <c r="F598" s="70">
        <f>IFERROR(SUMIFS(Returns!H:H,Returns!C:C,$A598,Returns!D:D,$B598,Returns!E:E,$C598),0)</f>
        <v>0</v>
      </c>
      <c r="G598" s="70">
        <f t="shared" si="1"/>
        <v>0</v>
      </c>
      <c r="H598" s="71">
        <f t="shared" si="2"/>
        <v>0</v>
      </c>
      <c r="I598" s="72">
        <f>IFERROR( SUMIFS('Stock In'!I:I,'Stock In'!C:C,$A598,'Stock In'!D:D,$B598,'Stock In'!E:E,$C598) / SUMIFS('Stock In'!H:H,'Stock In'!C:C,$A598,'Stock In'!D:D,$B598,'Stock In'!E:E,$C598) , 0)</f>
        <v>0</v>
      </c>
      <c r="J598" s="71">
        <f t="shared" si="3"/>
        <v>0</v>
      </c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8"/>
      <c r="B599" s="68"/>
      <c r="C599" s="68"/>
      <c r="D599" s="70">
        <f>IFERROR(SUMIFS('Stock In'!F:F,'Stock In'!C:C,$A599,'Stock In'!D:D,$B599,'Stock In'!E:E,$C599),0)</f>
        <v>0</v>
      </c>
      <c r="E599" s="70">
        <f>IFERROR(SUMIFS(Issues!H:H,Issues!C:C,$A599,Issues!D:D,$B599,Issues!E:E,$C599),0)</f>
        <v>0</v>
      </c>
      <c r="F599" s="70">
        <f>IFERROR(SUMIFS(Returns!H:H,Returns!C:C,$A599,Returns!D:D,$B599,Returns!E:E,$C599),0)</f>
        <v>0</v>
      </c>
      <c r="G599" s="70">
        <f t="shared" si="1"/>
        <v>0</v>
      </c>
      <c r="H599" s="71">
        <f t="shared" si="2"/>
        <v>0</v>
      </c>
      <c r="I599" s="72">
        <f>IFERROR( SUMIFS('Stock In'!I:I,'Stock In'!C:C,$A599,'Stock In'!D:D,$B599,'Stock In'!E:E,$C599) / SUMIFS('Stock In'!H:H,'Stock In'!C:C,$A599,'Stock In'!D:D,$B599,'Stock In'!E:E,$C599) , 0)</f>
        <v>0</v>
      </c>
      <c r="J599" s="71">
        <f t="shared" si="3"/>
        <v>0</v>
      </c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8"/>
      <c r="B600" s="68"/>
      <c r="C600" s="68"/>
      <c r="D600" s="70">
        <f>IFERROR(SUMIFS('Stock In'!F:F,'Stock In'!C:C,$A600,'Stock In'!D:D,$B600,'Stock In'!E:E,$C600),0)</f>
        <v>0</v>
      </c>
      <c r="E600" s="70">
        <f>IFERROR(SUMIFS(Issues!H:H,Issues!C:C,$A600,Issues!D:D,$B600,Issues!E:E,$C600),0)</f>
        <v>0</v>
      </c>
      <c r="F600" s="70">
        <f>IFERROR(SUMIFS(Returns!H:H,Returns!C:C,$A600,Returns!D:D,$B600,Returns!E:E,$C600),0)</f>
        <v>0</v>
      </c>
      <c r="G600" s="70">
        <f t="shared" si="1"/>
        <v>0</v>
      </c>
      <c r="H600" s="71">
        <f t="shared" si="2"/>
        <v>0</v>
      </c>
      <c r="I600" s="72">
        <f>IFERROR( SUMIFS('Stock In'!I:I,'Stock In'!C:C,$A600,'Stock In'!D:D,$B600,'Stock In'!E:E,$C600) / SUMIFS('Stock In'!H:H,'Stock In'!C:C,$A600,'Stock In'!D:D,$B600,'Stock In'!E:E,$C600) , 0)</f>
        <v>0</v>
      </c>
      <c r="J600" s="71">
        <f t="shared" si="3"/>
        <v>0</v>
      </c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8"/>
      <c r="B601" s="68"/>
      <c r="C601" s="68"/>
      <c r="D601" s="70">
        <f>IFERROR(SUMIFS('Stock In'!F:F,'Stock In'!C:C,$A601,'Stock In'!D:D,$B601,'Stock In'!E:E,$C601),0)</f>
        <v>0</v>
      </c>
      <c r="E601" s="70">
        <f>IFERROR(SUMIFS(Issues!H:H,Issues!C:C,$A601,Issues!D:D,$B601,Issues!E:E,$C601),0)</f>
        <v>0</v>
      </c>
      <c r="F601" s="70">
        <f>IFERROR(SUMIFS(Returns!H:H,Returns!C:C,$A601,Returns!D:D,$B601,Returns!E:E,$C601),0)</f>
        <v>0</v>
      </c>
      <c r="G601" s="70">
        <f t="shared" si="1"/>
        <v>0</v>
      </c>
      <c r="H601" s="71">
        <f t="shared" si="2"/>
        <v>0</v>
      </c>
      <c r="I601" s="72">
        <f>IFERROR( SUMIFS('Stock In'!I:I,'Stock In'!C:C,$A601,'Stock In'!D:D,$B601,'Stock In'!E:E,$C601) / SUMIFS('Stock In'!H:H,'Stock In'!C:C,$A601,'Stock In'!D:D,$B601,'Stock In'!E:E,$C601) , 0)</f>
        <v>0</v>
      </c>
      <c r="J601" s="71">
        <f t="shared" si="3"/>
        <v>0</v>
      </c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8"/>
      <c r="B602" s="68"/>
      <c r="C602" s="68"/>
      <c r="D602" s="70">
        <f>IFERROR(SUMIFS('Stock In'!F:F,'Stock In'!C:C,$A602,'Stock In'!D:D,$B602,'Stock In'!E:E,$C602),0)</f>
        <v>0</v>
      </c>
      <c r="E602" s="70">
        <f>IFERROR(SUMIFS(Issues!H:H,Issues!C:C,$A602,Issues!D:D,$B602,Issues!E:E,$C602),0)</f>
        <v>0</v>
      </c>
      <c r="F602" s="70">
        <f>IFERROR(SUMIFS(Returns!H:H,Returns!C:C,$A602,Returns!D:D,$B602,Returns!E:E,$C602),0)</f>
        <v>0</v>
      </c>
      <c r="G602" s="70">
        <f t="shared" si="1"/>
        <v>0</v>
      </c>
      <c r="H602" s="71">
        <f t="shared" si="2"/>
        <v>0</v>
      </c>
      <c r="I602" s="72">
        <f>IFERROR( SUMIFS('Stock In'!I:I,'Stock In'!C:C,$A602,'Stock In'!D:D,$B602,'Stock In'!E:E,$C602) / SUMIFS('Stock In'!H:H,'Stock In'!C:C,$A602,'Stock In'!D:D,$B602,'Stock In'!E:E,$C602) , 0)</f>
        <v>0</v>
      </c>
      <c r="J602" s="71">
        <f t="shared" si="3"/>
        <v>0</v>
      </c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8"/>
      <c r="B603" s="68"/>
      <c r="C603" s="68"/>
      <c r="D603" s="70">
        <f>IFERROR(SUMIFS('Stock In'!F:F,'Stock In'!C:C,$A603,'Stock In'!D:D,$B603,'Stock In'!E:E,$C603),0)</f>
        <v>0</v>
      </c>
      <c r="E603" s="70">
        <f>IFERROR(SUMIFS(Issues!H:H,Issues!C:C,$A603,Issues!D:D,$B603,Issues!E:E,$C603),0)</f>
        <v>0</v>
      </c>
      <c r="F603" s="70">
        <f>IFERROR(SUMIFS(Returns!H:H,Returns!C:C,$A603,Returns!D:D,$B603,Returns!E:E,$C603),0)</f>
        <v>0</v>
      </c>
      <c r="G603" s="70">
        <f t="shared" si="1"/>
        <v>0</v>
      </c>
      <c r="H603" s="71">
        <f t="shared" si="2"/>
        <v>0</v>
      </c>
      <c r="I603" s="72">
        <f>IFERROR( SUMIFS('Stock In'!I:I,'Stock In'!C:C,$A603,'Stock In'!D:D,$B603,'Stock In'!E:E,$C603) / SUMIFS('Stock In'!H:H,'Stock In'!C:C,$A603,'Stock In'!D:D,$B603,'Stock In'!E:E,$C603) , 0)</f>
        <v>0</v>
      </c>
      <c r="J603" s="71">
        <f t="shared" si="3"/>
        <v>0</v>
      </c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8"/>
      <c r="B604" s="68"/>
      <c r="C604" s="68"/>
      <c r="D604" s="70">
        <f>IFERROR(SUMIFS('Stock In'!F:F,'Stock In'!C:C,$A604,'Stock In'!D:D,$B604,'Stock In'!E:E,$C604),0)</f>
        <v>0</v>
      </c>
      <c r="E604" s="70">
        <f>IFERROR(SUMIFS(Issues!H:H,Issues!C:C,$A604,Issues!D:D,$B604,Issues!E:E,$C604),0)</f>
        <v>0</v>
      </c>
      <c r="F604" s="70">
        <f>IFERROR(SUMIFS(Returns!H:H,Returns!C:C,$A604,Returns!D:D,$B604,Returns!E:E,$C604),0)</f>
        <v>0</v>
      </c>
      <c r="G604" s="70">
        <f t="shared" si="1"/>
        <v>0</v>
      </c>
      <c r="H604" s="71">
        <f t="shared" si="2"/>
        <v>0</v>
      </c>
      <c r="I604" s="72">
        <f>IFERROR( SUMIFS('Stock In'!I:I,'Stock In'!C:C,$A604,'Stock In'!D:D,$B604,'Stock In'!E:E,$C604) / SUMIFS('Stock In'!H:H,'Stock In'!C:C,$A604,'Stock In'!D:D,$B604,'Stock In'!E:E,$C604) , 0)</f>
        <v>0</v>
      </c>
      <c r="J604" s="71">
        <f t="shared" si="3"/>
        <v>0</v>
      </c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8"/>
      <c r="B605" s="68"/>
      <c r="C605" s="68"/>
      <c r="D605" s="70">
        <f>IFERROR(SUMIFS('Stock In'!F:F,'Stock In'!C:C,$A605,'Stock In'!D:D,$B605,'Stock In'!E:E,$C605),0)</f>
        <v>0</v>
      </c>
      <c r="E605" s="70">
        <f>IFERROR(SUMIFS(Issues!H:H,Issues!C:C,$A605,Issues!D:D,$B605,Issues!E:E,$C605),0)</f>
        <v>0</v>
      </c>
      <c r="F605" s="70">
        <f>IFERROR(SUMIFS(Returns!H:H,Returns!C:C,$A605,Returns!D:D,$B605,Returns!E:E,$C605),0)</f>
        <v>0</v>
      </c>
      <c r="G605" s="70">
        <f t="shared" si="1"/>
        <v>0</v>
      </c>
      <c r="H605" s="71">
        <f t="shared" si="2"/>
        <v>0</v>
      </c>
      <c r="I605" s="72">
        <f>IFERROR( SUMIFS('Stock In'!I:I,'Stock In'!C:C,$A605,'Stock In'!D:D,$B605,'Stock In'!E:E,$C605) / SUMIFS('Stock In'!H:H,'Stock In'!C:C,$A605,'Stock In'!D:D,$B605,'Stock In'!E:E,$C605) , 0)</f>
        <v>0</v>
      </c>
      <c r="J605" s="71">
        <f t="shared" si="3"/>
        <v>0</v>
      </c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8"/>
      <c r="B606" s="68"/>
      <c r="C606" s="68"/>
      <c r="D606" s="70">
        <f>IFERROR(SUMIFS('Stock In'!F:F,'Stock In'!C:C,$A606,'Stock In'!D:D,$B606,'Stock In'!E:E,$C606),0)</f>
        <v>0</v>
      </c>
      <c r="E606" s="70">
        <f>IFERROR(SUMIFS(Issues!H:H,Issues!C:C,$A606,Issues!D:D,$B606,Issues!E:E,$C606),0)</f>
        <v>0</v>
      </c>
      <c r="F606" s="70">
        <f>IFERROR(SUMIFS(Returns!H:H,Returns!C:C,$A606,Returns!D:D,$B606,Returns!E:E,$C606),0)</f>
        <v>0</v>
      </c>
      <c r="G606" s="70">
        <f t="shared" si="1"/>
        <v>0</v>
      </c>
      <c r="H606" s="71">
        <f t="shared" si="2"/>
        <v>0</v>
      </c>
      <c r="I606" s="72">
        <f>IFERROR( SUMIFS('Stock In'!I:I,'Stock In'!C:C,$A606,'Stock In'!D:D,$B606,'Stock In'!E:E,$C606) / SUMIFS('Stock In'!H:H,'Stock In'!C:C,$A606,'Stock In'!D:D,$B606,'Stock In'!E:E,$C606) , 0)</f>
        <v>0</v>
      </c>
      <c r="J606" s="71">
        <f t="shared" si="3"/>
        <v>0</v>
      </c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8"/>
      <c r="B607" s="68"/>
      <c r="C607" s="68"/>
      <c r="D607" s="70">
        <f>IFERROR(SUMIFS('Stock In'!F:F,'Stock In'!C:C,$A607,'Stock In'!D:D,$B607,'Stock In'!E:E,$C607),0)</f>
        <v>0</v>
      </c>
      <c r="E607" s="70">
        <f>IFERROR(SUMIFS(Issues!H:H,Issues!C:C,$A607,Issues!D:D,$B607,Issues!E:E,$C607),0)</f>
        <v>0</v>
      </c>
      <c r="F607" s="70">
        <f>IFERROR(SUMIFS(Returns!H:H,Returns!C:C,$A607,Returns!D:D,$B607,Returns!E:E,$C607),0)</f>
        <v>0</v>
      </c>
      <c r="G607" s="70">
        <f t="shared" si="1"/>
        <v>0</v>
      </c>
      <c r="H607" s="71">
        <f t="shared" si="2"/>
        <v>0</v>
      </c>
      <c r="I607" s="72">
        <f>IFERROR( SUMIFS('Stock In'!I:I,'Stock In'!C:C,$A607,'Stock In'!D:D,$B607,'Stock In'!E:E,$C607) / SUMIFS('Stock In'!H:H,'Stock In'!C:C,$A607,'Stock In'!D:D,$B607,'Stock In'!E:E,$C607) , 0)</f>
        <v>0</v>
      </c>
      <c r="J607" s="71">
        <f t="shared" si="3"/>
        <v>0</v>
      </c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8"/>
      <c r="B608" s="68"/>
      <c r="C608" s="68"/>
      <c r="D608" s="70">
        <f>IFERROR(SUMIFS('Stock In'!F:F,'Stock In'!C:C,$A608,'Stock In'!D:D,$B608,'Stock In'!E:E,$C608),0)</f>
        <v>0</v>
      </c>
      <c r="E608" s="70">
        <f>IFERROR(SUMIFS(Issues!H:H,Issues!C:C,$A608,Issues!D:D,$B608,Issues!E:E,$C608),0)</f>
        <v>0</v>
      </c>
      <c r="F608" s="70">
        <f>IFERROR(SUMIFS(Returns!H:H,Returns!C:C,$A608,Returns!D:D,$B608,Returns!E:E,$C608),0)</f>
        <v>0</v>
      </c>
      <c r="G608" s="70">
        <f t="shared" si="1"/>
        <v>0</v>
      </c>
      <c r="H608" s="71">
        <f t="shared" si="2"/>
        <v>0</v>
      </c>
      <c r="I608" s="72">
        <f>IFERROR( SUMIFS('Stock In'!I:I,'Stock In'!C:C,$A608,'Stock In'!D:D,$B608,'Stock In'!E:E,$C608) / SUMIFS('Stock In'!H:H,'Stock In'!C:C,$A608,'Stock In'!D:D,$B608,'Stock In'!E:E,$C608) , 0)</f>
        <v>0</v>
      </c>
      <c r="J608" s="71">
        <f t="shared" si="3"/>
        <v>0</v>
      </c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8"/>
      <c r="B609" s="68"/>
      <c r="C609" s="68"/>
      <c r="D609" s="70">
        <f>IFERROR(SUMIFS('Stock In'!F:F,'Stock In'!C:C,$A609,'Stock In'!D:D,$B609,'Stock In'!E:E,$C609),0)</f>
        <v>0</v>
      </c>
      <c r="E609" s="70">
        <f>IFERROR(SUMIFS(Issues!H:H,Issues!C:C,$A609,Issues!D:D,$B609,Issues!E:E,$C609),0)</f>
        <v>0</v>
      </c>
      <c r="F609" s="70">
        <f>IFERROR(SUMIFS(Returns!H:H,Returns!C:C,$A609,Returns!D:D,$B609,Returns!E:E,$C609),0)</f>
        <v>0</v>
      </c>
      <c r="G609" s="70">
        <f t="shared" si="1"/>
        <v>0</v>
      </c>
      <c r="H609" s="71">
        <f t="shared" si="2"/>
        <v>0</v>
      </c>
      <c r="I609" s="72">
        <f>IFERROR( SUMIFS('Stock In'!I:I,'Stock In'!C:C,$A609,'Stock In'!D:D,$B609,'Stock In'!E:E,$C609) / SUMIFS('Stock In'!H:H,'Stock In'!C:C,$A609,'Stock In'!D:D,$B609,'Stock In'!E:E,$C609) , 0)</f>
        <v>0</v>
      </c>
      <c r="J609" s="71">
        <f t="shared" si="3"/>
        <v>0</v>
      </c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8"/>
      <c r="B610" s="68"/>
      <c r="C610" s="68"/>
      <c r="D610" s="70">
        <f>IFERROR(SUMIFS('Stock In'!F:F,'Stock In'!C:C,$A610,'Stock In'!D:D,$B610,'Stock In'!E:E,$C610),0)</f>
        <v>0</v>
      </c>
      <c r="E610" s="70">
        <f>IFERROR(SUMIFS(Issues!H:H,Issues!C:C,$A610,Issues!D:D,$B610,Issues!E:E,$C610),0)</f>
        <v>0</v>
      </c>
      <c r="F610" s="70">
        <f>IFERROR(SUMIFS(Returns!H:H,Returns!C:C,$A610,Returns!D:D,$B610,Returns!E:E,$C610),0)</f>
        <v>0</v>
      </c>
      <c r="G610" s="70">
        <f t="shared" si="1"/>
        <v>0</v>
      </c>
      <c r="H610" s="71">
        <f t="shared" si="2"/>
        <v>0</v>
      </c>
      <c r="I610" s="72">
        <f>IFERROR( SUMIFS('Stock In'!I:I,'Stock In'!C:C,$A610,'Stock In'!D:D,$B610,'Stock In'!E:E,$C610) / SUMIFS('Stock In'!H:H,'Stock In'!C:C,$A610,'Stock In'!D:D,$B610,'Stock In'!E:E,$C610) , 0)</f>
        <v>0</v>
      </c>
      <c r="J610" s="71">
        <f t="shared" si="3"/>
        <v>0</v>
      </c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8"/>
      <c r="B611" s="68"/>
      <c r="C611" s="68"/>
      <c r="D611" s="70">
        <f>IFERROR(SUMIFS('Stock In'!F:F,'Stock In'!C:C,$A611,'Stock In'!D:D,$B611,'Stock In'!E:E,$C611),0)</f>
        <v>0</v>
      </c>
      <c r="E611" s="70">
        <f>IFERROR(SUMIFS(Issues!H:H,Issues!C:C,$A611,Issues!D:D,$B611,Issues!E:E,$C611),0)</f>
        <v>0</v>
      </c>
      <c r="F611" s="70">
        <f>IFERROR(SUMIFS(Returns!H:H,Returns!C:C,$A611,Returns!D:D,$B611,Returns!E:E,$C611),0)</f>
        <v>0</v>
      </c>
      <c r="G611" s="70">
        <f t="shared" si="1"/>
        <v>0</v>
      </c>
      <c r="H611" s="71">
        <f t="shared" si="2"/>
        <v>0</v>
      </c>
      <c r="I611" s="72">
        <f>IFERROR( SUMIFS('Stock In'!I:I,'Stock In'!C:C,$A611,'Stock In'!D:D,$B611,'Stock In'!E:E,$C611) / SUMIFS('Stock In'!H:H,'Stock In'!C:C,$A611,'Stock In'!D:D,$B611,'Stock In'!E:E,$C611) , 0)</f>
        <v>0</v>
      </c>
      <c r="J611" s="71">
        <f t="shared" si="3"/>
        <v>0</v>
      </c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8"/>
      <c r="B612" s="68"/>
      <c r="C612" s="68"/>
      <c r="D612" s="70">
        <f>IFERROR(SUMIFS('Stock In'!F:F,'Stock In'!C:C,$A612,'Stock In'!D:D,$B612,'Stock In'!E:E,$C612),0)</f>
        <v>0</v>
      </c>
      <c r="E612" s="70">
        <f>IFERROR(SUMIFS(Issues!H:H,Issues!C:C,$A612,Issues!D:D,$B612,Issues!E:E,$C612),0)</f>
        <v>0</v>
      </c>
      <c r="F612" s="70">
        <f>IFERROR(SUMIFS(Returns!H:H,Returns!C:C,$A612,Returns!D:D,$B612,Returns!E:E,$C612),0)</f>
        <v>0</v>
      </c>
      <c r="G612" s="70">
        <f t="shared" si="1"/>
        <v>0</v>
      </c>
      <c r="H612" s="71">
        <f t="shared" si="2"/>
        <v>0</v>
      </c>
      <c r="I612" s="72">
        <f>IFERROR( SUMIFS('Stock In'!I:I,'Stock In'!C:C,$A612,'Stock In'!D:D,$B612,'Stock In'!E:E,$C612) / SUMIFS('Stock In'!H:H,'Stock In'!C:C,$A612,'Stock In'!D:D,$B612,'Stock In'!E:E,$C612) , 0)</f>
        <v>0</v>
      </c>
      <c r="J612" s="71">
        <f t="shared" si="3"/>
        <v>0</v>
      </c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8"/>
      <c r="B613" s="68"/>
      <c r="C613" s="68"/>
      <c r="D613" s="70">
        <f>IFERROR(SUMIFS('Stock In'!F:F,'Stock In'!C:C,$A613,'Stock In'!D:D,$B613,'Stock In'!E:E,$C613),0)</f>
        <v>0</v>
      </c>
      <c r="E613" s="70">
        <f>IFERROR(SUMIFS(Issues!H:H,Issues!C:C,$A613,Issues!D:D,$B613,Issues!E:E,$C613),0)</f>
        <v>0</v>
      </c>
      <c r="F613" s="70">
        <f>IFERROR(SUMIFS(Returns!H:H,Returns!C:C,$A613,Returns!D:D,$B613,Returns!E:E,$C613),0)</f>
        <v>0</v>
      </c>
      <c r="G613" s="70">
        <f t="shared" si="1"/>
        <v>0</v>
      </c>
      <c r="H613" s="71">
        <f t="shared" si="2"/>
        <v>0</v>
      </c>
      <c r="I613" s="72">
        <f>IFERROR( SUMIFS('Stock In'!I:I,'Stock In'!C:C,$A613,'Stock In'!D:D,$B613,'Stock In'!E:E,$C613) / SUMIFS('Stock In'!H:H,'Stock In'!C:C,$A613,'Stock In'!D:D,$B613,'Stock In'!E:E,$C613) , 0)</f>
        <v>0</v>
      </c>
      <c r="J613" s="71">
        <f t="shared" si="3"/>
        <v>0</v>
      </c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8"/>
      <c r="B614" s="68"/>
      <c r="C614" s="68"/>
      <c r="D614" s="70">
        <f>IFERROR(SUMIFS('Stock In'!F:F,'Stock In'!C:C,$A614,'Stock In'!D:D,$B614,'Stock In'!E:E,$C614),0)</f>
        <v>0</v>
      </c>
      <c r="E614" s="70">
        <f>IFERROR(SUMIFS(Issues!H:H,Issues!C:C,$A614,Issues!D:D,$B614,Issues!E:E,$C614),0)</f>
        <v>0</v>
      </c>
      <c r="F614" s="70">
        <f>IFERROR(SUMIFS(Returns!H:H,Returns!C:C,$A614,Returns!D:D,$B614,Returns!E:E,$C614),0)</f>
        <v>0</v>
      </c>
      <c r="G614" s="70">
        <f t="shared" si="1"/>
        <v>0</v>
      </c>
      <c r="H614" s="71">
        <f t="shared" si="2"/>
        <v>0</v>
      </c>
      <c r="I614" s="72">
        <f>IFERROR( SUMIFS('Stock In'!I:I,'Stock In'!C:C,$A614,'Stock In'!D:D,$B614,'Stock In'!E:E,$C614) / SUMIFS('Stock In'!H:H,'Stock In'!C:C,$A614,'Stock In'!D:D,$B614,'Stock In'!E:E,$C614) , 0)</f>
        <v>0</v>
      </c>
      <c r="J614" s="71">
        <f t="shared" si="3"/>
        <v>0</v>
      </c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8"/>
      <c r="B615" s="68"/>
      <c r="C615" s="68"/>
      <c r="D615" s="70">
        <f>IFERROR(SUMIFS('Stock In'!F:F,'Stock In'!C:C,$A615,'Stock In'!D:D,$B615,'Stock In'!E:E,$C615),0)</f>
        <v>0</v>
      </c>
      <c r="E615" s="70">
        <f>IFERROR(SUMIFS(Issues!H:H,Issues!C:C,$A615,Issues!D:D,$B615,Issues!E:E,$C615),0)</f>
        <v>0</v>
      </c>
      <c r="F615" s="70">
        <f>IFERROR(SUMIFS(Returns!H:H,Returns!C:C,$A615,Returns!D:D,$B615,Returns!E:E,$C615),0)</f>
        <v>0</v>
      </c>
      <c r="G615" s="70">
        <f t="shared" si="1"/>
        <v>0</v>
      </c>
      <c r="H615" s="71">
        <f t="shared" si="2"/>
        <v>0</v>
      </c>
      <c r="I615" s="72">
        <f>IFERROR( SUMIFS('Stock In'!I:I,'Stock In'!C:C,$A615,'Stock In'!D:D,$B615,'Stock In'!E:E,$C615) / SUMIFS('Stock In'!H:H,'Stock In'!C:C,$A615,'Stock In'!D:D,$B615,'Stock In'!E:E,$C615) , 0)</f>
        <v>0</v>
      </c>
      <c r="J615" s="71">
        <f t="shared" si="3"/>
        <v>0</v>
      </c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8"/>
      <c r="B616" s="68"/>
      <c r="C616" s="68"/>
      <c r="D616" s="70">
        <f>IFERROR(SUMIFS('Stock In'!F:F,'Stock In'!C:C,$A616,'Stock In'!D:D,$B616,'Stock In'!E:E,$C616),0)</f>
        <v>0</v>
      </c>
      <c r="E616" s="70">
        <f>IFERROR(SUMIFS(Issues!H:H,Issues!C:C,$A616,Issues!D:D,$B616,Issues!E:E,$C616),0)</f>
        <v>0</v>
      </c>
      <c r="F616" s="70">
        <f>IFERROR(SUMIFS(Returns!H:H,Returns!C:C,$A616,Returns!D:D,$B616,Returns!E:E,$C616),0)</f>
        <v>0</v>
      </c>
      <c r="G616" s="70">
        <f t="shared" si="1"/>
        <v>0</v>
      </c>
      <c r="H616" s="71">
        <f t="shared" si="2"/>
        <v>0</v>
      </c>
      <c r="I616" s="72">
        <f>IFERROR( SUMIFS('Stock In'!I:I,'Stock In'!C:C,$A616,'Stock In'!D:D,$B616,'Stock In'!E:E,$C616) / SUMIFS('Stock In'!H:H,'Stock In'!C:C,$A616,'Stock In'!D:D,$B616,'Stock In'!E:E,$C616) , 0)</f>
        <v>0</v>
      </c>
      <c r="J616" s="71">
        <f t="shared" si="3"/>
        <v>0</v>
      </c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8"/>
      <c r="B617" s="68"/>
      <c r="C617" s="68"/>
      <c r="D617" s="70">
        <f>IFERROR(SUMIFS('Stock In'!F:F,'Stock In'!C:C,$A617,'Stock In'!D:D,$B617,'Stock In'!E:E,$C617),0)</f>
        <v>0</v>
      </c>
      <c r="E617" s="70">
        <f>IFERROR(SUMIFS(Issues!H:H,Issues!C:C,$A617,Issues!D:D,$B617,Issues!E:E,$C617),0)</f>
        <v>0</v>
      </c>
      <c r="F617" s="70">
        <f>IFERROR(SUMIFS(Returns!H:H,Returns!C:C,$A617,Returns!D:D,$B617,Returns!E:E,$C617),0)</f>
        <v>0</v>
      </c>
      <c r="G617" s="70">
        <f t="shared" si="1"/>
        <v>0</v>
      </c>
      <c r="H617" s="71">
        <f t="shared" si="2"/>
        <v>0</v>
      </c>
      <c r="I617" s="72">
        <f>IFERROR( SUMIFS('Stock In'!I:I,'Stock In'!C:C,$A617,'Stock In'!D:D,$B617,'Stock In'!E:E,$C617) / SUMIFS('Stock In'!H:H,'Stock In'!C:C,$A617,'Stock In'!D:D,$B617,'Stock In'!E:E,$C617) , 0)</f>
        <v>0</v>
      </c>
      <c r="J617" s="71">
        <f t="shared" si="3"/>
        <v>0</v>
      </c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8"/>
      <c r="B618" s="68"/>
      <c r="C618" s="68"/>
      <c r="D618" s="70">
        <f>IFERROR(SUMIFS('Stock In'!F:F,'Stock In'!C:C,$A618,'Stock In'!D:D,$B618,'Stock In'!E:E,$C618),0)</f>
        <v>0</v>
      </c>
      <c r="E618" s="70">
        <f>IFERROR(SUMIFS(Issues!H:H,Issues!C:C,$A618,Issues!D:D,$B618,Issues!E:E,$C618),0)</f>
        <v>0</v>
      </c>
      <c r="F618" s="70">
        <f>IFERROR(SUMIFS(Returns!H:H,Returns!C:C,$A618,Returns!D:D,$B618,Returns!E:E,$C618),0)</f>
        <v>0</v>
      </c>
      <c r="G618" s="70">
        <f t="shared" si="1"/>
        <v>0</v>
      </c>
      <c r="H618" s="71">
        <f t="shared" si="2"/>
        <v>0</v>
      </c>
      <c r="I618" s="72">
        <f>IFERROR( SUMIFS('Stock In'!I:I,'Stock In'!C:C,$A618,'Stock In'!D:D,$B618,'Stock In'!E:E,$C618) / SUMIFS('Stock In'!H:H,'Stock In'!C:C,$A618,'Stock In'!D:D,$B618,'Stock In'!E:E,$C618) , 0)</f>
        <v>0</v>
      </c>
      <c r="J618" s="71">
        <f t="shared" si="3"/>
        <v>0</v>
      </c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8"/>
      <c r="B619" s="68"/>
      <c r="C619" s="68"/>
      <c r="D619" s="70">
        <f>IFERROR(SUMIFS('Stock In'!F:F,'Stock In'!C:C,$A619,'Stock In'!D:D,$B619,'Stock In'!E:E,$C619),0)</f>
        <v>0</v>
      </c>
      <c r="E619" s="70">
        <f>IFERROR(SUMIFS(Issues!H:H,Issues!C:C,$A619,Issues!D:D,$B619,Issues!E:E,$C619),0)</f>
        <v>0</v>
      </c>
      <c r="F619" s="70">
        <f>IFERROR(SUMIFS(Returns!H:H,Returns!C:C,$A619,Returns!D:D,$B619,Returns!E:E,$C619),0)</f>
        <v>0</v>
      </c>
      <c r="G619" s="70">
        <f t="shared" si="1"/>
        <v>0</v>
      </c>
      <c r="H619" s="71">
        <f t="shared" si="2"/>
        <v>0</v>
      </c>
      <c r="I619" s="72">
        <f>IFERROR( SUMIFS('Stock In'!I:I,'Stock In'!C:C,$A619,'Stock In'!D:D,$B619,'Stock In'!E:E,$C619) / SUMIFS('Stock In'!H:H,'Stock In'!C:C,$A619,'Stock In'!D:D,$B619,'Stock In'!E:E,$C619) , 0)</f>
        <v>0</v>
      </c>
      <c r="J619" s="71">
        <f t="shared" si="3"/>
        <v>0</v>
      </c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8"/>
      <c r="B620" s="68"/>
      <c r="C620" s="68"/>
      <c r="D620" s="70">
        <f>IFERROR(SUMIFS('Stock In'!F:F,'Stock In'!C:C,$A620,'Stock In'!D:D,$B620,'Stock In'!E:E,$C620),0)</f>
        <v>0</v>
      </c>
      <c r="E620" s="70">
        <f>IFERROR(SUMIFS(Issues!H:H,Issues!C:C,$A620,Issues!D:D,$B620,Issues!E:E,$C620),0)</f>
        <v>0</v>
      </c>
      <c r="F620" s="70">
        <f>IFERROR(SUMIFS(Returns!H:H,Returns!C:C,$A620,Returns!D:D,$B620,Returns!E:E,$C620),0)</f>
        <v>0</v>
      </c>
      <c r="G620" s="70">
        <f t="shared" si="1"/>
        <v>0</v>
      </c>
      <c r="H620" s="71">
        <f t="shared" si="2"/>
        <v>0</v>
      </c>
      <c r="I620" s="72">
        <f>IFERROR( SUMIFS('Stock In'!I:I,'Stock In'!C:C,$A620,'Stock In'!D:D,$B620,'Stock In'!E:E,$C620) / SUMIFS('Stock In'!H:H,'Stock In'!C:C,$A620,'Stock In'!D:D,$B620,'Stock In'!E:E,$C620) , 0)</f>
        <v>0</v>
      </c>
      <c r="J620" s="71">
        <f t="shared" si="3"/>
        <v>0</v>
      </c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8"/>
      <c r="B621" s="68"/>
      <c r="C621" s="68"/>
      <c r="D621" s="70">
        <f>IFERROR(SUMIFS('Stock In'!F:F,'Stock In'!C:C,$A621,'Stock In'!D:D,$B621,'Stock In'!E:E,$C621),0)</f>
        <v>0</v>
      </c>
      <c r="E621" s="70">
        <f>IFERROR(SUMIFS(Issues!H:H,Issues!C:C,$A621,Issues!D:D,$B621,Issues!E:E,$C621),0)</f>
        <v>0</v>
      </c>
      <c r="F621" s="70">
        <f>IFERROR(SUMIFS(Returns!H:H,Returns!C:C,$A621,Returns!D:D,$B621,Returns!E:E,$C621),0)</f>
        <v>0</v>
      </c>
      <c r="G621" s="70">
        <f t="shared" si="1"/>
        <v>0</v>
      </c>
      <c r="H621" s="71">
        <f t="shared" si="2"/>
        <v>0</v>
      </c>
      <c r="I621" s="72">
        <f>IFERROR( SUMIFS('Stock In'!I:I,'Stock In'!C:C,$A621,'Stock In'!D:D,$B621,'Stock In'!E:E,$C621) / SUMIFS('Stock In'!H:H,'Stock In'!C:C,$A621,'Stock In'!D:D,$B621,'Stock In'!E:E,$C621) , 0)</f>
        <v>0</v>
      </c>
      <c r="J621" s="71">
        <f t="shared" si="3"/>
        <v>0</v>
      </c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8"/>
      <c r="B622" s="68"/>
      <c r="C622" s="68"/>
      <c r="D622" s="70">
        <f>IFERROR(SUMIFS('Stock In'!F:F,'Stock In'!C:C,$A622,'Stock In'!D:D,$B622,'Stock In'!E:E,$C622),0)</f>
        <v>0</v>
      </c>
      <c r="E622" s="70">
        <f>IFERROR(SUMIFS(Issues!H:H,Issues!C:C,$A622,Issues!D:D,$B622,Issues!E:E,$C622),0)</f>
        <v>0</v>
      </c>
      <c r="F622" s="70">
        <f>IFERROR(SUMIFS(Returns!H:H,Returns!C:C,$A622,Returns!D:D,$B622,Returns!E:E,$C622),0)</f>
        <v>0</v>
      </c>
      <c r="G622" s="70">
        <f t="shared" si="1"/>
        <v>0</v>
      </c>
      <c r="H622" s="71">
        <f t="shared" si="2"/>
        <v>0</v>
      </c>
      <c r="I622" s="72">
        <f>IFERROR( SUMIFS('Stock In'!I:I,'Stock In'!C:C,$A622,'Stock In'!D:D,$B622,'Stock In'!E:E,$C622) / SUMIFS('Stock In'!H:H,'Stock In'!C:C,$A622,'Stock In'!D:D,$B622,'Stock In'!E:E,$C622) , 0)</f>
        <v>0</v>
      </c>
      <c r="J622" s="71">
        <f t="shared" si="3"/>
        <v>0</v>
      </c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8"/>
      <c r="B623" s="68"/>
      <c r="C623" s="68"/>
      <c r="D623" s="70">
        <f>IFERROR(SUMIFS('Stock In'!F:F,'Stock In'!C:C,$A623,'Stock In'!D:D,$B623,'Stock In'!E:E,$C623),0)</f>
        <v>0</v>
      </c>
      <c r="E623" s="70">
        <f>IFERROR(SUMIFS(Issues!H:H,Issues!C:C,$A623,Issues!D:D,$B623,Issues!E:E,$C623),0)</f>
        <v>0</v>
      </c>
      <c r="F623" s="70">
        <f>IFERROR(SUMIFS(Returns!H:H,Returns!C:C,$A623,Returns!D:D,$B623,Returns!E:E,$C623),0)</f>
        <v>0</v>
      </c>
      <c r="G623" s="70">
        <f t="shared" si="1"/>
        <v>0</v>
      </c>
      <c r="H623" s="71">
        <f t="shared" si="2"/>
        <v>0</v>
      </c>
      <c r="I623" s="72">
        <f>IFERROR( SUMIFS('Stock In'!I:I,'Stock In'!C:C,$A623,'Stock In'!D:D,$B623,'Stock In'!E:E,$C623) / SUMIFS('Stock In'!H:H,'Stock In'!C:C,$A623,'Stock In'!D:D,$B623,'Stock In'!E:E,$C623) , 0)</f>
        <v>0</v>
      </c>
      <c r="J623" s="71">
        <f t="shared" si="3"/>
        <v>0</v>
      </c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8"/>
      <c r="B624" s="68"/>
      <c r="C624" s="68"/>
      <c r="D624" s="70">
        <f>IFERROR(SUMIFS('Stock In'!F:F,'Stock In'!C:C,$A624,'Stock In'!D:D,$B624,'Stock In'!E:E,$C624),0)</f>
        <v>0</v>
      </c>
      <c r="E624" s="70">
        <f>IFERROR(SUMIFS(Issues!H:H,Issues!C:C,$A624,Issues!D:D,$B624,Issues!E:E,$C624),0)</f>
        <v>0</v>
      </c>
      <c r="F624" s="70">
        <f>IFERROR(SUMIFS(Returns!H:H,Returns!C:C,$A624,Returns!D:D,$B624,Returns!E:E,$C624),0)</f>
        <v>0</v>
      </c>
      <c r="G624" s="70">
        <f t="shared" si="1"/>
        <v>0</v>
      </c>
      <c r="H624" s="71">
        <f t="shared" si="2"/>
        <v>0</v>
      </c>
      <c r="I624" s="72">
        <f>IFERROR( SUMIFS('Stock In'!I:I,'Stock In'!C:C,$A624,'Stock In'!D:D,$B624,'Stock In'!E:E,$C624) / SUMIFS('Stock In'!H:H,'Stock In'!C:C,$A624,'Stock In'!D:D,$B624,'Stock In'!E:E,$C624) , 0)</f>
        <v>0</v>
      </c>
      <c r="J624" s="71">
        <f t="shared" si="3"/>
        <v>0</v>
      </c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8"/>
      <c r="B625" s="68"/>
      <c r="C625" s="68"/>
      <c r="D625" s="70">
        <f>IFERROR(SUMIFS('Stock In'!F:F,'Stock In'!C:C,$A625,'Stock In'!D:D,$B625,'Stock In'!E:E,$C625),0)</f>
        <v>0</v>
      </c>
      <c r="E625" s="70">
        <f>IFERROR(SUMIFS(Issues!H:H,Issues!C:C,$A625,Issues!D:D,$B625,Issues!E:E,$C625),0)</f>
        <v>0</v>
      </c>
      <c r="F625" s="70">
        <f>IFERROR(SUMIFS(Returns!H:H,Returns!C:C,$A625,Returns!D:D,$B625,Returns!E:E,$C625),0)</f>
        <v>0</v>
      </c>
      <c r="G625" s="70">
        <f t="shared" si="1"/>
        <v>0</v>
      </c>
      <c r="H625" s="71">
        <f t="shared" si="2"/>
        <v>0</v>
      </c>
      <c r="I625" s="72">
        <f>IFERROR( SUMIFS('Stock In'!I:I,'Stock In'!C:C,$A625,'Stock In'!D:D,$B625,'Stock In'!E:E,$C625) / SUMIFS('Stock In'!H:H,'Stock In'!C:C,$A625,'Stock In'!D:D,$B625,'Stock In'!E:E,$C625) , 0)</f>
        <v>0</v>
      </c>
      <c r="J625" s="71">
        <f t="shared" si="3"/>
        <v>0</v>
      </c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8"/>
      <c r="B626" s="68"/>
      <c r="C626" s="68"/>
      <c r="D626" s="70">
        <f>IFERROR(SUMIFS('Stock In'!F:F,'Stock In'!C:C,$A626,'Stock In'!D:D,$B626,'Stock In'!E:E,$C626),0)</f>
        <v>0</v>
      </c>
      <c r="E626" s="70">
        <f>IFERROR(SUMIFS(Issues!H:H,Issues!C:C,$A626,Issues!D:D,$B626,Issues!E:E,$C626),0)</f>
        <v>0</v>
      </c>
      <c r="F626" s="70">
        <f>IFERROR(SUMIFS(Returns!H:H,Returns!C:C,$A626,Returns!D:D,$B626,Returns!E:E,$C626),0)</f>
        <v>0</v>
      </c>
      <c r="G626" s="70">
        <f t="shared" si="1"/>
        <v>0</v>
      </c>
      <c r="H626" s="71">
        <f t="shared" si="2"/>
        <v>0</v>
      </c>
      <c r="I626" s="72">
        <f>IFERROR( SUMIFS('Stock In'!I:I,'Stock In'!C:C,$A626,'Stock In'!D:D,$B626,'Stock In'!E:E,$C626) / SUMIFS('Stock In'!H:H,'Stock In'!C:C,$A626,'Stock In'!D:D,$B626,'Stock In'!E:E,$C626) , 0)</f>
        <v>0</v>
      </c>
      <c r="J626" s="71">
        <f t="shared" si="3"/>
        <v>0</v>
      </c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8"/>
      <c r="B627" s="68"/>
      <c r="C627" s="68"/>
      <c r="D627" s="70">
        <f>IFERROR(SUMIFS('Stock In'!F:F,'Stock In'!C:C,$A627,'Stock In'!D:D,$B627,'Stock In'!E:E,$C627),0)</f>
        <v>0</v>
      </c>
      <c r="E627" s="70">
        <f>IFERROR(SUMIFS(Issues!H:H,Issues!C:C,$A627,Issues!D:D,$B627,Issues!E:E,$C627),0)</f>
        <v>0</v>
      </c>
      <c r="F627" s="70">
        <f>IFERROR(SUMIFS(Returns!H:H,Returns!C:C,$A627,Returns!D:D,$B627,Returns!E:E,$C627),0)</f>
        <v>0</v>
      </c>
      <c r="G627" s="70">
        <f t="shared" si="1"/>
        <v>0</v>
      </c>
      <c r="H627" s="71">
        <f t="shared" si="2"/>
        <v>0</v>
      </c>
      <c r="I627" s="72">
        <f>IFERROR( SUMIFS('Stock In'!I:I,'Stock In'!C:C,$A627,'Stock In'!D:D,$B627,'Stock In'!E:E,$C627) / SUMIFS('Stock In'!H:H,'Stock In'!C:C,$A627,'Stock In'!D:D,$B627,'Stock In'!E:E,$C627) , 0)</f>
        <v>0</v>
      </c>
      <c r="J627" s="71">
        <f t="shared" si="3"/>
        <v>0</v>
      </c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8"/>
      <c r="B628" s="68"/>
      <c r="C628" s="68"/>
      <c r="D628" s="70">
        <f>IFERROR(SUMIFS('Stock In'!F:F,'Stock In'!C:C,$A628,'Stock In'!D:D,$B628,'Stock In'!E:E,$C628),0)</f>
        <v>0</v>
      </c>
      <c r="E628" s="70">
        <f>IFERROR(SUMIFS(Issues!H:H,Issues!C:C,$A628,Issues!D:D,$B628,Issues!E:E,$C628),0)</f>
        <v>0</v>
      </c>
      <c r="F628" s="70">
        <f>IFERROR(SUMIFS(Returns!H:H,Returns!C:C,$A628,Returns!D:D,$B628,Returns!E:E,$C628),0)</f>
        <v>0</v>
      </c>
      <c r="G628" s="70">
        <f t="shared" si="1"/>
        <v>0</v>
      </c>
      <c r="H628" s="71">
        <f t="shared" si="2"/>
        <v>0</v>
      </c>
      <c r="I628" s="72">
        <f>IFERROR( SUMIFS('Stock In'!I:I,'Stock In'!C:C,$A628,'Stock In'!D:D,$B628,'Stock In'!E:E,$C628) / SUMIFS('Stock In'!H:H,'Stock In'!C:C,$A628,'Stock In'!D:D,$B628,'Stock In'!E:E,$C628) , 0)</f>
        <v>0</v>
      </c>
      <c r="J628" s="71">
        <f t="shared" si="3"/>
        <v>0</v>
      </c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8"/>
      <c r="B629" s="68"/>
      <c r="C629" s="68"/>
      <c r="D629" s="70">
        <f>IFERROR(SUMIFS('Stock In'!F:F,'Stock In'!C:C,$A629,'Stock In'!D:D,$B629,'Stock In'!E:E,$C629),0)</f>
        <v>0</v>
      </c>
      <c r="E629" s="70">
        <f>IFERROR(SUMIFS(Issues!H:H,Issues!C:C,$A629,Issues!D:D,$B629,Issues!E:E,$C629),0)</f>
        <v>0</v>
      </c>
      <c r="F629" s="70">
        <f>IFERROR(SUMIFS(Returns!H:H,Returns!C:C,$A629,Returns!D:D,$B629,Returns!E:E,$C629),0)</f>
        <v>0</v>
      </c>
      <c r="G629" s="70">
        <f t="shared" si="1"/>
        <v>0</v>
      </c>
      <c r="H629" s="71">
        <f t="shared" si="2"/>
        <v>0</v>
      </c>
      <c r="I629" s="72">
        <f>IFERROR( SUMIFS('Stock In'!I:I,'Stock In'!C:C,$A629,'Stock In'!D:D,$B629,'Stock In'!E:E,$C629) / SUMIFS('Stock In'!H:H,'Stock In'!C:C,$A629,'Stock In'!D:D,$B629,'Stock In'!E:E,$C629) , 0)</f>
        <v>0</v>
      </c>
      <c r="J629" s="71">
        <f t="shared" si="3"/>
        <v>0</v>
      </c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8"/>
      <c r="B630" s="68"/>
      <c r="C630" s="68"/>
      <c r="D630" s="70">
        <f>IFERROR(SUMIFS('Stock In'!F:F,'Stock In'!C:C,$A630,'Stock In'!D:D,$B630,'Stock In'!E:E,$C630),0)</f>
        <v>0</v>
      </c>
      <c r="E630" s="70">
        <f>IFERROR(SUMIFS(Issues!H:H,Issues!C:C,$A630,Issues!D:D,$B630,Issues!E:E,$C630),0)</f>
        <v>0</v>
      </c>
      <c r="F630" s="70">
        <f>IFERROR(SUMIFS(Returns!H:H,Returns!C:C,$A630,Returns!D:D,$B630,Returns!E:E,$C630),0)</f>
        <v>0</v>
      </c>
      <c r="G630" s="70">
        <f t="shared" si="1"/>
        <v>0</v>
      </c>
      <c r="H630" s="71">
        <f t="shared" si="2"/>
        <v>0</v>
      </c>
      <c r="I630" s="72">
        <f>IFERROR( SUMIFS('Stock In'!I:I,'Stock In'!C:C,$A630,'Stock In'!D:D,$B630,'Stock In'!E:E,$C630) / SUMIFS('Stock In'!H:H,'Stock In'!C:C,$A630,'Stock In'!D:D,$B630,'Stock In'!E:E,$C630) , 0)</f>
        <v>0</v>
      </c>
      <c r="J630" s="71">
        <f t="shared" si="3"/>
        <v>0</v>
      </c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8"/>
      <c r="B631" s="68"/>
      <c r="C631" s="68"/>
      <c r="D631" s="70">
        <f>IFERROR(SUMIFS('Stock In'!F:F,'Stock In'!C:C,$A631,'Stock In'!D:D,$B631,'Stock In'!E:E,$C631),0)</f>
        <v>0</v>
      </c>
      <c r="E631" s="70">
        <f>IFERROR(SUMIFS(Issues!H:H,Issues!C:C,$A631,Issues!D:D,$B631,Issues!E:E,$C631),0)</f>
        <v>0</v>
      </c>
      <c r="F631" s="70">
        <f>IFERROR(SUMIFS(Returns!H:H,Returns!C:C,$A631,Returns!D:D,$B631,Returns!E:E,$C631),0)</f>
        <v>0</v>
      </c>
      <c r="G631" s="70">
        <f t="shared" si="1"/>
        <v>0</v>
      </c>
      <c r="H631" s="71">
        <f t="shared" si="2"/>
        <v>0</v>
      </c>
      <c r="I631" s="72">
        <f>IFERROR( SUMIFS('Stock In'!I:I,'Stock In'!C:C,$A631,'Stock In'!D:D,$B631,'Stock In'!E:E,$C631) / SUMIFS('Stock In'!H:H,'Stock In'!C:C,$A631,'Stock In'!D:D,$B631,'Stock In'!E:E,$C631) , 0)</f>
        <v>0</v>
      </c>
      <c r="J631" s="71">
        <f t="shared" si="3"/>
        <v>0</v>
      </c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8"/>
      <c r="B632" s="68"/>
      <c r="C632" s="68"/>
      <c r="D632" s="70">
        <f>IFERROR(SUMIFS('Stock In'!F:F,'Stock In'!C:C,$A632,'Stock In'!D:D,$B632,'Stock In'!E:E,$C632),0)</f>
        <v>0</v>
      </c>
      <c r="E632" s="70">
        <f>IFERROR(SUMIFS(Issues!H:H,Issues!C:C,$A632,Issues!D:D,$B632,Issues!E:E,$C632),0)</f>
        <v>0</v>
      </c>
      <c r="F632" s="70">
        <f>IFERROR(SUMIFS(Returns!H:H,Returns!C:C,$A632,Returns!D:D,$B632,Returns!E:E,$C632),0)</f>
        <v>0</v>
      </c>
      <c r="G632" s="70">
        <f t="shared" si="1"/>
        <v>0</v>
      </c>
      <c r="H632" s="71">
        <f t="shared" si="2"/>
        <v>0</v>
      </c>
      <c r="I632" s="72">
        <f>IFERROR( SUMIFS('Stock In'!I:I,'Stock In'!C:C,$A632,'Stock In'!D:D,$B632,'Stock In'!E:E,$C632) / SUMIFS('Stock In'!H:H,'Stock In'!C:C,$A632,'Stock In'!D:D,$B632,'Stock In'!E:E,$C632) , 0)</f>
        <v>0</v>
      </c>
      <c r="J632" s="71">
        <f t="shared" si="3"/>
        <v>0</v>
      </c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8"/>
      <c r="B633" s="68"/>
      <c r="C633" s="68"/>
      <c r="D633" s="70">
        <f>IFERROR(SUMIFS('Stock In'!F:F,'Stock In'!C:C,$A633,'Stock In'!D:D,$B633,'Stock In'!E:E,$C633),0)</f>
        <v>0</v>
      </c>
      <c r="E633" s="70">
        <f>IFERROR(SUMIFS(Issues!H:H,Issues!C:C,$A633,Issues!D:D,$B633,Issues!E:E,$C633),0)</f>
        <v>0</v>
      </c>
      <c r="F633" s="70">
        <f>IFERROR(SUMIFS(Returns!H:H,Returns!C:C,$A633,Returns!D:D,$B633,Returns!E:E,$C633),0)</f>
        <v>0</v>
      </c>
      <c r="G633" s="70">
        <f t="shared" si="1"/>
        <v>0</v>
      </c>
      <c r="H633" s="71">
        <f t="shared" si="2"/>
        <v>0</v>
      </c>
      <c r="I633" s="72">
        <f>IFERROR( SUMIFS('Stock In'!I:I,'Stock In'!C:C,$A633,'Stock In'!D:D,$B633,'Stock In'!E:E,$C633) / SUMIFS('Stock In'!H:H,'Stock In'!C:C,$A633,'Stock In'!D:D,$B633,'Stock In'!E:E,$C633) , 0)</f>
        <v>0</v>
      </c>
      <c r="J633" s="71">
        <f t="shared" si="3"/>
        <v>0</v>
      </c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8"/>
      <c r="B634" s="68"/>
      <c r="C634" s="68"/>
      <c r="D634" s="70">
        <f>IFERROR(SUMIFS('Stock In'!F:F,'Stock In'!C:C,$A634,'Stock In'!D:D,$B634,'Stock In'!E:E,$C634),0)</f>
        <v>0</v>
      </c>
      <c r="E634" s="70">
        <f>IFERROR(SUMIFS(Issues!H:H,Issues!C:C,$A634,Issues!D:D,$B634,Issues!E:E,$C634),0)</f>
        <v>0</v>
      </c>
      <c r="F634" s="70">
        <f>IFERROR(SUMIFS(Returns!H:H,Returns!C:C,$A634,Returns!D:D,$B634,Returns!E:E,$C634),0)</f>
        <v>0</v>
      </c>
      <c r="G634" s="70">
        <f t="shared" si="1"/>
        <v>0</v>
      </c>
      <c r="H634" s="71">
        <f t="shared" si="2"/>
        <v>0</v>
      </c>
      <c r="I634" s="72">
        <f>IFERROR( SUMIFS('Stock In'!I:I,'Stock In'!C:C,$A634,'Stock In'!D:D,$B634,'Stock In'!E:E,$C634) / SUMIFS('Stock In'!H:H,'Stock In'!C:C,$A634,'Stock In'!D:D,$B634,'Stock In'!E:E,$C634) , 0)</f>
        <v>0</v>
      </c>
      <c r="J634" s="71">
        <f t="shared" si="3"/>
        <v>0</v>
      </c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8"/>
      <c r="B635" s="68"/>
      <c r="C635" s="68"/>
      <c r="D635" s="70">
        <f>IFERROR(SUMIFS('Stock In'!F:F,'Stock In'!C:C,$A635,'Stock In'!D:D,$B635,'Stock In'!E:E,$C635),0)</f>
        <v>0</v>
      </c>
      <c r="E635" s="70">
        <f>IFERROR(SUMIFS(Issues!H:H,Issues!C:C,$A635,Issues!D:D,$B635,Issues!E:E,$C635),0)</f>
        <v>0</v>
      </c>
      <c r="F635" s="70">
        <f>IFERROR(SUMIFS(Returns!H:H,Returns!C:C,$A635,Returns!D:D,$B635,Returns!E:E,$C635),0)</f>
        <v>0</v>
      </c>
      <c r="G635" s="70">
        <f t="shared" si="1"/>
        <v>0</v>
      </c>
      <c r="H635" s="71">
        <f t="shared" si="2"/>
        <v>0</v>
      </c>
      <c r="I635" s="72">
        <f>IFERROR( SUMIFS('Stock In'!I:I,'Stock In'!C:C,$A635,'Stock In'!D:D,$B635,'Stock In'!E:E,$C635) / SUMIFS('Stock In'!H:H,'Stock In'!C:C,$A635,'Stock In'!D:D,$B635,'Stock In'!E:E,$C635) , 0)</f>
        <v>0</v>
      </c>
      <c r="J635" s="71">
        <f t="shared" si="3"/>
        <v>0</v>
      </c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8"/>
      <c r="B636" s="68"/>
      <c r="C636" s="68"/>
      <c r="D636" s="70">
        <f>IFERROR(SUMIFS('Stock In'!F:F,'Stock In'!C:C,$A636,'Stock In'!D:D,$B636,'Stock In'!E:E,$C636),0)</f>
        <v>0</v>
      </c>
      <c r="E636" s="70">
        <f>IFERROR(SUMIFS(Issues!H:H,Issues!C:C,$A636,Issues!D:D,$B636,Issues!E:E,$C636),0)</f>
        <v>0</v>
      </c>
      <c r="F636" s="70">
        <f>IFERROR(SUMIFS(Returns!H:H,Returns!C:C,$A636,Returns!D:D,$B636,Returns!E:E,$C636),0)</f>
        <v>0</v>
      </c>
      <c r="G636" s="70">
        <f t="shared" si="1"/>
        <v>0</v>
      </c>
      <c r="H636" s="71">
        <f t="shared" si="2"/>
        <v>0</v>
      </c>
      <c r="I636" s="72">
        <f>IFERROR( SUMIFS('Stock In'!I:I,'Stock In'!C:C,$A636,'Stock In'!D:D,$B636,'Stock In'!E:E,$C636) / SUMIFS('Stock In'!H:H,'Stock In'!C:C,$A636,'Stock In'!D:D,$B636,'Stock In'!E:E,$C636) , 0)</f>
        <v>0</v>
      </c>
      <c r="J636" s="71">
        <f t="shared" si="3"/>
        <v>0</v>
      </c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8"/>
      <c r="B637" s="68"/>
      <c r="C637" s="68"/>
      <c r="D637" s="70">
        <f>IFERROR(SUMIFS('Stock In'!F:F,'Stock In'!C:C,$A637,'Stock In'!D:D,$B637,'Stock In'!E:E,$C637),0)</f>
        <v>0</v>
      </c>
      <c r="E637" s="70">
        <f>IFERROR(SUMIFS(Issues!H:H,Issues!C:C,$A637,Issues!D:D,$B637,Issues!E:E,$C637),0)</f>
        <v>0</v>
      </c>
      <c r="F637" s="70">
        <f>IFERROR(SUMIFS(Returns!H:H,Returns!C:C,$A637,Returns!D:D,$B637,Returns!E:E,$C637),0)</f>
        <v>0</v>
      </c>
      <c r="G637" s="70">
        <f t="shared" si="1"/>
        <v>0</v>
      </c>
      <c r="H637" s="71">
        <f t="shared" si="2"/>
        <v>0</v>
      </c>
      <c r="I637" s="72">
        <f>IFERROR( SUMIFS('Stock In'!I:I,'Stock In'!C:C,$A637,'Stock In'!D:D,$B637,'Stock In'!E:E,$C637) / SUMIFS('Stock In'!H:H,'Stock In'!C:C,$A637,'Stock In'!D:D,$B637,'Stock In'!E:E,$C637) , 0)</f>
        <v>0</v>
      </c>
      <c r="J637" s="71">
        <f t="shared" si="3"/>
        <v>0</v>
      </c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8"/>
      <c r="B638" s="68"/>
      <c r="C638" s="68"/>
      <c r="D638" s="70">
        <f>IFERROR(SUMIFS('Stock In'!F:F,'Stock In'!C:C,$A638,'Stock In'!D:D,$B638,'Stock In'!E:E,$C638),0)</f>
        <v>0</v>
      </c>
      <c r="E638" s="70">
        <f>IFERROR(SUMIFS(Issues!H:H,Issues!C:C,$A638,Issues!D:D,$B638,Issues!E:E,$C638),0)</f>
        <v>0</v>
      </c>
      <c r="F638" s="70">
        <f>IFERROR(SUMIFS(Returns!H:H,Returns!C:C,$A638,Returns!D:D,$B638,Returns!E:E,$C638),0)</f>
        <v>0</v>
      </c>
      <c r="G638" s="70">
        <f t="shared" si="1"/>
        <v>0</v>
      </c>
      <c r="H638" s="71">
        <f t="shared" si="2"/>
        <v>0</v>
      </c>
      <c r="I638" s="72">
        <f>IFERROR( SUMIFS('Stock In'!I:I,'Stock In'!C:C,$A638,'Stock In'!D:D,$B638,'Stock In'!E:E,$C638) / SUMIFS('Stock In'!H:H,'Stock In'!C:C,$A638,'Stock In'!D:D,$B638,'Stock In'!E:E,$C638) , 0)</f>
        <v>0</v>
      </c>
      <c r="J638" s="71">
        <f t="shared" si="3"/>
        <v>0</v>
      </c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8"/>
      <c r="B639" s="68"/>
      <c r="C639" s="68"/>
      <c r="D639" s="70">
        <f>IFERROR(SUMIFS('Stock In'!F:F,'Stock In'!C:C,$A639,'Stock In'!D:D,$B639,'Stock In'!E:E,$C639),0)</f>
        <v>0</v>
      </c>
      <c r="E639" s="70">
        <f>IFERROR(SUMIFS(Issues!H:H,Issues!C:C,$A639,Issues!D:D,$B639,Issues!E:E,$C639),0)</f>
        <v>0</v>
      </c>
      <c r="F639" s="70">
        <f>IFERROR(SUMIFS(Returns!H:H,Returns!C:C,$A639,Returns!D:D,$B639,Returns!E:E,$C639),0)</f>
        <v>0</v>
      </c>
      <c r="G639" s="70">
        <f t="shared" si="1"/>
        <v>0</v>
      </c>
      <c r="H639" s="71">
        <f t="shared" si="2"/>
        <v>0</v>
      </c>
      <c r="I639" s="72">
        <f>IFERROR( SUMIFS('Stock In'!I:I,'Stock In'!C:C,$A639,'Stock In'!D:D,$B639,'Stock In'!E:E,$C639) / SUMIFS('Stock In'!H:H,'Stock In'!C:C,$A639,'Stock In'!D:D,$B639,'Stock In'!E:E,$C639) , 0)</f>
        <v>0</v>
      </c>
      <c r="J639" s="71">
        <f t="shared" si="3"/>
        <v>0</v>
      </c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8"/>
      <c r="B640" s="68"/>
      <c r="C640" s="68"/>
      <c r="D640" s="70">
        <f>IFERROR(SUMIFS('Stock In'!F:F,'Stock In'!C:C,$A640,'Stock In'!D:D,$B640,'Stock In'!E:E,$C640),0)</f>
        <v>0</v>
      </c>
      <c r="E640" s="70">
        <f>IFERROR(SUMIFS(Issues!H:H,Issues!C:C,$A640,Issues!D:D,$B640,Issues!E:E,$C640),0)</f>
        <v>0</v>
      </c>
      <c r="F640" s="70">
        <f>IFERROR(SUMIFS(Returns!H:H,Returns!C:C,$A640,Returns!D:D,$B640,Returns!E:E,$C640),0)</f>
        <v>0</v>
      </c>
      <c r="G640" s="70">
        <f t="shared" si="1"/>
        <v>0</v>
      </c>
      <c r="H640" s="71">
        <f t="shared" si="2"/>
        <v>0</v>
      </c>
      <c r="I640" s="72">
        <f>IFERROR( SUMIFS('Stock In'!I:I,'Stock In'!C:C,$A640,'Stock In'!D:D,$B640,'Stock In'!E:E,$C640) / SUMIFS('Stock In'!H:H,'Stock In'!C:C,$A640,'Stock In'!D:D,$B640,'Stock In'!E:E,$C640) , 0)</f>
        <v>0</v>
      </c>
      <c r="J640" s="71">
        <f t="shared" si="3"/>
        <v>0</v>
      </c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8"/>
      <c r="B641" s="68"/>
      <c r="C641" s="68"/>
      <c r="D641" s="70">
        <f>IFERROR(SUMIFS('Stock In'!F:F,'Stock In'!C:C,$A641,'Stock In'!D:D,$B641,'Stock In'!E:E,$C641),0)</f>
        <v>0</v>
      </c>
      <c r="E641" s="70">
        <f>IFERROR(SUMIFS(Issues!H:H,Issues!C:C,$A641,Issues!D:D,$B641,Issues!E:E,$C641),0)</f>
        <v>0</v>
      </c>
      <c r="F641" s="70">
        <f>IFERROR(SUMIFS(Returns!H:H,Returns!C:C,$A641,Returns!D:D,$B641,Returns!E:E,$C641),0)</f>
        <v>0</v>
      </c>
      <c r="G641" s="70">
        <f t="shared" si="1"/>
        <v>0</v>
      </c>
      <c r="H641" s="71">
        <f t="shared" si="2"/>
        <v>0</v>
      </c>
      <c r="I641" s="72">
        <f>IFERROR( SUMIFS('Stock In'!I:I,'Stock In'!C:C,$A641,'Stock In'!D:D,$B641,'Stock In'!E:E,$C641) / SUMIFS('Stock In'!H:H,'Stock In'!C:C,$A641,'Stock In'!D:D,$B641,'Stock In'!E:E,$C641) , 0)</f>
        <v>0</v>
      </c>
      <c r="J641" s="71">
        <f t="shared" si="3"/>
        <v>0</v>
      </c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8"/>
      <c r="B642" s="68"/>
      <c r="C642" s="68"/>
      <c r="D642" s="70">
        <f>IFERROR(SUMIFS('Stock In'!F:F,'Stock In'!C:C,$A642,'Stock In'!D:D,$B642,'Stock In'!E:E,$C642),0)</f>
        <v>0</v>
      </c>
      <c r="E642" s="70">
        <f>IFERROR(SUMIFS(Issues!H:H,Issues!C:C,$A642,Issues!D:D,$B642,Issues!E:E,$C642),0)</f>
        <v>0</v>
      </c>
      <c r="F642" s="70">
        <f>IFERROR(SUMIFS(Returns!H:H,Returns!C:C,$A642,Returns!D:D,$B642,Returns!E:E,$C642),0)</f>
        <v>0</v>
      </c>
      <c r="G642" s="70">
        <f t="shared" si="1"/>
        <v>0</v>
      </c>
      <c r="H642" s="71">
        <f t="shared" si="2"/>
        <v>0</v>
      </c>
      <c r="I642" s="72">
        <f>IFERROR( SUMIFS('Stock In'!I:I,'Stock In'!C:C,$A642,'Stock In'!D:D,$B642,'Stock In'!E:E,$C642) / SUMIFS('Stock In'!H:H,'Stock In'!C:C,$A642,'Stock In'!D:D,$B642,'Stock In'!E:E,$C642) , 0)</f>
        <v>0</v>
      </c>
      <c r="J642" s="71">
        <f t="shared" si="3"/>
        <v>0</v>
      </c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8"/>
      <c r="B643" s="68"/>
      <c r="C643" s="68"/>
      <c r="D643" s="70">
        <f>IFERROR(SUMIFS('Stock In'!F:F,'Stock In'!C:C,$A643,'Stock In'!D:D,$B643,'Stock In'!E:E,$C643),0)</f>
        <v>0</v>
      </c>
      <c r="E643" s="70">
        <f>IFERROR(SUMIFS(Issues!H:H,Issues!C:C,$A643,Issues!D:D,$B643,Issues!E:E,$C643),0)</f>
        <v>0</v>
      </c>
      <c r="F643" s="70">
        <f>IFERROR(SUMIFS(Returns!H:H,Returns!C:C,$A643,Returns!D:D,$B643,Returns!E:E,$C643),0)</f>
        <v>0</v>
      </c>
      <c r="G643" s="70">
        <f t="shared" si="1"/>
        <v>0</v>
      </c>
      <c r="H643" s="71">
        <f t="shared" si="2"/>
        <v>0</v>
      </c>
      <c r="I643" s="72">
        <f>IFERROR( SUMIFS('Stock In'!I:I,'Stock In'!C:C,$A643,'Stock In'!D:D,$B643,'Stock In'!E:E,$C643) / SUMIFS('Stock In'!H:H,'Stock In'!C:C,$A643,'Stock In'!D:D,$B643,'Stock In'!E:E,$C643) , 0)</f>
        <v>0</v>
      </c>
      <c r="J643" s="71">
        <f t="shared" si="3"/>
        <v>0</v>
      </c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8"/>
      <c r="B644" s="68"/>
      <c r="C644" s="68"/>
      <c r="D644" s="70">
        <f>IFERROR(SUMIFS('Stock In'!F:F,'Stock In'!C:C,$A644,'Stock In'!D:D,$B644,'Stock In'!E:E,$C644),0)</f>
        <v>0</v>
      </c>
      <c r="E644" s="70">
        <f>IFERROR(SUMIFS(Issues!H:H,Issues!C:C,$A644,Issues!D:D,$B644,Issues!E:E,$C644),0)</f>
        <v>0</v>
      </c>
      <c r="F644" s="70">
        <f>IFERROR(SUMIFS(Returns!H:H,Returns!C:C,$A644,Returns!D:D,$B644,Returns!E:E,$C644),0)</f>
        <v>0</v>
      </c>
      <c r="G644" s="70">
        <f t="shared" si="1"/>
        <v>0</v>
      </c>
      <c r="H644" s="71">
        <f t="shared" si="2"/>
        <v>0</v>
      </c>
      <c r="I644" s="72">
        <f>IFERROR( SUMIFS('Stock In'!I:I,'Stock In'!C:C,$A644,'Stock In'!D:D,$B644,'Stock In'!E:E,$C644) / SUMIFS('Stock In'!H:H,'Stock In'!C:C,$A644,'Stock In'!D:D,$B644,'Stock In'!E:E,$C644) , 0)</f>
        <v>0</v>
      </c>
      <c r="J644" s="71">
        <f t="shared" si="3"/>
        <v>0</v>
      </c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8"/>
      <c r="B645" s="68"/>
      <c r="C645" s="68"/>
      <c r="D645" s="70">
        <f>IFERROR(SUMIFS('Stock In'!F:F,'Stock In'!C:C,$A645,'Stock In'!D:D,$B645,'Stock In'!E:E,$C645),0)</f>
        <v>0</v>
      </c>
      <c r="E645" s="70">
        <f>IFERROR(SUMIFS(Issues!H:H,Issues!C:C,$A645,Issues!D:D,$B645,Issues!E:E,$C645),0)</f>
        <v>0</v>
      </c>
      <c r="F645" s="70">
        <f>IFERROR(SUMIFS(Returns!H:H,Returns!C:C,$A645,Returns!D:D,$B645,Returns!E:E,$C645),0)</f>
        <v>0</v>
      </c>
      <c r="G645" s="70">
        <f t="shared" si="1"/>
        <v>0</v>
      </c>
      <c r="H645" s="71">
        <f t="shared" si="2"/>
        <v>0</v>
      </c>
      <c r="I645" s="72">
        <f>IFERROR( SUMIFS('Stock In'!I:I,'Stock In'!C:C,$A645,'Stock In'!D:D,$B645,'Stock In'!E:E,$C645) / SUMIFS('Stock In'!H:H,'Stock In'!C:C,$A645,'Stock In'!D:D,$B645,'Stock In'!E:E,$C645) , 0)</f>
        <v>0</v>
      </c>
      <c r="J645" s="71">
        <f t="shared" si="3"/>
        <v>0</v>
      </c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8"/>
      <c r="B646" s="68"/>
      <c r="C646" s="68"/>
      <c r="D646" s="70">
        <f>IFERROR(SUMIFS('Stock In'!F:F,'Stock In'!C:C,$A646,'Stock In'!D:D,$B646,'Stock In'!E:E,$C646),0)</f>
        <v>0</v>
      </c>
      <c r="E646" s="70">
        <f>IFERROR(SUMIFS(Issues!H:H,Issues!C:C,$A646,Issues!D:D,$B646,Issues!E:E,$C646),0)</f>
        <v>0</v>
      </c>
      <c r="F646" s="70">
        <f>IFERROR(SUMIFS(Returns!H:H,Returns!C:C,$A646,Returns!D:D,$B646,Returns!E:E,$C646),0)</f>
        <v>0</v>
      </c>
      <c r="G646" s="70">
        <f t="shared" si="1"/>
        <v>0</v>
      </c>
      <c r="H646" s="71">
        <f t="shared" si="2"/>
        <v>0</v>
      </c>
      <c r="I646" s="72">
        <f>IFERROR( SUMIFS('Stock In'!I:I,'Stock In'!C:C,$A646,'Stock In'!D:D,$B646,'Stock In'!E:E,$C646) / SUMIFS('Stock In'!H:H,'Stock In'!C:C,$A646,'Stock In'!D:D,$B646,'Stock In'!E:E,$C646) , 0)</f>
        <v>0</v>
      </c>
      <c r="J646" s="71">
        <f t="shared" si="3"/>
        <v>0</v>
      </c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8"/>
      <c r="B647" s="68"/>
      <c r="C647" s="68"/>
      <c r="D647" s="70">
        <f>IFERROR(SUMIFS('Stock In'!F:F,'Stock In'!C:C,$A647,'Stock In'!D:D,$B647,'Stock In'!E:E,$C647),0)</f>
        <v>0</v>
      </c>
      <c r="E647" s="70">
        <f>IFERROR(SUMIFS(Issues!H:H,Issues!C:C,$A647,Issues!D:D,$B647,Issues!E:E,$C647),0)</f>
        <v>0</v>
      </c>
      <c r="F647" s="70">
        <f>IFERROR(SUMIFS(Returns!H:H,Returns!C:C,$A647,Returns!D:D,$B647,Returns!E:E,$C647),0)</f>
        <v>0</v>
      </c>
      <c r="G647" s="70">
        <f t="shared" si="1"/>
        <v>0</v>
      </c>
      <c r="H647" s="71">
        <f t="shared" si="2"/>
        <v>0</v>
      </c>
      <c r="I647" s="72">
        <f>IFERROR( SUMIFS('Stock In'!I:I,'Stock In'!C:C,$A647,'Stock In'!D:D,$B647,'Stock In'!E:E,$C647) / SUMIFS('Stock In'!H:H,'Stock In'!C:C,$A647,'Stock In'!D:D,$B647,'Stock In'!E:E,$C647) , 0)</f>
        <v>0</v>
      </c>
      <c r="J647" s="71">
        <f t="shared" si="3"/>
        <v>0</v>
      </c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8"/>
      <c r="B648" s="68"/>
      <c r="C648" s="68"/>
      <c r="D648" s="70">
        <f>IFERROR(SUMIFS('Stock In'!F:F,'Stock In'!C:C,$A648,'Stock In'!D:D,$B648,'Stock In'!E:E,$C648),0)</f>
        <v>0</v>
      </c>
      <c r="E648" s="70">
        <f>IFERROR(SUMIFS(Issues!H:H,Issues!C:C,$A648,Issues!D:D,$B648,Issues!E:E,$C648),0)</f>
        <v>0</v>
      </c>
      <c r="F648" s="70">
        <f>IFERROR(SUMIFS(Returns!H:H,Returns!C:C,$A648,Returns!D:D,$B648,Returns!E:E,$C648),0)</f>
        <v>0</v>
      </c>
      <c r="G648" s="70">
        <f t="shared" si="1"/>
        <v>0</v>
      </c>
      <c r="H648" s="71">
        <f t="shared" si="2"/>
        <v>0</v>
      </c>
      <c r="I648" s="72">
        <f>IFERROR( SUMIFS('Stock In'!I:I,'Stock In'!C:C,$A648,'Stock In'!D:D,$B648,'Stock In'!E:E,$C648) / SUMIFS('Stock In'!H:H,'Stock In'!C:C,$A648,'Stock In'!D:D,$B648,'Stock In'!E:E,$C648) , 0)</f>
        <v>0</v>
      </c>
      <c r="J648" s="71">
        <f t="shared" si="3"/>
        <v>0</v>
      </c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8"/>
      <c r="B649" s="68"/>
      <c r="C649" s="68"/>
      <c r="D649" s="70">
        <f>IFERROR(SUMIFS('Stock In'!F:F,'Stock In'!C:C,$A649,'Stock In'!D:D,$B649,'Stock In'!E:E,$C649),0)</f>
        <v>0</v>
      </c>
      <c r="E649" s="70">
        <f>IFERROR(SUMIFS(Issues!H:H,Issues!C:C,$A649,Issues!D:D,$B649,Issues!E:E,$C649),0)</f>
        <v>0</v>
      </c>
      <c r="F649" s="70">
        <f>IFERROR(SUMIFS(Returns!H:H,Returns!C:C,$A649,Returns!D:D,$B649,Returns!E:E,$C649),0)</f>
        <v>0</v>
      </c>
      <c r="G649" s="70">
        <f t="shared" si="1"/>
        <v>0</v>
      </c>
      <c r="H649" s="71">
        <f t="shared" si="2"/>
        <v>0</v>
      </c>
      <c r="I649" s="72">
        <f>IFERROR( SUMIFS('Stock In'!I:I,'Stock In'!C:C,$A649,'Stock In'!D:D,$B649,'Stock In'!E:E,$C649) / SUMIFS('Stock In'!H:H,'Stock In'!C:C,$A649,'Stock In'!D:D,$B649,'Stock In'!E:E,$C649) , 0)</f>
        <v>0</v>
      </c>
      <c r="J649" s="71">
        <f t="shared" si="3"/>
        <v>0</v>
      </c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8"/>
      <c r="B650" s="68"/>
      <c r="C650" s="68"/>
      <c r="D650" s="70">
        <f>IFERROR(SUMIFS('Stock In'!F:F,'Stock In'!C:C,$A650,'Stock In'!D:D,$B650,'Stock In'!E:E,$C650),0)</f>
        <v>0</v>
      </c>
      <c r="E650" s="70">
        <f>IFERROR(SUMIFS(Issues!H:H,Issues!C:C,$A650,Issues!D:D,$B650,Issues!E:E,$C650),0)</f>
        <v>0</v>
      </c>
      <c r="F650" s="70">
        <f>IFERROR(SUMIFS(Returns!H:H,Returns!C:C,$A650,Returns!D:D,$B650,Returns!E:E,$C650),0)</f>
        <v>0</v>
      </c>
      <c r="G650" s="70">
        <f t="shared" si="1"/>
        <v>0</v>
      </c>
      <c r="H650" s="71">
        <f t="shared" si="2"/>
        <v>0</v>
      </c>
      <c r="I650" s="72">
        <f>IFERROR( SUMIFS('Stock In'!I:I,'Stock In'!C:C,$A650,'Stock In'!D:D,$B650,'Stock In'!E:E,$C650) / SUMIFS('Stock In'!H:H,'Stock In'!C:C,$A650,'Stock In'!D:D,$B650,'Stock In'!E:E,$C650) , 0)</f>
        <v>0</v>
      </c>
      <c r="J650" s="71">
        <f t="shared" si="3"/>
        <v>0</v>
      </c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8"/>
      <c r="B651" s="68"/>
      <c r="C651" s="68"/>
      <c r="D651" s="70">
        <f>IFERROR(SUMIFS('Stock In'!F:F,'Stock In'!C:C,$A651,'Stock In'!D:D,$B651,'Stock In'!E:E,$C651),0)</f>
        <v>0</v>
      </c>
      <c r="E651" s="70">
        <f>IFERROR(SUMIFS(Issues!H:H,Issues!C:C,$A651,Issues!D:D,$B651,Issues!E:E,$C651),0)</f>
        <v>0</v>
      </c>
      <c r="F651" s="70">
        <f>IFERROR(SUMIFS(Returns!H:H,Returns!C:C,$A651,Returns!D:D,$B651,Returns!E:E,$C651),0)</f>
        <v>0</v>
      </c>
      <c r="G651" s="70">
        <f t="shared" si="1"/>
        <v>0</v>
      </c>
      <c r="H651" s="71">
        <f t="shared" si="2"/>
        <v>0</v>
      </c>
      <c r="I651" s="72">
        <f>IFERROR( SUMIFS('Stock In'!I:I,'Stock In'!C:C,$A651,'Stock In'!D:D,$B651,'Stock In'!E:E,$C651) / SUMIFS('Stock In'!H:H,'Stock In'!C:C,$A651,'Stock In'!D:D,$B651,'Stock In'!E:E,$C651) , 0)</f>
        <v>0</v>
      </c>
      <c r="J651" s="71">
        <f t="shared" si="3"/>
        <v>0</v>
      </c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8"/>
      <c r="B652" s="68"/>
      <c r="C652" s="68"/>
      <c r="D652" s="70">
        <f>IFERROR(SUMIFS('Stock In'!F:F,'Stock In'!C:C,$A652,'Stock In'!D:D,$B652,'Stock In'!E:E,$C652),0)</f>
        <v>0</v>
      </c>
      <c r="E652" s="70">
        <f>IFERROR(SUMIFS(Issues!H:H,Issues!C:C,$A652,Issues!D:D,$B652,Issues!E:E,$C652),0)</f>
        <v>0</v>
      </c>
      <c r="F652" s="70">
        <f>IFERROR(SUMIFS(Returns!H:H,Returns!C:C,$A652,Returns!D:D,$B652,Returns!E:E,$C652),0)</f>
        <v>0</v>
      </c>
      <c r="G652" s="70">
        <f t="shared" si="1"/>
        <v>0</v>
      </c>
      <c r="H652" s="71">
        <f t="shared" si="2"/>
        <v>0</v>
      </c>
      <c r="I652" s="72">
        <f>IFERROR( SUMIFS('Stock In'!I:I,'Stock In'!C:C,$A652,'Stock In'!D:D,$B652,'Stock In'!E:E,$C652) / SUMIFS('Stock In'!H:H,'Stock In'!C:C,$A652,'Stock In'!D:D,$B652,'Stock In'!E:E,$C652) , 0)</f>
        <v>0</v>
      </c>
      <c r="J652" s="71">
        <f t="shared" si="3"/>
        <v>0</v>
      </c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8"/>
      <c r="B653" s="68"/>
      <c r="C653" s="68"/>
      <c r="D653" s="70">
        <f>IFERROR(SUMIFS('Stock In'!F:F,'Stock In'!C:C,$A653,'Stock In'!D:D,$B653,'Stock In'!E:E,$C653),0)</f>
        <v>0</v>
      </c>
      <c r="E653" s="70">
        <f>IFERROR(SUMIFS(Issues!H:H,Issues!C:C,$A653,Issues!D:D,$B653,Issues!E:E,$C653),0)</f>
        <v>0</v>
      </c>
      <c r="F653" s="70">
        <f>IFERROR(SUMIFS(Returns!H:H,Returns!C:C,$A653,Returns!D:D,$B653,Returns!E:E,$C653),0)</f>
        <v>0</v>
      </c>
      <c r="G653" s="70">
        <f t="shared" si="1"/>
        <v>0</v>
      </c>
      <c r="H653" s="71">
        <f t="shared" si="2"/>
        <v>0</v>
      </c>
      <c r="I653" s="72">
        <f>IFERROR( SUMIFS('Stock In'!I:I,'Stock In'!C:C,$A653,'Stock In'!D:D,$B653,'Stock In'!E:E,$C653) / SUMIFS('Stock In'!H:H,'Stock In'!C:C,$A653,'Stock In'!D:D,$B653,'Stock In'!E:E,$C653) , 0)</f>
        <v>0</v>
      </c>
      <c r="J653" s="71">
        <f t="shared" si="3"/>
        <v>0</v>
      </c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8"/>
      <c r="B654" s="68"/>
      <c r="C654" s="68"/>
      <c r="D654" s="70">
        <f>IFERROR(SUMIFS('Stock In'!F:F,'Stock In'!C:C,$A654,'Stock In'!D:D,$B654,'Stock In'!E:E,$C654),0)</f>
        <v>0</v>
      </c>
      <c r="E654" s="70">
        <f>IFERROR(SUMIFS(Issues!H:H,Issues!C:C,$A654,Issues!D:D,$B654,Issues!E:E,$C654),0)</f>
        <v>0</v>
      </c>
      <c r="F654" s="70">
        <f>IFERROR(SUMIFS(Returns!H:H,Returns!C:C,$A654,Returns!D:D,$B654,Returns!E:E,$C654),0)</f>
        <v>0</v>
      </c>
      <c r="G654" s="70">
        <f t="shared" si="1"/>
        <v>0</v>
      </c>
      <c r="H654" s="71">
        <f t="shared" si="2"/>
        <v>0</v>
      </c>
      <c r="I654" s="72">
        <f>IFERROR( SUMIFS('Stock In'!I:I,'Stock In'!C:C,$A654,'Stock In'!D:D,$B654,'Stock In'!E:E,$C654) / SUMIFS('Stock In'!H:H,'Stock In'!C:C,$A654,'Stock In'!D:D,$B654,'Stock In'!E:E,$C654) , 0)</f>
        <v>0</v>
      </c>
      <c r="J654" s="71">
        <f t="shared" si="3"/>
        <v>0</v>
      </c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8"/>
      <c r="B655" s="68"/>
      <c r="C655" s="68"/>
      <c r="D655" s="70">
        <f>IFERROR(SUMIFS('Stock In'!F:F,'Stock In'!C:C,$A655,'Stock In'!D:D,$B655,'Stock In'!E:E,$C655),0)</f>
        <v>0</v>
      </c>
      <c r="E655" s="70">
        <f>IFERROR(SUMIFS(Issues!H:H,Issues!C:C,$A655,Issues!D:D,$B655,Issues!E:E,$C655),0)</f>
        <v>0</v>
      </c>
      <c r="F655" s="70">
        <f>IFERROR(SUMIFS(Returns!H:H,Returns!C:C,$A655,Returns!D:D,$B655,Returns!E:E,$C655),0)</f>
        <v>0</v>
      </c>
      <c r="G655" s="70">
        <f t="shared" si="1"/>
        <v>0</v>
      </c>
      <c r="H655" s="71">
        <f t="shared" si="2"/>
        <v>0</v>
      </c>
      <c r="I655" s="72">
        <f>IFERROR( SUMIFS('Stock In'!I:I,'Stock In'!C:C,$A655,'Stock In'!D:D,$B655,'Stock In'!E:E,$C655) / SUMIFS('Stock In'!H:H,'Stock In'!C:C,$A655,'Stock In'!D:D,$B655,'Stock In'!E:E,$C655) , 0)</f>
        <v>0</v>
      </c>
      <c r="J655" s="71">
        <f t="shared" si="3"/>
        <v>0</v>
      </c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8"/>
      <c r="B656" s="68"/>
      <c r="C656" s="68"/>
      <c r="D656" s="70">
        <f>IFERROR(SUMIFS('Stock In'!F:F,'Stock In'!C:C,$A656,'Stock In'!D:D,$B656,'Stock In'!E:E,$C656),0)</f>
        <v>0</v>
      </c>
      <c r="E656" s="70">
        <f>IFERROR(SUMIFS(Issues!H:H,Issues!C:C,$A656,Issues!D:D,$B656,Issues!E:E,$C656),0)</f>
        <v>0</v>
      </c>
      <c r="F656" s="70">
        <f>IFERROR(SUMIFS(Returns!H:H,Returns!C:C,$A656,Returns!D:D,$B656,Returns!E:E,$C656),0)</f>
        <v>0</v>
      </c>
      <c r="G656" s="70">
        <f t="shared" si="1"/>
        <v>0</v>
      </c>
      <c r="H656" s="71">
        <f t="shared" si="2"/>
        <v>0</v>
      </c>
      <c r="I656" s="72">
        <f>IFERROR( SUMIFS('Stock In'!I:I,'Stock In'!C:C,$A656,'Stock In'!D:D,$B656,'Stock In'!E:E,$C656) / SUMIFS('Stock In'!H:H,'Stock In'!C:C,$A656,'Stock In'!D:D,$B656,'Stock In'!E:E,$C656) , 0)</f>
        <v>0</v>
      </c>
      <c r="J656" s="71">
        <f t="shared" si="3"/>
        <v>0</v>
      </c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8"/>
      <c r="B657" s="68"/>
      <c r="C657" s="68"/>
      <c r="D657" s="70">
        <f>IFERROR(SUMIFS('Stock In'!F:F,'Stock In'!C:C,$A657,'Stock In'!D:D,$B657,'Stock In'!E:E,$C657),0)</f>
        <v>0</v>
      </c>
      <c r="E657" s="70">
        <f>IFERROR(SUMIFS(Issues!H:H,Issues!C:C,$A657,Issues!D:D,$B657,Issues!E:E,$C657),0)</f>
        <v>0</v>
      </c>
      <c r="F657" s="70">
        <f>IFERROR(SUMIFS(Returns!H:H,Returns!C:C,$A657,Returns!D:D,$B657,Returns!E:E,$C657),0)</f>
        <v>0</v>
      </c>
      <c r="G657" s="70">
        <f t="shared" si="1"/>
        <v>0</v>
      </c>
      <c r="H657" s="71">
        <f t="shared" si="2"/>
        <v>0</v>
      </c>
      <c r="I657" s="72">
        <f>IFERROR( SUMIFS('Stock In'!I:I,'Stock In'!C:C,$A657,'Stock In'!D:D,$B657,'Stock In'!E:E,$C657) / SUMIFS('Stock In'!H:H,'Stock In'!C:C,$A657,'Stock In'!D:D,$B657,'Stock In'!E:E,$C657) , 0)</f>
        <v>0</v>
      </c>
      <c r="J657" s="71">
        <f t="shared" si="3"/>
        <v>0</v>
      </c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8"/>
      <c r="B658" s="68"/>
      <c r="C658" s="68"/>
      <c r="D658" s="70">
        <f>IFERROR(SUMIFS('Stock In'!F:F,'Stock In'!C:C,$A658,'Stock In'!D:D,$B658,'Stock In'!E:E,$C658),0)</f>
        <v>0</v>
      </c>
      <c r="E658" s="70">
        <f>IFERROR(SUMIFS(Issues!H:H,Issues!C:C,$A658,Issues!D:D,$B658,Issues!E:E,$C658),0)</f>
        <v>0</v>
      </c>
      <c r="F658" s="70">
        <f>IFERROR(SUMIFS(Returns!H:H,Returns!C:C,$A658,Returns!D:D,$B658,Returns!E:E,$C658),0)</f>
        <v>0</v>
      </c>
      <c r="G658" s="70">
        <f t="shared" si="1"/>
        <v>0</v>
      </c>
      <c r="H658" s="71">
        <f t="shared" si="2"/>
        <v>0</v>
      </c>
      <c r="I658" s="72">
        <f>IFERROR( SUMIFS('Stock In'!I:I,'Stock In'!C:C,$A658,'Stock In'!D:D,$B658,'Stock In'!E:E,$C658) / SUMIFS('Stock In'!H:H,'Stock In'!C:C,$A658,'Stock In'!D:D,$B658,'Stock In'!E:E,$C658) , 0)</f>
        <v>0</v>
      </c>
      <c r="J658" s="71">
        <f t="shared" si="3"/>
        <v>0</v>
      </c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8"/>
      <c r="B659" s="68"/>
      <c r="C659" s="68"/>
      <c r="D659" s="70">
        <f>IFERROR(SUMIFS('Stock In'!F:F,'Stock In'!C:C,$A659,'Stock In'!D:D,$B659,'Stock In'!E:E,$C659),0)</f>
        <v>0</v>
      </c>
      <c r="E659" s="70">
        <f>IFERROR(SUMIFS(Issues!H:H,Issues!C:C,$A659,Issues!D:D,$B659,Issues!E:E,$C659),0)</f>
        <v>0</v>
      </c>
      <c r="F659" s="70">
        <f>IFERROR(SUMIFS(Returns!H:H,Returns!C:C,$A659,Returns!D:D,$B659,Returns!E:E,$C659),0)</f>
        <v>0</v>
      </c>
      <c r="G659" s="70">
        <f t="shared" si="1"/>
        <v>0</v>
      </c>
      <c r="H659" s="71">
        <f t="shared" si="2"/>
        <v>0</v>
      </c>
      <c r="I659" s="72">
        <f>IFERROR( SUMIFS('Stock In'!I:I,'Stock In'!C:C,$A659,'Stock In'!D:D,$B659,'Stock In'!E:E,$C659) / SUMIFS('Stock In'!H:H,'Stock In'!C:C,$A659,'Stock In'!D:D,$B659,'Stock In'!E:E,$C659) , 0)</f>
        <v>0</v>
      </c>
      <c r="J659" s="71">
        <f t="shared" si="3"/>
        <v>0</v>
      </c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8"/>
      <c r="B660" s="68"/>
      <c r="C660" s="68"/>
      <c r="D660" s="70">
        <f>IFERROR(SUMIFS('Stock In'!F:F,'Stock In'!C:C,$A660,'Stock In'!D:D,$B660,'Stock In'!E:E,$C660),0)</f>
        <v>0</v>
      </c>
      <c r="E660" s="70">
        <f>IFERROR(SUMIFS(Issues!H:H,Issues!C:C,$A660,Issues!D:D,$B660,Issues!E:E,$C660),0)</f>
        <v>0</v>
      </c>
      <c r="F660" s="70">
        <f>IFERROR(SUMIFS(Returns!H:H,Returns!C:C,$A660,Returns!D:D,$B660,Returns!E:E,$C660),0)</f>
        <v>0</v>
      </c>
      <c r="G660" s="70">
        <f t="shared" si="1"/>
        <v>0</v>
      </c>
      <c r="H660" s="71">
        <f t="shared" si="2"/>
        <v>0</v>
      </c>
      <c r="I660" s="72">
        <f>IFERROR( SUMIFS('Stock In'!I:I,'Stock In'!C:C,$A660,'Stock In'!D:D,$B660,'Stock In'!E:E,$C660) / SUMIFS('Stock In'!H:H,'Stock In'!C:C,$A660,'Stock In'!D:D,$B660,'Stock In'!E:E,$C660) , 0)</f>
        <v>0</v>
      </c>
      <c r="J660" s="71">
        <f t="shared" si="3"/>
        <v>0</v>
      </c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8"/>
      <c r="B661" s="68"/>
      <c r="C661" s="68"/>
      <c r="D661" s="70">
        <f>IFERROR(SUMIFS('Stock In'!F:F,'Stock In'!C:C,$A661,'Stock In'!D:D,$B661,'Stock In'!E:E,$C661),0)</f>
        <v>0</v>
      </c>
      <c r="E661" s="70">
        <f>IFERROR(SUMIFS(Issues!H:H,Issues!C:C,$A661,Issues!D:D,$B661,Issues!E:E,$C661),0)</f>
        <v>0</v>
      </c>
      <c r="F661" s="70">
        <f>IFERROR(SUMIFS(Returns!H:H,Returns!C:C,$A661,Returns!D:D,$B661,Returns!E:E,$C661),0)</f>
        <v>0</v>
      </c>
      <c r="G661" s="70">
        <f t="shared" si="1"/>
        <v>0</v>
      </c>
      <c r="H661" s="71">
        <f t="shared" si="2"/>
        <v>0</v>
      </c>
      <c r="I661" s="72">
        <f>IFERROR( SUMIFS('Stock In'!I:I,'Stock In'!C:C,$A661,'Stock In'!D:D,$B661,'Stock In'!E:E,$C661) / SUMIFS('Stock In'!H:H,'Stock In'!C:C,$A661,'Stock In'!D:D,$B661,'Stock In'!E:E,$C661) , 0)</f>
        <v>0</v>
      </c>
      <c r="J661" s="71">
        <f t="shared" si="3"/>
        <v>0</v>
      </c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8"/>
      <c r="B662" s="68"/>
      <c r="C662" s="68"/>
      <c r="D662" s="70">
        <f>IFERROR(SUMIFS('Stock In'!F:F,'Stock In'!C:C,$A662,'Stock In'!D:D,$B662,'Stock In'!E:E,$C662),0)</f>
        <v>0</v>
      </c>
      <c r="E662" s="70">
        <f>IFERROR(SUMIFS(Issues!H:H,Issues!C:C,$A662,Issues!D:D,$B662,Issues!E:E,$C662),0)</f>
        <v>0</v>
      </c>
      <c r="F662" s="70">
        <f>IFERROR(SUMIFS(Returns!H:H,Returns!C:C,$A662,Returns!D:D,$B662,Returns!E:E,$C662),0)</f>
        <v>0</v>
      </c>
      <c r="G662" s="70">
        <f t="shared" si="1"/>
        <v>0</v>
      </c>
      <c r="H662" s="71">
        <f t="shared" si="2"/>
        <v>0</v>
      </c>
      <c r="I662" s="72">
        <f>IFERROR( SUMIFS('Stock In'!I:I,'Stock In'!C:C,$A662,'Stock In'!D:D,$B662,'Stock In'!E:E,$C662) / SUMIFS('Stock In'!H:H,'Stock In'!C:C,$A662,'Stock In'!D:D,$B662,'Stock In'!E:E,$C662) , 0)</f>
        <v>0</v>
      </c>
      <c r="J662" s="71">
        <f t="shared" si="3"/>
        <v>0</v>
      </c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8"/>
      <c r="B663" s="68"/>
      <c r="C663" s="68"/>
      <c r="D663" s="70">
        <f>IFERROR(SUMIFS('Stock In'!F:F,'Stock In'!C:C,$A663,'Stock In'!D:D,$B663,'Stock In'!E:E,$C663),0)</f>
        <v>0</v>
      </c>
      <c r="E663" s="70">
        <f>IFERROR(SUMIFS(Issues!H:H,Issues!C:C,$A663,Issues!D:D,$B663,Issues!E:E,$C663),0)</f>
        <v>0</v>
      </c>
      <c r="F663" s="70">
        <f>IFERROR(SUMIFS(Returns!H:H,Returns!C:C,$A663,Returns!D:D,$B663,Returns!E:E,$C663),0)</f>
        <v>0</v>
      </c>
      <c r="G663" s="70">
        <f t="shared" si="1"/>
        <v>0</v>
      </c>
      <c r="H663" s="71">
        <f t="shared" si="2"/>
        <v>0</v>
      </c>
      <c r="I663" s="72">
        <f>IFERROR( SUMIFS('Stock In'!I:I,'Stock In'!C:C,$A663,'Stock In'!D:D,$B663,'Stock In'!E:E,$C663) / SUMIFS('Stock In'!H:H,'Stock In'!C:C,$A663,'Stock In'!D:D,$B663,'Stock In'!E:E,$C663) , 0)</f>
        <v>0</v>
      </c>
      <c r="J663" s="71">
        <f t="shared" si="3"/>
        <v>0</v>
      </c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8"/>
      <c r="B664" s="68"/>
      <c r="C664" s="68"/>
      <c r="D664" s="70">
        <f>IFERROR(SUMIFS('Stock In'!F:F,'Stock In'!C:C,$A664,'Stock In'!D:D,$B664,'Stock In'!E:E,$C664),0)</f>
        <v>0</v>
      </c>
      <c r="E664" s="70">
        <f>IFERROR(SUMIFS(Issues!H:H,Issues!C:C,$A664,Issues!D:D,$B664,Issues!E:E,$C664),0)</f>
        <v>0</v>
      </c>
      <c r="F664" s="70">
        <f>IFERROR(SUMIFS(Returns!H:H,Returns!C:C,$A664,Returns!D:D,$B664,Returns!E:E,$C664),0)</f>
        <v>0</v>
      </c>
      <c r="G664" s="70">
        <f t="shared" si="1"/>
        <v>0</v>
      </c>
      <c r="H664" s="71">
        <f t="shared" si="2"/>
        <v>0</v>
      </c>
      <c r="I664" s="72">
        <f>IFERROR( SUMIFS('Stock In'!I:I,'Stock In'!C:C,$A664,'Stock In'!D:D,$B664,'Stock In'!E:E,$C664) / SUMIFS('Stock In'!H:H,'Stock In'!C:C,$A664,'Stock In'!D:D,$B664,'Stock In'!E:E,$C664) , 0)</f>
        <v>0</v>
      </c>
      <c r="J664" s="71">
        <f t="shared" si="3"/>
        <v>0</v>
      </c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8"/>
      <c r="B665" s="68"/>
      <c r="C665" s="68"/>
      <c r="D665" s="70">
        <f>IFERROR(SUMIFS('Stock In'!F:F,'Stock In'!C:C,$A665,'Stock In'!D:D,$B665,'Stock In'!E:E,$C665),0)</f>
        <v>0</v>
      </c>
      <c r="E665" s="70">
        <f>IFERROR(SUMIFS(Issues!H:H,Issues!C:C,$A665,Issues!D:D,$B665,Issues!E:E,$C665),0)</f>
        <v>0</v>
      </c>
      <c r="F665" s="70">
        <f>IFERROR(SUMIFS(Returns!H:H,Returns!C:C,$A665,Returns!D:D,$B665,Returns!E:E,$C665),0)</f>
        <v>0</v>
      </c>
      <c r="G665" s="70">
        <f t="shared" si="1"/>
        <v>0</v>
      </c>
      <c r="H665" s="71">
        <f t="shared" si="2"/>
        <v>0</v>
      </c>
      <c r="I665" s="72">
        <f>IFERROR( SUMIFS('Stock In'!I:I,'Stock In'!C:C,$A665,'Stock In'!D:D,$B665,'Stock In'!E:E,$C665) / SUMIFS('Stock In'!H:H,'Stock In'!C:C,$A665,'Stock In'!D:D,$B665,'Stock In'!E:E,$C665) , 0)</f>
        <v>0</v>
      </c>
      <c r="J665" s="71">
        <f t="shared" si="3"/>
        <v>0</v>
      </c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8"/>
      <c r="B666" s="68"/>
      <c r="C666" s="68"/>
      <c r="D666" s="70">
        <f>IFERROR(SUMIFS('Stock In'!F:F,'Stock In'!C:C,$A666,'Stock In'!D:D,$B666,'Stock In'!E:E,$C666),0)</f>
        <v>0</v>
      </c>
      <c r="E666" s="70">
        <f>IFERROR(SUMIFS(Issues!H:H,Issues!C:C,$A666,Issues!D:D,$B666,Issues!E:E,$C666),0)</f>
        <v>0</v>
      </c>
      <c r="F666" s="70">
        <f>IFERROR(SUMIFS(Returns!H:H,Returns!C:C,$A666,Returns!D:D,$B666,Returns!E:E,$C666),0)</f>
        <v>0</v>
      </c>
      <c r="G666" s="70">
        <f t="shared" si="1"/>
        <v>0</v>
      </c>
      <c r="H666" s="71">
        <f t="shared" si="2"/>
        <v>0</v>
      </c>
      <c r="I666" s="72">
        <f>IFERROR( SUMIFS('Stock In'!I:I,'Stock In'!C:C,$A666,'Stock In'!D:D,$B666,'Stock In'!E:E,$C666) / SUMIFS('Stock In'!H:H,'Stock In'!C:C,$A666,'Stock In'!D:D,$B666,'Stock In'!E:E,$C666) , 0)</f>
        <v>0</v>
      </c>
      <c r="J666" s="71">
        <f t="shared" si="3"/>
        <v>0</v>
      </c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8"/>
      <c r="B667" s="68"/>
      <c r="C667" s="68"/>
      <c r="D667" s="70">
        <f>IFERROR(SUMIFS('Stock In'!F:F,'Stock In'!C:C,$A667,'Stock In'!D:D,$B667,'Stock In'!E:E,$C667),0)</f>
        <v>0</v>
      </c>
      <c r="E667" s="70">
        <f>IFERROR(SUMIFS(Issues!H:H,Issues!C:C,$A667,Issues!D:D,$B667,Issues!E:E,$C667),0)</f>
        <v>0</v>
      </c>
      <c r="F667" s="70">
        <f>IFERROR(SUMIFS(Returns!H:H,Returns!C:C,$A667,Returns!D:D,$B667,Returns!E:E,$C667),0)</f>
        <v>0</v>
      </c>
      <c r="G667" s="70">
        <f t="shared" si="1"/>
        <v>0</v>
      </c>
      <c r="H667" s="71">
        <f t="shared" si="2"/>
        <v>0</v>
      </c>
      <c r="I667" s="72">
        <f>IFERROR( SUMIFS('Stock In'!I:I,'Stock In'!C:C,$A667,'Stock In'!D:D,$B667,'Stock In'!E:E,$C667) / SUMIFS('Stock In'!H:H,'Stock In'!C:C,$A667,'Stock In'!D:D,$B667,'Stock In'!E:E,$C667) , 0)</f>
        <v>0</v>
      </c>
      <c r="J667" s="71">
        <f t="shared" si="3"/>
        <v>0</v>
      </c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8"/>
      <c r="B668" s="68"/>
      <c r="C668" s="68"/>
      <c r="D668" s="70">
        <f>IFERROR(SUMIFS('Stock In'!F:F,'Stock In'!C:C,$A668,'Stock In'!D:D,$B668,'Stock In'!E:E,$C668),0)</f>
        <v>0</v>
      </c>
      <c r="E668" s="70">
        <f>IFERROR(SUMIFS(Issues!H:H,Issues!C:C,$A668,Issues!D:D,$B668,Issues!E:E,$C668),0)</f>
        <v>0</v>
      </c>
      <c r="F668" s="70">
        <f>IFERROR(SUMIFS(Returns!H:H,Returns!C:C,$A668,Returns!D:D,$B668,Returns!E:E,$C668),0)</f>
        <v>0</v>
      </c>
      <c r="G668" s="70">
        <f t="shared" si="1"/>
        <v>0</v>
      </c>
      <c r="H668" s="71">
        <f t="shared" si="2"/>
        <v>0</v>
      </c>
      <c r="I668" s="72">
        <f>IFERROR( SUMIFS('Stock In'!I:I,'Stock In'!C:C,$A668,'Stock In'!D:D,$B668,'Stock In'!E:E,$C668) / SUMIFS('Stock In'!H:H,'Stock In'!C:C,$A668,'Stock In'!D:D,$B668,'Stock In'!E:E,$C668) , 0)</f>
        <v>0</v>
      </c>
      <c r="J668" s="71">
        <f t="shared" si="3"/>
        <v>0</v>
      </c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8"/>
      <c r="B669" s="68"/>
      <c r="C669" s="68"/>
      <c r="D669" s="70">
        <f>IFERROR(SUMIFS('Stock In'!F:F,'Stock In'!C:C,$A669,'Stock In'!D:D,$B669,'Stock In'!E:E,$C669),0)</f>
        <v>0</v>
      </c>
      <c r="E669" s="70">
        <f>IFERROR(SUMIFS(Issues!H:H,Issues!C:C,$A669,Issues!D:D,$B669,Issues!E:E,$C669),0)</f>
        <v>0</v>
      </c>
      <c r="F669" s="70">
        <f>IFERROR(SUMIFS(Returns!H:H,Returns!C:C,$A669,Returns!D:D,$B669,Returns!E:E,$C669),0)</f>
        <v>0</v>
      </c>
      <c r="G669" s="70">
        <f t="shared" si="1"/>
        <v>0</v>
      </c>
      <c r="H669" s="71">
        <f t="shared" si="2"/>
        <v>0</v>
      </c>
      <c r="I669" s="72">
        <f>IFERROR( SUMIFS('Stock In'!I:I,'Stock In'!C:C,$A669,'Stock In'!D:D,$B669,'Stock In'!E:E,$C669) / SUMIFS('Stock In'!H:H,'Stock In'!C:C,$A669,'Stock In'!D:D,$B669,'Stock In'!E:E,$C669) , 0)</f>
        <v>0</v>
      </c>
      <c r="J669" s="71">
        <f t="shared" si="3"/>
        <v>0</v>
      </c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8"/>
      <c r="B670" s="68"/>
      <c r="C670" s="68"/>
      <c r="D670" s="70">
        <f>IFERROR(SUMIFS('Stock In'!F:F,'Stock In'!C:C,$A670,'Stock In'!D:D,$B670,'Stock In'!E:E,$C670),0)</f>
        <v>0</v>
      </c>
      <c r="E670" s="70">
        <f>IFERROR(SUMIFS(Issues!H:H,Issues!C:C,$A670,Issues!D:D,$B670,Issues!E:E,$C670),0)</f>
        <v>0</v>
      </c>
      <c r="F670" s="70">
        <f>IFERROR(SUMIFS(Returns!H:H,Returns!C:C,$A670,Returns!D:D,$B670,Returns!E:E,$C670),0)</f>
        <v>0</v>
      </c>
      <c r="G670" s="70">
        <f t="shared" si="1"/>
        <v>0</v>
      </c>
      <c r="H670" s="71">
        <f t="shared" si="2"/>
        <v>0</v>
      </c>
      <c r="I670" s="72">
        <f>IFERROR( SUMIFS('Stock In'!I:I,'Stock In'!C:C,$A670,'Stock In'!D:D,$B670,'Stock In'!E:E,$C670) / SUMIFS('Stock In'!H:H,'Stock In'!C:C,$A670,'Stock In'!D:D,$B670,'Stock In'!E:E,$C670) , 0)</f>
        <v>0</v>
      </c>
      <c r="J670" s="71">
        <f t="shared" si="3"/>
        <v>0</v>
      </c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8"/>
      <c r="B671" s="68"/>
      <c r="C671" s="68"/>
      <c r="D671" s="70">
        <f>IFERROR(SUMIFS('Stock In'!F:F,'Stock In'!C:C,$A671,'Stock In'!D:D,$B671,'Stock In'!E:E,$C671),0)</f>
        <v>0</v>
      </c>
      <c r="E671" s="70">
        <f>IFERROR(SUMIFS(Issues!H:H,Issues!C:C,$A671,Issues!D:D,$B671,Issues!E:E,$C671),0)</f>
        <v>0</v>
      </c>
      <c r="F671" s="70">
        <f>IFERROR(SUMIFS(Returns!H:H,Returns!C:C,$A671,Returns!D:D,$B671,Returns!E:E,$C671),0)</f>
        <v>0</v>
      </c>
      <c r="G671" s="70">
        <f t="shared" si="1"/>
        <v>0</v>
      </c>
      <c r="H671" s="71">
        <f t="shared" si="2"/>
        <v>0</v>
      </c>
      <c r="I671" s="72">
        <f>IFERROR( SUMIFS('Stock In'!I:I,'Stock In'!C:C,$A671,'Stock In'!D:D,$B671,'Stock In'!E:E,$C671) / SUMIFS('Stock In'!H:H,'Stock In'!C:C,$A671,'Stock In'!D:D,$B671,'Stock In'!E:E,$C671) , 0)</f>
        <v>0</v>
      </c>
      <c r="J671" s="71">
        <f t="shared" si="3"/>
        <v>0</v>
      </c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8"/>
      <c r="B672" s="68"/>
      <c r="C672" s="68"/>
      <c r="D672" s="70">
        <f>IFERROR(SUMIFS('Stock In'!F:F,'Stock In'!C:C,$A672,'Stock In'!D:D,$B672,'Stock In'!E:E,$C672),0)</f>
        <v>0</v>
      </c>
      <c r="E672" s="70">
        <f>IFERROR(SUMIFS(Issues!H:H,Issues!C:C,$A672,Issues!D:D,$B672,Issues!E:E,$C672),0)</f>
        <v>0</v>
      </c>
      <c r="F672" s="70">
        <f>IFERROR(SUMIFS(Returns!H:H,Returns!C:C,$A672,Returns!D:D,$B672,Returns!E:E,$C672),0)</f>
        <v>0</v>
      </c>
      <c r="G672" s="70">
        <f t="shared" si="1"/>
        <v>0</v>
      </c>
      <c r="H672" s="71">
        <f t="shared" si="2"/>
        <v>0</v>
      </c>
      <c r="I672" s="72">
        <f>IFERROR( SUMIFS('Stock In'!I:I,'Stock In'!C:C,$A672,'Stock In'!D:D,$B672,'Stock In'!E:E,$C672) / SUMIFS('Stock In'!H:H,'Stock In'!C:C,$A672,'Stock In'!D:D,$B672,'Stock In'!E:E,$C672) , 0)</f>
        <v>0</v>
      </c>
      <c r="J672" s="71">
        <f t="shared" si="3"/>
        <v>0</v>
      </c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8"/>
      <c r="B673" s="68"/>
      <c r="C673" s="68"/>
      <c r="D673" s="70">
        <f>IFERROR(SUMIFS('Stock In'!F:F,'Stock In'!C:C,$A673,'Stock In'!D:D,$B673,'Stock In'!E:E,$C673),0)</f>
        <v>0</v>
      </c>
      <c r="E673" s="70">
        <f>IFERROR(SUMIFS(Issues!H:H,Issues!C:C,$A673,Issues!D:D,$B673,Issues!E:E,$C673),0)</f>
        <v>0</v>
      </c>
      <c r="F673" s="70">
        <f>IFERROR(SUMIFS(Returns!H:H,Returns!C:C,$A673,Returns!D:D,$B673,Returns!E:E,$C673),0)</f>
        <v>0</v>
      </c>
      <c r="G673" s="70">
        <f t="shared" si="1"/>
        <v>0</v>
      </c>
      <c r="H673" s="71">
        <f t="shared" si="2"/>
        <v>0</v>
      </c>
      <c r="I673" s="72">
        <f>IFERROR( SUMIFS('Stock In'!I:I,'Stock In'!C:C,$A673,'Stock In'!D:D,$B673,'Stock In'!E:E,$C673) / SUMIFS('Stock In'!H:H,'Stock In'!C:C,$A673,'Stock In'!D:D,$B673,'Stock In'!E:E,$C673) , 0)</f>
        <v>0</v>
      </c>
      <c r="J673" s="71">
        <f t="shared" si="3"/>
        <v>0</v>
      </c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8"/>
      <c r="B674" s="68"/>
      <c r="C674" s="68"/>
      <c r="D674" s="70">
        <f>IFERROR(SUMIFS('Stock In'!F:F,'Stock In'!C:C,$A674,'Stock In'!D:D,$B674,'Stock In'!E:E,$C674),0)</f>
        <v>0</v>
      </c>
      <c r="E674" s="70">
        <f>IFERROR(SUMIFS(Issues!H:H,Issues!C:C,$A674,Issues!D:D,$B674,Issues!E:E,$C674),0)</f>
        <v>0</v>
      </c>
      <c r="F674" s="70">
        <f>IFERROR(SUMIFS(Returns!H:H,Returns!C:C,$A674,Returns!D:D,$B674,Returns!E:E,$C674),0)</f>
        <v>0</v>
      </c>
      <c r="G674" s="70">
        <f t="shared" si="1"/>
        <v>0</v>
      </c>
      <c r="H674" s="71">
        <f t="shared" si="2"/>
        <v>0</v>
      </c>
      <c r="I674" s="72">
        <f>IFERROR( SUMIFS('Stock In'!I:I,'Stock In'!C:C,$A674,'Stock In'!D:D,$B674,'Stock In'!E:E,$C674) / SUMIFS('Stock In'!H:H,'Stock In'!C:C,$A674,'Stock In'!D:D,$B674,'Stock In'!E:E,$C674) , 0)</f>
        <v>0</v>
      </c>
      <c r="J674" s="71">
        <f t="shared" si="3"/>
        <v>0</v>
      </c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8"/>
      <c r="B675" s="68"/>
      <c r="C675" s="68"/>
      <c r="D675" s="70">
        <f>IFERROR(SUMIFS('Stock In'!F:F,'Stock In'!C:C,$A675,'Stock In'!D:D,$B675,'Stock In'!E:E,$C675),0)</f>
        <v>0</v>
      </c>
      <c r="E675" s="70">
        <f>IFERROR(SUMIFS(Issues!H:H,Issues!C:C,$A675,Issues!D:D,$B675,Issues!E:E,$C675),0)</f>
        <v>0</v>
      </c>
      <c r="F675" s="70">
        <f>IFERROR(SUMIFS(Returns!H:H,Returns!C:C,$A675,Returns!D:D,$B675,Returns!E:E,$C675),0)</f>
        <v>0</v>
      </c>
      <c r="G675" s="70">
        <f t="shared" si="1"/>
        <v>0</v>
      </c>
      <c r="H675" s="71">
        <f t="shared" si="2"/>
        <v>0</v>
      </c>
      <c r="I675" s="72">
        <f>IFERROR( SUMIFS('Stock In'!I:I,'Stock In'!C:C,$A675,'Stock In'!D:D,$B675,'Stock In'!E:E,$C675) / SUMIFS('Stock In'!H:H,'Stock In'!C:C,$A675,'Stock In'!D:D,$B675,'Stock In'!E:E,$C675) , 0)</f>
        <v>0</v>
      </c>
      <c r="J675" s="71">
        <f t="shared" si="3"/>
        <v>0</v>
      </c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8"/>
      <c r="B676" s="68"/>
      <c r="C676" s="68"/>
      <c r="D676" s="70">
        <f>IFERROR(SUMIFS('Stock In'!F:F,'Stock In'!C:C,$A676,'Stock In'!D:D,$B676,'Stock In'!E:E,$C676),0)</f>
        <v>0</v>
      </c>
      <c r="E676" s="70">
        <f>IFERROR(SUMIFS(Issues!H:H,Issues!C:C,$A676,Issues!D:D,$B676,Issues!E:E,$C676),0)</f>
        <v>0</v>
      </c>
      <c r="F676" s="70">
        <f>IFERROR(SUMIFS(Returns!H:H,Returns!C:C,$A676,Returns!D:D,$B676,Returns!E:E,$C676),0)</f>
        <v>0</v>
      </c>
      <c r="G676" s="70">
        <f t="shared" si="1"/>
        <v>0</v>
      </c>
      <c r="H676" s="71">
        <f t="shared" si="2"/>
        <v>0</v>
      </c>
      <c r="I676" s="72">
        <f>IFERROR( SUMIFS('Stock In'!I:I,'Stock In'!C:C,$A676,'Stock In'!D:D,$B676,'Stock In'!E:E,$C676) / SUMIFS('Stock In'!H:H,'Stock In'!C:C,$A676,'Stock In'!D:D,$B676,'Stock In'!E:E,$C676) , 0)</f>
        <v>0</v>
      </c>
      <c r="J676" s="71">
        <f t="shared" si="3"/>
        <v>0</v>
      </c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8"/>
      <c r="B677" s="68"/>
      <c r="C677" s="68"/>
      <c r="D677" s="70">
        <f>IFERROR(SUMIFS('Stock In'!F:F,'Stock In'!C:C,$A677,'Stock In'!D:D,$B677,'Stock In'!E:E,$C677),0)</f>
        <v>0</v>
      </c>
      <c r="E677" s="70">
        <f>IFERROR(SUMIFS(Issues!H:H,Issues!C:C,$A677,Issues!D:D,$B677,Issues!E:E,$C677),0)</f>
        <v>0</v>
      </c>
      <c r="F677" s="70">
        <f>IFERROR(SUMIFS(Returns!H:H,Returns!C:C,$A677,Returns!D:D,$B677,Returns!E:E,$C677),0)</f>
        <v>0</v>
      </c>
      <c r="G677" s="70">
        <f t="shared" si="1"/>
        <v>0</v>
      </c>
      <c r="H677" s="71">
        <f t="shared" si="2"/>
        <v>0</v>
      </c>
      <c r="I677" s="72">
        <f>IFERROR( SUMIFS('Stock In'!I:I,'Stock In'!C:C,$A677,'Stock In'!D:D,$B677,'Stock In'!E:E,$C677) / SUMIFS('Stock In'!H:H,'Stock In'!C:C,$A677,'Stock In'!D:D,$B677,'Stock In'!E:E,$C677) , 0)</f>
        <v>0</v>
      </c>
      <c r="J677" s="71">
        <f t="shared" si="3"/>
        <v>0</v>
      </c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8"/>
      <c r="B678" s="68"/>
      <c r="C678" s="68"/>
      <c r="D678" s="70">
        <f>IFERROR(SUMIFS('Stock In'!F:F,'Stock In'!C:C,$A678,'Stock In'!D:D,$B678,'Stock In'!E:E,$C678),0)</f>
        <v>0</v>
      </c>
      <c r="E678" s="70">
        <f>IFERROR(SUMIFS(Issues!H:H,Issues!C:C,$A678,Issues!D:D,$B678,Issues!E:E,$C678),0)</f>
        <v>0</v>
      </c>
      <c r="F678" s="70">
        <f>IFERROR(SUMIFS(Returns!H:H,Returns!C:C,$A678,Returns!D:D,$B678,Returns!E:E,$C678),0)</f>
        <v>0</v>
      </c>
      <c r="G678" s="70">
        <f t="shared" si="1"/>
        <v>0</v>
      </c>
      <c r="H678" s="71">
        <f t="shared" si="2"/>
        <v>0</v>
      </c>
      <c r="I678" s="72">
        <f>IFERROR( SUMIFS('Stock In'!I:I,'Stock In'!C:C,$A678,'Stock In'!D:D,$B678,'Stock In'!E:E,$C678) / SUMIFS('Stock In'!H:H,'Stock In'!C:C,$A678,'Stock In'!D:D,$B678,'Stock In'!E:E,$C678) , 0)</f>
        <v>0</v>
      </c>
      <c r="J678" s="71">
        <f t="shared" si="3"/>
        <v>0</v>
      </c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8"/>
      <c r="B679" s="68"/>
      <c r="C679" s="68"/>
      <c r="D679" s="70">
        <f>IFERROR(SUMIFS('Stock In'!F:F,'Stock In'!C:C,$A679,'Stock In'!D:D,$B679,'Stock In'!E:E,$C679),0)</f>
        <v>0</v>
      </c>
      <c r="E679" s="70">
        <f>IFERROR(SUMIFS(Issues!H:H,Issues!C:C,$A679,Issues!D:D,$B679,Issues!E:E,$C679),0)</f>
        <v>0</v>
      </c>
      <c r="F679" s="70">
        <f>IFERROR(SUMIFS(Returns!H:H,Returns!C:C,$A679,Returns!D:D,$B679,Returns!E:E,$C679),0)</f>
        <v>0</v>
      </c>
      <c r="G679" s="70">
        <f t="shared" si="1"/>
        <v>0</v>
      </c>
      <c r="H679" s="71">
        <f t="shared" si="2"/>
        <v>0</v>
      </c>
      <c r="I679" s="72">
        <f>IFERROR( SUMIFS('Stock In'!I:I,'Stock In'!C:C,$A679,'Stock In'!D:D,$B679,'Stock In'!E:E,$C679) / SUMIFS('Stock In'!H:H,'Stock In'!C:C,$A679,'Stock In'!D:D,$B679,'Stock In'!E:E,$C679) , 0)</f>
        <v>0</v>
      </c>
      <c r="J679" s="71">
        <f t="shared" si="3"/>
        <v>0</v>
      </c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8"/>
      <c r="B680" s="68"/>
      <c r="C680" s="68"/>
      <c r="D680" s="70">
        <f>IFERROR(SUMIFS('Stock In'!F:F,'Stock In'!C:C,$A680,'Stock In'!D:D,$B680,'Stock In'!E:E,$C680),0)</f>
        <v>0</v>
      </c>
      <c r="E680" s="70">
        <f>IFERROR(SUMIFS(Issues!H:H,Issues!C:C,$A680,Issues!D:D,$B680,Issues!E:E,$C680),0)</f>
        <v>0</v>
      </c>
      <c r="F680" s="70">
        <f>IFERROR(SUMIFS(Returns!H:H,Returns!C:C,$A680,Returns!D:D,$B680,Returns!E:E,$C680),0)</f>
        <v>0</v>
      </c>
      <c r="G680" s="70">
        <f t="shared" si="1"/>
        <v>0</v>
      </c>
      <c r="H680" s="71">
        <f t="shared" si="2"/>
        <v>0</v>
      </c>
      <c r="I680" s="72">
        <f>IFERROR( SUMIFS('Stock In'!I:I,'Stock In'!C:C,$A680,'Stock In'!D:D,$B680,'Stock In'!E:E,$C680) / SUMIFS('Stock In'!H:H,'Stock In'!C:C,$A680,'Stock In'!D:D,$B680,'Stock In'!E:E,$C680) , 0)</f>
        <v>0</v>
      </c>
      <c r="J680" s="71">
        <f t="shared" si="3"/>
        <v>0</v>
      </c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8"/>
      <c r="B681" s="68"/>
      <c r="C681" s="68"/>
      <c r="D681" s="70">
        <f>IFERROR(SUMIFS('Stock In'!F:F,'Stock In'!C:C,$A681,'Stock In'!D:D,$B681,'Stock In'!E:E,$C681),0)</f>
        <v>0</v>
      </c>
      <c r="E681" s="70">
        <f>IFERROR(SUMIFS(Issues!H:H,Issues!C:C,$A681,Issues!D:D,$B681,Issues!E:E,$C681),0)</f>
        <v>0</v>
      </c>
      <c r="F681" s="70">
        <f>IFERROR(SUMIFS(Returns!H:H,Returns!C:C,$A681,Returns!D:D,$B681,Returns!E:E,$C681),0)</f>
        <v>0</v>
      </c>
      <c r="G681" s="70">
        <f t="shared" si="1"/>
        <v>0</v>
      </c>
      <c r="H681" s="71">
        <f t="shared" si="2"/>
        <v>0</v>
      </c>
      <c r="I681" s="72">
        <f>IFERROR( SUMIFS('Stock In'!I:I,'Stock In'!C:C,$A681,'Stock In'!D:D,$B681,'Stock In'!E:E,$C681) / SUMIFS('Stock In'!H:H,'Stock In'!C:C,$A681,'Stock In'!D:D,$B681,'Stock In'!E:E,$C681) , 0)</f>
        <v>0</v>
      </c>
      <c r="J681" s="71">
        <f t="shared" si="3"/>
        <v>0</v>
      </c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8"/>
      <c r="B682" s="68"/>
      <c r="C682" s="68"/>
      <c r="D682" s="70">
        <f>IFERROR(SUMIFS('Stock In'!F:F,'Stock In'!C:C,$A682,'Stock In'!D:D,$B682,'Stock In'!E:E,$C682),0)</f>
        <v>0</v>
      </c>
      <c r="E682" s="70">
        <f>IFERROR(SUMIFS(Issues!H:H,Issues!C:C,$A682,Issues!D:D,$B682,Issues!E:E,$C682),0)</f>
        <v>0</v>
      </c>
      <c r="F682" s="70">
        <f>IFERROR(SUMIFS(Returns!H:H,Returns!C:C,$A682,Returns!D:D,$B682,Returns!E:E,$C682),0)</f>
        <v>0</v>
      </c>
      <c r="G682" s="70">
        <f t="shared" si="1"/>
        <v>0</v>
      </c>
      <c r="H682" s="71">
        <f t="shared" si="2"/>
        <v>0</v>
      </c>
      <c r="I682" s="72">
        <f>IFERROR( SUMIFS('Stock In'!I:I,'Stock In'!C:C,$A682,'Stock In'!D:D,$B682,'Stock In'!E:E,$C682) / SUMIFS('Stock In'!H:H,'Stock In'!C:C,$A682,'Stock In'!D:D,$B682,'Stock In'!E:E,$C682) , 0)</f>
        <v>0</v>
      </c>
      <c r="J682" s="71">
        <f t="shared" si="3"/>
        <v>0</v>
      </c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8"/>
      <c r="B683" s="68"/>
      <c r="C683" s="68"/>
      <c r="D683" s="70">
        <f>IFERROR(SUMIFS('Stock In'!F:F,'Stock In'!C:C,$A683,'Stock In'!D:D,$B683,'Stock In'!E:E,$C683),0)</f>
        <v>0</v>
      </c>
      <c r="E683" s="70">
        <f>IFERROR(SUMIFS(Issues!H:H,Issues!C:C,$A683,Issues!D:D,$B683,Issues!E:E,$C683),0)</f>
        <v>0</v>
      </c>
      <c r="F683" s="70">
        <f>IFERROR(SUMIFS(Returns!H:H,Returns!C:C,$A683,Returns!D:D,$B683,Returns!E:E,$C683),0)</f>
        <v>0</v>
      </c>
      <c r="G683" s="70">
        <f t="shared" si="1"/>
        <v>0</v>
      </c>
      <c r="H683" s="71">
        <f t="shared" si="2"/>
        <v>0</v>
      </c>
      <c r="I683" s="72">
        <f>IFERROR( SUMIFS('Stock In'!I:I,'Stock In'!C:C,$A683,'Stock In'!D:D,$B683,'Stock In'!E:E,$C683) / SUMIFS('Stock In'!H:H,'Stock In'!C:C,$A683,'Stock In'!D:D,$B683,'Stock In'!E:E,$C683) , 0)</f>
        <v>0</v>
      </c>
      <c r="J683" s="71">
        <f t="shared" si="3"/>
        <v>0</v>
      </c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8"/>
      <c r="B684" s="68"/>
      <c r="C684" s="68"/>
      <c r="D684" s="70">
        <f>IFERROR(SUMIFS('Stock In'!F:F,'Stock In'!C:C,$A684,'Stock In'!D:D,$B684,'Stock In'!E:E,$C684),0)</f>
        <v>0</v>
      </c>
      <c r="E684" s="70">
        <f>IFERROR(SUMIFS(Issues!H:H,Issues!C:C,$A684,Issues!D:D,$B684,Issues!E:E,$C684),0)</f>
        <v>0</v>
      </c>
      <c r="F684" s="70">
        <f>IFERROR(SUMIFS(Returns!H:H,Returns!C:C,$A684,Returns!D:D,$B684,Returns!E:E,$C684),0)</f>
        <v>0</v>
      </c>
      <c r="G684" s="70">
        <f t="shared" si="1"/>
        <v>0</v>
      </c>
      <c r="H684" s="71">
        <f t="shared" si="2"/>
        <v>0</v>
      </c>
      <c r="I684" s="72">
        <f>IFERROR( SUMIFS('Stock In'!I:I,'Stock In'!C:C,$A684,'Stock In'!D:D,$B684,'Stock In'!E:E,$C684) / SUMIFS('Stock In'!H:H,'Stock In'!C:C,$A684,'Stock In'!D:D,$B684,'Stock In'!E:E,$C684) , 0)</f>
        <v>0</v>
      </c>
      <c r="J684" s="71">
        <f t="shared" si="3"/>
        <v>0</v>
      </c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8"/>
      <c r="B685" s="68"/>
      <c r="C685" s="68"/>
      <c r="D685" s="70">
        <f>IFERROR(SUMIFS('Stock In'!F:F,'Stock In'!C:C,$A685,'Stock In'!D:D,$B685,'Stock In'!E:E,$C685),0)</f>
        <v>0</v>
      </c>
      <c r="E685" s="70">
        <f>IFERROR(SUMIFS(Issues!H:H,Issues!C:C,$A685,Issues!D:D,$B685,Issues!E:E,$C685),0)</f>
        <v>0</v>
      </c>
      <c r="F685" s="70">
        <f>IFERROR(SUMIFS(Returns!H:H,Returns!C:C,$A685,Returns!D:D,$B685,Returns!E:E,$C685),0)</f>
        <v>0</v>
      </c>
      <c r="G685" s="70">
        <f t="shared" si="1"/>
        <v>0</v>
      </c>
      <c r="H685" s="71">
        <f t="shared" si="2"/>
        <v>0</v>
      </c>
      <c r="I685" s="72">
        <f>IFERROR( SUMIFS('Stock In'!I:I,'Stock In'!C:C,$A685,'Stock In'!D:D,$B685,'Stock In'!E:E,$C685) / SUMIFS('Stock In'!H:H,'Stock In'!C:C,$A685,'Stock In'!D:D,$B685,'Stock In'!E:E,$C685) , 0)</f>
        <v>0</v>
      </c>
      <c r="J685" s="71">
        <f t="shared" si="3"/>
        <v>0</v>
      </c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8"/>
      <c r="B686" s="68"/>
      <c r="C686" s="68"/>
      <c r="D686" s="70">
        <f>IFERROR(SUMIFS('Stock In'!F:F,'Stock In'!C:C,$A686,'Stock In'!D:D,$B686,'Stock In'!E:E,$C686),0)</f>
        <v>0</v>
      </c>
      <c r="E686" s="70">
        <f>IFERROR(SUMIFS(Issues!H:H,Issues!C:C,$A686,Issues!D:D,$B686,Issues!E:E,$C686),0)</f>
        <v>0</v>
      </c>
      <c r="F686" s="70">
        <f>IFERROR(SUMIFS(Returns!H:H,Returns!C:C,$A686,Returns!D:D,$B686,Returns!E:E,$C686),0)</f>
        <v>0</v>
      </c>
      <c r="G686" s="70">
        <f t="shared" si="1"/>
        <v>0</v>
      </c>
      <c r="H686" s="71">
        <f t="shared" si="2"/>
        <v>0</v>
      </c>
      <c r="I686" s="72">
        <f>IFERROR( SUMIFS('Stock In'!I:I,'Stock In'!C:C,$A686,'Stock In'!D:D,$B686,'Stock In'!E:E,$C686) / SUMIFS('Stock In'!H:H,'Stock In'!C:C,$A686,'Stock In'!D:D,$B686,'Stock In'!E:E,$C686) , 0)</f>
        <v>0</v>
      </c>
      <c r="J686" s="71">
        <f t="shared" si="3"/>
        <v>0</v>
      </c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8"/>
      <c r="B687" s="68"/>
      <c r="C687" s="68"/>
      <c r="D687" s="70">
        <f>IFERROR(SUMIFS('Stock In'!F:F,'Stock In'!C:C,$A687,'Stock In'!D:D,$B687,'Stock In'!E:E,$C687),0)</f>
        <v>0</v>
      </c>
      <c r="E687" s="70">
        <f>IFERROR(SUMIFS(Issues!H:H,Issues!C:C,$A687,Issues!D:D,$B687,Issues!E:E,$C687),0)</f>
        <v>0</v>
      </c>
      <c r="F687" s="70">
        <f>IFERROR(SUMIFS(Returns!H:H,Returns!C:C,$A687,Returns!D:D,$B687,Returns!E:E,$C687),0)</f>
        <v>0</v>
      </c>
      <c r="G687" s="70">
        <f t="shared" si="1"/>
        <v>0</v>
      </c>
      <c r="H687" s="71">
        <f t="shared" si="2"/>
        <v>0</v>
      </c>
      <c r="I687" s="72">
        <f>IFERROR( SUMIFS('Stock In'!I:I,'Stock In'!C:C,$A687,'Stock In'!D:D,$B687,'Stock In'!E:E,$C687) / SUMIFS('Stock In'!H:H,'Stock In'!C:C,$A687,'Stock In'!D:D,$B687,'Stock In'!E:E,$C687) , 0)</f>
        <v>0</v>
      </c>
      <c r="J687" s="71">
        <f t="shared" si="3"/>
        <v>0</v>
      </c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8"/>
      <c r="B688" s="68"/>
      <c r="C688" s="68"/>
      <c r="D688" s="70">
        <f>IFERROR(SUMIFS('Stock In'!F:F,'Stock In'!C:C,$A688,'Stock In'!D:D,$B688,'Stock In'!E:E,$C688),0)</f>
        <v>0</v>
      </c>
      <c r="E688" s="70">
        <f>IFERROR(SUMIFS(Issues!H:H,Issues!C:C,$A688,Issues!D:D,$B688,Issues!E:E,$C688),0)</f>
        <v>0</v>
      </c>
      <c r="F688" s="70">
        <f>IFERROR(SUMIFS(Returns!H:H,Returns!C:C,$A688,Returns!D:D,$B688,Returns!E:E,$C688),0)</f>
        <v>0</v>
      </c>
      <c r="G688" s="70">
        <f t="shared" si="1"/>
        <v>0</v>
      </c>
      <c r="H688" s="71">
        <f t="shared" si="2"/>
        <v>0</v>
      </c>
      <c r="I688" s="72">
        <f>IFERROR( SUMIFS('Stock In'!I:I,'Stock In'!C:C,$A688,'Stock In'!D:D,$B688,'Stock In'!E:E,$C688) / SUMIFS('Stock In'!H:H,'Stock In'!C:C,$A688,'Stock In'!D:D,$B688,'Stock In'!E:E,$C688) , 0)</f>
        <v>0</v>
      </c>
      <c r="J688" s="71">
        <f t="shared" si="3"/>
        <v>0</v>
      </c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8"/>
      <c r="B689" s="68"/>
      <c r="C689" s="68"/>
      <c r="D689" s="70">
        <f>IFERROR(SUMIFS('Stock In'!F:F,'Stock In'!C:C,$A689,'Stock In'!D:D,$B689,'Stock In'!E:E,$C689),0)</f>
        <v>0</v>
      </c>
      <c r="E689" s="70">
        <f>IFERROR(SUMIFS(Issues!H:H,Issues!C:C,$A689,Issues!D:D,$B689,Issues!E:E,$C689),0)</f>
        <v>0</v>
      </c>
      <c r="F689" s="70">
        <f>IFERROR(SUMIFS(Returns!H:H,Returns!C:C,$A689,Returns!D:D,$B689,Returns!E:E,$C689),0)</f>
        <v>0</v>
      </c>
      <c r="G689" s="70">
        <f t="shared" si="1"/>
        <v>0</v>
      </c>
      <c r="H689" s="71">
        <f t="shared" si="2"/>
        <v>0</v>
      </c>
      <c r="I689" s="72">
        <f>IFERROR( SUMIFS('Stock In'!I:I,'Stock In'!C:C,$A689,'Stock In'!D:D,$B689,'Stock In'!E:E,$C689) / SUMIFS('Stock In'!H:H,'Stock In'!C:C,$A689,'Stock In'!D:D,$B689,'Stock In'!E:E,$C689) , 0)</f>
        <v>0</v>
      </c>
      <c r="J689" s="71">
        <f t="shared" si="3"/>
        <v>0</v>
      </c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8"/>
      <c r="B690" s="68"/>
      <c r="C690" s="68"/>
      <c r="D690" s="70">
        <f>IFERROR(SUMIFS('Stock In'!F:F,'Stock In'!C:C,$A690,'Stock In'!D:D,$B690,'Stock In'!E:E,$C690),0)</f>
        <v>0</v>
      </c>
      <c r="E690" s="70">
        <f>IFERROR(SUMIFS(Issues!H:H,Issues!C:C,$A690,Issues!D:D,$B690,Issues!E:E,$C690),0)</f>
        <v>0</v>
      </c>
      <c r="F690" s="70">
        <f>IFERROR(SUMIFS(Returns!H:H,Returns!C:C,$A690,Returns!D:D,$B690,Returns!E:E,$C690),0)</f>
        <v>0</v>
      </c>
      <c r="G690" s="70">
        <f t="shared" si="1"/>
        <v>0</v>
      </c>
      <c r="H690" s="71">
        <f t="shared" si="2"/>
        <v>0</v>
      </c>
      <c r="I690" s="72">
        <f>IFERROR( SUMIFS('Stock In'!I:I,'Stock In'!C:C,$A690,'Stock In'!D:D,$B690,'Stock In'!E:E,$C690) / SUMIFS('Stock In'!H:H,'Stock In'!C:C,$A690,'Stock In'!D:D,$B690,'Stock In'!E:E,$C690) , 0)</f>
        <v>0</v>
      </c>
      <c r="J690" s="71">
        <f t="shared" si="3"/>
        <v>0</v>
      </c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8"/>
      <c r="B691" s="68"/>
      <c r="C691" s="68"/>
      <c r="D691" s="70">
        <f>IFERROR(SUMIFS('Stock In'!F:F,'Stock In'!C:C,$A691,'Stock In'!D:D,$B691,'Stock In'!E:E,$C691),0)</f>
        <v>0</v>
      </c>
      <c r="E691" s="70">
        <f>IFERROR(SUMIFS(Issues!H:H,Issues!C:C,$A691,Issues!D:D,$B691,Issues!E:E,$C691),0)</f>
        <v>0</v>
      </c>
      <c r="F691" s="70">
        <f>IFERROR(SUMIFS(Returns!H:H,Returns!C:C,$A691,Returns!D:D,$B691,Returns!E:E,$C691),0)</f>
        <v>0</v>
      </c>
      <c r="G691" s="70">
        <f t="shared" si="1"/>
        <v>0</v>
      </c>
      <c r="H691" s="71">
        <f t="shared" si="2"/>
        <v>0</v>
      </c>
      <c r="I691" s="72">
        <f>IFERROR( SUMIFS('Stock In'!I:I,'Stock In'!C:C,$A691,'Stock In'!D:D,$B691,'Stock In'!E:E,$C691) / SUMIFS('Stock In'!H:H,'Stock In'!C:C,$A691,'Stock In'!D:D,$B691,'Stock In'!E:E,$C691) , 0)</f>
        <v>0</v>
      </c>
      <c r="J691" s="71">
        <f t="shared" si="3"/>
        <v>0</v>
      </c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8"/>
      <c r="B692" s="68"/>
      <c r="C692" s="68"/>
      <c r="D692" s="70">
        <f>IFERROR(SUMIFS('Stock In'!F:F,'Stock In'!C:C,$A692,'Stock In'!D:D,$B692,'Stock In'!E:E,$C692),0)</f>
        <v>0</v>
      </c>
      <c r="E692" s="70">
        <f>IFERROR(SUMIFS(Issues!H:H,Issues!C:C,$A692,Issues!D:D,$B692,Issues!E:E,$C692),0)</f>
        <v>0</v>
      </c>
      <c r="F692" s="70">
        <f>IFERROR(SUMIFS(Returns!H:H,Returns!C:C,$A692,Returns!D:D,$B692,Returns!E:E,$C692),0)</f>
        <v>0</v>
      </c>
      <c r="G692" s="70">
        <f t="shared" si="1"/>
        <v>0</v>
      </c>
      <c r="H692" s="71">
        <f t="shared" si="2"/>
        <v>0</v>
      </c>
      <c r="I692" s="72">
        <f>IFERROR( SUMIFS('Stock In'!I:I,'Stock In'!C:C,$A692,'Stock In'!D:D,$B692,'Stock In'!E:E,$C692) / SUMIFS('Stock In'!H:H,'Stock In'!C:C,$A692,'Stock In'!D:D,$B692,'Stock In'!E:E,$C692) , 0)</f>
        <v>0</v>
      </c>
      <c r="J692" s="71">
        <f t="shared" si="3"/>
        <v>0</v>
      </c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8"/>
      <c r="B693" s="68"/>
      <c r="C693" s="68"/>
      <c r="D693" s="70">
        <f>IFERROR(SUMIFS('Stock In'!F:F,'Stock In'!C:C,$A693,'Stock In'!D:D,$B693,'Stock In'!E:E,$C693),0)</f>
        <v>0</v>
      </c>
      <c r="E693" s="70">
        <f>IFERROR(SUMIFS(Issues!H:H,Issues!C:C,$A693,Issues!D:D,$B693,Issues!E:E,$C693),0)</f>
        <v>0</v>
      </c>
      <c r="F693" s="70">
        <f>IFERROR(SUMIFS(Returns!H:H,Returns!C:C,$A693,Returns!D:D,$B693,Returns!E:E,$C693),0)</f>
        <v>0</v>
      </c>
      <c r="G693" s="70">
        <f t="shared" si="1"/>
        <v>0</v>
      </c>
      <c r="H693" s="71">
        <f t="shared" si="2"/>
        <v>0</v>
      </c>
      <c r="I693" s="72">
        <f>IFERROR( SUMIFS('Stock In'!I:I,'Stock In'!C:C,$A693,'Stock In'!D:D,$B693,'Stock In'!E:E,$C693) / SUMIFS('Stock In'!H:H,'Stock In'!C:C,$A693,'Stock In'!D:D,$B693,'Stock In'!E:E,$C693) , 0)</f>
        <v>0</v>
      </c>
      <c r="J693" s="71">
        <f t="shared" si="3"/>
        <v>0</v>
      </c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8"/>
      <c r="B694" s="68"/>
      <c r="C694" s="68"/>
      <c r="D694" s="70">
        <f>IFERROR(SUMIFS('Stock In'!F:F,'Stock In'!C:C,$A694,'Stock In'!D:D,$B694,'Stock In'!E:E,$C694),0)</f>
        <v>0</v>
      </c>
      <c r="E694" s="70">
        <f>IFERROR(SUMIFS(Issues!H:H,Issues!C:C,$A694,Issues!D:D,$B694,Issues!E:E,$C694),0)</f>
        <v>0</v>
      </c>
      <c r="F694" s="70">
        <f>IFERROR(SUMIFS(Returns!H:H,Returns!C:C,$A694,Returns!D:D,$B694,Returns!E:E,$C694),0)</f>
        <v>0</v>
      </c>
      <c r="G694" s="70">
        <f t="shared" si="1"/>
        <v>0</v>
      </c>
      <c r="H694" s="71">
        <f t="shared" si="2"/>
        <v>0</v>
      </c>
      <c r="I694" s="72">
        <f>IFERROR( SUMIFS('Stock In'!I:I,'Stock In'!C:C,$A694,'Stock In'!D:D,$B694,'Stock In'!E:E,$C694) / SUMIFS('Stock In'!H:H,'Stock In'!C:C,$A694,'Stock In'!D:D,$B694,'Stock In'!E:E,$C694) , 0)</f>
        <v>0</v>
      </c>
      <c r="J694" s="71">
        <f t="shared" si="3"/>
        <v>0</v>
      </c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8"/>
      <c r="B695" s="68"/>
      <c r="C695" s="68"/>
      <c r="D695" s="70">
        <f>IFERROR(SUMIFS('Stock In'!F:F,'Stock In'!C:C,$A695,'Stock In'!D:D,$B695,'Stock In'!E:E,$C695),0)</f>
        <v>0</v>
      </c>
      <c r="E695" s="70">
        <f>IFERROR(SUMIFS(Issues!H:H,Issues!C:C,$A695,Issues!D:D,$B695,Issues!E:E,$C695),0)</f>
        <v>0</v>
      </c>
      <c r="F695" s="70">
        <f>IFERROR(SUMIFS(Returns!H:H,Returns!C:C,$A695,Returns!D:D,$B695,Returns!E:E,$C695),0)</f>
        <v>0</v>
      </c>
      <c r="G695" s="70">
        <f t="shared" si="1"/>
        <v>0</v>
      </c>
      <c r="H695" s="71">
        <f t="shared" si="2"/>
        <v>0</v>
      </c>
      <c r="I695" s="72">
        <f>IFERROR( SUMIFS('Stock In'!I:I,'Stock In'!C:C,$A695,'Stock In'!D:D,$B695,'Stock In'!E:E,$C695) / SUMIFS('Stock In'!H:H,'Stock In'!C:C,$A695,'Stock In'!D:D,$B695,'Stock In'!E:E,$C695) , 0)</f>
        <v>0</v>
      </c>
      <c r="J695" s="71">
        <f t="shared" si="3"/>
        <v>0</v>
      </c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8"/>
      <c r="B696" s="68"/>
      <c r="C696" s="68"/>
      <c r="D696" s="70">
        <f>IFERROR(SUMIFS('Stock In'!F:F,'Stock In'!C:C,$A696,'Stock In'!D:D,$B696,'Stock In'!E:E,$C696),0)</f>
        <v>0</v>
      </c>
      <c r="E696" s="70">
        <f>IFERROR(SUMIFS(Issues!H:H,Issues!C:C,$A696,Issues!D:D,$B696,Issues!E:E,$C696),0)</f>
        <v>0</v>
      </c>
      <c r="F696" s="70">
        <f>IFERROR(SUMIFS(Returns!H:H,Returns!C:C,$A696,Returns!D:D,$B696,Returns!E:E,$C696),0)</f>
        <v>0</v>
      </c>
      <c r="G696" s="70">
        <f t="shared" si="1"/>
        <v>0</v>
      </c>
      <c r="H696" s="71">
        <f t="shared" si="2"/>
        <v>0</v>
      </c>
      <c r="I696" s="72">
        <f>IFERROR( SUMIFS('Stock In'!I:I,'Stock In'!C:C,$A696,'Stock In'!D:D,$B696,'Stock In'!E:E,$C696) / SUMIFS('Stock In'!H:H,'Stock In'!C:C,$A696,'Stock In'!D:D,$B696,'Stock In'!E:E,$C696) , 0)</f>
        <v>0</v>
      </c>
      <c r="J696" s="71">
        <f t="shared" si="3"/>
        <v>0</v>
      </c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8"/>
      <c r="B697" s="68"/>
      <c r="C697" s="68"/>
      <c r="D697" s="70">
        <f>IFERROR(SUMIFS('Stock In'!F:F,'Stock In'!C:C,$A697,'Stock In'!D:D,$B697,'Stock In'!E:E,$C697),0)</f>
        <v>0</v>
      </c>
      <c r="E697" s="70">
        <f>IFERROR(SUMIFS(Issues!H:H,Issues!C:C,$A697,Issues!D:D,$B697,Issues!E:E,$C697),0)</f>
        <v>0</v>
      </c>
      <c r="F697" s="70">
        <f>IFERROR(SUMIFS(Returns!H:H,Returns!C:C,$A697,Returns!D:D,$B697,Returns!E:E,$C697),0)</f>
        <v>0</v>
      </c>
      <c r="G697" s="70">
        <f t="shared" si="1"/>
        <v>0</v>
      </c>
      <c r="H697" s="71">
        <f t="shared" si="2"/>
        <v>0</v>
      </c>
      <c r="I697" s="72">
        <f>IFERROR( SUMIFS('Stock In'!I:I,'Stock In'!C:C,$A697,'Stock In'!D:D,$B697,'Stock In'!E:E,$C697) / SUMIFS('Stock In'!H:H,'Stock In'!C:C,$A697,'Stock In'!D:D,$B697,'Stock In'!E:E,$C697) , 0)</f>
        <v>0</v>
      </c>
      <c r="J697" s="71">
        <f t="shared" si="3"/>
        <v>0</v>
      </c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8"/>
      <c r="B698" s="68"/>
      <c r="C698" s="68"/>
      <c r="D698" s="70">
        <f>IFERROR(SUMIFS('Stock In'!F:F,'Stock In'!C:C,$A698,'Stock In'!D:D,$B698,'Stock In'!E:E,$C698),0)</f>
        <v>0</v>
      </c>
      <c r="E698" s="70">
        <f>IFERROR(SUMIFS(Issues!H:H,Issues!C:C,$A698,Issues!D:D,$B698,Issues!E:E,$C698),0)</f>
        <v>0</v>
      </c>
      <c r="F698" s="70">
        <f>IFERROR(SUMIFS(Returns!H:H,Returns!C:C,$A698,Returns!D:D,$B698,Returns!E:E,$C698),0)</f>
        <v>0</v>
      </c>
      <c r="G698" s="70">
        <f t="shared" si="1"/>
        <v>0</v>
      </c>
      <c r="H698" s="71">
        <f t="shared" si="2"/>
        <v>0</v>
      </c>
      <c r="I698" s="72">
        <f>IFERROR( SUMIFS('Stock In'!I:I,'Stock In'!C:C,$A698,'Stock In'!D:D,$B698,'Stock In'!E:E,$C698) / SUMIFS('Stock In'!H:H,'Stock In'!C:C,$A698,'Stock In'!D:D,$B698,'Stock In'!E:E,$C698) , 0)</f>
        <v>0</v>
      </c>
      <c r="J698" s="71">
        <f t="shared" si="3"/>
        <v>0</v>
      </c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8"/>
      <c r="B699" s="68"/>
      <c r="C699" s="68"/>
      <c r="D699" s="70">
        <f>IFERROR(SUMIFS('Stock In'!F:F,'Stock In'!C:C,$A699,'Stock In'!D:D,$B699,'Stock In'!E:E,$C699),0)</f>
        <v>0</v>
      </c>
      <c r="E699" s="70">
        <f>IFERROR(SUMIFS(Issues!H:H,Issues!C:C,$A699,Issues!D:D,$B699,Issues!E:E,$C699),0)</f>
        <v>0</v>
      </c>
      <c r="F699" s="70">
        <f>IFERROR(SUMIFS(Returns!H:H,Returns!C:C,$A699,Returns!D:D,$B699,Returns!E:E,$C699),0)</f>
        <v>0</v>
      </c>
      <c r="G699" s="70">
        <f t="shared" si="1"/>
        <v>0</v>
      </c>
      <c r="H699" s="71">
        <f t="shared" si="2"/>
        <v>0</v>
      </c>
      <c r="I699" s="72">
        <f>IFERROR( SUMIFS('Stock In'!I:I,'Stock In'!C:C,$A699,'Stock In'!D:D,$B699,'Stock In'!E:E,$C699) / SUMIFS('Stock In'!H:H,'Stock In'!C:C,$A699,'Stock In'!D:D,$B699,'Stock In'!E:E,$C699) , 0)</f>
        <v>0</v>
      </c>
      <c r="J699" s="71">
        <f t="shared" si="3"/>
        <v>0</v>
      </c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8"/>
      <c r="B700" s="68"/>
      <c r="C700" s="68"/>
      <c r="D700" s="70">
        <f>IFERROR(SUMIFS('Stock In'!F:F,'Stock In'!C:C,$A700,'Stock In'!D:D,$B700,'Stock In'!E:E,$C700),0)</f>
        <v>0</v>
      </c>
      <c r="E700" s="70">
        <f>IFERROR(SUMIFS(Issues!H:H,Issues!C:C,$A700,Issues!D:D,$B700,Issues!E:E,$C700),0)</f>
        <v>0</v>
      </c>
      <c r="F700" s="70">
        <f>IFERROR(SUMIFS(Returns!H:H,Returns!C:C,$A700,Returns!D:D,$B700,Returns!E:E,$C700),0)</f>
        <v>0</v>
      </c>
      <c r="G700" s="70">
        <f t="shared" si="1"/>
        <v>0</v>
      </c>
      <c r="H700" s="71">
        <f t="shared" si="2"/>
        <v>0</v>
      </c>
      <c r="I700" s="72">
        <f>IFERROR( SUMIFS('Stock In'!I:I,'Stock In'!C:C,$A700,'Stock In'!D:D,$B700,'Stock In'!E:E,$C700) / SUMIFS('Stock In'!H:H,'Stock In'!C:C,$A700,'Stock In'!D:D,$B700,'Stock In'!E:E,$C700) , 0)</f>
        <v>0</v>
      </c>
      <c r="J700" s="71">
        <f t="shared" si="3"/>
        <v>0</v>
      </c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8"/>
      <c r="B701" s="68"/>
      <c r="C701" s="68"/>
      <c r="D701" s="70">
        <f>IFERROR(SUMIFS('Stock In'!F:F,'Stock In'!C:C,$A701,'Stock In'!D:D,$B701,'Stock In'!E:E,$C701),0)</f>
        <v>0</v>
      </c>
      <c r="E701" s="70">
        <f>IFERROR(SUMIFS(Issues!H:H,Issues!C:C,$A701,Issues!D:D,$B701,Issues!E:E,$C701),0)</f>
        <v>0</v>
      </c>
      <c r="F701" s="70">
        <f>IFERROR(SUMIFS(Returns!H:H,Returns!C:C,$A701,Returns!D:D,$B701,Returns!E:E,$C701),0)</f>
        <v>0</v>
      </c>
      <c r="G701" s="70">
        <f t="shared" si="1"/>
        <v>0</v>
      </c>
      <c r="H701" s="71">
        <f t="shared" si="2"/>
        <v>0</v>
      </c>
      <c r="I701" s="72">
        <f>IFERROR( SUMIFS('Stock In'!I:I,'Stock In'!C:C,$A701,'Stock In'!D:D,$B701,'Stock In'!E:E,$C701) / SUMIFS('Stock In'!H:H,'Stock In'!C:C,$A701,'Stock In'!D:D,$B701,'Stock In'!E:E,$C701) , 0)</f>
        <v>0</v>
      </c>
      <c r="J701" s="71">
        <f t="shared" si="3"/>
        <v>0</v>
      </c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8"/>
      <c r="B702" s="68"/>
      <c r="C702" s="68"/>
      <c r="D702" s="70">
        <f>IFERROR(SUMIFS('Stock In'!F:F,'Stock In'!C:C,$A702,'Stock In'!D:D,$B702,'Stock In'!E:E,$C702),0)</f>
        <v>0</v>
      </c>
      <c r="E702" s="70">
        <f>IFERROR(SUMIFS(Issues!H:H,Issues!C:C,$A702,Issues!D:D,$B702,Issues!E:E,$C702),0)</f>
        <v>0</v>
      </c>
      <c r="F702" s="70">
        <f>IFERROR(SUMIFS(Returns!H:H,Returns!C:C,$A702,Returns!D:D,$B702,Returns!E:E,$C702),0)</f>
        <v>0</v>
      </c>
      <c r="G702" s="70">
        <f t="shared" si="1"/>
        <v>0</v>
      </c>
      <c r="H702" s="71">
        <f t="shared" si="2"/>
        <v>0</v>
      </c>
      <c r="I702" s="72">
        <f>IFERROR( SUMIFS('Stock In'!I:I,'Stock In'!C:C,$A702,'Stock In'!D:D,$B702,'Stock In'!E:E,$C702) / SUMIFS('Stock In'!H:H,'Stock In'!C:C,$A702,'Stock In'!D:D,$B702,'Stock In'!E:E,$C702) , 0)</f>
        <v>0</v>
      </c>
      <c r="J702" s="71">
        <f t="shared" si="3"/>
        <v>0</v>
      </c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8"/>
      <c r="B703" s="68"/>
      <c r="C703" s="68"/>
      <c r="D703" s="70">
        <f>IFERROR(SUMIFS('Stock In'!F:F,'Stock In'!C:C,$A703,'Stock In'!D:D,$B703,'Stock In'!E:E,$C703),0)</f>
        <v>0</v>
      </c>
      <c r="E703" s="70">
        <f>IFERROR(SUMIFS(Issues!H:H,Issues!C:C,$A703,Issues!D:D,$B703,Issues!E:E,$C703),0)</f>
        <v>0</v>
      </c>
      <c r="F703" s="70">
        <f>IFERROR(SUMIFS(Returns!H:H,Returns!C:C,$A703,Returns!D:D,$B703,Returns!E:E,$C703),0)</f>
        <v>0</v>
      </c>
      <c r="G703" s="70">
        <f t="shared" si="1"/>
        <v>0</v>
      </c>
      <c r="H703" s="71">
        <f t="shared" si="2"/>
        <v>0</v>
      </c>
      <c r="I703" s="72">
        <f>IFERROR( SUMIFS('Stock In'!I:I,'Stock In'!C:C,$A703,'Stock In'!D:D,$B703,'Stock In'!E:E,$C703) / SUMIFS('Stock In'!H:H,'Stock In'!C:C,$A703,'Stock In'!D:D,$B703,'Stock In'!E:E,$C703) , 0)</f>
        <v>0</v>
      </c>
      <c r="J703" s="71">
        <f t="shared" si="3"/>
        <v>0</v>
      </c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8"/>
      <c r="B704" s="68"/>
      <c r="C704" s="68"/>
      <c r="D704" s="70">
        <f>IFERROR(SUMIFS('Stock In'!F:F,'Stock In'!C:C,$A704,'Stock In'!D:D,$B704,'Stock In'!E:E,$C704),0)</f>
        <v>0</v>
      </c>
      <c r="E704" s="70">
        <f>IFERROR(SUMIFS(Issues!H:H,Issues!C:C,$A704,Issues!D:D,$B704,Issues!E:E,$C704),0)</f>
        <v>0</v>
      </c>
      <c r="F704" s="70">
        <f>IFERROR(SUMIFS(Returns!H:H,Returns!C:C,$A704,Returns!D:D,$B704,Returns!E:E,$C704),0)</f>
        <v>0</v>
      </c>
      <c r="G704" s="70">
        <f t="shared" si="1"/>
        <v>0</v>
      </c>
      <c r="H704" s="71">
        <f t="shared" si="2"/>
        <v>0</v>
      </c>
      <c r="I704" s="72">
        <f>IFERROR( SUMIFS('Stock In'!I:I,'Stock In'!C:C,$A704,'Stock In'!D:D,$B704,'Stock In'!E:E,$C704) / SUMIFS('Stock In'!H:H,'Stock In'!C:C,$A704,'Stock In'!D:D,$B704,'Stock In'!E:E,$C704) , 0)</f>
        <v>0</v>
      </c>
      <c r="J704" s="71">
        <f t="shared" si="3"/>
        <v>0</v>
      </c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8"/>
      <c r="B705" s="68"/>
      <c r="C705" s="68"/>
      <c r="D705" s="70">
        <f>IFERROR(SUMIFS('Stock In'!F:F,'Stock In'!C:C,$A705,'Stock In'!D:D,$B705,'Stock In'!E:E,$C705),0)</f>
        <v>0</v>
      </c>
      <c r="E705" s="70">
        <f>IFERROR(SUMIFS(Issues!H:H,Issues!C:C,$A705,Issues!D:D,$B705,Issues!E:E,$C705),0)</f>
        <v>0</v>
      </c>
      <c r="F705" s="70">
        <f>IFERROR(SUMIFS(Returns!H:H,Returns!C:C,$A705,Returns!D:D,$B705,Returns!E:E,$C705),0)</f>
        <v>0</v>
      </c>
      <c r="G705" s="70">
        <f t="shared" si="1"/>
        <v>0</v>
      </c>
      <c r="H705" s="71">
        <f t="shared" si="2"/>
        <v>0</v>
      </c>
      <c r="I705" s="72">
        <f>IFERROR( SUMIFS('Stock In'!I:I,'Stock In'!C:C,$A705,'Stock In'!D:D,$B705,'Stock In'!E:E,$C705) / SUMIFS('Stock In'!H:H,'Stock In'!C:C,$A705,'Stock In'!D:D,$B705,'Stock In'!E:E,$C705) , 0)</f>
        <v>0</v>
      </c>
      <c r="J705" s="71">
        <f t="shared" si="3"/>
        <v>0</v>
      </c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8"/>
      <c r="B706" s="68"/>
      <c r="C706" s="68"/>
      <c r="D706" s="70">
        <f>IFERROR(SUMIFS('Stock In'!F:F,'Stock In'!C:C,$A706,'Stock In'!D:D,$B706,'Stock In'!E:E,$C706),0)</f>
        <v>0</v>
      </c>
      <c r="E706" s="70">
        <f>IFERROR(SUMIFS(Issues!H:H,Issues!C:C,$A706,Issues!D:D,$B706,Issues!E:E,$C706),0)</f>
        <v>0</v>
      </c>
      <c r="F706" s="70">
        <f>IFERROR(SUMIFS(Returns!H:H,Returns!C:C,$A706,Returns!D:D,$B706,Returns!E:E,$C706),0)</f>
        <v>0</v>
      </c>
      <c r="G706" s="70">
        <f t="shared" si="1"/>
        <v>0</v>
      </c>
      <c r="H706" s="71">
        <f t="shared" si="2"/>
        <v>0</v>
      </c>
      <c r="I706" s="72">
        <f>IFERROR( SUMIFS('Stock In'!I:I,'Stock In'!C:C,$A706,'Stock In'!D:D,$B706,'Stock In'!E:E,$C706) / SUMIFS('Stock In'!H:H,'Stock In'!C:C,$A706,'Stock In'!D:D,$B706,'Stock In'!E:E,$C706) , 0)</f>
        <v>0</v>
      </c>
      <c r="J706" s="71">
        <f t="shared" si="3"/>
        <v>0</v>
      </c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8"/>
      <c r="B707" s="68"/>
      <c r="C707" s="68"/>
      <c r="D707" s="70">
        <f>IFERROR(SUMIFS('Stock In'!F:F,'Stock In'!C:C,$A707,'Stock In'!D:D,$B707,'Stock In'!E:E,$C707),0)</f>
        <v>0</v>
      </c>
      <c r="E707" s="70">
        <f>IFERROR(SUMIFS(Issues!H:H,Issues!C:C,$A707,Issues!D:D,$B707,Issues!E:E,$C707),0)</f>
        <v>0</v>
      </c>
      <c r="F707" s="70">
        <f>IFERROR(SUMIFS(Returns!H:H,Returns!C:C,$A707,Returns!D:D,$B707,Returns!E:E,$C707),0)</f>
        <v>0</v>
      </c>
      <c r="G707" s="70">
        <f t="shared" si="1"/>
        <v>0</v>
      </c>
      <c r="H707" s="71">
        <f t="shared" si="2"/>
        <v>0</v>
      </c>
      <c r="I707" s="72">
        <f>IFERROR( SUMIFS('Stock In'!I:I,'Stock In'!C:C,$A707,'Stock In'!D:D,$B707,'Stock In'!E:E,$C707) / SUMIFS('Stock In'!H:H,'Stock In'!C:C,$A707,'Stock In'!D:D,$B707,'Stock In'!E:E,$C707) , 0)</f>
        <v>0</v>
      </c>
      <c r="J707" s="71">
        <f t="shared" si="3"/>
        <v>0</v>
      </c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8"/>
      <c r="B708" s="68"/>
      <c r="C708" s="68"/>
      <c r="D708" s="70">
        <f>IFERROR(SUMIFS('Stock In'!F:F,'Stock In'!C:C,$A708,'Stock In'!D:D,$B708,'Stock In'!E:E,$C708),0)</f>
        <v>0</v>
      </c>
      <c r="E708" s="70">
        <f>IFERROR(SUMIFS(Issues!H:H,Issues!C:C,$A708,Issues!D:D,$B708,Issues!E:E,$C708),0)</f>
        <v>0</v>
      </c>
      <c r="F708" s="70">
        <f>IFERROR(SUMIFS(Returns!H:H,Returns!C:C,$A708,Returns!D:D,$B708,Returns!E:E,$C708),0)</f>
        <v>0</v>
      </c>
      <c r="G708" s="70">
        <f t="shared" si="1"/>
        <v>0</v>
      </c>
      <c r="H708" s="71">
        <f t="shared" si="2"/>
        <v>0</v>
      </c>
      <c r="I708" s="72">
        <f>IFERROR( SUMIFS('Stock In'!I:I,'Stock In'!C:C,$A708,'Stock In'!D:D,$B708,'Stock In'!E:E,$C708) / SUMIFS('Stock In'!H:H,'Stock In'!C:C,$A708,'Stock In'!D:D,$B708,'Stock In'!E:E,$C708) , 0)</f>
        <v>0</v>
      </c>
      <c r="J708" s="71">
        <f t="shared" si="3"/>
        <v>0</v>
      </c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8"/>
      <c r="B709" s="68"/>
      <c r="C709" s="68"/>
      <c r="D709" s="70">
        <f>IFERROR(SUMIFS('Stock In'!F:F,'Stock In'!C:C,$A709,'Stock In'!D:D,$B709,'Stock In'!E:E,$C709),0)</f>
        <v>0</v>
      </c>
      <c r="E709" s="70">
        <f>IFERROR(SUMIFS(Issues!H:H,Issues!C:C,$A709,Issues!D:D,$B709,Issues!E:E,$C709),0)</f>
        <v>0</v>
      </c>
      <c r="F709" s="70">
        <f>IFERROR(SUMIFS(Returns!H:H,Returns!C:C,$A709,Returns!D:D,$B709,Returns!E:E,$C709),0)</f>
        <v>0</v>
      </c>
      <c r="G709" s="70">
        <f t="shared" si="1"/>
        <v>0</v>
      </c>
      <c r="H709" s="71">
        <f t="shared" si="2"/>
        <v>0</v>
      </c>
      <c r="I709" s="72">
        <f>IFERROR( SUMIFS('Stock In'!I:I,'Stock In'!C:C,$A709,'Stock In'!D:D,$B709,'Stock In'!E:E,$C709) / SUMIFS('Stock In'!H:H,'Stock In'!C:C,$A709,'Stock In'!D:D,$B709,'Stock In'!E:E,$C709) , 0)</f>
        <v>0</v>
      </c>
      <c r="J709" s="71">
        <f t="shared" si="3"/>
        <v>0</v>
      </c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8"/>
      <c r="B710" s="68"/>
      <c r="C710" s="68"/>
      <c r="D710" s="70">
        <f>IFERROR(SUMIFS('Stock In'!F:F,'Stock In'!C:C,$A710,'Stock In'!D:D,$B710,'Stock In'!E:E,$C710),0)</f>
        <v>0</v>
      </c>
      <c r="E710" s="70">
        <f>IFERROR(SUMIFS(Issues!H:H,Issues!C:C,$A710,Issues!D:D,$B710,Issues!E:E,$C710),0)</f>
        <v>0</v>
      </c>
      <c r="F710" s="70">
        <f>IFERROR(SUMIFS(Returns!H:H,Returns!C:C,$A710,Returns!D:D,$B710,Returns!E:E,$C710),0)</f>
        <v>0</v>
      </c>
      <c r="G710" s="70">
        <f t="shared" si="1"/>
        <v>0</v>
      </c>
      <c r="H710" s="71">
        <f t="shared" si="2"/>
        <v>0</v>
      </c>
      <c r="I710" s="72">
        <f>IFERROR( SUMIFS('Stock In'!I:I,'Stock In'!C:C,$A710,'Stock In'!D:D,$B710,'Stock In'!E:E,$C710) / SUMIFS('Stock In'!H:H,'Stock In'!C:C,$A710,'Stock In'!D:D,$B710,'Stock In'!E:E,$C710) , 0)</f>
        <v>0</v>
      </c>
      <c r="J710" s="71">
        <f t="shared" si="3"/>
        <v>0</v>
      </c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8"/>
      <c r="B711" s="68"/>
      <c r="C711" s="68"/>
      <c r="D711" s="70">
        <f>IFERROR(SUMIFS('Stock In'!F:F,'Stock In'!C:C,$A711,'Stock In'!D:D,$B711,'Stock In'!E:E,$C711),0)</f>
        <v>0</v>
      </c>
      <c r="E711" s="70">
        <f>IFERROR(SUMIFS(Issues!H:H,Issues!C:C,$A711,Issues!D:D,$B711,Issues!E:E,$C711),0)</f>
        <v>0</v>
      </c>
      <c r="F711" s="70">
        <f>IFERROR(SUMIFS(Returns!H:H,Returns!C:C,$A711,Returns!D:D,$B711,Returns!E:E,$C711),0)</f>
        <v>0</v>
      </c>
      <c r="G711" s="70">
        <f t="shared" si="1"/>
        <v>0</v>
      </c>
      <c r="H711" s="71">
        <f t="shared" si="2"/>
        <v>0</v>
      </c>
      <c r="I711" s="72">
        <f>IFERROR( SUMIFS('Stock In'!I:I,'Stock In'!C:C,$A711,'Stock In'!D:D,$B711,'Stock In'!E:E,$C711) / SUMIFS('Stock In'!H:H,'Stock In'!C:C,$A711,'Stock In'!D:D,$B711,'Stock In'!E:E,$C711) , 0)</f>
        <v>0</v>
      </c>
      <c r="J711" s="71">
        <f t="shared" si="3"/>
        <v>0</v>
      </c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8"/>
      <c r="B712" s="68"/>
      <c r="C712" s="68"/>
      <c r="D712" s="70">
        <f>IFERROR(SUMIFS('Stock In'!F:F,'Stock In'!C:C,$A712,'Stock In'!D:D,$B712,'Stock In'!E:E,$C712),0)</f>
        <v>0</v>
      </c>
      <c r="E712" s="70">
        <f>IFERROR(SUMIFS(Issues!H:H,Issues!C:C,$A712,Issues!D:D,$B712,Issues!E:E,$C712),0)</f>
        <v>0</v>
      </c>
      <c r="F712" s="70">
        <f>IFERROR(SUMIFS(Returns!H:H,Returns!C:C,$A712,Returns!D:D,$B712,Returns!E:E,$C712),0)</f>
        <v>0</v>
      </c>
      <c r="G712" s="70">
        <f t="shared" si="1"/>
        <v>0</v>
      </c>
      <c r="H712" s="71">
        <f t="shared" si="2"/>
        <v>0</v>
      </c>
      <c r="I712" s="72">
        <f>IFERROR( SUMIFS('Stock In'!I:I,'Stock In'!C:C,$A712,'Stock In'!D:D,$B712,'Stock In'!E:E,$C712) / SUMIFS('Stock In'!H:H,'Stock In'!C:C,$A712,'Stock In'!D:D,$B712,'Stock In'!E:E,$C712) , 0)</f>
        <v>0</v>
      </c>
      <c r="J712" s="71">
        <f t="shared" si="3"/>
        <v>0</v>
      </c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8"/>
      <c r="B713" s="68"/>
      <c r="C713" s="68"/>
      <c r="D713" s="70">
        <f>IFERROR(SUMIFS('Stock In'!F:F,'Stock In'!C:C,$A713,'Stock In'!D:D,$B713,'Stock In'!E:E,$C713),0)</f>
        <v>0</v>
      </c>
      <c r="E713" s="70">
        <f>IFERROR(SUMIFS(Issues!H:H,Issues!C:C,$A713,Issues!D:D,$B713,Issues!E:E,$C713),0)</f>
        <v>0</v>
      </c>
      <c r="F713" s="70">
        <f>IFERROR(SUMIFS(Returns!H:H,Returns!C:C,$A713,Returns!D:D,$B713,Returns!E:E,$C713),0)</f>
        <v>0</v>
      </c>
      <c r="G713" s="70">
        <f t="shared" si="1"/>
        <v>0</v>
      </c>
      <c r="H713" s="71">
        <f t="shared" si="2"/>
        <v>0</v>
      </c>
      <c r="I713" s="72">
        <f>IFERROR( SUMIFS('Stock In'!I:I,'Stock In'!C:C,$A713,'Stock In'!D:D,$B713,'Stock In'!E:E,$C713) / SUMIFS('Stock In'!H:H,'Stock In'!C:C,$A713,'Stock In'!D:D,$B713,'Stock In'!E:E,$C713) , 0)</f>
        <v>0</v>
      </c>
      <c r="J713" s="71">
        <f t="shared" si="3"/>
        <v>0</v>
      </c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8"/>
      <c r="B714" s="68"/>
      <c r="C714" s="68"/>
      <c r="D714" s="70">
        <f>IFERROR(SUMIFS('Stock In'!F:F,'Stock In'!C:C,$A714,'Stock In'!D:D,$B714,'Stock In'!E:E,$C714),0)</f>
        <v>0</v>
      </c>
      <c r="E714" s="70">
        <f>IFERROR(SUMIFS(Issues!H:H,Issues!C:C,$A714,Issues!D:D,$B714,Issues!E:E,$C714),0)</f>
        <v>0</v>
      </c>
      <c r="F714" s="70">
        <f>IFERROR(SUMIFS(Returns!H:H,Returns!C:C,$A714,Returns!D:D,$B714,Returns!E:E,$C714),0)</f>
        <v>0</v>
      </c>
      <c r="G714" s="70">
        <f t="shared" si="1"/>
        <v>0</v>
      </c>
      <c r="H714" s="71">
        <f t="shared" si="2"/>
        <v>0</v>
      </c>
      <c r="I714" s="72">
        <f>IFERROR( SUMIFS('Stock In'!I:I,'Stock In'!C:C,$A714,'Stock In'!D:D,$B714,'Stock In'!E:E,$C714) / SUMIFS('Stock In'!H:H,'Stock In'!C:C,$A714,'Stock In'!D:D,$B714,'Stock In'!E:E,$C714) , 0)</f>
        <v>0</v>
      </c>
      <c r="J714" s="71">
        <f t="shared" si="3"/>
        <v>0</v>
      </c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8"/>
      <c r="B715" s="68"/>
      <c r="C715" s="68"/>
      <c r="D715" s="70">
        <f>IFERROR(SUMIFS('Stock In'!F:F,'Stock In'!C:C,$A715,'Stock In'!D:D,$B715,'Stock In'!E:E,$C715),0)</f>
        <v>0</v>
      </c>
      <c r="E715" s="70">
        <f>IFERROR(SUMIFS(Issues!H:H,Issues!C:C,$A715,Issues!D:D,$B715,Issues!E:E,$C715),0)</f>
        <v>0</v>
      </c>
      <c r="F715" s="70">
        <f>IFERROR(SUMIFS(Returns!H:H,Returns!C:C,$A715,Returns!D:D,$B715,Returns!E:E,$C715),0)</f>
        <v>0</v>
      </c>
      <c r="G715" s="70">
        <f t="shared" si="1"/>
        <v>0</v>
      </c>
      <c r="H715" s="71">
        <f t="shared" si="2"/>
        <v>0</v>
      </c>
      <c r="I715" s="72">
        <f>IFERROR( SUMIFS('Stock In'!I:I,'Stock In'!C:C,$A715,'Stock In'!D:D,$B715,'Stock In'!E:E,$C715) / SUMIFS('Stock In'!H:H,'Stock In'!C:C,$A715,'Stock In'!D:D,$B715,'Stock In'!E:E,$C715) , 0)</f>
        <v>0</v>
      </c>
      <c r="J715" s="71">
        <f t="shared" si="3"/>
        <v>0</v>
      </c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8"/>
      <c r="B716" s="68"/>
      <c r="C716" s="68"/>
      <c r="D716" s="70">
        <f>IFERROR(SUMIFS('Stock In'!F:F,'Stock In'!C:C,$A716,'Stock In'!D:D,$B716,'Stock In'!E:E,$C716),0)</f>
        <v>0</v>
      </c>
      <c r="E716" s="70">
        <f>IFERROR(SUMIFS(Issues!H:H,Issues!C:C,$A716,Issues!D:D,$B716,Issues!E:E,$C716),0)</f>
        <v>0</v>
      </c>
      <c r="F716" s="70">
        <f>IFERROR(SUMIFS(Returns!H:H,Returns!C:C,$A716,Returns!D:D,$B716,Returns!E:E,$C716),0)</f>
        <v>0</v>
      </c>
      <c r="G716" s="70">
        <f t="shared" si="1"/>
        <v>0</v>
      </c>
      <c r="H716" s="71">
        <f t="shared" si="2"/>
        <v>0</v>
      </c>
      <c r="I716" s="72">
        <f>IFERROR( SUMIFS('Stock In'!I:I,'Stock In'!C:C,$A716,'Stock In'!D:D,$B716,'Stock In'!E:E,$C716) / SUMIFS('Stock In'!H:H,'Stock In'!C:C,$A716,'Stock In'!D:D,$B716,'Stock In'!E:E,$C716) , 0)</f>
        <v>0</v>
      </c>
      <c r="J716" s="71">
        <f t="shared" si="3"/>
        <v>0</v>
      </c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8"/>
      <c r="B717" s="68"/>
      <c r="C717" s="68"/>
      <c r="D717" s="70">
        <f>IFERROR(SUMIFS('Stock In'!F:F,'Stock In'!C:C,$A717,'Stock In'!D:D,$B717,'Stock In'!E:E,$C717),0)</f>
        <v>0</v>
      </c>
      <c r="E717" s="70">
        <f>IFERROR(SUMIFS(Issues!H:H,Issues!C:C,$A717,Issues!D:D,$B717,Issues!E:E,$C717),0)</f>
        <v>0</v>
      </c>
      <c r="F717" s="70">
        <f>IFERROR(SUMIFS(Returns!H:H,Returns!C:C,$A717,Returns!D:D,$B717,Returns!E:E,$C717),0)</f>
        <v>0</v>
      </c>
      <c r="G717" s="70">
        <f t="shared" si="1"/>
        <v>0</v>
      </c>
      <c r="H717" s="71">
        <f t="shared" si="2"/>
        <v>0</v>
      </c>
      <c r="I717" s="72">
        <f>IFERROR( SUMIFS('Stock In'!I:I,'Stock In'!C:C,$A717,'Stock In'!D:D,$B717,'Stock In'!E:E,$C717) / SUMIFS('Stock In'!H:H,'Stock In'!C:C,$A717,'Stock In'!D:D,$B717,'Stock In'!E:E,$C717) , 0)</f>
        <v>0</v>
      </c>
      <c r="J717" s="71">
        <f t="shared" si="3"/>
        <v>0</v>
      </c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8"/>
      <c r="B718" s="68"/>
      <c r="C718" s="68"/>
      <c r="D718" s="70">
        <f>IFERROR(SUMIFS('Stock In'!F:F,'Stock In'!C:C,$A718,'Stock In'!D:D,$B718,'Stock In'!E:E,$C718),0)</f>
        <v>0</v>
      </c>
      <c r="E718" s="70">
        <f>IFERROR(SUMIFS(Issues!H:H,Issues!C:C,$A718,Issues!D:D,$B718,Issues!E:E,$C718),0)</f>
        <v>0</v>
      </c>
      <c r="F718" s="70">
        <f>IFERROR(SUMIFS(Returns!H:H,Returns!C:C,$A718,Returns!D:D,$B718,Returns!E:E,$C718),0)</f>
        <v>0</v>
      </c>
      <c r="G718" s="70">
        <f t="shared" si="1"/>
        <v>0</v>
      </c>
      <c r="H718" s="71">
        <f t="shared" si="2"/>
        <v>0</v>
      </c>
      <c r="I718" s="72">
        <f>IFERROR( SUMIFS('Stock In'!I:I,'Stock In'!C:C,$A718,'Stock In'!D:D,$B718,'Stock In'!E:E,$C718) / SUMIFS('Stock In'!H:H,'Stock In'!C:C,$A718,'Stock In'!D:D,$B718,'Stock In'!E:E,$C718) , 0)</f>
        <v>0</v>
      </c>
      <c r="J718" s="71">
        <f t="shared" si="3"/>
        <v>0</v>
      </c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8"/>
      <c r="B719" s="68"/>
      <c r="C719" s="68"/>
      <c r="D719" s="70">
        <f>IFERROR(SUMIFS('Stock In'!F:F,'Stock In'!C:C,$A719,'Stock In'!D:D,$B719,'Stock In'!E:E,$C719),0)</f>
        <v>0</v>
      </c>
      <c r="E719" s="70">
        <f>IFERROR(SUMIFS(Issues!H:H,Issues!C:C,$A719,Issues!D:D,$B719,Issues!E:E,$C719),0)</f>
        <v>0</v>
      </c>
      <c r="F719" s="70">
        <f>IFERROR(SUMIFS(Returns!H:H,Returns!C:C,$A719,Returns!D:D,$B719,Returns!E:E,$C719),0)</f>
        <v>0</v>
      </c>
      <c r="G719" s="70">
        <f t="shared" si="1"/>
        <v>0</v>
      </c>
      <c r="H719" s="71">
        <f t="shared" si="2"/>
        <v>0</v>
      </c>
      <c r="I719" s="72">
        <f>IFERROR( SUMIFS('Stock In'!I:I,'Stock In'!C:C,$A719,'Stock In'!D:D,$B719,'Stock In'!E:E,$C719) / SUMIFS('Stock In'!H:H,'Stock In'!C:C,$A719,'Stock In'!D:D,$B719,'Stock In'!E:E,$C719) , 0)</f>
        <v>0</v>
      </c>
      <c r="J719" s="71">
        <f t="shared" si="3"/>
        <v>0</v>
      </c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8"/>
      <c r="B720" s="68"/>
      <c r="C720" s="68"/>
      <c r="D720" s="70">
        <f>IFERROR(SUMIFS('Stock In'!F:F,'Stock In'!C:C,$A720,'Stock In'!D:D,$B720,'Stock In'!E:E,$C720),0)</f>
        <v>0</v>
      </c>
      <c r="E720" s="70">
        <f>IFERROR(SUMIFS(Issues!H:H,Issues!C:C,$A720,Issues!D:D,$B720,Issues!E:E,$C720),0)</f>
        <v>0</v>
      </c>
      <c r="F720" s="70">
        <f>IFERROR(SUMIFS(Returns!H:H,Returns!C:C,$A720,Returns!D:D,$B720,Returns!E:E,$C720),0)</f>
        <v>0</v>
      </c>
      <c r="G720" s="70">
        <f t="shared" si="1"/>
        <v>0</v>
      </c>
      <c r="H720" s="71">
        <f t="shared" si="2"/>
        <v>0</v>
      </c>
      <c r="I720" s="72">
        <f>IFERROR( SUMIFS('Stock In'!I:I,'Stock In'!C:C,$A720,'Stock In'!D:D,$B720,'Stock In'!E:E,$C720) / SUMIFS('Stock In'!H:H,'Stock In'!C:C,$A720,'Stock In'!D:D,$B720,'Stock In'!E:E,$C720) , 0)</f>
        <v>0</v>
      </c>
      <c r="J720" s="71">
        <f t="shared" si="3"/>
        <v>0</v>
      </c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8"/>
      <c r="B721" s="68"/>
      <c r="C721" s="68"/>
      <c r="D721" s="70">
        <f>IFERROR(SUMIFS('Stock In'!F:F,'Stock In'!C:C,$A721,'Stock In'!D:D,$B721,'Stock In'!E:E,$C721),0)</f>
        <v>0</v>
      </c>
      <c r="E721" s="70">
        <f>IFERROR(SUMIFS(Issues!H:H,Issues!C:C,$A721,Issues!D:D,$B721,Issues!E:E,$C721),0)</f>
        <v>0</v>
      </c>
      <c r="F721" s="70">
        <f>IFERROR(SUMIFS(Returns!H:H,Returns!C:C,$A721,Returns!D:D,$B721,Returns!E:E,$C721),0)</f>
        <v>0</v>
      </c>
      <c r="G721" s="70">
        <f t="shared" si="1"/>
        <v>0</v>
      </c>
      <c r="H721" s="71">
        <f t="shared" si="2"/>
        <v>0</v>
      </c>
      <c r="I721" s="72">
        <f>IFERROR( SUMIFS('Stock In'!I:I,'Stock In'!C:C,$A721,'Stock In'!D:D,$B721,'Stock In'!E:E,$C721) / SUMIFS('Stock In'!H:H,'Stock In'!C:C,$A721,'Stock In'!D:D,$B721,'Stock In'!E:E,$C721) , 0)</f>
        <v>0</v>
      </c>
      <c r="J721" s="71">
        <f t="shared" si="3"/>
        <v>0</v>
      </c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8"/>
      <c r="B722" s="68"/>
      <c r="C722" s="68"/>
      <c r="D722" s="70">
        <f>IFERROR(SUMIFS('Stock In'!F:F,'Stock In'!C:C,$A722,'Stock In'!D:D,$B722,'Stock In'!E:E,$C722),0)</f>
        <v>0</v>
      </c>
      <c r="E722" s="70">
        <f>IFERROR(SUMIFS(Issues!H:H,Issues!C:C,$A722,Issues!D:D,$B722,Issues!E:E,$C722),0)</f>
        <v>0</v>
      </c>
      <c r="F722" s="70">
        <f>IFERROR(SUMIFS(Returns!H:H,Returns!C:C,$A722,Returns!D:D,$B722,Returns!E:E,$C722),0)</f>
        <v>0</v>
      </c>
      <c r="G722" s="70">
        <f t="shared" si="1"/>
        <v>0</v>
      </c>
      <c r="H722" s="71">
        <f t="shared" si="2"/>
        <v>0</v>
      </c>
      <c r="I722" s="72">
        <f>IFERROR( SUMIFS('Stock In'!I:I,'Stock In'!C:C,$A722,'Stock In'!D:D,$B722,'Stock In'!E:E,$C722) / SUMIFS('Stock In'!H:H,'Stock In'!C:C,$A722,'Stock In'!D:D,$B722,'Stock In'!E:E,$C722) , 0)</f>
        <v>0</v>
      </c>
      <c r="J722" s="71">
        <f t="shared" si="3"/>
        <v>0</v>
      </c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8"/>
      <c r="B723" s="68"/>
      <c r="C723" s="68"/>
      <c r="D723" s="70">
        <f>IFERROR(SUMIFS('Stock In'!F:F,'Stock In'!C:C,$A723,'Stock In'!D:D,$B723,'Stock In'!E:E,$C723),0)</f>
        <v>0</v>
      </c>
      <c r="E723" s="70">
        <f>IFERROR(SUMIFS(Issues!H:H,Issues!C:C,$A723,Issues!D:D,$B723,Issues!E:E,$C723),0)</f>
        <v>0</v>
      </c>
      <c r="F723" s="70">
        <f>IFERROR(SUMIFS(Returns!H:H,Returns!C:C,$A723,Returns!D:D,$B723,Returns!E:E,$C723),0)</f>
        <v>0</v>
      </c>
      <c r="G723" s="70">
        <f t="shared" si="1"/>
        <v>0</v>
      </c>
      <c r="H723" s="71">
        <f t="shared" si="2"/>
        <v>0</v>
      </c>
      <c r="I723" s="72">
        <f>IFERROR( SUMIFS('Stock In'!I:I,'Stock In'!C:C,$A723,'Stock In'!D:D,$B723,'Stock In'!E:E,$C723) / SUMIFS('Stock In'!H:H,'Stock In'!C:C,$A723,'Stock In'!D:D,$B723,'Stock In'!E:E,$C723) , 0)</f>
        <v>0</v>
      </c>
      <c r="J723" s="71">
        <f t="shared" si="3"/>
        <v>0</v>
      </c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8"/>
      <c r="B724" s="68"/>
      <c r="C724" s="68"/>
      <c r="D724" s="70">
        <f>IFERROR(SUMIFS('Stock In'!F:F,'Stock In'!C:C,$A724,'Stock In'!D:D,$B724,'Stock In'!E:E,$C724),0)</f>
        <v>0</v>
      </c>
      <c r="E724" s="70">
        <f>IFERROR(SUMIFS(Issues!H:H,Issues!C:C,$A724,Issues!D:D,$B724,Issues!E:E,$C724),0)</f>
        <v>0</v>
      </c>
      <c r="F724" s="70">
        <f>IFERROR(SUMIFS(Returns!H:H,Returns!C:C,$A724,Returns!D:D,$B724,Returns!E:E,$C724),0)</f>
        <v>0</v>
      </c>
      <c r="G724" s="70">
        <f t="shared" si="1"/>
        <v>0</v>
      </c>
      <c r="H724" s="71">
        <f t="shared" si="2"/>
        <v>0</v>
      </c>
      <c r="I724" s="72">
        <f>IFERROR( SUMIFS('Stock In'!I:I,'Stock In'!C:C,$A724,'Stock In'!D:D,$B724,'Stock In'!E:E,$C724) / SUMIFS('Stock In'!H:H,'Stock In'!C:C,$A724,'Stock In'!D:D,$B724,'Stock In'!E:E,$C724) , 0)</f>
        <v>0</v>
      </c>
      <c r="J724" s="71">
        <f t="shared" si="3"/>
        <v>0</v>
      </c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8"/>
      <c r="B725" s="68"/>
      <c r="C725" s="68"/>
      <c r="D725" s="70">
        <f>IFERROR(SUMIFS('Stock In'!F:F,'Stock In'!C:C,$A725,'Stock In'!D:D,$B725,'Stock In'!E:E,$C725),0)</f>
        <v>0</v>
      </c>
      <c r="E725" s="70">
        <f>IFERROR(SUMIFS(Issues!H:H,Issues!C:C,$A725,Issues!D:D,$B725,Issues!E:E,$C725),0)</f>
        <v>0</v>
      </c>
      <c r="F725" s="70">
        <f>IFERROR(SUMIFS(Returns!H:H,Returns!C:C,$A725,Returns!D:D,$B725,Returns!E:E,$C725),0)</f>
        <v>0</v>
      </c>
      <c r="G725" s="70">
        <f t="shared" si="1"/>
        <v>0</v>
      </c>
      <c r="H725" s="71">
        <f t="shared" si="2"/>
        <v>0</v>
      </c>
      <c r="I725" s="72">
        <f>IFERROR( SUMIFS('Stock In'!I:I,'Stock In'!C:C,$A725,'Stock In'!D:D,$B725,'Stock In'!E:E,$C725) / SUMIFS('Stock In'!H:H,'Stock In'!C:C,$A725,'Stock In'!D:D,$B725,'Stock In'!E:E,$C725) , 0)</f>
        <v>0</v>
      </c>
      <c r="J725" s="71">
        <f t="shared" si="3"/>
        <v>0</v>
      </c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8"/>
      <c r="B726" s="68"/>
      <c r="C726" s="68"/>
      <c r="D726" s="70">
        <f>IFERROR(SUMIFS('Stock In'!F:F,'Stock In'!C:C,$A726,'Stock In'!D:D,$B726,'Stock In'!E:E,$C726),0)</f>
        <v>0</v>
      </c>
      <c r="E726" s="70">
        <f>IFERROR(SUMIFS(Issues!H:H,Issues!C:C,$A726,Issues!D:D,$B726,Issues!E:E,$C726),0)</f>
        <v>0</v>
      </c>
      <c r="F726" s="70">
        <f>IFERROR(SUMIFS(Returns!H:H,Returns!C:C,$A726,Returns!D:D,$B726,Returns!E:E,$C726),0)</f>
        <v>0</v>
      </c>
      <c r="G726" s="70">
        <f t="shared" si="1"/>
        <v>0</v>
      </c>
      <c r="H726" s="71">
        <f t="shared" si="2"/>
        <v>0</v>
      </c>
      <c r="I726" s="72">
        <f>IFERROR( SUMIFS('Stock In'!I:I,'Stock In'!C:C,$A726,'Stock In'!D:D,$B726,'Stock In'!E:E,$C726) / SUMIFS('Stock In'!H:H,'Stock In'!C:C,$A726,'Stock In'!D:D,$B726,'Stock In'!E:E,$C726) , 0)</f>
        <v>0</v>
      </c>
      <c r="J726" s="71">
        <f t="shared" si="3"/>
        <v>0</v>
      </c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8"/>
      <c r="B727" s="68"/>
      <c r="C727" s="68"/>
      <c r="D727" s="70">
        <f>IFERROR(SUMIFS('Stock In'!F:F,'Stock In'!C:C,$A727,'Stock In'!D:D,$B727,'Stock In'!E:E,$C727),0)</f>
        <v>0</v>
      </c>
      <c r="E727" s="70">
        <f>IFERROR(SUMIFS(Issues!H:H,Issues!C:C,$A727,Issues!D:D,$B727,Issues!E:E,$C727),0)</f>
        <v>0</v>
      </c>
      <c r="F727" s="70">
        <f>IFERROR(SUMIFS(Returns!H:H,Returns!C:C,$A727,Returns!D:D,$B727,Returns!E:E,$C727),0)</f>
        <v>0</v>
      </c>
      <c r="G727" s="70">
        <f t="shared" si="1"/>
        <v>0</v>
      </c>
      <c r="H727" s="71">
        <f t="shared" si="2"/>
        <v>0</v>
      </c>
      <c r="I727" s="72">
        <f>IFERROR( SUMIFS('Stock In'!I:I,'Stock In'!C:C,$A727,'Stock In'!D:D,$B727,'Stock In'!E:E,$C727) / SUMIFS('Stock In'!H:H,'Stock In'!C:C,$A727,'Stock In'!D:D,$B727,'Stock In'!E:E,$C727) , 0)</f>
        <v>0</v>
      </c>
      <c r="J727" s="71">
        <f t="shared" si="3"/>
        <v>0</v>
      </c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8"/>
      <c r="B728" s="68"/>
      <c r="C728" s="68"/>
      <c r="D728" s="70">
        <f>IFERROR(SUMIFS('Stock In'!F:F,'Stock In'!C:C,$A728,'Stock In'!D:D,$B728,'Stock In'!E:E,$C728),0)</f>
        <v>0</v>
      </c>
      <c r="E728" s="70">
        <f>IFERROR(SUMIFS(Issues!H:H,Issues!C:C,$A728,Issues!D:D,$B728,Issues!E:E,$C728),0)</f>
        <v>0</v>
      </c>
      <c r="F728" s="70">
        <f>IFERROR(SUMIFS(Returns!H:H,Returns!C:C,$A728,Returns!D:D,$B728,Returns!E:E,$C728),0)</f>
        <v>0</v>
      </c>
      <c r="G728" s="70">
        <f t="shared" si="1"/>
        <v>0</v>
      </c>
      <c r="H728" s="71">
        <f t="shared" si="2"/>
        <v>0</v>
      </c>
      <c r="I728" s="72">
        <f>IFERROR( SUMIFS('Stock In'!I:I,'Stock In'!C:C,$A728,'Stock In'!D:D,$B728,'Stock In'!E:E,$C728) / SUMIFS('Stock In'!H:H,'Stock In'!C:C,$A728,'Stock In'!D:D,$B728,'Stock In'!E:E,$C728) , 0)</f>
        <v>0</v>
      </c>
      <c r="J728" s="71">
        <f t="shared" si="3"/>
        <v>0</v>
      </c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8"/>
      <c r="B729" s="68"/>
      <c r="C729" s="68"/>
      <c r="D729" s="70">
        <f>IFERROR(SUMIFS('Stock In'!F:F,'Stock In'!C:C,$A729,'Stock In'!D:D,$B729,'Stock In'!E:E,$C729),0)</f>
        <v>0</v>
      </c>
      <c r="E729" s="70">
        <f>IFERROR(SUMIFS(Issues!H:H,Issues!C:C,$A729,Issues!D:D,$B729,Issues!E:E,$C729),0)</f>
        <v>0</v>
      </c>
      <c r="F729" s="70">
        <f>IFERROR(SUMIFS(Returns!H:H,Returns!C:C,$A729,Returns!D:D,$B729,Returns!E:E,$C729),0)</f>
        <v>0</v>
      </c>
      <c r="G729" s="70">
        <f t="shared" si="1"/>
        <v>0</v>
      </c>
      <c r="H729" s="71">
        <f t="shared" si="2"/>
        <v>0</v>
      </c>
      <c r="I729" s="72">
        <f>IFERROR( SUMIFS('Stock In'!I:I,'Stock In'!C:C,$A729,'Stock In'!D:D,$B729,'Stock In'!E:E,$C729) / SUMIFS('Stock In'!H:H,'Stock In'!C:C,$A729,'Stock In'!D:D,$B729,'Stock In'!E:E,$C729) , 0)</f>
        <v>0</v>
      </c>
      <c r="J729" s="71">
        <f t="shared" si="3"/>
        <v>0</v>
      </c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8"/>
      <c r="B730" s="68"/>
      <c r="C730" s="68"/>
      <c r="D730" s="70">
        <f>IFERROR(SUMIFS('Stock In'!F:F,'Stock In'!C:C,$A730,'Stock In'!D:D,$B730,'Stock In'!E:E,$C730),0)</f>
        <v>0</v>
      </c>
      <c r="E730" s="70">
        <f>IFERROR(SUMIFS(Issues!H:H,Issues!C:C,$A730,Issues!D:D,$B730,Issues!E:E,$C730),0)</f>
        <v>0</v>
      </c>
      <c r="F730" s="70">
        <f>IFERROR(SUMIFS(Returns!H:H,Returns!C:C,$A730,Returns!D:D,$B730,Returns!E:E,$C730),0)</f>
        <v>0</v>
      </c>
      <c r="G730" s="70">
        <f t="shared" si="1"/>
        <v>0</v>
      </c>
      <c r="H730" s="71">
        <f t="shared" si="2"/>
        <v>0</v>
      </c>
      <c r="I730" s="72">
        <f>IFERROR( SUMIFS('Stock In'!I:I,'Stock In'!C:C,$A730,'Stock In'!D:D,$B730,'Stock In'!E:E,$C730) / SUMIFS('Stock In'!H:H,'Stock In'!C:C,$A730,'Stock In'!D:D,$B730,'Stock In'!E:E,$C730) , 0)</f>
        <v>0</v>
      </c>
      <c r="J730" s="71">
        <f t="shared" si="3"/>
        <v>0</v>
      </c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8"/>
      <c r="B731" s="68"/>
      <c r="C731" s="68"/>
      <c r="D731" s="70">
        <f>IFERROR(SUMIFS('Stock In'!F:F,'Stock In'!C:C,$A731,'Stock In'!D:D,$B731,'Stock In'!E:E,$C731),0)</f>
        <v>0</v>
      </c>
      <c r="E731" s="70">
        <f>IFERROR(SUMIFS(Issues!H:H,Issues!C:C,$A731,Issues!D:D,$B731,Issues!E:E,$C731),0)</f>
        <v>0</v>
      </c>
      <c r="F731" s="70">
        <f>IFERROR(SUMIFS(Returns!H:H,Returns!C:C,$A731,Returns!D:D,$B731,Returns!E:E,$C731),0)</f>
        <v>0</v>
      </c>
      <c r="G731" s="70">
        <f t="shared" si="1"/>
        <v>0</v>
      </c>
      <c r="H731" s="71">
        <f t="shared" si="2"/>
        <v>0</v>
      </c>
      <c r="I731" s="72">
        <f>IFERROR( SUMIFS('Stock In'!I:I,'Stock In'!C:C,$A731,'Stock In'!D:D,$B731,'Stock In'!E:E,$C731) / SUMIFS('Stock In'!H:H,'Stock In'!C:C,$A731,'Stock In'!D:D,$B731,'Stock In'!E:E,$C731) , 0)</f>
        <v>0</v>
      </c>
      <c r="J731" s="71">
        <f t="shared" si="3"/>
        <v>0</v>
      </c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8"/>
      <c r="B732" s="68"/>
      <c r="C732" s="68"/>
      <c r="D732" s="70">
        <f>IFERROR(SUMIFS('Stock In'!F:F,'Stock In'!C:C,$A732,'Stock In'!D:D,$B732,'Stock In'!E:E,$C732),0)</f>
        <v>0</v>
      </c>
      <c r="E732" s="70">
        <f>IFERROR(SUMIFS(Issues!H:H,Issues!C:C,$A732,Issues!D:D,$B732,Issues!E:E,$C732),0)</f>
        <v>0</v>
      </c>
      <c r="F732" s="70">
        <f>IFERROR(SUMIFS(Returns!H:H,Returns!C:C,$A732,Returns!D:D,$B732,Returns!E:E,$C732),0)</f>
        <v>0</v>
      </c>
      <c r="G732" s="70">
        <f t="shared" si="1"/>
        <v>0</v>
      </c>
      <c r="H732" s="71">
        <f t="shared" si="2"/>
        <v>0</v>
      </c>
      <c r="I732" s="72">
        <f>IFERROR( SUMIFS('Stock In'!I:I,'Stock In'!C:C,$A732,'Stock In'!D:D,$B732,'Stock In'!E:E,$C732) / SUMIFS('Stock In'!H:H,'Stock In'!C:C,$A732,'Stock In'!D:D,$B732,'Stock In'!E:E,$C732) , 0)</f>
        <v>0</v>
      </c>
      <c r="J732" s="71">
        <f t="shared" si="3"/>
        <v>0</v>
      </c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8"/>
      <c r="B733" s="68"/>
      <c r="C733" s="68"/>
      <c r="D733" s="70">
        <f>IFERROR(SUMIFS('Stock In'!F:F,'Stock In'!C:C,$A733,'Stock In'!D:D,$B733,'Stock In'!E:E,$C733),0)</f>
        <v>0</v>
      </c>
      <c r="E733" s="70">
        <f>IFERROR(SUMIFS(Issues!H:H,Issues!C:C,$A733,Issues!D:D,$B733,Issues!E:E,$C733),0)</f>
        <v>0</v>
      </c>
      <c r="F733" s="70">
        <f>IFERROR(SUMIFS(Returns!H:H,Returns!C:C,$A733,Returns!D:D,$B733,Returns!E:E,$C733),0)</f>
        <v>0</v>
      </c>
      <c r="G733" s="70">
        <f t="shared" si="1"/>
        <v>0</v>
      </c>
      <c r="H733" s="71">
        <f t="shared" si="2"/>
        <v>0</v>
      </c>
      <c r="I733" s="72">
        <f>IFERROR( SUMIFS('Stock In'!I:I,'Stock In'!C:C,$A733,'Stock In'!D:D,$B733,'Stock In'!E:E,$C733) / SUMIFS('Stock In'!H:H,'Stock In'!C:C,$A733,'Stock In'!D:D,$B733,'Stock In'!E:E,$C733) , 0)</f>
        <v>0</v>
      </c>
      <c r="J733" s="71">
        <f t="shared" si="3"/>
        <v>0</v>
      </c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8"/>
      <c r="B734" s="68"/>
      <c r="C734" s="68"/>
      <c r="D734" s="70">
        <f>IFERROR(SUMIFS('Stock In'!F:F,'Stock In'!C:C,$A734,'Stock In'!D:D,$B734,'Stock In'!E:E,$C734),0)</f>
        <v>0</v>
      </c>
      <c r="E734" s="70">
        <f>IFERROR(SUMIFS(Issues!H:H,Issues!C:C,$A734,Issues!D:D,$B734,Issues!E:E,$C734),0)</f>
        <v>0</v>
      </c>
      <c r="F734" s="70">
        <f>IFERROR(SUMIFS(Returns!H:H,Returns!C:C,$A734,Returns!D:D,$B734,Returns!E:E,$C734),0)</f>
        <v>0</v>
      </c>
      <c r="G734" s="70">
        <f t="shared" si="1"/>
        <v>0</v>
      </c>
      <c r="H734" s="71">
        <f t="shared" si="2"/>
        <v>0</v>
      </c>
      <c r="I734" s="72">
        <f>IFERROR( SUMIFS('Stock In'!I:I,'Stock In'!C:C,$A734,'Stock In'!D:D,$B734,'Stock In'!E:E,$C734) / SUMIFS('Stock In'!H:H,'Stock In'!C:C,$A734,'Stock In'!D:D,$B734,'Stock In'!E:E,$C734) , 0)</f>
        <v>0</v>
      </c>
      <c r="J734" s="71">
        <f t="shared" si="3"/>
        <v>0</v>
      </c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8"/>
      <c r="B735" s="68"/>
      <c r="C735" s="68"/>
      <c r="D735" s="70">
        <f>IFERROR(SUMIFS('Stock In'!F:F,'Stock In'!C:C,$A735,'Stock In'!D:D,$B735,'Stock In'!E:E,$C735),0)</f>
        <v>0</v>
      </c>
      <c r="E735" s="70">
        <f>IFERROR(SUMIFS(Issues!H:H,Issues!C:C,$A735,Issues!D:D,$B735,Issues!E:E,$C735),0)</f>
        <v>0</v>
      </c>
      <c r="F735" s="70">
        <f>IFERROR(SUMIFS(Returns!H:H,Returns!C:C,$A735,Returns!D:D,$B735,Returns!E:E,$C735),0)</f>
        <v>0</v>
      </c>
      <c r="G735" s="70">
        <f t="shared" si="1"/>
        <v>0</v>
      </c>
      <c r="H735" s="71">
        <f t="shared" si="2"/>
        <v>0</v>
      </c>
      <c r="I735" s="72">
        <f>IFERROR( SUMIFS('Stock In'!I:I,'Stock In'!C:C,$A735,'Stock In'!D:D,$B735,'Stock In'!E:E,$C735) / SUMIFS('Stock In'!H:H,'Stock In'!C:C,$A735,'Stock In'!D:D,$B735,'Stock In'!E:E,$C735) , 0)</f>
        <v>0</v>
      </c>
      <c r="J735" s="71">
        <f t="shared" si="3"/>
        <v>0</v>
      </c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8"/>
      <c r="B736" s="68"/>
      <c r="C736" s="68"/>
      <c r="D736" s="70">
        <f>IFERROR(SUMIFS('Stock In'!F:F,'Stock In'!C:C,$A736,'Stock In'!D:D,$B736,'Stock In'!E:E,$C736),0)</f>
        <v>0</v>
      </c>
      <c r="E736" s="70">
        <f>IFERROR(SUMIFS(Issues!H:H,Issues!C:C,$A736,Issues!D:D,$B736,Issues!E:E,$C736),0)</f>
        <v>0</v>
      </c>
      <c r="F736" s="70">
        <f>IFERROR(SUMIFS(Returns!H:H,Returns!C:C,$A736,Returns!D:D,$B736,Returns!E:E,$C736),0)</f>
        <v>0</v>
      </c>
      <c r="G736" s="70">
        <f t="shared" si="1"/>
        <v>0</v>
      </c>
      <c r="H736" s="71">
        <f t="shared" si="2"/>
        <v>0</v>
      </c>
      <c r="I736" s="72">
        <f>IFERROR( SUMIFS('Stock In'!I:I,'Stock In'!C:C,$A736,'Stock In'!D:D,$B736,'Stock In'!E:E,$C736) / SUMIFS('Stock In'!H:H,'Stock In'!C:C,$A736,'Stock In'!D:D,$B736,'Stock In'!E:E,$C736) , 0)</f>
        <v>0</v>
      </c>
      <c r="J736" s="71">
        <f t="shared" si="3"/>
        <v>0</v>
      </c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8"/>
      <c r="B737" s="68"/>
      <c r="C737" s="68"/>
      <c r="D737" s="70">
        <f>IFERROR(SUMIFS('Stock In'!F:F,'Stock In'!C:C,$A737,'Stock In'!D:D,$B737,'Stock In'!E:E,$C737),0)</f>
        <v>0</v>
      </c>
      <c r="E737" s="70">
        <f>IFERROR(SUMIFS(Issues!H:H,Issues!C:C,$A737,Issues!D:D,$B737,Issues!E:E,$C737),0)</f>
        <v>0</v>
      </c>
      <c r="F737" s="70">
        <f>IFERROR(SUMIFS(Returns!H:H,Returns!C:C,$A737,Returns!D:D,$B737,Returns!E:E,$C737),0)</f>
        <v>0</v>
      </c>
      <c r="G737" s="70">
        <f t="shared" si="1"/>
        <v>0</v>
      </c>
      <c r="H737" s="71">
        <f t="shared" si="2"/>
        <v>0</v>
      </c>
      <c r="I737" s="72">
        <f>IFERROR( SUMIFS('Stock In'!I:I,'Stock In'!C:C,$A737,'Stock In'!D:D,$B737,'Stock In'!E:E,$C737) / SUMIFS('Stock In'!H:H,'Stock In'!C:C,$A737,'Stock In'!D:D,$B737,'Stock In'!E:E,$C737) , 0)</f>
        <v>0</v>
      </c>
      <c r="J737" s="71">
        <f t="shared" si="3"/>
        <v>0</v>
      </c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8"/>
      <c r="B738" s="68"/>
      <c r="C738" s="68"/>
      <c r="D738" s="70">
        <f>IFERROR(SUMIFS('Stock In'!F:F,'Stock In'!C:C,$A738,'Stock In'!D:D,$B738,'Stock In'!E:E,$C738),0)</f>
        <v>0</v>
      </c>
      <c r="E738" s="70">
        <f>IFERROR(SUMIFS(Issues!H:H,Issues!C:C,$A738,Issues!D:D,$B738,Issues!E:E,$C738),0)</f>
        <v>0</v>
      </c>
      <c r="F738" s="70">
        <f>IFERROR(SUMIFS(Returns!H:H,Returns!C:C,$A738,Returns!D:D,$B738,Returns!E:E,$C738),0)</f>
        <v>0</v>
      </c>
      <c r="G738" s="70">
        <f t="shared" si="1"/>
        <v>0</v>
      </c>
      <c r="H738" s="71">
        <f t="shared" si="2"/>
        <v>0</v>
      </c>
      <c r="I738" s="72">
        <f>IFERROR( SUMIFS('Stock In'!I:I,'Stock In'!C:C,$A738,'Stock In'!D:D,$B738,'Stock In'!E:E,$C738) / SUMIFS('Stock In'!H:H,'Stock In'!C:C,$A738,'Stock In'!D:D,$B738,'Stock In'!E:E,$C738) , 0)</f>
        <v>0</v>
      </c>
      <c r="J738" s="71">
        <f t="shared" si="3"/>
        <v>0</v>
      </c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8"/>
      <c r="B739" s="68"/>
      <c r="C739" s="68"/>
      <c r="D739" s="70">
        <f>IFERROR(SUMIFS('Stock In'!F:F,'Stock In'!C:C,$A739,'Stock In'!D:D,$B739,'Stock In'!E:E,$C739),0)</f>
        <v>0</v>
      </c>
      <c r="E739" s="70">
        <f>IFERROR(SUMIFS(Issues!H:H,Issues!C:C,$A739,Issues!D:D,$B739,Issues!E:E,$C739),0)</f>
        <v>0</v>
      </c>
      <c r="F739" s="70">
        <f>IFERROR(SUMIFS(Returns!H:H,Returns!C:C,$A739,Returns!D:D,$B739,Returns!E:E,$C739),0)</f>
        <v>0</v>
      </c>
      <c r="G739" s="70">
        <f t="shared" si="1"/>
        <v>0</v>
      </c>
      <c r="H739" s="71">
        <f t="shared" si="2"/>
        <v>0</v>
      </c>
      <c r="I739" s="72">
        <f>IFERROR( SUMIFS('Stock In'!I:I,'Stock In'!C:C,$A739,'Stock In'!D:D,$B739,'Stock In'!E:E,$C739) / SUMIFS('Stock In'!H:H,'Stock In'!C:C,$A739,'Stock In'!D:D,$B739,'Stock In'!E:E,$C739) , 0)</f>
        <v>0</v>
      </c>
      <c r="J739" s="71">
        <f t="shared" si="3"/>
        <v>0</v>
      </c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8"/>
      <c r="B740" s="68"/>
      <c r="C740" s="68"/>
      <c r="D740" s="70">
        <f>IFERROR(SUMIFS('Stock In'!F:F,'Stock In'!C:C,$A740,'Stock In'!D:D,$B740,'Stock In'!E:E,$C740),0)</f>
        <v>0</v>
      </c>
      <c r="E740" s="70">
        <f>IFERROR(SUMIFS(Issues!H:H,Issues!C:C,$A740,Issues!D:D,$B740,Issues!E:E,$C740),0)</f>
        <v>0</v>
      </c>
      <c r="F740" s="70">
        <f>IFERROR(SUMIFS(Returns!H:H,Returns!C:C,$A740,Returns!D:D,$B740,Returns!E:E,$C740),0)</f>
        <v>0</v>
      </c>
      <c r="G740" s="70">
        <f t="shared" si="1"/>
        <v>0</v>
      </c>
      <c r="H740" s="71">
        <f t="shared" si="2"/>
        <v>0</v>
      </c>
      <c r="I740" s="72">
        <f>IFERROR( SUMIFS('Stock In'!I:I,'Stock In'!C:C,$A740,'Stock In'!D:D,$B740,'Stock In'!E:E,$C740) / SUMIFS('Stock In'!H:H,'Stock In'!C:C,$A740,'Stock In'!D:D,$B740,'Stock In'!E:E,$C740) , 0)</f>
        <v>0</v>
      </c>
      <c r="J740" s="71">
        <f t="shared" si="3"/>
        <v>0</v>
      </c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8"/>
      <c r="B741" s="68"/>
      <c r="C741" s="68"/>
      <c r="D741" s="70">
        <f>IFERROR(SUMIFS('Stock In'!F:F,'Stock In'!C:C,$A741,'Stock In'!D:D,$B741,'Stock In'!E:E,$C741),0)</f>
        <v>0</v>
      </c>
      <c r="E741" s="70">
        <f>IFERROR(SUMIFS(Issues!H:H,Issues!C:C,$A741,Issues!D:D,$B741,Issues!E:E,$C741),0)</f>
        <v>0</v>
      </c>
      <c r="F741" s="70">
        <f>IFERROR(SUMIFS(Returns!H:H,Returns!C:C,$A741,Returns!D:D,$B741,Returns!E:E,$C741),0)</f>
        <v>0</v>
      </c>
      <c r="G741" s="70">
        <f t="shared" si="1"/>
        <v>0</v>
      </c>
      <c r="H741" s="71">
        <f t="shared" si="2"/>
        <v>0</v>
      </c>
      <c r="I741" s="72">
        <f>IFERROR( SUMIFS('Stock In'!I:I,'Stock In'!C:C,$A741,'Stock In'!D:D,$B741,'Stock In'!E:E,$C741) / SUMIFS('Stock In'!H:H,'Stock In'!C:C,$A741,'Stock In'!D:D,$B741,'Stock In'!E:E,$C741) , 0)</f>
        <v>0</v>
      </c>
      <c r="J741" s="71">
        <f t="shared" si="3"/>
        <v>0</v>
      </c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8"/>
      <c r="B742" s="68"/>
      <c r="C742" s="68"/>
      <c r="D742" s="70">
        <f>IFERROR(SUMIFS('Stock In'!F:F,'Stock In'!C:C,$A742,'Stock In'!D:D,$B742,'Stock In'!E:E,$C742),0)</f>
        <v>0</v>
      </c>
      <c r="E742" s="70">
        <f>IFERROR(SUMIFS(Issues!H:H,Issues!C:C,$A742,Issues!D:D,$B742,Issues!E:E,$C742),0)</f>
        <v>0</v>
      </c>
      <c r="F742" s="70">
        <f>IFERROR(SUMIFS(Returns!H:H,Returns!C:C,$A742,Returns!D:D,$B742,Returns!E:E,$C742),0)</f>
        <v>0</v>
      </c>
      <c r="G742" s="70">
        <f t="shared" si="1"/>
        <v>0</v>
      </c>
      <c r="H742" s="71">
        <f t="shared" si="2"/>
        <v>0</v>
      </c>
      <c r="I742" s="72">
        <f>IFERROR( SUMIFS('Stock In'!I:I,'Stock In'!C:C,$A742,'Stock In'!D:D,$B742,'Stock In'!E:E,$C742) / SUMIFS('Stock In'!H:H,'Stock In'!C:C,$A742,'Stock In'!D:D,$B742,'Stock In'!E:E,$C742) , 0)</f>
        <v>0</v>
      </c>
      <c r="J742" s="71">
        <f t="shared" si="3"/>
        <v>0</v>
      </c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8"/>
      <c r="B743" s="68"/>
      <c r="C743" s="68"/>
      <c r="D743" s="70">
        <f>IFERROR(SUMIFS('Stock In'!F:F,'Stock In'!C:C,$A743,'Stock In'!D:D,$B743,'Stock In'!E:E,$C743),0)</f>
        <v>0</v>
      </c>
      <c r="E743" s="70">
        <f>IFERROR(SUMIFS(Issues!H:H,Issues!C:C,$A743,Issues!D:D,$B743,Issues!E:E,$C743),0)</f>
        <v>0</v>
      </c>
      <c r="F743" s="70">
        <f>IFERROR(SUMIFS(Returns!H:H,Returns!C:C,$A743,Returns!D:D,$B743,Returns!E:E,$C743),0)</f>
        <v>0</v>
      </c>
      <c r="G743" s="70">
        <f t="shared" si="1"/>
        <v>0</v>
      </c>
      <c r="H743" s="71">
        <f t="shared" si="2"/>
        <v>0</v>
      </c>
      <c r="I743" s="72">
        <f>IFERROR( SUMIFS('Stock In'!I:I,'Stock In'!C:C,$A743,'Stock In'!D:D,$B743,'Stock In'!E:E,$C743) / SUMIFS('Stock In'!H:H,'Stock In'!C:C,$A743,'Stock In'!D:D,$B743,'Stock In'!E:E,$C743) , 0)</f>
        <v>0</v>
      </c>
      <c r="J743" s="71">
        <f t="shared" si="3"/>
        <v>0</v>
      </c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8"/>
      <c r="B744" s="68"/>
      <c r="C744" s="68"/>
      <c r="D744" s="70">
        <f>IFERROR(SUMIFS('Stock In'!F:F,'Stock In'!C:C,$A744,'Stock In'!D:D,$B744,'Stock In'!E:E,$C744),0)</f>
        <v>0</v>
      </c>
      <c r="E744" s="70">
        <f>IFERROR(SUMIFS(Issues!H:H,Issues!C:C,$A744,Issues!D:D,$B744,Issues!E:E,$C744),0)</f>
        <v>0</v>
      </c>
      <c r="F744" s="70">
        <f>IFERROR(SUMIFS(Returns!H:H,Returns!C:C,$A744,Returns!D:D,$B744,Returns!E:E,$C744),0)</f>
        <v>0</v>
      </c>
      <c r="G744" s="70">
        <f t="shared" si="1"/>
        <v>0</v>
      </c>
      <c r="H744" s="71">
        <f t="shared" si="2"/>
        <v>0</v>
      </c>
      <c r="I744" s="72">
        <f>IFERROR( SUMIFS('Stock In'!I:I,'Stock In'!C:C,$A744,'Stock In'!D:D,$B744,'Stock In'!E:E,$C744) / SUMIFS('Stock In'!H:H,'Stock In'!C:C,$A744,'Stock In'!D:D,$B744,'Stock In'!E:E,$C744) , 0)</f>
        <v>0</v>
      </c>
      <c r="J744" s="71">
        <f t="shared" si="3"/>
        <v>0</v>
      </c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8"/>
      <c r="B745" s="68"/>
      <c r="C745" s="68"/>
      <c r="D745" s="70">
        <f>IFERROR(SUMIFS('Stock In'!F:F,'Stock In'!C:C,$A745,'Stock In'!D:D,$B745,'Stock In'!E:E,$C745),0)</f>
        <v>0</v>
      </c>
      <c r="E745" s="70">
        <f>IFERROR(SUMIFS(Issues!H:H,Issues!C:C,$A745,Issues!D:D,$B745,Issues!E:E,$C745),0)</f>
        <v>0</v>
      </c>
      <c r="F745" s="70">
        <f>IFERROR(SUMIFS(Returns!H:H,Returns!C:C,$A745,Returns!D:D,$B745,Returns!E:E,$C745),0)</f>
        <v>0</v>
      </c>
      <c r="G745" s="70">
        <f t="shared" si="1"/>
        <v>0</v>
      </c>
      <c r="H745" s="71">
        <f t="shared" si="2"/>
        <v>0</v>
      </c>
      <c r="I745" s="72">
        <f>IFERROR( SUMIFS('Stock In'!I:I,'Stock In'!C:C,$A745,'Stock In'!D:D,$B745,'Stock In'!E:E,$C745) / SUMIFS('Stock In'!H:H,'Stock In'!C:C,$A745,'Stock In'!D:D,$B745,'Stock In'!E:E,$C745) , 0)</f>
        <v>0</v>
      </c>
      <c r="J745" s="71">
        <f t="shared" si="3"/>
        <v>0</v>
      </c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8"/>
      <c r="B746" s="68"/>
      <c r="C746" s="68"/>
      <c r="D746" s="70">
        <f>IFERROR(SUMIFS('Stock In'!F:F,'Stock In'!C:C,$A746,'Stock In'!D:D,$B746,'Stock In'!E:E,$C746),0)</f>
        <v>0</v>
      </c>
      <c r="E746" s="70">
        <f>IFERROR(SUMIFS(Issues!H:H,Issues!C:C,$A746,Issues!D:D,$B746,Issues!E:E,$C746),0)</f>
        <v>0</v>
      </c>
      <c r="F746" s="70">
        <f>IFERROR(SUMIFS(Returns!H:H,Returns!C:C,$A746,Returns!D:D,$B746,Returns!E:E,$C746),0)</f>
        <v>0</v>
      </c>
      <c r="G746" s="70">
        <f t="shared" si="1"/>
        <v>0</v>
      </c>
      <c r="H746" s="71">
        <f t="shared" si="2"/>
        <v>0</v>
      </c>
      <c r="I746" s="72">
        <f>IFERROR( SUMIFS('Stock In'!I:I,'Stock In'!C:C,$A746,'Stock In'!D:D,$B746,'Stock In'!E:E,$C746) / SUMIFS('Stock In'!H:H,'Stock In'!C:C,$A746,'Stock In'!D:D,$B746,'Stock In'!E:E,$C746) , 0)</f>
        <v>0</v>
      </c>
      <c r="J746" s="71">
        <f t="shared" si="3"/>
        <v>0</v>
      </c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8"/>
      <c r="B747" s="68"/>
      <c r="C747" s="68"/>
      <c r="D747" s="70">
        <f>IFERROR(SUMIFS('Stock In'!F:F,'Stock In'!C:C,$A747,'Stock In'!D:D,$B747,'Stock In'!E:E,$C747),0)</f>
        <v>0</v>
      </c>
      <c r="E747" s="70">
        <f>IFERROR(SUMIFS(Issues!H:H,Issues!C:C,$A747,Issues!D:D,$B747,Issues!E:E,$C747),0)</f>
        <v>0</v>
      </c>
      <c r="F747" s="70">
        <f>IFERROR(SUMIFS(Returns!H:H,Returns!C:C,$A747,Returns!D:D,$B747,Returns!E:E,$C747),0)</f>
        <v>0</v>
      </c>
      <c r="G747" s="70">
        <f t="shared" si="1"/>
        <v>0</v>
      </c>
      <c r="H747" s="71">
        <f t="shared" si="2"/>
        <v>0</v>
      </c>
      <c r="I747" s="72">
        <f>IFERROR( SUMIFS('Stock In'!I:I,'Stock In'!C:C,$A747,'Stock In'!D:D,$B747,'Stock In'!E:E,$C747) / SUMIFS('Stock In'!H:H,'Stock In'!C:C,$A747,'Stock In'!D:D,$B747,'Stock In'!E:E,$C747) , 0)</f>
        <v>0</v>
      </c>
      <c r="J747" s="71">
        <f t="shared" si="3"/>
        <v>0</v>
      </c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8"/>
      <c r="B748" s="68"/>
      <c r="C748" s="68"/>
      <c r="D748" s="70">
        <f>IFERROR(SUMIFS('Stock In'!F:F,'Stock In'!C:C,$A748,'Stock In'!D:D,$B748,'Stock In'!E:E,$C748),0)</f>
        <v>0</v>
      </c>
      <c r="E748" s="70">
        <f>IFERROR(SUMIFS(Issues!H:H,Issues!C:C,$A748,Issues!D:D,$B748,Issues!E:E,$C748),0)</f>
        <v>0</v>
      </c>
      <c r="F748" s="70">
        <f>IFERROR(SUMIFS(Returns!H:H,Returns!C:C,$A748,Returns!D:D,$B748,Returns!E:E,$C748),0)</f>
        <v>0</v>
      </c>
      <c r="G748" s="70">
        <f t="shared" si="1"/>
        <v>0</v>
      </c>
      <c r="H748" s="71">
        <f t="shared" si="2"/>
        <v>0</v>
      </c>
      <c r="I748" s="72">
        <f>IFERROR( SUMIFS('Stock In'!I:I,'Stock In'!C:C,$A748,'Stock In'!D:D,$B748,'Stock In'!E:E,$C748) / SUMIFS('Stock In'!H:H,'Stock In'!C:C,$A748,'Stock In'!D:D,$B748,'Stock In'!E:E,$C748) , 0)</f>
        <v>0</v>
      </c>
      <c r="J748" s="71">
        <f t="shared" si="3"/>
        <v>0</v>
      </c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8"/>
      <c r="B749" s="68"/>
      <c r="C749" s="68"/>
      <c r="D749" s="70">
        <f>IFERROR(SUMIFS('Stock In'!F:F,'Stock In'!C:C,$A749,'Stock In'!D:D,$B749,'Stock In'!E:E,$C749),0)</f>
        <v>0</v>
      </c>
      <c r="E749" s="70">
        <f>IFERROR(SUMIFS(Issues!H:H,Issues!C:C,$A749,Issues!D:D,$B749,Issues!E:E,$C749),0)</f>
        <v>0</v>
      </c>
      <c r="F749" s="70">
        <f>IFERROR(SUMIFS(Returns!H:H,Returns!C:C,$A749,Returns!D:D,$B749,Returns!E:E,$C749),0)</f>
        <v>0</v>
      </c>
      <c r="G749" s="70">
        <f t="shared" si="1"/>
        <v>0</v>
      </c>
      <c r="H749" s="71">
        <f t="shared" si="2"/>
        <v>0</v>
      </c>
      <c r="I749" s="72">
        <f>IFERROR( SUMIFS('Stock In'!I:I,'Stock In'!C:C,$A749,'Stock In'!D:D,$B749,'Stock In'!E:E,$C749) / SUMIFS('Stock In'!H:H,'Stock In'!C:C,$A749,'Stock In'!D:D,$B749,'Stock In'!E:E,$C749) , 0)</f>
        <v>0</v>
      </c>
      <c r="J749" s="71">
        <f t="shared" si="3"/>
        <v>0</v>
      </c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8"/>
      <c r="B750" s="68"/>
      <c r="C750" s="68"/>
      <c r="D750" s="70">
        <f>IFERROR(SUMIFS('Stock In'!F:F,'Stock In'!C:C,$A750,'Stock In'!D:D,$B750,'Stock In'!E:E,$C750),0)</f>
        <v>0</v>
      </c>
      <c r="E750" s="70">
        <f>IFERROR(SUMIFS(Issues!H:H,Issues!C:C,$A750,Issues!D:D,$B750,Issues!E:E,$C750),0)</f>
        <v>0</v>
      </c>
      <c r="F750" s="70">
        <f>IFERROR(SUMIFS(Returns!H:H,Returns!C:C,$A750,Returns!D:D,$B750,Returns!E:E,$C750),0)</f>
        <v>0</v>
      </c>
      <c r="G750" s="70">
        <f t="shared" si="1"/>
        <v>0</v>
      </c>
      <c r="H750" s="71">
        <f t="shared" si="2"/>
        <v>0</v>
      </c>
      <c r="I750" s="72">
        <f>IFERROR( SUMIFS('Stock In'!I:I,'Stock In'!C:C,$A750,'Stock In'!D:D,$B750,'Stock In'!E:E,$C750) / SUMIFS('Stock In'!H:H,'Stock In'!C:C,$A750,'Stock In'!D:D,$B750,'Stock In'!E:E,$C750) , 0)</f>
        <v>0</v>
      </c>
      <c r="J750" s="71">
        <f t="shared" si="3"/>
        <v>0</v>
      </c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8"/>
      <c r="B751" s="68"/>
      <c r="C751" s="68"/>
      <c r="D751" s="70">
        <f>IFERROR(SUMIFS('Stock In'!F:F,'Stock In'!C:C,$A751,'Stock In'!D:D,$B751,'Stock In'!E:E,$C751),0)</f>
        <v>0</v>
      </c>
      <c r="E751" s="70">
        <f>IFERROR(SUMIFS(Issues!H:H,Issues!C:C,$A751,Issues!D:D,$B751,Issues!E:E,$C751),0)</f>
        <v>0</v>
      </c>
      <c r="F751" s="70">
        <f>IFERROR(SUMIFS(Returns!H:H,Returns!C:C,$A751,Returns!D:D,$B751,Returns!E:E,$C751),0)</f>
        <v>0</v>
      </c>
      <c r="G751" s="70">
        <f t="shared" si="1"/>
        <v>0</v>
      </c>
      <c r="H751" s="71">
        <f t="shared" si="2"/>
        <v>0</v>
      </c>
      <c r="I751" s="72">
        <f>IFERROR( SUMIFS('Stock In'!I:I,'Stock In'!C:C,$A751,'Stock In'!D:D,$B751,'Stock In'!E:E,$C751) / SUMIFS('Stock In'!H:H,'Stock In'!C:C,$A751,'Stock In'!D:D,$B751,'Stock In'!E:E,$C751) , 0)</f>
        <v>0</v>
      </c>
      <c r="J751" s="71">
        <f t="shared" si="3"/>
        <v>0</v>
      </c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8"/>
      <c r="B752" s="68"/>
      <c r="C752" s="68"/>
      <c r="D752" s="70">
        <f>IFERROR(SUMIFS('Stock In'!F:F,'Stock In'!C:C,$A752,'Stock In'!D:D,$B752,'Stock In'!E:E,$C752),0)</f>
        <v>0</v>
      </c>
      <c r="E752" s="70">
        <f>IFERROR(SUMIFS(Issues!H:H,Issues!C:C,$A752,Issues!D:D,$B752,Issues!E:E,$C752),0)</f>
        <v>0</v>
      </c>
      <c r="F752" s="70">
        <f>IFERROR(SUMIFS(Returns!H:H,Returns!C:C,$A752,Returns!D:D,$B752,Returns!E:E,$C752),0)</f>
        <v>0</v>
      </c>
      <c r="G752" s="70">
        <f t="shared" si="1"/>
        <v>0</v>
      </c>
      <c r="H752" s="71">
        <f t="shared" si="2"/>
        <v>0</v>
      </c>
      <c r="I752" s="72">
        <f>IFERROR( SUMIFS('Stock In'!I:I,'Stock In'!C:C,$A752,'Stock In'!D:D,$B752,'Stock In'!E:E,$C752) / SUMIFS('Stock In'!H:H,'Stock In'!C:C,$A752,'Stock In'!D:D,$B752,'Stock In'!E:E,$C752) , 0)</f>
        <v>0</v>
      </c>
      <c r="J752" s="71">
        <f t="shared" si="3"/>
        <v>0</v>
      </c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8"/>
      <c r="B753" s="68"/>
      <c r="C753" s="68"/>
      <c r="D753" s="70">
        <f>IFERROR(SUMIFS('Stock In'!F:F,'Stock In'!C:C,$A753,'Stock In'!D:D,$B753,'Stock In'!E:E,$C753),0)</f>
        <v>0</v>
      </c>
      <c r="E753" s="70">
        <f>IFERROR(SUMIFS(Issues!H:H,Issues!C:C,$A753,Issues!D:D,$B753,Issues!E:E,$C753),0)</f>
        <v>0</v>
      </c>
      <c r="F753" s="70">
        <f>IFERROR(SUMIFS(Returns!H:H,Returns!C:C,$A753,Returns!D:D,$B753,Returns!E:E,$C753),0)</f>
        <v>0</v>
      </c>
      <c r="G753" s="70">
        <f t="shared" si="1"/>
        <v>0</v>
      </c>
      <c r="H753" s="71">
        <f t="shared" si="2"/>
        <v>0</v>
      </c>
      <c r="I753" s="72">
        <f>IFERROR( SUMIFS('Stock In'!I:I,'Stock In'!C:C,$A753,'Stock In'!D:D,$B753,'Stock In'!E:E,$C753) / SUMIFS('Stock In'!H:H,'Stock In'!C:C,$A753,'Stock In'!D:D,$B753,'Stock In'!E:E,$C753) , 0)</f>
        <v>0</v>
      </c>
      <c r="J753" s="71">
        <f t="shared" si="3"/>
        <v>0</v>
      </c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8"/>
      <c r="B754" s="68"/>
      <c r="C754" s="68"/>
      <c r="D754" s="70">
        <f>IFERROR(SUMIFS('Stock In'!F:F,'Stock In'!C:C,$A754,'Stock In'!D:D,$B754,'Stock In'!E:E,$C754),0)</f>
        <v>0</v>
      </c>
      <c r="E754" s="70">
        <f>IFERROR(SUMIFS(Issues!H:H,Issues!C:C,$A754,Issues!D:D,$B754,Issues!E:E,$C754),0)</f>
        <v>0</v>
      </c>
      <c r="F754" s="70">
        <f>IFERROR(SUMIFS(Returns!H:H,Returns!C:C,$A754,Returns!D:D,$B754,Returns!E:E,$C754),0)</f>
        <v>0</v>
      </c>
      <c r="G754" s="70">
        <f t="shared" si="1"/>
        <v>0</v>
      </c>
      <c r="H754" s="71">
        <f t="shared" si="2"/>
        <v>0</v>
      </c>
      <c r="I754" s="72">
        <f>IFERROR( SUMIFS('Stock In'!I:I,'Stock In'!C:C,$A754,'Stock In'!D:D,$B754,'Stock In'!E:E,$C754) / SUMIFS('Stock In'!H:H,'Stock In'!C:C,$A754,'Stock In'!D:D,$B754,'Stock In'!E:E,$C754) , 0)</f>
        <v>0</v>
      </c>
      <c r="J754" s="71">
        <f t="shared" si="3"/>
        <v>0</v>
      </c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8"/>
      <c r="B755" s="68"/>
      <c r="C755" s="68"/>
      <c r="D755" s="70">
        <f>IFERROR(SUMIFS('Stock In'!F:F,'Stock In'!C:C,$A755,'Stock In'!D:D,$B755,'Stock In'!E:E,$C755),0)</f>
        <v>0</v>
      </c>
      <c r="E755" s="70">
        <f>IFERROR(SUMIFS(Issues!H:H,Issues!C:C,$A755,Issues!D:D,$B755,Issues!E:E,$C755),0)</f>
        <v>0</v>
      </c>
      <c r="F755" s="70">
        <f>IFERROR(SUMIFS(Returns!H:H,Returns!C:C,$A755,Returns!D:D,$B755,Returns!E:E,$C755),0)</f>
        <v>0</v>
      </c>
      <c r="G755" s="70">
        <f t="shared" si="1"/>
        <v>0</v>
      </c>
      <c r="H755" s="71">
        <f t="shared" si="2"/>
        <v>0</v>
      </c>
      <c r="I755" s="72">
        <f>IFERROR( SUMIFS('Stock In'!I:I,'Stock In'!C:C,$A755,'Stock In'!D:D,$B755,'Stock In'!E:E,$C755) / SUMIFS('Stock In'!H:H,'Stock In'!C:C,$A755,'Stock In'!D:D,$B755,'Stock In'!E:E,$C755) , 0)</f>
        <v>0</v>
      </c>
      <c r="J755" s="71">
        <f t="shared" si="3"/>
        <v>0</v>
      </c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8"/>
      <c r="B756" s="68"/>
      <c r="C756" s="68"/>
      <c r="D756" s="70">
        <f>IFERROR(SUMIFS('Stock In'!F:F,'Stock In'!C:C,$A756,'Stock In'!D:D,$B756,'Stock In'!E:E,$C756),0)</f>
        <v>0</v>
      </c>
      <c r="E756" s="70">
        <f>IFERROR(SUMIFS(Issues!H:H,Issues!C:C,$A756,Issues!D:D,$B756,Issues!E:E,$C756),0)</f>
        <v>0</v>
      </c>
      <c r="F756" s="70">
        <f>IFERROR(SUMIFS(Returns!H:H,Returns!C:C,$A756,Returns!D:D,$B756,Returns!E:E,$C756),0)</f>
        <v>0</v>
      </c>
      <c r="G756" s="70">
        <f t="shared" si="1"/>
        <v>0</v>
      </c>
      <c r="H756" s="71">
        <f t="shared" si="2"/>
        <v>0</v>
      </c>
      <c r="I756" s="72">
        <f>IFERROR( SUMIFS('Stock In'!I:I,'Stock In'!C:C,$A756,'Stock In'!D:D,$B756,'Stock In'!E:E,$C756) / SUMIFS('Stock In'!H:H,'Stock In'!C:C,$A756,'Stock In'!D:D,$B756,'Stock In'!E:E,$C756) , 0)</f>
        <v>0</v>
      </c>
      <c r="J756" s="71">
        <f t="shared" si="3"/>
        <v>0</v>
      </c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8"/>
      <c r="B757" s="68"/>
      <c r="C757" s="68"/>
      <c r="D757" s="70">
        <f>IFERROR(SUMIFS('Stock In'!F:F,'Stock In'!C:C,$A757,'Stock In'!D:D,$B757,'Stock In'!E:E,$C757),0)</f>
        <v>0</v>
      </c>
      <c r="E757" s="70">
        <f>IFERROR(SUMIFS(Issues!H:H,Issues!C:C,$A757,Issues!D:D,$B757,Issues!E:E,$C757),0)</f>
        <v>0</v>
      </c>
      <c r="F757" s="70">
        <f>IFERROR(SUMIFS(Returns!H:H,Returns!C:C,$A757,Returns!D:D,$B757,Returns!E:E,$C757),0)</f>
        <v>0</v>
      </c>
      <c r="G757" s="70">
        <f t="shared" si="1"/>
        <v>0</v>
      </c>
      <c r="H757" s="71">
        <f t="shared" si="2"/>
        <v>0</v>
      </c>
      <c r="I757" s="72">
        <f>IFERROR( SUMIFS('Stock In'!I:I,'Stock In'!C:C,$A757,'Stock In'!D:D,$B757,'Stock In'!E:E,$C757) / SUMIFS('Stock In'!H:H,'Stock In'!C:C,$A757,'Stock In'!D:D,$B757,'Stock In'!E:E,$C757) , 0)</f>
        <v>0</v>
      </c>
      <c r="J757" s="71">
        <f t="shared" si="3"/>
        <v>0</v>
      </c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8"/>
      <c r="B758" s="68"/>
      <c r="C758" s="68"/>
      <c r="D758" s="70">
        <f>IFERROR(SUMIFS('Stock In'!F:F,'Stock In'!C:C,$A758,'Stock In'!D:D,$B758,'Stock In'!E:E,$C758),0)</f>
        <v>0</v>
      </c>
      <c r="E758" s="70">
        <f>IFERROR(SUMIFS(Issues!H:H,Issues!C:C,$A758,Issues!D:D,$B758,Issues!E:E,$C758),0)</f>
        <v>0</v>
      </c>
      <c r="F758" s="70">
        <f>IFERROR(SUMIFS(Returns!H:H,Returns!C:C,$A758,Returns!D:D,$B758,Returns!E:E,$C758),0)</f>
        <v>0</v>
      </c>
      <c r="G758" s="70">
        <f t="shared" si="1"/>
        <v>0</v>
      </c>
      <c r="H758" s="71">
        <f t="shared" si="2"/>
        <v>0</v>
      </c>
      <c r="I758" s="72">
        <f>IFERROR( SUMIFS('Stock In'!I:I,'Stock In'!C:C,$A758,'Stock In'!D:D,$B758,'Stock In'!E:E,$C758) / SUMIFS('Stock In'!H:H,'Stock In'!C:C,$A758,'Stock In'!D:D,$B758,'Stock In'!E:E,$C758) , 0)</f>
        <v>0</v>
      </c>
      <c r="J758" s="71">
        <f t="shared" si="3"/>
        <v>0</v>
      </c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8"/>
      <c r="B759" s="68"/>
      <c r="C759" s="68"/>
      <c r="D759" s="70">
        <f>IFERROR(SUMIFS('Stock In'!F:F,'Stock In'!C:C,$A759,'Stock In'!D:D,$B759,'Stock In'!E:E,$C759),0)</f>
        <v>0</v>
      </c>
      <c r="E759" s="70">
        <f>IFERROR(SUMIFS(Issues!H:H,Issues!C:C,$A759,Issues!D:D,$B759,Issues!E:E,$C759),0)</f>
        <v>0</v>
      </c>
      <c r="F759" s="70">
        <f>IFERROR(SUMIFS(Returns!H:H,Returns!C:C,$A759,Returns!D:D,$B759,Returns!E:E,$C759),0)</f>
        <v>0</v>
      </c>
      <c r="G759" s="70">
        <f t="shared" si="1"/>
        <v>0</v>
      </c>
      <c r="H759" s="71">
        <f t="shared" si="2"/>
        <v>0</v>
      </c>
      <c r="I759" s="72">
        <f>IFERROR( SUMIFS('Stock In'!I:I,'Stock In'!C:C,$A759,'Stock In'!D:D,$B759,'Stock In'!E:E,$C759) / SUMIFS('Stock In'!H:H,'Stock In'!C:C,$A759,'Stock In'!D:D,$B759,'Stock In'!E:E,$C759) , 0)</f>
        <v>0</v>
      </c>
      <c r="J759" s="71">
        <f t="shared" si="3"/>
        <v>0</v>
      </c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8"/>
      <c r="B760" s="68"/>
      <c r="C760" s="68"/>
      <c r="D760" s="70">
        <f>IFERROR(SUMIFS('Stock In'!F:F,'Stock In'!C:C,$A760,'Stock In'!D:D,$B760,'Stock In'!E:E,$C760),0)</f>
        <v>0</v>
      </c>
      <c r="E760" s="70">
        <f>IFERROR(SUMIFS(Issues!H:H,Issues!C:C,$A760,Issues!D:D,$B760,Issues!E:E,$C760),0)</f>
        <v>0</v>
      </c>
      <c r="F760" s="70">
        <f>IFERROR(SUMIFS(Returns!H:H,Returns!C:C,$A760,Returns!D:D,$B760,Returns!E:E,$C760),0)</f>
        <v>0</v>
      </c>
      <c r="G760" s="70">
        <f t="shared" si="1"/>
        <v>0</v>
      </c>
      <c r="H760" s="71">
        <f t="shared" si="2"/>
        <v>0</v>
      </c>
      <c r="I760" s="72">
        <f>IFERROR( SUMIFS('Stock In'!I:I,'Stock In'!C:C,$A760,'Stock In'!D:D,$B760,'Stock In'!E:E,$C760) / SUMIFS('Stock In'!H:H,'Stock In'!C:C,$A760,'Stock In'!D:D,$B760,'Stock In'!E:E,$C760) , 0)</f>
        <v>0</v>
      </c>
      <c r="J760" s="71">
        <f t="shared" si="3"/>
        <v>0</v>
      </c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8"/>
      <c r="B761" s="68"/>
      <c r="C761" s="68"/>
      <c r="D761" s="70">
        <f>IFERROR(SUMIFS('Stock In'!F:F,'Stock In'!C:C,$A761,'Stock In'!D:D,$B761,'Stock In'!E:E,$C761),0)</f>
        <v>0</v>
      </c>
      <c r="E761" s="70">
        <f>IFERROR(SUMIFS(Issues!H:H,Issues!C:C,$A761,Issues!D:D,$B761,Issues!E:E,$C761),0)</f>
        <v>0</v>
      </c>
      <c r="F761" s="70">
        <f>IFERROR(SUMIFS(Returns!H:H,Returns!C:C,$A761,Returns!D:D,$B761,Returns!E:E,$C761),0)</f>
        <v>0</v>
      </c>
      <c r="G761" s="70">
        <f t="shared" si="1"/>
        <v>0</v>
      </c>
      <c r="H761" s="71">
        <f t="shared" si="2"/>
        <v>0</v>
      </c>
      <c r="I761" s="72">
        <f>IFERROR( SUMIFS('Stock In'!I:I,'Stock In'!C:C,$A761,'Stock In'!D:D,$B761,'Stock In'!E:E,$C761) / SUMIFS('Stock In'!H:H,'Stock In'!C:C,$A761,'Stock In'!D:D,$B761,'Stock In'!E:E,$C761) , 0)</f>
        <v>0</v>
      </c>
      <c r="J761" s="71">
        <f t="shared" si="3"/>
        <v>0</v>
      </c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8"/>
      <c r="B762" s="68"/>
      <c r="C762" s="68"/>
      <c r="D762" s="70">
        <f>IFERROR(SUMIFS('Stock In'!F:F,'Stock In'!C:C,$A762,'Stock In'!D:D,$B762,'Stock In'!E:E,$C762),0)</f>
        <v>0</v>
      </c>
      <c r="E762" s="70">
        <f>IFERROR(SUMIFS(Issues!H:H,Issues!C:C,$A762,Issues!D:D,$B762,Issues!E:E,$C762),0)</f>
        <v>0</v>
      </c>
      <c r="F762" s="70">
        <f>IFERROR(SUMIFS(Returns!H:H,Returns!C:C,$A762,Returns!D:D,$B762,Returns!E:E,$C762),0)</f>
        <v>0</v>
      </c>
      <c r="G762" s="70">
        <f t="shared" si="1"/>
        <v>0</v>
      </c>
      <c r="H762" s="71">
        <f t="shared" si="2"/>
        <v>0</v>
      </c>
      <c r="I762" s="72">
        <f>IFERROR( SUMIFS('Stock In'!I:I,'Stock In'!C:C,$A762,'Stock In'!D:D,$B762,'Stock In'!E:E,$C762) / SUMIFS('Stock In'!H:H,'Stock In'!C:C,$A762,'Stock In'!D:D,$B762,'Stock In'!E:E,$C762) , 0)</f>
        <v>0</v>
      </c>
      <c r="J762" s="71">
        <f t="shared" si="3"/>
        <v>0</v>
      </c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8"/>
      <c r="B763" s="68"/>
      <c r="C763" s="68"/>
      <c r="D763" s="70">
        <f>IFERROR(SUMIFS('Stock In'!F:F,'Stock In'!C:C,$A763,'Stock In'!D:D,$B763,'Stock In'!E:E,$C763),0)</f>
        <v>0</v>
      </c>
      <c r="E763" s="70">
        <f>IFERROR(SUMIFS(Issues!H:H,Issues!C:C,$A763,Issues!D:D,$B763,Issues!E:E,$C763),0)</f>
        <v>0</v>
      </c>
      <c r="F763" s="70">
        <f>IFERROR(SUMIFS(Returns!H:H,Returns!C:C,$A763,Returns!D:D,$B763,Returns!E:E,$C763),0)</f>
        <v>0</v>
      </c>
      <c r="G763" s="70">
        <f t="shared" si="1"/>
        <v>0</v>
      </c>
      <c r="H763" s="71">
        <f t="shared" si="2"/>
        <v>0</v>
      </c>
      <c r="I763" s="72">
        <f>IFERROR( SUMIFS('Stock In'!I:I,'Stock In'!C:C,$A763,'Stock In'!D:D,$B763,'Stock In'!E:E,$C763) / SUMIFS('Stock In'!H:H,'Stock In'!C:C,$A763,'Stock In'!D:D,$B763,'Stock In'!E:E,$C763) , 0)</f>
        <v>0</v>
      </c>
      <c r="J763" s="71">
        <f t="shared" si="3"/>
        <v>0</v>
      </c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8"/>
      <c r="B764" s="68"/>
      <c r="C764" s="68"/>
      <c r="D764" s="70">
        <f>IFERROR(SUMIFS('Stock In'!F:F,'Stock In'!C:C,$A764,'Stock In'!D:D,$B764,'Stock In'!E:E,$C764),0)</f>
        <v>0</v>
      </c>
      <c r="E764" s="70">
        <f>IFERROR(SUMIFS(Issues!H:H,Issues!C:C,$A764,Issues!D:D,$B764,Issues!E:E,$C764),0)</f>
        <v>0</v>
      </c>
      <c r="F764" s="70">
        <f>IFERROR(SUMIFS(Returns!H:H,Returns!C:C,$A764,Returns!D:D,$B764,Returns!E:E,$C764),0)</f>
        <v>0</v>
      </c>
      <c r="G764" s="70">
        <f t="shared" si="1"/>
        <v>0</v>
      </c>
      <c r="H764" s="71">
        <f t="shared" si="2"/>
        <v>0</v>
      </c>
      <c r="I764" s="72">
        <f>IFERROR( SUMIFS('Stock In'!I:I,'Stock In'!C:C,$A764,'Stock In'!D:D,$B764,'Stock In'!E:E,$C764) / SUMIFS('Stock In'!H:H,'Stock In'!C:C,$A764,'Stock In'!D:D,$B764,'Stock In'!E:E,$C764) , 0)</f>
        <v>0</v>
      </c>
      <c r="J764" s="71">
        <f t="shared" si="3"/>
        <v>0</v>
      </c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8"/>
      <c r="B765" s="68"/>
      <c r="C765" s="68"/>
      <c r="D765" s="70">
        <f>IFERROR(SUMIFS('Stock In'!F:F,'Stock In'!C:C,$A765,'Stock In'!D:D,$B765,'Stock In'!E:E,$C765),0)</f>
        <v>0</v>
      </c>
      <c r="E765" s="70">
        <f>IFERROR(SUMIFS(Issues!H:H,Issues!C:C,$A765,Issues!D:D,$B765,Issues!E:E,$C765),0)</f>
        <v>0</v>
      </c>
      <c r="F765" s="70">
        <f>IFERROR(SUMIFS(Returns!H:H,Returns!C:C,$A765,Returns!D:D,$B765,Returns!E:E,$C765),0)</f>
        <v>0</v>
      </c>
      <c r="G765" s="70">
        <f t="shared" si="1"/>
        <v>0</v>
      </c>
      <c r="H765" s="71">
        <f t="shared" si="2"/>
        <v>0</v>
      </c>
      <c r="I765" s="72">
        <f>IFERROR( SUMIFS('Stock In'!I:I,'Stock In'!C:C,$A765,'Stock In'!D:D,$B765,'Stock In'!E:E,$C765) / SUMIFS('Stock In'!H:H,'Stock In'!C:C,$A765,'Stock In'!D:D,$B765,'Stock In'!E:E,$C765) , 0)</f>
        <v>0</v>
      </c>
      <c r="J765" s="71">
        <f t="shared" si="3"/>
        <v>0</v>
      </c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8"/>
      <c r="B766" s="68"/>
      <c r="C766" s="68"/>
      <c r="D766" s="70">
        <f>IFERROR(SUMIFS('Stock In'!F:F,'Stock In'!C:C,$A766,'Stock In'!D:D,$B766,'Stock In'!E:E,$C766),0)</f>
        <v>0</v>
      </c>
      <c r="E766" s="70">
        <f>IFERROR(SUMIFS(Issues!H:H,Issues!C:C,$A766,Issues!D:D,$B766,Issues!E:E,$C766),0)</f>
        <v>0</v>
      </c>
      <c r="F766" s="70">
        <f>IFERROR(SUMIFS(Returns!H:H,Returns!C:C,$A766,Returns!D:D,$B766,Returns!E:E,$C766),0)</f>
        <v>0</v>
      </c>
      <c r="G766" s="70">
        <f t="shared" si="1"/>
        <v>0</v>
      </c>
      <c r="H766" s="71">
        <f t="shared" si="2"/>
        <v>0</v>
      </c>
      <c r="I766" s="72">
        <f>IFERROR( SUMIFS('Stock In'!I:I,'Stock In'!C:C,$A766,'Stock In'!D:D,$B766,'Stock In'!E:E,$C766) / SUMIFS('Stock In'!H:H,'Stock In'!C:C,$A766,'Stock In'!D:D,$B766,'Stock In'!E:E,$C766) , 0)</f>
        <v>0</v>
      </c>
      <c r="J766" s="71">
        <f t="shared" si="3"/>
        <v>0</v>
      </c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8"/>
      <c r="B767" s="68"/>
      <c r="C767" s="68"/>
      <c r="D767" s="70">
        <f>IFERROR(SUMIFS('Stock In'!F:F,'Stock In'!C:C,$A767,'Stock In'!D:D,$B767,'Stock In'!E:E,$C767),0)</f>
        <v>0</v>
      </c>
      <c r="E767" s="70">
        <f>IFERROR(SUMIFS(Issues!H:H,Issues!C:C,$A767,Issues!D:D,$B767,Issues!E:E,$C767),0)</f>
        <v>0</v>
      </c>
      <c r="F767" s="70">
        <f>IFERROR(SUMIFS(Returns!H:H,Returns!C:C,$A767,Returns!D:D,$B767,Returns!E:E,$C767),0)</f>
        <v>0</v>
      </c>
      <c r="G767" s="70">
        <f t="shared" si="1"/>
        <v>0</v>
      </c>
      <c r="H767" s="71">
        <f t="shared" si="2"/>
        <v>0</v>
      </c>
      <c r="I767" s="72">
        <f>IFERROR( SUMIFS('Stock In'!I:I,'Stock In'!C:C,$A767,'Stock In'!D:D,$B767,'Stock In'!E:E,$C767) / SUMIFS('Stock In'!H:H,'Stock In'!C:C,$A767,'Stock In'!D:D,$B767,'Stock In'!E:E,$C767) , 0)</f>
        <v>0</v>
      </c>
      <c r="J767" s="71">
        <f t="shared" si="3"/>
        <v>0</v>
      </c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8"/>
      <c r="B768" s="68"/>
      <c r="C768" s="68"/>
      <c r="D768" s="70">
        <f>IFERROR(SUMIFS('Stock In'!F:F,'Stock In'!C:C,$A768,'Stock In'!D:D,$B768,'Stock In'!E:E,$C768),0)</f>
        <v>0</v>
      </c>
      <c r="E768" s="70">
        <f>IFERROR(SUMIFS(Issues!H:H,Issues!C:C,$A768,Issues!D:D,$B768,Issues!E:E,$C768),0)</f>
        <v>0</v>
      </c>
      <c r="F768" s="70">
        <f>IFERROR(SUMIFS(Returns!H:H,Returns!C:C,$A768,Returns!D:D,$B768,Returns!E:E,$C768),0)</f>
        <v>0</v>
      </c>
      <c r="G768" s="70">
        <f t="shared" si="1"/>
        <v>0</v>
      </c>
      <c r="H768" s="71">
        <f t="shared" si="2"/>
        <v>0</v>
      </c>
      <c r="I768" s="72">
        <f>IFERROR( SUMIFS('Stock In'!I:I,'Stock In'!C:C,$A768,'Stock In'!D:D,$B768,'Stock In'!E:E,$C768) / SUMIFS('Stock In'!H:H,'Stock In'!C:C,$A768,'Stock In'!D:D,$B768,'Stock In'!E:E,$C768) , 0)</f>
        <v>0</v>
      </c>
      <c r="J768" s="71">
        <f t="shared" si="3"/>
        <v>0</v>
      </c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8"/>
      <c r="B769" s="68"/>
      <c r="C769" s="68"/>
      <c r="D769" s="70">
        <f>IFERROR(SUMIFS('Stock In'!F:F,'Stock In'!C:C,$A769,'Stock In'!D:D,$B769,'Stock In'!E:E,$C769),0)</f>
        <v>0</v>
      </c>
      <c r="E769" s="70">
        <f>IFERROR(SUMIFS(Issues!H:H,Issues!C:C,$A769,Issues!D:D,$B769,Issues!E:E,$C769),0)</f>
        <v>0</v>
      </c>
      <c r="F769" s="70">
        <f>IFERROR(SUMIFS(Returns!H:H,Returns!C:C,$A769,Returns!D:D,$B769,Returns!E:E,$C769),0)</f>
        <v>0</v>
      </c>
      <c r="G769" s="70">
        <f t="shared" si="1"/>
        <v>0</v>
      </c>
      <c r="H769" s="71">
        <f t="shared" si="2"/>
        <v>0</v>
      </c>
      <c r="I769" s="72">
        <f>IFERROR( SUMIFS('Stock In'!I:I,'Stock In'!C:C,$A769,'Stock In'!D:D,$B769,'Stock In'!E:E,$C769) / SUMIFS('Stock In'!H:H,'Stock In'!C:C,$A769,'Stock In'!D:D,$B769,'Stock In'!E:E,$C769) , 0)</f>
        <v>0</v>
      </c>
      <c r="J769" s="71">
        <f t="shared" si="3"/>
        <v>0</v>
      </c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8"/>
      <c r="B770" s="68"/>
      <c r="C770" s="68"/>
      <c r="D770" s="70">
        <f>IFERROR(SUMIFS('Stock In'!F:F,'Stock In'!C:C,$A770,'Stock In'!D:D,$B770,'Stock In'!E:E,$C770),0)</f>
        <v>0</v>
      </c>
      <c r="E770" s="70">
        <f>IFERROR(SUMIFS(Issues!H:H,Issues!C:C,$A770,Issues!D:D,$B770,Issues!E:E,$C770),0)</f>
        <v>0</v>
      </c>
      <c r="F770" s="70">
        <f>IFERROR(SUMIFS(Returns!H:H,Returns!C:C,$A770,Returns!D:D,$B770,Returns!E:E,$C770),0)</f>
        <v>0</v>
      </c>
      <c r="G770" s="70">
        <f t="shared" si="1"/>
        <v>0</v>
      </c>
      <c r="H770" s="71">
        <f t="shared" si="2"/>
        <v>0</v>
      </c>
      <c r="I770" s="72">
        <f>IFERROR( SUMIFS('Stock In'!I:I,'Stock In'!C:C,$A770,'Stock In'!D:D,$B770,'Stock In'!E:E,$C770) / SUMIFS('Stock In'!H:H,'Stock In'!C:C,$A770,'Stock In'!D:D,$B770,'Stock In'!E:E,$C770) , 0)</f>
        <v>0</v>
      </c>
      <c r="J770" s="71">
        <f t="shared" si="3"/>
        <v>0</v>
      </c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8"/>
      <c r="B771" s="68"/>
      <c r="C771" s="68"/>
      <c r="D771" s="70">
        <f>IFERROR(SUMIFS('Stock In'!F:F,'Stock In'!C:C,$A771,'Stock In'!D:D,$B771,'Stock In'!E:E,$C771),0)</f>
        <v>0</v>
      </c>
      <c r="E771" s="70">
        <f>IFERROR(SUMIFS(Issues!H:H,Issues!C:C,$A771,Issues!D:D,$B771,Issues!E:E,$C771),0)</f>
        <v>0</v>
      </c>
      <c r="F771" s="70">
        <f>IFERROR(SUMIFS(Returns!H:H,Returns!C:C,$A771,Returns!D:D,$B771,Returns!E:E,$C771),0)</f>
        <v>0</v>
      </c>
      <c r="G771" s="70">
        <f t="shared" si="1"/>
        <v>0</v>
      </c>
      <c r="H771" s="71">
        <f t="shared" si="2"/>
        <v>0</v>
      </c>
      <c r="I771" s="72">
        <f>IFERROR( SUMIFS('Stock In'!I:I,'Stock In'!C:C,$A771,'Stock In'!D:D,$B771,'Stock In'!E:E,$C771) / SUMIFS('Stock In'!H:H,'Stock In'!C:C,$A771,'Stock In'!D:D,$B771,'Stock In'!E:E,$C771) , 0)</f>
        <v>0</v>
      </c>
      <c r="J771" s="71">
        <f t="shared" si="3"/>
        <v>0</v>
      </c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8"/>
      <c r="B772" s="68"/>
      <c r="C772" s="68"/>
      <c r="D772" s="70">
        <f>IFERROR(SUMIFS('Stock In'!F:F,'Stock In'!C:C,$A772,'Stock In'!D:D,$B772,'Stock In'!E:E,$C772),0)</f>
        <v>0</v>
      </c>
      <c r="E772" s="70">
        <f>IFERROR(SUMIFS(Issues!H:H,Issues!C:C,$A772,Issues!D:D,$B772,Issues!E:E,$C772),0)</f>
        <v>0</v>
      </c>
      <c r="F772" s="70">
        <f>IFERROR(SUMIFS(Returns!H:H,Returns!C:C,$A772,Returns!D:D,$B772,Returns!E:E,$C772),0)</f>
        <v>0</v>
      </c>
      <c r="G772" s="70">
        <f t="shared" si="1"/>
        <v>0</v>
      </c>
      <c r="H772" s="71">
        <f t="shared" si="2"/>
        <v>0</v>
      </c>
      <c r="I772" s="72">
        <f>IFERROR( SUMIFS('Stock In'!I:I,'Stock In'!C:C,$A772,'Stock In'!D:D,$B772,'Stock In'!E:E,$C772) / SUMIFS('Stock In'!H:H,'Stock In'!C:C,$A772,'Stock In'!D:D,$B772,'Stock In'!E:E,$C772) , 0)</f>
        <v>0</v>
      </c>
      <c r="J772" s="71">
        <f t="shared" si="3"/>
        <v>0</v>
      </c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8"/>
      <c r="B773" s="68"/>
      <c r="C773" s="68"/>
      <c r="D773" s="70">
        <f>IFERROR(SUMIFS('Stock In'!F:F,'Stock In'!C:C,$A773,'Stock In'!D:D,$B773,'Stock In'!E:E,$C773),0)</f>
        <v>0</v>
      </c>
      <c r="E773" s="70">
        <f>IFERROR(SUMIFS(Issues!H:H,Issues!C:C,$A773,Issues!D:D,$B773,Issues!E:E,$C773),0)</f>
        <v>0</v>
      </c>
      <c r="F773" s="70">
        <f>IFERROR(SUMIFS(Returns!H:H,Returns!C:C,$A773,Returns!D:D,$B773,Returns!E:E,$C773),0)</f>
        <v>0</v>
      </c>
      <c r="G773" s="70">
        <f t="shared" si="1"/>
        <v>0</v>
      </c>
      <c r="H773" s="71">
        <f t="shared" si="2"/>
        <v>0</v>
      </c>
      <c r="I773" s="72">
        <f>IFERROR( SUMIFS('Stock In'!I:I,'Stock In'!C:C,$A773,'Stock In'!D:D,$B773,'Stock In'!E:E,$C773) / SUMIFS('Stock In'!H:H,'Stock In'!C:C,$A773,'Stock In'!D:D,$B773,'Stock In'!E:E,$C773) , 0)</f>
        <v>0</v>
      </c>
      <c r="J773" s="71">
        <f t="shared" si="3"/>
        <v>0</v>
      </c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8"/>
      <c r="B774" s="68"/>
      <c r="C774" s="68"/>
      <c r="D774" s="70">
        <f>IFERROR(SUMIFS('Stock In'!F:F,'Stock In'!C:C,$A774,'Stock In'!D:D,$B774,'Stock In'!E:E,$C774),0)</f>
        <v>0</v>
      </c>
      <c r="E774" s="70">
        <f>IFERROR(SUMIFS(Issues!H:H,Issues!C:C,$A774,Issues!D:D,$B774,Issues!E:E,$C774),0)</f>
        <v>0</v>
      </c>
      <c r="F774" s="70">
        <f>IFERROR(SUMIFS(Returns!H:H,Returns!C:C,$A774,Returns!D:D,$B774,Returns!E:E,$C774),0)</f>
        <v>0</v>
      </c>
      <c r="G774" s="70">
        <f t="shared" si="1"/>
        <v>0</v>
      </c>
      <c r="H774" s="71">
        <f t="shared" si="2"/>
        <v>0</v>
      </c>
      <c r="I774" s="72">
        <f>IFERROR( SUMIFS('Stock In'!I:I,'Stock In'!C:C,$A774,'Stock In'!D:D,$B774,'Stock In'!E:E,$C774) / SUMIFS('Stock In'!H:H,'Stock In'!C:C,$A774,'Stock In'!D:D,$B774,'Stock In'!E:E,$C774) , 0)</f>
        <v>0</v>
      </c>
      <c r="J774" s="71">
        <f t="shared" si="3"/>
        <v>0</v>
      </c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8"/>
      <c r="B775" s="68"/>
      <c r="C775" s="68"/>
      <c r="D775" s="70">
        <f>IFERROR(SUMIFS('Stock In'!F:F,'Stock In'!C:C,$A775,'Stock In'!D:D,$B775,'Stock In'!E:E,$C775),0)</f>
        <v>0</v>
      </c>
      <c r="E775" s="70">
        <f>IFERROR(SUMIFS(Issues!H:H,Issues!C:C,$A775,Issues!D:D,$B775,Issues!E:E,$C775),0)</f>
        <v>0</v>
      </c>
      <c r="F775" s="70">
        <f>IFERROR(SUMIFS(Returns!H:H,Returns!C:C,$A775,Returns!D:D,$B775,Returns!E:E,$C775),0)</f>
        <v>0</v>
      </c>
      <c r="G775" s="70">
        <f t="shared" si="1"/>
        <v>0</v>
      </c>
      <c r="H775" s="71">
        <f t="shared" si="2"/>
        <v>0</v>
      </c>
      <c r="I775" s="72">
        <f>IFERROR( SUMIFS('Stock In'!I:I,'Stock In'!C:C,$A775,'Stock In'!D:D,$B775,'Stock In'!E:E,$C775) / SUMIFS('Stock In'!H:H,'Stock In'!C:C,$A775,'Stock In'!D:D,$B775,'Stock In'!E:E,$C775) , 0)</f>
        <v>0</v>
      </c>
      <c r="J775" s="71">
        <f t="shared" si="3"/>
        <v>0</v>
      </c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8"/>
      <c r="B776" s="68"/>
      <c r="C776" s="68"/>
      <c r="D776" s="70">
        <f>IFERROR(SUMIFS('Stock In'!F:F,'Stock In'!C:C,$A776,'Stock In'!D:D,$B776,'Stock In'!E:E,$C776),0)</f>
        <v>0</v>
      </c>
      <c r="E776" s="70">
        <f>IFERROR(SUMIFS(Issues!H:H,Issues!C:C,$A776,Issues!D:D,$B776,Issues!E:E,$C776),0)</f>
        <v>0</v>
      </c>
      <c r="F776" s="70">
        <f>IFERROR(SUMIFS(Returns!H:H,Returns!C:C,$A776,Returns!D:D,$B776,Returns!E:E,$C776),0)</f>
        <v>0</v>
      </c>
      <c r="G776" s="70">
        <f t="shared" si="1"/>
        <v>0</v>
      </c>
      <c r="H776" s="71">
        <f t="shared" si="2"/>
        <v>0</v>
      </c>
      <c r="I776" s="72">
        <f>IFERROR( SUMIFS('Stock In'!I:I,'Stock In'!C:C,$A776,'Stock In'!D:D,$B776,'Stock In'!E:E,$C776) / SUMIFS('Stock In'!H:H,'Stock In'!C:C,$A776,'Stock In'!D:D,$B776,'Stock In'!E:E,$C776) , 0)</f>
        <v>0</v>
      </c>
      <c r="J776" s="71">
        <f t="shared" si="3"/>
        <v>0</v>
      </c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8"/>
      <c r="B777" s="68"/>
      <c r="C777" s="68"/>
      <c r="D777" s="70">
        <f>IFERROR(SUMIFS('Stock In'!F:F,'Stock In'!C:C,$A777,'Stock In'!D:D,$B777,'Stock In'!E:E,$C777),0)</f>
        <v>0</v>
      </c>
      <c r="E777" s="70">
        <f>IFERROR(SUMIFS(Issues!H:H,Issues!C:C,$A777,Issues!D:D,$B777,Issues!E:E,$C777),0)</f>
        <v>0</v>
      </c>
      <c r="F777" s="70">
        <f>IFERROR(SUMIFS(Returns!H:H,Returns!C:C,$A777,Returns!D:D,$B777,Returns!E:E,$C777),0)</f>
        <v>0</v>
      </c>
      <c r="G777" s="70">
        <f t="shared" si="1"/>
        <v>0</v>
      </c>
      <c r="H777" s="71">
        <f t="shared" si="2"/>
        <v>0</v>
      </c>
      <c r="I777" s="72">
        <f>IFERROR( SUMIFS('Stock In'!I:I,'Stock In'!C:C,$A777,'Stock In'!D:D,$B777,'Stock In'!E:E,$C777) / SUMIFS('Stock In'!H:H,'Stock In'!C:C,$A777,'Stock In'!D:D,$B777,'Stock In'!E:E,$C777) , 0)</f>
        <v>0</v>
      </c>
      <c r="J777" s="71">
        <f t="shared" si="3"/>
        <v>0</v>
      </c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8"/>
      <c r="B778" s="68"/>
      <c r="C778" s="68"/>
      <c r="D778" s="70">
        <f>IFERROR(SUMIFS('Stock In'!F:F,'Stock In'!C:C,$A778,'Stock In'!D:D,$B778,'Stock In'!E:E,$C778),0)</f>
        <v>0</v>
      </c>
      <c r="E778" s="70">
        <f>IFERROR(SUMIFS(Issues!H:H,Issues!C:C,$A778,Issues!D:D,$B778,Issues!E:E,$C778),0)</f>
        <v>0</v>
      </c>
      <c r="F778" s="70">
        <f>IFERROR(SUMIFS(Returns!H:H,Returns!C:C,$A778,Returns!D:D,$B778,Returns!E:E,$C778),0)</f>
        <v>0</v>
      </c>
      <c r="G778" s="70">
        <f t="shared" si="1"/>
        <v>0</v>
      </c>
      <c r="H778" s="71">
        <f t="shared" si="2"/>
        <v>0</v>
      </c>
      <c r="I778" s="72">
        <f>IFERROR( SUMIFS('Stock In'!I:I,'Stock In'!C:C,$A778,'Stock In'!D:D,$B778,'Stock In'!E:E,$C778) / SUMIFS('Stock In'!H:H,'Stock In'!C:C,$A778,'Stock In'!D:D,$B778,'Stock In'!E:E,$C778) , 0)</f>
        <v>0</v>
      </c>
      <c r="J778" s="71">
        <f t="shared" si="3"/>
        <v>0</v>
      </c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8"/>
      <c r="B779" s="68"/>
      <c r="C779" s="68"/>
      <c r="D779" s="70">
        <f>IFERROR(SUMIFS('Stock In'!F:F,'Stock In'!C:C,$A779,'Stock In'!D:D,$B779,'Stock In'!E:E,$C779),0)</f>
        <v>0</v>
      </c>
      <c r="E779" s="70">
        <f>IFERROR(SUMIFS(Issues!H:H,Issues!C:C,$A779,Issues!D:D,$B779,Issues!E:E,$C779),0)</f>
        <v>0</v>
      </c>
      <c r="F779" s="70">
        <f>IFERROR(SUMIFS(Returns!H:H,Returns!C:C,$A779,Returns!D:D,$B779,Returns!E:E,$C779),0)</f>
        <v>0</v>
      </c>
      <c r="G779" s="70">
        <f t="shared" si="1"/>
        <v>0</v>
      </c>
      <c r="H779" s="71">
        <f t="shared" si="2"/>
        <v>0</v>
      </c>
      <c r="I779" s="72">
        <f>IFERROR( SUMIFS('Stock In'!I:I,'Stock In'!C:C,$A779,'Stock In'!D:D,$B779,'Stock In'!E:E,$C779) / SUMIFS('Stock In'!H:H,'Stock In'!C:C,$A779,'Stock In'!D:D,$B779,'Stock In'!E:E,$C779) , 0)</f>
        <v>0</v>
      </c>
      <c r="J779" s="71">
        <f t="shared" si="3"/>
        <v>0</v>
      </c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8"/>
      <c r="B780" s="68"/>
      <c r="C780" s="68"/>
      <c r="D780" s="70">
        <f>IFERROR(SUMIFS('Stock In'!F:F,'Stock In'!C:C,$A780,'Stock In'!D:D,$B780,'Stock In'!E:E,$C780),0)</f>
        <v>0</v>
      </c>
      <c r="E780" s="70">
        <f>IFERROR(SUMIFS(Issues!H:H,Issues!C:C,$A780,Issues!D:D,$B780,Issues!E:E,$C780),0)</f>
        <v>0</v>
      </c>
      <c r="F780" s="70">
        <f>IFERROR(SUMIFS(Returns!H:H,Returns!C:C,$A780,Returns!D:D,$B780,Returns!E:E,$C780),0)</f>
        <v>0</v>
      </c>
      <c r="G780" s="70">
        <f t="shared" si="1"/>
        <v>0</v>
      </c>
      <c r="H780" s="71">
        <f t="shared" si="2"/>
        <v>0</v>
      </c>
      <c r="I780" s="72">
        <f>IFERROR( SUMIFS('Stock In'!I:I,'Stock In'!C:C,$A780,'Stock In'!D:D,$B780,'Stock In'!E:E,$C780) / SUMIFS('Stock In'!H:H,'Stock In'!C:C,$A780,'Stock In'!D:D,$B780,'Stock In'!E:E,$C780) , 0)</f>
        <v>0</v>
      </c>
      <c r="J780" s="71">
        <f t="shared" si="3"/>
        <v>0</v>
      </c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8"/>
      <c r="B781" s="68"/>
      <c r="C781" s="68"/>
      <c r="D781" s="70">
        <f>IFERROR(SUMIFS('Stock In'!F:F,'Stock In'!C:C,$A781,'Stock In'!D:D,$B781,'Stock In'!E:E,$C781),0)</f>
        <v>0</v>
      </c>
      <c r="E781" s="70">
        <f>IFERROR(SUMIFS(Issues!H:H,Issues!C:C,$A781,Issues!D:D,$B781,Issues!E:E,$C781),0)</f>
        <v>0</v>
      </c>
      <c r="F781" s="70">
        <f>IFERROR(SUMIFS(Returns!H:H,Returns!C:C,$A781,Returns!D:D,$B781,Returns!E:E,$C781),0)</f>
        <v>0</v>
      </c>
      <c r="G781" s="70">
        <f t="shared" si="1"/>
        <v>0</v>
      </c>
      <c r="H781" s="71">
        <f t="shared" si="2"/>
        <v>0</v>
      </c>
      <c r="I781" s="72">
        <f>IFERROR( SUMIFS('Stock In'!I:I,'Stock In'!C:C,$A781,'Stock In'!D:D,$B781,'Stock In'!E:E,$C781) / SUMIFS('Stock In'!H:H,'Stock In'!C:C,$A781,'Stock In'!D:D,$B781,'Stock In'!E:E,$C781) , 0)</f>
        <v>0</v>
      </c>
      <c r="J781" s="71">
        <f t="shared" si="3"/>
        <v>0</v>
      </c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8"/>
      <c r="B782" s="68"/>
      <c r="C782" s="68"/>
      <c r="D782" s="70">
        <f>IFERROR(SUMIFS('Stock In'!F:F,'Stock In'!C:C,$A782,'Stock In'!D:D,$B782,'Stock In'!E:E,$C782),0)</f>
        <v>0</v>
      </c>
      <c r="E782" s="70">
        <f>IFERROR(SUMIFS(Issues!H:H,Issues!C:C,$A782,Issues!D:D,$B782,Issues!E:E,$C782),0)</f>
        <v>0</v>
      </c>
      <c r="F782" s="70">
        <f>IFERROR(SUMIFS(Returns!H:H,Returns!C:C,$A782,Returns!D:D,$B782,Returns!E:E,$C782),0)</f>
        <v>0</v>
      </c>
      <c r="G782" s="70">
        <f t="shared" si="1"/>
        <v>0</v>
      </c>
      <c r="H782" s="71">
        <f t="shared" si="2"/>
        <v>0</v>
      </c>
      <c r="I782" s="72">
        <f>IFERROR( SUMIFS('Stock In'!I:I,'Stock In'!C:C,$A782,'Stock In'!D:D,$B782,'Stock In'!E:E,$C782) / SUMIFS('Stock In'!H:H,'Stock In'!C:C,$A782,'Stock In'!D:D,$B782,'Stock In'!E:E,$C782) , 0)</f>
        <v>0</v>
      </c>
      <c r="J782" s="71">
        <f t="shared" si="3"/>
        <v>0</v>
      </c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8"/>
      <c r="B783" s="68"/>
      <c r="C783" s="68"/>
      <c r="D783" s="70">
        <f>IFERROR(SUMIFS('Stock In'!F:F,'Stock In'!C:C,$A783,'Stock In'!D:D,$B783,'Stock In'!E:E,$C783),0)</f>
        <v>0</v>
      </c>
      <c r="E783" s="70">
        <f>IFERROR(SUMIFS(Issues!H:H,Issues!C:C,$A783,Issues!D:D,$B783,Issues!E:E,$C783),0)</f>
        <v>0</v>
      </c>
      <c r="F783" s="70">
        <f>IFERROR(SUMIFS(Returns!H:H,Returns!C:C,$A783,Returns!D:D,$B783,Returns!E:E,$C783),0)</f>
        <v>0</v>
      </c>
      <c r="G783" s="70">
        <f t="shared" si="1"/>
        <v>0</v>
      </c>
      <c r="H783" s="71">
        <f t="shared" si="2"/>
        <v>0</v>
      </c>
      <c r="I783" s="72">
        <f>IFERROR( SUMIFS('Stock In'!I:I,'Stock In'!C:C,$A783,'Stock In'!D:D,$B783,'Stock In'!E:E,$C783) / SUMIFS('Stock In'!H:H,'Stock In'!C:C,$A783,'Stock In'!D:D,$B783,'Stock In'!E:E,$C783) , 0)</f>
        <v>0</v>
      </c>
      <c r="J783" s="71">
        <f t="shared" si="3"/>
        <v>0</v>
      </c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8"/>
      <c r="B784" s="68"/>
      <c r="C784" s="68"/>
      <c r="D784" s="70">
        <f>IFERROR(SUMIFS('Stock In'!F:F,'Stock In'!C:C,$A784,'Stock In'!D:D,$B784,'Stock In'!E:E,$C784),0)</f>
        <v>0</v>
      </c>
      <c r="E784" s="70">
        <f>IFERROR(SUMIFS(Issues!H:H,Issues!C:C,$A784,Issues!D:D,$B784,Issues!E:E,$C784),0)</f>
        <v>0</v>
      </c>
      <c r="F784" s="70">
        <f>IFERROR(SUMIFS(Returns!H:H,Returns!C:C,$A784,Returns!D:D,$B784,Returns!E:E,$C784),0)</f>
        <v>0</v>
      </c>
      <c r="G784" s="70">
        <f t="shared" si="1"/>
        <v>0</v>
      </c>
      <c r="H784" s="71">
        <f t="shared" si="2"/>
        <v>0</v>
      </c>
      <c r="I784" s="72">
        <f>IFERROR( SUMIFS('Stock In'!I:I,'Stock In'!C:C,$A784,'Stock In'!D:D,$B784,'Stock In'!E:E,$C784) / SUMIFS('Stock In'!H:H,'Stock In'!C:C,$A784,'Stock In'!D:D,$B784,'Stock In'!E:E,$C784) , 0)</f>
        <v>0</v>
      </c>
      <c r="J784" s="71">
        <f t="shared" si="3"/>
        <v>0</v>
      </c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8"/>
      <c r="B785" s="68"/>
      <c r="C785" s="68"/>
      <c r="D785" s="70">
        <f>IFERROR(SUMIFS('Stock In'!F:F,'Stock In'!C:C,$A785,'Stock In'!D:D,$B785,'Stock In'!E:E,$C785),0)</f>
        <v>0</v>
      </c>
      <c r="E785" s="70">
        <f>IFERROR(SUMIFS(Issues!H:H,Issues!C:C,$A785,Issues!D:D,$B785,Issues!E:E,$C785),0)</f>
        <v>0</v>
      </c>
      <c r="F785" s="70">
        <f>IFERROR(SUMIFS(Returns!H:H,Returns!C:C,$A785,Returns!D:D,$B785,Returns!E:E,$C785),0)</f>
        <v>0</v>
      </c>
      <c r="G785" s="70">
        <f t="shared" si="1"/>
        <v>0</v>
      </c>
      <c r="H785" s="71">
        <f t="shared" si="2"/>
        <v>0</v>
      </c>
      <c r="I785" s="72">
        <f>IFERROR( SUMIFS('Stock In'!I:I,'Stock In'!C:C,$A785,'Stock In'!D:D,$B785,'Stock In'!E:E,$C785) / SUMIFS('Stock In'!H:H,'Stock In'!C:C,$A785,'Stock In'!D:D,$B785,'Stock In'!E:E,$C785) , 0)</f>
        <v>0</v>
      </c>
      <c r="J785" s="71">
        <f t="shared" si="3"/>
        <v>0</v>
      </c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8"/>
      <c r="B786" s="68"/>
      <c r="C786" s="68"/>
      <c r="D786" s="70">
        <f>IFERROR(SUMIFS('Stock In'!F:F,'Stock In'!C:C,$A786,'Stock In'!D:D,$B786,'Stock In'!E:E,$C786),0)</f>
        <v>0</v>
      </c>
      <c r="E786" s="70">
        <f>IFERROR(SUMIFS(Issues!H:H,Issues!C:C,$A786,Issues!D:D,$B786,Issues!E:E,$C786),0)</f>
        <v>0</v>
      </c>
      <c r="F786" s="70">
        <f>IFERROR(SUMIFS(Returns!H:H,Returns!C:C,$A786,Returns!D:D,$B786,Returns!E:E,$C786),0)</f>
        <v>0</v>
      </c>
      <c r="G786" s="70">
        <f t="shared" si="1"/>
        <v>0</v>
      </c>
      <c r="H786" s="71">
        <f t="shared" si="2"/>
        <v>0</v>
      </c>
      <c r="I786" s="72">
        <f>IFERROR( SUMIFS('Stock In'!I:I,'Stock In'!C:C,$A786,'Stock In'!D:D,$B786,'Stock In'!E:E,$C786) / SUMIFS('Stock In'!H:H,'Stock In'!C:C,$A786,'Stock In'!D:D,$B786,'Stock In'!E:E,$C786) , 0)</f>
        <v>0</v>
      </c>
      <c r="J786" s="71">
        <f t="shared" si="3"/>
        <v>0</v>
      </c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8"/>
      <c r="B787" s="68"/>
      <c r="C787" s="68"/>
      <c r="D787" s="70">
        <f>IFERROR(SUMIFS('Stock In'!F:F,'Stock In'!C:C,$A787,'Stock In'!D:D,$B787,'Stock In'!E:E,$C787),0)</f>
        <v>0</v>
      </c>
      <c r="E787" s="70">
        <f>IFERROR(SUMIFS(Issues!H:H,Issues!C:C,$A787,Issues!D:D,$B787,Issues!E:E,$C787),0)</f>
        <v>0</v>
      </c>
      <c r="F787" s="70">
        <f>IFERROR(SUMIFS(Returns!H:H,Returns!C:C,$A787,Returns!D:D,$B787,Returns!E:E,$C787),0)</f>
        <v>0</v>
      </c>
      <c r="G787" s="70">
        <f t="shared" si="1"/>
        <v>0</v>
      </c>
      <c r="H787" s="71">
        <f t="shared" si="2"/>
        <v>0</v>
      </c>
      <c r="I787" s="72">
        <f>IFERROR( SUMIFS('Stock In'!I:I,'Stock In'!C:C,$A787,'Stock In'!D:D,$B787,'Stock In'!E:E,$C787) / SUMIFS('Stock In'!H:H,'Stock In'!C:C,$A787,'Stock In'!D:D,$B787,'Stock In'!E:E,$C787) , 0)</f>
        <v>0</v>
      </c>
      <c r="J787" s="71">
        <f t="shared" si="3"/>
        <v>0</v>
      </c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8"/>
      <c r="B788" s="68"/>
      <c r="C788" s="68"/>
      <c r="D788" s="70">
        <f>IFERROR(SUMIFS('Stock In'!F:F,'Stock In'!C:C,$A788,'Stock In'!D:D,$B788,'Stock In'!E:E,$C788),0)</f>
        <v>0</v>
      </c>
      <c r="E788" s="70">
        <f>IFERROR(SUMIFS(Issues!H:H,Issues!C:C,$A788,Issues!D:D,$B788,Issues!E:E,$C788),0)</f>
        <v>0</v>
      </c>
      <c r="F788" s="70">
        <f>IFERROR(SUMIFS(Returns!H:H,Returns!C:C,$A788,Returns!D:D,$B788,Returns!E:E,$C788),0)</f>
        <v>0</v>
      </c>
      <c r="G788" s="70">
        <f t="shared" si="1"/>
        <v>0</v>
      </c>
      <c r="H788" s="71">
        <f t="shared" si="2"/>
        <v>0</v>
      </c>
      <c r="I788" s="72">
        <f>IFERROR( SUMIFS('Stock In'!I:I,'Stock In'!C:C,$A788,'Stock In'!D:D,$B788,'Stock In'!E:E,$C788) / SUMIFS('Stock In'!H:H,'Stock In'!C:C,$A788,'Stock In'!D:D,$B788,'Stock In'!E:E,$C788) , 0)</f>
        <v>0</v>
      </c>
      <c r="J788" s="71">
        <f t="shared" si="3"/>
        <v>0</v>
      </c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8"/>
      <c r="B789" s="68"/>
      <c r="C789" s="68"/>
      <c r="D789" s="70">
        <f>IFERROR(SUMIFS('Stock In'!F:F,'Stock In'!C:C,$A789,'Stock In'!D:D,$B789,'Stock In'!E:E,$C789),0)</f>
        <v>0</v>
      </c>
      <c r="E789" s="70">
        <f>IFERROR(SUMIFS(Issues!H:H,Issues!C:C,$A789,Issues!D:D,$B789,Issues!E:E,$C789),0)</f>
        <v>0</v>
      </c>
      <c r="F789" s="70">
        <f>IFERROR(SUMIFS(Returns!H:H,Returns!C:C,$A789,Returns!D:D,$B789,Returns!E:E,$C789),0)</f>
        <v>0</v>
      </c>
      <c r="G789" s="70">
        <f t="shared" si="1"/>
        <v>0</v>
      </c>
      <c r="H789" s="71">
        <f t="shared" si="2"/>
        <v>0</v>
      </c>
      <c r="I789" s="72">
        <f>IFERROR( SUMIFS('Stock In'!I:I,'Stock In'!C:C,$A789,'Stock In'!D:D,$B789,'Stock In'!E:E,$C789) / SUMIFS('Stock In'!H:H,'Stock In'!C:C,$A789,'Stock In'!D:D,$B789,'Stock In'!E:E,$C789) , 0)</f>
        <v>0</v>
      </c>
      <c r="J789" s="71">
        <f t="shared" si="3"/>
        <v>0</v>
      </c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8"/>
      <c r="B790" s="68"/>
      <c r="C790" s="68"/>
      <c r="D790" s="70">
        <f>IFERROR(SUMIFS('Stock In'!F:F,'Stock In'!C:C,$A790,'Stock In'!D:D,$B790,'Stock In'!E:E,$C790),0)</f>
        <v>0</v>
      </c>
      <c r="E790" s="70">
        <f>IFERROR(SUMIFS(Issues!H:H,Issues!C:C,$A790,Issues!D:D,$B790,Issues!E:E,$C790),0)</f>
        <v>0</v>
      </c>
      <c r="F790" s="70">
        <f>IFERROR(SUMIFS(Returns!H:H,Returns!C:C,$A790,Returns!D:D,$B790,Returns!E:E,$C790),0)</f>
        <v>0</v>
      </c>
      <c r="G790" s="70">
        <f t="shared" si="1"/>
        <v>0</v>
      </c>
      <c r="H790" s="71">
        <f t="shared" si="2"/>
        <v>0</v>
      </c>
      <c r="I790" s="72">
        <f>IFERROR( SUMIFS('Stock In'!I:I,'Stock In'!C:C,$A790,'Stock In'!D:D,$B790,'Stock In'!E:E,$C790) / SUMIFS('Stock In'!H:H,'Stock In'!C:C,$A790,'Stock In'!D:D,$B790,'Stock In'!E:E,$C790) , 0)</f>
        <v>0</v>
      </c>
      <c r="J790" s="71">
        <f t="shared" si="3"/>
        <v>0</v>
      </c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8"/>
      <c r="B791" s="68"/>
      <c r="C791" s="68"/>
      <c r="D791" s="70">
        <f>IFERROR(SUMIFS('Stock In'!F:F,'Stock In'!C:C,$A791,'Stock In'!D:D,$B791,'Stock In'!E:E,$C791),0)</f>
        <v>0</v>
      </c>
      <c r="E791" s="70">
        <f>IFERROR(SUMIFS(Issues!H:H,Issues!C:C,$A791,Issues!D:D,$B791,Issues!E:E,$C791),0)</f>
        <v>0</v>
      </c>
      <c r="F791" s="70">
        <f>IFERROR(SUMIFS(Returns!H:H,Returns!C:C,$A791,Returns!D:D,$B791,Returns!E:E,$C791),0)</f>
        <v>0</v>
      </c>
      <c r="G791" s="70">
        <f t="shared" si="1"/>
        <v>0</v>
      </c>
      <c r="H791" s="71">
        <f t="shared" si="2"/>
        <v>0</v>
      </c>
      <c r="I791" s="72">
        <f>IFERROR( SUMIFS('Stock In'!I:I,'Stock In'!C:C,$A791,'Stock In'!D:D,$B791,'Stock In'!E:E,$C791) / SUMIFS('Stock In'!H:H,'Stock In'!C:C,$A791,'Stock In'!D:D,$B791,'Stock In'!E:E,$C791) , 0)</f>
        <v>0</v>
      </c>
      <c r="J791" s="71">
        <f t="shared" si="3"/>
        <v>0</v>
      </c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8"/>
      <c r="B792" s="68"/>
      <c r="C792" s="68"/>
      <c r="D792" s="70">
        <f>IFERROR(SUMIFS('Stock In'!F:F,'Stock In'!C:C,$A792,'Stock In'!D:D,$B792,'Stock In'!E:E,$C792),0)</f>
        <v>0</v>
      </c>
      <c r="E792" s="70">
        <f>IFERROR(SUMIFS(Issues!H:H,Issues!C:C,$A792,Issues!D:D,$B792,Issues!E:E,$C792),0)</f>
        <v>0</v>
      </c>
      <c r="F792" s="70">
        <f>IFERROR(SUMIFS(Returns!H:H,Returns!C:C,$A792,Returns!D:D,$B792,Returns!E:E,$C792),0)</f>
        <v>0</v>
      </c>
      <c r="G792" s="70">
        <f t="shared" si="1"/>
        <v>0</v>
      </c>
      <c r="H792" s="71">
        <f t="shared" si="2"/>
        <v>0</v>
      </c>
      <c r="I792" s="72">
        <f>IFERROR( SUMIFS('Stock In'!I:I,'Stock In'!C:C,$A792,'Stock In'!D:D,$B792,'Stock In'!E:E,$C792) / SUMIFS('Stock In'!H:H,'Stock In'!C:C,$A792,'Stock In'!D:D,$B792,'Stock In'!E:E,$C792) , 0)</f>
        <v>0</v>
      </c>
      <c r="J792" s="71">
        <f t="shared" si="3"/>
        <v>0</v>
      </c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8"/>
      <c r="B793" s="68"/>
      <c r="C793" s="68"/>
      <c r="D793" s="70">
        <f>IFERROR(SUMIFS('Stock In'!F:F,'Stock In'!C:C,$A793,'Stock In'!D:D,$B793,'Stock In'!E:E,$C793),0)</f>
        <v>0</v>
      </c>
      <c r="E793" s="70">
        <f>IFERROR(SUMIFS(Issues!H:H,Issues!C:C,$A793,Issues!D:D,$B793,Issues!E:E,$C793),0)</f>
        <v>0</v>
      </c>
      <c r="F793" s="70">
        <f>IFERROR(SUMIFS(Returns!H:H,Returns!C:C,$A793,Returns!D:D,$B793,Returns!E:E,$C793),0)</f>
        <v>0</v>
      </c>
      <c r="G793" s="70">
        <f t="shared" si="1"/>
        <v>0</v>
      </c>
      <c r="H793" s="71">
        <f t="shared" si="2"/>
        <v>0</v>
      </c>
      <c r="I793" s="72">
        <f>IFERROR( SUMIFS('Stock In'!I:I,'Stock In'!C:C,$A793,'Stock In'!D:D,$B793,'Stock In'!E:E,$C793) / SUMIFS('Stock In'!H:H,'Stock In'!C:C,$A793,'Stock In'!D:D,$B793,'Stock In'!E:E,$C793) , 0)</f>
        <v>0</v>
      </c>
      <c r="J793" s="71">
        <f t="shared" si="3"/>
        <v>0</v>
      </c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8"/>
      <c r="B794" s="68"/>
      <c r="C794" s="68"/>
      <c r="D794" s="70">
        <f>IFERROR(SUMIFS('Stock In'!F:F,'Stock In'!C:C,$A794,'Stock In'!D:D,$B794,'Stock In'!E:E,$C794),0)</f>
        <v>0</v>
      </c>
      <c r="E794" s="70">
        <f>IFERROR(SUMIFS(Issues!H:H,Issues!C:C,$A794,Issues!D:D,$B794,Issues!E:E,$C794),0)</f>
        <v>0</v>
      </c>
      <c r="F794" s="70">
        <f>IFERROR(SUMIFS(Returns!H:H,Returns!C:C,$A794,Returns!D:D,$B794,Returns!E:E,$C794),0)</f>
        <v>0</v>
      </c>
      <c r="G794" s="70">
        <f t="shared" si="1"/>
        <v>0</v>
      </c>
      <c r="H794" s="71">
        <f t="shared" si="2"/>
        <v>0</v>
      </c>
      <c r="I794" s="72">
        <f>IFERROR( SUMIFS('Stock In'!I:I,'Stock In'!C:C,$A794,'Stock In'!D:D,$B794,'Stock In'!E:E,$C794) / SUMIFS('Stock In'!H:H,'Stock In'!C:C,$A794,'Stock In'!D:D,$B794,'Stock In'!E:E,$C794) , 0)</f>
        <v>0</v>
      </c>
      <c r="J794" s="71">
        <f t="shared" si="3"/>
        <v>0</v>
      </c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8"/>
      <c r="B795" s="68"/>
      <c r="C795" s="68"/>
      <c r="D795" s="70">
        <f>IFERROR(SUMIFS('Stock In'!F:F,'Stock In'!C:C,$A795,'Stock In'!D:D,$B795,'Stock In'!E:E,$C795),0)</f>
        <v>0</v>
      </c>
      <c r="E795" s="70">
        <f>IFERROR(SUMIFS(Issues!H:H,Issues!C:C,$A795,Issues!D:D,$B795,Issues!E:E,$C795),0)</f>
        <v>0</v>
      </c>
      <c r="F795" s="70">
        <f>IFERROR(SUMIFS(Returns!H:H,Returns!C:C,$A795,Returns!D:D,$B795,Returns!E:E,$C795),0)</f>
        <v>0</v>
      </c>
      <c r="G795" s="70">
        <f t="shared" si="1"/>
        <v>0</v>
      </c>
      <c r="H795" s="71">
        <f t="shared" si="2"/>
        <v>0</v>
      </c>
      <c r="I795" s="72">
        <f>IFERROR( SUMIFS('Stock In'!I:I,'Stock In'!C:C,$A795,'Stock In'!D:D,$B795,'Stock In'!E:E,$C795) / SUMIFS('Stock In'!H:H,'Stock In'!C:C,$A795,'Stock In'!D:D,$B795,'Stock In'!E:E,$C795) , 0)</f>
        <v>0</v>
      </c>
      <c r="J795" s="71">
        <f t="shared" si="3"/>
        <v>0</v>
      </c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8"/>
      <c r="B796" s="68"/>
      <c r="C796" s="68"/>
      <c r="D796" s="70">
        <f>IFERROR(SUMIFS('Stock In'!F:F,'Stock In'!C:C,$A796,'Stock In'!D:D,$B796,'Stock In'!E:E,$C796),0)</f>
        <v>0</v>
      </c>
      <c r="E796" s="70">
        <f>IFERROR(SUMIFS(Issues!H:H,Issues!C:C,$A796,Issues!D:D,$B796,Issues!E:E,$C796),0)</f>
        <v>0</v>
      </c>
      <c r="F796" s="70">
        <f>IFERROR(SUMIFS(Returns!H:H,Returns!C:C,$A796,Returns!D:D,$B796,Returns!E:E,$C796),0)</f>
        <v>0</v>
      </c>
      <c r="G796" s="70">
        <f t="shared" si="1"/>
        <v>0</v>
      </c>
      <c r="H796" s="71">
        <f t="shared" si="2"/>
        <v>0</v>
      </c>
      <c r="I796" s="72">
        <f>IFERROR( SUMIFS('Stock In'!I:I,'Stock In'!C:C,$A796,'Stock In'!D:D,$B796,'Stock In'!E:E,$C796) / SUMIFS('Stock In'!H:H,'Stock In'!C:C,$A796,'Stock In'!D:D,$B796,'Stock In'!E:E,$C796) , 0)</f>
        <v>0</v>
      </c>
      <c r="J796" s="71">
        <f t="shared" si="3"/>
        <v>0</v>
      </c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8"/>
      <c r="B797" s="68"/>
      <c r="C797" s="68"/>
      <c r="D797" s="70">
        <f>IFERROR(SUMIFS('Stock In'!F:F,'Stock In'!C:C,$A797,'Stock In'!D:D,$B797,'Stock In'!E:E,$C797),0)</f>
        <v>0</v>
      </c>
      <c r="E797" s="70">
        <f>IFERROR(SUMIFS(Issues!H:H,Issues!C:C,$A797,Issues!D:D,$B797,Issues!E:E,$C797),0)</f>
        <v>0</v>
      </c>
      <c r="F797" s="70">
        <f>IFERROR(SUMIFS(Returns!H:H,Returns!C:C,$A797,Returns!D:D,$B797,Returns!E:E,$C797),0)</f>
        <v>0</v>
      </c>
      <c r="G797" s="70">
        <f t="shared" si="1"/>
        <v>0</v>
      </c>
      <c r="H797" s="71">
        <f t="shared" si="2"/>
        <v>0</v>
      </c>
      <c r="I797" s="72">
        <f>IFERROR( SUMIFS('Stock In'!I:I,'Stock In'!C:C,$A797,'Stock In'!D:D,$B797,'Stock In'!E:E,$C797) / SUMIFS('Stock In'!H:H,'Stock In'!C:C,$A797,'Stock In'!D:D,$B797,'Stock In'!E:E,$C797) , 0)</f>
        <v>0</v>
      </c>
      <c r="J797" s="71">
        <f t="shared" si="3"/>
        <v>0</v>
      </c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8"/>
      <c r="B798" s="68"/>
      <c r="C798" s="68"/>
      <c r="D798" s="70">
        <f>IFERROR(SUMIFS('Stock In'!F:F,'Stock In'!C:C,$A798,'Stock In'!D:D,$B798,'Stock In'!E:E,$C798),0)</f>
        <v>0</v>
      </c>
      <c r="E798" s="70">
        <f>IFERROR(SUMIFS(Issues!H:H,Issues!C:C,$A798,Issues!D:D,$B798,Issues!E:E,$C798),0)</f>
        <v>0</v>
      </c>
      <c r="F798" s="70">
        <f>IFERROR(SUMIFS(Returns!H:H,Returns!C:C,$A798,Returns!D:D,$B798,Returns!E:E,$C798),0)</f>
        <v>0</v>
      </c>
      <c r="G798" s="70">
        <f t="shared" si="1"/>
        <v>0</v>
      </c>
      <c r="H798" s="71">
        <f t="shared" si="2"/>
        <v>0</v>
      </c>
      <c r="I798" s="72">
        <f>IFERROR( SUMIFS('Stock In'!I:I,'Stock In'!C:C,$A798,'Stock In'!D:D,$B798,'Stock In'!E:E,$C798) / SUMIFS('Stock In'!H:H,'Stock In'!C:C,$A798,'Stock In'!D:D,$B798,'Stock In'!E:E,$C798) , 0)</f>
        <v>0</v>
      </c>
      <c r="J798" s="71">
        <f t="shared" si="3"/>
        <v>0</v>
      </c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8"/>
      <c r="B799" s="68"/>
      <c r="C799" s="68"/>
      <c r="D799" s="70">
        <f>IFERROR(SUMIFS('Stock In'!F:F,'Stock In'!C:C,$A799,'Stock In'!D:D,$B799,'Stock In'!E:E,$C799),0)</f>
        <v>0</v>
      </c>
      <c r="E799" s="70">
        <f>IFERROR(SUMIFS(Issues!H:H,Issues!C:C,$A799,Issues!D:D,$B799,Issues!E:E,$C799),0)</f>
        <v>0</v>
      </c>
      <c r="F799" s="70">
        <f>IFERROR(SUMIFS(Returns!H:H,Returns!C:C,$A799,Returns!D:D,$B799,Returns!E:E,$C799),0)</f>
        <v>0</v>
      </c>
      <c r="G799" s="70">
        <f t="shared" si="1"/>
        <v>0</v>
      </c>
      <c r="H799" s="71">
        <f t="shared" si="2"/>
        <v>0</v>
      </c>
      <c r="I799" s="72">
        <f>IFERROR( SUMIFS('Stock In'!I:I,'Stock In'!C:C,$A799,'Stock In'!D:D,$B799,'Stock In'!E:E,$C799) / SUMIFS('Stock In'!H:H,'Stock In'!C:C,$A799,'Stock In'!D:D,$B799,'Stock In'!E:E,$C799) , 0)</f>
        <v>0</v>
      </c>
      <c r="J799" s="71">
        <f t="shared" si="3"/>
        <v>0</v>
      </c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8"/>
      <c r="B800" s="68"/>
      <c r="C800" s="68"/>
      <c r="D800" s="70">
        <f>IFERROR(SUMIFS('Stock In'!F:F,'Stock In'!C:C,$A800,'Stock In'!D:D,$B800,'Stock In'!E:E,$C800),0)</f>
        <v>0</v>
      </c>
      <c r="E800" s="70">
        <f>IFERROR(SUMIFS(Issues!H:H,Issues!C:C,$A800,Issues!D:D,$B800,Issues!E:E,$C800),0)</f>
        <v>0</v>
      </c>
      <c r="F800" s="70">
        <f>IFERROR(SUMIFS(Returns!H:H,Returns!C:C,$A800,Returns!D:D,$B800,Returns!E:E,$C800),0)</f>
        <v>0</v>
      </c>
      <c r="G800" s="70">
        <f t="shared" si="1"/>
        <v>0</v>
      </c>
      <c r="H800" s="71">
        <f t="shared" si="2"/>
        <v>0</v>
      </c>
      <c r="I800" s="72">
        <f>IFERROR( SUMIFS('Stock In'!I:I,'Stock In'!C:C,$A800,'Stock In'!D:D,$B800,'Stock In'!E:E,$C800) / SUMIFS('Stock In'!H:H,'Stock In'!C:C,$A800,'Stock In'!D:D,$B800,'Stock In'!E:E,$C800) , 0)</f>
        <v>0</v>
      </c>
      <c r="J800" s="71">
        <f t="shared" si="3"/>
        <v>0</v>
      </c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8"/>
      <c r="B801" s="68"/>
      <c r="C801" s="68"/>
      <c r="D801" s="70">
        <f>IFERROR(SUMIFS('Stock In'!F:F,'Stock In'!C:C,$A801,'Stock In'!D:D,$B801,'Stock In'!E:E,$C801),0)</f>
        <v>0</v>
      </c>
      <c r="E801" s="70">
        <f>IFERROR(SUMIFS(Issues!H:H,Issues!C:C,$A801,Issues!D:D,$B801,Issues!E:E,$C801),0)</f>
        <v>0</v>
      </c>
      <c r="F801" s="70">
        <f>IFERROR(SUMIFS(Returns!H:H,Returns!C:C,$A801,Returns!D:D,$B801,Returns!E:E,$C801),0)</f>
        <v>0</v>
      </c>
      <c r="G801" s="70">
        <f t="shared" si="1"/>
        <v>0</v>
      </c>
      <c r="H801" s="71">
        <f t="shared" si="2"/>
        <v>0</v>
      </c>
      <c r="I801" s="72">
        <f>IFERROR( SUMIFS('Stock In'!I:I,'Stock In'!C:C,$A801,'Stock In'!D:D,$B801,'Stock In'!E:E,$C801) / SUMIFS('Stock In'!H:H,'Stock In'!C:C,$A801,'Stock In'!D:D,$B801,'Stock In'!E:E,$C801) , 0)</f>
        <v>0</v>
      </c>
      <c r="J801" s="71">
        <f t="shared" si="3"/>
        <v>0</v>
      </c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8"/>
      <c r="B802" s="68"/>
      <c r="C802" s="68"/>
      <c r="D802" s="70">
        <f>IFERROR(SUMIFS('Stock In'!F:F,'Stock In'!C:C,$A802,'Stock In'!D:D,$B802,'Stock In'!E:E,$C802),0)</f>
        <v>0</v>
      </c>
      <c r="E802" s="70">
        <f>IFERROR(SUMIFS(Issues!H:H,Issues!C:C,$A802,Issues!D:D,$B802,Issues!E:E,$C802),0)</f>
        <v>0</v>
      </c>
      <c r="F802" s="70">
        <f>IFERROR(SUMIFS(Returns!H:H,Returns!C:C,$A802,Returns!D:D,$B802,Returns!E:E,$C802),0)</f>
        <v>0</v>
      </c>
      <c r="G802" s="70">
        <f t="shared" si="1"/>
        <v>0</v>
      </c>
      <c r="H802" s="71">
        <f t="shared" si="2"/>
        <v>0</v>
      </c>
      <c r="I802" s="72">
        <f>IFERROR( SUMIFS('Stock In'!I:I,'Stock In'!C:C,$A802,'Stock In'!D:D,$B802,'Stock In'!E:E,$C802) / SUMIFS('Stock In'!H:H,'Stock In'!C:C,$A802,'Stock In'!D:D,$B802,'Stock In'!E:E,$C802) , 0)</f>
        <v>0</v>
      </c>
      <c r="J802" s="71">
        <f t="shared" si="3"/>
        <v>0</v>
      </c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8"/>
      <c r="B803" s="68"/>
      <c r="C803" s="68"/>
      <c r="D803" s="70">
        <f>IFERROR(SUMIFS('Stock In'!F:F,'Stock In'!C:C,$A803,'Stock In'!D:D,$B803,'Stock In'!E:E,$C803),0)</f>
        <v>0</v>
      </c>
      <c r="E803" s="70">
        <f>IFERROR(SUMIFS(Issues!H:H,Issues!C:C,$A803,Issues!D:D,$B803,Issues!E:E,$C803),0)</f>
        <v>0</v>
      </c>
      <c r="F803" s="70">
        <f>IFERROR(SUMIFS(Returns!H:H,Returns!C:C,$A803,Returns!D:D,$B803,Returns!E:E,$C803),0)</f>
        <v>0</v>
      </c>
      <c r="G803" s="70">
        <f t="shared" si="1"/>
        <v>0</v>
      </c>
      <c r="H803" s="71">
        <f t="shared" si="2"/>
        <v>0</v>
      </c>
      <c r="I803" s="72">
        <f>IFERROR( SUMIFS('Stock In'!I:I,'Stock In'!C:C,$A803,'Stock In'!D:D,$B803,'Stock In'!E:E,$C803) / SUMIFS('Stock In'!H:H,'Stock In'!C:C,$A803,'Stock In'!D:D,$B803,'Stock In'!E:E,$C803) , 0)</f>
        <v>0</v>
      </c>
      <c r="J803" s="71">
        <f t="shared" si="3"/>
        <v>0</v>
      </c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8"/>
      <c r="B804" s="68"/>
      <c r="C804" s="68"/>
      <c r="D804" s="70">
        <f>IFERROR(SUMIFS('Stock In'!F:F,'Stock In'!C:C,$A804,'Stock In'!D:D,$B804,'Stock In'!E:E,$C804),0)</f>
        <v>0</v>
      </c>
      <c r="E804" s="70">
        <f>IFERROR(SUMIFS(Issues!H:H,Issues!C:C,$A804,Issues!D:D,$B804,Issues!E:E,$C804),0)</f>
        <v>0</v>
      </c>
      <c r="F804" s="70">
        <f>IFERROR(SUMIFS(Returns!H:H,Returns!C:C,$A804,Returns!D:D,$B804,Returns!E:E,$C804),0)</f>
        <v>0</v>
      </c>
      <c r="G804" s="70">
        <f t="shared" si="1"/>
        <v>0</v>
      </c>
      <c r="H804" s="71">
        <f t="shared" si="2"/>
        <v>0</v>
      </c>
      <c r="I804" s="72">
        <f>IFERROR( SUMIFS('Stock In'!I:I,'Stock In'!C:C,$A804,'Stock In'!D:D,$B804,'Stock In'!E:E,$C804) / SUMIFS('Stock In'!H:H,'Stock In'!C:C,$A804,'Stock In'!D:D,$B804,'Stock In'!E:E,$C804) , 0)</f>
        <v>0</v>
      </c>
      <c r="J804" s="71">
        <f t="shared" si="3"/>
        <v>0</v>
      </c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8"/>
      <c r="B805" s="68"/>
      <c r="C805" s="68"/>
      <c r="D805" s="70">
        <f>IFERROR(SUMIFS('Stock In'!F:F,'Stock In'!C:C,$A805,'Stock In'!D:D,$B805,'Stock In'!E:E,$C805),0)</f>
        <v>0</v>
      </c>
      <c r="E805" s="70">
        <f>IFERROR(SUMIFS(Issues!H:H,Issues!C:C,$A805,Issues!D:D,$B805,Issues!E:E,$C805),0)</f>
        <v>0</v>
      </c>
      <c r="F805" s="70">
        <f>IFERROR(SUMIFS(Returns!H:H,Returns!C:C,$A805,Returns!D:D,$B805,Returns!E:E,$C805),0)</f>
        <v>0</v>
      </c>
      <c r="G805" s="70">
        <f t="shared" si="1"/>
        <v>0</v>
      </c>
      <c r="H805" s="71">
        <f t="shared" si="2"/>
        <v>0</v>
      </c>
      <c r="I805" s="72">
        <f>IFERROR( SUMIFS('Stock In'!I:I,'Stock In'!C:C,$A805,'Stock In'!D:D,$B805,'Stock In'!E:E,$C805) / SUMIFS('Stock In'!H:H,'Stock In'!C:C,$A805,'Stock In'!D:D,$B805,'Stock In'!E:E,$C805) , 0)</f>
        <v>0</v>
      </c>
      <c r="J805" s="71">
        <f t="shared" si="3"/>
        <v>0</v>
      </c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8"/>
      <c r="B806" s="68"/>
      <c r="C806" s="68"/>
      <c r="D806" s="70">
        <f>IFERROR(SUMIFS('Stock In'!F:F,'Stock In'!C:C,$A806,'Stock In'!D:D,$B806,'Stock In'!E:E,$C806),0)</f>
        <v>0</v>
      </c>
      <c r="E806" s="70">
        <f>IFERROR(SUMIFS(Issues!H:H,Issues!C:C,$A806,Issues!D:D,$B806,Issues!E:E,$C806),0)</f>
        <v>0</v>
      </c>
      <c r="F806" s="70">
        <f>IFERROR(SUMIFS(Returns!H:H,Returns!C:C,$A806,Returns!D:D,$B806,Returns!E:E,$C806),0)</f>
        <v>0</v>
      </c>
      <c r="G806" s="70">
        <f t="shared" si="1"/>
        <v>0</v>
      </c>
      <c r="H806" s="71">
        <f t="shared" si="2"/>
        <v>0</v>
      </c>
      <c r="I806" s="72">
        <f>IFERROR( SUMIFS('Stock In'!I:I,'Stock In'!C:C,$A806,'Stock In'!D:D,$B806,'Stock In'!E:E,$C806) / SUMIFS('Stock In'!H:H,'Stock In'!C:C,$A806,'Stock In'!D:D,$B806,'Stock In'!E:E,$C806) , 0)</f>
        <v>0</v>
      </c>
      <c r="J806" s="71">
        <f t="shared" si="3"/>
        <v>0</v>
      </c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8"/>
      <c r="B807" s="68"/>
      <c r="C807" s="68"/>
      <c r="D807" s="70">
        <f>IFERROR(SUMIFS('Stock In'!F:F,'Stock In'!C:C,$A807,'Stock In'!D:D,$B807,'Stock In'!E:E,$C807),0)</f>
        <v>0</v>
      </c>
      <c r="E807" s="70">
        <f>IFERROR(SUMIFS(Issues!H:H,Issues!C:C,$A807,Issues!D:D,$B807,Issues!E:E,$C807),0)</f>
        <v>0</v>
      </c>
      <c r="F807" s="70">
        <f>IFERROR(SUMIFS(Returns!H:H,Returns!C:C,$A807,Returns!D:D,$B807,Returns!E:E,$C807),0)</f>
        <v>0</v>
      </c>
      <c r="G807" s="70">
        <f t="shared" si="1"/>
        <v>0</v>
      </c>
      <c r="H807" s="71">
        <f t="shared" si="2"/>
        <v>0</v>
      </c>
      <c r="I807" s="72">
        <f>IFERROR( SUMIFS('Stock In'!I:I,'Stock In'!C:C,$A807,'Stock In'!D:D,$B807,'Stock In'!E:E,$C807) / SUMIFS('Stock In'!H:H,'Stock In'!C:C,$A807,'Stock In'!D:D,$B807,'Stock In'!E:E,$C807) , 0)</f>
        <v>0</v>
      </c>
      <c r="J807" s="71">
        <f t="shared" si="3"/>
        <v>0</v>
      </c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8"/>
      <c r="B808" s="68"/>
      <c r="C808" s="68"/>
      <c r="D808" s="70">
        <f>IFERROR(SUMIFS('Stock In'!F:F,'Stock In'!C:C,$A808,'Stock In'!D:D,$B808,'Stock In'!E:E,$C808),0)</f>
        <v>0</v>
      </c>
      <c r="E808" s="70">
        <f>IFERROR(SUMIFS(Issues!H:H,Issues!C:C,$A808,Issues!D:D,$B808,Issues!E:E,$C808),0)</f>
        <v>0</v>
      </c>
      <c r="F808" s="70">
        <f>IFERROR(SUMIFS(Returns!H:H,Returns!C:C,$A808,Returns!D:D,$B808,Returns!E:E,$C808),0)</f>
        <v>0</v>
      </c>
      <c r="G808" s="70">
        <f t="shared" si="1"/>
        <v>0</v>
      </c>
      <c r="H808" s="71">
        <f t="shared" si="2"/>
        <v>0</v>
      </c>
      <c r="I808" s="72">
        <f>IFERROR( SUMIFS('Stock In'!I:I,'Stock In'!C:C,$A808,'Stock In'!D:D,$B808,'Stock In'!E:E,$C808) / SUMIFS('Stock In'!H:H,'Stock In'!C:C,$A808,'Stock In'!D:D,$B808,'Stock In'!E:E,$C808) , 0)</f>
        <v>0</v>
      </c>
      <c r="J808" s="71">
        <f t="shared" si="3"/>
        <v>0</v>
      </c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8"/>
      <c r="B809" s="68"/>
      <c r="C809" s="68"/>
      <c r="D809" s="70">
        <f>IFERROR(SUMIFS('Stock In'!F:F,'Stock In'!C:C,$A809,'Stock In'!D:D,$B809,'Stock In'!E:E,$C809),0)</f>
        <v>0</v>
      </c>
      <c r="E809" s="70">
        <f>IFERROR(SUMIFS(Issues!H:H,Issues!C:C,$A809,Issues!D:D,$B809,Issues!E:E,$C809),0)</f>
        <v>0</v>
      </c>
      <c r="F809" s="70">
        <f>IFERROR(SUMIFS(Returns!H:H,Returns!C:C,$A809,Returns!D:D,$B809,Returns!E:E,$C809),0)</f>
        <v>0</v>
      </c>
      <c r="G809" s="70">
        <f t="shared" si="1"/>
        <v>0</v>
      </c>
      <c r="H809" s="71">
        <f t="shared" si="2"/>
        <v>0</v>
      </c>
      <c r="I809" s="72">
        <f>IFERROR( SUMIFS('Stock In'!I:I,'Stock In'!C:C,$A809,'Stock In'!D:D,$B809,'Stock In'!E:E,$C809) / SUMIFS('Stock In'!H:H,'Stock In'!C:C,$A809,'Stock In'!D:D,$B809,'Stock In'!E:E,$C809) , 0)</f>
        <v>0</v>
      </c>
      <c r="J809" s="71">
        <f t="shared" si="3"/>
        <v>0</v>
      </c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8"/>
      <c r="B810" s="68"/>
      <c r="C810" s="68"/>
      <c r="D810" s="70">
        <f>IFERROR(SUMIFS('Stock In'!F:F,'Stock In'!C:C,$A810,'Stock In'!D:D,$B810,'Stock In'!E:E,$C810),0)</f>
        <v>0</v>
      </c>
      <c r="E810" s="70">
        <f>IFERROR(SUMIFS(Issues!H:H,Issues!C:C,$A810,Issues!D:D,$B810,Issues!E:E,$C810),0)</f>
        <v>0</v>
      </c>
      <c r="F810" s="70">
        <f>IFERROR(SUMIFS(Returns!H:H,Returns!C:C,$A810,Returns!D:D,$B810,Returns!E:E,$C810),0)</f>
        <v>0</v>
      </c>
      <c r="G810" s="70">
        <f t="shared" si="1"/>
        <v>0</v>
      </c>
      <c r="H810" s="71">
        <f t="shared" si="2"/>
        <v>0</v>
      </c>
      <c r="I810" s="72">
        <f>IFERROR( SUMIFS('Stock In'!I:I,'Stock In'!C:C,$A810,'Stock In'!D:D,$B810,'Stock In'!E:E,$C810) / SUMIFS('Stock In'!H:H,'Stock In'!C:C,$A810,'Stock In'!D:D,$B810,'Stock In'!E:E,$C810) , 0)</f>
        <v>0</v>
      </c>
      <c r="J810" s="71">
        <f t="shared" si="3"/>
        <v>0</v>
      </c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8"/>
      <c r="B811" s="68"/>
      <c r="C811" s="68"/>
      <c r="D811" s="70">
        <f>IFERROR(SUMIFS('Stock In'!F:F,'Stock In'!C:C,$A811,'Stock In'!D:D,$B811,'Stock In'!E:E,$C811),0)</f>
        <v>0</v>
      </c>
      <c r="E811" s="70">
        <f>IFERROR(SUMIFS(Issues!H:H,Issues!C:C,$A811,Issues!D:D,$B811,Issues!E:E,$C811),0)</f>
        <v>0</v>
      </c>
      <c r="F811" s="70">
        <f>IFERROR(SUMIFS(Returns!H:H,Returns!C:C,$A811,Returns!D:D,$B811,Returns!E:E,$C811),0)</f>
        <v>0</v>
      </c>
      <c r="G811" s="70">
        <f t="shared" si="1"/>
        <v>0</v>
      </c>
      <c r="H811" s="71">
        <f t="shared" si="2"/>
        <v>0</v>
      </c>
      <c r="I811" s="72">
        <f>IFERROR( SUMIFS('Stock In'!I:I,'Stock In'!C:C,$A811,'Stock In'!D:D,$B811,'Stock In'!E:E,$C811) / SUMIFS('Stock In'!H:H,'Stock In'!C:C,$A811,'Stock In'!D:D,$B811,'Stock In'!E:E,$C811) , 0)</f>
        <v>0</v>
      </c>
      <c r="J811" s="71">
        <f t="shared" si="3"/>
        <v>0</v>
      </c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8"/>
      <c r="B812" s="68"/>
      <c r="C812" s="68"/>
      <c r="D812" s="70">
        <f>IFERROR(SUMIFS('Stock In'!F:F,'Stock In'!C:C,$A812,'Stock In'!D:D,$B812,'Stock In'!E:E,$C812),0)</f>
        <v>0</v>
      </c>
      <c r="E812" s="70">
        <f>IFERROR(SUMIFS(Issues!H:H,Issues!C:C,$A812,Issues!D:D,$B812,Issues!E:E,$C812),0)</f>
        <v>0</v>
      </c>
      <c r="F812" s="70">
        <f>IFERROR(SUMIFS(Returns!H:H,Returns!C:C,$A812,Returns!D:D,$B812,Returns!E:E,$C812),0)</f>
        <v>0</v>
      </c>
      <c r="G812" s="70">
        <f t="shared" si="1"/>
        <v>0</v>
      </c>
      <c r="H812" s="71">
        <f t="shared" si="2"/>
        <v>0</v>
      </c>
      <c r="I812" s="72">
        <f>IFERROR( SUMIFS('Stock In'!I:I,'Stock In'!C:C,$A812,'Stock In'!D:D,$B812,'Stock In'!E:E,$C812) / SUMIFS('Stock In'!H:H,'Stock In'!C:C,$A812,'Stock In'!D:D,$B812,'Stock In'!E:E,$C812) , 0)</f>
        <v>0</v>
      </c>
      <c r="J812" s="71">
        <f t="shared" si="3"/>
        <v>0</v>
      </c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8"/>
      <c r="B813" s="68"/>
      <c r="C813" s="68"/>
      <c r="D813" s="70">
        <f>IFERROR(SUMIFS('Stock In'!F:F,'Stock In'!C:C,$A813,'Stock In'!D:D,$B813,'Stock In'!E:E,$C813),0)</f>
        <v>0</v>
      </c>
      <c r="E813" s="70">
        <f>IFERROR(SUMIFS(Issues!H:H,Issues!C:C,$A813,Issues!D:D,$B813,Issues!E:E,$C813),0)</f>
        <v>0</v>
      </c>
      <c r="F813" s="70">
        <f>IFERROR(SUMIFS(Returns!H:H,Returns!C:C,$A813,Returns!D:D,$B813,Returns!E:E,$C813),0)</f>
        <v>0</v>
      </c>
      <c r="G813" s="70">
        <f t="shared" si="1"/>
        <v>0</v>
      </c>
      <c r="H813" s="71">
        <f t="shared" si="2"/>
        <v>0</v>
      </c>
      <c r="I813" s="72">
        <f>IFERROR( SUMIFS('Stock In'!I:I,'Stock In'!C:C,$A813,'Stock In'!D:D,$B813,'Stock In'!E:E,$C813) / SUMIFS('Stock In'!H:H,'Stock In'!C:C,$A813,'Stock In'!D:D,$B813,'Stock In'!E:E,$C813) , 0)</f>
        <v>0</v>
      </c>
      <c r="J813" s="71">
        <f t="shared" si="3"/>
        <v>0</v>
      </c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8"/>
      <c r="B814" s="68"/>
      <c r="C814" s="68"/>
      <c r="D814" s="70">
        <f>IFERROR(SUMIFS('Stock In'!F:F,'Stock In'!C:C,$A814,'Stock In'!D:D,$B814,'Stock In'!E:E,$C814),0)</f>
        <v>0</v>
      </c>
      <c r="E814" s="70">
        <f>IFERROR(SUMIFS(Issues!H:H,Issues!C:C,$A814,Issues!D:D,$B814,Issues!E:E,$C814),0)</f>
        <v>0</v>
      </c>
      <c r="F814" s="70">
        <f>IFERROR(SUMIFS(Returns!H:H,Returns!C:C,$A814,Returns!D:D,$B814,Returns!E:E,$C814),0)</f>
        <v>0</v>
      </c>
      <c r="G814" s="70">
        <f t="shared" si="1"/>
        <v>0</v>
      </c>
      <c r="H814" s="71">
        <f t="shared" si="2"/>
        <v>0</v>
      </c>
      <c r="I814" s="72">
        <f>IFERROR( SUMIFS('Stock In'!I:I,'Stock In'!C:C,$A814,'Stock In'!D:D,$B814,'Stock In'!E:E,$C814) / SUMIFS('Stock In'!H:H,'Stock In'!C:C,$A814,'Stock In'!D:D,$B814,'Stock In'!E:E,$C814) , 0)</f>
        <v>0</v>
      </c>
      <c r="J814" s="71">
        <f t="shared" si="3"/>
        <v>0</v>
      </c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8"/>
      <c r="B815" s="68"/>
      <c r="C815" s="68"/>
      <c r="D815" s="70">
        <f>IFERROR(SUMIFS('Stock In'!F:F,'Stock In'!C:C,$A815,'Stock In'!D:D,$B815,'Stock In'!E:E,$C815),0)</f>
        <v>0</v>
      </c>
      <c r="E815" s="70">
        <f>IFERROR(SUMIFS(Issues!H:H,Issues!C:C,$A815,Issues!D:D,$B815,Issues!E:E,$C815),0)</f>
        <v>0</v>
      </c>
      <c r="F815" s="70">
        <f>IFERROR(SUMIFS(Returns!H:H,Returns!C:C,$A815,Returns!D:D,$B815,Returns!E:E,$C815),0)</f>
        <v>0</v>
      </c>
      <c r="G815" s="70">
        <f t="shared" si="1"/>
        <v>0</v>
      </c>
      <c r="H815" s="71">
        <f t="shared" si="2"/>
        <v>0</v>
      </c>
      <c r="I815" s="72">
        <f>IFERROR( SUMIFS('Stock In'!I:I,'Stock In'!C:C,$A815,'Stock In'!D:D,$B815,'Stock In'!E:E,$C815) / SUMIFS('Stock In'!H:H,'Stock In'!C:C,$A815,'Stock In'!D:D,$B815,'Stock In'!E:E,$C815) , 0)</f>
        <v>0</v>
      </c>
      <c r="J815" s="71">
        <f t="shared" si="3"/>
        <v>0</v>
      </c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8"/>
      <c r="B816" s="68"/>
      <c r="C816" s="68"/>
      <c r="D816" s="70">
        <f>IFERROR(SUMIFS('Stock In'!F:F,'Stock In'!C:C,$A816,'Stock In'!D:D,$B816,'Stock In'!E:E,$C816),0)</f>
        <v>0</v>
      </c>
      <c r="E816" s="70">
        <f>IFERROR(SUMIFS(Issues!H:H,Issues!C:C,$A816,Issues!D:D,$B816,Issues!E:E,$C816),0)</f>
        <v>0</v>
      </c>
      <c r="F816" s="70">
        <f>IFERROR(SUMIFS(Returns!H:H,Returns!C:C,$A816,Returns!D:D,$B816,Returns!E:E,$C816),0)</f>
        <v>0</v>
      </c>
      <c r="G816" s="70">
        <f t="shared" si="1"/>
        <v>0</v>
      </c>
      <c r="H816" s="71">
        <f t="shared" si="2"/>
        <v>0</v>
      </c>
      <c r="I816" s="72">
        <f>IFERROR( SUMIFS('Stock In'!I:I,'Stock In'!C:C,$A816,'Stock In'!D:D,$B816,'Stock In'!E:E,$C816) / SUMIFS('Stock In'!H:H,'Stock In'!C:C,$A816,'Stock In'!D:D,$B816,'Stock In'!E:E,$C816) , 0)</f>
        <v>0</v>
      </c>
      <c r="J816" s="71">
        <f t="shared" si="3"/>
        <v>0</v>
      </c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8"/>
      <c r="B817" s="68"/>
      <c r="C817" s="68"/>
      <c r="D817" s="70">
        <f>IFERROR(SUMIFS('Stock In'!F:F,'Stock In'!C:C,$A817,'Stock In'!D:D,$B817,'Stock In'!E:E,$C817),0)</f>
        <v>0</v>
      </c>
      <c r="E817" s="70">
        <f>IFERROR(SUMIFS(Issues!H:H,Issues!C:C,$A817,Issues!D:D,$B817,Issues!E:E,$C817),0)</f>
        <v>0</v>
      </c>
      <c r="F817" s="70">
        <f>IFERROR(SUMIFS(Returns!H:H,Returns!C:C,$A817,Returns!D:D,$B817,Returns!E:E,$C817),0)</f>
        <v>0</v>
      </c>
      <c r="G817" s="70">
        <f t="shared" si="1"/>
        <v>0</v>
      </c>
      <c r="H817" s="71">
        <f t="shared" si="2"/>
        <v>0</v>
      </c>
      <c r="I817" s="72">
        <f>IFERROR( SUMIFS('Stock In'!I:I,'Stock In'!C:C,$A817,'Stock In'!D:D,$B817,'Stock In'!E:E,$C817) / SUMIFS('Stock In'!H:H,'Stock In'!C:C,$A817,'Stock In'!D:D,$B817,'Stock In'!E:E,$C817) , 0)</f>
        <v>0</v>
      </c>
      <c r="J817" s="71">
        <f t="shared" si="3"/>
        <v>0</v>
      </c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8"/>
      <c r="B818" s="68"/>
      <c r="C818" s="68"/>
      <c r="D818" s="70">
        <f>IFERROR(SUMIFS('Stock In'!F:F,'Stock In'!C:C,$A818,'Stock In'!D:D,$B818,'Stock In'!E:E,$C818),0)</f>
        <v>0</v>
      </c>
      <c r="E818" s="70">
        <f>IFERROR(SUMIFS(Issues!H:H,Issues!C:C,$A818,Issues!D:D,$B818,Issues!E:E,$C818),0)</f>
        <v>0</v>
      </c>
      <c r="F818" s="70">
        <f>IFERROR(SUMIFS(Returns!H:H,Returns!C:C,$A818,Returns!D:D,$B818,Returns!E:E,$C818),0)</f>
        <v>0</v>
      </c>
      <c r="G818" s="70">
        <f t="shared" si="1"/>
        <v>0</v>
      </c>
      <c r="H818" s="71">
        <f t="shared" si="2"/>
        <v>0</v>
      </c>
      <c r="I818" s="72">
        <f>IFERROR( SUMIFS('Stock In'!I:I,'Stock In'!C:C,$A818,'Stock In'!D:D,$B818,'Stock In'!E:E,$C818) / SUMIFS('Stock In'!H:H,'Stock In'!C:C,$A818,'Stock In'!D:D,$B818,'Stock In'!E:E,$C818) , 0)</f>
        <v>0</v>
      </c>
      <c r="J818" s="71">
        <f t="shared" si="3"/>
        <v>0</v>
      </c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8"/>
      <c r="B819" s="68"/>
      <c r="C819" s="68"/>
      <c r="D819" s="70">
        <f>IFERROR(SUMIFS('Stock In'!F:F,'Stock In'!C:C,$A819,'Stock In'!D:D,$B819,'Stock In'!E:E,$C819),0)</f>
        <v>0</v>
      </c>
      <c r="E819" s="70">
        <f>IFERROR(SUMIFS(Issues!H:H,Issues!C:C,$A819,Issues!D:D,$B819,Issues!E:E,$C819),0)</f>
        <v>0</v>
      </c>
      <c r="F819" s="70">
        <f>IFERROR(SUMIFS(Returns!H:H,Returns!C:C,$A819,Returns!D:D,$B819,Returns!E:E,$C819),0)</f>
        <v>0</v>
      </c>
      <c r="G819" s="70">
        <f t="shared" si="1"/>
        <v>0</v>
      </c>
      <c r="H819" s="71">
        <f t="shared" si="2"/>
        <v>0</v>
      </c>
      <c r="I819" s="72">
        <f>IFERROR( SUMIFS('Stock In'!I:I,'Stock In'!C:C,$A819,'Stock In'!D:D,$B819,'Stock In'!E:E,$C819) / SUMIFS('Stock In'!H:H,'Stock In'!C:C,$A819,'Stock In'!D:D,$B819,'Stock In'!E:E,$C819) , 0)</f>
        <v>0</v>
      </c>
      <c r="J819" s="71">
        <f t="shared" si="3"/>
        <v>0</v>
      </c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8"/>
      <c r="B820" s="68"/>
      <c r="C820" s="68"/>
      <c r="D820" s="70">
        <f>IFERROR(SUMIFS('Stock In'!F:F,'Stock In'!C:C,$A820,'Stock In'!D:D,$B820,'Stock In'!E:E,$C820),0)</f>
        <v>0</v>
      </c>
      <c r="E820" s="70">
        <f>IFERROR(SUMIFS(Issues!H:H,Issues!C:C,$A820,Issues!D:D,$B820,Issues!E:E,$C820),0)</f>
        <v>0</v>
      </c>
      <c r="F820" s="70">
        <f>IFERROR(SUMIFS(Returns!H:H,Returns!C:C,$A820,Returns!D:D,$B820,Returns!E:E,$C820),0)</f>
        <v>0</v>
      </c>
      <c r="G820" s="70">
        <f t="shared" si="1"/>
        <v>0</v>
      </c>
      <c r="H820" s="71">
        <f t="shared" si="2"/>
        <v>0</v>
      </c>
      <c r="I820" s="72">
        <f>IFERROR( SUMIFS('Stock In'!I:I,'Stock In'!C:C,$A820,'Stock In'!D:D,$B820,'Stock In'!E:E,$C820) / SUMIFS('Stock In'!H:H,'Stock In'!C:C,$A820,'Stock In'!D:D,$B820,'Stock In'!E:E,$C820) , 0)</f>
        <v>0</v>
      </c>
      <c r="J820" s="71">
        <f t="shared" si="3"/>
        <v>0</v>
      </c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8"/>
      <c r="B821" s="68"/>
      <c r="C821" s="68"/>
      <c r="D821" s="70">
        <f>IFERROR(SUMIFS('Stock In'!F:F,'Stock In'!C:C,$A821,'Stock In'!D:D,$B821,'Stock In'!E:E,$C821),0)</f>
        <v>0</v>
      </c>
      <c r="E821" s="70">
        <f>IFERROR(SUMIFS(Issues!H:H,Issues!C:C,$A821,Issues!D:D,$B821,Issues!E:E,$C821),0)</f>
        <v>0</v>
      </c>
      <c r="F821" s="70">
        <f>IFERROR(SUMIFS(Returns!H:H,Returns!C:C,$A821,Returns!D:D,$B821,Returns!E:E,$C821),0)</f>
        <v>0</v>
      </c>
      <c r="G821" s="70">
        <f t="shared" si="1"/>
        <v>0</v>
      </c>
      <c r="H821" s="71">
        <f t="shared" si="2"/>
        <v>0</v>
      </c>
      <c r="I821" s="72">
        <f>IFERROR( SUMIFS('Stock In'!I:I,'Stock In'!C:C,$A821,'Stock In'!D:D,$B821,'Stock In'!E:E,$C821) / SUMIFS('Stock In'!H:H,'Stock In'!C:C,$A821,'Stock In'!D:D,$B821,'Stock In'!E:E,$C821) , 0)</f>
        <v>0</v>
      </c>
      <c r="J821" s="71">
        <f t="shared" si="3"/>
        <v>0</v>
      </c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8"/>
      <c r="B822" s="68"/>
      <c r="C822" s="68"/>
      <c r="D822" s="70">
        <f>IFERROR(SUMIFS('Stock In'!F:F,'Stock In'!C:C,$A822,'Stock In'!D:D,$B822,'Stock In'!E:E,$C822),0)</f>
        <v>0</v>
      </c>
      <c r="E822" s="70">
        <f>IFERROR(SUMIFS(Issues!H:H,Issues!C:C,$A822,Issues!D:D,$B822,Issues!E:E,$C822),0)</f>
        <v>0</v>
      </c>
      <c r="F822" s="70">
        <f>IFERROR(SUMIFS(Returns!H:H,Returns!C:C,$A822,Returns!D:D,$B822,Returns!E:E,$C822),0)</f>
        <v>0</v>
      </c>
      <c r="G822" s="70">
        <f t="shared" si="1"/>
        <v>0</v>
      </c>
      <c r="H822" s="71">
        <f t="shared" si="2"/>
        <v>0</v>
      </c>
      <c r="I822" s="72">
        <f>IFERROR( SUMIFS('Stock In'!I:I,'Stock In'!C:C,$A822,'Stock In'!D:D,$B822,'Stock In'!E:E,$C822) / SUMIFS('Stock In'!H:H,'Stock In'!C:C,$A822,'Stock In'!D:D,$B822,'Stock In'!E:E,$C822) , 0)</f>
        <v>0</v>
      </c>
      <c r="J822" s="71">
        <f t="shared" si="3"/>
        <v>0</v>
      </c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8"/>
      <c r="B823" s="68"/>
      <c r="C823" s="68"/>
      <c r="D823" s="70">
        <f>IFERROR(SUMIFS('Stock In'!F:F,'Stock In'!C:C,$A823,'Stock In'!D:D,$B823,'Stock In'!E:E,$C823),0)</f>
        <v>0</v>
      </c>
      <c r="E823" s="70">
        <f>IFERROR(SUMIFS(Issues!H:H,Issues!C:C,$A823,Issues!D:D,$B823,Issues!E:E,$C823),0)</f>
        <v>0</v>
      </c>
      <c r="F823" s="70">
        <f>IFERROR(SUMIFS(Returns!H:H,Returns!C:C,$A823,Returns!D:D,$B823,Returns!E:E,$C823),0)</f>
        <v>0</v>
      </c>
      <c r="G823" s="70">
        <f t="shared" si="1"/>
        <v>0</v>
      </c>
      <c r="H823" s="71">
        <f t="shared" si="2"/>
        <v>0</v>
      </c>
      <c r="I823" s="72">
        <f>IFERROR( SUMIFS('Stock In'!I:I,'Stock In'!C:C,$A823,'Stock In'!D:D,$B823,'Stock In'!E:E,$C823) / SUMIFS('Stock In'!H:H,'Stock In'!C:C,$A823,'Stock In'!D:D,$B823,'Stock In'!E:E,$C823) , 0)</f>
        <v>0</v>
      </c>
      <c r="J823" s="71">
        <f t="shared" si="3"/>
        <v>0</v>
      </c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8"/>
      <c r="B824" s="68"/>
      <c r="C824" s="68"/>
      <c r="D824" s="70">
        <f>IFERROR(SUMIFS('Stock In'!F:F,'Stock In'!C:C,$A824,'Stock In'!D:D,$B824,'Stock In'!E:E,$C824),0)</f>
        <v>0</v>
      </c>
      <c r="E824" s="70">
        <f>IFERROR(SUMIFS(Issues!H:H,Issues!C:C,$A824,Issues!D:D,$B824,Issues!E:E,$C824),0)</f>
        <v>0</v>
      </c>
      <c r="F824" s="70">
        <f>IFERROR(SUMIFS(Returns!H:H,Returns!C:C,$A824,Returns!D:D,$B824,Returns!E:E,$C824),0)</f>
        <v>0</v>
      </c>
      <c r="G824" s="70">
        <f t="shared" si="1"/>
        <v>0</v>
      </c>
      <c r="H824" s="71">
        <f t="shared" si="2"/>
        <v>0</v>
      </c>
      <c r="I824" s="72">
        <f>IFERROR( SUMIFS('Stock In'!I:I,'Stock In'!C:C,$A824,'Stock In'!D:D,$B824,'Stock In'!E:E,$C824) / SUMIFS('Stock In'!H:H,'Stock In'!C:C,$A824,'Stock In'!D:D,$B824,'Stock In'!E:E,$C824) , 0)</f>
        <v>0</v>
      </c>
      <c r="J824" s="71">
        <f t="shared" si="3"/>
        <v>0</v>
      </c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8"/>
      <c r="B825" s="68"/>
      <c r="C825" s="68"/>
      <c r="D825" s="70">
        <f>IFERROR(SUMIFS('Stock In'!F:F,'Stock In'!C:C,$A825,'Stock In'!D:D,$B825,'Stock In'!E:E,$C825),0)</f>
        <v>0</v>
      </c>
      <c r="E825" s="70">
        <f>IFERROR(SUMIFS(Issues!H:H,Issues!C:C,$A825,Issues!D:D,$B825,Issues!E:E,$C825),0)</f>
        <v>0</v>
      </c>
      <c r="F825" s="70">
        <f>IFERROR(SUMIFS(Returns!H:H,Returns!C:C,$A825,Returns!D:D,$B825,Returns!E:E,$C825),0)</f>
        <v>0</v>
      </c>
      <c r="G825" s="70">
        <f t="shared" si="1"/>
        <v>0</v>
      </c>
      <c r="H825" s="71">
        <f t="shared" si="2"/>
        <v>0</v>
      </c>
      <c r="I825" s="72">
        <f>IFERROR( SUMIFS('Stock In'!I:I,'Stock In'!C:C,$A825,'Stock In'!D:D,$B825,'Stock In'!E:E,$C825) / SUMIFS('Stock In'!H:H,'Stock In'!C:C,$A825,'Stock In'!D:D,$B825,'Stock In'!E:E,$C825) , 0)</f>
        <v>0</v>
      </c>
      <c r="J825" s="71">
        <f t="shared" si="3"/>
        <v>0</v>
      </c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8"/>
      <c r="B826" s="68"/>
      <c r="C826" s="68"/>
      <c r="D826" s="70">
        <f>IFERROR(SUMIFS('Stock In'!F:F,'Stock In'!C:C,$A826,'Stock In'!D:D,$B826,'Stock In'!E:E,$C826),0)</f>
        <v>0</v>
      </c>
      <c r="E826" s="70">
        <f>IFERROR(SUMIFS(Issues!H:H,Issues!C:C,$A826,Issues!D:D,$B826,Issues!E:E,$C826),0)</f>
        <v>0</v>
      </c>
      <c r="F826" s="70">
        <f>IFERROR(SUMIFS(Returns!H:H,Returns!C:C,$A826,Returns!D:D,$B826,Returns!E:E,$C826),0)</f>
        <v>0</v>
      </c>
      <c r="G826" s="70">
        <f t="shared" si="1"/>
        <v>0</v>
      </c>
      <c r="H826" s="71">
        <f t="shared" si="2"/>
        <v>0</v>
      </c>
      <c r="I826" s="72">
        <f>IFERROR( SUMIFS('Stock In'!I:I,'Stock In'!C:C,$A826,'Stock In'!D:D,$B826,'Stock In'!E:E,$C826) / SUMIFS('Stock In'!H:H,'Stock In'!C:C,$A826,'Stock In'!D:D,$B826,'Stock In'!E:E,$C826) , 0)</f>
        <v>0</v>
      </c>
      <c r="J826" s="71">
        <f t="shared" si="3"/>
        <v>0</v>
      </c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8"/>
      <c r="B827" s="68"/>
      <c r="C827" s="68"/>
      <c r="D827" s="70">
        <f>IFERROR(SUMIFS('Stock In'!F:F,'Stock In'!C:C,$A827,'Stock In'!D:D,$B827,'Stock In'!E:E,$C827),0)</f>
        <v>0</v>
      </c>
      <c r="E827" s="70">
        <f>IFERROR(SUMIFS(Issues!H:H,Issues!C:C,$A827,Issues!D:D,$B827,Issues!E:E,$C827),0)</f>
        <v>0</v>
      </c>
      <c r="F827" s="70">
        <f>IFERROR(SUMIFS(Returns!H:H,Returns!C:C,$A827,Returns!D:D,$B827,Returns!E:E,$C827),0)</f>
        <v>0</v>
      </c>
      <c r="G827" s="70">
        <f t="shared" si="1"/>
        <v>0</v>
      </c>
      <c r="H827" s="71">
        <f t="shared" si="2"/>
        <v>0</v>
      </c>
      <c r="I827" s="72">
        <f>IFERROR( SUMIFS('Stock In'!I:I,'Stock In'!C:C,$A827,'Stock In'!D:D,$B827,'Stock In'!E:E,$C827) / SUMIFS('Stock In'!H:H,'Stock In'!C:C,$A827,'Stock In'!D:D,$B827,'Stock In'!E:E,$C827) , 0)</f>
        <v>0</v>
      </c>
      <c r="J827" s="71">
        <f t="shared" si="3"/>
        <v>0</v>
      </c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8"/>
      <c r="B828" s="68"/>
      <c r="C828" s="68"/>
      <c r="D828" s="70">
        <f>IFERROR(SUMIFS('Stock In'!F:F,'Stock In'!C:C,$A828,'Stock In'!D:D,$B828,'Stock In'!E:E,$C828),0)</f>
        <v>0</v>
      </c>
      <c r="E828" s="70">
        <f>IFERROR(SUMIFS(Issues!H:H,Issues!C:C,$A828,Issues!D:D,$B828,Issues!E:E,$C828),0)</f>
        <v>0</v>
      </c>
      <c r="F828" s="70">
        <f>IFERROR(SUMIFS(Returns!H:H,Returns!C:C,$A828,Returns!D:D,$B828,Returns!E:E,$C828),0)</f>
        <v>0</v>
      </c>
      <c r="G828" s="70">
        <f t="shared" si="1"/>
        <v>0</v>
      </c>
      <c r="H828" s="71">
        <f t="shared" si="2"/>
        <v>0</v>
      </c>
      <c r="I828" s="72">
        <f>IFERROR( SUMIFS('Stock In'!I:I,'Stock In'!C:C,$A828,'Stock In'!D:D,$B828,'Stock In'!E:E,$C828) / SUMIFS('Stock In'!H:H,'Stock In'!C:C,$A828,'Stock In'!D:D,$B828,'Stock In'!E:E,$C828) , 0)</f>
        <v>0</v>
      </c>
      <c r="J828" s="71">
        <f t="shared" si="3"/>
        <v>0</v>
      </c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8"/>
      <c r="B829" s="68"/>
      <c r="C829" s="68"/>
      <c r="D829" s="70">
        <f>IFERROR(SUMIFS('Stock In'!F:F,'Stock In'!C:C,$A829,'Stock In'!D:D,$B829,'Stock In'!E:E,$C829),0)</f>
        <v>0</v>
      </c>
      <c r="E829" s="70">
        <f>IFERROR(SUMIFS(Issues!H:H,Issues!C:C,$A829,Issues!D:D,$B829,Issues!E:E,$C829),0)</f>
        <v>0</v>
      </c>
      <c r="F829" s="70">
        <f>IFERROR(SUMIFS(Returns!H:H,Returns!C:C,$A829,Returns!D:D,$B829,Returns!E:E,$C829),0)</f>
        <v>0</v>
      </c>
      <c r="G829" s="70">
        <f t="shared" si="1"/>
        <v>0</v>
      </c>
      <c r="H829" s="71">
        <f t="shared" si="2"/>
        <v>0</v>
      </c>
      <c r="I829" s="72">
        <f>IFERROR( SUMIFS('Stock In'!I:I,'Stock In'!C:C,$A829,'Stock In'!D:D,$B829,'Stock In'!E:E,$C829) / SUMIFS('Stock In'!H:H,'Stock In'!C:C,$A829,'Stock In'!D:D,$B829,'Stock In'!E:E,$C829) , 0)</f>
        <v>0</v>
      </c>
      <c r="J829" s="71">
        <f t="shared" si="3"/>
        <v>0</v>
      </c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8"/>
      <c r="B830" s="68"/>
      <c r="C830" s="68"/>
      <c r="D830" s="70">
        <f>IFERROR(SUMIFS('Stock In'!F:F,'Stock In'!C:C,$A830,'Stock In'!D:D,$B830,'Stock In'!E:E,$C830),0)</f>
        <v>0</v>
      </c>
      <c r="E830" s="70">
        <f>IFERROR(SUMIFS(Issues!H:H,Issues!C:C,$A830,Issues!D:D,$B830,Issues!E:E,$C830),0)</f>
        <v>0</v>
      </c>
      <c r="F830" s="70">
        <f>IFERROR(SUMIFS(Returns!H:H,Returns!C:C,$A830,Returns!D:D,$B830,Returns!E:E,$C830),0)</f>
        <v>0</v>
      </c>
      <c r="G830" s="70">
        <f t="shared" si="1"/>
        <v>0</v>
      </c>
      <c r="H830" s="71">
        <f t="shared" si="2"/>
        <v>0</v>
      </c>
      <c r="I830" s="72">
        <f>IFERROR( SUMIFS('Stock In'!I:I,'Stock In'!C:C,$A830,'Stock In'!D:D,$B830,'Stock In'!E:E,$C830) / SUMIFS('Stock In'!H:H,'Stock In'!C:C,$A830,'Stock In'!D:D,$B830,'Stock In'!E:E,$C830) , 0)</f>
        <v>0</v>
      </c>
      <c r="J830" s="71">
        <f t="shared" si="3"/>
        <v>0</v>
      </c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8"/>
      <c r="B831" s="68"/>
      <c r="C831" s="68"/>
      <c r="D831" s="70">
        <f>IFERROR(SUMIFS('Stock In'!F:F,'Stock In'!C:C,$A831,'Stock In'!D:D,$B831,'Stock In'!E:E,$C831),0)</f>
        <v>0</v>
      </c>
      <c r="E831" s="70">
        <f>IFERROR(SUMIFS(Issues!H:H,Issues!C:C,$A831,Issues!D:D,$B831,Issues!E:E,$C831),0)</f>
        <v>0</v>
      </c>
      <c r="F831" s="70">
        <f>IFERROR(SUMIFS(Returns!H:H,Returns!C:C,$A831,Returns!D:D,$B831,Returns!E:E,$C831),0)</f>
        <v>0</v>
      </c>
      <c r="G831" s="70">
        <f t="shared" si="1"/>
        <v>0</v>
      </c>
      <c r="H831" s="71">
        <f t="shared" si="2"/>
        <v>0</v>
      </c>
      <c r="I831" s="72">
        <f>IFERROR( SUMIFS('Stock In'!I:I,'Stock In'!C:C,$A831,'Stock In'!D:D,$B831,'Stock In'!E:E,$C831) / SUMIFS('Stock In'!H:H,'Stock In'!C:C,$A831,'Stock In'!D:D,$B831,'Stock In'!E:E,$C831) , 0)</f>
        <v>0</v>
      </c>
      <c r="J831" s="71">
        <f t="shared" si="3"/>
        <v>0</v>
      </c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8"/>
      <c r="B832" s="68"/>
      <c r="C832" s="68"/>
      <c r="D832" s="70">
        <f>IFERROR(SUMIFS('Stock In'!F:F,'Stock In'!C:C,$A832,'Stock In'!D:D,$B832,'Stock In'!E:E,$C832),0)</f>
        <v>0</v>
      </c>
      <c r="E832" s="70">
        <f>IFERROR(SUMIFS(Issues!H:H,Issues!C:C,$A832,Issues!D:D,$B832,Issues!E:E,$C832),0)</f>
        <v>0</v>
      </c>
      <c r="F832" s="70">
        <f>IFERROR(SUMIFS(Returns!H:H,Returns!C:C,$A832,Returns!D:D,$B832,Returns!E:E,$C832),0)</f>
        <v>0</v>
      </c>
      <c r="G832" s="70">
        <f t="shared" si="1"/>
        <v>0</v>
      </c>
      <c r="H832" s="71">
        <f t="shared" si="2"/>
        <v>0</v>
      </c>
      <c r="I832" s="72">
        <f>IFERROR( SUMIFS('Stock In'!I:I,'Stock In'!C:C,$A832,'Stock In'!D:D,$B832,'Stock In'!E:E,$C832) / SUMIFS('Stock In'!H:H,'Stock In'!C:C,$A832,'Stock In'!D:D,$B832,'Stock In'!E:E,$C832) , 0)</f>
        <v>0</v>
      </c>
      <c r="J832" s="71">
        <f t="shared" si="3"/>
        <v>0</v>
      </c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8"/>
      <c r="B833" s="68"/>
      <c r="C833" s="68"/>
      <c r="D833" s="70">
        <f>IFERROR(SUMIFS('Stock In'!F:F,'Stock In'!C:C,$A833,'Stock In'!D:D,$B833,'Stock In'!E:E,$C833),0)</f>
        <v>0</v>
      </c>
      <c r="E833" s="70">
        <f>IFERROR(SUMIFS(Issues!H:H,Issues!C:C,$A833,Issues!D:D,$B833,Issues!E:E,$C833),0)</f>
        <v>0</v>
      </c>
      <c r="F833" s="70">
        <f>IFERROR(SUMIFS(Returns!H:H,Returns!C:C,$A833,Returns!D:D,$B833,Returns!E:E,$C833),0)</f>
        <v>0</v>
      </c>
      <c r="G833" s="70">
        <f t="shared" si="1"/>
        <v>0</v>
      </c>
      <c r="H833" s="71">
        <f t="shared" si="2"/>
        <v>0</v>
      </c>
      <c r="I833" s="72">
        <f>IFERROR( SUMIFS('Stock In'!I:I,'Stock In'!C:C,$A833,'Stock In'!D:D,$B833,'Stock In'!E:E,$C833) / SUMIFS('Stock In'!H:H,'Stock In'!C:C,$A833,'Stock In'!D:D,$B833,'Stock In'!E:E,$C833) , 0)</f>
        <v>0</v>
      </c>
      <c r="J833" s="71">
        <f t="shared" si="3"/>
        <v>0</v>
      </c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8"/>
      <c r="B834" s="68"/>
      <c r="C834" s="68"/>
      <c r="D834" s="70">
        <f>IFERROR(SUMIFS('Stock In'!F:F,'Stock In'!C:C,$A834,'Stock In'!D:D,$B834,'Stock In'!E:E,$C834),0)</f>
        <v>0</v>
      </c>
      <c r="E834" s="70">
        <f>IFERROR(SUMIFS(Issues!H:H,Issues!C:C,$A834,Issues!D:D,$B834,Issues!E:E,$C834),0)</f>
        <v>0</v>
      </c>
      <c r="F834" s="70">
        <f>IFERROR(SUMIFS(Returns!H:H,Returns!C:C,$A834,Returns!D:D,$B834,Returns!E:E,$C834),0)</f>
        <v>0</v>
      </c>
      <c r="G834" s="70">
        <f t="shared" si="1"/>
        <v>0</v>
      </c>
      <c r="H834" s="71">
        <f t="shared" si="2"/>
        <v>0</v>
      </c>
      <c r="I834" s="72">
        <f>IFERROR( SUMIFS('Stock In'!I:I,'Stock In'!C:C,$A834,'Stock In'!D:D,$B834,'Stock In'!E:E,$C834) / SUMIFS('Stock In'!H:H,'Stock In'!C:C,$A834,'Stock In'!D:D,$B834,'Stock In'!E:E,$C834) , 0)</f>
        <v>0</v>
      </c>
      <c r="J834" s="71">
        <f t="shared" si="3"/>
        <v>0</v>
      </c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8"/>
      <c r="B835" s="68"/>
      <c r="C835" s="68"/>
      <c r="D835" s="70">
        <f>IFERROR(SUMIFS('Stock In'!F:F,'Stock In'!C:C,$A835,'Stock In'!D:D,$B835,'Stock In'!E:E,$C835),0)</f>
        <v>0</v>
      </c>
      <c r="E835" s="70">
        <f>IFERROR(SUMIFS(Issues!H:H,Issues!C:C,$A835,Issues!D:D,$B835,Issues!E:E,$C835),0)</f>
        <v>0</v>
      </c>
      <c r="F835" s="70">
        <f>IFERROR(SUMIFS(Returns!H:H,Returns!C:C,$A835,Returns!D:D,$B835,Returns!E:E,$C835),0)</f>
        <v>0</v>
      </c>
      <c r="G835" s="70">
        <f t="shared" si="1"/>
        <v>0</v>
      </c>
      <c r="H835" s="71">
        <f t="shared" si="2"/>
        <v>0</v>
      </c>
      <c r="I835" s="72">
        <f>IFERROR( SUMIFS('Stock In'!I:I,'Stock In'!C:C,$A835,'Stock In'!D:D,$B835,'Stock In'!E:E,$C835) / SUMIFS('Stock In'!H:H,'Stock In'!C:C,$A835,'Stock In'!D:D,$B835,'Stock In'!E:E,$C835) , 0)</f>
        <v>0</v>
      </c>
      <c r="J835" s="71">
        <f t="shared" si="3"/>
        <v>0</v>
      </c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8"/>
      <c r="B836" s="68"/>
      <c r="C836" s="68"/>
      <c r="D836" s="70">
        <f>IFERROR(SUMIFS('Stock In'!F:F,'Stock In'!C:C,$A836,'Stock In'!D:D,$B836,'Stock In'!E:E,$C836),0)</f>
        <v>0</v>
      </c>
      <c r="E836" s="70">
        <f>IFERROR(SUMIFS(Issues!H:H,Issues!C:C,$A836,Issues!D:D,$B836,Issues!E:E,$C836),0)</f>
        <v>0</v>
      </c>
      <c r="F836" s="70">
        <f>IFERROR(SUMIFS(Returns!H:H,Returns!C:C,$A836,Returns!D:D,$B836,Returns!E:E,$C836),0)</f>
        <v>0</v>
      </c>
      <c r="G836" s="70">
        <f t="shared" si="1"/>
        <v>0</v>
      </c>
      <c r="H836" s="71">
        <f t="shared" si="2"/>
        <v>0</v>
      </c>
      <c r="I836" s="72">
        <f>IFERROR( SUMIFS('Stock In'!I:I,'Stock In'!C:C,$A836,'Stock In'!D:D,$B836,'Stock In'!E:E,$C836) / SUMIFS('Stock In'!H:H,'Stock In'!C:C,$A836,'Stock In'!D:D,$B836,'Stock In'!E:E,$C836) , 0)</f>
        <v>0</v>
      </c>
      <c r="J836" s="71">
        <f t="shared" si="3"/>
        <v>0</v>
      </c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8"/>
      <c r="B837" s="68"/>
      <c r="C837" s="68"/>
      <c r="D837" s="70">
        <f>IFERROR(SUMIFS('Stock In'!F:F,'Stock In'!C:C,$A837,'Stock In'!D:D,$B837,'Stock In'!E:E,$C837),0)</f>
        <v>0</v>
      </c>
      <c r="E837" s="70">
        <f>IFERROR(SUMIFS(Issues!H:H,Issues!C:C,$A837,Issues!D:D,$B837,Issues!E:E,$C837),0)</f>
        <v>0</v>
      </c>
      <c r="F837" s="70">
        <f>IFERROR(SUMIFS(Returns!H:H,Returns!C:C,$A837,Returns!D:D,$B837,Returns!E:E,$C837),0)</f>
        <v>0</v>
      </c>
      <c r="G837" s="70">
        <f t="shared" si="1"/>
        <v>0</v>
      </c>
      <c r="H837" s="71">
        <f t="shared" si="2"/>
        <v>0</v>
      </c>
      <c r="I837" s="72">
        <f>IFERROR( SUMIFS('Stock In'!I:I,'Stock In'!C:C,$A837,'Stock In'!D:D,$B837,'Stock In'!E:E,$C837) / SUMIFS('Stock In'!H:H,'Stock In'!C:C,$A837,'Stock In'!D:D,$B837,'Stock In'!E:E,$C837) , 0)</f>
        <v>0</v>
      </c>
      <c r="J837" s="71">
        <f t="shared" si="3"/>
        <v>0</v>
      </c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8"/>
      <c r="B838" s="68"/>
      <c r="C838" s="68"/>
      <c r="D838" s="70">
        <f>IFERROR(SUMIFS('Stock In'!F:F,'Stock In'!C:C,$A838,'Stock In'!D:D,$B838,'Stock In'!E:E,$C838),0)</f>
        <v>0</v>
      </c>
      <c r="E838" s="70">
        <f>IFERROR(SUMIFS(Issues!H:H,Issues!C:C,$A838,Issues!D:D,$B838,Issues!E:E,$C838),0)</f>
        <v>0</v>
      </c>
      <c r="F838" s="70">
        <f>IFERROR(SUMIFS(Returns!H:H,Returns!C:C,$A838,Returns!D:D,$B838,Returns!E:E,$C838),0)</f>
        <v>0</v>
      </c>
      <c r="G838" s="70">
        <f t="shared" si="1"/>
        <v>0</v>
      </c>
      <c r="H838" s="71">
        <f t="shared" si="2"/>
        <v>0</v>
      </c>
      <c r="I838" s="72">
        <f>IFERROR( SUMIFS('Stock In'!I:I,'Stock In'!C:C,$A838,'Stock In'!D:D,$B838,'Stock In'!E:E,$C838) / SUMIFS('Stock In'!H:H,'Stock In'!C:C,$A838,'Stock In'!D:D,$B838,'Stock In'!E:E,$C838) , 0)</f>
        <v>0</v>
      </c>
      <c r="J838" s="71">
        <f t="shared" si="3"/>
        <v>0</v>
      </c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8"/>
      <c r="B839" s="68"/>
      <c r="C839" s="68"/>
      <c r="D839" s="70">
        <f>IFERROR(SUMIFS('Stock In'!F:F,'Stock In'!C:C,$A839,'Stock In'!D:D,$B839,'Stock In'!E:E,$C839),0)</f>
        <v>0</v>
      </c>
      <c r="E839" s="70">
        <f>IFERROR(SUMIFS(Issues!H:H,Issues!C:C,$A839,Issues!D:D,$B839,Issues!E:E,$C839),0)</f>
        <v>0</v>
      </c>
      <c r="F839" s="70">
        <f>IFERROR(SUMIFS(Returns!H:H,Returns!C:C,$A839,Returns!D:D,$B839,Returns!E:E,$C839),0)</f>
        <v>0</v>
      </c>
      <c r="G839" s="70">
        <f t="shared" si="1"/>
        <v>0</v>
      </c>
      <c r="H839" s="71">
        <f t="shared" si="2"/>
        <v>0</v>
      </c>
      <c r="I839" s="72">
        <f>IFERROR( SUMIFS('Stock In'!I:I,'Stock In'!C:C,$A839,'Stock In'!D:D,$B839,'Stock In'!E:E,$C839) / SUMIFS('Stock In'!H:H,'Stock In'!C:C,$A839,'Stock In'!D:D,$B839,'Stock In'!E:E,$C839) , 0)</f>
        <v>0</v>
      </c>
      <c r="J839" s="71">
        <f t="shared" si="3"/>
        <v>0</v>
      </c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8"/>
      <c r="B840" s="68"/>
      <c r="C840" s="68"/>
      <c r="D840" s="70">
        <f>IFERROR(SUMIFS('Stock In'!F:F,'Stock In'!C:C,$A840,'Stock In'!D:D,$B840,'Stock In'!E:E,$C840),0)</f>
        <v>0</v>
      </c>
      <c r="E840" s="70">
        <f>IFERROR(SUMIFS(Issues!H:H,Issues!C:C,$A840,Issues!D:D,$B840,Issues!E:E,$C840),0)</f>
        <v>0</v>
      </c>
      <c r="F840" s="70">
        <f>IFERROR(SUMIFS(Returns!H:H,Returns!C:C,$A840,Returns!D:D,$B840,Returns!E:E,$C840),0)</f>
        <v>0</v>
      </c>
      <c r="G840" s="70">
        <f t="shared" si="1"/>
        <v>0</v>
      </c>
      <c r="H840" s="71">
        <f t="shared" si="2"/>
        <v>0</v>
      </c>
      <c r="I840" s="72">
        <f>IFERROR( SUMIFS('Stock In'!I:I,'Stock In'!C:C,$A840,'Stock In'!D:D,$B840,'Stock In'!E:E,$C840) / SUMIFS('Stock In'!H:H,'Stock In'!C:C,$A840,'Stock In'!D:D,$B840,'Stock In'!E:E,$C840) , 0)</f>
        <v>0</v>
      </c>
      <c r="J840" s="71">
        <f t="shared" si="3"/>
        <v>0</v>
      </c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8"/>
      <c r="B841" s="68"/>
      <c r="C841" s="68"/>
      <c r="D841" s="70">
        <f>IFERROR(SUMIFS('Stock In'!F:F,'Stock In'!C:C,$A841,'Stock In'!D:D,$B841,'Stock In'!E:E,$C841),0)</f>
        <v>0</v>
      </c>
      <c r="E841" s="70">
        <f>IFERROR(SUMIFS(Issues!H:H,Issues!C:C,$A841,Issues!D:D,$B841,Issues!E:E,$C841),0)</f>
        <v>0</v>
      </c>
      <c r="F841" s="70">
        <f>IFERROR(SUMIFS(Returns!H:H,Returns!C:C,$A841,Returns!D:D,$B841,Returns!E:E,$C841),0)</f>
        <v>0</v>
      </c>
      <c r="G841" s="70">
        <f t="shared" si="1"/>
        <v>0</v>
      </c>
      <c r="H841" s="71">
        <f t="shared" si="2"/>
        <v>0</v>
      </c>
      <c r="I841" s="72">
        <f>IFERROR( SUMIFS('Stock In'!I:I,'Stock In'!C:C,$A841,'Stock In'!D:D,$B841,'Stock In'!E:E,$C841) / SUMIFS('Stock In'!H:H,'Stock In'!C:C,$A841,'Stock In'!D:D,$B841,'Stock In'!E:E,$C841) , 0)</f>
        <v>0</v>
      </c>
      <c r="J841" s="71">
        <f t="shared" si="3"/>
        <v>0</v>
      </c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8"/>
      <c r="B842" s="68"/>
      <c r="C842" s="68"/>
      <c r="D842" s="70">
        <f>IFERROR(SUMIFS('Stock In'!F:F,'Stock In'!C:C,$A842,'Stock In'!D:D,$B842,'Stock In'!E:E,$C842),0)</f>
        <v>0</v>
      </c>
      <c r="E842" s="70">
        <f>IFERROR(SUMIFS(Issues!H:H,Issues!C:C,$A842,Issues!D:D,$B842,Issues!E:E,$C842),0)</f>
        <v>0</v>
      </c>
      <c r="F842" s="70">
        <f>IFERROR(SUMIFS(Returns!H:H,Returns!C:C,$A842,Returns!D:D,$B842,Returns!E:E,$C842),0)</f>
        <v>0</v>
      </c>
      <c r="G842" s="70">
        <f t="shared" si="1"/>
        <v>0</v>
      </c>
      <c r="H842" s="71">
        <f t="shared" si="2"/>
        <v>0</v>
      </c>
      <c r="I842" s="72">
        <f>IFERROR( SUMIFS('Stock In'!I:I,'Stock In'!C:C,$A842,'Stock In'!D:D,$B842,'Stock In'!E:E,$C842) / SUMIFS('Stock In'!H:H,'Stock In'!C:C,$A842,'Stock In'!D:D,$B842,'Stock In'!E:E,$C842) , 0)</f>
        <v>0</v>
      </c>
      <c r="J842" s="71">
        <f t="shared" si="3"/>
        <v>0</v>
      </c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8"/>
      <c r="B843" s="68"/>
      <c r="C843" s="68"/>
      <c r="D843" s="70">
        <f>IFERROR(SUMIFS('Stock In'!F:F,'Stock In'!C:C,$A843,'Stock In'!D:D,$B843,'Stock In'!E:E,$C843),0)</f>
        <v>0</v>
      </c>
      <c r="E843" s="70">
        <f>IFERROR(SUMIFS(Issues!H:H,Issues!C:C,$A843,Issues!D:D,$B843,Issues!E:E,$C843),0)</f>
        <v>0</v>
      </c>
      <c r="F843" s="70">
        <f>IFERROR(SUMIFS(Returns!H:H,Returns!C:C,$A843,Returns!D:D,$B843,Returns!E:E,$C843),0)</f>
        <v>0</v>
      </c>
      <c r="G843" s="70">
        <f t="shared" si="1"/>
        <v>0</v>
      </c>
      <c r="H843" s="71">
        <f t="shared" si="2"/>
        <v>0</v>
      </c>
      <c r="I843" s="72">
        <f>IFERROR( SUMIFS('Stock In'!I:I,'Stock In'!C:C,$A843,'Stock In'!D:D,$B843,'Stock In'!E:E,$C843) / SUMIFS('Stock In'!H:H,'Stock In'!C:C,$A843,'Stock In'!D:D,$B843,'Stock In'!E:E,$C843) , 0)</f>
        <v>0</v>
      </c>
      <c r="J843" s="71">
        <f t="shared" si="3"/>
        <v>0</v>
      </c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8"/>
      <c r="B844" s="68"/>
      <c r="C844" s="68"/>
      <c r="D844" s="70">
        <f>IFERROR(SUMIFS('Stock In'!F:F,'Stock In'!C:C,$A844,'Stock In'!D:D,$B844,'Stock In'!E:E,$C844),0)</f>
        <v>0</v>
      </c>
      <c r="E844" s="70">
        <f>IFERROR(SUMIFS(Issues!H:H,Issues!C:C,$A844,Issues!D:D,$B844,Issues!E:E,$C844),0)</f>
        <v>0</v>
      </c>
      <c r="F844" s="70">
        <f>IFERROR(SUMIFS(Returns!H:H,Returns!C:C,$A844,Returns!D:D,$B844,Returns!E:E,$C844),0)</f>
        <v>0</v>
      </c>
      <c r="G844" s="70">
        <f t="shared" si="1"/>
        <v>0</v>
      </c>
      <c r="H844" s="71">
        <f t="shared" si="2"/>
        <v>0</v>
      </c>
      <c r="I844" s="72">
        <f>IFERROR( SUMIFS('Stock In'!I:I,'Stock In'!C:C,$A844,'Stock In'!D:D,$B844,'Stock In'!E:E,$C844) / SUMIFS('Stock In'!H:H,'Stock In'!C:C,$A844,'Stock In'!D:D,$B844,'Stock In'!E:E,$C844) , 0)</f>
        <v>0</v>
      </c>
      <c r="J844" s="71">
        <f t="shared" si="3"/>
        <v>0</v>
      </c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8"/>
      <c r="B845" s="68"/>
      <c r="C845" s="68"/>
      <c r="D845" s="70">
        <f>IFERROR(SUMIFS('Stock In'!F:F,'Stock In'!C:C,$A845,'Stock In'!D:D,$B845,'Stock In'!E:E,$C845),0)</f>
        <v>0</v>
      </c>
      <c r="E845" s="70">
        <f>IFERROR(SUMIFS(Issues!H:H,Issues!C:C,$A845,Issues!D:D,$B845,Issues!E:E,$C845),0)</f>
        <v>0</v>
      </c>
      <c r="F845" s="70">
        <f>IFERROR(SUMIFS(Returns!H:H,Returns!C:C,$A845,Returns!D:D,$B845,Returns!E:E,$C845),0)</f>
        <v>0</v>
      </c>
      <c r="G845" s="70">
        <f t="shared" si="1"/>
        <v>0</v>
      </c>
      <c r="H845" s="71">
        <f t="shared" si="2"/>
        <v>0</v>
      </c>
      <c r="I845" s="72">
        <f>IFERROR( SUMIFS('Stock In'!I:I,'Stock In'!C:C,$A845,'Stock In'!D:D,$B845,'Stock In'!E:E,$C845) / SUMIFS('Stock In'!H:H,'Stock In'!C:C,$A845,'Stock In'!D:D,$B845,'Stock In'!E:E,$C845) , 0)</f>
        <v>0</v>
      </c>
      <c r="J845" s="71">
        <f t="shared" si="3"/>
        <v>0</v>
      </c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8"/>
      <c r="B846" s="68"/>
      <c r="C846" s="68"/>
      <c r="D846" s="70">
        <f>IFERROR(SUMIFS('Stock In'!F:F,'Stock In'!C:C,$A846,'Stock In'!D:D,$B846,'Stock In'!E:E,$C846),0)</f>
        <v>0</v>
      </c>
      <c r="E846" s="70">
        <f>IFERROR(SUMIFS(Issues!H:H,Issues!C:C,$A846,Issues!D:D,$B846,Issues!E:E,$C846),0)</f>
        <v>0</v>
      </c>
      <c r="F846" s="70">
        <f>IFERROR(SUMIFS(Returns!H:H,Returns!C:C,$A846,Returns!D:D,$B846,Returns!E:E,$C846),0)</f>
        <v>0</v>
      </c>
      <c r="G846" s="70">
        <f t="shared" si="1"/>
        <v>0</v>
      </c>
      <c r="H846" s="71">
        <f t="shared" si="2"/>
        <v>0</v>
      </c>
      <c r="I846" s="72">
        <f>IFERROR( SUMIFS('Stock In'!I:I,'Stock In'!C:C,$A846,'Stock In'!D:D,$B846,'Stock In'!E:E,$C846) / SUMIFS('Stock In'!H:H,'Stock In'!C:C,$A846,'Stock In'!D:D,$B846,'Stock In'!E:E,$C846) , 0)</f>
        <v>0</v>
      </c>
      <c r="J846" s="71">
        <f t="shared" si="3"/>
        <v>0</v>
      </c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8"/>
      <c r="B847" s="68"/>
      <c r="C847" s="68"/>
      <c r="D847" s="70">
        <f>IFERROR(SUMIFS('Stock In'!F:F,'Stock In'!C:C,$A847,'Stock In'!D:D,$B847,'Stock In'!E:E,$C847),0)</f>
        <v>0</v>
      </c>
      <c r="E847" s="70">
        <f>IFERROR(SUMIFS(Issues!H:H,Issues!C:C,$A847,Issues!D:D,$B847,Issues!E:E,$C847),0)</f>
        <v>0</v>
      </c>
      <c r="F847" s="70">
        <f>IFERROR(SUMIFS(Returns!H:H,Returns!C:C,$A847,Returns!D:D,$B847,Returns!E:E,$C847),0)</f>
        <v>0</v>
      </c>
      <c r="G847" s="70">
        <f t="shared" si="1"/>
        <v>0</v>
      </c>
      <c r="H847" s="71">
        <f t="shared" si="2"/>
        <v>0</v>
      </c>
      <c r="I847" s="72">
        <f>IFERROR( SUMIFS('Stock In'!I:I,'Stock In'!C:C,$A847,'Stock In'!D:D,$B847,'Stock In'!E:E,$C847) / SUMIFS('Stock In'!H:H,'Stock In'!C:C,$A847,'Stock In'!D:D,$B847,'Stock In'!E:E,$C847) , 0)</f>
        <v>0</v>
      </c>
      <c r="J847" s="71">
        <f t="shared" si="3"/>
        <v>0</v>
      </c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8"/>
      <c r="B848" s="68"/>
      <c r="C848" s="68"/>
      <c r="D848" s="70">
        <f>IFERROR(SUMIFS('Stock In'!F:F,'Stock In'!C:C,$A848,'Stock In'!D:D,$B848,'Stock In'!E:E,$C848),0)</f>
        <v>0</v>
      </c>
      <c r="E848" s="70">
        <f>IFERROR(SUMIFS(Issues!H:H,Issues!C:C,$A848,Issues!D:D,$B848,Issues!E:E,$C848),0)</f>
        <v>0</v>
      </c>
      <c r="F848" s="70">
        <f>IFERROR(SUMIFS(Returns!H:H,Returns!C:C,$A848,Returns!D:D,$B848,Returns!E:E,$C848),0)</f>
        <v>0</v>
      </c>
      <c r="G848" s="70">
        <f t="shared" si="1"/>
        <v>0</v>
      </c>
      <c r="H848" s="71">
        <f t="shared" si="2"/>
        <v>0</v>
      </c>
      <c r="I848" s="72">
        <f>IFERROR( SUMIFS('Stock In'!I:I,'Stock In'!C:C,$A848,'Stock In'!D:D,$B848,'Stock In'!E:E,$C848) / SUMIFS('Stock In'!H:H,'Stock In'!C:C,$A848,'Stock In'!D:D,$B848,'Stock In'!E:E,$C848) , 0)</f>
        <v>0</v>
      </c>
      <c r="J848" s="71">
        <f t="shared" si="3"/>
        <v>0</v>
      </c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8"/>
      <c r="B849" s="68"/>
      <c r="C849" s="68"/>
      <c r="D849" s="70">
        <f>IFERROR(SUMIFS('Stock In'!F:F,'Stock In'!C:C,$A849,'Stock In'!D:D,$B849,'Stock In'!E:E,$C849),0)</f>
        <v>0</v>
      </c>
      <c r="E849" s="70">
        <f>IFERROR(SUMIFS(Issues!H:H,Issues!C:C,$A849,Issues!D:D,$B849,Issues!E:E,$C849),0)</f>
        <v>0</v>
      </c>
      <c r="F849" s="70">
        <f>IFERROR(SUMIFS(Returns!H:H,Returns!C:C,$A849,Returns!D:D,$B849,Returns!E:E,$C849),0)</f>
        <v>0</v>
      </c>
      <c r="G849" s="70">
        <f t="shared" si="1"/>
        <v>0</v>
      </c>
      <c r="H849" s="71">
        <f t="shared" si="2"/>
        <v>0</v>
      </c>
      <c r="I849" s="72">
        <f>IFERROR( SUMIFS('Stock In'!I:I,'Stock In'!C:C,$A849,'Stock In'!D:D,$B849,'Stock In'!E:E,$C849) / SUMIFS('Stock In'!H:H,'Stock In'!C:C,$A849,'Stock In'!D:D,$B849,'Stock In'!E:E,$C849) , 0)</f>
        <v>0</v>
      </c>
      <c r="J849" s="71">
        <f t="shared" si="3"/>
        <v>0</v>
      </c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8"/>
      <c r="B850" s="68"/>
      <c r="C850" s="68"/>
      <c r="D850" s="70">
        <f>IFERROR(SUMIFS('Stock In'!F:F,'Stock In'!C:C,$A850,'Stock In'!D:D,$B850,'Stock In'!E:E,$C850),0)</f>
        <v>0</v>
      </c>
      <c r="E850" s="70">
        <f>IFERROR(SUMIFS(Issues!H:H,Issues!C:C,$A850,Issues!D:D,$B850,Issues!E:E,$C850),0)</f>
        <v>0</v>
      </c>
      <c r="F850" s="70">
        <f>IFERROR(SUMIFS(Returns!H:H,Returns!C:C,$A850,Returns!D:D,$B850,Returns!E:E,$C850),0)</f>
        <v>0</v>
      </c>
      <c r="G850" s="70">
        <f t="shared" si="1"/>
        <v>0</v>
      </c>
      <c r="H850" s="71">
        <f t="shared" si="2"/>
        <v>0</v>
      </c>
      <c r="I850" s="72">
        <f>IFERROR( SUMIFS('Stock In'!I:I,'Stock In'!C:C,$A850,'Stock In'!D:D,$B850,'Stock In'!E:E,$C850) / SUMIFS('Stock In'!H:H,'Stock In'!C:C,$A850,'Stock In'!D:D,$B850,'Stock In'!E:E,$C850) , 0)</f>
        <v>0</v>
      </c>
      <c r="J850" s="71">
        <f t="shared" si="3"/>
        <v>0</v>
      </c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8"/>
      <c r="B851" s="68"/>
      <c r="C851" s="68"/>
      <c r="D851" s="70">
        <f>IFERROR(SUMIFS('Stock In'!F:F,'Stock In'!C:C,$A851,'Stock In'!D:D,$B851,'Stock In'!E:E,$C851),0)</f>
        <v>0</v>
      </c>
      <c r="E851" s="70">
        <f>IFERROR(SUMIFS(Issues!H:H,Issues!C:C,$A851,Issues!D:D,$B851,Issues!E:E,$C851),0)</f>
        <v>0</v>
      </c>
      <c r="F851" s="70">
        <f>IFERROR(SUMIFS(Returns!H:H,Returns!C:C,$A851,Returns!D:D,$B851,Returns!E:E,$C851),0)</f>
        <v>0</v>
      </c>
      <c r="G851" s="70">
        <f t="shared" si="1"/>
        <v>0</v>
      </c>
      <c r="H851" s="71">
        <f t="shared" si="2"/>
        <v>0</v>
      </c>
      <c r="I851" s="72">
        <f>IFERROR( SUMIFS('Stock In'!I:I,'Stock In'!C:C,$A851,'Stock In'!D:D,$B851,'Stock In'!E:E,$C851) / SUMIFS('Stock In'!H:H,'Stock In'!C:C,$A851,'Stock In'!D:D,$B851,'Stock In'!E:E,$C851) , 0)</f>
        <v>0</v>
      </c>
      <c r="J851" s="71">
        <f t="shared" si="3"/>
        <v>0</v>
      </c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8"/>
      <c r="B852" s="68"/>
      <c r="C852" s="68"/>
      <c r="D852" s="70">
        <f>IFERROR(SUMIFS('Stock In'!F:F,'Stock In'!C:C,$A852,'Stock In'!D:D,$B852,'Stock In'!E:E,$C852),0)</f>
        <v>0</v>
      </c>
      <c r="E852" s="70">
        <f>IFERROR(SUMIFS(Issues!H:H,Issues!C:C,$A852,Issues!D:D,$B852,Issues!E:E,$C852),0)</f>
        <v>0</v>
      </c>
      <c r="F852" s="70">
        <f>IFERROR(SUMIFS(Returns!H:H,Returns!C:C,$A852,Returns!D:D,$B852,Returns!E:E,$C852),0)</f>
        <v>0</v>
      </c>
      <c r="G852" s="70">
        <f t="shared" si="1"/>
        <v>0</v>
      </c>
      <c r="H852" s="71">
        <f t="shared" si="2"/>
        <v>0</v>
      </c>
      <c r="I852" s="72">
        <f>IFERROR( SUMIFS('Stock In'!I:I,'Stock In'!C:C,$A852,'Stock In'!D:D,$B852,'Stock In'!E:E,$C852) / SUMIFS('Stock In'!H:H,'Stock In'!C:C,$A852,'Stock In'!D:D,$B852,'Stock In'!E:E,$C852) , 0)</f>
        <v>0</v>
      </c>
      <c r="J852" s="71">
        <f t="shared" si="3"/>
        <v>0</v>
      </c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8"/>
      <c r="B853" s="68"/>
      <c r="C853" s="68"/>
      <c r="D853" s="70">
        <f>IFERROR(SUMIFS('Stock In'!F:F,'Stock In'!C:C,$A853,'Stock In'!D:D,$B853,'Stock In'!E:E,$C853),0)</f>
        <v>0</v>
      </c>
      <c r="E853" s="70">
        <f>IFERROR(SUMIFS(Issues!H:H,Issues!C:C,$A853,Issues!D:D,$B853,Issues!E:E,$C853),0)</f>
        <v>0</v>
      </c>
      <c r="F853" s="70">
        <f>IFERROR(SUMIFS(Returns!H:H,Returns!C:C,$A853,Returns!D:D,$B853,Returns!E:E,$C853),0)</f>
        <v>0</v>
      </c>
      <c r="G853" s="70">
        <f t="shared" si="1"/>
        <v>0</v>
      </c>
      <c r="H853" s="71">
        <f t="shared" si="2"/>
        <v>0</v>
      </c>
      <c r="I853" s="72">
        <f>IFERROR( SUMIFS('Stock In'!I:I,'Stock In'!C:C,$A853,'Stock In'!D:D,$B853,'Stock In'!E:E,$C853) / SUMIFS('Stock In'!H:H,'Stock In'!C:C,$A853,'Stock In'!D:D,$B853,'Stock In'!E:E,$C853) , 0)</f>
        <v>0</v>
      </c>
      <c r="J853" s="71">
        <f t="shared" si="3"/>
        <v>0</v>
      </c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8"/>
      <c r="B854" s="68"/>
      <c r="C854" s="68"/>
      <c r="D854" s="70">
        <f>IFERROR(SUMIFS('Stock In'!F:F,'Stock In'!C:C,$A854,'Stock In'!D:D,$B854,'Stock In'!E:E,$C854),0)</f>
        <v>0</v>
      </c>
      <c r="E854" s="70">
        <f>IFERROR(SUMIFS(Issues!H:H,Issues!C:C,$A854,Issues!D:D,$B854,Issues!E:E,$C854),0)</f>
        <v>0</v>
      </c>
      <c r="F854" s="70">
        <f>IFERROR(SUMIFS(Returns!H:H,Returns!C:C,$A854,Returns!D:D,$B854,Returns!E:E,$C854),0)</f>
        <v>0</v>
      </c>
      <c r="G854" s="70">
        <f t="shared" si="1"/>
        <v>0</v>
      </c>
      <c r="H854" s="71">
        <f t="shared" si="2"/>
        <v>0</v>
      </c>
      <c r="I854" s="72">
        <f>IFERROR( SUMIFS('Stock In'!I:I,'Stock In'!C:C,$A854,'Stock In'!D:D,$B854,'Stock In'!E:E,$C854) / SUMIFS('Stock In'!H:H,'Stock In'!C:C,$A854,'Stock In'!D:D,$B854,'Stock In'!E:E,$C854) , 0)</f>
        <v>0</v>
      </c>
      <c r="J854" s="71">
        <f t="shared" si="3"/>
        <v>0</v>
      </c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8"/>
      <c r="B855" s="68"/>
      <c r="C855" s="68"/>
      <c r="D855" s="70">
        <f>IFERROR(SUMIFS('Stock In'!F:F,'Stock In'!C:C,$A855,'Stock In'!D:D,$B855,'Stock In'!E:E,$C855),0)</f>
        <v>0</v>
      </c>
      <c r="E855" s="70">
        <f>IFERROR(SUMIFS(Issues!H:H,Issues!C:C,$A855,Issues!D:D,$B855,Issues!E:E,$C855),0)</f>
        <v>0</v>
      </c>
      <c r="F855" s="70">
        <f>IFERROR(SUMIFS(Returns!H:H,Returns!C:C,$A855,Returns!D:D,$B855,Returns!E:E,$C855),0)</f>
        <v>0</v>
      </c>
      <c r="G855" s="70">
        <f t="shared" si="1"/>
        <v>0</v>
      </c>
      <c r="H855" s="71">
        <f t="shared" si="2"/>
        <v>0</v>
      </c>
      <c r="I855" s="72">
        <f>IFERROR( SUMIFS('Stock In'!I:I,'Stock In'!C:C,$A855,'Stock In'!D:D,$B855,'Stock In'!E:E,$C855) / SUMIFS('Stock In'!H:H,'Stock In'!C:C,$A855,'Stock In'!D:D,$B855,'Stock In'!E:E,$C855) , 0)</f>
        <v>0</v>
      </c>
      <c r="J855" s="71">
        <f t="shared" si="3"/>
        <v>0</v>
      </c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8"/>
      <c r="B856" s="68"/>
      <c r="C856" s="68"/>
      <c r="D856" s="70">
        <f>IFERROR(SUMIFS('Stock In'!F:F,'Stock In'!C:C,$A856,'Stock In'!D:D,$B856,'Stock In'!E:E,$C856),0)</f>
        <v>0</v>
      </c>
      <c r="E856" s="70">
        <f>IFERROR(SUMIFS(Issues!H:H,Issues!C:C,$A856,Issues!D:D,$B856,Issues!E:E,$C856),0)</f>
        <v>0</v>
      </c>
      <c r="F856" s="70">
        <f>IFERROR(SUMIFS(Returns!H:H,Returns!C:C,$A856,Returns!D:D,$B856,Returns!E:E,$C856),0)</f>
        <v>0</v>
      </c>
      <c r="G856" s="70">
        <f t="shared" si="1"/>
        <v>0</v>
      </c>
      <c r="H856" s="71">
        <f t="shared" si="2"/>
        <v>0</v>
      </c>
      <c r="I856" s="72">
        <f>IFERROR( SUMIFS('Stock In'!I:I,'Stock In'!C:C,$A856,'Stock In'!D:D,$B856,'Stock In'!E:E,$C856) / SUMIFS('Stock In'!H:H,'Stock In'!C:C,$A856,'Stock In'!D:D,$B856,'Stock In'!E:E,$C856) , 0)</f>
        <v>0</v>
      </c>
      <c r="J856" s="71">
        <f t="shared" si="3"/>
        <v>0</v>
      </c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8"/>
      <c r="B857" s="68"/>
      <c r="C857" s="68"/>
      <c r="D857" s="70">
        <f>IFERROR(SUMIFS('Stock In'!F:F,'Stock In'!C:C,$A857,'Stock In'!D:D,$B857,'Stock In'!E:E,$C857),0)</f>
        <v>0</v>
      </c>
      <c r="E857" s="70">
        <f>IFERROR(SUMIFS(Issues!H:H,Issues!C:C,$A857,Issues!D:D,$B857,Issues!E:E,$C857),0)</f>
        <v>0</v>
      </c>
      <c r="F857" s="70">
        <f>IFERROR(SUMIFS(Returns!H:H,Returns!C:C,$A857,Returns!D:D,$B857,Returns!E:E,$C857),0)</f>
        <v>0</v>
      </c>
      <c r="G857" s="70">
        <f t="shared" si="1"/>
        <v>0</v>
      </c>
      <c r="H857" s="71">
        <f t="shared" si="2"/>
        <v>0</v>
      </c>
      <c r="I857" s="72">
        <f>IFERROR( SUMIFS('Stock In'!I:I,'Stock In'!C:C,$A857,'Stock In'!D:D,$B857,'Stock In'!E:E,$C857) / SUMIFS('Stock In'!H:H,'Stock In'!C:C,$A857,'Stock In'!D:D,$B857,'Stock In'!E:E,$C857) , 0)</f>
        <v>0</v>
      </c>
      <c r="J857" s="71">
        <f t="shared" si="3"/>
        <v>0</v>
      </c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8"/>
      <c r="B858" s="68"/>
      <c r="C858" s="68"/>
      <c r="D858" s="70">
        <f>IFERROR(SUMIFS('Stock In'!F:F,'Stock In'!C:C,$A858,'Stock In'!D:D,$B858,'Stock In'!E:E,$C858),0)</f>
        <v>0</v>
      </c>
      <c r="E858" s="70">
        <f>IFERROR(SUMIFS(Issues!H:H,Issues!C:C,$A858,Issues!D:D,$B858,Issues!E:E,$C858),0)</f>
        <v>0</v>
      </c>
      <c r="F858" s="70">
        <f>IFERROR(SUMIFS(Returns!H:H,Returns!C:C,$A858,Returns!D:D,$B858,Returns!E:E,$C858),0)</f>
        <v>0</v>
      </c>
      <c r="G858" s="70">
        <f t="shared" si="1"/>
        <v>0</v>
      </c>
      <c r="H858" s="71">
        <f t="shared" si="2"/>
        <v>0</v>
      </c>
      <c r="I858" s="72">
        <f>IFERROR( SUMIFS('Stock In'!I:I,'Stock In'!C:C,$A858,'Stock In'!D:D,$B858,'Stock In'!E:E,$C858) / SUMIFS('Stock In'!H:H,'Stock In'!C:C,$A858,'Stock In'!D:D,$B858,'Stock In'!E:E,$C858) , 0)</f>
        <v>0</v>
      </c>
      <c r="J858" s="71">
        <f t="shared" si="3"/>
        <v>0</v>
      </c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8"/>
      <c r="B859" s="68"/>
      <c r="C859" s="68"/>
      <c r="D859" s="70">
        <f>IFERROR(SUMIFS('Stock In'!F:F,'Stock In'!C:C,$A859,'Stock In'!D:D,$B859,'Stock In'!E:E,$C859),0)</f>
        <v>0</v>
      </c>
      <c r="E859" s="70">
        <f>IFERROR(SUMIFS(Issues!H:H,Issues!C:C,$A859,Issues!D:D,$B859,Issues!E:E,$C859),0)</f>
        <v>0</v>
      </c>
      <c r="F859" s="70">
        <f>IFERROR(SUMIFS(Returns!H:H,Returns!C:C,$A859,Returns!D:D,$B859,Returns!E:E,$C859),0)</f>
        <v>0</v>
      </c>
      <c r="G859" s="70">
        <f t="shared" si="1"/>
        <v>0</v>
      </c>
      <c r="H859" s="71">
        <f t="shared" si="2"/>
        <v>0</v>
      </c>
      <c r="I859" s="72">
        <f>IFERROR( SUMIFS('Stock In'!I:I,'Stock In'!C:C,$A859,'Stock In'!D:D,$B859,'Stock In'!E:E,$C859) / SUMIFS('Stock In'!H:H,'Stock In'!C:C,$A859,'Stock In'!D:D,$B859,'Stock In'!E:E,$C859) , 0)</f>
        <v>0</v>
      </c>
      <c r="J859" s="71">
        <f t="shared" si="3"/>
        <v>0</v>
      </c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8"/>
      <c r="B860" s="68"/>
      <c r="C860" s="68"/>
      <c r="D860" s="70">
        <f>IFERROR(SUMIFS('Stock In'!F:F,'Stock In'!C:C,$A860,'Stock In'!D:D,$B860,'Stock In'!E:E,$C860),0)</f>
        <v>0</v>
      </c>
      <c r="E860" s="70">
        <f>IFERROR(SUMIFS(Issues!H:H,Issues!C:C,$A860,Issues!D:D,$B860,Issues!E:E,$C860),0)</f>
        <v>0</v>
      </c>
      <c r="F860" s="70">
        <f>IFERROR(SUMIFS(Returns!H:H,Returns!C:C,$A860,Returns!D:D,$B860,Returns!E:E,$C860),0)</f>
        <v>0</v>
      </c>
      <c r="G860" s="70">
        <f t="shared" si="1"/>
        <v>0</v>
      </c>
      <c r="H860" s="71">
        <f t="shared" si="2"/>
        <v>0</v>
      </c>
      <c r="I860" s="72">
        <f>IFERROR( SUMIFS('Stock In'!I:I,'Stock In'!C:C,$A860,'Stock In'!D:D,$B860,'Stock In'!E:E,$C860) / SUMIFS('Stock In'!H:H,'Stock In'!C:C,$A860,'Stock In'!D:D,$B860,'Stock In'!E:E,$C860) , 0)</f>
        <v>0</v>
      </c>
      <c r="J860" s="71">
        <f t="shared" si="3"/>
        <v>0</v>
      </c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8"/>
      <c r="B861" s="68"/>
      <c r="C861" s="68"/>
      <c r="D861" s="70">
        <f>IFERROR(SUMIFS('Stock In'!F:F,'Stock In'!C:C,$A861,'Stock In'!D:D,$B861,'Stock In'!E:E,$C861),0)</f>
        <v>0</v>
      </c>
      <c r="E861" s="70">
        <f>IFERROR(SUMIFS(Issues!H:H,Issues!C:C,$A861,Issues!D:D,$B861,Issues!E:E,$C861),0)</f>
        <v>0</v>
      </c>
      <c r="F861" s="70">
        <f>IFERROR(SUMIFS(Returns!H:H,Returns!C:C,$A861,Returns!D:D,$B861,Returns!E:E,$C861),0)</f>
        <v>0</v>
      </c>
      <c r="G861" s="70">
        <f t="shared" si="1"/>
        <v>0</v>
      </c>
      <c r="H861" s="71">
        <f t="shared" si="2"/>
        <v>0</v>
      </c>
      <c r="I861" s="72">
        <f>IFERROR( SUMIFS('Stock In'!I:I,'Stock In'!C:C,$A861,'Stock In'!D:D,$B861,'Stock In'!E:E,$C861) / SUMIFS('Stock In'!H:H,'Stock In'!C:C,$A861,'Stock In'!D:D,$B861,'Stock In'!E:E,$C861) , 0)</f>
        <v>0</v>
      </c>
      <c r="J861" s="71">
        <f t="shared" si="3"/>
        <v>0</v>
      </c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8"/>
      <c r="B862" s="68"/>
      <c r="C862" s="68"/>
      <c r="D862" s="70">
        <f>IFERROR(SUMIFS('Stock In'!F:F,'Stock In'!C:C,$A862,'Stock In'!D:D,$B862,'Stock In'!E:E,$C862),0)</f>
        <v>0</v>
      </c>
      <c r="E862" s="70">
        <f>IFERROR(SUMIFS(Issues!H:H,Issues!C:C,$A862,Issues!D:D,$B862,Issues!E:E,$C862),0)</f>
        <v>0</v>
      </c>
      <c r="F862" s="70">
        <f>IFERROR(SUMIFS(Returns!H:H,Returns!C:C,$A862,Returns!D:D,$B862,Returns!E:E,$C862),0)</f>
        <v>0</v>
      </c>
      <c r="G862" s="70">
        <f t="shared" si="1"/>
        <v>0</v>
      </c>
      <c r="H862" s="71">
        <f t="shared" si="2"/>
        <v>0</v>
      </c>
      <c r="I862" s="72">
        <f>IFERROR( SUMIFS('Stock In'!I:I,'Stock In'!C:C,$A862,'Stock In'!D:D,$B862,'Stock In'!E:E,$C862) / SUMIFS('Stock In'!H:H,'Stock In'!C:C,$A862,'Stock In'!D:D,$B862,'Stock In'!E:E,$C862) , 0)</f>
        <v>0</v>
      </c>
      <c r="J862" s="71">
        <f t="shared" si="3"/>
        <v>0</v>
      </c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8"/>
      <c r="B863" s="68"/>
      <c r="C863" s="68"/>
      <c r="D863" s="70">
        <f>IFERROR(SUMIFS('Stock In'!F:F,'Stock In'!C:C,$A863,'Stock In'!D:D,$B863,'Stock In'!E:E,$C863),0)</f>
        <v>0</v>
      </c>
      <c r="E863" s="70">
        <f>IFERROR(SUMIFS(Issues!H:H,Issues!C:C,$A863,Issues!D:D,$B863,Issues!E:E,$C863),0)</f>
        <v>0</v>
      </c>
      <c r="F863" s="70">
        <f>IFERROR(SUMIFS(Returns!H:H,Returns!C:C,$A863,Returns!D:D,$B863,Returns!E:E,$C863),0)</f>
        <v>0</v>
      </c>
      <c r="G863" s="70">
        <f t="shared" si="1"/>
        <v>0</v>
      </c>
      <c r="H863" s="71">
        <f t="shared" si="2"/>
        <v>0</v>
      </c>
      <c r="I863" s="72">
        <f>IFERROR( SUMIFS('Stock In'!I:I,'Stock In'!C:C,$A863,'Stock In'!D:D,$B863,'Stock In'!E:E,$C863) / SUMIFS('Stock In'!H:H,'Stock In'!C:C,$A863,'Stock In'!D:D,$B863,'Stock In'!E:E,$C863) , 0)</f>
        <v>0</v>
      </c>
      <c r="J863" s="71">
        <f t="shared" si="3"/>
        <v>0</v>
      </c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8"/>
      <c r="B864" s="68"/>
      <c r="C864" s="68"/>
      <c r="D864" s="70">
        <f>IFERROR(SUMIFS('Stock In'!F:F,'Stock In'!C:C,$A864,'Stock In'!D:D,$B864,'Stock In'!E:E,$C864),0)</f>
        <v>0</v>
      </c>
      <c r="E864" s="70">
        <f>IFERROR(SUMIFS(Issues!H:H,Issues!C:C,$A864,Issues!D:D,$B864,Issues!E:E,$C864),0)</f>
        <v>0</v>
      </c>
      <c r="F864" s="70">
        <f>IFERROR(SUMIFS(Returns!H:H,Returns!C:C,$A864,Returns!D:D,$B864,Returns!E:E,$C864),0)</f>
        <v>0</v>
      </c>
      <c r="G864" s="70">
        <f t="shared" si="1"/>
        <v>0</v>
      </c>
      <c r="H864" s="71">
        <f t="shared" si="2"/>
        <v>0</v>
      </c>
      <c r="I864" s="72">
        <f>IFERROR( SUMIFS('Stock In'!I:I,'Stock In'!C:C,$A864,'Stock In'!D:D,$B864,'Stock In'!E:E,$C864) / SUMIFS('Stock In'!H:H,'Stock In'!C:C,$A864,'Stock In'!D:D,$B864,'Stock In'!E:E,$C864) , 0)</f>
        <v>0</v>
      </c>
      <c r="J864" s="71">
        <f t="shared" si="3"/>
        <v>0</v>
      </c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8"/>
      <c r="B865" s="68"/>
      <c r="C865" s="68"/>
      <c r="D865" s="70">
        <f>IFERROR(SUMIFS('Stock In'!F:F,'Stock In'!C:C,$A865,'Stock In'!D:D,$B865,'Stock In'!E:E,$C865),0)</f>
        <v>0</v>
      </c>
      <c r="E865" s="70">
        <f>IFERROR(SUMIFS(Issues!H:H,Issues!C:C,$A865,Issues!D:D,$B865,Issues!E:E,$C865),0)</f>
        <v>0</v>
      </c>
      <c r="F865" s="70">
        <f>IFERROR(SUMIFS(Returns!H:H,Returns!C:C,$A865,Returns!D:D,$B865,Returns!E:E,$C865),0)</f>
        <v>0</v>
      </c>
      <c r="G865" s="70">
        <f t="shared" si="1"/>
        <v>0</v>
      </c>
      <c r="H865" s="71">
        <f t="shared" si="2"/>
        <v>0</v>
      </c>
      <c r="I865" s="72">
        <f>IFERROR( SUMIFS('Stock In'!I:I,'Stock In'!C:C,$A865,'Stock In'!D:D,$B865,'Stock In'!E:E,$C865) / SUMIFS('Stock In'!H:H,'Stock In'!C:C,$A865,'Stock In'!D:D,$B865,'Stock In'!E:E,$C865) , 0)</f>
        <v>0</v>
      </c>
      <c r="J865" s="71">
        <f t="shared" si="3"/>
        <v>0</v>
      </c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8"/>
      <c r="B866" s="68"/>
      <c r="C866" s="68"/>
      <c r="D866" s="70">
        <f>IFERROR(SUMIFS('Stock In'!F:F,'Stock In'!C:C,$A866,'Stock In'!D:D,$B866,'Stock In'!E:E,$C866),0)</f>
        <v>0</v>
      </c>
      <c r="E866" s="70">
        <f>IFERROR(SUMIFS(Issues!H:H,Issues!C:C,$A866,Issues!D:D,$B866,Issues!E:E,$C866),0)</f>
        <v>0</v>
      </c>
      <c r="F866" s="70">
        <f>IFERROR(SUMIFS(Returns!H:H,Returns!C:C,$A866,Returns!D:D,$B866,Returns!E:E,$C866),0)</f>
        <v>0</v>
      </c>
      <c r="G866" s="70">
        <f t="shared" si="1"/>
        <v>0</v>
      </c>
      <c r="H866" s="71">
        <f t="shared" si="2"/>
        <v>0</v>
      </c>
      <c r="I866" s="72">
        <f>IFERROR( SUMIFS('Stock In'!I:I,'Stock In'!C:C,$A866,'Stock In'!D:D,$B866,'Stock In'!E:E,$C866) / SUMIFS('Stock In'!H:H,'Stock In'!C:C,$A866,'Stock In'!D:D,$B866,'Stock In'!E:E,$C866) , 0)</f>
        <v>0</v>
      </c>
      <c r="J866" s="71">
        <f t="shared" si="3"/>
        <v>0</v>
      </c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8"/>
      <c r="B867" s="68"/>
      <c r="C867" s="68"/>
      <c r="D867" s="70">
        <f>IFERROR(SUMIFS('Stock In'!F:F,'Stock In'!C:C,$A867,'Stock In'!D:D,$B867,'Stock In'!E:E,$C867),0)</f>
        <v>0</v>
      </c>
      <c r="E867" s="70">
        <f>IFERROR(SUMIFS(Issues!H:H,Issues!C:C,$A867,Issues!D:D,$B867,Issues!E:E,$C867),0)</f>
        <v>0</v>
      </c>
      <c r="F867" s="70">
        <f>IFERROR(SUMIFS(Returns!H:H,Returns!C:C,$A867,Returns!D:D,$B867,Returns!E:E,$C867),0)</f>
        <v>0</v>
      </c>
      <c r="G867" s="70">
        <f t="shared" si="1"/>
        <v>0</v>
      </c>
      <c r="H867" s="71">
        <f t="shared" si="2"/>
        <v>0</v>
      </c>
      <c r="I867" s="72">
        <f>IFERROR( SUMIFS('Stock In'!I:I,'Stock In'!C:C,$A867,'Stock In'!D:D,$B867,'Stock In'!E:E,$C867) / SUMIFS('Stock In'!H:H,'Stock In'!C:C,$A867,'Stock In'!D:D,$B867,'Stock In'!E:E,$C867) , 0)</f>
        <v>0</v>
      </c>
      <c r="J867" s="71">
        <f t="shared" si="3"/>
        <v>0</v>
      </c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8"/>
      <c r="B868" s="68"/>
      <c r="C868" s="68"/>
      <c r="D868" s="70">
        <f>IFERROR(SUMIFS('Stock In'!F:F,'Stock In'!C:C,$A868,'Stock In'!D:D,$B868,'Stock In'!E:E,$C868),0)</f>
        <v>0</v>
      </c>
      <c r="E868" s="70">
        <f>IFERROR(SUMIFS(Issues!H:H,Issues!C:C,$A868,Issues!D:D,$B868,Issues!E:E,$C868),0)</f>
        <v>0</v>
      </c>
      <c r="F868" s="70">
        <f>IFERROR(SUMIFS(Returns!H:H,Returns!C:C,$A868,Returns!D:D,$B868,Returns!E:E,$C868),0)</f>
        <v>0</v>
      </c>
      <c r="G868" s="70">
        <f t="shared" si="1"/>
        <v>0</v>
      </c>
      <c r="H868" s="71">
        <f t="shared" si="2"/>
        <v>0</v>
      </c>
      <c r="I868" s="72">
        <f>IFERROR( SUMIFS('Stock In'!I:I,'Stock In'!C:C,$A868,'Stock In'!D:D,$B868,'Stock In'!E:E,$C868) / SUMIFS('Stock In'!H:H,'Stock In'!C:C,$A868,'Stock In'!D:D,$B868,'Stock In'!E:E,$C868) , 0)</f>
        <v>0</v>
      </c>
      <c r="J868" s="71">
        <f t="shared" si="3"/>
        <v>0</v>
      </c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8"/>
      <c r="B869" s="68"/>
      <c r="C869" s="68"/>
      <c r="D869" s="70">
        <f>IFERROR(SUMIFS('Stock In'!F:F,'Stock In'!C:C,$A869,'Stock In'!D:D,$B869,'Stock In'!E:E,$C869),0)</f>
        <v>0</v>
      </c>
      <c r="E869" s="70">
        <f>IFERROR(SUMIFS(Issues!H:H,Issues!C:C,$A869,Issues!D:D,$B869,Issues!E:E,$C869),0)</f>
        <v>0</v>
      </c>
      <c r="F869" s="70">
        <f>IFERROR(SUMIFS(Returns!H:H,Returns!C:C,$A869,Returns!D:D,$B869,Returns!E:E,$C869),0)</f>
        <v>0</v>
      </c>
      <c r="G869" s="70">
        <f t="shared" si="1"/>
        <v>0</v>
      </c>
      <c r="H869" s="71">
        <f t="shared" si="2"/>
        <v>0</v>
      </c>
      <c r="I869" s="72">
        <f>IFERROR( SUMIFS('Stock In'!I:I,'Stock In'!C:C,$A869,'Stock In'!D:D,$B869,'Stock In'!E:E,$C869) / SUMIFS('Stock In'!H:H,'Stock In'!C:C,$A869,'Stock In'!D:D,$B869,'Stock In'!E:E,$C869) , 0)</f>
        <v>0</v>
      </c>
      <c r="J869" s="71">
        <f t="shared" si="3"/>
        <v>0</v>
      </c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8"/>
      <c r="B870" s="68"/>
      <c r="C870" s="68"/>
      <c r="D870" s="70">
        <f>IFERROR(SUMIFS('Stock In'!F:F,'Stock In'!C:C,$A870,'Stock In'!D:D,$B870,'Stock In'!E:E,$C870),0)</f>
        <v>0</v>
      </c>
      <c r="E870" s="70">
        <f>IFERROR(SUMIFS(Issues!H:H,Issues!C:C,$A870,Issues!D:D,$B870,Issues!E:E,$C870),0)</f>
        <v>0</v>
      </c>
      <c r="F870" s="70">
        <f>IFERROR(SUMIFS(Returns!H:H,Returns!C:C,$A870,Returns!D:D,$B870,Returns!E:E,$C870),0)</f>
        <v>0</v>
      </c>
      <c r="G870" s="70">
        <f t="shared" si="1"/>
        <v>0</v>
      </c>
      <c r="H870" s="71">
        <f t="shared" si="2"/>
        <v>0</v>
      </c>
      <c r="I870" s="72">
        <f>IFERROR( SUMIFS('Stock In'!I:I,'Stock In'!C:C,$A870,'Stock In'!D:D,$B870,'Stock In'!E:E,$C870) / SUMIFS('Stock In'!H:H,'Stock In'!C:C,$A870,'Stock In'!D:D,$B870,'Stock In'!E:E,$C870) , 0)</f>
        <v>0</v>
      </c>
      <c r="J870" s="71">
        <f t="shared" si="3"/>
        <v>0</v>
      </c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8"/>
      <c r="B871" s="68"/>
      <c r="C871" s="68"/>
      <c r="D871" s="70">
        <f>IFERROR(SUMIFS('Stock In'!F:F,'Stock In'!C:C,$A871,'Stock In'!D:D,$B871,'Stock In'!E:E,$C871),0)</f>
        <v>0</v>
      </c>
      <c r="E871" s="70">
        <f>IFERROR(SUMIFS(Issues!H:H,Issues!C:C,$A871,Issues!D:D,$B871,Issues!E:E,$C871),0)</f>
        <v>0</v>
      </c>
      <c r="F871" s="70">
        <f>IFERROR(SUMIFS(Returns!H:H,Returns!C:C,$A871,Returns!D:D,$B871,Returns!E:E,$C871),0)</f>
        <v>0</v>
      </c>
      <c r="G871" s="70">
        <f t="shared" si="1"/>
        <v>0</v>
      </c>
      <c r="H871" s="71">
        <f t="shared" si="2"/>
        <v>0</v>
      </c>
      <c r="I871" s="72">
        <f>IFERROR( SUMIFS('Stock In'!I:I,'Stock In'!C:C,$A871,'Stock In'!D:D,$B871,'Stock In'!E:E,$C871) / SUMIFS('Stock In'!H:H,'Stock In'!C:C,$A871,'Stock In'!D:D,$B871,'Stock In'!E:E,$C871) , 0)</f>
        <v>0</v>
      </c>
      <c r="J871" s="71">
        <f t="shared" si="3"/>
        <v>0</v>
      </c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8"/>
      <c r="B872" s="68"/>
      <c r="C872" s="68"/>
      <c r="D872" s="70">
        <f>IFERROR(SUMIFS('Stock In'!F:F,'Stock In'!C:C,$A872,'Stock In'!D:D,$B872,'Stock In'!E:E,$C872),0)</f>
        <v>0</v>
      </c>
      <c r="E872" s="70">
        <f>IFERROR(SUMIFS(Issues!H:H,Issues!C:C,$A872,Issues!D:D,$B872,Issues!E:E,$C872),0)</f>
        <v>0</v>
      </c>
      <c r="F872" s="70">
        <f>IFERROR(SUMIFS(Returns!H:H,Returns!C:C,$A872,Returns!D:D,$B872,Returns!E:E,$C872),0)</f>
        <v>0</v>
      </c>
      <c r="G872" s="70">
        <f t="shared" si="1"/>
        <v>0</v>
      </c>
      <c r="H872" s="71">
        <f t="shared" si="2"/>
        <v>0</v>
      </c>
      <c r="I872" s="72">
        <f>IFERROR( SUMIFS('Stock In'!I:I,'Stock In'!C:C,$A872,'Stock In'!D:D,$B872,'Stock In'!E:E,$C872) / SUMIFS('Stock In'!H:H,'Stock In'!C:C,$A872,'Stock In'!D:D,$B872,'Stock In'!E:E,$C872) , 0)</f>
        <v>0</v>
      </c>
      <c r="J872" s="71">
        <f t="shared" si="3"/>
        <v>0</v>
      </c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8"/>
      <c r="B873" s="68"/>
      <c r="C873" s="68"/>
      <c r="D873" s="70">
        <f>IFERROR(SUMIFS('Stock In'!F:F,'Stock In'!C:C,$A873,'Stock In'!D:D,$B873,'Stock In'!E:E,$C873),0)</f>
        <v>0</v>
      </c>
      <c r="E873" s="70">
        <f>IFERROR(SUMIFS(Issues!H:H,Issues!C:C,$A873,Issues!D:D,$B873,Issues!E:E,$C873),0)</f>
        <v>0</v>
      </c>
      <c r="F873" s="70">
        <f>IFERROR(SUMIFS(Returns!H:H,Returns!C:C,$A873,Returns!D:D,$B873,Returns!E:E,$C873),0)</f>
        <v>0</v>
      </c>
      <c r="G873" s="70">
        <f t="shared" si="1"/>
        <v>0</v>
      </c>
      <c r="H873" s="71">
        <f t="shared" si="2"/>
        <v>0</v>
      </c>
      <c r="I873" s="72">
        <f>IFERROR( SUMIFS('Stock In'!I:I,'Stock In'!C:C,$A873,'Stock In'!D:D,$B873,'Stock In'!E:E,$C873) / SUMIFS('Stock In'!H:H,'Stock In'!C:C,$A873,'Stock In'!D:D,$B873,'Stock In'!E:E,$C873) , 0)</f>
        <v>0</v>
      </c>
      <c r="J873" s="71">
        <f t="shared" si="3"/>
        <v>0</v>
      </c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8"/>
      <c r="B874" s="68"/>
      <c r="C874" s="68"/>
      <c r="D874" s="70">
        <f>IFERROR(SUMIFS('Stock In'!F:F,'Stock In'!C:C,$A874,'Stock In'!D:D,$B874,'Stock In'!E:E,$C874),0)</f>
        <v>0</v>
      </c>
      <c r="E874" s="70">
        <f>IFERROR(SUMIFS(Issues!H:H,Issues!C:C,$A874,Issues!D:D,$B874,Issues!E:E,$C874),0)</f>
        <v>0</v>
      </c>
      <c r="F874" s="70">
        <f>IFERROR(SUMIFS(Returns!H:H,Returns!C:C,$A874,Returns!D:D,$B874,Returns!E:E,$C874),0)</f>
        <v>0</v>
      </c>
      <c r="G874" s="70">
        <f t="shared" si="1"/>
        <v>0</v>
      </c>
      <c r="H874" s="71">
        <f t="shared" si="2"/>
        <v>0</v>
      </c>
      <c r="I874" s="72">
        <f>IFERROR( SUMIFS('Stock In'!I:I,'Stock In'!C:C,$A874,'Stock In'!D:D,$B874,'Stock In'!E:E,$C874) / SUMIFS('Stock In'!H:H,'Stock In'!C:C,$A874,'Stock In'!D:D,$B874,'Stock In'!E:E,$C874) , 0)</f>
        <v>0</v>
      </c>
      <c r="J874" s="71">
        <f t="shared" si="3"/>
        <v>0</v>
      </c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8"/>
      <c r="B875" s="68"/>
      <c r="C875" s="68"/>
      <c r="D875" s="70">
        <f>IFERROR(SUMIFS('Stock In'!F:F,'Stock In'!C:C,$A875,'Stock In'!D:D,$B875,'Stock In'!E:E,$C875),0)</f>
        <v>0</v>
      </c>
      <c r="E875" s="70">
        <f>IFERROR(SUMIFS(Issues!H:H,Issues!C:C,$A875,Issues!D:D,$B875,Issues!E:E,$C875),0)</f>
        <v>0</v>
      </c>
      <c r="F875" s="70">
        <f>IFERROR(SUMIFS(Returns!H:H,Returns!C:C,$A875,Returns!D:D,$B875,Returns!E:E,$C875),0)</f>
        <v>0</v>
      </c>
      <c r="G875" s="70">
        <f t="shared" si="1"/>
        <v>0</v>
      </c>
      <c r="H875" s="71">
        <f t="shared" si="2"/>
        <v>0</v>
      </c>
      <c r="I875" s="72">
        <f>IFERROR( SUMIFS('Stock In'!I:I,'Stock In'!C:C,$A875,'Stock In'!D:D,$B875,'Stock In'!E:E,$C875) / SUMIFS('Stock In'!H:H,'Stock In'!C:C,$A875,'Stock In'!D:D,$B875,'Stock In'!E:E,$C875) , 0)</f>
        <v>0</v>
      </c>
      <c r="J875" s="71">
        <f t="shared" si="3"/>
        <v>0</v>
      </c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8"/>
      <c r="B876" s="68"/>
      <c r="C876" s="68"/>
      <c r="D876" s="70">
        <f>IFERROR(SUMIFS('Stock In'!F:F,'Stock In'!C:C,$A876,'Stock In'!D:D,$B876,'Stock In'!E:E,$C876),0)</f>
        <v>0</v>
      </c>
      <c r="E876" s="70">
        <f>IFERROR(SUMIFS(Issues!H:H,Issues!C:C,$A876,Issues!D:D,$B876,Issues!E:E,$C876),0)</f>
        <v>0</v>
      </c>
      <c r="F876" s="70">
        <f>IFERROR(SUMIFS(Returns!H:H,Returns!C:C,$A876,Returns!D:D,$B876,Returns!E:E,$C876),0)</f>
        <v>0</v>
      </c>
      <c r="G876" s="70">
        <f t="shared" si="1"/>
        <v>0</v>
      </c>
      <c r="H876" s="71">
        <f t="shared" si="2"/>
        <v>0</v>
      </c>
      <c r="I876" s="72">
        <f>IFERROR( SUMIFS('Stock In'!I:I,'Stock In'!C:C,$A876,'Stock In'!D:D,$B876,'Stock In'!E:E,$C876) / SUMIFS('Stock In'!H:H,'Stock In'!C:C,$A876,'Stock In'!D:D,$B876,'Stock In'!E:E,$C876) , 0)</f>
        <v>0</v>
      </c>
      <c r="J876" s="71">
        <f t="shared" si="3"/>
        <v>0</v>
      </c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8"/>
      <c r="B877" s="68"/>
      <c r="C877" s="68"/>
      <c r="D877" s="70">
        <f>IFERROR(SUMIFS('Stock In'!F:F,'Stock In'!C:C,$A877,'Stock In'!D:D,$B877,'Stock In'!E:E,$C877),0)</f>
        <v>0</v>
      </c>
      <c r="E877" s="70">
        <f>IFERROR(SUMIFS(Issues!H:H,Issues!C:C,$A877,Issues!D:D,$B877,Issues!E:E,$C877),0)</f>
        <v>0</v>
      </c>
      <c r="F877" s="70">
        <f>IFERROR(SUMIFS(Returns!H:H,Returns!C:C,$A877,Returns!D:D,$B877,Returns!E:E,$C877),0)</f>
        <v>0</v>
      </c>
      <c r="G877" s="70">
        <f t="shared" si="1"/>
        <v>0</v>
      </c>
      <c r="H877" s="71">
        <f t="shared" si="2"/>
        <v>0</v>
      </c>
      <c r="I877" s="72">
        <f>IFERROR( SUMIFS('Stock In'!I:I,'Stock In'!C:C,$A877,'Stock In'!D:D,$B877,'Stock In'!E:E,$C877) / SUMIFS('Stock In'!H:H,'Stock In'!C:C,$A877,'Stock In'!D:D,$B877,'Stock In'!E:E,$C877) , 0)</f>
        <v>0</v>
      </c>
      <c r="J877" s="71">
        <f t="shared" si="3"/>
        <v>0</v>
      </c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8"/>
      <c r="B878" s="68"/>
      <c r="C878" s="68"/>
      <c r="D878" s="70">
        <f>IFERROR(SUMIFS('Stock In'!F:F,'Stock In'!C:C,$A878,'Stock In'!D:D,$B878,'Stock In'!E:E,$C878),0)</f>
        <v>0</v>
      </c>
      <c r="E878" s="70">
        <f>IFERROR(SUMIFS(Issues!H:H,Issues!C:C,$A878,Issues!D:D,$B878,Issues!E:E,$C878),0)</f>
        <v>0</v>
      </c>
      <c r="F878" s="70">
        <f>IFERROR(SUMIFS(Returns!H:H,Returns!C:C,$A878,Returns!D:D,$B878,Returns!E:E,$C878),0)</f>
        <v>0</v>
      </c>
      <c r="G878" s="70">
        <f t="shared" si="1"/>
        <v>0</v>
      </c>
      <c r="H878" s="71">
        <f t="shared" si="2"/>
        <v>0</v>
      </c>
      <c r="I878" s="72">
        <f>IFERROR( SUMIFS('Stock In'!I:I,'Stock In'!C:C,$A878,'Stock In'!D:D,$B878,'Stock In'!E:E,$C878) / SUMIFS('Stock In'!H:H,'Stock In'!C:C,$A878,'Stock In'!D:D,$B878,'Stock In'!E:E,$C878) , 0)</f>
        <v>0</v>
      </c>
      <c r="J878" s="71">
        <f t="shared" si="3"/>
        <v>0</v>
      </c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8"/>
      <c r="B879" s="68"/>
      <c r="C879" s="68"/>
      <c r="D879" s="70">
        <f>IFERROR(SUMIFS('Stock In'!F:F,'Stock In'!C:C,$A879,'Stock In'!D:D,$B879,'Stock In'!E:E,$C879),0)</f>
        <v>0</v>
      </c>
      <c r="E879" s="70">
        <f>IFERROR(SUMIFS(Issues!H:H,Issues!C:C,$A879,Issues!D:D,$B879,Issues!E:E,$C879),0)</f>
        <v>0</v>
      </c>
      <c r="F879" s="70">
        <f>IFERROR(SUMIFS(Returns!H:H,Returns!C:C,$A879,Returns!D:D,$B879,Returns!E:E,$C879),0)</f>
        <v>0</v>
      </c>
      <c r="G879" s="70">
        <f t="shared" si="1"/>
        <v>0</v>
      </c>
      <c r="H879" s="71">
        <f t="shared" si="2"/>
        <v>0</v>
      </c>
      <c r="I879" s="72">
        <f>IFERROR( SUMIFS('Stock In'!I:I,'Stock In'!C:C,$A879,'Stock In'!D:D,$B879,'Stock In'!E:E,$C879) / SUMIFS('Stock In'!H:H,'Stock In'!C:C,$A879,'Stock In'!D:D,$B879,'Stock In'!E:E,$C879) , 0)</f>
        <v>0</v>
      </c>
      <c r="J879" s="71">
        <f t="shared" si="3"/>
        <v>0</v>
      </c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8"/>
      <c r="B880" s="68"/>
      <c r="C880" s="68"/>
      <c r="D880" s="70">
        <f>IFERROR(SUMIFS('Stock In'!F:F,'Stock In'!C:C,$A880,'Stock In'!D:D,$B880,'Stock In'!E:E,$C880),0)</f>
        <v>0</v>
      </c>
      <c r="E880" s="70">
        <f>IFERROR(SUMIFS(Issues!H:H,Issues!C:C,$A880,Issues!D:D,$B880,Issues!E:E,$C880),0)</f>
        <v>0</v>
      </c>
      <c r="F880" s="70">
        <f>IFERROR(SUMIFS(Returns!H:H,Returns!C:C,$A880,Returns!D:D,$B880,Returns!E:E,$C880),0)</f>
        <v>0</v>
      </c>
      <c r="G880" s="70">
        <f t="shared" si="1"/>
        <v>0</v>
      </c>
      <c r="H880" s="71">
        <f t="shared" si="2"/>
        <v>0</v>
      </c>
      <c r="I880" s="72">
        <f>IFERROR( SUMIFS('Stock In'!I:I,'Stock In'!C:C,$A880,'Stock In'!D:D,$B880,'Stock In'!E:E,$C880) / SUMIFS('Stock In'!H:H,'Stock In'!C:C,$A880,'Stock In'!D:D,$B880,'Stock In'!E:E,$C880) , 0)</f>
        <v>0</v>
      </c>
      <c r="J880" s="71">
        <f t="shared" si="3"/>
        <v>0</v>
      </c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8"/>
      <c r="B881" s="68"/>
      <c r="C881" s="68"/>
      <c r="D881" s="70">
        <f>IFERROR(SUMIFS('Stock In'!F:F,'Stock In'!C:C,$A881,'Stock In'!D:D,$B881,'Stock In'!E:E,$C881),0)</f>
        <v>0</v>
      </c>
      <c r="E881" s="70">
        <f>IFERROR(SUMIFS(Issues!H:H,Issues!C:C,$A881,Issues!D:D,$B881,Issues!E:E,$C881),0)</f>
        <v>0</v>
      </c>
      <c r="F881" s="70">
        <f>IFERROR(SUMIFS(Returns!H:H,Returns!C:C,$A881,Returns!D:D,$B881,Returns!E:E,$C881),0)</f>
        <v>0</v>
      </c>
      <c r="G881" s="70">
        <f t="shared" si="1"/>
        <v>0</v>
      </c>
      <c r="H881" s="71">
        <f t="shared" si="2"/>
        <v>0</v>
      </c>
      <c r="I881" s="72">
        <f>IFERROR( SUMIFS('Stock In'!I:I,'Stock In'!C:C,$A881,'Stock In'!D:D,$B881,'Stock In'!E:E,$C881) / SUMIFS('Stock In'!H:H,'Stock In'!C:C,$A881,'Stock In'!D:D,$B881,'Stock In'!E:E,$C881) , 0)</f>
        <v>0</v>
      </c>
      <c r="J881" s="71">
        <f t="shared" si="3"/>
        <v>0</v>
      </c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8"/>
      <c r="B882" s="68"/>
      <c r="C882" s="68"/>
      <c r="D882" s="70">
        <f>IFERROR(SUMIFS('Stock In'!F:F,'Stock In'!C:C,$A882,'Stock In'!D:D,$B882,'Stock In'!E:E,$C882),0)</f>
        <v>0</v>
      </c>
      <c r="E882" s="70">
        <f>IFERROR(SUMIFS(Issues!H:H,Issues!C:C,$A882,Issues!D:D,$B882,Issues!E:E,$C882),0)</f>
        <v>0</v>
      </c>
      <c r="F882" s="70">
        <f>IFERROR(SUMIFS(Returns!H:H,Returns!C:C,$A882,Returns!D:D,$B882,Returns!E:E,$C882),0)</f>
        <v>0</v>
      </c>
      <c r="G882" s="70">
        <f t="shared" si="1"/>
        <v>0</v>
      </c>
      <c r="H882" s="71">
        <f t="shared" si="2"/>
        <v>0</v>
      </c>
      <c r="I882" s="72">
        <f>IFERROR( SUMIFS('Stock In'!I:I,'Stock In'!C:C,$A882,'Stock In'!D:D,$B882,'Stock In'!E:E,$C882) / SUMIFS('Stock In'!H:H,'Stock In'!C:C,$A882,'Stock In'!D:D,$B882,'Stock In'!E:E,$C882) , 0)</f>
        <v>0</v>
      </c>
      <c r="J882" s="71">
        <f t="shared" si="3"/>
        <v>0</v>
      </c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8"/>
      <c r="B883" s="68"/>
      <c r="C883" s="68"/>
      <c r="D883" s="70">
        <f>IFERROR(SUMIFS('Stock In'!F:F,'Stock In'!C:C,$A883,'Stock In'!D:D,$B883,'Stock In'!E:E,$C883),0)</f>
        <v>0</v>
      </c>
      <c r="E883" s="70">
        <f>IFERROR(SUMIFS(Issues!H:H,Issues!C:C,$A883,Issues!D:D,$B883,Issues!E:E,$C883),0)</f>
        <v>0</v>
      </c>
      <c r="F883" s="70">
        <f>IFERROR(SUMIFS(Returns!H:H,Returns!C:C,$A883,Returns!D:D,$B883,Returns!E:E,$C883),0)</f>
        <v>0</v>
      </c>
      <c r="G883" s="70">
        <f t="shared" si="1"/>
        <v>0</v>
      </c>
      <c r="H883" s="71">
        <f t="shared" si="2"/>
        <v>0</v>
      </c>
      <c r="I883" s="72">
        <f>IFERROR( SUMIFS('Stock In'!I:I,'Stock In'!C:C,$A883,'Stock In'!D:D,$B883,'Stock In'!E:E,$C883) / SUMIFS('Stock In'!H:H,'Stock In'!C:C,$A883,'Stock In'!D:D,$B883,'Stock In'!E:E,$C883) , 0)</f>
        <v>0</v>
      </c>
      <c r="J883" s="71">
        <f t="shared" si="3"/>
        <v>0</v>
      </c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8"/>
      <c r="B884" s="68"/>
      <c r="C884" s="68"/>
      <c r="D884" s="70">
        <f>IFERROR(SUMIFS('Stock In'!F:F,'Stock In'!C:C,$A884,'Stock In'!D:D,$B884,'Stock In'!E:E,$C884),0)</f>
        <v>0</v>
      </c>
      <c r="E884" s="70">
        <f>IFERROR(SUMIFS(Issues!H:H,Issues!C:C,$A884,Issues!D:D,$B884,Issues!E:E,$C884),0)</f>
        <v>0</v>
      </c>
      <c r="F884" s="70">
        <f>IFERROR(SUMIFS(Returns!H:H,Returns!C:C,$A884,Returns!D:D,$B884,Returns!E:E,$C884),0)</f>
        <v>0</v>
      </c>
      <c r="G884" s="70">
        <f t="shared" si="1"/>
        <v>0</v>
      </c>
      <c r="H884" s="71">
        <f t="shared" si="2"/>
        <v>0</v>
      </c>
      <c r="I884" s="72">
        <f>IFERROR( SUMIFS('Stock In'!I:I,'Stock In'!C:C,$A884,'Stock In'!D:D,$B884,'Stock In'!E:E,$C884) / SUMIFS('Stock In'!H:H,'Stock In'!C:C,$A884,'Stock In'!D:D,$B884,'Stock In'!E:E,$C884) , 0)</f>
        <v>0</v>
      </c>
      <c r="J884" s="71">
        <f t="shared" si="3"/>
        <v>0</v>
      </c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8"/>
      <c r="B885" s="68"/>
      <c r="C885" s="68"/>
      <c r="D885" s="70">
        <f>IFERROR(SUMIFS('Stock In'!F:F,'Stock In'!C:C,$A885,'Stock In'!D:D,$B885,'Stock In'!E:E,$C885),0)</f>
        <v>0</v>
      </c>
      <c r="E885" s="70">
        <f>IFERROR(SUMIFS(Issues!H:H,Issues!C:C,$A885,Issues!D:D,$B885,Issues!E:E,$C885),0)</f>
        <v>0</v>
      </c>
      <c r="F885" s="70">
        <f>IFERROR(SUMIFS(Returns!H:H,Returns!C:C,$A885,Returns!D:D,$B885,Returns!E:E,$C885),0)</f>
        <v>0</v>
      </c>
      <c r="G885" s="70">
        <f t="shared" si="1"/>
        <v>0</v>
      </c>
      <c r="H885" s="71">
        <f t="shared" si="2"/>
        <v>0</v>
      </c>
      <c r="I885" s="72">
        <f>IFERROR( SUMIFS('Stock In'!I:I,'Stock In'!C:C,$A885,'Stock In'!D:D,$B885,'Stock In'!E:E,$C885) / SUMIFS('Stock In'!H:H,'Stock In'!C:C,$A885,'Stock In'!D:D,$B885,'Stock In'!E:E,$C885) , 0)</f>
        <v>0</v>
      </c>
      <c r="J885" s="71">
        <f t="shared" si="3"/>
        <v>0</v>
      </c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8"/>
      <c r="B886" s="68"/>
      <c r="C886" s="68"/>
      <c r="D886" s="70">
        <f>IFERROR(SUMIFS('Stock In'!F:F,'Stock In'!C:C,$A886,'Stock In'!D:D,$B886,'Stock In'!E:E,$C886),0)</f>
        <v>0</v>
      </c>
      <c r="E886" s="70">
        <f>IFERROR(SUMIFS(Issues!H:H,Issues!C:C,$A886,Issues!D:D,$B886,Issues!E:E,$C886),0)</f>
        <v>0</v>
      </c>
      <c r="F886" s="70">
        <f>IFERROR(SUMIFS(Returns!H:H,Returns!C:C,$A886,Returns!D:D,$B886,Returns!E:E,$C886),0)</f>
        <v>0</v>
      </c>
      <c r="G886" s="70">
        <f t="shared" si="1"/>
        <v>0</v>
      </c>
      <c r="H886" s="71">
        <f t="shared" si="2"/>
        <v>0</v>
      </c>
      <c r="I886" s="72">
        <f>IFERROR( SUMIFS('Stock In'!I:I,'Stock In'!C:C,$A886,'Stock In'!D:D,$B886,'Stock In'!E:E,$C886) / SUMIFS('Stock In'!H:H,'Stock In'!C:C,$A886,'Stock In'!D:D,$B886,'Stock In'!E:E,$C886) , 0)</f>
        <v>0</v>
      </c>
      <c r="J886" s="71">
        <f t="shared" si="3"/>
        <v>0</v>
      </c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8"/>
      <c r="B887" s="68"/>
      <c r="C887" s="68"/>
      <c r="D887" s="70">
        <f>IFERROR(SUMIFS('Stock In'!F:F,'Stock In'!C:C,$A887,'Stock In'!D:D,$B887,'Stock In'!E:E,$C887),0)</f>
        <v>0</v>
      </c>
      <c r="E887" s="70">
        <f>IFERROR(SUMIFS(Issues!H:H,Issues!C:C,$A887,Issues!D:D,$B887,Issues!E:E,$C887),0)</f>
        <v>0</v>
      </c>
      <c r="F887" s="70">
        <f>IFERROR(SUMIFS(Returns!H:H,Returns!C:C,$A887,Returns!D:D,$B887,Returns!E:E,$C887),0)</f>
        <v>0</v>
      </c>
      <c r="G887" s="70">
        <f t="shared" si="1"/>
        <v>0</v>
      </c>
      <c r="H887" s="71">
        <f t="shared" si="2"/>
        <v>0</v>
      </c>
      <c r="I887" s="72">
        <f>IFERROR( SUMIFS('Stock In'!I:I,'Stock In'!C:C,$A887,'Stock In'!D:D,$B887,'Stock In'!E:E,$C887) / SUMIFS('Stock In'!H:H,'Stock In'!C:C,$A887,'Stock In'!D:D,$B887,'Stock In'!E:E,$C887) , 0)</f>
        <v>0</v>
      </c>
      <c r="J887" s="71">
        <f t="shared" si="3"/>
        <v>0</v>
      </c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8"/>
      <c r="B888" s="68"/>
      <c r="C888" s="68"/>
      <c r="D888" s="70">
        <f>IFERROR(SUMIFS('Stock In'!F:F,'Stock In'!C:C,$A888,'Stock In'!D:D,$B888,'Stock In'!E:E,$C888),0)</f>
        <v>0</v>
      </c>
      <c r="E888" s="70">
        <f>IFERROR(SUMIFS(Issues!H:H,Issues!C:C,$A888,Issues!D:D,$B888,Issues!E:E,$C888),0)</f>
        <v>0</v>
      </c>
      <c r="F888" s="70">
        <f>IFERROR(SUMIFS(Returns!H:H,Returns!C:C,$A888,Returns!D:D,$B888,Returns!E:E,$C888),0)</f>
        <v>0</v>
      </c>
      <c r="G888" s="70">
        <f t="shared" si="1"/>
        <v>0</v>
      </c>
      <c r="H888" s="71">
        <f t="shared" si="2"/>
        <v>0</v>
      </c>
      <c r="I888" s="72">
        <f>IFERROR( SUMIFS('Stock In'!I:I,'Stock In'!C:C,$A888,'Stock In'!D:D,$B888,'Stock In'!E:E,$C888) / SUMIFS('Stock In'!H:H,'Stock In'!C:C,$A888,'Stock In'!D:D,$B888,'Stock In'!E:E,$C888) , 0)</f>
        <v>0</v>
      </c>
      <c r="J888" s="71">
        <f t="shared" si="3"/>
        <v>0</v>
      </c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8"/>
      <c r="B889" s="68"/>
      <c r="C889" s="68"/>
      <c r="D889" s="70">
        <f>IFERROR(SUMIFS('Stock In'!F:F,'Stock In'!C:C,$A889,'Stock In'!D:D,$B889,'Stock In'!E:E,$C889),0)</f>
        <v>0</v>
      </c>
      <c r="E889" s="70">
        <f>IFERROR(SUMIFS(Issues!H:H,Issues!C:C,$A889,Issues!D:D,$B889,Issues!E:E,$C889),0)</f>
        <v>0</v>
      </c>
      <c r="F889" s="70">
        <f>IFERROR(SUMIFS(Returns!H:H,Returns!C:C,$A889,Returns!D:D,$B889,Returns!E:E,$C889),0)</f>
        <v>0</v>
      </c>
      <c r="G889" s="70">
        <f t="shared" si="1"/>
        <v>0</v>
      </c>
      <c r="H889" s="71">
        <f t="shared" si="2"/>
        <v>0</v>
      </c>
      <c r="I889" s="72">
        <f>IFERROR( SUMIFS('Stock In'!I:I,'Stock In'!C:C,$A889,'Stock In'!D:D,$B889,'Stock In'!E:E,$C889) / SUMIFS('Stock In'!H:H,'Stock In'!C:C,$A889,'Stock In'!D:D,$B889,'Stock In'!E:E,$C889) , 0)</f>
        <v>0</v>
      </c>
      <c r="J889" s="71">
        <f t="shared" si="3"/>
        <v>0</v>
      </c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8"/>
      <c r="B890" s="68"/>
      <c r="C890" s="68"/>
      <c r="D890" s="70">
        <f>IFERROR(SUMIFS('Stock In'!F:F,'Stock In'!C:C,$A890,'Stock In'!D:D,$B890,'Stock In'!E:E,$C890),0)</f>
        <v>0</v>
      </c>
      <c r="E890" s="70">
        <f>IFERROR(SUMIFS(Issues!H:H,Issues!C:C,$A890,Issues!D:D,$B890,Issues!E:E,$C890),0)</f>
        <v>0</v>
      </c>
      <c r="F890" s="70">
        <f>IFERROR(SUMIFS(Returns!H:H,Returns!C:C,$A890,Returns!D:D,$B890,Returns!E:E,$C890),0)</f>
        <v>0</v>
      </c>
      <c r="G890" s="70">
        <f t="shared" si="1"/>
        <v>0</v>
      </c>
      <c r="H890" s="71">
        <f t="shared" si="2"/>
        <v>0</v>
      </c>
      <c r="I890" s="72">
        <f>IFERROR( SUMIFS('Stock In'!I:I,'Stock In'!C:C,$A890,'Stock In'!D:D,$B890,'Stock In'!E:E,$C890) / SUMIFS('Stock In'!H:H,'Stock In'!C:C,$A890,'Stock In'!D:D,$B890,'Stock In'!E:E,$C890) , 0)</f>
        <v>0</v>
      </c>
      <c r="J890" s="71">
        <f t="shared" si="3"/>
        <v>0</v>
      </c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8"/>
      <c r="B891" s="68"/>
      <c r="C891" s="68"/>
      <c r="D891" s="70">
        <f>IFERROR(SUMIFS('Stock In'!F:F,'Stock In'!C:C,$A891,'Stock In'!D:D,$B891,'Stock In'!E:E,$C891),0)</f>
        <v>0</v>
      </c>
      <c r="E891" s="70">
        <f>IFERROR(SUMIFS(Issues!H:H,Issues!C:C,$A891,Issues!D:D,$B891,Issues!E:E,$C891),0)</f>
        <v>0</v>
      </c>
      <c r="F891" s="70">
        <f>IFERROR(SUMIFS(Returns!H:H,Returns!C:C,$A891,Returns!D:D,$B891,Returns!E:E,$C891),0)</f>
        <v>0</v>
      </c>
      <c r="G891" s="70">
        <f t="shared" si="1"/>
        <v>0</v>
      </c>
      <c r="H891" s="71">
        <f t="shared" si="2"/>
        <v>0</v>
      </c>
      <c r="I891" s="72">
        <f>IFERROR( SUMIFS('Stock In'!I:I,'Stock In'!C:C,$A891,'Stock In'!D:D,$B891,'Stock In'!E:E,$C891) / SUMIFS('Stock In'!H:H,'Stock In'!C:C,$A891,'Stock In'!D:D,$B891,'Stock In'!E:E,$C891) , 0)</f>
        <v>0</v>
      </c>
      <c r="J891" s="71">
        <f t="shared" si="3"/>
        <v>0</v>
      </c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8"/>
      <c r="B892" s="68"/>
      <c r="C892" s="68"/>
      <c r="D892" s="70">
        <f>IFERROR(SUMIFS('Stock In'!F:F,'Stock In'!C:C,$A892,'Stock In'!D:D,$B892,'Stock In'!E:E,$C892),0)</f>
        <v>0</v>
      </c>
      <c r="E892" s="70">
        <f>IFERROR(SUMIFS(Issues!H:H,Issues!C:C,$A892,Issues!D:D,$B892,Issues!E:E,$C892),0)</f>
        <v>0</v>
      </c>
      <c r="F892" s="70">
        <f>IFERROR(SUMIFS(Returns!H:H,Returns!C:C,$A892,Returns!D:D,$B892,Returns!E:E,$C892),0)</f>
        <v>0</v>
      </c>
      <c r="G892" s="70">
        <f t="shared" si="1"/>
        <v>0</v>
      </c>
      <c r="H892" s="71">
        <f t="shared" si="2"/>
        <v>0</v>
      </c>
      <c r="I892" s="72">
        <f>IFERROR( SUMIFS('Stock In'!I:I,'Stock In'!C:C,$A892,'Stock In'!D:D,$B892,'Stock In'!E:E,$C892) / SUMIFS('Stock In'!H:H,'Stock In'!C:C,$A892,'Stock In'!D:D,$B892,'Stock In'!E:E,$C892) , 0)</f>
        <v>0</v>
      </c>
      <c r="J892" s="71">
        <f t="shared" si="3"/>
        <v>0</v>
      </c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8"/>
      <c r="B893" s="68"/>
      <c r="C893" s="68"/>
      <c r="D893" s="70">
        <f>IFERROR(SUMIFS('Stock In'!F:F,'Stock In'!C:C,$A893,'Stock In'!D:D,$B893,'Stock In'!E:E,$C893),0)</f>
        <v>0</v>
      </c>
      <c r="E893" s="70">
        <f>IFERROR(SUMIFS(Issues!H:H,Issues!C:C,$A893,Issues!D:D,$B893,Issues!E:E,$C893),0)</f>
        <v>0</v>
      </c>
      <c r="F893" s="70">
        <f>IFERROR(SUMIFS(Returns!H:H,Returns!C:C,$A893,Returns!D:D,$B893,Returns!E:E,$C893),0)</f>
        <v>0</v>
      </c>
      <c r="G893" s="70">
        <f t="shared" si="1"/>
        <v>0</v>
      </c>
      <c r="H893" s="71">
        <f t="shared" si="2"/>
        <v>0</v>
      </c>
      <c r="I893" s="72">
        <f>IFERROR( SUMIFS('Stock In'!I:I,'Stock In'!C:C,$A893,'Stock In'!D:D,$B893,'Stock In'!E:E,$C893) / SUMIFS('Stock In'!H:H,'Stock In'!C:C,$A893,'Stock In'!D:D,$B893,'Stock In'!E:E,$C893) , 0)</f>
        <v>0</v>
      </c>
      <c r="J893" s="71">
        <f t="shared" si="3"/>
        <v>0</v>
      </c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8"/>
      <c r="B894" s="68"/>
      <c r="C894" s="68"/>
      <c r="D894" s="70">
        <f>IFERROR(SUMIFS('Stock In'!F:F,'Stock In'!C:C,$A894,'Stock In'!D:D,$B894,'Stock In'!E:E,$C894),0)</f>
        <v>0</v>
      </c>
      <c r="E894" s="70">
        <f>IFERROR(SUMIFS(Issues!H:H,Issues!C:C,$A894,Issues!D:D,$B894,Issues!E:E,$C894),0)</f>
        <v>0</v>
      </c>
      <c r="F894" s="70">
        <f>IFERROR(SUMIFS(Returns!H:H,Returns!C:C,$A894,Returns!D:D,$B894,Returns!E:E,$C894),0)</f>
        <v>0</v>
      </c>
      <c r="G894" s="70">
        <f t="shared" si="1"/>
        <v>0</v>
      </c>
      <c r="H894" s="71">
        <f t="shared" si="2"/>
        <v>0</v>
      </c>
      <c r="I894" s="72">
        <f>IFERROR( SUMIFS('Stock In'!I:I,'Stock In'!C:C,$A894,'Stock In'!D:D,$B894,'Stock In'!E:E,$C894) / SUMIFS('Stock In'!H:H,'Stock In'!C:C,$A894,'Stock In'!D:D,$B894,'Stock In'!E:E,$C894) , 0)</f>
        <v>0</v>
      </c>
      <c r="J894" s="71">
        <f t="shared" si="3"/>
        <v>0</v>
      </c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8"/>
      <c r="B895" s="68"/>
      <c r="C895" s="68"/>
      <c r="D895" s="70">
        <f>IFERROR(SUMIFS('Stock In'!F:F,'Stock In'!C:C,$A895,'Stock In'!D:D,$B895,'Stock In'!E:E,$C895),0)</f>
        <v>0</v>
      </c>
      <c r="E895" s="70">
        <f>IFERROR(SUMIFS(Issues!H:H,Issues!C:C,$A895,Issues!D:D,$B895,Issues!E:E,$C895),0)</f>
        <v>0</v>
      </c>
      <c r="F895" s="70">
        <f>IFERROR(SUMIFS(Returns!H:H,Returns!C:C,$A895,Returns!D:D,$B895,Returns!E:E,$C895),0)</f>
        <v>0</v>
      </c>
      <c r="G895" s="70">
        <f t="shared" si="1"/>
        <v>0</v>
      </c>
      <c r="H895" s="71">
        <f t="shared" si="2"/>
        <v>0</v>
      </c>
      <c r="I895" s="72">
        <f>IFERROR( SUMIFS('Stock In'!I:I,'Stock In'!C:C,$A895,'Stock In'!D:D,$B895,'Stock In'!E:E,$C895) / SUMIFS('Stock In'!H:H,'Stock In'!C:C,$A895,'Stock In'!D:D,$B895,'Stock In'!E:E,$C895) , 0)</f>
        <v>0</v>
      </c>
      <c r="J895" s="71">
        <f t="shared" si="3"/>
        <v>0</v>
      </c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8"/>
      <c r="B896" s="68"/>
      <c r="C896" s="68"/>
      <c r="D896" s="70">
        <f>IFERROR(SUMIFS('Stock In'!F:F,'Stock In'!C:C,$A896,'Stock In'!D:D,$B896,'Stock In'!E:E,$C896),0)</f>
        <v>0</v>
      </c>
      <c r="E896" s="70">
        <f>IFERROR(SUMIFS(Issues!H:H,Issues!C:C,$A896,Issues!D:D,$B896,Issues!E:E,$C896),0)</f>
        <v>0</v>
      </c>
      <c r="F896" s="70">
        <f>IFERROR(SUMIFS(Returns!H:H,Returns!C:C,$A896,Returns!D:D,$B896,Returns!E:E,$C896),0)</f>
        <v>0</v>
      </c>
      <c r="G896" s="70">
        <f t="shared" si="1"/>
        <v>0</v>
      </c>
      <c r="H896" s="71">
        <f t="shared" si="2"/>
        <v>0</v>
      </c>
      <c r="I896" s="72">
        <f>IFERROR( SUMIFS('Stock In'!I:I,'Stock In'!C:C,$A896,'Stock In'!D:D,$B896,'Stock In'!E:E,$C896) / SUMIFS('Stock In'!H:H,'Stock In'!C:C,$A896,'Stock In'!D:D,$B896,'Stock In'!E:E,$C896) , 0)</f>
        <v>0</v>
      </c>
      <c r="J896" s="71">
        <f t="shared" si="3"/>
        <v>0</v>
      </c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8"/>
      <c r="B897" s="68"/>
      <c r="C897" s="68"/>
      <c r="D897" s="70">
        <f>IFERROR(SUMIFS('Stock In'!F:F,'Stock In'!C:C,$A897,'Stock In'!D:D,$B897,'Stock In'!E:E,$C897),0)</f>
        <v>0</v>
      </c>
      <c r="E897" s="70">
        <f>IFERROR(SUMIFS(Issues!H:H,Issues!C:C,$A897,Issues!D:D,$B897,Issues!E:E,$C897),0)</f>
        <v>0</v>
      </c>
      <c r="F897" s="70">
        <f>IFERROR(SUMIFS(Returns!H:H,Returns!C:C,$A897,Returns!D:D,$B897,Returns!E:E,$C897),0)</f>
        <v>0</v>
      </c>
      <c r="G897" s="70">
        <f t="shared" si="1"/>
        <v>0</v>
      </c>
      <c r="H897" s="71">
        <f t="shared" si="2"/>
        <v>0</v>
      </c>
      <c r="I897" s="72">
        <f>IFERROR( SUMIFS('Stock In'!I:I,'Stock In'!C:C,$A897,'Stock In'!D:D,$B897,'Stock In'!E:E,$C897) / SUMIFS('Stock In'!H:H,'Stock In'!C:C,$A897,'Stock In'!D:D,$B897,'Stock In'!E:E,$C897) , 0)</f>
        <v>0</v>
      </c>
      <c r="J897" s="71">
        <f t="shared" si="3"/>
        <v>0</v>
      </c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8"/>
      <c r="B898" s="68"/>
      <c r="C898" s="68"/>
      <c r="D898" s="70">
        <f>IFERROR(SUMIFS('Stock In'!F:F,'Stock In'!C:C,$A898,'Stock In'!D:D,$B898,'Stock In'!E:E,$C898),0)</f>
        <v>0</v>
      </c>
      <c r="E898" s="70">
        <f>IFERROR(SUMIFS(Issues!H:H,Issues!C:C,$A898,Issues!D:D,$B898,Issues!E:E,$C898),0)</f>
        <v>0</v>
      </c>
      <c r="F898" s="70">
        <f>IFERROR(SUMIFS(Returns!H:H,Returns!C:C,$A898,Returns!D:D,$B898,Returns!E:E,$C898),0)</f>
        <v>0</v>
      </c>
      <c r="G898" s="70">
        <f t="shared" si="1"/>
        <v>0</v>
      </c>
      <c r="H898" s="71">
        <f t="shared" si="2"/>
        <v>0</v>
      </c>
      <c r="I898" s="72">
        <f>IFERROR( SUMIFS('Stock In'!I:I,'Stock In'!C:C,$A898,'Stock In'!D:D,$B898,'Stock In'!E:E,$C898) / SUMIFS('Stock In'!H:H,'Stock In'!C:C,$A898,'Stock In'!D:D,$B898,'Stock In'!E:E,$C898) , 0)</f>
        <v>0</v>
      </c>
      <c r="J898" s="71">
        <f t="shared" si="3"/>
        <v>0</v>
      </c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8"/>
      <c r="B899" s="68"/>
      <c r="C899" s="68"/>
      <c r="D899" s="70">
        <f>IFERROR(SUMIFS('Stock In'!F:F,'Stock In'!C:C,$A899,'Stock In'!D:D,$B899,'Stock In'!E:E,$C899),0)</f>
        <v>0</v>
      </c>
      <c r="E899" s="70">
        <f>IFERROR(SUMIFS(Issues!H:H,Issues!C:C,$A899,Issues!D:D,$B899,Issues!E:E,$C899),0)</f>
        <v>0</v>
      </c>
      <c r="F899" s="70">
        <f>IFERROR(SUMIFS(Returns!H:H,Returns!C:C,$A899,Returns!D:D,$B899,Returns!E:E,$C899),0)</f>
        <v>0</v>
      </c>
      <c r="G899" s="70">
        <f t="shared" si="1"/>
        <v>0</v>
      </c>
      <c r="H899" s="71">
        <f t="shared" si="2"/>
        <v>0</v>
      </c>
      <c r="I899" s="72">
        <f>IFERROR( SUMIFS('Stock In'!I:I,'Stock In'!C:C,$A899,'Stock In'!D:D,$B899,'Stock In'!E:E,$C899) / SUMIFS('Stock In'!H:H,'Stock In'!C:C,$A899,'Stock In'!D:D,$B899,'Stock In'!E:E,$C899) , 0)</f>
        <v>0</v>
      </c>
      <c r="J899" s="71">
        <f t="shared" si="3"/>
        <v>0</v>
      </c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8"/>
      <c r="B900" s="68"/>
      <c r="C900" s="68"/>
      <c r="D900" s="70">
        <f>IFERROR(SUMIFS('Stock In'!F:F,'Stock In'!C:C,$A900,'Stock In'!D:D,$B900,'Stock In'!E:E,$C900),0)</f>
        <v>0</v>
      </c>
      <c r="E900" s="70">
        <f>IFERROR(SUMIFS(Issues!H:H,Issues!C:C,$A900,Issues!D:D,$B900,Issues!E:E,$C900),0)</f>
        <v>0</v>
      </c>
      <c r="F900" s="70">
        <f>IFERROR(SUMIFS(Returns!H:H,Returns!C:C,$A900,Returns!D:D,$B900,Returns!E:E,$C900),0)</f>
        <v>0</v>
      </c>
      <c r="G900" s="70">
        <f t="shared" si="1"/>
        <v>0</v>
      </c>
      <c r="H900" s="71">
        <f t="shared" si="2"/>
        <v>0</v>
      </c>
      <c r="I900" s="72">
        <f>IFERROR( SUMIFS('Stock In'!I:I,'Stock In'!C:C,$A900,'Stock In'!D:D,$B900,'Stock In'!E:E,$C900) / SUMIFS('Stock In'!H:H,'Stock In'!C:C,$A900,'Stock In'!D:D,$B900,'Stock In'!E:E,$C900) , 0)</f>
        <v>0</v>
      </c>
      <c r="J900" s="71">
        <f t="shared" si="3"/>
        <v>0</v>
      </c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8"/>
      <c r="B901" s="68"/>
      <c r="C901" s="68"/>
      <c r="D901" s="70">
        <f>IFERROR(SUMIFS('Stock In'!F:F,'Stock In'!C:C,$A901,'Stock In'!D:D,$B901,'Stock In'!E:E,$C901),0)</f>
        <v>0</v>
      </c>
      <c r="E901" s="70">
        <f>IFERROR(SUMIFS(Issues!H:H,Issues!C:C,$A901,Issues!D:D,$B901,Issues!E:E,$C901),0)</f>
        <v>0</v>
      </c>
      <c r="F901" s="70">
        <f>IFERROR(SUMIFS(Returns!H:H,Returns!C:C,$A901,Returns!D:D,$B901,Returns!E:E,$C901),0)</f>
        <v>0</v>
      </c>
      <c r="G901" s="70">
        <f t="shared" si="1"/>
        <v>0</v>
      </c>
      <c r="H901" s="71">
        <f t="shared" si="2"/>
        <v>0</v>
      </c>
      <c r="I901" s="72">
        <f>IFERROR( SUMIFS('Stock In'!I:I,'Stock In'!C:C,$A901,'Stock In'!D:D,$B901,'Stock In'!E:E,$C901) / SUMIFS('Stock In'!H:H,'Stock In'!C:C,$A901,'Stock In'!D:D,$B901,'Stock In'!E:E,$C901) , 0)</f>
        <v>0</v>
      </c>
      <c r="J901" s="71">
        <f t="shared" si="3"/>
        <v>0</v>
      </c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8"/>
      <c r="B902" s="68"/>
      <c r="C902" s="68"/>
      <c r="D902" s="70">
        <f>IFERROR(SUMIFS('Stock In'!F:F,'Stock In'!C:C,$A902,'Stock In'!D:D,$B902,'Stock In'!E:E,$C902),0)</f>
        <v>0</v>
      </c>
      <c r="E902" s="70">
        <f>IFERROR(SUMIFS(Issues!H:H,Issues!C:C,$A902,Issues!D:D,$B902,Issues!E:E,$C902),0)</f>
        <v>0</v>
      </c>
      <c r="F902" s="70">
        <f>IFERROR(SUMIFS(Returns!H:H,Returns!C:C,$A902,Returns!D:D,$B902,Returns!E:E,$C902),0)</f>
        <v>0</v>
      </c>
      <c r="G902" s="70">
        <f t="shared" si="1"/>
        <v>0</v>
      </c>
      <c r="H902" s="71">
        <f t="shared" si="2"/>
        <v>0</v>
      </c>
      <c r="I902" s="72">
        <f>IFERROR( SUMIFS('Stock In'!I:I,'Stock In'!C:C,$A902,'Stock In'!D:D,$B902,'Stock In'!E:E,$C902) / SUMIFS('Stock In'!H:H,'Stock In'!C:C,$A902,'Stock In'!D:D,$B902,'Stock In'!E:E,$C902) , 0)</f>
        <v>0</v>
      </c>
      <c r="J902" s="71">
        <f t="shared" si="3"/>
        <v>0</v>
      </c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8"/>
      <c r="B903" s="68"/>
      <c r="C903" s="68"/>
      <c r="D903" s="70">
        <f>IFERROR(SUMIFS('Stock In'!F:F,'Stock In'!C:C,$A903,'Stock In'!D:D,$B903,'Stock In'!E:E,$C903),0)</f>
        <v>0</v>
      </c>
      <c r="E903" s="70">
        <f>IFERROR(SUMIFS(Issues!H:H,Issues!C:C,$A903,Issues!D:D,$B903,Issues!E:E,$C903),0)</f>
        <v>0</v>
      </c>
      <c r="F903" s="70">
        <f>IFERROR(SUMIFS(Returns!H:H,Returns!C:C,$A903,Returns!D:D,$B903,Returns!E:E,$C903),0)</f>
        <v>0</v>
      </c>
      <c r="G903" s="70">
        <f t="shared" si="1"/>
        <v>0</v>
      </c>
      <c r="H903" s="71">
        <f t="shared" si="2"/>
        <v>0</v>
      </c>
      <c r="I903" s="72">
        <f>IFERROR( SUMIFS('Stock In'!I:I,'Stock In'!C:C,$A903,'Stock In'!D:D,$B903,'Stock In'!E:E,$C903) / SUMIFS('Stock In'!H:H,'Stock In'!C:C,$A903,'Stock In'!D:D,$B903,'Stock In'!E:E,$C903) , 0)</f>
        <v>0</v>
      </c>
      <c r="J903" s="71">
        <f t="shared" si="3"/>
        <v>0</v>
      </c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8"/>
      <c r="B904" s="68"/>
      <c r="C904" s="68"/>
      <c r="D904" s="70">
        <f>IFERROR(SUMIFS('Stock In'!F:F,'Stock In'!C:C,$A904,'Stock In'!D:D,$B904,'Stock In'!E:E,$C904),0)</f>
        <v>0</v>
      </c>
      <c r="E904" s="70">
        <f>IFERROR(SUMIFS(Issues!H:H,Issues!C:C,$A904,Issues!D:D,$B904,Issues!E:E,$C904),0)</f>
        <v>0</v>
      </c>
      <c r="F904" s="70">
        <f>IFERROR(SUMIFS(Returns!H:H,Returns!C:C,$A904,Returns!D:D,$B904,Returns!E:E,$C904),0)</f>
        <v>0</v>
      </c>
      <c r="G904" s="70">
        <f t="shared" si="1"/>
        <v>0</v>
      </c>
      <c r="H904" s="71">
        <f t="shared" si="2"/>
        <v>0</v>
      </c>
      <c r="I904" s="72">
        <f>IFERROR( SUMIFS('Stock In'!I:I,'Stock In'!C:C,$A904,'Stock In'!D:D,$B904,'Stock In'!E:E,$C904) / SUMIFS('Stock In'!H:H,'Stock In'!C:C,$A904,'Stock In'!D:D,$B904,'Stock In'!E:E,$C904) , 0)</f>
        <v>0</v>
      </c>
      <c r="J904" s="71">
        <f t="shared" si="3"/>
        <v>0</v>
      </c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8"/>
      <c r="B905" s="68"/>
      <c r="C905" s="68"/>
      <c r="D905" s="70">
        <f>IFERROR(SUMIFS('Stock In'!F:F,'Stock In'!C:C,$A905,'Stock In'!D:D,$B905,'Stock In'!E:E,$C905),0)</f>
        <v>0</v>
      </c>
      <c r="E905" s="70">
        <f>IFERROR(SUMIFS(Issues!H:H,Issues!C:C,$A905,Issues!D:D,$B905,Issues!E:E,$C905),0)</f>
        <v>0</v>
      </c>
      <c r="F905" s="70">
        <f>IFERROR(SUMIFS(Returns!H:H,Returns!C:C,$A905,Returns!D:D,$B905,Returns!E:E,$C905),0)</f>
        <v>0</v>
      </c>
      <c r="G905" s="70">
        <f t="shared" si="1"/>
        <v>0</v>
      </c>
      <c r="H905" s="71">
        <f t="shared" si="2"/>
        <v>0</v>
      </c>
      <c r="I905" s="72">
        <f>IFERROR( SUMIFS('Stock In'!I:I,'Stock In'!C:C,$A905,'Stock In'!D:D,$B905,'Stock In'!E:E,$C905) / SUMIFS('Stock In'!H:H,'Stock In'!C:C,$A905,'Stock In'!D:D,$B905,'Stock In'!E:E,$C905) , 0)</f>
        <v>0</v>
      </c>
      <c r="J905" s="71">
        <f t="shared" si="3"/>
        <v>0</v>
      </c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8"/>
      <c r="B906" s="68"/>
      <c r="C906" s="68"/>
      <c r="D906" s="70">
        <f>IFERROR(SUMIFS('Stock In'!F:F,'Stock In'!C:C,$A906,'Stock In'!D:D,$B906,'Stock In'!E:E,$C906),0)</f>
        <v>0</v>
      </c>
      <c r="E906" s="70">
        <f>IFERROR(SUMIFS(Issues!H:H,Issues!C:C,$A906,Issues!D:D,$B906,Issues!E:E,$C906),0)</f>
        <v>0</v>
      </c>
      <c r="F906" s="70">
        <f>IFERROR(SUMIFS(Returns!H:H,Returns!C:C,$A906,Returns!D:D,$B906,Returns!E:E,$C906),0)</f>
        <v>0</v>
      </c>
      <c r="G906" s="70">
        <f t="shared" si="1"/>
        <v>0</v>
      </c>
      <c r="H906" s="71">
        <f t="shared" si="2"/>
        <v>0</v>
      </c>
      <c r="I906" s="72">
        <f>IFERROR( SUMIFS('Stock In'!I:I,'Stock In'!C:C,$A906,'Stock In'!D:D,$B906,'Stock In'!E:E,$C906) / SUMIFS('Stock In'!H:H,'Stock In'!C:C,$A906,'Stock In'!D:D,$B906,'Stock In'!E:E,$C906) , 0)</f>
        <v>0</v>
      </c>
      <c r="J906" s="71">
        <f t="shared" si="3"/>
        <v>0</v>
      </c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8"/>
      <c r="B907" s="68"/>
      <c r="C907" s="68"/>
      <c r="D907" s="70">
        <f>IFERROR(SUMIFS('Stock In'!F:F,'Stock In'!C:C,$A907,'Stock In'!D:D,$B907,'Stock In'!E:E,$C907),0)</f>
        <v>0</v>
      </c>
      <c r="E907" s="70">
        <f>IFERROR(SUMIFS(Issues!H:H,Issues!C:C,$A907,Issues!D:D,$B907,Issues!E:E,$C907),0)</f>
        <v>0</v>
      </c>
      <c r="F907" s="70">
        <f>IFERROR(SUMIFS(Returns!H:H,Returns!C:C,$A907,Returns!D:D,$B907,Returns!E:E,$C907),0)</f>
        <v>0</v>
      </c>
      <c r="G907" s="70">
        <f t="shared" si="1"/>
        <v>0</v>
      </c>
      <c r="H907" s="71">
        <f t="shared" si="2"/>
        <v>0</v>
      </c>
      <c r="I907" s="72">
        <f>IFERROR( SUMIFS('Stock In'!I:I,'Stock In'!C:C,$A907,'Stock In'!D:D,$B907,'Stock In'!E:E,$C907) / SUMIFS('Stock In'!H:H,'Stock In'!C:C,$A907,'Stock In'!D:D,$B907,'Stock In'!E:E,$C907) , 0)</f>
        <v>0</v>
      </c>
      <c r="J907" s="71">
        <f t="shared" si="3"/>
        <v>0</v>
      </c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8"/>
      <c r="B908" s="68"/>
      <c r="C908" s="68"/>
      <c r="D908" s="70">
        <f>IFERROR(SUMIFS('Stock In'!F:F,'Stock In'!C:C,$A908,'Stock In'!D:D,$B908,'Stock In'!E:E,$C908),0)</f>
        <v>0</v>
      </c>
      <c r="E908" s="70">
        <f>IFERROR(SUMIFS(Issues!H:H,Issues!C:C,$A908,Issues!D:D,$B908,Issues!E:E,$C908),0)</f>
        <v>0</v>
      </c>
      <c r="F908" s="70">
        <f>IFERROR(SUMIFS(Returns!H:H,Returns!C:C,$A908,Returns!D:D,$B908,Returns!E:E,$C908),0)</f>
        <v>0</v>
      </c>
      <c r="G908" s="70">
        <f t="shared" si="1"/>
        <v>0</v>
      </c>
      <c r="H908" s="71">
        <f t="shared" si="2"/>
        <v>0</v>
      </c>
      <c r="I908" s="72">
        <f>IFERROR( SUMIFS('Stock In'!I:I,'Stock In'!C:C,$A908,'Stock In'!D:D,$B908,'Stock In'!E:E,$C908) / SUMIFS('Stock In'!H:H,'Stock In'!C:C,$A908,'Stock In'!D:D,$B908,'Stock In'!E:E,$C908) , 0)</f>
        <v>0</v>
      </c>
      <c r="J908" s="71">
        <f t="shared" si="3"/>
        <v>0</v>
      </c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8"/>
      <c r="B909" s="68"/>
      <c r="C909" s="68"/>
      <c r="D909" s="70">
        <f>IFERROR(SUMIFS('Stock In'!F:F,'Stock In'!C:C,$A909,'Stock In'!D:D,$B909,'Stock In'!E:E,$C909),0)</f>
        <v>0</v>
      </c>
      <c r="E909" s="70">
        <f>IFERROR(SUMIFS(Issues!H:H,Issues!C:C,$A909,Issues!D:D,$B909,Issues!E:E,$C909),0)</f>
        <v>0</v>
      </c>
      <c r="F909" s="70">
        <f>IFERROR(SUMIFS(Returns!H:H,Returns!C:C,$A909,Returns!D:D,$B909,Returns!E:E,$C909),0)</f>
        <v>0</v>
      </c>
      <c r="G909" s="70">
        <f t="shared" si="1"/>
        <v>0</v>
      </c>
      <c r="H909" s="71">
        <f t="shared" si="2"/>
        <v>0</v>
      </c>
      <c r="I909" s="72">
        <f>IFERROR( SUMIFS('Stock In'!I:I,'Stock In'!C:C,$A909,'Stock In'!D:D,$B909,'Stock In'!E:E,$C909) / SUMIFS('Stock In'!H:H,'Stock In'!C:C,$A909,'Stock In'!D:D,$B909,'Stock In'!E:E,$C909) , 0)</f>
        <v>0</v>
      </c>
      <c r="J909" s="71">
        <f t="shared" si="3"/>
        <v>0</v>
      </c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8"/>
      <c r="B910" s="68"/>
      <c r="C910" s="68"/>
      <c r="D910" s="70">
        <f>IFERROR(SUMIFS('Stock In'!F:F,'Stock In'!C:C,$A910,'Stock In'!D:D,$B910,'Stock In'!E:E,$C910),0)</f>
        <v>0</v>
      </c>
      <c r="E910" s="70">
        <f>IFERROR(SUMIFS(Issues!H:H,Issues!C:C,$A910,Issues!D:D,$B910,Issues!E:E,$C910),0)</f>
        <v>0</v>
      </c>
      <c r="F910" s="70">
        <f>IFERROR(SUMIFS(Returns!H:H,Returns!C:C,$A910,Returns!D:D,$B910,Returns!E:E,$C910),0)</f>
        <v>0</v>
      </c>
      <c r="G910" s="70">
        <f t="shared" si="1"/>
        <v>0</v>
      </c>
      <c r="H910" s="71">
        <f t="shared" si="2"/>
        <v>0</v>
      </c>
      <c r="I910" s="72">
        <f>IFERROR( SUMIFS('Stock In'!I:I,'Stock In'!C:C,$A910,'Stock In'!D:D,$B910,'Stock In'!E:E,$C910) / SUMIFS('Stock In'!H:H,'Stock In'!C:C,$A910,'Stock In'!D:D,$B910,'Stock In'!E:E,$C910) , 0)</f>
        <v>0</v>
      </c>
      <c r="J910" s="71">
        <f t="shared" si="3"/>
        <v>0</v>
      </c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8"/>
      <c r="B911" s="68"/>
      <c r="C911" s="68"/>
      <c r="D911" s="70">
        <f>IFERROR(SUMIFS('Stock In'!F:F,'Stock In'!C:C,$A911,'Stock In'!D:D,$B911,'Stock In'!E:E,$C911),0)</f>
        <v>0</v>
      </c>
      <c r="E911" s="70">
        <f>IFERROR(SUMIFS(Issues!H:H,Issues!C:C,$A911,Issues!D:D,$B911,Issues!E:E,$C911),0)</f>
        <v>0</v>
      </c>
      <c r="F911" s="70">
        <f>IFERROR(SUMIFS(Returns!H:H,Returns!C:C,$A911,Returns!D:D,$B911,Returns!E:E,$C911),0)</f>
        <v>0</v>
      </c>
      <c r="G911" s="70">
        <f t="shared" si="1"/>
        <v>0</v>
      </c>
      <c r="H911" s="71">
        <f t="shared" si="2"/>
        <v>0</v>
      </c>
      <c r="I911" s="72">
        <f>IFERROR( SUMIFS('Stock In'!I:I,'Stock In'!C:C,$A911,'Stock In'!D:D,$B911,'Stock In'!E:E,$C911) / SUMIFS('Stock In'!H:H,'Stock In'!C:C,$A911,'Stock In'!D:D,$B911,'Stock In'!E:E,$C911) , 0)</f>
        <v>0</v>
      </c>
      <c r="J911" s="71">
        <f t="shared" si="3"/>
        <v>0</v>
      </c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8"/>
      <c r="B912" s="68"/>
      <c r="C912" s="68"/>
      <c r="D912" s="70">
        <f>IFERROR(SUMIFS('Stock In'!F:F,'Stock In'!C:C,$A912,'Stock In'!D:D,$B912,'Stock In'!E:E,$C912),0)</f>
        <v>0</v>
      </c>
      <c r="E912" s="70">
        <f>IFERROR(SUMIFS(Issues!H:H,Issues!C:C,$A912,Issues!D:D,$B912,Issues!E:E,$C912),0)</f>
        <v>0</v>
      </c>
      <c r="F912" s="70">
        <f>IFERROR(SUMIFS(Returns!H:H,Returns!C:C,$A912,Returns!D:D,$B912,Returns!E:E,$C912),0)</f>
        <v>0</v>
      </c>
      <c r="G912" s="70">
        <f t="shared" si="1"/>
        <v>0</v>
      </c>
      <c r="H912" s="71">
        <f t="shared" si="2"/>
        <v>0</v>
      </c>
      <c r="I912" s="72">
        <f>IFERROR( SUMIFS('Stock In'!I:I,'Stock In'!C:C,$A912,'Stock In'!D:D,$B912,'Stock In'!E:E,$C912) / SUMIFS('Stock In'!H:H,'Stock In'!C:C,$A912,'Stock In'!D:D,$B912,'Stock In'!E:E,$C912) , 0)</f>
        <v>0</v>
      </c>
      <c r="J912" s="71">
        <f t="shared" si="3"/>
        <v>0</v>
      </c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8"/>
      <c r="B913" s="68"/>
      <c r="C913" s="68"/>
      <c r="D913" s="70">
        <f>IFERROR(SUMIFS('Stock In'!F:F,'Stock In'!C:C,$A913,'Stock In'!D:D,$B913,'Stock In'!E:E,$C913),0)</f>
        <v>0</v>
      </c>
      <c r="E913" s="70">
        <f>IFERROR(SUMIFS(Issues!H:H,Issues!C:C,$A913,Issues!D:D,$B913,Issues!E:E,$C913),0)</f>
        <v>0</v>
      </c>
      <c r="F913" s="70">
        <f>IFERROR(SUMIFS(Returns!H:H,Returns!C:C,$A913,Returns!D:D,$B913,Returns!E:E,$C913),0)</f>
        <v>0</v>
      </c>
      <c r="G913" s="70">
        <f t="shared" si="1"/>
        <v>0</v>
      </c>
      <c r="H913" s="71">
        <f t="shared" si="2"/>
        <v>0</v>
      </c>
      <c r="I913" s="72">
        <f>IFERROR( SUMIFS('Stock In'!I:I,'Stock In'!C:C,$A913,'Stock In'!D:D,$B913,'Stock In'!E:E,$C913) / SUMIFS('Stock In'!H:H,'Stock In'!C:C,$A913,'Stock In'!D:D,$B913,'Stock In'!E:E,$C913) , 0)</f>
        <v>0</v>
      </c>
      <c r="J913" s="71">
        <f t="shared" si="3"/>
        <v>0</v>
      </c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8"/>
      <c r="B914" s="68"/>
      <c r="C914" s="68"/>
      <c r="D914" s="70">
        <f>IFERROR(SUMIFS('Stock In'!F:F,'Stock In'!C:C,$A914,'Stock In'!D:D,$B914,'Stock In'!E:E,$C914),0)</f>
        <v>0</v>
      </c>
      <c r="E914" s="70">
        <f>IFERROR(SUMIFS(Issues!H:H,Issues!C:C,$A914,Issues!D:D,$B914,Issues!E:E,$C914),0)</f>
        <v>0</v>
      </c>
      <c r="F914" s="70">
        <f>IFERROR(SUMIFS(Returns!H:H,Returns!C:C,$A914,Returns!D:D,$B914,Returns!E:E,$C914),0)</f>
        <v>0</v>
      </c>
      <c r="G914" s="70">
        <f t="shared" si="1"/>
        <v>0</v>
      </c>
      <c r="H914" s="71">
        <f t="shared" si="2"/>
        <v>0</v>
      </c>
      <c r="I914" s="72">
        <f>IFERROR( SUMIFS('Stock In'!I:I,'Stock In'!C:C,$A914,'Stock In'!D:D,$B914,'Stock In'!E:E,$C914) / SUMIFS('Stock In'!H:H,'Stock In'!C:C,$A914,'Stock In'!D:D,$B914,'Stock In'!E:E,$C914) , 0)</f>
        <v>0</v>
      </c>
      <c r="J914" s="71">
        <f t="shared" si="3"/>
        <v>0</v>
      </c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8"/>
      <c r="B915" s="68"/>
      <c r="C915" s="68"/>
      <c r="D915" s="70">
        <f>IFERROR(SUMIFS('Stock In'!F:F,'Stock In'!C:C,$A915,'Stock In'!D:D,$B915,'Stock In'!E:E,$C915),0)</f>
        <v>0</v>
      </c>
      <c r="E915" s="70">
        <f>IFERROR(SUMIFS(Issues!H:H,Issues!C:C,$A915,Issues!D:D,$B915,Issues!E:E,$C915),0)</f>
        <v>0</v>
      </c>
      <c r="F915" s="70">
        <f>IFERROR(SUMIFS(Returns!H:H,Returns!C:C,$A915,Returns!D:D,$B915,Returns!E:E,$C915),0)</f>
        <v>0</v>
      </c>
      <c r="G915" s="70">
        <f t="shared" si="1"/>
        <v>0</v>
      </c>
      <c r="H915" s="71">
        <f t="shared" si="2"/>
        <v>0</v>
      </c>
      <c r="I915" s="72">
        <f>IFERROR( SUMIFS('Stock In'!I:I,'Stock In'!C:C,$A915,'Stock In'!D:D,$B915,'Stock In'!E:E,$C915) / SUMIFS('Stock In'!H:H,'Stock In'!C:C,$A915,'Stock In'!D:D,$B915,'Stock In'!E:E,$C915) , 0)</f>
        <v>0</v>
      </c>
      <c r="J915" s="71">
        <f t="shared" si="3"/>
        <v>0</v>
      </c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8"/>
      <c r="B916" s="68"/>
      <c r="C916" s="68"/>
      <c r="D916" s="70">
        <f>IFERROR(SUMIFS('Stock In'!F:F,'Stock In'!C:C,$A916,'Stock In'!D:D,$B916,'Stock In'!E:E,$C916),0)</f>
        <v>0</v>
      </c>
      <c r="E916" s="70">
        <f>IFERROR(SUMIFS(Issues!H:H,Issues!C:C,$A916,Issues!D:D,$B916,Issues!E:E,$C916),0)</f>
        <v>0</v>
      </c>
      <c r="F916" s="70">
        <f>IFERROR(SUMIFS(Returns!H:H,Returns!C:C,$A916,Returns!D:D,$B916,Returns!E:E,$C916),0)</f>
        <v>0</v>
      </c>
      <c r="G916" s="70">
        <f t="shared" si="1"/>
        <v>0</v>
      </c>
      <c r="H916" s="71">
        <f t="shared" si="2"/>
        <v>0</v>
      </c>
      <c r="I916" s="72">
        <f>IFERROR( SUMIFS('Stock In'!I:I,'Stock In'!C:C,$A916,'Stock In'!D:D,$B916,'Stock In'!E:E,$C916) / SUMIFS('Stock In'!H:H,'Stock In'!C:C,$A916,'Stock In'!D:D,$B916,'Stock In'!E:E,$C916) , 0)</f>
        <v>0</v>
      </c>
      <c r="J916" s="71">
        <f t="shared" si="3"/>
        <v>0</v>
      </c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8"/>
      <c r="B917" s="68"/>
      <c r="C917" s="68"/>
      <c r="D917" s="70">
        <f>IFERROR(SUMIFS('Stock In'!F:F,'Stock In'!C:C,$A917,'Stock In'!D:D,$B917,'Stock In'!E:E,$C917),0)</f>
        <v>0</v>
      </c>
      <c r="E917" s="70">
        <f>IFERROR(SUMIFS(Issues!H:H,Issues!C:C,$A917,Issues!D:D,$B917,Issues!E:E,$C917),0)</f>
        <v>0</v>
      </c>
      <c r="F917" s="70">
        <f>IFERROR(SUMIFS(Returns!H:H,Returns!C:C,$A917,Returns!D:D,$B917,Returns!E:E,$C917),0)</f>
        <v>0</v>
      </c>
      <c r="G917" s="70">
        <f t="shared" si="1"/>
        <v>0</v>
      </c>
      <c r="H917" s="71">
        <f t="shared" si="2"/>
        <v>0</v>
      </c>
      <c r="I917" s="72">
        <f>IFERROR( SUMIFS('Stock In'!I:I,'Stock In'!C:C,$A917,'Stock In'!D:D,$B917,'Stock In'!E:E,$C917) / SUMIFS('Stock In'!H:H,'Stock In'!C:C,$A917,'Stock In'!D:D,$B917,'Stock In'!E:E,$C917) , 0)</f>
        <v>0</v>
      </c>
      <c r="J917" s="71">
        <f t="shared" si="3"/>
        <v>0</v>
      </c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8"/>
      <c r="B918" s="68"/>
      <c r="C918" s="68"/>
      <c r="D918" s="70">
        <f>IFERROR(SUMIFS('Stock In'!F:F,'Stock In'!C:C,$A918,'Stock In'!D:D,$B918,'Stock In'!E:E,$C918),0)</f>
        <v>0</v>
      </c>
      <c r="E918" s="70">
        <f>IFERROR(SUMIFS(Issues!H:H,Issues!C:C,$A918,Issues!D:D,$B918,Issues!E:E,$C918),0)</f>
        <v>0</v>
      </c>
      <c r="F918" s="70">
        <f>IFERROR(SUMIFS(Returns!H:H,Returns!C:C,$A918,Returns!D:D,$B918,Returns!E:E,$C918),0)</f>
        <v>0</v>
      </c>
      <c r="G918" s="70">
        <f t="shared" si="1"/>
        <v>0</v>
      </c>
      <c r="H918" s="71">
        <f t="shared" si="2"/>
        <v>0</v>
      </c>
      <c r="I918" s="72">
        <f>IFERROR( SUMIFS('Stock In'!I:I,'Stock In'!C:C,$A918,'Stock In'!D:D,$B918,'Stock In'!E:E,$C918) / SUMIFS('Stock In'!H:H,'Stock In'!C:C,$A918,'Stock In'!D:D,$B918,'Stock In'!E:E,$C918) , 0)</f>
        <v>0</v>
      </c>
      <c r="J918" s="71">
        <f t="shared" si="3"/>
        <v>0</v>
      </c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8"/>
      <c r="B919" s="68"/>
      <c r="C919" s="68"/>
      <c r="D919" s="70">
        <f>IFERROR(SUMIFS('Stock In'!F:F,'Stock In'!C:C,$A919,'Stock In'!D:D,$B919,'Stock In'!E:E,$C919),0)</f>
        <v>0</v>
      </c>
      <c r="E919" s="70">
        <f>IFERROR(SUMIFS(Issues!H:H,Issues!C:C,$A919,Issues!D:D,$B919,Issues!E:E,$C919),0)</f>
        <v>0</v>
      </c>
      <c r="F919" s="70">
        <f>IFERROR(SUMIFS(Returns!H:H,Returns!C:C,$A919,Returns!D:D,$B919,Returns!E:E,$C919),0)</f>
        <v>0</v>
      </c>
      <c r="G919" s="70">
        <f t="shared" si="1"/>
        <v>0</v>
      </c>
      <c r="H919" s="71">
        <f t="shared" si="2"/>
        <v>0</v>
      </c>
      <c r="I919" s="72">
        <f>IFERROR( SUMIFS('Stock In'!I:I,'Stock In'!C:C,$A919,'Stock In'!D:D,$B919,'Stock In'!E:E,$C919) / SUMIFS('Stock In'!H:H,'Stock In'!C:C,$A919,'Stock In'!D:D,$B919,'Stock In'!E:E,$C919) , 0)</f>
        <v>0</v>
      </c>
      <c r="J919" s="71">
        <f t="shared" si="3"/>
        <v>0</v>
      </c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8"/>
      <c r="B920" s="68"/>
      <c r="C920" s="68"/>
      <c r="D920" s="70">
        <f>IFERROR(SUMIFS('Stock In'!F:F,'Stock In'!C:C,$A920,'Stock In'!D:D,$B920,'Stock In'!E:E,$C920),0)</f>
        <v>0</v>
      </c>
      <c r="E920" s="70">
        <f>IFERROR(SUMIFS(Issues!H:H,Issues!C:C,$A920,Issues!D:D,$B920,Issues!E:E,$C920),0)</f>
        <v>0</v>
      </c>
      <c r="F920" s="70">
        <f>IFERROR(SUMIFS(Returns!H:H,Returns!C:C,$A920,Returns!D:D,$B920,Returns!E:E,$C920),0)</f>
        <v>0</v>
      </c>
      <c r="G920" s="70">
        <f t="shared" si="1"/>
        <v>0</v>
      </c>
      <c r="H920" s="71">
        <f t="shared" si="2"/>
        <v>0</v>
      </c>
      <c r="I920" s="72">
        <f>IFERROR( SUMIFS('Stock In'!I:I,'Stock In'!C:C,$A920,'Stock In'!D:D,$B920,'Stock In'!E:E,$C920) / SUMIFS('Stock In'!H:H,'Stock In'!C:C,$A920,'Stock In'!D:D,$B920,'Stock In'!E:E,$C920) , 0)</f>
        <v>0</v>
      </c>
      <c r="J920" s="71">
        <f t="shared" si="3"/>
        <v>0</v>
      </c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8"/>
      <c r="B921" s="68"/>
      <c r="C921" s="68"/>
      <c r="D921" s="70">
        <f>IFERROR(SUMIFS('Stock In'!F:F,'Stock In'!C:C,$A921,'Stock In'!D:D,$B921,'Stock In'!E:E,$C921),0)</f>
        <v>0</v>
      </c>
      <c r="E921" s="70">
        <f>IFERROR(SUMIFS(Issues!H:H,Issues!C:C,$A921,Issues!D:D,$B921,Issues!E:E,$C921),0)</f>
        <v>0</v>
      </c>
      <c r="F921" s="70">
        <f>IFERROR(SUMIFS(Returns!H:H,Returns!C:C,$A921,Returns!D:D,$B921,Returns!E:E,$C921),0)</f>
        <v>0</v>
      </c>
      <c r="G921" s="70">
        <f t="shared" si="1"/>
        <v>0</v>
      </c>
      <c r="H921" s="71">
        <f t="shared" si="2"/>
        <v>0</v>
      </c>
      <c r="I921" s="72">
        <f>IFERROR( SUMIFS('Stock In'!I:I,'Stock In'!C:C,$A921,'Stock In'!D:D,$B921,'Stock In'!E:E,$C921) / SUMIFS('Stock In'!H:H,'Stock In'!C:C,$A921,'Stock In'!D:D,$B921,'Stock In'!E:E,$C921) , 0)</f>
        <v>0</v>
      </c>
      <c r="J921" s="71">
        <f t="shared" si="3"/>
        <v>0</v>
      </c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8"/>
      <c r="B922" s="68"/>
      <c r="C922" s="68"/>
      <c r="D922" s="70">
        <f>IFERROR(SUMIFS('Stock In'!F:F,'Stock In'!C:C,$A922,'Stock In'!D:D,$B922,'Stock In'!E:E,$C922),0)</f>
        <v>0</v>
      </c>
      <c r="E922" s="70">
        <f>IFERROR(SUMIFS(Issues!H:H,Issues!C:C,$A922,Issues!D:D,$B922,Issues!E:E,$C922),0)</f>
        <v>0</v>
      </c>
      <c r="F922" s="70">
        <f>IFERROR(SUMIFS(Returns!H:H,Returns!C:C,$A922,Returns!D:D,$B922,Returns!E:E,$C922),0)</f>
        <v>0</v>
      </c>
      <c r="G922" s="70">
        <f t="shared" si="1"/>
        <v>0</v>
      </c>
      <c r="H922" s="71">
        <f t="shared" si="2"/>
        <v>0</v>
      </c>
      <c r="I922" s="72">
        <f>IFERROR( SUMIFS('Stock In'!I:I,'Stock In'!C:C,$A922,'Stock In'!D:D,$B922,'Stock In'!E:E,$C922) / SUMIFS('Stock In'!H:H,'Stock In'!C:C,$A922,'Stock In'!D:D,$B922,'Stock In'!E:E,$C922) , 0)</f>
        <v>0</v>
      </c>
      <c r="J922" s="71">
        <f t="shared" si="3"/>
        <v>0</v>
      </c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8"/>
      <c r="B923" s="68"/>
      <c r="C923" s="68"/>
      <c r="D923" s="70">
        <f>IFERROR(SUMIFS('Stock In'!F:F,'Stock In'!C:C,$A923,'Stock In'!D:D,$B923,'Stock In'!E:E,$C923),0)</f>
        <v>0</v>
      </c>
      <c r="E923" s="70">
        <f>IFERROR(SUMIFS(Issues!H:H,Issues!C:C,$A923,Issues!D:D,$B923,Issues!E:E,$C923),0)</f>
        <v>0</v>
      </c>
      <c r="F923" s="70">
        <f>IFERROR(SUMIFS(Returns!H:H,Returns!C:C,$A923,Returns!D:D,$B923,Returns!E:E,$C923),0)</f>
        <v>0</v>
      </c>
      <c r="G923" s="70">
        <f t="shared" si="1"/>
        <v>0</v>
      </c>
      <c r="H923" s="71">
        <f t="shared" si="2"/>
        <v>0</v>
      </c>
      <c r="I923" s="72">
        <f>IFERROR( SUMIFS('Stock In'!I:I,'Stock In'!C:C,$A923,'Stock In'!D:D,$B923,'Stock In'!E:E,$C923) / SUMIFS('Stock In'!H:H,'Stock In'!C:C,$A923,'Stock In'!D:D,$B923,'Stock In'!E:E,$C923) , 0)</f>
        <v>0</v>
      </c>
      <c r="J923" s="71">
        <f t="shared" si="3"/>
        <v>0</v>
      </c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8"/>
      <c r="B924" s="68"/>
      <c r="C924" s="68"/>
      <c r="D924" s="70">
        <f>IFERROR(SUMIFS('Stock In'!F:F,'Stock In'!C:C,$A924,'Stock In'!D:D,$B924,'Stock In'!E:E,$C924),0)</f>
        <v>0</v>
      </c>
      <c r="E924" s="70">
        <f>IFERROR(SUMIFS(Issues!H:H,Issues!C:C,$A924,Issues!D:D,$B924,Issues!E:E,$C924),0)</f>
        <v>0</v>
      </c>
      <c r="F924" s="70">
        <f>IFERROR(SUMIFS(Returns!H:H,Returns!C:C,$A924,Returns!D:D,$B924,Returns!E:E,$C924),0)</f>
        <v>0</v>
      </c>
      <c r="G924" s="70">
        <f t="shared" si="1"/>
        <v>0</v>
      </c>
      <c r="H924" s="71">
        <f t="shared" si="2"/>
        <v>0</v>
      </c>
      <c r="I924" s="72">
        <f>IFERROR( SUMIFS('Stock In'!I:I,'Stock In'!C:C,$A924,'Stock In'!D:D,$B924,'Stock In'!E:E,$C924) / SUMIFS('Stock In'!H:H,'Stock In'!C:C,$A924,'Stock In'!D:D,$B924,'Stock In'!E:E,$C924) , 0)</f>
        <v>0</v>
      </c>
      <c r="J924" s="71">
        <f t="shared" si="3"/>
        <v>0</v>
      </c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8"/>
      <c r="B925" s="68"/>
      <c r="C925" s="68"/>
      <c r="D925" s="70">
        <f>IFERROR(SUMIFS('Stock In'!F:F,'Stock In'!C:C,$A925,'Stock In'!D:D,$B925,'Stock In'!E:E,$C925),0)</f>
        <v>0</v>
      </c>
      <c r="E925" s="70">
        <f>IFERROR(SUMIFS(Issues!H:H,Issues!C:C,$A925,Issues!D:D,$B925,Issues!E:E,$C925),0)</f>
        <v>0</v>
      </c>
      <c r="F925" s="70">
        <f>IFERROR(SUMIFS(Returns!H:H,Returns!C:C,$A925,Returns!D:D,$B925,Returns!E:E,$C925),0)</f>
        <v>0</v>
      </c>
      <c r="G925" s="70">
        <f t="shared" si="1"/>
        <v>0</v>
      </c>
      <c r="H925" s="71">
        <f t="shared" si="2"/>
        <v>0</v>
      </c>
      <c r="I925" s="72">
        <f>IFERROR( SUMIFS('Stock In'!I:I,'Stock In'!C:C,$A925,'Stock In'!D:D,$B925,'Stock In'!E:E,$C925) / SUMIFS('Stock In'!H:H,'Stock In'!C:C,$A925,'Stock In'!D:D,$B925,'Stock In'!E:E,$C925) , 0)</f>
        <v>0</v>
      </c>
      <c r="J925" s="71">
        <f t="shared" si="3"/>
        <v>0</v>
      </c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8"/>
      <c r="B926" s="68"/>
      <c r="C926" s="68"/>
      <c r="D926" s="70">
        <f>IFERROR(SUMIFS('Stock In'!F:F,'Stock In'!C:C,$A926,'Stock In'!D:D,$B926,'Stock In'!E:E,$C926),0)</f>
        <v>0</v>
      </c>
      <c r="E926" s="70">
        <f>IFERROR(SUMIFS(Issues!H:H,Issues!C:C,$A926,Issues!D:D,$B926,Issues!E:E,$C926),0)</f>
        <v>0</v>
      </c>
      <c r="F926" s="70">
        <f>IFERROR(SUMIFS(Returns!H:H,Returns!C:C,$A926,Returns!D:D,$B926,Returns!E:E,$C926),0)</f>
        <v>0</v>
      </c>
      <c r="G926" s="70">
        <f t="shared" si="1"/>
        <v>0</v>
      </c>
      <c r="H926" s="71">
        <f t="shared" si="2"/>
        <v>0</v>
      </c>
      <c r="I926" s="72">
        <f>IFERROR( SUMIFS('Stock In'!I:I,'Stock In'!C:C,$A926,'Stock In'!D:D,$B926,'Stock In'!E:E,$C926) / SUMIFS('Stock In'!H:H,'Stock In'!C:C,$A926,'Stock In'!D:D,$B926,'Stock In'!E:E,$C926) , 0)</f>
        <v>0</v>
      </c>
      <c r="J926" s="71">
        <f t="shared" si="3"/>
        <v>0</v>
      </c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8"/>
      <c r="B927" s="68"/>
      <c r="C927" s="68"/>
      <c r="D927" s="70">
        <f>IFERROR(SUMIFS('Stock In'!F:F,'Stock In'!C:C,$A927,'Stock In'!D:D,$B927,'Stock In'!E:E,$C927),0)</f>
        <v>0</v>
      </c>
      <c r="E927" s="70">
        <f>IFERROR(SUMIFS(Issues!H:H,Issues!C:C,$A927,Issues!D:D,$B927,Issues!E:E,$C927),0)</f>
        <v>0</v>
      </c>
      <c r="F927" s="70">
        <f>IFERROR(SUMIFS(Returns!H:H,Returns!C:C,$A927,Returns!D:D,$B927,Returns!E:E,$C927),0)</f>
        <v>0</v>
      </c>
      <c r="G927" s="70">
        <f t="shared" si="1"/>
        <v>0</v>
      </c>
      <c r="H927" s="71">
        <f t="shared" si="2"/>
        <v>0</v>
      </c>
      <c r="I927" s="72">
        <f>IFERROR( SUMIFS('Stock In'!I:I,'Stock In'!C:C,$A927,'Stock In'!D:D,$B927,'Stock In'!E:E,$C927) / SUMIFS('Stock In'!H:H,'Stock In'!C:C,$A927,'Stock In'!D:D,$B927,'Stock In'!E:E,$C927) , 0)</f>
        <v>0</v>
      </c>
      <c r="J927" s="71">
        <f t="shared" si="3"/>
        <v>0</v>
      </c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8"/>
      <c r="B928" s="68"/>
      <c r="C928" s="68"/>
      <c r="D928" s="70">
        <f>IFERROR(SUMIFS('Stock In'!F:F,'Stock In'!C:C,$A928,'Stock In'!D:D,$B928,'Stock In'!E:E,$C928),0)</f>
        <v>0</v>
      </c>
      <c r="E928" s="70">
        <f>IFERROR(SUMIFS(Issues!H:H,Issues!C:C,$A928,Issues!D:D,$B928,Issues!E:E,$C928),0)</f>
        <v>0</v>
      </c>
      <c r="F928" s="70">
        <f>IFERROR(SUMIFS(Returns!H:H,Returns!C:C,$A928,Returns!D:D,$B928,Returns!E:E,$C928),0)</f>
        <v>0</v>
      </c>
      <c r="G928" s="70">
        <f t="shared" si="1"/>
        <v>0</v>
      </c>
      <c r="H928" s="71">
        <f t="shared" si="2"/>
        <v>0</v>
      </c>
      <c r="I928" s="72">
        <f>IFERROR( SUMIFS('Stock In'!I:I,'Stock In'!C:C,$A928,'Stock In'!D:D,$B928,'Stock In'!E:E,$C928) / SUMIFS('Stock In'!H:H,'Stock In'!C:C,$A928,'Stock In'!D:D,$B928,'Stock In'!E:E,$C928) , 0)</f>
        <v>0</v>
      </c>
      <c r="J928" s="71">
        <f t="shared" si="3"/>
        <v>0</v>
      </c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8"/>
      <c r="B929" s="68"/>
      <c r="C929" s="68"/>
      <c r="D929" s="70">
        <f>IFERROR(SUMIFS('Stock In'!F:F,'Stock In'!C:C,$A929,'Stock In'!D:D,$B929,'Stock In'!E:E,$C929),0)</f>
        <v>0</v>
      </c>
      <c r="E929" s="70">
        <f>IFERROR(SUMIFS(Issues!H:H,Issues!C:C,$A929,Issues!D:D,$B929,Issues!E:E,$C929),0)</f>
        <v>0</v>
      </c>
      <c r="F929" s="70">
        <f>IFERROR(SUMIFS(Returns!H:H,Returns!C:C,$A929,Returns!D:D,$B929,Returns!E:E,$C929),0)</f>
        <v>0</v>
      </c>
      <c r="G929" s="70">
        <f t="shared" si="1"/>
        <v>0</v>
      </c>
      <c r="H929" s="71">
        <f t="shared" si="2"/>
        <v>0</v>
      </c>
      <c r="I929" s="72">
        <f>IFERROR( SUMIFS('Stock In'!I:I,'Stock In'!C:C,$A929,'Stock In'!D:D,$B929,'Stock In'!E:E,$C929) / SUMIFS('Stock In'!H:H,'Stock In'!C:C,$A929,'Stock In'!D:D,$B929,'Stock In'!E:E,$C929) , 0)</f>
        <v>0</v>
      </c>
      <c r="J929" s="71">
        <f t="shared" si="3"/>
        <v>0</v>
      </c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8"/>
      <c r="B930" s="68"/>
      <c r="C930" s="68"/>
      <c r="D930" s="70">
        <f>IFERROR(SUMIFS('Stock In'!F:F,'Stock In'!C:C,$A930,'Stock In'!D:D,$B930,'Stock In'!E:E,$C930),0)</f>
        <v>0</v>
      </c>
      <c r="E930" s="70">
        <f>IFERROR(SUMIFS(Issues!H:H,Issues!C:C,$A930,Issues!D:D,$B930,Issues!E:E,$C930),0)</f>
        <v>0</v>
      </c>
      <c r="F930" s="70">
        <f>IFERROR(SUMIFS(Returns!H:H,Returns!C:C,$A930,Returns!D:D,$B930,Returns!E:E,$C930),0)</f>
        <v>0</v>
      </c>
      <c r="G930" s="70">
        <f t="shared" si="1"/>
        <v>0</v>
      </c>
      <c r="H930" s="71">
        <f t="shared" si="2"/>
        <v>0</v>
      </c>
      <c r="I930" s="72">
        <f>IFERROR( SUMIFS('Stock In'!I:I,'Stock In'!C:C,$A930,'Stock In'!D:D,$B930,'Stock In'!E:E,$C930) / SUMIFS('Stock In'!H:H,'Stock In'!C:C,$A930,'Stock In'!D:D,$B930,'Stock In'!E:E,$C930) , 0)</f>
        <v>0</v>
      </c>
      <c r="J930" s="71">
        <f t="shared" si="3"/>
        <v>0</v>
      </c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8"/>
      <c r="B931" s="68"/>
      <c r="C931" s="68"/>
      <c r="D931" s="70">
        <f>IFERROR(SUMIFS('Stock In'!F:F,'Stock In'!C:C,$A931,'Stock In'!D:D,$B931,'Stock In'!E:E,$C931),0)</f>
        <v>0</v>
      </c>
      <c r="E931" s="70">
        <f>IFERROR(SUMIFS(Issues!H:H,Issues!C:C,$A931,Issues!D:D,$B931,Issues!E:E,$C931),0)</f>
        <v>0</v>
      </c>
      <c r="F931" s="70">
        <f>IFERROR(SUMIFS(Returns!H:H,Returns!C:C,$A931,Returns!D:D,$B931,Returns!E:E,$C931),0)</f>
        <v>0</v>
      </c>
      <c r="G931" s="70">
        <f t="shared" si="1"/>
        <v>0</v>
      </c>
      <c r="H931" s="71">
        <f t="shared" si="2"/>
        <v>0</v>
      </c>
      <c r="I931" s="72">
        <f>IFERROR( SUMIFS('Stock In'!I:I,'Stock In'!C:C,$A931,'Stock In'!D:D,$B931,'Stock In'!E:E,$C931) / SUMIFS('Stock In'!H:H,'Stock In'!C:C,$A931,'Stock In'!D:D,$B931,'Stock In'!E:E,$C931) , 0)</f>
        <v>0</v>
      </c>
      <c r="J931" s="71">
        <f t="shared" si="3"/>
        <v>0</v>
      </c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8"/>
      <c r="B932" s="68"/>
      <c r="C932" s="68"/>
      <c r="D932" s="70">
        <f>IFERROR(SUMIFS('Stock In'!F:F,'Stock In'!C:C,$A932,'Stock In'!D:D,$B932,'Stock In'!E:E,$C932),0)</f>
        <v>0</v>
      </c>
      <c r="E932" s="70">
        <f>IFERROR(SUMIFS(Issues!H:H,Issues!C:C,$A932,Issues!D:D,$B932,Issues!E:E,$C932),0)</f>
        <v>0</v>
      </c>
      <c r="F932" s="70">
        <f>IFERROR(SUMIFS(Returns!H:H,Returns!C:C,$A932,Returns!D:D,$B932,Returns!E:E,$C932),0)</f>
        <v>0</v>
      </c>
      <c r="G932" s="70">
        <f t="shared" si="1"/>
        <v>0</v>
      </c>
      <c r="H932" s="71">
        <f t="shared" si="2"/>
        <v>0</v>
      </c>
      <c r="I932" s="72">
        <f>IFERROR( SUMIFS('Stock In'!I:I,'Stock In'!C:C,$A932,'Stock In'!D:D,$B932,'Stock In'!E:E,$C932) / SUMIFS('Stock In'!H:H,'Stock In'!C:C,$A932,'Stock In'!D:D,$B932,'Stock In'!E:E,$C932) , 0)</f>
        <v>0</v>
      </c>
      <c r="J932" s="71">
        <f t="shared" si="3"/>
        <v>0</v>
      </c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8"/>
      <c r="B933" s="68"/>
      <c r="C933" s="68"/>
      <c r="D933" s="70">
        <f>IFERROR(SUMIFS('Stock In'!F:F,'Stock In'!C:C,$A933,'Stock In'!D:D,$B933,'Stock In'!E:E,$C933),0)</f>
        <v>0</v>
      </c>
      <c r="E933" s="70">
        <f>IFERROR(SUMIFS(Issues!H:H,Issues!C:C,$A933,Issues!D:D,$B933,Issues!E:E,$C933),0)</f>
        <v>0</v>
      </c>
      <c r="F933" s="70">
        <f>IFERROR(SUMIFS(Returns!H:H,Returns!C:C,$A933,Returns!D:D,$B933,Returns!E:E,$C933),0)</f>
        <v>0</v>
      </c>
      <c r="G933" s="70">
        <f t="shared" si="1"/>
        <v>0</v>
      </c>
      <c r="H933" s="71">
        <f t="shared" si="2"/>
        <v>0</v>
      </c>
      <c r="I933" s="72">
        <f>IFERROR( SUMIFS('Stock In'!I:I,'Stock In'!C:C,$A933,'Stock In'!D:D,$B933,'Stock In'!E:E,$C933) / SUMIFS('Stock In'!H:H,'Stock In'!C:C,$A933,'Stock In'!D:D,$B933,'Stock In'!E:E,$C933) , 0)</f>
        <v>0</v>
      </c>
      <c r="J933" s="71">
        <f t="shared" si="3"/>
        <v>0</v>
      </c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8"/>
      <c r="B934" s="68"/>
      <c r="C934" s="68"/>
      <c r="D934" s="70">
        <f>IFERROR(SUMIFS('Stock In'!F:F,'Stock In'!C:C,$A934,'Stock In'!D:D,$B934,'Stock In'!E:E,$C934),0)</f>
        <v>0</v>
      </c>
      <c r="E934" s="70">
        <f>IFERROR(SUMIFS(Issues!H:H,Issues!C:C,$A934,Issues!D:D,$B934,Issues!E:E,$C934),0)</f>
        <v>0</v>
      </c>
      <c r="F934" s="70">
        <f>IFERROR(SUMIFS(Returns!H:H,Returns!C:C,$A934,Returns!D:D,$B934,Returns!E:E,$C934),0)</f>
        <v>0</v>
      </c>
      <c r="G934" s="70">
        <f t="shared" si="1"/>
        <v>0</v>
      </c>
      <c r="H934" s="71">
        <f t="shared" si="2"/>
        <v>0</v>
      </c>
      <c r="I934" s="72">
        <f>IFERROR( SUMIFS('Stock In'!I:I,'Stock In'!C:C,$A934,'Stock In'!D:D,$B934,'Stock In'!E:E,$C934) / SUMIFS('Stock In'!H:H,'Stock In'!C:C,$A934,'Stock In'!D:D,$B934,'Stock In'!E:E,$C934) , 0)</f>
        <v>0</v>
      </c>
      <c r="J934" s="71">
        <f t="shared" si="3"/>
        <v>0</v>
      </c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8"/>
      <c r="B935" s="68"/>
      <c r="C935" s="68"/>
      <c r="D935" s="70">
        <f>IFERROR(SUMIFS('Stock In'!F:F,'Stock In'!C:C,$A935,'Stock In'!D:D,$B935,'Stock In'!E:E,$C935),0)</f>
        <v>0</v>
      </c>
      <c r="E935" s="70">
        <f>IFERROR(SUMIFS(Issues!H:H,Issues!C:C,$A935,Issues!D:D,$B935,Issues!E:E,$C935),0)</f>
        <v>0</v>
      </c>
      <c r="F935" s="70">
        <f>IFERROR(SUMIFS(Returns!H:H,Returns!C:C,$A935,Returns!D:D,$B935,Returns!E:E,$C935),0)</f>
        <v>0</v>
      </c>
      <c r="G935" s="70">
        <f t="shared" si="1"/>
        <v>0</v>
      </c>
      <c r="H935" s="71">
        <f t="shared" si="2"/>
        <v>0</v>
      </c>
      <c r="I935" s="72">
        <f>IFERROR( SUMIFS('Stock In'!I:I,'Stock In'!C:C,$A935,'Stock In'!D:D,$B935,'Stock In'!E:E,$C935) / SUMIFS('Stock In'!H:H,'Stock In'!C:C,$A935,'Stock In'!D:D,$B935,'Stock In'!E:E,$C935) , 0)</f>
        <v>0</v>
      </c>
      <c r="J935" s="71">
        <f t="shared" si="3"/>
        <v>0</v>
      </c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8"/>
      <c r="B936" s="68"/>
      <c r="C936" s="68"/>
      <c r="D936" s="70">
        <f>IFERROR(SUMIFS('Stock In'!F:F,'Stock In'!C:C,$A936,'Stock In'!D:D,$B936,'Stock In'!E:E,$C936),0)</f>
        <v>0</v>
      </c>
      <c r="E936" s="70">
        <f>IFERROR(SUMIFS(Issues!H:H,Issues!C:C,$A936,Issues!D:D,$B936,Issues!E:E,$C936),0)</f>
        <v>0</v>
      </c>
      <c r="F936" s="70">
        <f>IFERROR(SUMIFS(Returns!H:H,Returns!C:C,$A936,Returns!D:D,$B936,Returns!E:E,$C936),0)</f>
        <v>0</v>
      </c>
      <c r="G936" s="70">
        <f t="shared" si="1"/>
        <v>0</v>
      </c>
      <c r="H936" s="71">
        <f t="shared" si="2"/>
        <v>0</v>
      </c>
      <c r="I936" s="72">
        <f>IFERROR( SUMIFS('Stock In'!I:I,'Stock In'!C:C,$A936,'Stock In'!D:D,$B936,'Stock In'!E:E,$C936) / SUMIFS('Stock In'!H:H,'Stock In'!C:C,$A936,'Stock In'!D:D,$B936,'Stock In'!E:E,$C936) , 0)</f>
        <v>0</v>
      </c>
      <c r="J936" s="71">
        <f t="shared" si="3"/>
        <v>0</v>
      </c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8"/>
      <c r="B937" s="68"/>
      <c r="C937" s="68"/>
      <c r="D937" s="70">
        <f>IFERROR(SUMIFS('Stock In'!F:F,'Stock In'!C:C,$A937,'Stock In'!D:D,$B937,'Stock In'!E:E,$C937),0)</f>
        <v>0</v>
      </c>
      <c r="E937" s="70">
        <f>IFERROR(SUMIFS(Issues!H:H,Issues!C:C,$A937,Issues!D:D,$B937,Issues!E:E,$C937),0)</f>
        <v>0</v>
      </c>
      <c r="F937" s="70">
        <f>IFERROR(SUMIFS(Returns!H:H,Returns!C:C,$A937,Returns!D:D,$B937,Returns!E:E,$C937),0)</f>
        <v>0</v>
      </c>
      <c r="G937" s="70">
        <f t="shared" si="1"/>
        <v>0</v>
      </c>
      <c r="H937" s="71">
        <f t="shared" si="2"/>
        <v>0</v>
      </c>
      <c r="I937" s="72">
        <f>IFERROR( SUMIFS('Stock In'!I:I,'Stock In'!C:C,$A937,'Stock In'!D:D,$B937,'Stock In'!E:E,$C937) / SUMIFS('Stock In'!H:H,'Stock In'!C:C,$A937,'Stock In'!D:D,$B937,'Stock In'!E:E,$C937) , 0)</f>
        <v>0</v>
      </c>
      <c r="J937" s="71">
        <f t="shared" si="3"/>
        <v>0</v>
      </c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8"/>
      <c r="B938" s="68"/>
      <c r="C938" s="68"/>
      <c r="D938" s="70">
        <f>IFERROR(SUMIFS('Stock In'!F:F,'Stock In'!C:C,$A938,'Stock In'!D:D,$B938,'Stock In'!E:E,$C938),0)</f>
        <v>0</v>
      </c>
      <c r="E938" s="70">
        <f>IFERROR(SUMIFS(Issues!H:H,Issues!C:C,$A938,Issues!D:D,$B938,Issues!E:E,$C938),0)</f>
        <v>0</v>
      </c>
      <c r="F938" s="70">
        <f>IFERROR(SUMIFS(Returns!H:H,Returns!C:C,$A938,Returns!D:D,$B938,Returns!E:E,$C938),0)</f>
        <v>0</v>
      </c>
      <c r="G938" s="70">
        <f t="shared" si="1"/>
        <v>0</v>
      </c>
      <c r="H938" s="71">
        <f t="shared" si="2"/>
        <v>0</v>
      </c>
      <c r="I938" s="72">
        <f>IFERROR( SUMIFS('Stock In'!I:I,'Stock In'!C:C,$A938,'Stock In'!D:D,$B938,'Stock In'!E:E,$C938) / SUMIFS('Stock In'!H:H,'Stock In'!C:C,$A938,'Stock In'!D:D,$B938,'Stock In'!E:E,$C938) , 0)</f>
        <v>0</v>
      </c>
      <c r="J938" s="71">
        <f t="shared" si="3"/>
        <v>0</v>
      </c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8"/>
      <c r="B939" s="68"/>
      <c r="C939" s="68"/>
      <c r="D939" s="70">
        <f>IFERROR(SUMIFS('Stock In'!F:F,'Stock In'!C:C,$A939,'Stock In'!D:D,$B939,'Stock In'!E:E,$C939),0)</f>
        <v>0</v>
      </c>
      <c r="E939" s="70">
        <f>IFERROR(SUMIFS(Issues!H:H,Issues!C:C,$A939,Issues!D:D,$B939,Issues!E:E,$C939),0)</f>
        <v>0</v>
      </c>
      <c r="F939" s="70">
        <f>IFERROR(SUMIFS(Returns!H:H,Returns!C:C,$A939,Returns!D:D,$B939,Returns!E:E,$C939),0)</f>
        <v>0</v>
      </c>
      <c r="G939" s="70">
        <f t="shared" si="1"/>
        <v>0</v>
      </c>
      <c r="H939" s="71">
        <f t="shared" si="2"/>
        <v>0</v>
      </c>
      <c r="I939" s="72">
        <f>IFERROR( SUMIFS('Stock In'!I:I,'Stock In'!C:C,$A939,'Stock In'!D:D,$B939,'Stock In'!E:E,$C939) / SUMIFS('Stock In'!H:H,'Stock In'!C:C,$A939,'Stock In'!D:D,$B939,'Stock In'!E:E,$C939) , 0)</f>
        <v>0</v>
      </c>
      <c r="J939" s="71">
        <f t="shared" si="3"/>
        <v>0</v>
      </c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8"/>
      <c r="B940" s="68"/>
      <c r="C940" s="68"/>
      <c r="D940" s="70">
        <f>IFERROR(SUMIFS('Stock In'!F:F,'Stock In'!C:C,$A940,'Stock In'!D:D,$B940,'Stock In'!E:E,$C940),0)</f>
        <v>0</v>
      </c>
      <c r="E940" s="70">
        <f>IFERROR(SUMIFS(Issues!H:H,Issues!C:C,$A940,Issues!D:D,$B940,Issues!E:E,$C940),0)</f>
        <v>0</v>
      </c>
      <c r="F940" s="70">
        <f>IFERROR(SUMIFS(Returns!H:H,Returns!C:C,$A940,Returns!D:D,$B940,Returns!E:E,$C940),0)</f>
        <v>0</v>
      </c>
      <c r="G940" s="70">
        <f t="shared" si="1"/>
        <v>0</v>
      </c>
      <c r="H940" s="71">
        <f t="shared" si="2"/>
        <v>0</v>
      </c>
      <c r="I940" s="72">
        <f>IFERROR( SUMIFS('Stock In'!I:I,'Stock In'!C:C,$A940,'Stock In'!D:D,$B940,'Stock In'!E:E,$C940) / SUMIFS('Stock In'!H:H,'Stock In'!C:C,$A940,'Stock In'!D:D,$B940,'Stock In'!E:E,$C940) , 0)</f>
        <v>0</v>
      </c>
      <c r="J940" s="71">
        <f t="shared" si="3"/>
        <v>0</v>
      </c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8"/>
      <c r="B941" s="68"/>
      <c r="C941" s="68"/>
      <c r="D941" s="70">
        <f>IFERROR(SUMIFS('Stock In'!F:F,'Stock In'!C:C,$A941,'Stock In'!D:D,$B941,'Stock In'!E:E,$C941),0)</f>
        <v>0</v>
      </c>
      <c r="E941" s="70">
        <f>IFERROR(SUMIFS(Issues!H:H,Issues!C:C,$A941,Issues!D:D,$B941,Issues!E:E,$C941),0)</f>
        <v>0</v>
      </c>
      <c r="F941" s="70">
        <f>IFERROR(SUMIFS(Returns!H:H,Returns!C:C,$A941,Returns!D:D,$B941,Returns!E:E,$C941),0)</f>
        <v>0</v>
      </c>
      <c r="G941" s="70">
        <f t="shared" si="1"/>
        <v>0</v>
      </c>
      <c r="H941" s="71">
        <f t="shared" si="2"/>
        <v>0</v>
      </c>
      <c r="I941" s="72">
        <f>IFERROR( SUMIFS('Stock In'!I:I,'Stock In'!C:C,$A941,'Stock In'!D:D,$B941,'Stock In'!E:E,$C941) / SUMIFS('Stock In'!H:H,'Stock In'!C:C,$A941,'Stock In'!D:D,$B941,'Stock In'!E:E,$C941) , 0)</f>
        <v>0</v>
      </c>
      <c r="J941" s="71">
        <f t="shared" si="3"/>
        <v>0</v>
      </c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8"/>
      <c r="B942" s="68"/>
      <c r="C942" s="68"/>
      <c r="D942" s="70">
        <f>IFERROR(SUMIFS('Stock In'!F:F,'Stock In'!C:C,$A942,'Stock In'!D:D,$B942,'Stock In'!E:E,$C942),0)</f>
        <v>0</v>
      </c>
      <c r="E942" s="70">
        <f>IFERROR(SUMIFS(Issues!H:H,Issues!C:C,$A942,Issues!D:D,$B942,Issues!E:E,$C942),0)</f>
        <v>0</v>
      </c>
      <c r="F942" s="70">
        <f>IFERROR(SUMIFS(Returns!H:H,Returns!C:C,$A942,Returns!D:D,$B942,Returns!E:E,$C942),0)</f>
        <v>0</v>
      </c>
      <c r="G942" s="70">
        <f t="shared" si="1"/>
        <v>0</v>
      </c>
      <c r="H942" s="71">
        <f t="shared" si="2"/>
        <v>0</v>
      </c>
      <c r="I942" s="72">
        <f>IFERROR( SUMIFS('Stock In'!I:I,'Stock In'!C:C,$A942,'Stock In'!D:D,$B942,'Stock In'!E:E,$C942) / SUMIFS('Stock In'!H:H,'Stock In'!C:C,$A942,'Stock In'!D:D,$B942,'Stock In'!E:E,$C942) , 0)</f>
        <v>0</v>
      </c>
      <c r="J942" s="71">
        <f t="shared" si="3"/>
        <v>0</v>
      </c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8"/>
      <c r="B943" s="68"/>
      <c r="C943" s="68"/>
      <c r="D943" s="70">
        <f>IFERROR(SUMIFS('Stock In'!F:F,'Stock In'!C:C,$A943,'Stock In'!D:D,$B943,'Stock In'!E:E,$C943),0)</f>
        <v>0</v>
      </c>
      <c r="E943" s="70">
        <f>IFERROR(SUMIFS(Issues!H:H,Issues!C:C,$A943,Issues!D:D,$B943,Issues!E:E,$C943),0)</f>
        <v>0</v>
      </c>
      <c r="F943" s="70">
        <f>IFERROR(SUMIFS(Returns!H:H,Returns!C:C,$A943,Returns!D:D,$B943,Returns!E:E,$C943),0)</f>
        <v>0</v>
      </c>
      <c r="G943" s="70">
        <f t="shared" si="1"/>
        <v>0</v>
      </c>
      <c r="H943" s="71">
        <f t="shared" si="2"/>
        <v>0</v>
      </c>
      <c r="I943" s="72">
        <f>IFERROR( SUMIFS('Stock In'!I:I,'Stock In'!C:C,$A943,'Stock In'!D:D,$B943,'Stock In'!E:E,$C943) / SUMIFS('Stock In'!H:H,'Stock In'!C:C,$A943,'Stock In'!D:D,$B943,'Stock In'!E:E,$C943) , 0)</f>
        <v>0</v>
      </c>
      <c r="J943" s="71">
        <f t="shared" si="3"/>
        <v>0</v>
      </c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8"/>
      <c r="B944" s="68"/>
      <c r="C944" s="68"/>
      <c r="D944" s="70">
        <f>IFERROR(SUMIFS('Stock In'!F:F,'Stock In'!C:C,$A944,'Stock In'!D:D,$B944,'Stock In'!E:E,$C944),0)</f>
        <v>0</v>
      </c>
      <c r="E944" s="70">
        <f>IFERROR(SUMIFS(Issues!H:H,Issues!C:C,$A944,Issues!D:D,$B944,Issues!E:E,$C944),0)</f>
        <v>0</v>
      </c>
      <c r="F944" s="70">
        <f>IFERROR(SUMIFS(Returns!H:H,Returns!C:C,$A944,Returns!D:D,$B944,Returns!E:E,$C944),0)</f>
        <v>0</v>
      </c>
      <c r="G944" s="70">
        <f t="shared" si="1"/>
        <v>0</v>
      </c>
      <c r="H944" s="71">
        <f t="shared" si="2"/>
        <v>0</v>
      </c>
      <c r="I944" s="72">
        <f>IFERROR( SUMIFS('Stock In'!I:I,'Stock In'!C:C,$A944,'Stock In'!D:D,$B944,'Stock In'!E:E,$C944) / SUMIFS('Stock In'!H:H,'Stock In'!C:C,$A944,'Stock In'!D:D,$B944,'Stock In'!E:E,$C944) , 0)</f>
        <v>0</v>
      </c>
      <c r="J944" s="71">
        <f t="shared" si="3"/>
        <v>0</v>
      </c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8"/>
      <c r="B945" s="68"/>
      <c r="C945" s="68"/>
      <c r="D945" s="70">
        <f>IFERROR(SUMIFS('Stock In'!F:F,'Stock In'!C:C,$A945,'Stock In'!D:D,$B945,'Stock In'!E:E,$C945),0)</f>
        <v>0</v>
      </c>
      <c r="E945" s="70">
        <f>IFERROR(SUMIFS(Issues!H:H,Issues!C:C,$A945,Issues!D:D,$B945,Issues!E:E,$C945),0)</f>
        <v>0</v>
      </c>
      <c r="F945" s="70">
        <f>IFERROR(SUMIFS(Returns!H:H,Returns!C:C,$A945,Returns!D:D,$B945,Returns!E:E,$C945),0)</f>
        <v>0</v>
      </c>
      <c r="G945" s="70">
        <f t="shared" si="1"/>
        <v>0</v>
      </c>
      <c r="H945" s="71">
        <f t="shared" si="2"/>
        <v>0</v>
      </c>
      <c r="I945" s="72">
        <f>IFERROR( SUMIFS('Stock In'!I:I,'Stock In'!C:C,$A945,'Stock In'!D:D,$B945,'Stock In'!E:E,$C945) / SUMIFS('Stock In'!H:H,'Stock In'!C:C,$A945,'Stock In'!D:D,$B945,'Stock In'!E:E,$C945) , 0)</f>
        <v>0</v>
      </c>
      <c r="J945" s="71">
        <f t="shared" si="3"/>
        <v>0</v>
      </c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8"/>
      <c r="B946" s="68"/>
      <c r="C946" s="68"/>
      <c r="D946" s="70">
        <f>IFERROR(SUMIFS('Stock In'!F:F,'Stock In'!C:C,$A946,'Stock In'!D:D,$B946,'Stock In'!E:E,$C946),0)</f>
        <v>0</v>
      </c>
      <c r="E946" s="70">
        <f>IFERROR(SUMIFS(Issues!H:H,Issues!C:C,$A946,Issues!D:D,$B946,Issues!E:E,$C946),0)</f>
        <v>0</v>
      </c>
      <c r="F946" s="70">
        <f>IFERROR(SUMIFS(Returns!H:H,Returns!C:C,$A946,Returns!D:D,$B946,Returns!E:E,$C946),0)</f>
        <v>0</v>
      </c>
      <c r="G946" s="70">
        <f t="shared" si="1"/>
        <v>0</v>
      </c>
      <c r="H946" s="71">
        <f t="shared" si="2"/>
        <v>0</v>
      </c>
      <c r="I946" s="72">
        <f>IFERROR( SUMIFS('Stock In'!I:I,'Stock In'!C:C,$A946,'Stock In'!D:D,$B946,'Stock In'!E:E,$C946) / SUMIFS('Stock In'!H:H,'Stock In'!C:C,$A946,'Stock In'!D:D,$B946,'Stock In'!E:E,$C946) , 0)</f>
        <v>0</v>
      </c>
      <c r="J946" s="71">
        <f t="shared" si="3"/>
        <v>0</v>
      </c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8"/>
      <c r="B947" s="68"/>
      <c r="C947" s="68"/>
      <c r="D947" s="70">
        <f>IFERROR(SUMIFS('Stock In'!F:F,'Stock In'!C:C,$A947,'Stock In'!D:D,$B947,'Stock In'!E:E,$C947),0)</f>
        <v>0</v>
      </c>
      <c r="E947" s="70">
        <f>IFERROR(SUMIFS(Issues!H:H,Issues!C:C,$A947,Issues!D:D,$B947,Issues!E:E,$C947),0)</f>
        <v>0</v>
      </c>
      <c r="F947" s="70">
        <f>IFERROR(SUMIFS(Returns!H:H,Returns!C:C,$A947,Returns!D:D,$B947,Returns!E:E,$C947),0)</f>
        <v>0</v>
      </c>
      <c r="G947" s="70">
        <f t="shared" si="1"/>
        <v>0</v>
      </c>
      <c r="H947" s="71">
        <f t="shared" si="2"/>
        <v>0</v>
      </c>
      <c r="I947" s="72">
        <f>IFERROR( SUMIFS('Stock In'!I:I,'Stock In'!C:C,$A947,'Stock In'!D:D,$B947,'Stock In'!E:E,$C947) / SUMIFS('Stock In'!H:H,'Stock In'!C:C,$A947,'Stock In'!D:D,$B947,'Stock In'!E:E,$C947) , 0)</f>
        <v>0</v>
      </c>
      <c r="J947" s="71">
        <f t="shared" si="3"/>
        <v>0</v>
      </c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8"/>
      <c r="B948" s="68"/>
      <c r="C948" s="68"/>
      <c r="D948" s="70">
        <f>IFERROR(SUMIFS('Stock In'!F:F,'Stock In'!C:C,$A948,'Stock In'!D:D,$B948,'Stock In'!E:E,$C948),0)</f>
        <v>0</v>
      </c>
      <c r="E948" s="70">
        <f>IFERROR(SUMIFS(Issues!H:H,Issues!C:C,$A948,Issues!D:D,$B948,Issues!E:E,$C948),0)</f>
        <v>0</v>
      </c>
      <c r="F948" s="70">
        <f>IFERROR(SUMIFS(Returns!H:H,Returns!C:C,$A948,Returns!D:D,$B948,Returns!E:E,$C948),0)</f>
        <v>0</v>
      </c>
      <c r="G948" s="70">
        <f t="shared" si="1"/>
        <v>0</v>
      </c>
      <c r="H948" s="71">
        <f t="shared" si="2"/>
        <v>0</v>
      </c>
      <c r="I948" s="72">
        <f>IFERROR( SUMIFS('Stock In'!I:I,'Stock In'!C:C,$A948,'Stock In'!D:D,$B948,'Stock In'!E:E,$C948) / SUMIFS('Stock In'!H:H,'Stock In'!C:C,$A948,'Stock In'!D:D,$B948,'Stock In'!E:E,$C948) , 0)</f>
        <v>0</v>
      </c>
      <c r="J948" s="71">
        <f t="shared" si="3"/>
        <v>0</v>
      </c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8"/>
      <c r="B949" s="68"/>
      <c r="C949" s="68"/>
      <c r="D949" s="70">
        <f>IFERROR(SUMIFS('Stock In'!F:F,'Stock In'!C:C,$A949,'Stock In'!D:D,$B949,'Stock In'!E:E,$C949),0)</f>
        <v>0</v>
      </c>
      <c r="E949" s="70">
        <f>IFERROR(SUMIFS(Issues!H:H,Issues!C:C,$A949,Issues!D:D,$B949,Issues!E:E,$C949),0)</f>
        <v>0</v>
      </c>
      <c r="F949" s="70">
        <f>IFERROR(SUMIFS(Returns!H:H,Returns!C:C,$A949,Returns!D:D,$B949,Returns!E:E,$C949),0)</f>
        <v>0</v>
      </c>
      <c r="G949" s="70">
        <f t="shared" si="1"/>
        <v>0</v>
      </c>
      <c r="H949" s="71">
        <f t="shared" si="2"/>
        <v>0</v>
      </c>
      <c r="I949" s="72">
        <f>IFERROR( SUMIFS('Stock In'!I:I,'Stock In'!C:C,$A949,'Stock In'!D:D,$B949,'Stock In'!E:E,$C949) / SUMIFS('Stock In'!H:H,'Stock In'!C:C,$A949,'Stock In'!D:D,$B949,'Stock In'!E:E,$C949) , 0)</f>
        <v>0</v>
      </c>
      <c r="J949" s="71">
        <f t="shared" si="3"/>
        <v>0</v>
      </c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8"/>
      <c r="B950" s="68"/>
      <c r="C950" s="68"/>
      <c r="D950" s="70">
        <f>IFERROR(SUMIFS('Stock In'!F:F,'Stock In'!C:C,$A950,'Stock In'!D:D,$B950,'Stock In'!E:E,$C950),0)</f>
        <v>0</v>
      </c>
      <c r="E950" s="70">
        <f>IFERROR(SUMIFS(Issues!H:H,Issues!C:C,$A950,Issues!D:D,$B950,Issues!E:E,$C950),0)</f>
        <v>0</v>
      </c>
      <c r="F950" s="70">
        <f>IFERROR(SUMIFS(Returns!H:H,Returns!C:C,$A950,Returns!D:D,$B950,Returns!E:E,$C950),0)</f>
        <v>0</v>
      </c>
      <c r="G950" s="70">
        <f t="shared" si="1"/>
        <v>0</v>
      </c>
      <c r="H950" s="71">
        <f t="shared" si="2"/>
        <v>0</v>
      </c>
      <c r="I950" s="72">
        <f>IFERROR( SUMIFS('Stock In'!I:I,'Stock In'!C:C,$A950,'Stock In'!D:D,$B950,'Stock In'!E:E,$C950) / SUMIFS('Stock In'!H:H,'Stock In'!C:C,$A950,'Stock In'!D:D,$B950,'Stock In'!E:E,$C950) , 0)</f>
        <v>0</v>
      </c>
      <c r="J950" s="71">
        <f t="shared" si="3"/>
        <v>0</v>
      </c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8"/>
      <c r="B951" s="68"/>
      <c r="C951" s="68"/>
      <c r="D951" s="70">
        <f>IFERROR(SUMIFS('Stock In'!F:F,'Stock In'!C:C,$A951,'Stock In'!D:D,$B951,'Stock In'!E:E,$C951),0)</f>
        <v>0</v>
      </c>
      <c r="E951" s="70">
        <f>IFERROR(SUMIFS(Issues!H:H,Issues!C:C,$A951,Issues!D:D,$B951,Issues!E:E,$C951),0)</f>
        <v>0</v>
      </c>
      <c r="F951" s="70">
        <f>IFERROR(SUMIFS(Returns!H:H,Returns!C:C,$A951,Returns!D:D,$B951,Returns!E:E,$C951),0)</f>
        <v>0</v>
      </c>
      <c r="G951" s="70">
        <f t="shared" si="1"/>
        <v>0</v>
      </c>
      <c r="H951" s="71">
        <f t="shared" si="2"/>
        <v>0</v>
      </c>
      <c r="I951" s="72">
        <f>IFERROR( SUMIFS('Stock In'!I:I,'Stock In'!C:C,$A951,'Stock In'!D:D,$B951,'Stock In'!E:E,$C951) / SUMIFS('Stock In'!H:H,'Stock In'!C:C,$A951,'Stock In'!D:D,$B951,'Stock In'!E:E,$C951) , 0)</f>
        <v>0</v>
      </c>
      <c r="J951" s="71">
        <f t="shared" si="3"/>
        <v>0</v>
      </c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8"/>
      <c r="B952" s="68"/>
      <c r="C952" s="68"/>
      <c r="D952" s="70">
        <f>IFERROR(SUMIFS('Stock In'!F:F,'Stock In'!C:C,$A952,'Stock In'!D:D,$B952,'Stock In'!E:E,$C952),0)</f>
        <v>0</v>
      </c>
      <c r="E952" s="70">
        <f>IFERROR(SUMIFS(Issues!H:H,Issues!C:C,$A952,Issues!D:D,$B952,Issues!E:E,$C952),0)</f>
        <v>0</v>
      </c>
      <c r="F952" s="70">
        <f>IFERROR(SUMIFS(Returns!H:H,Returns!C:C,$A952,Returns!D:D,$B952,Returns!E:E,$C952),0)</f>
        <v>0</v>
      </c>
      <c r="G952" s="70">
        <f t="shared" si="1"/>
        <v>0</v>
      </c>
      <c r="H952" s="71">
        <f t="shared" si="2"/>
        <v>0</v>
      </c>
      <c r="I952" s="72">
        <f>IFERROR( SUMIFS('Stock In'!I:I,'Stock In'!C:C,$A952,'Stock In'!D:D,$B952,'Stock In'!E:E,$C952) / SUMIFS('Stock In'!H:H,'Stock In'!C:C,$A952,'Stock In'!D:D,$B952,'Stock In'!E:E,$C952) , 0)</f>
        <v>0</v>
      </c>
      <c r="J952" s="71">
        <f t="shared" si="3"/>
        <v>0</v>
      </c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8"/>
      <c r="B953" s="68"/>
      <c r="C953" s="68"/>
      <c r="D953" s="70">
        <f>IFERROR(SUMIFS('Stock In'!F:F,'Stock In'!C:C,$A953,'Stock In'!D:D,$B953,'Stock In'!E:E,$C953),0)</f>
        <v>0</v>
      </c>
      <c r="E953" s="70">
        <f>IFERROR(SUMIFS(Issues!H:H,Issues!C:C,$A953,Issues!D:D,$B953,Issues!E:E,$C953),0)</f>
        <v>0</v>
      </c>
      <c r="F953" s="70">
        <f>IFERROR(SUMIFS(Returns!H:H,Returns!C:C,$A953,Returns!D:D,$B953,Returns!E:E,$C953),0)</f>
        <v>0</v>
      </c>
      <c r="G953" s="70">
        <f t="shared" si="1"/>
        <v>0</v>
      </c>
      <c r="H953" s="71">
        <f t="shared" si="2"/>
        <v>0</v>
      </c>
      <c r="I953" s="72">
        <f>IFERROR( SUMIFS('Stock In'!I:I,'Stock In'!C:C,$A953,'Stock In'!D:D,$B953,'Stock In'!E:E,$C953) / SUMIFS('Stock In'!H:H,'Stock In'!C:C,$A953,'Stock In'!D:D,$B953,'Stock In'!E:E,$C953) , 0)</f>
        <v>0</v>
      </c>
      <c r="J953" s="71">
        <f t="shared" si="3"/>
        <v>0</v>
      </c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8"/>
      <c r="B954" s="68"/>
      <c r="C954" s="68"/>
      <c r="D954" s="70">
        <f>IFERROR(SUMIFS('Stock In'!F:F,'Stock In'!C:C,$A954,'Stock In'!D:D,$B954,'Stock In'!E:E,$C954),0)</f>
        <v>0</v>
      </c>
      <c r="E954" s="70">
        <f>IFERROR(SUMIFS(Issues!H:H,Issues!C:C,$A954,Issues!D:D,$B954,Issues!E:E,$C954),0)</f>
        <v>0</v>
      </c>
      <c r="F954" s="70">
        <f>IFERROR(SUMIFS(Returns!H:H,Returns!C:C,$A954,Returns!D:D,$B954,Returns!E:E,$C954),0)</f>
        <v>0</v>
      </c>
      <c r="G954" s="70">
        <f t="shared" si="1"/>
        <v>0</v>
      </c>
      <c r="H954" s="71">
        <f t="shared" si="2"/>
        <v>0</v>
      </c>
      <c r="I954" s="72">
        <f>IFERROR( SUMIFS('Stock In'!I:I,'Stock In'!C:C,$A954,'Stock In'!D:D,$B954,'Stock In'!E:E,$C954) / SUMIFS('Stock In'!H:H,'Stock In'!C:C,$A954,'Stock In'!D:D,$B954,'Stock In'!E:E,$C954) , 0)</f>
        <v>0</v>
      </c>
      <c r="J954" s="71">
        <f t="shared" si="3"/>
        <v>0</v>
      </c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8"/>
      <c r="B955" s="68"/>
      <c r="C955" s="68"/>
      <c r="D955" s="70">
        <f>IFERROR(SUMIFS('Stock In'!F:F,'Stock In'!C:C,$A955,'Stock In'!D:D,$B955,'Stock In'!E:E,$C955),0)</f>
        <v>0</v>
      </c>
      <c r="E955" s="70">
        <f>IFERROR(SUMIFS(Issues!H:H,Issues!C:C,$A955,Issues!D:D,$B955,Issues!E:E,$C955),0)</f>
        <v>0</v>
      </c>
      <c r="F955" s="70">
        <f>IFERROR(SUMIFS(Returns!H:H,Returns!C:C,$A955,Returns!D:D,$B955,Returns!E:E,$C955),0)</f>
        <v>0</v>
      </c>
      <c r="G955" s="70">
        <f t="shared" si="1"/>
        <v>0</v>
      </c>
      <c r="H955" s="71">
        <f t="shared" si="2"/>
        <v>0</v>
      </c>
      <c r="I955" s="72">
        <f>IFERROR( SUMIFS('Stock In'!I:I,'Stock In'!C:C,$A955,'Stock In'!D:D,$B955,'Stock In'!E:E,$C955) / SUMIFS('Stock In'!H:H,'Stock In'!C:C,$A955,'Stock In'!D:D,$B955,'Stock In'!E:E,$C955) , 0)</f>
        <v>0</v>
      </c>
      <c r="J955" s="71">
        <f t="shared" si="3"/>
        <v>0</v>
      </c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8"/>
      <c r="B956" s="68"/>
      <c r="C956" s="68"/>
      <c r="D956" s="70">
        <f>IFERROR(SUMIFS('Stock In'!F:F,'Stock In'!C:C,$A956,'Stock In'!D:D,$B956,'Stock In'!E:E,$C956),0)</f>
        <v>0</v>
      </c>
      <c r="E956" s="70">
        <f>IFERROR(SUMIFS(Issues!H:H,Issues!C:C,$A956,Issues!D:D,$B956,Issues!E:E,$C956),0)</f>
        <v>0</v>
      </c>
      <c r="F956" s="70">
        <f>IFERROR(SUMIFS(Returns!H:H,Returns!C:C,$A956,Returns!D:D,$B956,Returns!E:E,$C956),0)</f>
        <v>0</v>
      </c>
      <c r="G956" s="70">
        <f t="shared" si="1"/>
        <v>0</v>
      </c>
      <c r="H956" s="71">
        <f t="shared" si="2"/>
        <v>0</v>
      </c>
      <c r="I956" s="72">
        <f>IFERROR( SUMIFS('Stock In'!I:I,'Stock In'!C:C,$A956,'Stock In'!D:D,$B956,'Stock In'!E:E,$C956) / SUMIFS('Stock In'!H:H,'Stock In'!C:C,$A956,'Stock In'!D:D,$B956,'Stock In'!E:E,$C956) , 0)</f>
        <v>0</v>
      </c>
      <c r="J956" s="71">
        <f t="shared" si="3"/>
        <v>0</v>
      </c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8"/>
      <c r="B957" s="68"/>
      <c r="C957" s="68"/>
      <c r="D957" s="70">
        <f>IFERROR(SUMIFS('Stock In'!F:F,'Stock In'!C:C,$A957,'Stock In'!D:D,$B957,'Stock In'!E:E,$C957),0)</f>
        <v>0</v>
      </c>
      <c r="E957" s="70">
        <f>IFERROR(SUMIFS(Issues!H:H,Issues!C:C,$A957,Issues!D:D,$B957,Issues!E:E,$C957),0)</f>
        <v>0</v>
      </c>
      <c r="F957" s="70">
        <f>IFERROR(SUMIFS(Returns!H:H,Returns!C:C,$A957,Returns!D:D,$B957,Returns!E:E,$C957),0)</f>
        <v>0</v>
      </c>
      <c r="G957" s="70">
        <f t="shared" si="1"/>
        <v>0</v>
      </c>
      <c r="H957" s="71">
        <f t="shared" si="2"/>
        <v>0</v>
      </c>
      <c r="I957" s="72">
        <f>IFERROR( SUMIFS('Stock In'!I:I,'Stock In'!C:C,$A957,'Stock In'!D:D,$B957,'Stock In'!E:E,$C957) / SUMIFS('Stock In'!H:H,'Stock In'!C:C,$A957,'Stock In'!D:D,$B957,'Stock In'!E:E,$C957) , 0)</f>
        <v>0</v>
      </c>
      <c r="J957" s="71">
        <f t="shared" si="3"/>
        <v>0</v>
      </c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8"/>
      <c r="B958" s="68"/>
      <c r="C958" s="68"/>
      <c r="D958" s="70">
        <f>IFERROR(SUMIFS('Stock In'!F:F,'Stock In'!C:C,$A958,'Stock In'!D:D,$B958,'Stock In'!E:E,$C958),0)</f>
        <v>0</v>
      </c>
      <c r="E958" s="70">
        <f>IFERROR(SUMIFS(Issues!H:H,Issues!C:C,$A958,Issues!D:D,$B958,Issues!E:E,$C958),0)</f>
        <v>0</v>
      </c>
      <c r="F958" s="70">
        <f>IFERROR(SUMIFS(Returns!H:H,Returns!C:C,$A958,Returns!D:D,$B958,Returns!E:E,$C958),0)</f>
        <v>0</v>
      </c>
      <c r="G958" s="70">
        <f t="shared" si="1"/>
        <v>0</v>
      </c>
      <c r="H958" s="71">
        <f t="shared" si="2"/>
        <v>0</v>
      </c>
      <c r="I958" s="72">
        <f>IFERROR( SUMIFS('Stock In'!I:I,'Stock In'!C:C,$A958,'Stock In'!D:D,$B958,'Stock In'!E:E,$C958) / SUMIFS('Stock In'!H:H,'Stock In'!C:C,$A958,'Stock In'!D:D,$B958,'Stock In'!E:E,$C958) , 0)</f>
        <v>0</v>
      </c>
      <c r="J958" s="71">
        <f t="shared" si="3"/>
        <v>0</v>
      </c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8"/>
      <c r="B959" s="68"/>
      <c r="C959" s="68"/>
      <c r="D959" s="70">
        <f>IFERROR(SUMIFS('Stock In'!F:F,'Stock In'!C:C,$A959,'Stock In'!D:D,$B959,'Stock In'!E:E,$C959),0)</f>
        <v>0</v>
      </c>
      <c r="E959" s="70">
        <f>IFERROR(SUMIFS(Issues!H:H,Issues!C:C,$A959,Issues!D:D,$B959,Issues!E:E,$C959),0)</f>
        <v>0</v>
      </c>
      <c r="F959" s="70">
        <f>IFERROR(SUMIFS(Returns!H:H,Returns!C:C,$A959,Returns!D:D,$B959,Returns!E:E,$C959),0)</f>
        <v>0</v>
      </c>
      <c r="G959" s="70">
        <f t="shared" si="1"/>
        <v>0</v>
      </c>
      <c r="H959" s="71">
        <f t="shared" si="2"/>
        <v>0</v>
      </c>
      <c r="I959" s="72">
        <f>IFERROR( SUMIFS('Stock In'!I:I,'Stock In'!C:C,$A959,'Stock In'!D:D,$B959,'Stock In'!E:E,$C959) / SUMIFS('Stock In'!H:H,'Stock In'!C:C,$A959,'Stock In'!D:D,$B959,'Stock In'!E:E,$C959) , 0)</f>
        <v>0</v>
      </c>
      <c r="J959" s="71">
        <f t="shared" si="3"/>
        <v>0</v>
      </c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8"/>
      <c r="B960" s="68"/>
      <c r="C960" s="68"/>
      <c r="D960" s="70">
        <f>IFERROR(SUMIFS('Stock In'!F:F,'Stock In'!C:C,$A960,'Stock In'!D:D,$B960,'Stock In'!E:E,$C960),0)</f>
        <v>0</v>
      </c>
      <c r="E960" s="70">
        <f>IFERROR(SUMIFS(Issues!H:H,Issues!C:C,$A960,Issues!D:D,$B960,Issues!E:E,$C960),0)</f>
        <v>0</v>
      </c>
      <c r="F960" s="70">
        <f>IFERROR(SUMIFS(Returns!H:H,Returns!C:C,$A960,Returns!D:D,$B960,Returns!E:E,$C960),0)</f>
        <v>0</v>
      </c>
      <c r="G960" s="70">
        <f t="shared" si="1"/>
        <v>0</v>
      </c>
      <c r="H960" s="71">
        <f t="shared" si="2"/>
        <v>0</v>
      </c>
      <c r="I960" s="72">
        <f>IFERROR( SUMIFS('Stock In'!I:I,'Stock In'!C:C,$A960,'Stock In'!D:D,$B960,'Stock In'!E:E,$C960) / SUMIFS('Stock In'!H:H,'Stock In'!C:C,$A960,'Stock In'!D:D,$B960,'Stock In'!E:E,$C960) , 0)</f>
        <v>0</v>
      </c>
      <c r="J960" s="71">
        <f t="shared" si="3"/>
        <v>0</v>
      </c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8"/>
      <c r="B961" s="68"/>
      <c r="C961" s="68"/>
      <c r="D961" s="70">
        <f>IFERROR(SUMIFS('Stock In'!F:F,'Stock In'!C:C,$A961,'Stock In'!D:D,$B961,'Stock In'!E:E,$C961),0)</f>
        <v>0</v>
      </c>
      <c r="E961" s="70">
        <f>IFERROR(SUMIFS(Issues!H:H,Issues!C:C,$A961,Issues!D:D,$B961,Issues!E:E,$C961),0)</f>
        <v>0</v>
      </c>
      <c r="F961" s="70">
        <f>IFERROR(SUMIFS(Returns!H:H,Returns!C:C,$A961,Returns!D:D,$B961,Returns!E:E,$C961),0)</f>
        <v>0</v>
      </c>
      <c r="G961" s="70">
        <f t="shared" si="1"/>
        <v>0</v>
      </c>
      <c r="H961" s="71">
        <f t="shared" si="2"/>
        <v>0</v>
      </c>
      <c r="I961" s="72">
        <f>IFERROR( SUMIFS('Stock In'!I:I,'Stock In'!C:C,$A961,'Stock In'!D:D,$B961,'Stock In'!E:E,$C961) / SUMIFS('Stock In'!H:H,'Stock In'!C:C,$A961,'Stock In'!D:D,$B961,'Stock In'!E:E,$C961) , 0)</f>
        <v>0</v>
      </c>
      <c r="J961" s="71">
        <f t="shared" si="3"/>
        <v>0</v>
      </c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8"/>
      <c r="B962" s="68"/>
      <c r="C962" s="68"/>
      <c r="D962" s="70">
        <f>IFERROR(SUMIFS('Stock In'!F:F,'Stock In'!C:C,$A962,'Stock In'!D:D,$B962,'Stock In'!E:E,$C962),0)</f>
        <v>0</v>
      </c>
      <c r="E962" s="70">
        <f>IFERROR(SUMIFS(Issues!H:H,Issues!C:C,$A962,Issues!D:D,$B962,Issues!E:E,$C962),0)</f>
        <v>0</v>
      </c>
      <c r="F962" s="70">
        <f>IFERROR(SUMIFS(Returns!H:H,Returns!C:C,$A962,Returns!D:D,$B962,Returns!E:E,$C962),0)</f>
        <v>0</v>
      </c>
      <c r="G962" s="70">
        <f t="shared" si="1"/>
        <v>0</v>
      </c>
      <c r="H962" s="71">
        <f t="shared" si="2"/>
        <v>0</v>
      </c>
      <c r="I962" s="72">
        <f>IFERROR( SUMIFS('Stock In'!I:I,'Stock In'!C:C,$A962,'Stock In'!D:D,$B962,'Stock In'!E:E,$C962) / SUMIFS('Stock In'!H:H,'Stock In'!C:C,$A962,'Stock In'!D:D,$B962,'Stock In'!E:E,$C962) , 0)</f>
        <v>0</v>
      </c>
      <c r="J962" s="71">
        <f t="shared" si="3"/>
        <v>0</v>
      </c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8"/>
      <c r="B963" s="68"/>
      <c r="C963" s="68"/>
      <c r="D963" s="70">
        <f>IFERROR(SUMIFS('Stock In'!F:F,'Stock In'!C:C,$A963,'Stock In'!D:D,$B963,'Stock In'!E:E,$C963),0)</f>
        <v>0</v>
      </c>
      <c r="E963" s="70">
        <f>IFERROR(SUMIFS(Issues!H:H,Issues!C:C,$A963,Issues!D:D,$B963,Issues!E:E,$C963),0)</f>
        <v>0</v>
      </c>
      <c r="F963" s="70">
        <f>IFERROR(SUMIFS(Returns!H:H,Returns!C:C,$A963,Returns!D:D,$B963,Returns!E:E,$C963),0)</f>
        <v>0</v>
      </c>
      <c r="G963" s="70">
        <f t="shared" si="1"/>
        <v>0</v>
      </c>
      <c r="H963" s="71">
        <f t="shared" si="2"/>
        <v>0</v>
      </c>
      <c r="I963" s="72">
        <f>IFERROR( SUMIFS('Stock In'!I:I,'Stock In'!C:C,$A963,'Stock In'!D:D,$B963,'Stock In'!E:E,$C963) / SUMIFS('Stock In'!H:H,'Stock In'!C:C,$A963,'Stock In'!D:D,$B963,'Stock In'!E:E,$C963) , 0)</f>
        <v>0</v>
      </c>
      <c r="J963" s="71">
        <f t="shared" si="3"/>
        <v>0</v>
      </c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8"/>
      <c r="B964" s="68"/>
      <c r="C964" s="68"/>
      <c r="D964" s="70">
        <f>IFERROR(SUMIFS('Stock In'!F:F,'Stock In'!C:C,$A964,'Stock In'!D:D,$B964,'Stock In'!E:E,$C964),0)</f>
        <v>0</v>
      </c>
      <c r="E964" s="70">
        <f>IFERROR(SUMIFS(Issues!H:H,Issues!C:C,$A964,Issues!D:D,$B964,Issues!E:E,$C964),0)</f>
        <v>0</v>
      </c>
      <c r="F964" s="70">
        <f>IFERROR(SUMIFS(Returns!H:H,Returns!C:C,$A964,Returns!D:D,$B964,Returns!E:E,$C964),0)</f>
        <v>0</v>
      </c>
      <c r="G964" s="70">
        <f t="shared" si="1"/>
        <v>0</v>
      </c>
      <c r="H964" s="71">
        <f t="shared" si="2"/>
        <v>0</v>
      </c>
      <c r="I964" s="72">
        <f>IFERROR( SUMIFS('Stock In'!I:I,'Stock In'!C:C,$A964,'Stock In'!D:D,$B964,'Stock In'!E:E,$C964) / SUMIFS('Stock In'!H:H,'Stock In'!C:C,$A964,'Stock In'!D:D,$B964,'Stock In'!E:E,$C964) , 0)</f>
        <v>0</v>
      </c>
      <c r="J964" s="71">
        <f t="shared" si="3"/>
        <v>0</v>
      </c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8"/>
      <c r="B965" s="68"/>
      <c r="C965" s="68"/>
      <c r="D965" s="70">
        <f>IFERROR(SUMIFS('Stock In'!F:F,'Stock In'!C:C,$A965,'Stock In'!D:D,$B965,'Stock In'!E:E,$C965),0)</f>
        <v>0</v>
      </c>
      <c r="E965" s="70">
        <f>IFERROR(SUMIFS(Issues!H:H,Issues!C:C,$A965,Issues!D:D,$B965,Issues!E:E,$C965),0)</f>
        <v>0</v>
      </c>
      <c r="F965" s="70">
        <f>IFERROR(SUMIFS(Returns!H:H,Returns!C:C,$A965,Returns!D:D,$B965,Returns!E:E,$C965),0)</f>
        <v>0</v>
      </c>
      <c r="G965" s="70">
        <f t="shared" si="1"/>
        <v>0</v>
      </c>
      <c r="H965" s="71">
        <f t="shared" si="2"/>
        <v>0</v>
      </c>
      <c r="I965" s="72">
        <f>IFERROR( SUMIFS('Stock In'!I:I,'Stock In'!C:C,$A965,'Stock In'!D:D,$B965,'Stock In'!E:E,$C965) / SUMIFS('Stock In'!H:H,'Stock In'!C:C,$A965,'Stock In'!D:D,$B965,'Stock In'!E:E,$C965) , 0)</f>
        <v>0</v>
      </c>
      <c r="J965" s="71">
        <f t="shared" si="3"/>
        <v>0</v>
      </c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8"/>
      <c r="B966" s="68"/>
      <c r="C966" s="68"/>
      <c r="D966" s="70">
        <f>IFERROR(SUMIFS('Stock In'!F:F,'Stock In'!C:C,$A966,'Stock In'!D:D,$B966,'Stock In'!E:E,$C966),0)</f>
        <v>0</v>
      </c>
      <c r="E966" s="70">
        <f>IFERROR(SUMIFS(Issues!H:H,Issues!C:C,$A966,Issues!D:D,$B966,Issues!E:E,$C966),0)</f>
        <v>0</v>
      </c>
      <c r="F966" s="70">
        <f>IFERROR(SUMIFS(Returns!H:H,Returns!C:C,$A966,Returns!D:D,$B966,Returns!E:E,$C966),0)</f>
        <v>0</v>
      </c>
      <c r="G966" s="70">
        <f t="shared" si="1"/>
        <v>0</v>
      </c>
      <c r="H966" s="71">
        <f t="shared" si="2"/>
        <v>0</v>
      </c>
      <c r="I966" s="72">
        <f>IFERROR( SUMIFS('Stock In'!I:I,'Stock In'!C:C,$A966,'Stock In'!D:D,$B966,'Stock In'!E:E,$C966) / SUMIFS('Stock In'!H:H,'Stock In'!C:C,$A966,'Stock In'!D:D,$B966,'Stock In'!E:E,$C966) , 0)</f>
        <v>0</v>
      </c>
      <c r="J966" s="71">
        <f t="shared" si="3"/>
        <v>0</v>
      </c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8"/>
      <c r="B967" s="68"/>
      <c r="C967" s="68"/>
      <c r="D967" s="70">
        <f>IFERROR(SUMIFS('Stock In'!F:F,'Stock In'!C:C,$A967,'Stock In'!D:D,$B967,'Stock In'!E:E,$C967),0)</f>
        <v>0</v>
      </c>
      <c r="E967" s="70">
        <f>IFERROR(SUMIFS(Issues!H:H,Issues!C:C,$A967,Issues!D:D,$B967,Issues!E:E,$C967),0)</f>
        <v>0</v>
      </c>
      <c r="F967" s="70">
        <f>IFERROR(SUMIFS(Returns!H:H,Returns!C:C,$A967,Returns!D:D,$B967,Returns!E:E,$C967),0)</f>
        <v>0</v>
      </c>
      <c r="G967" s="70">
        <f t="shared" si="1"/>
        <v>0</v>
      </c>
      <c r="H967" s="71">
        <f t="shared" si="2"/>
        <v>0</v>
      </c>
      <c r="I967" s="72">
        <f>IFERROR( SUMIFS('Stock In'!I:I,'Stock In'!C:C,$A967,'Stock In'!D:D,$B967,'Stock In'!E:E,$C967) / SUMIFS('Stock In'!H:H,'Stock In'!C:C,$A967,'Stock In'!D:D,$B967,'Stock In'!E:E,$C967) , 0)</f>
        <v>0</v>
      </c>
      <c r="J967" s="71">
        <f t="shared" si="3"/>
        <v>0</v>
      </c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8"/>
      <c r="B968" s="68"/>
      <c r="C968" s="68"/>
      <c r="D968" s="70">
        <f>IFERROR(SUMIFS('Stock In'!F:F,'Stock In'!C:C,$A968,'Stock In'!D:D,$B968,'Stock In'!E:E,$C968),0)</f>
        <v>0</v>
      </c>
      <c r="E968" s="70">
        <f>IFERROR(SUMIFS(Issues!H:H,Issues!C:C,$A968,Issues!D:D,$B968,Issues!E:E,$C968),0)</f>
        <v>0</v>
      </c>
      <c r="F968" s="70">
        <f>IFERROR(SUMIFS(Returns!H:H,Returns!C:C,$A968,Returns!D:D,$B968,Returns!E:E,$C968),0)</f>
        <v>0</v>
      </c>
      <c r="G968" s="70">
        <f t="shared" si="1"/>
        <v>0</v>
      </c>
      <c r="H968" s="71">
        <f t="shared" si="2"/>
        <v>0</v>
      </c>
      <c r="I968" s="72">
        <f>IFERROR( SUMIFS('Stock In'!I:I,'Stock In'!C:C,$A968,'Stock In'!D:D,$B968,'Stock In'!E:E,$C968) / SUMIFS('Stock In'!H:H,'Stock In'!C:C,$A968,'Stock In'!D:D,$B968,'Stock In'!E:E,$C968) , 0)</f>
        <v>0</v>
      </c>
      <c r="J968" s="71">
        <f t="shared" si="3"/>
        <v>0</v>
      </c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8"/>
      <c r="B969" s="68"/>
      <c r="C969" s="68"/>
      <c r="D969" s="70">
        <f>IFERROR(SUMIFS('Stock In'!F:F,'Stock In'!C:C,$A969,'Stock In'!D:D,$B969,'Stock In'!E:E,$C969),0)</f>
        <v>0</v>
      </c>
      <c r="E969" s="70">
        <f>IFERROR(SUMIFS(Issues!H:H,Issues!C:C,$A969,Issues!D:D,$B969,Issues!E:E,$C969),0)</f>
        <v>0</v>
      </c>
      <c r="F969" s="70">
        <f>IFERROR(SUMIFS(Returns!H:H,Returns!C:C,$A969,Returns!D:D,$B969,Returns!E:E,$C969),0)</f>
        <v>0</v>
      </c>
      <c r="G969" s="70">
        <f t="shared" si="1"/>
        <v>0</v>
      </c>
      <c r="H969" s="71">
        <f t="shared" si="2"/>
        <v>0</v>
      </c>
      <c r="I969" s="72">
        <f>IFERROR( SUMIFS('Stock In'!I:I,'Stock In'!C:C,$A969,'Stock In'!D:D,$B969,'Stock In'!E:E,$C969) / SUMIFS('Stock In'!H:H,'Stock In'!C:C,$A969,'Stock In'!D:D,$B969,'Stock In'!E:E,$C969) , 0)</f>
        <v>0</v>
      </c>
      <c r="J969" s="71">
        <f t="shared" si="3"/>
        <v>0</v>
      </c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8"/>
      <c r="B970" s="68"/>
      <c r="C970" s="68"/>
      <c r="D970" s="70">
        <f>IFERROR(SUMIFS('Stock In'!F:F,'Stock In'!C:C,$A970,'Stock In'!D:D,$B970,'Stock In'!E:E,$C970),0)</f>
        <v>0</v>
      </c>
      <c r="E970" s="70">
        <f>IFERROR(SUMIFS(Issues!H:H,Issues!C:C,$A970,Issues!D:D,$B970,Issues!E:E,$C970),0)</f>
        <v>0</v>
      </c>
      <c r="F970" s="70">
        <f>IFERROR(SUMIFS(Returns!H:H,Returns!C:C,$A970,Returns!D:D,$B970,Returns!E:E,$C970),0)</f>
        <v>0</v>
      </c>
      <c r="G970" s="70">
        <f t="shared" si="1"/>
        <v>0</v>
      </c>
      <c r="H970" s="71">
        <f t="shared" si="2"/>
        <v>0</v>
      </c>
      <c r="I970" s="72">
        <f>IFERROR( SUMIFS('Stock In'!I:I,'Stock In'!C:C,$A970,'Stock In'!D:D,$B970,'Stock In'!E:E,$C970) / SUMIFS('Stock In'!H:H,'Stock In'!C:C,$A970,'Stock In'!D:D,$B970,'Stock In'!E:E,$C970) , 0)</f>
        <v>0</v>
      </c>
      <c r="J970" s="71">
        <f t="shared" si="3"/>
        <v>0</v>
      </c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8"/>
      <c r="B971" s="68"/>
      <c r="C971" s="68"/>
      <c r="D971" s="70">
        <f>IFERROR(SUMIFS('Stock In'!F:F,'Stock In'!C:C,$A971,'Stock In'!D:D,$B971,'Stock In'!E:E,$C971),0)</f>
        <v>0</v>
      </c>
      <c r="E971" s="70">
        <f>IFERROR(SUMIFS(Issues!H:H,Issues!C:C,$A971,Issues!D:D,$B971,Issues!E:E,$C971),0)</f>
        <v>0</v>
      </c>
      <c r="F971" s="70">
        <f>IFERROR(SUMIFS(Returns!H:H,Returns!C:C,$A971,Returns!D:D,$B971,Returns!E:E,$C971),0)</f>
        <v>0</v>
      </c>
      <c r="G971" s="70">
        <f t="shared" si="1"/>
        <v>0</v>
      </c>
      <c r="H971" s="71">
        <f t="shared" si="2"/>
        <v>0</v>
      </c>
      <c r="I971" s="72">
        <f>IFERROR( SUMIFS('Stock In'!I:I,'Stock In'!C:C,$A971,'Stock In'!D:D,$B971,'Stock In'!E:E,$C971) / SUMIFS('Stock In'!H:H,'Stock In'!C:C,$A971,'Stock In'!D:D,$B971,'Stock In'!E:E,$C971) , 0)</f>
        <v>0</v>
      </c>
      <c r="J971" s="71">
        <f t="shared" si="3"/>
        <v>0</v>
      </c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8"/>
      <c r="B972" s="68"/>
      <c r="C972" s="68"/>
      <c r="D972" s="70">
        <f>IFERROR(SUMIFS('Stock In'!F:F,'Stock In'!C:C,$A972,'Stock In'!D:D,$B972,'Stock In'!E:E,$C972),0)</f>
        <v>0</v>
      </c>
      <c r="E972" s="70">
        <f>IFERROR(SUMIFS(Issues!H:H,Issues!C:C,$A972,Issues!D:D,$B972,Issues!E:E,$C972),0)</f>
        <v>0</v>
      </c>
      <c r="F972" s="70">
        <f>IFERROR(SUMIFS(Returns!H:H,Returns!C:C,$A972,Returns!D:D,$B972,Returns!E:E,$C972),0)</f>
        <v>0</v>
      </c>
      <c r="G972" s="70">
        <f t="shared" si="1"/>
        <v>0</v>
      </c>
      <c r="H972" s="71">
        <f t="shared" si="2"/>
        <v>0</v>
      </c>
      <c r="I972" s="72">
        <f>IFERROR( SUMIFS('Stock In'!I:I,'Stock In'!C:C,$A972,'Stock In'!D:D,$B972,'Stock In'!E:E,$C972) / SUMIFS('Stock In'!H:H,'Stock In'!C:C,$A972,'Stock In'!D:D,$B972,'Stock In'!E:E,$C972) , 0)</f>
        <v>0</v>
      </c>
      <c r="J972" s="71">
        <f t="shared" si="3"/>
        <v>0</v>
      </c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8"/>
      <c r="B973" s="68"/>
      <c r="C973" s="68"/>
      <c r="D973" s="70">
        <f>IFERROR(SUMIFS('Stock In'!F:F,'Stock In'!C:C,$A973,'Stock In'!D:D,$B973,'Stock In'!E:E,$C973),0)</f>
        <v>0</v>
      </c>
      <c r="E973" s="70">
        <f>IFERROR(SUMIFS(Issues!H:H,Issues!C:C,$A973,Issues!D:D,$B973,Issues!E:E,$C973),0)</f>
        <v>0</v>
      </c>
      <c r="F973" s="70">
        <f>IFERROR(SUMIFS(Returns!H:H,Returns!C:C,$A973,Returns!D:D,$B973,Returns!E:E,$C973),0)</f>
        <v>0</v>
      </c>
      <c r="G973" s="70">
        <f t="shared" si="1"/>
        <v>0</v>
      </c>
      <c r="H973" s="71">
        <f t="shared" si="2"/>
        <v>0</v>
      </c>
      <c r="I973" s="72">
        <f>IFERROR( SUMIFS('Stock In'!I:I,'Stock In'!C:C,$A973,'Stock In'!D:D,$B973,'Stock In'!E:E,$C973) / SUMIFS('Stock In'!H:H,'Stock In'!C:C,$A973,'Stock In'!D:D,$B973,'Stock In'!E:E,$C973) , 0)</f>
        <v>0</v>
      </c>
      <c r="J973" s="71">
        <f t="shared" si="3"/>
        <v>0</v>
      </c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8"/>
      <c r="B974" s="68"/>
      <c r="C974" s="68"/>
      <c r="D974" s="70">
        <f>IFERROR(SUMIFS('Stock In'!F:F,'Stock In'!C:C,$A974,'Stock In'!D:D,$B974,'Stock In'!E:E,$C974),0)</f>
        <v>0</v>
      </c>
      <c r="E974" s="70">
        <f>IFERROR(SUMIFS(Issues!H:H,Issues!C:C,$A974,Issues!D:D,$B974,Issues!E:E,$C974),0)</f>
        <v>0</v>
      </c>
      <c r="F974" s="70">
        <f>IFERROR(SUMIFS(Returns!H:H,Returns!C:C,$A974,Returns!D:D,$B974,Returns!E:E,$C974),0)</f>
        <v>0</v>
      </c>
      <c r="G974" s="70">
        <f t="shared" si="1"/>
        <v>0</v>
      </c>
      <c r="H974" s="71">
        <f t="shared" si="2"/>
        <v>0</v>
      </c>
      <c r="I974" s="72">
        <f>IFERROR( SUMIFS('Stock In'!I:I,'Stock In'!C:C,$A974,'Stock In'!D:D,$B974,'Stock In'!E:E,$C974) / SUMIFS('Stock In'!H:H,'Stock In'!C:C,$A974,'Stock In'!D:D,$B974,'Stock In'!E:E,$C974) , 0)</f>
        <v>0</v>
      </c>
      <c r="J974" s="71">
        <f t="shared" si="3"/>
        <v>0</v>
      </c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8"/>
      <c r="B975" s="68"/>
      <c r="C975" s="68"/>
      <c r="D975" s="70">
        <f>IFERROR(SUMIFS('Stock In'!F:F,'Stock In'!C:C,$A975,'Stock In'!D:D,$B975,'Stock In'!E:E,$C975),0)</f>
        <v>0</v>
      </c>
      <c r="E975" s="70">
        <f>IFERROR(SUMIFS(Issues!H:H,Issues!C:C,$A975,Issues!D:D,$B975,Issues!E:E,$C975),0)</f>
        <v>0</v>
      </c>
      <c r="F975" s="70">
        <f>IFERROR(SUMIFS(Returns!H:H,Returns!C:C,$A975,Returns!D:D,$B975,Returns!E:E,$C975),0)</f>
        <v>0</v>
      </c>
      <c r="G975" s="70">
        <f t="shared" si="1"/>
        <v>0</v>
      </c>
      <c r="H975" s="71">
        <f t="shared" si="2"/>
        <v>0</v>
      </c>
      <c r="I975" s="72">
        <f>IFERROR( SUMIFS('Stock In'!I:I,'Stock In'!C:C,$A975,'Stock In'!D:D,$B975,'Stock In'!E:E,$C975) / SUMIFS('Stock In'!H:H,'Stock In'!C:C,$A975,'Stock In'!D:D,$B975,'Stock In'!E:E,$C975) , 0)</f>
        <v>0</v>
      </c>
      <c r="J975" s="71">
        <f t="shared" si="3"/>
        <v>0</v>
      </c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8"/>
      <c r="B976" s="68"/>
      <c r="C976" s="68"/>
      <c r="D976" s="70">
        <f>IFERROR(SUMIFS('Stock In'!F:F,'Stock In'!C:C,$A976,'Stock In'!D:D,$B976,'Stock In'!E:E,$C976),0)</f>
        <v>0</v>
      </c>
      <c r="E976" s="70">
        <f>IFERROR(SUMIFS(Issues!H:H,Issues!C:C,$A976,Issues!D:D,$B976,Issues!E:E,$C976),0)</f>
        <v>0</v>
      </c>
      <c r="F976" s="70">
        <f>IFERROR(SUMIFS(Returns!H:H,Returns!C:C,$A976,Returns!D:D,$B976,Returns!E:E,$C976),0)</f>
        <v>0</v>
      </c>
      <c r="G976" s="70">
        <f t="shared" si="1"/>
        <v>0</v>
      </c>
      <c r="H976" s="71">
        <f t="shared" si="2"/>
        <v>0</v>
      </c>
      <c r="I976" s="72">
        <f>IFERROR( SUMIFS('Stock In'!I:I,'Stock In'!C:C,$A976,'Stock In'!D:D,$B976,'Stock In'!E:E,$C976) / SUMIFS('Stock In'!H:H,'Stock In'!C:C,$A976,'Stock In'!D:D,$B976,'Stock In'!E:E,$C976) , 0)</f>
        <v>0</v>
      </c>
      <c r="J976" s="71">
        <f t="shared" si="3"/>
        <v>0</v>
      </c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8"/>
      <c r="B977" s="68"/>
      <c r="C977" s="68"/>
      <c r="D977" s="70">
        <f>IFERROR(SUMIFS('Stock In'!F:F,'Stock In'!C:C,$A977,'Stock In'!D:D,$B977,'Stock In'!E:E,$C977),0)</f>
        <v>0</v>
      </c>
      <c r="E977" s="70">
        <f>IFERROR(SUMIFS(Issues!H:H,Issues!C:C,$A977,Issues!D:D,$B977,Issues!E:E,$C977),0)</f>
        <v>0</v>
      </c>
      <c r="F977" s="70">
        <f>IFERROR(SUMIFS(Returns!H:H,Returns!C:C,$A977,Returns!D:D,$B977,Returns!E:E,$C977),0)</f>
        <v>0</v>
      </c>
      <c r="G977" s="70">
        <f t="shared" si="1"/>
        <v>0</v>
      </c>
      <c r="H977" s="71">
        <f t="shared" si="2"/>
        <v>0</v>
      </c>
      <c r="I977" s="72">
        <f>IFERROR( SUMIFS('Stock In'!I:I,'Stock In'!C:C,$A977,'Stock In'!D:D,$B977,'Stock In'!E:E,$C977) / SUMIFS('Stock In'!H:H,'Stock In'!C:C,$A977,'Stock In'!D:D,$B977,'Stock In'!E:E,$C977) , 0)</f>
        <v>0</v>
      </c>
      <c r="J977" s="71">
        <f t="shared" si="3"/>
        <v>0</v>
      </c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8"/>
      <c r="B978" s="68"/>
      <c r="C978" s="68"/>
      <c r="D978" s="70">
        <f>IFERROR(SUMIFS('Stock In'!F:F,'Stock In'!C:C,$A978,'Stock In'!D:D,$B978,'Stock In'!E:E,$C978),0)</f>
        <v>0</v>
      </c>
      <c r="E978" s="70">
        <f>IFERROR(SUMIFS(Issues!H:H,Issues!C:C,$A978,Issues!D:D,$B978,Issues!E:E,$C978),0)</f>
        <v>0</v>
      </c>
      <c r="F978" s="70">
        <f>IFERROR(SUMIFS(Returns!H:H,Returns!C:C,$A978,Returns!D:D,$B978,Returns!E:E,$C978),0)</f>
        <v>0</v>
      </c>
      <c r="G978" s="70">
        <f t="shared" si="1"/>
        <v>0</v>
      </c>
      <c r="H978" s="71">
        <f t="shared" si="2"/>
        <v>0</v>
      </c>
      <c r="I978" s="72">
        <f>IFERROR( SUMIFS('Stock In'!I:I,'Stock In'!C:C,$A978,'Stock In'!D:D,$B978,'Stock In'!E:E,$C978) / SUMIFS('Stock In'!H:H,'Stock In'!C:C,$A978,'Stock In'!D:D,$B978,'Stock In'!E:E,$C978) , 0)</f>
        <v>0</v>
      </c>
      <c r="J978" s="71">
        <f t="shared" si="3"/>
        <v>0</v>
      </c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8"/>
      <c r="B979" s="68"/>
      <c r="C979" s="68"/>
      <c r="D979" s="70">
        <f>IFERROR(SUMIFS('Stock In'!F:F,'Stock In'!C:C,$A979,'Stock In'!D:D,$B979,'Stock In'!E:E,$C979),0)</f>
        <v>0</v>
      </c>
      <c r="E979" s="70">
        <f>IFERROR(SUMIFS(Issues!H:H,Issues!C:C,$A979,Issues!D:D,$B979,Issues!E:E,$C979),0)</f>
        <v>0</v>
      </c>
      <c r="F979" s="70">
        <f>IFERROR(SUMIFS(Returns!H:H,Returns!C:C,$A979,Returns!D:D,$B979,Returns!E:E,$C979),0)</f>
        <v>0</v>
      </c>
      <c r="G979" s="70">
        <f t="shared" si="1"/>
        <v>0</v>
      </c>
      <c r="H979" s="71">
        <f t="shared" si="2"/>
        <v>0</v>
      </c>
      <c r="I979" s="72">
        <f>IFERROR( SUMIFS('Stock In'!I:I,'Stock In'!C:C,$A979,'Stock In'!D:D,$B979,'Stock In'!E:E,$C979) / SUMIFS('Stock In'!H:H,'Stock In'!C:C,$A979,'Stock In'!D:D,$B979,'Stock In'!E:E,$C979) , 0)</f>
        <v>0</v>
      </c>
      <c r="J979" s="71">
        <f t="shared" si="3"/>
        <v>0</v>
      </c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8"/>
      <c r="B980" s="68"/>
      <c r="C980" s="68"/>
      <c r="D980" s="70">
        <f>IFERROR(SUMIFS('Stock In'!F:F,'Stock In'!C:C,$A980,'Stock In'!D:D,$B980,'Stock In'!E:E,$C980),0)</f>
        <v>0</v>
      </c>
      <c r="E980" s="70">
        <f>IFERROR(SUMIFS(Issues!H:H,Issues!C:C,$A980,Issues!D:D,$B980,Issues!E:E,$C980),0)</f>
        <v>0</v>
      </c>
      <c r="F980" s="70">
        <f>IFERROR(SUMIFS(Returns!H:H,Returns!C:C,$A980,Returns!D:D,$B980,Returns!E:E,$C980),0)</f>
        <v>0</v>
      </c>
      <c r="G980" s="70">
        <f t="shared" si="1"/>
        <v>0</v>
      </c>
      <c r="H980" s="71">
        <f t="shared" si="2"/>
        <v>0</v>
      </c>
      <c r="I980" s="72">
        <f>IFERROR( SUMIFS('Stock In'!I:I,'Stock In'!C:C,$A980,'Stock In'!D:D,$B980,'Stock In'!E:E,$C980) / SUMIFS('Stock In'!H:H,'Stock In'!C:C,$A980,'Stock In'!D:D,$B980,'Stock In'!E:E,$C980) , 0)</f>
        <v>0</v>
      </c>
      <c r="J980" s="71">
        <f t="shared" si="3"/>
        <v>0</v>
      </c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8"/>
      <c r="B981" s="68"/>
      <c r="C981" s="68"/>
      <c r="D981" s="70">
        <f>IFERROR(SUMIFS('Stock In'!F:F,'Stock In'!C:C,$A981,'Stock In'!D:D,$B981,'Stock In'!E:E,$C981),0)</f>
        <v>0</v>
      </c>
      <c r="E981" s="70">
        <f>IFERROR(SUMIFS(Issues!H:H,Issues!C:C,$A981,Issues!D:D,$B981,Issues!E:E,$C981),0)</f>
        <v>0</v>
      </c>
      <c r="F981" s="70">
        <f>IFERROR(SUMIFS(Returns!H:H,Returns!C:C,$A981,Returns!D:D,$B981,Returns!E:E,$C981),0)</f>
        <v>0</v>
      </c>
      <c r="G981" s="70">
        <f t="shared" si="1"/>
        <v>0</v>
      </c>
      <c r="H981" s="71">
        <f t="shared" si="2"/>
        <v>0</v>
      </c>
      <c r="I981" s="72">
        <f>IFERROR( SUMIFS('Stock In'!I:I,'Stock In'!C:C,$A981,'Stock In'!D:D,$B981,'Stock In'!E:E,$C981) / SUMIFS('Stock In'!H:H,'Stock In'!C:C,$A981,'Stock In'!D:D,$B981,'Stock In'!E:E,$C981) , 0)</f>
        <v>0</v>
      </c>
      <c r="J981" s="71">
        <f t="shared" si="3"/>
        <v>0</v>
      </c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8"/>
      <c r="B982" s="68"/>
      <c r="C982" s="68"/>
      <c r="D982" s="70">
        <f>IFERROR(SUMIFS('Stock In'!F:F,'Stock In'!C:C,$A982,'Stock In'!D:D,$B982,'Stock In'!E:E,$C982),0)</f>
        <v>0</v>
      </c>
      <c r="E982" s="70">
        <f>IFERROR(SUMIFS(Issues!H:H,Issues!C:C,$A982,Issues!D:D,$B982,Issues!E:E,$C982),0)</f>
        <v>0</v>
      </c>
      <c r="F982" s="70">
        <f>IFERROR(SUMIFS(Returns!H:H,Returns!C:C,$A982,Returns!D:D,$B982,Returns!E:E,$C982),0)</f>
        <v>0</v>
      </c>
      <c r="G982" s="70">
        <f t="shared" si="1"/>
        <v>0</v>
      </c>
      <c r="H982" s="71">
        <f t="shared" si="2"/>
        <v>0</v>
      </c>
      <c r="I982" s="72">
        <f>IFERROR( SUMIFS('Stock In'!I:I,'Stock In'!C:C,$A982,'Stock In'!D:D,$B982,'Stock In'!E:E,$C982) / SUMIFS('Stock In'!H:H,'Stock In'!C:C,$A982,'Stock In'!D:D,$B982,'Stock In'!E:E,$C982) , 0)</f>
        <v>0</v>
      </c>
      <c r="J982" s="71">
        <f t="shared" si="3"/>
        <v>0</v>
      </c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8"/>
      <c r="B983" s="68"/>
      <c r="C983" s="68"/>
      <c r="D983" s="70">
        <f>IFERROR(SUMIFS('Stock In'!F:F,'Stock In'!C:C,$A983,'Stock In'!D:D,$B983,'Stock In'!E:E,$C983),0)</f>
        <v>0</v>
      </c>
      <c r="E983" s="70">
        <f>IFERROR(SUMIFS(Issues!H:H,Issues!C:C,$A983,Issues!D:D,$B983,Issues!E:E,$C983),0)</f>
        <v>0</v>
      </c>
      <c r="F983" s="70">
        <f>IFERROR(SUMIFS(Returns!H:H,Returns!C:C,$A983,Returns!D:D,$B983,Returns!E:E,$C983),0)</f>
        <v>0</v>
      </c>
      <c r="G983" s="70">
        <f t="shared" si="1"/>
        <v>0</v>
      </c>
      <c r="H983" s="71">
        <f t="shared" si="2"/>
        <v>0</v>
      </c>
      <c r="I983" s="72">
        <f>IFERROR( SUMIFS('Stock In'!I:I,'Stock In'!C:C,$A983,'Stock In'!D:D,$B983,'Stock In'!E:E,$C983) / SUMIFS('Stock In'!H:H,'Stock In'!C:C,$A983,'Stock In'!D:D,$B983,'Stock In'!E:E,$C983) , 0)</f>
        <v>0</v>
      </c>
      <c r="J983" s="71">
        <f t="shared" si="3"/>
        <v>0</v>
      </c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8"/>
      <c r="B984" s="68"/>
      <c r="C984" s="68"/>
      <c r="D984" s="70">
        <f>IFERROR(SUMIFS('Stock In'!F:F,'Stock In'!C:C,$A984,'Stock In'!D:D,$B984,'Stock In'!E:E,$C984),0)</f>
        <v>0</v>
      </c>
      <c r="E984" s="70">
        <f>IFERROR(SUMIFS(Issues!H:H,Issues!C:C,$A984,Issues!D:D,$B984,Issues!E:E,$C984),0)</f>
        <v>0</v>
      </c>
      <c r="F984" s="70">
        <f>IFERROR(SUMIFS(Returns!H:H,Returns!C:C,$A984,Returns!D:D,$B984,Returns!E:E,$C984),0)</f>
        <v>0</v>
      </c>
      <c r="G984" s="70">
        <f t="shared" si="1"/>
        <v>0</v>
      </c>
      <c r="H984" s="71">
        <f t="shared" si="2"/>
        <v>0</v>
      </c>
      <c r="I984" s="72">
        <f>IFERROR( SUMIFS('Stock In'!I:I,'Stock In'!C:C,$A984,'Stock In'!D:D,$B984,'Stock In'!E:E,$C984) / SUMIFS('Stock In'!H:H,'Stock In'!C:C,$A984,'Stock In'!D:D,$B984,'Stock In'!E:E,$C984) , 0)</f>
        <v>0</v>
      </c>
      <c r="J984" s="71">
        <f t="shared" si="3"/>
        <v>0</v>
      </c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8"/>
      <c r="B985" s="68"/>
      <c r="C985" s="68"/>
      <c r="D985" s="70">
        <f>IFERROR(SUMIFS('Stock In'!F:F,'Stock In'!C:C,$A985,'Stock In'!D:D,$B985,'Stock In'!E:E,$C985),0)</f>
        <v>0</v>
      </c>
      <c r="E985" s="70">
        <f>IFERROR(SUMIFS(Issues!H:H,Issues!C:C,$A985,Issues!D:D,$B985,Issues!E:E,$C985),0)</f>
        <v>0</v>
      </c>
      <c r="F985" s="70">
        <f>IFERROR(SUMIFS(Returns!H:H,Returns!C:C,$A985,Returns!D:D,$B985,Returns!E:E,$C985),0)</f>
        <v>0</v>
      </c>
      <c r="G985" s="70">
        <f t="shared" si="1"/>
        <v>0</v>
      </c>
      <c r="H985" s="71">
        <f t="shared" si="2"/>
        <v>0</v>
      </c>
      <c r="I985" s="72">
        <f>IFERROR( SUMIFS('Stock In'!I:I,'Stock In'!C:C,$A985,'Stock In'!D:D,$B985,'Stock In'!E:E,$C985) / SUMIFS('Stock In'!H:H,'Stock In'!C:C,$A985,'Stock In'!D:D,$B985,'Stock In'!E:E,$C985) , 0)</f>
        <v>0</v>
      </c>
      <c r="J985" s="71">
        <f t="shared" si="3"/>
        <v>0</v>
      </c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8"/>
      <c r="B986" s="68"/>
      <c r="C986" s="68"/>
      <c r="D986" s="70">
        <f>IFERROR(SUMIFS('Stock In'!F:F,'Stock In'!C:C,$A986,'Stock In'!D:D,$B986,'Stock In'!E:E,$C986),0)</f>
        <v>0</v>
      </c>
      <c r="E986" s="70">
        <f>IFERROR(SUMIFS(Issues!H:H,Issues!C:C,$A986,Issues!D:D,$B986,Issues!E:E,$C986),0)</f>
        <v>0</v>
      </c>
      <c r="F986" s="70">
        <f>IFERROR(SUMIFS(Returns!H:H,Returns!C:C,$A986,Returns!D:D,$B986,Returns!E:E,$C986),0)</f>
        <v>0</v>
      </c>
      <c r="G986" s="70">
        <f t="shared" si="1"/>
        <v>0</v>
      </c>
      <c r="H986" s="71">
        <f t="shared" si="2"/>
        <v>0</v>
      </c>
      <c r="I986" s="72">
        <f>IFERROR( SUMIFS('Stock In'!I:I,'Stock In'!C:C,$A986,'Stock In'!D:D,$B986,'Stock In'!E:E,$C986) / SUMIFS('Stock In'!H:H,'Stock In'!C:C,$A986,'Stock In'!D:D,$B986,'Stock In'!E:E,$C986) , 0)</f>
        <v>0</v>
      </c>
      <c r="J986" s="71">
        <f t="shared" si="3"/>
        <v>0</v>
      </c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8"/>
      <c r="B987" s="68"/>
      <c r="C987" s="68"/>
      <c r="D987" s="70">
        <f>IFERROR(SUMIFS('Stock In'!F:F,'Stock In'!C:C,$A987,'Stock In'!D:D,$B987,'Stock In'!E:E,$C987),0)</f>
        <v>0</v>
      </c>
      <c r="E987" s="70">
        <f>IFERROR(SUMIFS(Issues!H:H,Issues!C:C,$A987,Issues!D:D,$B987,Issues!E:E,$C987),0)</f>
        <v>0</v>
      </c>
      <c r="F987" s="70">
        <f>IFERROR(SUMIFS(Returns!H:H,Returns!C:C,$A987,Returns!D:D,$B987,Returns!E:E,$C987),0)</f>
        <v>0</v>
      </c>
      <c r="G987" s="70">
        <f t="shared" si="1"/>
        <v>0</v>
      </c>
      <c r="H987" s="71">
        <f t="shared" si="2"/>
        <v>0</v>
      </c>
      <c r="I987" s="72">
        <f>IFERROR( SUMIFS('Stock In'!I:I,'Stock In'!C:C,$A987,'Stock In'!D:D,$B987,'Stock In'!E:E,$C987) / SUMIFS('Stock In'!H:H,'Stock In'!C:C,$A987,'Stock In'!D:D,$B987,'Stock In'!E:E,$C987) , 0)</f>
        <v>0</v>
      </c>
      <c r="J987" s="71">
        <f t="shared" si="3"/>
        <v>0</v>
      </c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8"/>
      <c r="B988" s="68"/>
      <c r="C988" s="68"/>
      <c r="D988" s="70">
        <f>IFERROR(SUMIFS('Stock In'!F:F,'Stock In'!C:C,$A988,'Stock In'!D:D,$B988,'Stock In'!E:E,$C988),0)</f>
        <v>0</v>
      </c>
      <c r="E988" s="70">
        <f>IFERROR(SUMIFS(Issues!H:H,Issues!C:C,$A988,Issues!D:D,$B988,Issues!E:E,$C988),0)</f>
        <v>0</v>
      </c>
      <c r="F988" s="70">
        <f>IFERROR(SUMIFS(Returns!H:H,Returns!C:C,$A988,Returns!D:D,$B988,Returns!E:E,$C988),0)</f>
        <v>0</v>
      </c>
      <c r="G988" s="70">
        <f t="shared" si="1"/>
        <v>0</v>
      </c>
      <c r="H988" s="71">
        <f t="shared" si="2"/>
        <v>0</v>
      </c>
      <c r="I988" s="72">
        <f>IFERROR( SUMIFS('Stock In'!I:I,'Stock In'!C:C,$A988,'Stock In'!D:D,$B988,'Stock In'!E:E,$C988) / SUMIFS('Stock In'!H:H,'Stock In'!C:C,$A988,'Stock In'!D:D,$B988,'Stock In'!E:E,$C988) , 0)</f>
        <v>0</v>
      </c>
      <c r="J988" s="71">
        <f t="shared" si="3"/>
        <v>0</v>
      </c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8"/>
      <c r="B989" s="68"/>
      <c r="C989" s="68"/>
      <c r="D989" s="70">
        <f>IFERROR(SUMIFS('Stock In'!F:F,'Stock In'!C:C,$A989,'Stock In'!D:D,$B989,'Stock In'!E:E,$C989),0)</f>
        <v>0</v>
      </c>
      <c r="E989" s="70">
        <f>IFERROR(SUMIFS(Issues!H:H,Issues!C:C,$A989,Issues!D:D,$B989,Issues!E:E,$C989),0)</f>
        <v>0</v>
      </c>
      <c r="F989" s="70">
        <f>IFERROR(SUMIFS(Returns!H:H,Returns!C:C,$A989,Returns!D:D,$B989,Returns!E:E,$C989),0)</f>
        <v>0</v>
      </c>
      <c r="G989" s="70">
        <f t="shared" si="1"/>
        <v>0</v>
      </c>
      <c r="H989" s="71">
        <f t="shared" si="2"/>
        <v>0</v>
      </c>
      <c r="I989" s="72">
        <f>IFERROR( SUMIFS('Stock In'!I:I,'Stock In'!C:C,$A989,'Stock In'!D:D,$B989,'Stock In'!E:E,$C989) / SUMIFS('Stock In'!H:H,'Stock In'!C:C,$A989,'Stock In'!D:D,$B989,'Stock In'!E:E,$C989) , 0)</f>
        <v>0</v>
      </c>
      <c r="J989" s="71">
        <f t="shared" si="3"/>
        <v>0</v>
      </c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8"/>
      <c r="B990" s="68"/>
      <c r="C990" s="68"/>
      <c r="D990" s="70">
        <f>IFERROR(SUMIFS('Stock In'!F:F,'Stock In'!C:C,$A990,'Stock In'!D:D,$B990,'Stock In'!E:E,$C990),0)</f>
        <v>0</v>
      </c>
      <c r="E990" s="70">
        <f>IFERROR(SUMIFS(Issues!H:H,Issues!C:C,$A990,Issues!D:D,$B990,Issues!E:E,$C990),0)</f>
        <v>0</v>
      </c>
      <c r="F990" s="70">
        <f>IFERROR(SUMIFS(Returns!H:H,Returns!C:C,$A990,Returns!D:D,$B990,Returns!E:E,$C990),0)</f>
        <v>0</v>
      </c>
      <c r="G990" s="70">
        <f t="shared" si="1"/>
        <v>0</v>
      </c>
      <c r="H990" s="71">
        <f t="shared" si="2"/>
        <v>0</v>
      </c>
      <c r="I990" s="72">
        <f>IFERROR( SUMIFS('Stock In'!I:I,'Stock In'!C:C,$A990,'Stock In'!D:D,$B990,'Stock In'!E:E,$C990) / SUMIFS('Stock In'!H:H,'Stock In'!C:C,$A990,'Stock In'!D:D,$B990,'Stock In'!E:E,$C990) , 0)</f>
        <v>0</v>
      </c>
      <c r="J990" s="71">
        <f t="shared" si="3"/>
        <v>0</v>
      </c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8"/>
      <c r="B991" s="68"/>
      <c r="C991" s="68"/>
      <c r="D991" s="70">
        <f>IFERROR(SUMIFS('Stock In'!F:F,'Stock In'!C:C,$A991,'Stock In'!D:D,$B991,'Stock In'!E:E,$C991),0)</f>
        <v>0</v>
      </c>
      <c r="E991" s="70">
        <f>IFERROR(SUMIFS(Issues!H:H,Issues!C:C,$A991,Issues!D:D,$B991,Issues!E:E,$C991),0)</f>
        <v>0</v>
      </c>
      <c r="F991" s="70">
        <f>IFERROR(SUMIFS(Returns!H:H,Returns!C:C,$A991,Returns!D:D,$B991,Returns!E:E,$C991),0)</f>
        <v>0</v>
      </c>
      <c r="G991" s="70">
        <f t="shared" si="1"/>
        <v>0</v>
      </c>
      <c r="H991" s="71">
        <f t="shared" si="2"/>
        <v>0</v>
      </c>
      <c r="I991" s="72">
        <f>IFERROR( SUMIFS('Stock In'!I:I,'Stock In'!C:C,$A991,'Stock In'!D:D,$B991,'Stock In'!E:E,$C991) / SUMIFS('Stock In'!H:H,'Stock In'!C:C,$A991,'Stock In'!D:D,$B991,'Stock In'!E:E,$C991) , 0)</f>
        <v>0</v>
      </c>
      <c r="J991" s="71">
        <f t="shared" si="3"/>
        <v>0</v>
      </c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8"/>
      <c r="B992" s="68"/>
      <c r="C992" s="68"/>
      <c r="D992" s="70">
        <f>IFERROR(SUMIFS('Stock In'!F:F,'Stock In'!C:C,$A992,'Stock In'!D:D,$B992,'Stock In'!E:E,$C992),0)</f>
        <v>0</v>
      </c>
      <c r="E992" s="70">
        <f>IFERROR(SUMIFS(Issues!H:H,Issues!C:C,$A992,Issues!D:D,$B992,Issues!E:E,$C992),0)</f>
        <v>0</v>
      </c>
      <c r="F992" s="70">
        <f>IFERROR(SUMIFS(Returns!H:H,Returns!C:C,$A992,Returns!D:D,$B992,Returns!E:E,$C992),0)</f>
        <v>0</v>
      </c>
      <c r="G992" s="70">
        <f t="shared" si="1"/>
        <v>0</v>
      </c>
      <c r="H992" s="71">
        <f t="shared" si="2"/>
        <v>0</v>
      </c>
      <c r="I992" s="72">
        <f>IFERROR( SUMIFS('Stock In'!I:I,'Stock In'!C:C,$A992,'Stock In'!D:D,$B992,'Stock In'!E:E,$C992) / SUMIFS('Stock In'!H:H,'Stock In'!C:C,$A992,'Stock In'!D:D,$B992,'Stock In'!E:E,$C992) , 0)</f>
        <v>0</v>
      </c>
      <c r="J992" s="71">
        <f t="shared" si="3"/>
        <v>0</v>
      </c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8"/>
      <c r="B993" s="68"/>
      <c r="C993" s="68"/>
      <c r="D993" s="70">
        <f>IFERROR(SUMIFS('Stock In'!F:F,'Stock In'!C:C,$A993,'Stock In'!D:D,$B993,'Stock In'!E:E,$C993),0)</f>
        <v>0</v>
      </c>
      <c r="E993" s="70">
        <f>IFERROR(SUMIFS(Issues!H:H,Issues!C:C,$A993,Issues!D:D,$B993,Issues!E:E,$C993),0)</f>
        <v>0</v>
      </c>
      <c r="F993" s="70">
        <f>IFERROR(SUMIFS(Returns!H:H,Returns!C:C,$A993,Returns!D:D,$B993,Returns!E:E,$C993),0)</f>
        <v>0</v>
      </c>
      <c r="G993" s="70">
        <f t="shared" si="1"/>
        <v>0</v>
      </c>
      <c r="H993" s="71">
        <f t="shared" si="2"/>
        <v>0</v>
      </c>
      <c r="I993" s="72">
        <f>IFERROR( SUMIFS('Stock In'!I:I,'Stock In'!C:C,$A993,'Stock In'!D:D,$B993,'Stock In'!E:E,$C993) / SUMIFS('Stock In'!H:H,'Stock In'!C:C,$A993,'Stock In'!D:D,$B993,'Stock In'!E:E,$C993) , 0)</f>
        <v>0</v>
      </c>
      <c r="J993" s="71">
        <f t="shared" si="3"/>
        <v>0</v>
      </c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8"/>
      <c r="B994" s="68"/>
      <c r="C994" s="68"/>
      <c r="D994" s="70">
        <f>IFERROR(SUMIFS('Stock In'!F:F,'Stock In'!C:C,$A994,'Stock In'!D:D,$B994,'Stock In'!E:E,$C994),0)</f>
        <v>0</v>
      </c>
      <c r="E994" s="70">
        <f>IFERROR(SUMIFS(Issues!H:H,Issues!C:C,$A994,Issues!D:D,$B994,Issues!E:E,$C994),0)</f>
        <v>0</v>
      </c>
      <c r="F994" s="70">
        <f>IFERROR(SUMIFS(Returns!H:H,Returns!C:C,$A994,Returns!D:D,$B994,Returns!E:E,$C994),0)</f>
        <v>0</v>
      </c>
      <c r="G994" s="70">
        <f t="shared" si="1"/>
        <v>0</v>
      </c>
      <c r="H994" s="71">
        <f t="shared" si="2"/>
        <v>0</v>
      </c>
      <c r="I994" s="72">
        <f>IFERROR( SUMIFS('Stock In'!I:I,'Stock In'!C:C,$A994,'Stock In'!D:D,$B994,'Stock In'!E:E,$C994) / SUMIFS('Stock In'!H:H,'Stock In'!C:C,$A994,'Stock In'!D:D,$B994,'Stock In'!E:E,$C994) , 0)</f>
        <v>0</v>
      </c>
      <c r="J994" s="71">
        <f t="shared" si="3"/>
        <v>0</v>
      </c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8"/>
      <c r="B995" s="68"/>
      <c r="C995" s="68"/>
      <c r="D995" s="70">
        <f>IFERROR(SUMIFS('Stock In'!F:F,'Stock In'!C:C,$A995,'Stock In'!D:D,$B995,'Stock In'!E:E,$C995),0)</f>
        <v>0</v>
      </c>
      <c r="E995" s="70">
        <f>IFERROR(SUMIFS(Issues!H:H,Issues!C:C,$A995,Issues!D:D,$B995,Issues!E:E,$C995),0)</f>
        <v>0</v>
      </c>
      <c r="F995" s="70">
        <f>IFERROR(SUMIFS(Returns!H:H,Returns!C:C,$A995,Returns!D:D,$B995,Returns!E:E,$C995),0)</f>
        <v>0</v>
      </c>
      <c r="G995" s="70">
        <f t="shared" si="1"/>
        <v>0</v>
      </c>
      <c r="H995" s="71">
        <f t="shared" si="2"/>
        <v>0</v>
      </c>
      <c r="I995" s="72">
        <f>IFERROR( SUMIFS('Stock In'!I:I,'Stock In'!C:C,$A995,'Stock In'!D:D,$B995,'Stock In'!E:E,$C995) / SUMIFS('Stock In'!H:H,'Stock In'!C:C,$A995,'Stock In'!D:D,$B995,'Stock In'!E:E,$C995) , 0)</f>
        <v>0</v>
      </c>
      <c r="J995" s="71">
        <f t="shared" si="3"/>
        <v>0</v>
      </c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8"/>
      <c r="B996" s="68"/>
      <c r="C996" s="68"/>
      <c r="D996" s="70">
        <f>IFERROR(SUMIFS('Stock In'!F:F,'Stock In'!C:C,$A996,'Stock In'!D:D,$B996,'Stock In'!E:E,$C996),0)</f>
        <v>0</v>
      </c>
      <c r="E996" s="70">
        <f>IFERROR(SUMIFS(Issues!H:H,Issues!C:C,$A996,Issues!D:D,$B996,Issues!E:E,$C996),0)</f>
        <v>0</v>
      </c>
      <c r="F996" s="70">
        <f>IFERROR(SUMIFS(Returns!H:H,Returns!C:C,$A996,Returns!D:D,$B996,Returns!E:E,$C996),0)</f>
        <v>0</v>
      </c>
      <c r="G996" s="70">
        <f t="shared" si="1"/>
        <v>0</v>
      </c>
      <c r="H996" s="71">
        <f t="shared" si="2"/>
        <v>0</v>
      </c>
      <c r="I996" s="72">
        <f>IFERROR( SUMIFS('Stock In'!I:I,'Stock In'!C:C,$A996,'Stock In'!D:D,$B996,'Stock In'!E:E,$C996) / SUMIFS('Stock In'!H:H,'Stock In'!C:C,$A996,'Stock In'!D:D,$B996,'Stock In'!E:E,$C996) , 0)</f>
        <v>0</v>
      </c>
      <c r="J996" s="71">
        <f t="shared" si="3"/>
        <v>0</v>
      </c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8"/>
      <c r="B997" s="68"/>
      <c r="C997" s="68"/>
      <c r="D997" s="70">
        <f>IFERROR(SUMIFS('Stock In'!F:F,'Stock In'!C:C,$A997,'Stock In'!D:D,$B997,'Stock In'!E:E,$C997),0)</f>
        <v>0</v>
      </c>
      <c r="E997" s="70">
        <f>IFERROR(SUMIFS(Issues!H:H,Issues!C:C,$A997,Issues!D:D,$B997,Issues!E:E,$C997),0)</f>
        <v>0</v>
      </c>
      <c r="F997" s="70">
        <f>IFERROR(SUMIFS(Returns!H:H,Returns!C:C,$A997,Returns!D:D,$B997,Returns!E:E,$C997),0)</f>
        <v>0</v>
      </c>
      <c r="G997" s="70">
        <f t="shared" si="1"/>
        <v>0</v>
      </c>
      <c r="H997" s="71">
        <f t="shared" si="2"/>
        <v>0</v>
      </c>
      <c r="I997" s="72">
        <f>IFERROR( SUMIFS('Stock In'!I:I,'Stock In'!C:C,$A997,'Stock In'!D:D,$B997,'Stock In'!E:E,$C997) / SUMIFS('Stock In'!H:H,'Stock In'!C:C,$A997,'Stock In'!D:D,$B997,'Stock In'!E:E,$C997) , 0)</f>
        <v>0</v>
      </c>
      <c r="J997" s="71">
        <f t="shared" si="3"/>
        <v>0</v>
      </c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8"/>
      <c r="B998" s="68"/>
      <c r="C998" s="68"/>
      <c r="D998" s="70">
        <f>IFERROR(SUMIFS('Stock In'!F:F,'Stock In'!C:C,$A998,'Stock In'!D:D,$B998,'Stock In'!E:E,$C998),0)</f>
        <v>0</v>
      </c>
      <c r="E998" s="70">
        <f>IFERROR(SUMIFS(Issues!H:H,Issues!C:C,$A998,Issues!D:D,$B998,Issues!E:E,$C998),0)</f>
        <v>0</v>
      </c>
      <c r="F998" s="70">
        <f>IFERROR(SUMIFS(Returns!H:H,Returns!C:C,$A998,Returns!D:D,$B998,Returns!E:E,$C998),0)</f>
        <v>0</v>
      </c>
      <c r="G998" s="70">
        <f t="shared" si="1"/>
        <v>0</v>
      </c>
      <c r="H998" s="71">
        <f t="shared" si="2"/>
        <v>0</v>
      </c>
      <c r="I998" s="72">
        <f>IFERROR( SUMIFS('Stock In'!I:I,'Stock In'!C:C,$A998,'Stock In'!D:D,$B998,'Stock In'!E:E,$C998) / SUMIFS('Stock In'!H:H,'Stock In'!C:C,$A998,'Stock In'!D:D,$B998,'Stock In'!E:E,$C998) , 0)</f>
        <v>0</v>
      </c>
      <c r="J998" s="71">
        <f t="shared" si="3"/>
        <v>0</v>
      </c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8"/>
      <c r="B999" s="68"/>
      <c r="C999" s="68"/>
      <c r="D999" s="70">
        <f>IFERROR(SUMIFS('Stock In'!F:F,'Stock In'!C:C,$A999,'Stock In'!D:D,$B999,'Stock In'!E:E,$C999),0)</f>
        <v>0</v>
      </c>
      <c r="E999" s="70">
        <f>IFERROR(SUMIFS(Issues!H:H,Issues!C:C,$A999,Issues!D:D,$B999,Issues!E:E,$C999),0)</f>
        <v>0</v>
      </c>
      <c r="F999" s="70">
        <f>IFERROR(SUMIFS(Returns!H:H,Returns!C:C,$A999,Returns!D:D,$B999,Returns!E:E,$C999),0)</f>
        <v>0</v>
      </c>
      <c r="G999" s="70">
        <f t="shared" si="1"/>
        <v>0</v>
      </c>
      <c r="H999" s="71">
        <f t="shared" si="2"/>
        <v>0</v>
      </c>
      <c r="I999" s="72">
        <f>IFERROR( SUMIFS('Stock In'!I:I,'Stock In'!C:C,$A999,'Stock In'!D:D,$B999,'Stock In'!E:E,$C999) / SUMIFS('Stock In'!H:H,'Stock In'!C:C,$A999,'Stock In'!D:D,$B999,'Stock In'!E:E,$C999) , 0)</f>
        <v>0</v>
      </c>
      <c r="J999" s="71">
        <f t="shared" si="3"/>
        <v>0</v>
      </c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8"/>
      <c r="B1000" s="68"/>
      <c r="C1000" s="68"/>
      <c r="D1000" s="70">
        <f>IFERROR(SUMIFS('Stock In'!F:F,'Stock In'!C:C,$A1000,'Stock In'!D:D,$B1000,'Stock In'!E:E,$C1000),0)</f>
        <v>0</v>
      </c>
      <c r="E1000" s="70">
        <f>IFERROR(SUMIFS(Issues!H:H,Issues!C:C,$A1000,Issues!D:D,$B1000,Issues!E:E,$C1000),0)</f>
        <v>0</v>
      </c>
      <c r="F1000" s="70">
        <f>IFERROR(SUMIFS(Returns!H:H,Returns!C:C,$A1000,Returns!D:D,$B1000,Returns!E:E,$C1000),0)</f>
        <v>0</v>
      </c>
      <c r="G1000" s="70">
        <f t="shared" si="1"/>
        <v>0</v>
      </c>
      <c r="H1000" s="71">
        <f t="shared" si="2"/>
        <v>0</v>
      </c>
      <c r="I1000" s="72">
        <f>IFERROR( SUMIFS('Stock In'!I:I,'Stock In'!C:C,$A1000,'Stock In'!D:D,$B1000,'Stock In'!E:E,$C1000) / SUMIFS('Stock In'!H:H,'Stock In'!C:C,$A1000,'Stock In'!D:D,$B1000,'Stock In'!E:E,$C1000) , 0)</f>
        <v>0</v>
      </c>
      <c r="J1000" s="71">
        <f t="shared" si="3"/>
        <v>0</v>
      </c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4.25"/>
    <col customWidth="1" min="3" max="3" width="16.63"/>
    <col customWidth="1" min="4" max="4" width="22.5"/>
    <col customWidth="1" min="6" max="6" width="16.25"/>
    <col customWidth="1" min="7" max="7" width="18.63"/>
    <col customWidth="1" min="8" max="8" width="18.5"/>
    <col customWidth="1" min="9" max="9" width="20.63"/>
    <col customWidth="1" min="10" max="10" width="13.75"/>
    <col customWidth="1" min="11" max="11" width="16.0"/>
  </cols>
  <sheetData>
    <row r="1" ht="22.5" customHeight="1">
      <c r="A1" s="1" t="s">
        <v>8</v>
      </c>
      <c r="B1" s="1" t="s">
        <v>4</v>
      </c>
      <c r="C1" s="1" t="s">
        <v>3</v>
      </c>
      <c r="D1" s="1" t="s">
        <v>6</v>
      </c>
      <c r="E1" s="1" t="s">
        <v>12</v>
      </c>
      <c r="F1" s="1" t="s">
        <v>15</v>
      </c>
      <c r="G1" s="1" t="s">
        <v>10</v>
      </c>
      <c r="H1" s="1" t="s">
        <v>782</v>
      </c>
      <c r="I1" s="1" t="s">
        <v>783</v>
      </c>
      <c r="J1" s="1" t="s">
        <v>784</v>
      </c>
      <c r="K1" s="1" t="s">
        <v>785</v>
      </c>
    </row>
    <row r="2" ht="22.5" customHeight="1">
      <c r="A2" s="74" t="str">
        <f>IFERROR(__xludf.DUMMYFUNCTION("SORT(UNIQUE(FILTER({'Stock In'!B:B,'Stock In'!C:E}, ROW('Stock In'!C:C)&lt;&gt;1, 'Stock In'!C:C&lt;&gt;"""")), 1, TRUE, 2, TRUE, 4, TRUE)"),"Allied")</f>
        <v>Allied</v>
      </c>
      <c r="B2" s="75" t="str">
        <f>IFERROR(__xludf.DUMMYFUNCTION("""COMPUTED_VALUE"""),"Chromo")</f>
        <v>Chromo</v>
      </c>
      <c r="C2" s="21">
        <f>IFERROR(__xludf.DUMMYFUNCTION("""COMPUTED_VALUE"""),80.0)</f>
        <v>80</v>
      </c>
      <c r="D2" s="76">
        <f>IFERROR(__xludf.DUMMYFUNCTION("""COMPUTED_VALUE"""),210.0)</f>
        <v>210</v>
      </c>
      <c r="E2" s="20">
        <f>IFERROR(SUMIFS('Stock In'!F:F,'Stock In'!B:B,$A2,'Stock In'!C:C,$B2,'Stock In'!D:D,$C2,'Stock In'!E:E,$D2),0)</f>
        <v>6200</v>
      </c>
      <c r="F2" s="20">
        <f>IFERROR(SUMIFS(Issues!H:H, Issues!F:F, $A2, Issues!C:C, $B2, Issues!D:D, $C2, Issues!E:E, $D2), 0)</f>
        <v>5880</v>
      </c>
      <c r="G2" s="20">
        <f>IFERROR(SUMIFS(Returns!H:H, Returns!F:F, $A2, Returns!C:C, $B2, Returns!D:D, $C2, Returns!E:E, $D2), 0)</f>
        <v>550</v>
      </c>
      <c r="H2" s="20">
        <f t="shared" ref="H2:H1000" si="1">E2-F2+G2</f>
        <v>870</v>
      </c>
      <c r="I2" s="20">
        <f t="shared" ref="I2:I1000" si="2">($D2*H2)/1000</f>
        <v>182.7</v>
      </c>
      <c r="J2" s="20">
        <f>IFERROR( SUMIFS('Stock In'!I:I,'Stock In'!B:B,$A2,'Stock In'!C:C,$B2,'Stock In'!D:D,$C2,'Stock In'!E:E,$D2) / SUMIFS('Stock In'!H:H,'Stock In'!B:B,$A2,'Stock In'!C:C,$B2,'Stock In'!D:D,$C2,'Stock In'!E:E,$D2), 0)</f>
        <v>27</v>
      </c>
      <c r="K2" s="20">
        <f t="shared" ref="K2:K1000" si="3">I2*J2</f>
        <v>4932.9</v>
      </c>
    </row>
    <row r="3" ht="22.5" customHeight="1">
      <c r="A3" s="77" t="str">
        <f>IFERROR(__xludf.DUMMYFUNCTION("""COMPUTED_VALUE"""),"Allied")</f>
        <v>Allied</v>
      </c>
      <c r="B3" s="74" t="str">
        <f>IFERROR(__xludf.DUMMYFUNCTION("""COMPUTED_VALUE"""),"PP CLEAR")</f>
        <v>PP CLEAR</v>
      </c>
      <c r="C3" s="21">
        <f>IFERROR(__xludf.DUMMYFUNCTION("""COMPUTED_VALUE"""),50.0)</f>
        <v>50</v>
      </c>
      <c r="D3" s="76">
        <f>IFERROR(__xludf.DUMMYFUNCTION("""COMPUTED_VALUE"""),90.0)</f>
        <v>90</v>
      </c>
      <c r="E3" s="20">
        <f>IFERROR(SUMIFS('Stock In'!F:F,'Stock In'!B:B,$A3,'Stock In'!C:C,$B3,'Stock In'!D:D,$C3,'Stock In'!E:E,$D3),0)</f>
        <v>80640</v>
      </c>
      <c r="F3" s="20">
        <f>IFERROR(SUMIFS(Issues!H:H, Issues!F:F, $A3, Issues!C:C, $B3, Issues!D:D, $C3, Issues!E:E, $D3), 0)</f>
        <v>0</v>
      </c>
      <c r="G3" s="20">
        <f>IFERROR(SUMIFS(Returns!H:H, Returns!F:F, $A3, Returns!C:C, $B3, Returns!D:D, $C3, Returns!E:E, $D3), 0)</f>
        <v>0</v>
      </c>
      <c r="H3" s="20">
        <f t="shared" si="1"/>
        <v>80640</v>
      </c>
      <c r="I3" s="20">
        <f t="shared" si="2"/>
        <v>7257.6</v>
      </c>
      <c r="J3" s="20">
        <f>IFERROR( SUMIFS('Stock In'!I:I,'Stock In'!B:B,$A3,'Stock In'!C:C,$B3,'Stock In'!D:D,$C3,'Stock In'!E:E,$D3) / SUMIFS('Stock In'!H:H,'Stock In'!B:B,$A3,'Stock In'!C:C,$B3,'Stock In'!D:D,$C3,'Stock In'!E:E,$D3), 0)</f>
        <v>34.5</v>
      </c>
      <c r="K3" s="20">
        <f t="shared" si="3"/>
        <v>250387.2</v>
      </c>
    </row>
    <row r="4" ht="22.5" customHeight="1">
      <c r="A4" s="21" t="str">
        <f>IFERROR(__xludf.DUMMYFUNCTION("""COMPUTED_VALUE"""),"Allied")</f>
        <v>Allied</v>
      </c>
      <c r="B4" s="21" t="str">
        <f>IFERROR(__xludf.DUMMYFUNCTION("""COMPUTED_VALUE"""),"PP CLEAR")</f>
        <v>PP CLEAR</v>
      </c>
      <c r="C4" s="21">
        <f>IFERROR(__xludf.DUMMYFUNCTION("""COMPUTED_VALUE"""),50.0)</f>
        <v>50</v>
      </c>
      <c r="D4" s="76">
        <f>IFERROR(__xludf.DUMMYFUNCTION("""COMPUTED_VALUE"""),91.0)</f>
        <v>91</v>
      </c>
      <c r="E4" s="20">
        <f>IFERROR(SUMIFS('Stock In'!F:F,'Stock In'!B:B,$A4,'Stock In'!C:C,$B4,'Stock In'!D:D,$C4,'Stock In'!E:E,$D4),0)</f>
        <v>12080</v>
      </c>
      <c r="F4" s="20">
        <f>IFERROR(SUMIFS(Issues!H:H, Issues!F:F, $A4, Issues!C:C, $B4, Issues!D:D, $C4, Issues!E:E, $D4), 0)</f>
        <v>0</v>
      </c>
      <c r="G4" s="20">
        <f>IFERROR(SUMIFS(Returns!H:H, Returns!F:F, $A4, Returns!C:C, $B4, Returns!D:D, $C4, Returns!E:E, $D4), 0)</f>
        <v>0</v>
      </c>
      <c r="H4" s="20">
        <f t="shared" si="1"/>
        <v>12080</v>
      </c>
      <c r="I4" s="20">
        <f t="shared" si="2"/>
        <v>1099.28</v>
      </c>
      <c r="J4" s="20">
        <f>IFERROR( SUMIFS('Stock In'!I:I,'Stock In'!B:B,$A4,'Stock In'!C:C,$B4,'Stock In'!D:D,$C4,'Stock In'!E:E,$D4) / SUMIFS('Stock In'!H:H,'Stock In'!B:B,$A4,'Stock In'!C:C,$B4,'Stock In'!D:D,$C4,'Stock In'!E:E,$D4), 0)</f>
        <v>34.5</v>
      </c>
      <c r="K4" s="20">
        <f t="shared" si="3"/>
        <v>37925.16</v>
      </c>
    </row>
    <row r="5" ht="22.5" customHeight="1">
      <c r="A5" s="21" t="str">
        <f>IFERROR(__xludf.DUMMYFUNCTION("""COMPUTED_VALUE"""),"Allied")</f>
        <v>Allied</v>
      </c>
      <c r="B5" s="21" t="str">
        <f>IFERROR(__xludf.DUMMYFUNCTION("""COMPUTED_VALUE"""),"PP CLEAR")</f>
        <v>PP CLEAR</v>
      </c>
      <c r="C5" s="21">
        <f>IFERROR(__xludf.DUMMYFUNCTION("""COMPUTED_VALUE"""),50.0)</f>
        <v>50</v>
      </c>
      <c r="D5" s="76">
        <f>IFERROR(__xludf.DUMMYFUNCTION("""COMPUTED_VALUE"""),180.0)</f>
        <v>180</v>
      </c>
      <c r="E5" s="20">
        <f>IFERROR(SUMIFS('Stock In'!F:F,'Stock In'!B:B,$A5,'Stock In'!C:C,$B5,'Stock In'!D:D,$C5,'Stock In'!E:E,$D5),0)</f>
        <v>21640</v>
      </c>
      <c r="F5" s="20">
        <f>IFERROR(SUMIFS(Issues!H:H, Issues!F:F, $A5, Issues!C:C, $B5, Issues!D:D, $C5, Issues!E:E, $D5), 0)</f>
        <v>0</v>
      </c>
      <c r="G5" s="20">
        <f>IFERROR(SUMIFS(Returns!H:H, Returns!F:F, $A5, Returns!C:C, $B5, Returns!D:D, $C5, Returns!E:E, $D5), 0)</f>
        <v>0</v>
      </c>
      <c r="H5" s="20">
        <f t="shared" si="1"/>
        <v>21640</v>
      </c>
      <c r="I5" s="20">
        <f t="shared" si="2"/>
        <v>3895.2</v>
      </c>
      <c r="J5" s="20">
        <f>IFERROR( SUMIFS('Stock In'!I:I,'Stock In'!B:B,$A5,'Stock In'!C:C,$B5,'Stock In'!D:D,$C5,'Stock In'!E:E,$D5) / SUMIFS('Stock In'!H:H,'Stock In'!B:B,$A5,'Stock In'!C:C,$B5,'Stock In'!D:D,$C5,'Stock In'!E:E,$D5), 0)</f>
        <v>34.45009242</v>
      </c>
      <c r="K5" s="20">
        <f t="shared" si="3"/>
        <v>134190</v>
      </c>
    </row>
    <row r="6" ht="22.5" customHeight="1">
      <c r="A6" s="21" t="str">
        <f>IFERROR(__xludf.DUMMYFUNCTION("""COMPUTED_VALUE"""),"Allied")</f>
        <v>Allied</v>
      </c>
      <c r="B6" s="21" t="str">
        <f>IFERROR(__xludf.DUMMYFUNCTION("""COMPUTED_VALUE"""),"PP CLEAR")</f>
        <v>PP CLEAR</v>
      </c>
      <c r="C6" s="21">
        <f>IFERROR(__xludf.DUMMYFUNCTION("""COMPUTED_VALUE"""),80.0)</f>
        <v>80</v>
      </c>
      <c r="D6" s="76">
        <f>IFERROR(__xludf.DUMMYFUNCTION("""COMPUTED_VALUE"""),180.0)</f>
        <v>180</v>
      </c>
      <c r="E6" s="20">
        <f>IFERROR(SUMIFS('Stock In'!F:F,'Stock In'!B:B,$A6,'Stock In'!C:C,$B6,'Stock In'!D:D,$C6,'Stock In'!E:E,$D6),0)</f>
        <v>29600</v>
      </c>
      <c r="F6" s="20">
        <f>IFERROR(SUMIFS(Issues!H:H, Issues!F:F, $A6, Issues!C:C, $B6, Issues!D:D, $C6, Issues!E:E, $D6), 0)</f>
        <v>0</v>
      </c>
      <c r="G6" s="20">
        <f>IFERROR(SUMIFS(Returns!H:H, Returns!F:F, $A6, Returns!C:C, $B6, Returns!D:D, $C6, Returns!E:E, $D6), 0)</f>
        <v>0</v>
      </c>
      <c r="H6" s="20">
        <f t="shared" si="1"/>
        <v>29600</v>
      </c>
      <c r="I6" s="20">
        <f t="shared" si="2"/>
        <v>5328</v>
      </c>
      <c r="J6" s="20">
        <f>IFERROR( SUMIFS('Stock In'!I:I,'Stock In'!B:B,$A6,'Stock In'!C:C,$B6,'Stock In'!D:D,$C6,'Stock In'!E:E,$D6) / SUMIFS('Stock In'!H:H,'Stock In'!B:B,$A6,'Stock In'!C:C,$B6,'Stock In'!D:D,$C6,'Stock In'!E:E,$D6), 0)</f>
        <v>34.5</v>
      </c>
      <c r="K6" s="20">
        <f t="shared" si="3"/>
        <v>183816</v>
      </c>
    </row>
    <row r="7" ht="22.5" customHeight="1">
      <c r="A7" s="21" t="str">
        <f>IFERROR(__xludf.DUMMYFUNCTION("""COMPUTED_VALUE"""),"Allied")</f>
        <v>Allied</v>
      </c>
      <c r="B7" s="21" t="str">
        <f>IFERROR(__xludf.DUMMYFUNCTION("""COMPUTED_VALUE"""),"PP CLEAR")</f>
        <v>PP CLEAR</v>
      </c>
      <c r="C7" s="21">
        <f>IFERROR(__xludf.DUMMYFUNCTION("""COMPUTED_VALUE"""),50.0)</f>
        <v>50</v>
      </c>
      <c r="D7" s="76">
        <f>IFERROR(__xludf.DUMMYFUNCTION("""COMPUTED_VALUE"""),195.0)</f>
        <v>195</v>
      </c>
      <c r="E7" s="20">
        <f>IFERROR(SUMIFS('Stock In'!F:F,'Stock In'!B:B,$A7,'Stock In'!C:C,$B7,'Stock In'!D:D,$C7,'Stock In'!E:E,$D7),0)</f>
        <v>500</v>
      </c>
      <c r="F7" s="20">
        <f>IFERROR(SUMIFS(Issues!H:H, Issues!F:F, $A7, Issues!C:C, $B7, Issues!D:D, $C7, Issues!E:E, $D7), 0)</f>
        <v>500</v>
      </c>
      <c r="G7" s="20">
        <f>IFERROR(SUMIFS(Returns!H:H, Returns!F:F, $A7, Returns!C:C, $B7, Returns!D:D, $C7, Returns!E:E, $D7), 0)</f>
        <v>0</v>
      </c>
      <c r="H7" s="20">
        <f t="shared" si="1"/>
        <v>0</v>
      </c>
      <c r="I7" s="20">
        <f t="shared" si="2"/>
        <v>0</v>
      </c>
      <c r="J7" s="20">
        <f>IFERROR( SUMIFS('Stock In'!I:I,'Stock In'!B:B,$A7,'Stock In'!C:C,$B7,'Stock In'!D:D,$C7,'Stock In'!E:E,$D7) / SUMIFS('Stock In'!H:H,'Stock In'!B:B,$A7,'Stock In'!C:C,$B7,'Stock In'!D:D,$C7,'Stock In'!E:E,$D7), 0)</f>
        <v>34.5</v>
      </c>
      <c r="K7" s="20">
        <f t="shared" si="3"/>
        <v>0</v>
      </c>
    </row>
    <row r="8" ht="22.5" customHeight="1">
      <c r="A8" s="21" t="str">
        <f>IFERROR(__xludf.DUMMYFUNCTION("""COMPUTED_VALUE"""),"Allied")</f>
        <v>Allied</v>
      </c>
      <c r="B8" s="21" t="str">
        <f>IFERROR(__xludf.DUMMYFUNCTION("""COMPUTED_VALUE"""),"PP CLEAR")</f>
        <v>PP CLEAR</v>
      </c>
      <c r="C8" s="21">
        <f>IFERROR(__xludf.DUMMYFUNCTION("""COMPUTED_VALUE"""),50.0)</f>
        <v>50</v>
      </c>
      <c r="D8" s="76">
        <f>IFERROR(__xludf.DUMMYFUNCTION("""COMPUTED_VALUE"""),280.0)</f>
        <v>280</v>
      </c>
      <c r="E8" s="20">
        <f>IFERROR(SUMIFS('Stock In'!F:F,'Stock In'!B:B,$A8,'Stock In'!C:C,$B8,'Stock In'!D:D,$C8,'Stock In'!E:E,$D8),0)</f>
        <v>3200</v>
      </c>
      <c r="F8" s="20">
        <f>IFERROR(SUMIFS(Issues!H:H, Issues!F:F, $A8, Issues!C:C, $B8, Issues!D:D, $C8, Issues!E:E, $D8), 0)</f>
        <v>0</v>
      </c>
      <c r="G8" s="20">
        <f>IFERROR(SUMIFS(Returns!H:H, Returns!F:F, $A8, Returns!C:C, $B8, Returns!D:D, $C8, Returns!E:E, $D8), 0)</f>
        <v>0</v>
      </c>
      <c r="H8" s="20">
        <f t="shared" si="1"/>
        <v>3200</v>
      </c>
      <c r="I8" s="20">
        <f t="shared" si="2"/>
        <v>896</v>
      </c>
      <c r="J8" s="20">
        <f>IFERROR( SUMIFS('Stock In'!I:I,'Stock In'!B:B,$A8,'Stock In'!C:C,$B8,'Stock In'!D:D,$C8,'Stock In'!E:E,$D8) / SUMIFS('Stock In'!H:H,'Stock In'!B:B,$A8,'Stock In'!C:C,$B8,'Stock In'!D:D,$C8,'Stock In'!E:E,$D8), 0)</f>
        <v>34</v>
      </c>
      <c r="K8" s="20">
        <f t="shared" si="3"/>
        <v>30464</v>
      </c>
    </row>
    <row r="9" ht="22.5" customHeight="1">
      <c r="A9" s="21" t="str">
        <f>IFERROR(__xludf.DUMMYFUNCTION("""COMPUTED_VALUE"""),"Allied")</f>
        <v>Allied</v>
      </c>
      <c r="B9" s="21" t="str">
        <f>IFERROR(__xludf.DUMMYFUNCTION("""COMPUTED_VALUE"""),"PP CLEAR")</f>
        <v>PP CLEAR</v>
      </c>
      <c r="C9" s="21">
        <f>IFERROR(__xludf.DUMMYFUNCTION("""COMPUTED_VALUE"""),50.0)</f>
        <v>50</v>
      </c>
      <c r="D9" s="76">
        <f>IFERROR(__xludf.DUMMYFUNCTION("""COMPUTED_VALUE"""),295.0)</f>
        <v>295</v>
      </c>
      <c r="E9" s="20">
        <f>IFERROR(SUMIFS('Stock In'!F:F,'Stock In'!B:B,$A9,'Stock In'!C:C,$B9,'Stock In'!D:D,$C9,'Stock In'!E:E,$D9),0)</f>
        <v>740</v>
      </c>
      <c r="F9" s="20">
        <f>IFERROR(SUMIFS(Issues!H:H, Issues!F:F, $A9, Issues!C:C, $B9, Issues!D:D, $C9, Issues!E:E, $D9), 0)</f>
        <v>0</v>
      </c>
      <c r="G9" s="20">
        <f>IFERROR(SUMIFS(Returns!H:H, Returns!F:F, $A9, Returns!C:C, $B9, Returns!D:D, $C9, Returns!E:E, $D9), 0)</f>
        <v>0</v>
      </c>
      <c r="H9" s="20">
        <f t="shared" si="1"/>
        <v>740</v>
      </c>
      <c r="I9" s="20">
        <f t="shared" si="2"/>
        <v>218.3</v>
      </c>
      <c r="J9" s="20">
        <f>IFERROR( SUMIFS('Stock In'!I:I,'Stock In'!B:B,$A9,'Stock In'!C:C,$B9,'Stock In'!D:D,$C9,'Stock In'!E:E,$D9) / SUMIFS('Stock In'!H:H,'Stock In'!B:B,$A9,'Stock In'!C:C,$B9,'Stock In'!D:D,$C9,'Stock In'!E:E,$D9), 0)</f>
        <v>34.5</v>
      </c>
      <c r="K9" s="20">
        <f t="shared" si="3"/>
        <v>7531.35</v>
      </c>
    </row>
    <row r="10" ht="22.5" customHeight="1">
      <c r="A10" s="21" t="str">
        <f>IFERROR(__xludf.DUMMYFUNCTION("""COMPUTED_VALUE"""),"Allied")</f>
        <v>Allied</v>
      </c>
      <c r="B10" s="21" t="str">
        <f>IFERROR(__xludf.DUMMYFUNCTION("""COMPUTED_VALUE"""),"PP CLEAR")</f>
        <v>PP CLEAR</v>
      </c>
      <c r="C10" s="21">
        <f>IFERROR(__xludf.DUMMYFUNCTION("""COMPUTED_VALUE"""),50.0)</f>
        <v>50</v>
      </c>
      <c r="D10" s="76">
        <f>IFERROR(__xludf.DUMMYFUNCTION("""COMPUTED_VALUE"""),330.0)</f>
        <v>330</v>
      </c>
      <c r="E10" s="20">
        <f>IFERROR(SUMIFS('Stock In'!F:F,'Stock In'!B:B,$A10,'Stock In'!C:C,$B10,'Stock In'!D:D,$C10,'Stock In'!E:E,$D10),0)</f>
        <v>3000</v>
      </c>
      <c r="F10" s="20">
        <f>IFERROR(SUMIFS(Issues!H:H, Issues!F:F, $A10, Issues!C:C, $B10, Issues!D:D, $C10, Issues!E:E, $D10), 0)</f>
        <v>2000</v>
      </c>
      <c r="G10" s="20">
        <f>IFERROR(SUMIFS(Returns!H:H, Returns!F:F, $A10, Returns!C:C, $B10, Returns!D:D, $C10, Returns!E:E, $D10), 0)</f>
        <v>330</v>
      </c>
      <c r="H10" s="20">
        <f t="shared" si="1"/>
        <v>1330</v>
      </c>
      <c r="I10" s="20">
        <f t="shared" si="2"/>
        <v>438.9</v>
      </c>
      <c r="J10" s="20">
        <f>IFERROR( SUMIFS('Stock In'!I:I,'Stock In'!B:B,$A10,'Stock In'!C:C,$B10,'Stock In'!D:D,$C10,'Stock In'!E:E,$D10) / SUMIFS('Stock In'!H:H,'Stock In'!B:B,$A10,'Stock In'!C:C,$B10,'Stock In'!D:D,$C10,'Stock In'!E:E,$D10), 0)</f>
        <v>34.5</v>
      </c>
      <c r="K10" s="20">
        <f t="shared" si="3"/>
        <v>15142.05</v>
      </c>
    </row>
    <row r="11" ht="22.5" customHeight="1">
      <c r="A11" s="21" t="str">
        <f>IFERROR(__xludf.DUMMYFUNCTION("""COMPUTED_VALUE"""),"Allied")</f>
        <v>Allied</v>
      </c>
      <c r="B11" s="21" t="str">
        <f>IFERROR(__xludf.DUMMYFUNCTION("""COMPUTED_VALUE"""),"PP SILVER")</f>
        <v>PP SILVER</v>
      </c>
      <c r="C11" s="21">
        <f>IFERROR(__xludf.DUMMYFUNCTION("""COMPUTED_VALUE"""),50.0)</f>
        <v>50</v>
      </c>
      <c r="D11" s="76">
        <f>IFERROR(__xludf.DUMMYFUNCTION("""COMPUTED_VALUE"""),148.0)</f>
        <v>148</v>
      </c>
      <c r="E11" s="20">
        <f>IFERROR(SUMIFS('Stock In'!F:F,'Stock In'!B:B,$A11,'Stock In'!C:C,$B11,'Stock In'!D:D,$C11,'Stock In'!E:E,$D11),0)</f>
        <v>1820</v>
      </c>
      <c r="F11" s="20">
        <f>IFERROR(SUMIFS(Issues!H:H, Issues!F:F, $A11, Issues!C:C, $B11, Issues!D:D, $C11, Issues!E:E, $D11), 0)</f>
        <v>0</v>
      </c>
      <c r="G11" s="20">
        <f>IFERROR(SUMIFS(Returns!H:H, Returns!F:F, $A11, Returns!C:C, $B11, Returns!D:D, $C11, Returns!E:E, $D11), 0)</f>
        <v>0</v>
      </c>
      <c r="H11" s="20">
        <f t="shared" si="1"/>
        <v>1820</v>
      </c>
      <c r="I11" s="20">
        <f t="shared" si="2"/>
        <v>269.36</v>
      </c>
      <c r="J11" s="20">
        <f>IFERROR( SUMIFS('Stock In'!I:I,'Stock In'!B:B,$A11,'Stock In'!C:C,$B11,'Stock In'!D:D,$C11,'Stock In'!E:E,$D11) / SUMIFS('Stock In'!H:H,'Stock In'!B:B,$A11,'Stock In'!C:C,$B11,'Stock In'!D:D,$C11,'Stock In'!E:E,$D11), 0)</f>
        <v>36</v>
      </c>
      <c r="K11" s="20">
        <f t="shared" si="3"/>
        <v>9696.96</v>
      </c>
    </row>
    <row r="12" ht="22.5" customHeight="1">
      <c r="A12" s="21" t="str">
        <f>IFERROR(__xludf.DUMMYFUNCTION("""COMPUTED_VALUE"""),"Allied")</f>
        <v>Allied</v>
      </c>
      <c r="B12" s="21" t="str">
        <f>IFERROR(__xludf.DUMMYFUNCTION("""COMPUTED_VALUE"""),"PP WHITE")</f>
        <v>PP WHITE</v>
      </c>
      <c r="C12" s="21">
        <f>IFERROR(__xludf.DUMMYFUNCTION("""COMPUTED_VALUE"""),50.0)</f>
        <v>50</v>
      </c>
      <c r="D12" s="76">
        <f>IFERROR(__xludf.DUMMYFUNCTION("""COMPUTED_VALUE"""),90.0)</f>
        <v>90</v>
      </c>
      <c r="E12" s="20">
        <f>IFERROR(SUMIFS('Stock In'!F:F,'Stock In'!B:B,$A12,'Stock In'!C:C,$B12,'Stock In'!D:D,$C12,'Stock In'!E:E,$D12),0)</f>
        <v>700</v>
      </c>
      <c r="F12" s="20">
        <f>IFERROR(SUMIFS(Issues!H:H, Issues!F:F, $A12, Issues!C:C, $B12, Issues!D:D, $C12, Issues!E:E, $D12), 0)</f>
        <v>0</v>
      </c>
      <c r="G12" s="20">
        <f>IFERROR(SUMIFS(Returns!H:H, Returns!F:F, $A12, Returns!C:C, $B12, Returns!D:D, $C12, Returns!E:E, $D12), 0)</f>
        <v>0</v>
      </c>
      <c r="H12" s="20">
        <f t="shared" si="1"/>
        <v>700</v>
      </c>
      <c r="I12" s="20">
        <f t="shared" si="2"/>
        <v>63</v>
      </c>
      <c r="J12" s="20">
        <f>IFERROR( SUMIFS('Stock In'!I:I,'Stock In'!B:B,$A12,'Stock In'!C:C,$B12,'Stock In'!D:D,$C12,'Stock In'!E:E,$D12) / SUMIFS('Stock In'!H:H,'Stock In'!B:B,$A12,'Stock In'!C:C,$B12,'Stock In'!D:D,$C12,'Stock In'!E:E,$D12), 0)</f>
        <v>36</v>
      </c>
      <c r="K12" s="20">
        <f t="shared" si="3"/>
        <v>2268</v>
      </c>
    </row>
    <row r="13" ht="22.5" customHeight="1">
      <c r="A13" s="21" t="str">
        <f>IFERROR(__xludf.DUMMYFUNCTION("""COMPUTED_VALUE"""),"Allied")</f>
        <v>Allied</v>
      </c>
      <c r="B13" s="21" t="str">
        <f>IFERROR(__xludf.DUMMYFUNCTION("""COMPUTED_VALUE"""),"PP WHITE")</f>
        <v>PP WHITE</v>
      </c>
      <c r="C13" s="21">
        <f>IFERROR(__xludf.DUMMYFUNCTION("""COMPUTED_VALUE"""),50.0)</f>
        <v>50</v>
      </c>
      <c r="D13" s="76">
        <f>IFERROR(__xludf.DUMMYFUNCTION("""COMPUTED_VALUE"""),110.0)</f>
        <v>110</v>
      </c>
      <c r="E13" s="20">
        <f>IFERROR(SUMIFS('Stock In'!F:F,'Stock In'!B:B,$A13,'Stock In'!C:C,$B13,'Stock In'!D:D,$C13,'Stock In'!E:E,$D13),0)</f>
        <v>88160</v>
      </c>
      <c r="F13" s="20">
        <f>IFERROR(SUMIFS(Issues!H:H, Issues!F:F, $A13, Issues!C:C, $B13, Issues!D:D, $C13, Issues!E:E, $D13), 0)</f>
        <v>8610</v>
      </c>
      <c r="G13" s="20">
        <f>IFERROR(SUMIFS(Returns!H:H, Returns!F:F, $A13, Returns!C:C, $B13, Returns!D:D, $C13, Returns!E:E, $D13), 0)</f>
        <v>1000</v>
      </c>
      <c r="H13" s="20">
        <f t="shared" si="1"/>
        <v>80550</v>
      </c>
      <c r="I13" s="20">
        <f t="shared" si="2"/>
        <v>8860.5</v>
      </c>
      <c r="J13" s="20">
        <f>IFERROR( SUMIFS('Stock In'!I:I,'Stock In'!B:B,$A13,'Stock In'!C:C,$B13,'Stock In'!D:D,$C13,'Stock In'!E:E,$D13) / SUMIFS('Stock In'!H:H,'Stock In'!B:B,$A13,'Stock In'!C:C,$B13,'Stock In'!D:D,$C13,'Stock In'!E:E,$D13), 0)</f>
        <v>35</v>
      </c>
      <c r="K13" s="20">
        <f t="shared" si="3"/>
        <v>310117.5</v>
      </c>
    </row>
    <row r="14" ht="22.5" customHeight="1">
      <c r="A14" s="21" t="str">
        <f>IFERROR(__xludf.DUMMYFUNCTION("""COMPUTED_VALUE"""),"Allied")</f>
        <v>Allied</v>
      </c>
      <c r="B14" s="21" t="str">
        <f>IFERROR(__xludf.DUMMYFUNCTION("""COMPUTED_VALUE"""),"PP WHITE")</f>
        <v>PP WHITE</v>
      </c>
      <c r="C14" s="21">
        <f>IFERROR(__xludf.DUMMYFUNCTION("""COMPUTED_VALUE"""),50.0)</f>
        <v>50</v>
      </c>
      <c r="D14" s="76">
        <f>IFERROR(__xludf.DUMMYFUNCTION("""COMPUTED_VALUE"""),125.0)</f>
        <v>125</v>
      </c>
      <c r="E14" s="20">
        <f>IFERROR(SUMIFS('Stock In'!F:F,'Stock In'!B:B,$A14,'Stock In'!C:C,$B14,'Stock In'!D:D,$C14,'Stock In'!E:E,$D14),0)</f>
        <v>2960</v>
      </c>
      <c r="F14" s="20">
        <f>IFERROR(SUMIFS(Issues!H:H, Issues!F:F, $A14, Issues!C:C, $B14, Issues!D:D, $C14, Issues!E:E, $D14), 0)</f>
        <v>0</v>
      </c>
      <c r="G14" s="20">
        <f>IFERROR(SUMIFS(Returns!H:H, Returns!F:F, $A14, Returns!C:C, $B14, Returns!D:D, $C14, Returns!E:E, $D14), 0)</f>
        <v>0</v>
      </c>
      <c r="H14" s="20">
        <f t="shared" si="1"/>
        <v>2960</v>
      </c>
      <c r="I14" s="20">
        <f t="shared" si="2"/>
        <v>370</v>
      </c>
      <c r="J14" s="20">
        <f>IFERROR( SUMIFS('Stock In'!I:I,'Stock In'!B:B,$A14,'Stock In'!C:C,$B14,'Stock In'!D:D,$C14,'Stock In'!E:E,$D14) / SUMIFS('Stock In'!H:H,'Stock In'!B:B,$A14,'Stock In'!C:C,$B14,'Stock In'!D:D,$C14,'Stock In'!E:E,$D14), 0)</f>
        <v>35</v>
      </c>
      <c r="K14" s="20">
        <f t="shared" si="3"/>
        <v>12950</v>
      </c>
    </row>
    <row r="15" ht="22.5" customHeight="1">
      <c r="A15" s="21" t="str">
        <f>IFERROR(__xludf.DUMMYFUNCTION("""COMPUTED_VALUE"""),"Allied")</f>
        <v>Allied</v>
      </c>
      <c r="B15" s="21" t="str">
        <f>IFERROR(__xludf.DUMMYFUNCTION("""COMPUTED_VALUE"""),"PP WHITE")</f>
        <v>PP WHITE</v>
      </c>
      <c r="C15" s="21">
        <f>IFERROR(__xludf.DUMMYFUNCTION("""COMPUTED_VALUE"""),50.0)</f>
        <v>50</v>
      </c>
      <c r="D15" s="76">
        <f>IFERROR(__xludf.DUMMYFUNCTION("""COMPUTED_VALUE"""),140.0)</f>
        <v>140</v>
      </c>
      <c r="E15" s="20">
        <f>IFERROR(SUMIFS('Stock In'!F:F,'Stock In'!B:B,$A15,'Stock In'!C:C,$B15,'Stock In'!D:D,$C15,'Stock In'!E:E,$D15),0)</f>
        <v>1600</v>
      </c>
      <c r="F15" s="20">
        <f>IFERROR(SUMIFS(Issues!H:H, Issues!F:F, $A15, Issues!C:C, $B15, Issues!D:D, $C15, Issues!E:E, $D15), 0)</f>
        <v>0</v>
      </c>
      <c r="G15" s="20">
        <f>IFERROR(SUMIFS(Returns!H:H, Returns!F:F, $A15, Returns!C:C, $B15, Returns!D:D, $C15, Returns!E:E, $D15), 0)</f>
        <v>0</v>
      </c>
      <c r="H15" s="20">
        <f t="shared" si="1"/>
        <v>1600</v>
      </c>
      <c r="I15" s="20">
        <f t="shared" si="2"/>
        <v>224</v>
      </c>
      <c r="J15" s="20">
        <f>IFERROR( SUMIFS('Stock In'!I:I,'Stock In'!B:B,$A15,'Stock In'!C:C,$B15,'Stock In'!D:D,$C15,'Stock In'!E:E,$D15) / SUMIFS('Stock In'!H:H,'Stock In'!B:B,$A15,'Stock In'!C:C,$B15,'Stock In'!D:D,$C15,'Stock In'!E:E,$D15), 0)</f>
        <v>35</v>
      </c>
      <c r="K15" s="20">
        <f t="shared" si="3"/>
        <v>7840</v>
      </c>
    </row>
    <row r="16" ht="22.5" customHeight="1">
      <c r="A16" s="21" t="str">
        <f>IFERROR(__xludf.DUMMYFUNCTION("""COMPUTED_VALUE"""),"Allied")</f>
        <v>Allied</v>
      </c>
      <c r="B16" s="21" t="str">
        <f>IFERROR(__xludf.DUMMYFUNCTION("""COMPUTED_VALUE"""),"PP WHITE")</f>
        <v>PP WHITE</v>
      </c>
      <c r="C16" s="21">
        <f>IFERROR(__xludf.DUMMYFUNCTION("""COMPUTED_VALUE"""),50.0)</f>
        <v>50</v>
      </c>
      <c r="D16" s="76">
        <f>IFERROR(__xludf.DUMMYFUNCTION("""COMPUTED_VALUE"""),167.0)</f>
        <v>167</v>
      </c>
      <c r="E16" s="20">
        <f>IFERROR(SUMIFS('Stock In'!F:F,'Stock In'!B:B,$A16,'Stock In'!C:C,$B16,'Stock In'!D:D,$C16,'Stock In'!E:E,$D16),0)</f>
        <v>2000</v>
      </c>
      <c r="F16" s="20">
        <f>IFERROR(SUMIFS(Issues!H:H, Issues!F:F, $A16, Issues!C:C, $B16, Issues!D:D, $C16, Issues!E:E, $D16), 0)</f>
        <v>2000</v>
      </c>
      <c r="G16" s="20">
        <f>IFERROR(SUMIFS(Returns!H:H, Returns!F:F, $A16, Returns!C:C, $B16, Returns!D:D, $C16, Returns!E:E, $D16), 0)</f>
        <v>0</v>
      </c>
      <c r="H16" s="20">
        <f t="shared" si="1"/>
        <v>0</v>
      </c>
      <c r="I16" s="20">
        <f t="shared" si="2"/>
        <v>0</v>
      </c>
      <c r="J16" s="20">
        <f>IFERROR( SUMIFS('Stock In'!I:I,'Stock In'!B:B,$A16,'Stock In'!C:C,$B16,'Stock In'!D:D,$C16,'Stock In'!E:E,$D16) / SUMIFS('Stock In'!H:H,'Stock In'!B:B,$A16,'Stock In'!C:C,$B16,'Stock In'!D:D,$C16,'Stock In'!E:E,$D16), 0)</f>
        <v>35</v>
      </c>
      <c r="K16" s="20">
        <f t="shared" si="3"/>
        <v>0</v>
      </c>
    </row>
    <row r="17" ht="22.5" customHeight="1">
      <c r="A17" s="21" t="str">
        <f>IFERROR(__xludf.DUMMYFUNCTION("""COMPUTED_VALUE"""),"Allied")</f>
        <v>Allied</v>
      </c>
      <c r="B17" s="21" t="str">
        <f>IFERROR(__xludf.DUMMYFUNCTION("""COMPUTED_VALUE"""),"PP WHITE")</f>
        <v>PP WHITE</v>
      </c>
      <c r="C17" s="21">
        <f>IFERROR(__xludf.DUMMYFUNCTION("""COMPUTED_VALUE"""),50.0)</f>
        <v>50</v>
      </c>
      <c r="D17" s="76">
        <f>IFERROR(__xludf.DUMMYFUNCTION("""COMPUTED_VALUE"""),180.0)</f>
        <v>180</v>
      </c>
      <c r="E17" s="20">
        <f>IFERROR(SUMIFS('Stock In'!F:F,'Stock In'!B:B,$A17,'Stock In'!C:C,$B17,'Stock In'!D:D,$C17,'Stock In'!E:E,$D17),0)</f>
        <v>1870</v>
      </c>
      <c r="F17" s="20">
        <f>IFERROR(SUMIFS(Issues!H:H, Issues!F:F, $A17, Issues!C:C, $B17, Issues!D:D, $C17, Issues!E:E, $D17), 0)</f>
        <v>0</v>
      </c>
      <c r="G17" s="20">
        <f>IFERROR(SUMIFS(Returns!H:H, Returns!F:F, $A17, Returns!C:C, $B17, Returns!D:D, $C17, Returns!E:E, $D17), 0)</f>
        <v>0</v>
      </c>
      <c r="H17" s="20">
        <f t="shared" si="1"/>
        <v>1870</v>
      </c>
      <c r="I17" s="20">
        <f t="shared" si="2"/>
        <v>336.6</v>
      </c>
      <c r="J17" s="20">
        <f>IFERROR( SUMIFS('Stock In'!I:I,'Stock In'!B:B,$A17,'Stock In'!C:C,$B17,'Stock In'!D:D,$C17,'Stock In'!E:E,$D17) / SUMIFS('Stock In'!H:H,'Stock In'!B:B,$A17,'Stock In'!C:C,$B17,'Stock In'!D:D,$C17,'Stock In'!E:E,$D17), 0)</f>
        <v>35</v>
      </c>
      <c r="K17" s="20">
        <f t="shared" si="3"/>
        <v>11781</v>
      </c>
    </row>
    <row r="18" ht="22.5" customHeight="1">
      <c r="A18" s="21" t="str">
        <f>IFERROR(__xludf.DUMMYFUNCTION("""COMPUTED_VALUE"""),"Allied")</f>
        <v>Allied</v>
      </c>
      <c r="B18" s="21" t="str">
        <f>IFERROR(__xludf.DUMMYFUNCTION("""COMPUTED_VALUE"""),"PP WHITE")</f>
        <v>PP WHITE</v>
      </c>
      <c r="C18" s="21">
        <f>IFERROR(__xludf.DUMMYFUNCTION("""COMPUTED_VALUE"""),50.0)</f>
        <v>50</v>
      </c>
      <c r="D18" s="76">
        <f>IFERROR(__xludf.DUMMYFUNCTION("""COMPUTED_VALUE"""),185.0)</f>
        <v>185</v>
      </c>
      <c r="E18" s="20">
        <f>IFERROR(SUMIFS('Stock In'!F:F,'Stock In'!B:B,$A18,'Stock In'!C:C,$B18,'Stock In'!D:D,$C18,'Stock In'!E:E,$D18),0)</f>
        <v>1800</v>
      </c>
      <c r="F18" s="20">
        <f>IFERROR(SUMIFS(Issues!H:H, Issues!F:F, $A18, Issues!C:C, $B18, Issues!D:D, $C18, Issues!E:E, $D18), 0)</f>
        <v>2520</v>
      </c>
      <c r="G18" s="20">
        <f>IFERROR(SUMIFS(Returns!H:H, Returns!F:F, $A18, Returns!C:C, $B18, Returns!D:D, $C18, Returns!E:E, $D18), 0)</f>
        <v>610</v>
      </c>
      <c r="H18" s="20">
        <f t="shared" si="1"/>
        <v>-110</v>
      </c>
      <c r="I18" s="20">
        <f t="shared" si="2"/>
        <v>-20.35</v>
      </c>
      <c r="J18" s="20">
        <f>IFERROR( SUMIFS('Stock In'!I:I,'Stock In'!B:B,$A18,'Stock In'!C:C,$B18,'Stock In'!D:D,$C18,'Stock In'!E:E,$D18) / SUMIFS('Stock In'!H:H,'Stock In'!B:B,$A18,'Stock In'!C:C,$B18,'Stock In'!D:D,$C18,'Stock In'!E:E,$D18), 0)</f>
        <v>35</v>
      </c>
      <c r="K18" s="20">
        <f t="shared" si="3"/>
        <v>-712.25</v>
      </c>
    </row>
    <row r="19" ht="22.5" customHeight="1">
      <c r="A19" s="21" t="str">
        <f>IFERROR(__xludf.DUMMYFUNCTION("""COMPUTED_VALUE"""),"Allied")</f>
        <v>Allied</v>
      </c>
      <c r="B19" s="21" t="str">
        <f>IFERROR(__xludf.DUMMYFUNCTION("""COMPUTED_VALUE"""),"PP WHITE")</f>
        <v>PP WHITE</v>
      </c>
      <c r="C19" s="21">
        <f>IFERROR(__xludf.DUMMYFUNCTION("""COMPUTED_VALUE"""),50.0)</f>
        <v>50</v>
      </c>
      <c r="D19" s="76">
        <f>IFERROR(__xludf.DUMMYFUNCTION("""COMPUTED_VALUE"""),200.0)</f>
        <v>200</v>
      </c>
      <c r="E19" s="20">
        <f>IFERROR(SUMIFS('Stock In'!F:F,'Stock In'!B:B,$A19,'Stock In'!C:C,$B19,'Stock In'!D:D,$C19,'Stock In'!E:E,$D19),0)</f>
        <v>1980</v>
      </c>
      <c r="F19" s="20">
        <f>IFERROR(SUMIFS(Issues!H:H, Issues!F:F, $A19, Issues!C:C, $B19, Issues!D:D, $C19, Issues!E:E, $D19), 0)</f>
        <v>1800</v>
      </c>
      <c r="G19" s="20">
        <f>IFERROR(SUMIFS(Returns!H:H, Returns!F:F, $A19, Returns!C:C, $B19, Returns!D:D, $C19, Returns!E:E, $D19), 0)</f>
        <v>0</v>
      </c>
      <c r="H19" s="20">
        <f t="shared" si="1"/>
        <v>180</v>
      </c>
      <c r="I19" s="20">
        <f t="shared" si="2"/>
        <v>36</v>
      </c>
      <c r="J19" s="20">
        <f>IFERROR( SUMIFS('Stock In'!I:I,'Stock In'!B:B,$A19,'Stock In'!C:C,$B19,'Stock In'!D:D,$C19,'Stock In'!E:E,$D19) / SUMIFS('Stock In'!H:H,'Stock In'!B:B,$A19,'Stock In'!C:C,$B19,'Stock In'!D:D,$C19,'Stock In'!E:E,$D19), 0)</f>
        <v>35</v>
      </c>
      <c r="K19" s="20">
        <f t="shared" si="3"/>
        <v>1260</v>
      </c>
    </row>
    <row r="20" ht="22.5" customHeight="1">
      <c r="A20" s="21" t="str">
        <f>IFERROR(__xludf.DUMMYFUNCTION("""COMPUTED_VALUE"""),"Allied")</f>
        <v>Allied</v>
      </c>
      <c r="B20" s="21" t="str">
        <f>IFERROR(__xludf.DUMMYFUNCTION("""COMPUTED_VALUE"""),"PP WHITE")</f>
        <v>PP WHITE</v>
      </c>
      <c r="C20" s="21">
        <f>IFERROR(__xludf.DUMMYFUNCTION("""COMPUTED_VALUE"""),50.0)</f>
        <v>50</v>
      </c>
      <c r="D20" s="76">
        <f>IFERROR(__xludf.DUMMYFUNCTION("""COMPUTED_VALUE"""),215.0)</f>
        <v>215</v>
      </c>
      <c r="E20" s="20">
        <f>IFERROR(SUMIFS('Stock In'!F:F,'Stock In'!B:B,$A20,'Stock In'!C:C,$B20,'Stock In'!D:D,$C20,'Stock In'!E:E,$D20),0)</f>
        <v>1090</v>
      </c>
      <c r="F20" s="20">
        <f>IFERROR(SUMIFS(Issues!H:H, Issues!F:F, $A20, Issues!C:C, $B20, Issues!D:D, $C20, Issues!E:E, $D20), 0)</f>
        <v>0</v>
      </c>
      <c r="G20" s="20">
        <f>IFERROR(SUMIFS(Returns!H:H, Returns!F:F, $A20, Returns!C:C, $B20, Returns!D:D, $C20, Returns!E:E, $D20), 0)</f>
        <v>0</v>
      </c>
      <c r="H20" s="20">
        <f t="shared" si="1"/>
        <v>1090</v>
      </c>
      <c r="I20" s="20">
        <f t="shared" si="2"/>
        <v>234.35</v>
      </c>
      <c r="J20" s="20">
        <f>IFERROR( SUMIFS('Stock In'!I:I,'Stock In'!B:B,$A20,'Stock In'!C:C,$B20,'Stock In'!D:D,$C20,'Stock In'!E:E,$D20) / SUMIFS('Stock In'!H:H,'Stock In'!B:B,$A20,'Stock In'!C:C,$B20,'Stock In'!D:D,$C20,'Stock In'!E:E,$D20), 0)</f>
        <v>35</v>
      </c>
      <c r="K20" s="20">
        <f t="shared" si="3"/>
        <v>8202.25</v>
      </c>
    </row>
    <row r="21" ht="22.5" customHeight="1">
      <c r="A21" s="21" t="str">
        <f>IFERROR(__xludf.DUMMYFUNCTION("""COMPUTED_VALUE"""),"Allied")</f>
        <v>Allied</v>
      </c>
      <c r="B21" s="21" t="str">
        <f>IFERROR(__xludf.DUMMYFUNCTION("""COMPUTED_VALUE"""),"PP WHITE")</f>
        <v>PP WHITE</v>
      </c>
      <c r="C21" s="21">
        <f>IFERROR(__xludf.DUMMYFUNCTION("""COMPUTED_VALUE"""),50.0)</f>
        <v>50</v>
      </c>
      <c r="D21" s="76">
        <f>IFERROR(__xludf.DUMMYFUNCTION("""COMPUTED_VALUE"""),230.0)</f>
        <v>230</v>
      </c>
      <c r="E21" s="20">
        <f>IFERROR(SUMIFS('Stock In'!F:F,'Stock In'!B:B,$A21,'Stock In'!C:C,$B21,'Stock In'!D:D,$C21,'Stock In'!E:E,$D21),0)</f>
        <v>2200</v>
      </c>
      <c r="F21" s="20">
        <f>IFERROR(SUMIFS(Issues!H:H, Issues!F:F, $A21, Issues!C:C, $B21, Issues!D:D, $C21, Issues!E:E, $D21), 0)</f>
        <v>0</v>
      </c>
      <c r="G21" s="20">
        <f>IFERROR(SUMIFS(Returns!H:H, Returns!F:F, $A21, Returns!C:C, $B21, Returns!D:D, $C21, Returns!E:E, $D21), 0)</f>
        <v>0</v>
      </c>
      <c r="H21" s="20">
        <f t="shared" si="1"/>
        <v>2200</v>
      </c>
      <c r="I21" s="20">
        <f t="shared" si="2"/>
        <v>506</v>
      </c>
      <c r="J21" s="20">
        <f>IFERROR( SUMIFS('Stock In'!I:I,'Stock In'!B:B,$A21,'Stock In'!C:C,$B21,'Stock In'!D:D,$C21,'Stock In'!E:E,$D21) / SUMIFS('Stock In'!H:H,'Stock In'!B:B,$A21,'Stock In'!C:C,$B21,'Stock In'!D:D,$C21,'Stock In'!E:E,$D21), 0)</f>
        <v>35</v>
      </c>
      <c r="K21" s="20">
        <f t="shared" si="3"/>
        <v>17710</v>
      </c>
    </row>
    <row r="22" ht="22.5" customHeight="1">
      <c r="A22" s="21" t="str">
        <f>IFERROR(__xludf.DUMMYFUNCTION("""COMPUTED_VALUE"""),"Allied")</f>
        <v>Allied</v>
      </c>
      <c r="B22" s="21" t="str">
        <f>IFERROR(__xludf.DUMMYFUNCTION("""COMPUTED_VALUE"""),"PP WHITE")</f>
        <v>PP WHITE</v>
      </c>
      <c r="C22" s="21">
        <f>IFERROR(__xludf.DUMMYFUNCTION("""COMPUTED_VALUE"""),50.0)</f>
        <v>50</v>
      </c>
      <c r="D22" s="76">
        <f>IFERROR(__xludf.DUMMYFUNCTION("""COMPUTED_VALUE"""),255.0)</f>
        <v>255</v>
      </c>
      <c r="E22" s="20">
        <f>IFERROR(SUMIFS('Stock In'!F:F,'Stock In'!B:B,$A22,'Stock In'!C:C,$B22,'Stock In'!D:D,$C22,'Stock In'!E:E,$D22),0)</f>
        <v>1000</v>
      </c>
      <c r="F22" s="20">
        <f>IFERROR(SUMIFS(Issues!H:H, Issues!F:F, $A22, Issues!C:C, $B22, Issues!D:D, $C22, Issues!E:E, $D22), 0)</f>
        <v>0</v>
      </c>
      <c r="G22" s="20">
        <f>IFERROR(SUMIFS(Returns!H:H, Returns!F:F, $A22, Returns!C:C, $B22, Returns!D:D, $C22, Returns!E:E, $D22), 0)</f>
        <v>0</v>
      </c>
      <c r="H22" s="20">
        <f t="shared" si="1"/>
        <v>1000</v>
      </c>
      <c r="I22" s="20">
        <f t="shared" si="2"/>
        <v>255</v>
      </c>
      <c r="J22" s="20">
        <f>IFERROR( SUMIFS('Stock In'!I:I,'Stock In'!B:B,$A22,'Stock In'!C:C,$B22,'Stock In'!D:D,$C22,'Stock In'!E:E,$D22) / SUMIFS('Stock In'!H:H,'Stock In'!B:B,$A22,'Stock In'!C:C,$B22,'Stock In'!D:D,$C22,'Stock In'!E:E,$D22), 0)</f>
        <v>35</v>
      </c>
      <c r="K22" s="20">
        <f t="shared" si="3"/>
        <v>8925</v>
      </c>
    </row>
    <row r="23" ht="22.5" customHeight="1">
      <c r="A23" s="21" t="str">
        <f>IFERROR(__xludf.DUMMYFUNCTION("""COMPUTED_VALUE"""),"Allied")</f>
        <v>Allied</v>
      </c>
      <c r="B23" s="21" t="str">
        <f>IFERROR(__xludf.DUMMYFUNCTION("""COMPUTED_VALUE"""),"PP WHITE MATT")</f>
        <v>PP WHITE MATT</v>
      </c>
      <c r="C23" s="21">
        <f>IFERROR(__xludf.DUMMYFUNCTION("""COMPUTED_VALUE"""),50.0)</f>
        <v>50</v>
      </c>
      <c r="D23" s="76">
        <f>IFERROR(__xludf.DUMMYFUNCTION("""COMPUTED_VALUE"""),160.0)</f>
        <v>160</v>
      </c>
      <c r="E23" s="20">
        <f>IFERROR(SUMIFS('Stock In'!F:F,'Stock In'!B:B,$A23,'Stock In'!C:C,$B23,'Stock In'!D:D,$C23,'Stock In'!E:E,$D23),0)</f>
        <v>5460</v>
      </c>
      <c r="F23" s="20">
        <f>IFERROR(SUMIFS(Issues!H:H, Issues!F:F, $A23, Issues!C:C, $B23, Issues!D:D, $C23, Issues!E:E, $D23), 0)</f>
        <v>0</v>
      </c>
      <c r="G23" s="20">
        <f>IFERROR(SUMIFS(Returns!H:H, Returns!F:F, $A23, Returns!C:C, $B23, Returns!D:D, $C23, Returns!E:E, $D23), 0)</f>
        <v>0</v>
      </c>
      <c r="H23" s="20">
        <f t="shared" si="1"/>
        <v>5460</v>
      </c>
      <c r="I23" s="20">
        <f t="shared" si="2"/>
        <v>873.6</v>
      </c>
      <c r="J23" s="20">
        <f>IFERROR( SUMIFS('Stock In'!I:I,'Stock In'!B:B,$A23,'Stock In'!C:C,$B23,'Stock In'!D:D,$C23,'Stock In'!E:E,$D23) / SUMIFS('Stock In'!H:H,'Stock In'!B:B,$A23,'Stock In'!C:C,$B23,'Stock In'!D:D,$C23,'Stock In'!E:E,$D23), 0)</f>
        <v>42</v>
      </c>
      <c r="K23" s="20">
        <f t="shared" si="3"/>
        <v>36691.2</v>
      </c>
    </row>
    <row r="24" ht="22.5" customHeight="1">
      <c r="A24" s="21" t="str">
        <f>IFERROR(__xludf.DUMMYFUNCTION("""COMPUTED_VALUE"""),"Allied")</f>
        <v>Allied</v>
      </c>
      <c r="B24" s="21" t="str">
        <f>IFERROR(__xludf.DUMMYFUNCTION("""COMPUTED_VALUE"""),"SILVER PAPER")</f>
        <v>SILVER PAPER</v>
      </c>
      <c r="C24" s="21">
        <f>IFERROR(__xludf.DUMMYFUNCTION("""COMPUTED_VALUE"""),80.0)</f>
        <v>80</v>
      </c>
      <c r="D24" s="76">
        <f>IFERROR(__xludf.DUMMYFUNCTION("""COMPUTED_VALUE"""),135.0)</f>
        <v>135</v>
      </c>
      <c r="E24" s="20">
        <f>IFERROR(SUMIFS('Stock In'!F:F,'Stock In'!B:B,$A24,'Stock In'!C:C,$B24,'Stock In'!D:D,$C24,'Stock In'!E:E,$D24),0)</f>
        <v>2020</v>
      </c>
      <c r="F24" s="20">
        <f>IFERROR(SUMIFS(Issues!H:H, Issues!F:F, $A24, Issues!C:C, $B24, Issues!D:D, $C24, Issues!E:E, $D24), 0)</f>
        <v>2500</v>
      </c>
      <c r="G24" s="20">
        <f>IFERROR(SUMIFS(Returns!H:H, Returns!F:F, $A24, Returns!C:C, $B24, Returns!D:D, $C24, Returns!E:E, $D24), 0)</f>
        <v>860</v>
      </c>
      <c r="H24" s="20">
        <f t="shared" si="1"/>
        <v>380</v>
      </c>
      <c r="I24" s="20">
        <f t="shared" si="2"/>
        <v>51.3</v>
      </c>
      <c r="J24" s="20">
        <f>IFERROR( SUMIFS('Stock In'!I:I,'Stock In'!B:B,$A24,'Stock In'!C:C,$B24,'Stock In'!D:D,$C24,'Stock In'!E:E,$D24) / SUMIFS('Stock In'!H:H,'Stock In'!B:B,$A24,'Stock In'!C:C,$B24,'Stock In'!D:D,$C24,'Stock In'!E:E,$D24), 0)</f>
        <v>39</v>
      </c>
      <c r="K24" s="20">
        <f t="shared" si="3"/>
        <v>2000.7</v>
      </c>
    </row>
    <row r="25" ht="22.5" customHeight="1">
      <c r="A25" s="21" t="str">
        <f>IFERROR(__xludf.DUMMYFUNCTION("""COMPUTED_VALUE"""),"Allied")</f>
        <v>Allied</v>
      </c>
      <c r="B25" s="21" t="str">
        <f>IFERROR(__xludf.DUMMYFUNCTION("""COMPUTED_VALUE"""),"SILVER PAPER")</f>
        <v>SILVER PAPER</v>
      </c>
      <c r="C25" s="21">
        <f>IFERROR(__xludf.DUMMYFUNCTION("""COMPUTED_VALUE"""),80.0)</f>
        <v>80</v>
      </c>
      <c r="D25" s="76">
        <f>IFERROR(__xludf.DUMMYFUNCTION("""COMPUTED_VALUE"""),142.0)</f>
        <v>142</v>
      </c>
      <c r="E25" s="20">
        <f>IFERROR(SUMIFS('Stock In'!F:F,'Stock In'!B:B,$A25,'Stock In'!C:C,$B25,'Stock In'!D:D,$C25,'Stock In'!E:E,$D25),0)</f>
        <v>1050</v>
      </c>
      <c r="F25" s="20">
        <f>IFERROR(SUMIFS(Issues!H:H, Issues!F:F, $A25, Issues!C:C, $B25, Issues!D:D, $C25, Issues!E:E, $D25), 0)</f>
        <v>700</v>
      </c>
      <c r="G25" s="20">
        <f>IFERROR(SUMIFS(Returns!H:H, Returns!F:F, $A25, Returns!C:C, $B25, Returns!D:D, $C25, Returns!E:E, $D25), 0)</f>
        <v>0</v>
      </c>
      <c r="H25" s="20">
        <f t="shared" si="1"/>
        <v>350</v>
      </c>
      <c r="I25" s="20">
        <f t="shared" si="2"/>
        <v>49.7</v>
      </c>
      <c r="J25" s="20">
        <f>IFERROR( SUMIFS('Stock In'!I:I,'Stock In'!B:B,$A25,'Stock In'!C:C,$B25,'Stock In'!D:D,$C25,'Stock In'!E:E,$D25) / SUMIFS('Stock In'!H:H,'Stock In'!B:B,$A25,'Stock In'!C:C,$B25,'Stock In'!D:D,$C25,'Stock In'!E:E,$D25), 0)</f>
        <v>25</v>
      </c>
      <c r="K25" s="20">
        <f t="shared" si="3"/>
        <v>1242.5</v>
      </c>
    </row>
    <row r="26" ht="22.5" customHeight="1">
      <c r="A26" s="21" t="str">
        <f>IFERROR(__xludf.DUMMYFUNCTION("""COMPUTED_VALUE"""),"Allied")</f>
        <v>Allied</v>
      </c>
      <c r="B26" s="21" t="str">
        <f>IFERROR(__xludf.DUMMYFUNCTION("""COMPUTED_VALUE"""),"SILVER PAPER")</f>
        <v>SILVER PAPER</v>
      </c>
      <c r="C26" s="21">
        <f>IFERROR(__xludf.DUMMYFUNCTION("""COMPUTED_VALUE"""),80.0)</f>
        <v>80</v>
      </c>
      <c r="D26" s="76">
        <f>IFERROR(__xludf.DUMMYFUNCTION("""COMPUTED_VALUE"""),143.0)</f>
        <v>143</v>
      </c>
      <c r="E26" s="20">
        <f>IFERROR(SUMIFS('Stock In'!F:F,'Stock In'!B:B,$A26,'Stock In'!C:C,$B26,'Stock In'!D:D,$C26,'Stock In'!E:E,$D26),0)</f>
        <v>2320</v>
      </c>
      <c r="F26" s="20">
        <f>IFERROR(SUMIFS(Issues!H:H, Issues!F:F, $A26, Issues!C:C, $B26, Issues!D:D, $C26, Issues!E:E, $D26), 0)</f>
        <v>3370</v>
      </c>
      <c r="G26" s="20">
        <f>IFERROR(SUMIFS(Returns!H:H, Returns!F:F, $A26, Returns!C:C, $B26, Returns!D:D, $C26, Returns!E:E, $D26), 0)</f>
        <v>620</v>
      </c>
      <c r="H26" s="20">
        <f t="shared" si="1"/>
        <v>-430</v>
      </c>
      <c r="I26" s="20">
        <f t="shared" si="2"/>
        <v>-61.49</v>
      </c>
      <c r="J26" s="20">
        <f>IFERROR( SUMIFS('Stock In'!I:I,'Stock In'!B:B,$A26,'Stock In'!C:C,$B26,'Stock In'!D:D,$C26,'Stock In'!E:E,$D26) / SUMIFS('Stock In'!H:H,'Stock In'!B:B,$A26,'Stock In'!C:C,$B26,'Stock In'!D:D,$C26,'Stock In'!E:E,$D26), 0)</f>
        <v>25</v>
      </c>
      <c r="K26" s="20">
        <f t="shared" si="3"/>
        <v>-1537.25</v>
      </c>
    </row>
    <row r="27" ht="22.5" customHeight="1">
      <c r="A27" s="21" t="str">
        <f>IFERROR(__xludf.DUMMYFUNCTION("""COMPUTED_VALUE"""),"Allied")</f>
        <v>Allied</v>
      </c>
      <c r="B27" s="21" t="str">
        <f>IFERROR(__xludf.DUMMYFUNCTION("""COMPUTED_VALUE"""),"SILVER PAPER")</f>
        <v>SILVER PAPER</v>
      </c>
      <c r="C27" s="21">
        <f>IFERROR(__xludf.DUMMYFUNCTION("""COMPUTED_VALUE"""),80.0)</f>
        <v>80</v>
      </c>
      <c r="D27" s="76">
        <f>IFERROR(__xludf.DUMMYFUNCTION("""COMPUTED_VALUE"""),145.0)</f>
        <v>145</v>
      </c>
      <c r="E27" s="20">
        <f>IFERROR(SUMIFS('Stock In'!F:F,'Stock In'!B:B,$A27,'Stock In'!C:C,$B27,'Stock In'!D:D,$C27,'Stock In'!E:E,$D27),0)</f>
        <v>2000</v>
      </c>
      <c r="F27" s="20">
        <f>IFERROR(SUMIFS(Issues!H:H, Issues!F:F, $A27, Issues!C:C, $B27, Issues!D:D, $C27, Issues!E:E, $D27), 0)</f>
        <v>2000</v>
      </c>
      <c r="G27" s="20">
        <f>IFERROR(SUMIFS(Returns!H:H, Returns!F:F, $A27, Returns!C:C, $B27, Returns!D:D, $C27, Returns!E:E, $D27), 0)</f>
        <v>150</v>
      </c>
      <c r="H27" s="20">
        <f t="shared" si="1"/>
        <v>150</v>
      </c>
      <c r="I27" s="20">
        <f t="shared" si="2"/>
        <v>21.75</v>
      </c>
      <c r="J27" s="20">
        <f>IFERROR( SUMIFS('Stock In'!I:I,'Stock In'!B:B,$A27,'Stock In'!C:C,$B27,'Stock In'!D:D,$C27,'Stock In'!E:E,$D27) / SUMIFS('Stock In'!H:H,'Stock In'!B:B,$A27,'Stock In'!C:C,$B27,'Stock In'!D:D,$C27,'Stock In'!E:E,$D27), 0)</f>
        <v>39</v>
      </c>
      <c r="K27" s="20">
        <f t="shared" si="3"/>
        <v>848.25</v>
      </c>
    </row>
    <row r="28" ht="22.5" customHeight="1">
      <c r="A28" s="21" t="str">
        <f>IFERROR(__xludf.DUMMYFUNCTION("""COMPUTED_VALUE"""),"Allied")</f>
        <v>Allied</v>
      </c>
      <c r="B28" s="21" t="str">
        <f>IFERROR(__xludf.DUMMYFUNCTION("""COMPUTED_VALUE"""),"SILVER PAPER")</f>
        <v>SILVER PAPER</v>
      </c>
      <c r="C28" s="21">
        <f>IFERROR(__xludf.DUMMYFUNCTION("""COMPUTED_VALUE"""),80.0)</f>
        <v>80</v>
      </c>
      <c r="D28" s="76">
        <f>IFERROR(__xludf.DUMMYFUNCTION("""COMPUTED_VALUE"""),160.0)</f>
        <v>160</v>
      </c>
      <c r="E28" s="20">
        <f>IFERROR(SUMIFS('Stock In'!F:F,'Stock In'!B:B,$A28,'Stock In'!C:C,$B28,'Stock In'!D:D,$C28,'Stock In'!E:E,$D28),0)</f>
        <v>1970</v>
      </c>
      <c r="F28" s="20">
        <f>IFERROR(SUMIFS(Issues!H:H, Issues!F:F, $A28, Issues!C:C, $B28, Issues!D:D, $C28, Issues!E:E, $D28), 0)</f>
        <v>3020</v>
      </c>
      <c r="G28" s="20">
        <f>IFERROR(SUMIFS(Returns!H:H, Returns!F:F, $A28, Returns!C:C, $B28, Returns!D:D, $C28, Returns!E:E, $D28), 0)</f>
        <v>550</v>
      </c>
      <c r="H28" s="20">
        <f t="shared" si="1"/>
        <v>-500</v>
      </c>
      <c r="I28" s="20">
        <f t="shared" si="2"/>
        <v>-80</v>
      </c>
      <c r="J28" s="20">
        <f>IFERROR( SUMIFS('Stock In'!I:I,'Stock In'!B:B,$A28,'Stock In'!C:C,$B28,'Stock In'!D:D,$C28,'Stock In'!E:E,$D28) / SUMIFS('Stock In'!H:H,'Stock In'!B:B,$A28,'Stock In'!C:C,$B28,'Stock In'!D:D,$C28,'Stock In'!E:E,$D28), 0)</f>
        <v>39</v>
      </c>
      <c r="K28" s="20">
        <f t="shared" si="3"/>
        <v>-3120</v>
      </c>
    </row>
    <row r="29" ht="22.5" customHeight="1">
      <c r="A29" s="21" t="str">
        <f>IFERROR(__xludf.DUMMYFUNCTION("""COMPUTED_VALUE"""),"Allied")</f>
        <v>Allied</v>
      </c>
      <c r="B29" s="21" t="str">
        <f>IFERROR(__xludf.DUMMYFUNCTION("""COMPUTED_VALUE"""),"SILVER PAPER")</f>
        <v>SILVER PAPER</v>
      </c>
      <c r="C29" s="21">
        <f>IFERROR(__xludf.DUMMYFUNCTION("""COMPUTED_VALUE"""),80.0)</f>
        <v>80</v>
      </c>
      <c r="D29" s="76">
        <f>IFERROR(__xludf.DUMMYFUNCTION("""COMPUTED_VALUE"""),185.0)</f>
        <v>185</v>
      </c>
      <c r="E29" s="20">
        <f>IFERROR(SUMIFS('Stock In'!F:F,'Stock In'!B:B,$A29,'Stock In'!C:C,$B29,'Stock In'!D:D,$C29,'Stock In'!E:E,$D29),0)</f>
        <v>5540</v>
      </c>
      <c r="F29" s="20">
        <f>IFERROR(SUMIFS(Issues!H:H, Issues!F:F, $A29, Issues!C:C, $B29, Issues!D:D, $C29, Issues!E:E, $D29), 0)</f>
        <v>0</v>
      </c>
      <c r="G29" s="20">
        <f>IFERROR(SUMIFS(Returns!H:H, Returns!F:F, $A29, Returns!C:C, $B29, Returns!D:D, $C29, Returns!E:E, $D29), 0)</f>
        <v>0</v>
      </c>
      <c r="H29" s="20">
        <f t="shared" si="1"/>
        <v>5540</v>
      </c>
      <c r="I29" s="20">
        <f t="shared" si="2"/>
        <v>1024.9</v>
      </c>
      <c r="J29" s="20">
        <f>IFERROR( SUMIFS('Stock In'!I:I,'Stock In'!B:B,$A29,'Stock In'!C:C,$B29,'Stock In'!D:D,$C29,'Stock In'!E:E,$D29) / SUMIFS('Stock In'!H:H,'Stock In'!B:B,$A29,'Stock In'!C:C,$B29,'Stock In'!D:D,$C29,'Stock In'!E:E,$D29), 0)</f>
        <v>28</v>
      </c>
      <c r="K29" s="20">
        <f t="shared" si="3"/>
        <v>28697.2</v>
      </c>
    </row>
    <row r="30" ht="22.5" customHeight="1">
      <c r="A30" s="21" t="str">
        <f>IFERROR(__xludf.DUMMYFUNCTION("""COMPUTED_VALUE"""),"Allied")</f>
        <v>Allied</v>
      </c>
      <c r="B30" s="21" t="str">
        <f>IFERROR(__xludf.DUMMYFUNCTION("""COMPUTED_VALUE"""),"SILVER PAPER")</f>
        <v>SILVER PAPER</v>
      </c>
      <c r="C30" s="21">
        <f>IFERROR(__xludf.DUMMYFUNCTION("""COMPUTED_VALUE"""),80.0)</f>
        <v>80</v>
      </c>
      <c r="D30" s="76">
        <f>IFERROR(__xludf.DUMMYFUNCTION("""COMPUTED_VALUE"""),230.0)</f>
        <v>230</v>
      </c>
      <c r="E30" s="20">
        <f>IFERROR(SUMIFS('Stock In'!F:F,'Stock In'!B:B,$A30,'Stock In'!C:C,$B30,'Stock In'!D:D,$C30,'Stock In'!E:E,$D30),0)</f>
        <v>1000</v>
      </c>
      <c r="F30" s="20">
        <f>IFERROR(SUMIFS(Issues!H:H, Issues!F:F, $A30, Issues!C:C, $B30, Issues!D:D, $C30, Issues!E:E, $D30), 0)</f>
        <v>1000</v>
      </c>
      <c r="G30" s="20">
        <f>IFERROR(SUMIFS(Returns!H:H, Returns!F:F, $A30, Returns!C:C, $B30, Returns!D:D, $C30, Returns!E:E, $D30), 0)</f>
        <v>0</v>
      </c>
      <c r="H30" s="20">
        <f t="shared" si="1"/>
        <v>0</v>
      </c>
      <c r="I30" s="20">
        <f t="shared" si="2"/>
        <v>0</v>
      </c>
      <c r="J30" s="20">
        <f>IFERROR( SUMIFS('Stock In'!I:I,'Stock In'!B:B,$A30,'Stock In'!C:C,$B30,'Stock In'!D:D,$C30,'Stock In'!E:E,$D30) / SUMIFS('Stock In'!H:H,'Stock In'!B:B,$A30,'Stock In'!C:C,$B30,'Stock In'!D:D,$C30,'Stock In'!E:E,$D30), 0)</f>
        <v>39</v>
      </c>
      <c r="K30" s="20">
        <f t="shared" si="3"/>
        <v>0</v>
      </c>
    </row>
    <row r="31" ht="22.5" customHeight="1">
      <c r="A31" s="21" t="str">
        <f>IFERROR(__xludf.DUMMYFUNCTION("""COMPUTED_VALUE"""),"Allied")</f>
        <v>Allied</v>
      </c>
      <c r="B31" s="21" t="str">
        <f>IFERROR(__xludf.DUMMYFUNCTION("""COMPUTED_VALUE"""),"SILVER PAPER")</f>
        <v>SILVER PAPER</v>
      </c>
      <c r="C31" s="21">
        <f>IFERROR(__xludf.DUMMYFUNCTION("""COMPUTED_VALUE"""),80.0)</f>
        <v>80</v>
      </c>
      <c r="D31" s="76">
        <f>IFERROR(__xludf.DUMMYFUNCTION("""COMPUTED_VALUE"""),245.0)</f>
        <v>245</v>
      </c>
      <c r="E31" s="20">
        <f>IFERROR(SUMIFS('Stock In'!F:F,'Stock In'!B:B,$A31,'Stock In'!C:C,$B31,'Stock In'!D:D,$C31,'Stock In'!E:E,$D31),0)</f>
        <v>4240</v>
      </c>
      <c r="F31" s="20">
        <f>IFERROR(SUMIFS(Issues!H:H, Issues!F:F, $A31, Issues!C:C, $B31, Issues!D:D, $C31, Issues!E:E, $D31), 0)</f>
        <v>0</v>
      </c>
      <c r="G31" s="20">
        <f>IFERROR(SUMIFS(Returns!H:H, Returns!F:F, $A31, Returns!C:C, $B31, Returns!D:D, $C31, Returns!E:E, $D31), 0)</f>
        <v>0</v>
      </c>
      <c r="H31" s="20">
        <f t="shared" si="1"/>
        <v>4240</v>
      </c>
      <c r="I31" s="20">
        <f t="shared" si="2"/>
        <v>1038.8</v>
      </c>
      <c r="J31" s="20">
        <f>IFERROR( SUMIFS('Stock In'!I:I,'Stock In'!B:B,$A31,'Stock In'!C:C,$B31,'Stock In'!D:D,$C31,'Stock In'!E:E,$D31) / SUMIFS('Stock In'!H:H,'Stock In'!B:B,$A31,'Stock In'!C:C,$B31,'Stock In'!D:D,$C31,'Stock In'!E:E,$D31), 0)</f>
        <v>42</v>
      </c>
      <c r="K31" s="20">
        <f t="shared" si="3"/>
        <v>43629.6</v>
      </c>
    </row>
    <row r="32" ht="22.5" customHeight="1">
      <c r="A32" s="21" t="str">
        <f>IFERROR(__xludf.DUMMYFUNCTION("""COMPUTED_VALUE"""),"Arjobex Polyart")</f>
        <v>Arjobex Polyart</v>
      </c>
      <c r="B32" s="21" t="str">
        <f>IFERROR(__xludf.DUMMYFUNCTION("""COMPUTED_VALUE"""),"IML Blow Mould")</f>
        <v>IML Blow Mould</v>
      </c>
      <c r="C32" s="21">
        <f>IFERROR(__xludf.DUMMYFUNCTION("""COMPUTED_VALUE"""),70.0)</f>
        <v>70</v>
      </c>
      <c r="D32" s="76">
        <f>IFERROR(__xludf.DUMMYFUNCTION("""COMPUTED_VALUE"""),200.0)</f>
        <v>200</v>
      </c>
      <c r="E32" s="20">
        <f>IFERROR(SUMIFS('Stock In'!F:F,'Stock In'!B:B,$A32,'Stock In'!C:C,$B32,'Stock In'!D:D,$C32,'Stock In'!E:E,$D32),0)</f>
        <v>1950</v>
      </c>
      <c r="F32" s="20">
        <f>IFERROR(SUMIFS(Issues!H:H, Issues!F:F, $A32, Issues!C:C, $B32, Issues!D:D, $C32, Issues!E:E, $D32), 0)</f>
        <v>0</v>
      </c>
      <c r="G32" s="20">
        <f>IFERROR(SUMIFS(Returns!H:H, Returns!F:F, $A32, Returns!C:C, $B32, Returns!D:D, $C32, Returns!E:E, $D32), 0)</f>
        <v>0</v>
      </c>
      <c r="H32" s="20">
        <f t="shared" si="1"/>
        <v>1950</v>
      </c>
      <c r="I32" s="20">
        <f t="shared" si="2"/>
        <v>390</v>
      </c>
      <c r="J32" s="20">
        <f>IFERROR( SUMIFS('Stock In'!I:I,'Stock In'!B:B,$A32,'Stock In'!C:C,$B32,'Stock In'!D:D,$C32,'Stock In'!E:E,$D32) / SUMIFS('Stock In'!H:H,'Stock In'!B:B,$A32,'Stock In'!C:C,$B32,'Stock In'!D:D,$C32,'Stock In'!E:E,$D32), 0)</f>
        <v>48</v>
      </c>
      <c r="K32" s="20">
        <f t="shared" si="3"/>
        <v>18720</v>
      </c>
    </row>
    <row r="33" ht="22.5" customHeight="1">
      <c r="A33" s="21" t="str">
        <f>IFERROR(__xludf.DUMMYFUNCTION("""COMPUTED_VALUE"""),"Arjobex Polyart")</f>
        <v>Arjobex Polyart</v>
      </c>
      <c r="B33" s="21" t="str">
        <f>IFERROR(__xludf.DUMMYFUNCTION("""COMPUTED_VALUE"""),"IML Blow Mould")</f>
        <v>IML Blow Mould</v>
      </c>
      <c r="C33" s="21">
        <f>IFERROR(__xludf.DUMMYFUNCTION("""COMPUTED_VALUE"""),70.0)</f>
        <v>70</v>
      </c>
      <c r="D33" s="76">
        <f>IFERROR(__xludf.DUMMYFUNCTION("""COMPUTED_VALUE"""),210.0)</f>
        <v>210</v>
      </c>
      <c r="E33" s="20">
        <f>IFERROR(SUMIFS('Stock In'!F:F,'Stock In'!B:B,$A33,'Stock In'!C:C,$B33,'Stock In'!D:D,$C33,'Stock In'!E:E,$D33),0)</f>
        <v>2700</v>
      </c>
      <c r="F33" s="20">
        <f>IFERROR(SUMIFS(Issues!H:H, Issues!F:F, $A33, Issues!C:C, $B33, Issues!D:D, $C33, Issues!E:E, $D33), 0)</f>
        <v>0</v>
      </c>
      <c r="G33" s="20">
        <f>IFERROR(SUMIFS(Returns!H:H, Returns!F:F, $A33, Returns!C:C, $B33, Returns!D:D, $C33, Returns!E:E, $D33), 0)</f>
        <v>0</v>
      </c>
      <c r="H33" s="20">
        <f t="shared" si="1"/>
        <v>2700</v>
      </c>
      <c r="I33" s="20">
        <f t="shared" si="2"/>
        <v>567</v>
      </c>
      <c r="J33" s="20">
        <f>IFERROR( SUMIFS('Stock In'!I:I,'Stock In'!B:B,$A33,'Stock In'!C:C,$B33,'Stock In'!D:D,$C33,'Stock In'!E:E,$D33) / SUMIFS('Stock In'!H:H,'Stock In'!B:B,$A33,'Stock In'!C:C,$B33,'Stock In'!D:D,$C33,'Stock In'!E:E,$D33), 0)</f>
        <v>48</v>
      </c>
      <c r="K33" s="20">
        <f t="shared" si="3"/>
        <v>27216</v>
      </c>
    </row>
    <row r="34" ht="22.5" customHeight="1">
      <c r="A34" s="21" t="str">
        <f>IFERROR(__xludf.DUMMYFUNCTION("""COMPUTED_VALUE"""),"Arjobex Polyart")</f>
        <v>Arjobex Polyart</v>
      </c>
      <c r="B34" s="21" t="str">
        <f>IFERROR(__xludf.DUMMYFUNCTION("""COMPUTED_VALUE"""),"IML Blow Mould")</f>
        <v>IML Blow Mould</v>
      </c>
      <c r="C34" s="21">
        <f>IFERROR(__xludf.DUMMYFUNCTION("""COMPUTED_VALUE"""),70.0)</f>
        <v>70</v>
      </c>
      <c r="D34" s="76">
        <f>IFERROR(__xludf.DUMMYFUNCTION("""COMPUTED_VALUE"""),380.0)</f>
        <v>380</v>
      </c>
      <c r="E34" s="20">
        <f>IFERROR(SUMIFS('Stock In'!F:F,'Stock In'!B:B,$A34,'Stock In'!C:C,$B34,'Stock In'!D:D,$C34,'Stock In'!E:E,$D34),0)</f>
        <v>2000</v>
      </c>
      <c r="F34" s="20">
        <f>IFERROR(SUMIFS(Issues!H:H, Issues!F:F, $A34, Issues!C:C, $B34, Issues!D:D, $C34, Issues!E:E, $D34), 0)</f>
        <v>0</v>
      </c>
      <c r="G34" s="20">
        <f>IFERROR(SUMIFS(Returns!H:H, Returns!F:F, $A34, Returns!C:C, $B34, Returns!D:D, $C34, Returns!E:E, $D34), 0)</f>
        <v>0</v>
      </c>
      <c r="H34" s="20">
        <f t="shared" si="1"/>
        <v>2000</v>
      </c>
      <c r="I34" s="20">
        <f t="shared" si="2"/>
        <v>760</v>
      </c>
      <c r="J34" s="20">
        <f>IFERROR( SUMIFS('Stock In'!I:I,'Stock In'!B:B,$A34,'Stock In'!C:C,$B34,'Stock In'!D:D,$C34,'Stock In'!E:E,$D34) / SUMIFS('Stock In'!H:H,'Stock In'!B:B,$A34,'Stock In'!C:C,$B34,'Stock In'!D:D,$C34,'Stock In'!E:E,$D34), 0)</f>
        <v>48</v>
      </c>
      <c r="K34" s="20">
        <f t="shared" si="3"/>
        <v>36480</v>
      </c>
    </row>
    <row r="35" ht="22.5" customHeight="1">
      <c r="A35" s="21" t="str">
        <f>IFERROR(__xludf.DUMMYFUNCTION("""COMPUTED_VALUE"""),"Avery")</f>
        <v>Avery</v>
      </c>
      <c r="B35" s="21" t="str">
        <f>IFERROR(__xludf.DUMMYFUNCTION("""COMPUTED_VALUE"""),"C-MIRRORCOAT")</f>
        <v>C-MIRRORCOAT</v>
      </c>
      <c r="C35" s="21">
        <f>IFERROR(__xludf.DUMMYFUNCTION("""COMPUTED_VALUE"""),80.0)</f>
        <v>80</v>
      </c>
      <c r="D35" s="76">
        <f>IFERROR(__xludf.DUMMYFUNCTION("""COMPUTED_VALUE"""),290.0)</f>
        <v>290</v>
      </c>
      <c r="E35" s="20">
        <f>IFERROR(SUMIFS('Stock In'!F:F,'Stock In'!B:B,$A35,'Stock In'!C:C,$B35,'Stock In'!D:D,$C35,'Stock In'!E:E,$D35),0)</f>
        <v>4920</v>
      </c>
      <c r="F35" s="20">
        <f>IFERROR(SUMIFS(Issues!H:H, Issues!F:F, $A35, Issues!C:C, $B35, Issues!D:D, $C35, Issues!E:E, $D35), 0)</f>
        <v>0</v>
      </c>
      <c r="G35" s="20">
        <f>IFERROR(SUMIFS(Returns!H:H, Returns!F:F, $A35, Returns!C:C, $B35, Returns!D:D, $C35, Returns!E:E, $D35), 0)</f>
        <v>0</v>
      </c>
      <c r="H35" s="20">
        <f t="shared" si="1"/>
        <v>4920</v>
      </c>
      <c r="I35" s="20">
        <f t="shared" si="2"/>
        <v>1426.8</v>
      </c>
      <c r="J35" s="20">
        <f>IFERROR( SUMIFS('Stock In'!I:I,'Stock In'!B:B,$A35,'Stock In'!C:C,$B35,'Stock In'!D:D,$C35,'Stock In'!E:E,$D35) / SUMIFS('Stock In'!H:H,'Stock In'!B:B,$A35,'Stock In'!C:C,$B35,'Stock In'!D:D,$C35,'Stock In'!E:E,$D35), 0)</f>
        <v>46.78081301</v>
      </c>
      <c r="K35" s="20">
        <f t="shared" si="3"/>
        <v>66746.864</v>
      </c>
    </row>
    <row r="36" ht="22.5" customHeight="1">
      <c r="A36" s="21" t="str">
        <f>IFERROR(__xludf.DUMMYFUNCTION("""COMPUTED_VALUE"""),"Avery")</f>
        <v>Avery</v>
      </c>
      <c r="B36" s="21" t="str">
        <f>IFERROR(__xludf.DUMMYFUNCTION("""COMPUTED_VALUE"""),"C-MIRRORCOAT")</f>
        <v>C-MIRRORCOAT</v>
      </c>
      <c r="C36" s="21">
        <f>IFERROR(__xludf.DUMMYFUNCTION("""COMPUTED_VALUE"""),80.0)</f>
        <v>80</v>
      </c>
      <c r="D36" s="76">
        <f>IFERROR(__xludf.DUMMYFUNCTION("""COMPUTED_VALUE"""),300.0)</f>
        <v>300</v>
      </c>
      <c r="E36" s="20">
        <f>IFERROR(SUMIFS('Stock In'!F:F,'Stock In'!B:B,$A36,'Stock In'!C:C,$B36,'Stock In'!D:D,$C36,'Stock In'!E:E,$D36),0)</f>
        <v>2000</v>
      </c>
      <c r="F36" s="20">
        <f>IFERROR(SUMIFS(Issues!H:H, Issues!F:F, $A36, Issues!C:C, $B36, Issues!D:D, $C36, Issues!E:E, $D36), 0)</f>
        <v>0</v>
      </c>
      <c r="G36" s="20">
        <f>IFERROR(SUMIFS(Returns!H:H, Returns!F:F, $A36, Returns!C:C, $B36, Returns!D:D, $C36, Returns!E:E, $D36), 0)</f>
        <v>0</v>
      </c>
      <c r="H36" s="20">
        <f t="shared" si="1"/>
        <v>2000</v>
      </c>
      <c r="I36" s="20">
        <f t="shared" si="2"/>
        <v>600</v>
      </c>
      <c r="J36" s="20">
        <f>IFERROR( SUMIFS('Stock In'!I:I,'Stock In'!B:B,$A36,'Stock In'!C:C,$B36,'Stock In'!D:D,$C36,'Stock In'!E:E,$D36) / SUMIFS('Stock In'!H:H,'Stock In'!B:B,$A36,'Stock In'!C:C,$B36,'Stock In'!D:D,$C36,'Stock In'!E:E,$D36), 0)</f>
        <v>46</v>
      </c>
      <c r="K36" s="20">
        <f t="shared" si="3"/>
        <v>27600</v>
      </c>
    </row>
    <row r="37" ht="22.5" customHeight="1">
      <c r="A37" s="21" t="str">
        <f>IFERROR(__xludf.DUMMYFUNCTION("""COMPUTED_VALUE"""),"Avery")</f>
        <v>Avery</v>
      </c>
      <c r="B37" s="21" t="str">
        <f>IFERROR(__xludf.DUMMYFUNCTION("""COMPUTED_VALUE"""),"C-MIRRORCOAT")</f>
        <v>C-MIRRORCOAT</v>
      </c>
      <c r="C37" s="21">
        <f>IFERROR(__xludf.DUMMYFUNCTION("""COMPUTED_VALUE"""),80.0)</f>
        <v>80</v>
      </c>
      <c r="D37" s="76">
        <f>IFERROR(__xludf.DUMMYFUNCTION("""COMPUTED_VALUE"""),330.0)</f>
        <v>330</v>
      </c>
      <c r="E37" s="20">
        <f>IFERROR(SUMIFS('Stock In'!F:F,'Stock In'!B:B,$A37,'Stock In'!C:C,$B37,'Stock In'!D:D,$C37,'Stock In'!E:E,$D37),0)</f>
        <v>2000</v>
      </c>
      <c r="F37" s="20">
        <f>IFERROR(SUMIFS(Issues!H:H, Issues!F:F, $A37, Issues!C:C, $B37, Issues!D:D, $C37, Issues!E:E, $D37), 0)</f>
        <v>0</v>
      </c>
      <c r="G37" s="20">
        <f>IFERROR(SUMIFS(Returns!H:H, Returns!F:F, $A37, Returns!C:C, $B37, Returns!D:D, $C37, Returns!E:E, $D37), 0)</f>
        <v>0</v>
      </c>
      <c r="H37" s="20">
        <f t="shared" si="1"/>
        <v>2000</v>
      </c>
      <c r="I37" s="20">
        <f t="shared" si="2"/>
        <v>660</v>
      </c>
      <c r="J37" s="20">
        <f>IFERROR( SUMIFS('Stock In'!I:I,'Stock In'!B:B,$A37,'Stock In'!C:C,$B37,'Stock In'!D:D,$C37,'Stock In'!E:E,$D37) / SUMIFS('Stock In'!H:H,'Stock In'!B:B,$A37,'Stock In'!C:C,$B37,'Stock In'!D:D,$C37,'Stock In'!E:E,$D37), 0)</f>
        <v>46</v>
      </c>
      <c r="K37" s="20">
        <f t="shared" si="3"/>
        <v>30360</v>
      </c>
    </row>
    <row r="38" ht="22.5" customHeight="1">
      <c r="A38" s="21" t="str">
        <f>IFERROR(__xludf.DUMMYFUNCTION("""COMPUTED_VALUE"""),"Avery")</f>
        <v>Avery</v>
      </c>
      <c r="B38" s="21" t="str">
        <f>IFERROR(__xludf.DUMMYFUNCTION("""COMPUTED_VALUE"""),"Chromo")</f>
        <v>Chromo</v>
      </c>
      <c r="C38" s="21">
        <f>IFERROR(__xludf.DUMMYFUNCTION("""COMPUTED_VALUE"""),80.0)</f>
        <v>80</v>
      </c>
      <c r="D38" s="76">
        <f>IFERROR(__xludf.DUMMYFUNCTION("""COMPUTED_VALUE"""),125.0)</f>
        <v>125</v>
      </c>
      <c r="E38" s="20">
        <f>IFERROR(SUMIFS('Stock In'!F:F,'Stock In'!B:B,$A38,'Stock In'!C:C,$B38,'Stock In'!D:D,$C38,'Stock In'!E:E,$D38),0)</f>
        <v>163645</v>
      </c>
      <c r="F38" s="20">
        <f>IFERROR(SUMIFS(Issues!H:H, Issues!F:F, $A38, Issues!C:C, $B38, Issues!D:D, $C38, Issues!E:E, $D38), 0)</f>
        <v>199247</v>
      </c>
      <c r="G38" s="20">
        <f>IFERROR(SUMIFS(Returns!H:H, Returns!F:F, $A38, Returns!C:C, $B38, Returns!D:D, $C38, Returns!E:E, $D38), 0)</f>
        <v>73024</v>
      </c>
      <c r="H38" s="20">
        <f t="shared" si="1"/>
        <v>37422</v>
      </c>
      <c r="I38" s="20">
        <f t="shared" si="2"/>
        <v>4677.75</v>
      </c>
      <c r="J38" s="20">
        <f>IFERROR( SUMIFS('Stock In'!I:I,'Stock In'!B:B,$A38,'Stock In'!C:C,$B38,'Stock In'!D:D,$C38,'Stock In'!E:E,$D38) / SUMIFS('Stock In'!H:H,'Stock In'!B:B,$A38,'Stock In'!C:C,$B38,'Stock In'!D:D,$C38,'Stock In'!E:E,$D38), 0)</f>
        <v>29.30895108</v>
      </c>
      <c r="K38" s="20">
        <f t="shared" si="3"/>
        <v>137099.9459</v>
      </c>
    </row>
    <row r="39" ht="22.5" customHeight="1">
      <c r="A39" s="21" t="str">
        <f>IFERROR(__xludf.DUMMYFUNCTION("""COMPUTED_VALUE"""),"Avery")</f>
        <v>Avery</v>
      </c>
      <c r="B39" s="21" t="str">
        <f>IFERROR(__xludf.DUMMYFUNCTION("""COMPUTED_VALUE"""),"Chromo")</f>
        <v>Chromo</v>
      </c>
      <c r="C39" s="21">
        <f>IFERROR(__xludf.DUMMYFUNCTION("""COMPUTED_VALUE"""),80.0)</f>
        <v>80</v>
      </c>
      <c r="D39" s="76">
        <f>IFERROR(__xludf.DUMMYFUNCTION("""COMPUTED_VALUE"""),140.0)</f>
        <v>140</v>
      </c>
      <c r="E39" s="20">
        <f>IFERROR(SUMIFS('Stock In'!F:F,'Stock In'!B:B,$A39,'Stock In'!C:C,$B39,'Stock In'!D:D,$C39,'Stock In'!E:E,$D39),0)</f>
        <v>300</v>
      </c>
      <c r="F39" s="20">
        <f>IFERROR(SUMIFS(Issues!H:H, Issues!F:F, $A39, Issues!C:C, $B39, Issues!D:D, $C39, Issues!E:E, $D39), 0)</f>
        <v>200</v>
      </c>
      <c r="G39" s="20">
        <f>IFERROR(SUMIFS(Returns!H:H, Returns!F:F, $A39, Returns!C:C, $B39, Returns!D:D, $C39, Returns!E:E, $D39), 0)</f>
        <v>0</v>
      </c>
      <c r="H39" s="20">
        <f t="shared" si="1"/>
        <v>100</v>
      </c>
      <c r="I39" s="20">
        <f t="shared" si="2"/>
        <v>14</v>
      </c>
      <c r="J39" s="20">
        <f>IFERROR( SUMIFS('Stock In'!I:I,'Stock In'!B:B,$A39,'Stock In'!C:C,$B39,'Stock In'!D:D,$C39,'Stock In'!E:E,$D39) / SUMIFS('Stock In'!H:H,'Stock In'!B:B,$A39,'Stock In'!C:C,$B39,'Stock In'!D:D,$C39,'Stock In'!E:E,$D39), 0)</f>
        <v>29</v>
      </c>
      <c r="K39" s="20">
        <f t="shared" si="3"/>
        <v>406</v>
      </c>
    </row>
    <row r="40" ht="22.5" customHeight="1">
      <c r="A40" s="21" t="str">
        <f>IFERROR(__xludf.DUMMYFUNCTION("""COMPUTED_VALUE"""),"Avery")</f>
        <v>Avery</v>
      </c>
      <c r="B40" s="21" t="str">
        <f>IFERROR(__xludf.DUMMYFUNCTION("""COMPUTED_VALUE"""),"Chromo")</f>
        <v>Chromo</v>
      </c>
      <c r="C40" s="21">
        <f>IFERROR(__xludf.DUMMYFUNCTION("""COMPUTED_VALUE"""),80.0)</f>
        <v>80</v>
      </c>
      <c r="D40" s="76">
        <f>IFERROR(__xludf.DUMMYFUNCTION("""COMPUTED_VALUE"""),150.0)</f>
        <v>150</v>
      </c>
      <c r="E40" s="20">
        <f>IFERROR(SUMIFS('Stock In'!F:F,'Stock In'!B:B,$A40,'Stock In'!C:C,$B40,'Stock In'!D:D,$C40,'Stock In'!E:E,$D40),0)</f>
        <v>80040</v>
      </c>
      <c r="F40" s="20">
        <f>IFERROR(SUMIFS(Issues!H:H, Issues!F:F, $A40, Issues!C:C, $B40, Issues!D:D, $C40, Issues!E:E, $D40), 0)</f>
        <v>54310</v>
      </c>
      <c r="G40" s="20">
        <f>IFERROR(SUMIFS(Returns!H:H, Returns!F:F, $A40, Returns!C:C, $B40, Returns!D:D, $C40, Returns!E:E, $D40), 0)</f>
        <v>15150</v>
      </c>
      <c r="H40" s="20">
        <f t="shared" si="1"/>
        <v>40880</v>
      </c>
      <c r="I40" s="20">
        <f t="shared" si="2"/>
        <v>6132</v>
      </c>
      <c r="J40" s="20">
        <f>IFERROR( SUMIFS('Stock In'!I:I,'Stock In'!B:B,$A40,'Stock In'!C:C,$B40,'Stock In'!D:D,$C40,'Stock In'!E:E,$D40) / SUMIFS('Stock In'!H:H,'Stock In'!B:B,$A40,'Stock In'!C:C,$B40,'Stock In'!D:D,$C40,'Stock In'!E:E,$D40), 0)</f>
        <v>29.87445277</v>
      </c>
      <c r="K40" s="20">
        <f t="shared" si="3"/>
        <v>183190.1444</v>
      </c>
    </row>
    <row r="41" ht="22.5" customHeight="1">
      <c r="A41" s="21" t="str">
        <f>IFERROR(__xludf.DUMMYFUNCTION("""COMPUTED_VALUE"""),"Avery")</f>
        <v>Avery</v>
      </c>
      <c r="B41" s="21" t="str">
        <f>IFERROR(__xludf.DUMMYFUNCTION("""COMPUTED_VALUE"""),"Chromo")</f>
        <v>Chromo</v>
      </c>
      <c r="C41" s="21">
        <f>IFERROR(__xludf.DUMMYFUNCTION("""COMPUTED_VALUE"""),80.0)</f>
        <v>80</v>
      </c>
      <c r="D41" s="76">
        <f>IFERROR(__xludf.DUMMYFUNCTION("""COMPUTED_VALUE"""),160.0)</f>
        <v>160</v>
      </c>
      <c r="E41" s="20">
        <f>IFERROR(SUMIFS('Stock In'!F:F,'Stock In'!B:B,$A41,'Stock In'!C:C,$B41,'Stock In'!D:D,$C41,'Stock In'!E:E,$D41),0)</f>
        <v>32460</v>
      </c>
      <c r="F41" s="20">
        <f>IFERROR(SUMIFS(Issues!H:H, Issues!F:F, $A41, Issues!C:C, $B41, Issues!D:D, $C41, Issues!E:E, $D41), 0)</f>
        <v>26230</v>
      </c>
      <c r="G41" s="20">
        <f>IFERROR(SUMIFS(Returns!H:H, Returns!F:F, $A41, Returns!C:C, $B41, Returns!D:D, $C41, Returns!E:E, $D41), 0)</f>
        <v>8880</v>
      </c>
      <c r="H41" s="20">
        <f t="shared" si="1"/>
        <v>15110</v>
      </c>
      <c r="I41" s="20">
        <f t="shared" si="2"/>
        <v>2417.6</v>
      </c>
      <c r="J41" s="20">
        <f>IFERROR( SUMIFS('Stock In'!I:I,'Stock In'!B:B,$A41,'Stock In'!C:C,$B41,'Stock In'!D:D,$C41,'Stock In'!E:E,$D41) / SUMIFS('Stock In'!H:H,'Stock In'!B:B,$A41,'Stock In'!C:C,$B41,'Stock In'!D:D,$C41,'Stock In'!E:E,$D41), 0)</f>
        <v>29.56573013</v>
      </c>
      <c r="K41" s="20">
        <f t="shared" si="3"/>
        <v>71478.10916</v>
      </c>
    </row>
    <row r="42" ht="22.5" customHeight="1">
      <c r="A42" s="21" t="str">
        <f>IFERROR(__xludf.DUMMYFUNCTION("""COMPUTED_VALUE"""),"Avery")</f>
        <v>Avery</v>
      </c>
      <c r="B42" s="21" t="str">
        <f>IFERROR(__xludf.DUMMYFUNCTION("""COMPUTED_VALUE"""),"Chromo")</f>
        <v>Chromo</v>
      </c>
      <c r="C42" s="21">
        <f>IFERROR(__xludf.DUMMYFUNCTION("""COMPUTED_VALUE"""),80.0)</f>
        <v>80</v>
      </c>
      <c r="D42" s="76">
        <f>IFERROR(__xludf.DUMMYFUNCTION("""COMPUTED_VALUE"""),170.0)</f>
        <v>170</v>
      </c>
      <c r="E42" s="20">
        <f>IFERROR(SUMIFS('Stock In'!F:F,'Stock In'!B:B,$A42,'Stock In'!C:C,$B42,'Stock In'!D:D,$C42,'Stock In'!E:E,$D42),0)</f>
        <v>75820</v>
      </c>
      <c r="F42" s="20">
        <f>IFERROR(SUMIFS(Issues!H:H, Issues!F:F, $A42, Issues!C:C, $B42, Issues!D:D, $C42, Issues!E:E, $D42), 0)</f>
        <v>46330</v>
      </c>
      <c r="G42" s="20">
        <f>IFERROR(SUMIFS(Returns!H:H, Returns!F:F, $A42, Returns!C:C, $B42, Returns!D:D, $C42, Returns!E:E, $D42), 0)</f>
        <v>20380</v>
      </c>
      <c r="H42" s="20">
        <f t="shared" si="1"/>
        <v>49870</v>
      </c>
      <c r="I42" s="20">
        <f t="shared" si="2"/>
        <v>8477.9</v>
      </c>
      <c r="J42" s="20">
        <f>IFERROR( SUMIFS('Stock In'!I:I,'Stock In'!B:B,$A42,'Stock In'!C:C,$B42,'Stock In'!D:D,$C42,'Stock In'!E:E,$D42) / SUMIFS('Stock In'!H:H,'Stock In'!B:B,$A42,'Stock In'!C:C,$B42,'Stock In'!D:D,$C42,'Stock In'!E:E,$D42), 0)</f>
        <v>30.6780823</v>
      </c>
      <c r="K42" s="20">
        <f t="shared" si="3"/>
        <v>260085.7139</v>
      </c>
    </row>
    <row r="43" ht="22.5" customHeight="1">
      <c r="A43" s="21" t="str">
        <f>IFERROR(__xludf.DUMMYFUNCTION("""COMPUTED_VALUE"""),"Avery")</f>
        <v>Avery</v>
      </c>
      <c r="B43" s="21" t="str">
        <f>IFERROR(__xludf.DUMMYFUNCTION("""COMPUTED_VALUE"""),"Chromo")</f>
        <v>Chromo</v>
      </c>
      <c r="C43" s="21">
        <f>IFERROR(__xludf.DUMMYFUNCTION("""COMPUTED_VALUE"""),60.0)</f>
        <v>60</v>
      </c>
      <c r="D43" s="76">
        <f>IFERROR(__xludf.DUMMYFUNCTION("""COMPUTED_VALUE"""),170.0)</f>
        <v>170</v>
      </c>
      <c r="E43" s="20">
        <f>IFERROR(SUMIFS('Stock In'!F:F,'Stock In'!B:B,$A43,'Stock In'!C:C,$B43,'Stock In'!D:D,$C43,'Stock In'!E:E,$D43),0)</f>
        <v>2200</v>
      </c>
      <c r="F43" s="20">
        <f>IFERROR(SUMIFS(Issues!H:H, Issues!F:F, $A43, Issues!C:C, $B43, Issues!D:D, $C43, Issues!E:E, $D43), 0)</f>
        <v>0</v>
      </c>
      <c r="G43" s="20">
        <f>IFERROR(SUMIFS(Returns!H:H, Returns!F:F, $A43, Returns!C:C, $B43, Returns!D:D, $C43, Returns!E:E, $D43), 0)</f>
        <v>0</v>
      </c>
      <c r="H43" s="20">
        <f t="shared" si="1"/>
        <v>2200</v>
      </c>
      <c r="I43" s="20">
        <f t="shared" si="2"/>
        <v>374</v>
      </c>
      <c r="J43" s="20">
        <f>IFERROR( SUMIFS('Stock In'!I:I,'Stock In'!B:B,$A43,'Stock In'!C:C,$B43,'Stock In'!D:D,$C43,'Stock In'!E:E,$D43) / SUMIFS('Stock In'!H:H,'Stock In'!B:B,$A43,'Stock In'!C:C,$B43,'Stock In'!D:D,$C43,'Stock In'!E:E,$D43), 0)</f>
        <v>29</v>
      </c>
      <c r="K43" s="20">
        <f t="shared" si="3"/>
        <v>10846</v>
      </c>
    </row>
    <row r="44" ht="22.5" customHeight="1">
      <c r="A44" s="21" t="str">
        <f>IFERROR(__xludf.DUMMYFUNCTION("""COMPUTED_VALUE"""),"Avery")</f>
        <v>Avery</v>
      </c>
      <c r="B44" s="21" t="str">
        <f>IFERROR(__xludf.DUMMYFUNCTION("""COMPUTED_VALUE"""),"Chromo")</f>
        <v>Chromo</v>
      </c>
      <c r="C44" s="21">
        <f>IFERROR(__xludf.DUMMYFUNCTION("""COMPUTED_VALUE"""),80.0)</f>
        <v>80</v>
      </c>
      <c r="D44" s="76">
        <f>IFERROR(__xludf.DUMMYFUNCTION("""COMPUTED_VALUE"""),180.0)</f>
        <v>180</v>
      </c>
      <c r="E44" s="20">
        <f>IFERROR(SUMIFS('Stock In'!F:F,'Stock In'!B:B,$A44,'Stock In'!C:C,$B44,'Stock In'!D:D,$C44,'Stock In'!E:E,$D44),0)</f>
        <v>140675</v>
      </c>
      <c r="F44" s="20">
        <f>IFERROR(SUMIFS(Issues!H:H, Issues!F:F, $A44, Issues!C:C, $B44, Issues!D:D, $C44, Issues!E:E, $D44), 0)</f>
        <v>97939</v>
      </c>
      <c r="G44" s="20">
        <f>IFERROR(SUMIFS(Returns!H:H, Returns!F:F, $A44, Returns!C:C, $B44, Returns!D:D, $C44, Returns!E:E, $D44), 0)</f>
        <v>33148</v>
      </c>
      <c r="H44" s="20">
        <f t="shared" si="1"/>
        <v>75884</v>
      </c>
      <c r="I44" s="20">
        <f t="shared" si="2"/>
        <v>13659.12</v>
      </c>
      <c r="J44" s="20">
        <f>IFERROR( SUMIFS('Stock In'!I:I,'Stock In'!B:B,$A44,'Stock In'!C:C,$B44,'Stock In'!D:D,$C44,'Stock In'!E:E,$D44) / SUMIFS('Stock In'!H:H,'Stock In'!B:B,$A44,'Stock In'!C:C,$B44,'Stock In'!D:D,$C44,'Stock In'!E:E,$D44), 0)</f>
        <v>29.98745904</v>
      </c>
      <c r="K44" s="20">
        <f t="shared" si="3"/>
        <v>409602.3015</v>
      </c>
    </row>
    <row r="45" ht="22.5" customHeight="1">
      <c r="A45" s="21" t="str">
        <f>IFERROR(__xludf.DUMMYFUNCTION("""COMPUTED_VALUE"""),"Avery")</f>
        <v>Avery</v>
      </c>
      <c r="B45" s="21" t="str">
        <f>IFERROR(__xludf.DUMMYFUNCTION("""COMPUTED_VALUE"""),"Chromo")</f>
        <v>Chromo</v>
      </c>
      <c r="C45" s="21">
        <f>IFERROR(__xludf.DUMMYFUNCTION("""COMPUTED_VALUE"""),80.0)</f>
        <v>80</v>
      </c>
      <c r="D45" s="76">
        <f>IFERROR(__xludf.DUMMYFUNCTION("""COMPUTED_VALUE"""),190.0)</f>
        <v>190</v>
      </c>
      <c r="E45" s="20">
        <f>IFERROR(SUMIFS('Stock In'!F:F,'Stock In'!B:B,$A45,'Stock In'!C:C,$B45,'Stock In'!D:D,$C45,'Stock In'!E:E,$D45),0)</f>
        <v>33250</v>
      </c>
      <c r="F45" s="20">
        <f>IFERROR(SUMIFS(Issues!H:H, Issues!F:F, $A45, Issues!C:C, $B45, Issues!D:D, $C45, Issues!E:E, $D45), 0)</f>
        <v>5550</v>
      </c>
      <c r="G45" s="20">
        <f>IFERROR(SUMIFS(Returns!H:H, Returns!F:F, $A45, Returns!C:C, $B45, Returns!D:D, $C45, Returns!E:E, $D45), 0)</f>
        <v>2490</v>
      </c>
      <c r="H45" s="20">
        <f t="shared" si="1"/>
        <v>30190</v>
      </c>
      <c r="I45" s="20">
        <f t="shared" si="2"/>
        <v>5736.1</v>
      </c>
      <c r="J45" s="20">
        <f>IFERROR( SUMIFS('Stock In'!I:I,'Stock In'!B:B,$A45,'Stock In'!C:C,$B45,'Stock In'!D:D,$C45,'Stock In'!E:E,$D45) / SUMIFS('Stock In'!H:H,'Stock In'!B:B,$A45,'Stock In'!C:C,$B45,'Stock In'!D:D,$C45,'Stock In'!E:E,$D45), 0)</f>
        <v>41.4966015</v>
      </c>
      <c r="K45" s="20">
        <f t="shared" si="3"/>
        <v>238028.6559</v>
      </c>
    </row>
    <row r="46" ht="22.5" customHeight="1">
      <c r="A46" s="21" t="str">
        <f>IFERROR(__xludf.DUMMYFUNCTION("""COMPUTED_VALUE"""),"Avery")</f>
        <v>Avery</v>
      </c>
      <c r="B46" s="21" t="str">
        <f>IFERROR(__xludf.DUMMYFUNCTION("""COMPUTED_VALUE"""),"Chromo")</f>
        <v>Chromo</v>
      </c>
      <c r="C46" s="21">
        <f>IFERROR(__xludf.DUMMYFUNCTION("""COMPUTED_VALUE"""),80.0)</f>
        <v>80</v>
      </c>
      <c r="D46" s="76">
        <f>IFERROR(__xludf.DUMMYFUNCTION("""COMPUTED_VALUE"""),210.0)</f>
        <v>210</v>
      </c>
      <c r="E46" s="20">
        <f>IFERROR(SUMIFS('Stock In'!F:F,'Stock In'!B:B,$A46,'Stock In'!C:C,$B46,'Stock In'!D:D,$C46,'Stock In'!E:E,$D46),0)</f>
        <v>121255</v>
      </c>
      <c r="F46" s="20">
        <f>IFERROR(SUMIFS(Issues!H:H, Issues!F:F, $A46, Issues!C:C, $B46, Issues!D:D, $C46, Issues!E:E, $D46), 0)</f>
        <v>98920</v>
      </c>
      <c r="G46" s="20">
        <f>IFERROR(SUMIFS(Returns!H:H, Returns!F:F, $A46, Returns!C:C, $B46, Returns!D:D, $C46, Returns!E:E, $D46), 0)</f>
        <v>39729</v>
      </c>
      <c r="H46" s="20">
        <f t="shared" si="1"/>
        <v>62064</v>
      </c>
      <c r="I46" s="20">
        <f t="shared" si="2"/>
        <v>13033.44</v>
      </c>
      <c r="J46" s="20">
        <f>IFERROR( SUMIFS('Stock In'!I:I,'Stock In'!B:B,$A46,'Stock In'!C:C,$B46,'Stock In'!D:D,$C46,'Stock In'!E:E,$D46) / SUMIFS('Stock In'!H:H,'Stock In'!B:B,$A46,'Stock In'!C:C,$B46,'Stock In'!D:D,$C46,'Stock In'!E:E,$D46), 0)</f>
        <v>30.02843512</v>
      </c>
      <c r="K46" s="20">
        <f t="shared" si="3"/>
        <v>391373.8074</v>
      </c>
    </row>
    <row r="47" ht="22.5" customHeight="1">
      <c r="A47" s="21" t="str">
        <f>IFERROR(__xludf.DUMMYFUNCTION("""COMPUTED_VALUE"""),"Avery")</f>
        <v>Avery</v>
      </c>
      <c r="B47" s="21" t="str">
        <f>IFERROR(__xludf.DUMMYFUNCTION("""COMPUTED_VALUE"""),"Chromo")</f>
        <v>Chromo</v>
      </c>
      <c r="C47" s="21">
        <f>IFERROR(__xludf.DUMMYFUNCTION("""COMPUTED_VALUE"""),80.0)</f>
        <v>80</v>
      </c>
      <c r="D47" s="76">
        <f>IFERROR(__xludf.DUMMYFUNCTION("""COMPUTED_VALUE"""),225.0)</f>
        <v>225</v>
      </c>
      <c r="E47" s="20">
        <f>IFERROR(SUMIFS('Stock In'!F:F,'Stock In'!B:B,$A47,'Stock In'!C:C,$B47,'Stock In'!D:D,$C47,'Stock In'!E:E,$D47),0)</f>
        <v>34000</v>
      </c>
      <c r="F47" s="20">
        <f>IFERROR(SUMIFS(Issues!H:H, Issues!F:F, $A47, Issues!C:C, $B47, Issues!D:D, $C47, Issues!E:E, $D47), 0)</f>
        <v>44500</v>
      </c>
      <c r="G47" s="20">
        <f>IFERROR(SUMIFS(Returns!H:H, Returns!F:F, $A47, Returns!C:C, $B47, Returns!D:D, $C47, Returns!E:E, $D47), 0)</f>
        <v>2050</v>
      </c>
      <c r="H47" s="20">
        <f t="shared" si="1"/>
        <v>-8450</v>
      </c>
      <c r="I47" s="20">
        <f t="shared" si="2"/>
        <v>-1901.25</v>
      </c>
      <c r="J47" s="20">
        <f>IFERROR( SUMIFS('Stock In'!I:I,'Stock In'!B:B,$A47,'Stock In'!C:C,$B47,'Stock In'!D:D,$C47,'Stock In'!E:E,$D47) / SUMIFS('Stock In'!H:H,'Stock In'!B:B,$A47,'Stock In'!C:C,$B47,'Stock In'!D:D,$C47,'Stock In'!E:E,$D47), 0)</f>
        <v>28.5</v>
      </c>
      <c r="K47" s="20">
        <f t="shared" si="3"/>
        <v>-54185.625</v>
      </c>
    </row>
    <row r="48" ht="22.5" customHeight="1">
      <c r="A48" s="21" t="str">
        <f>IFERROR(__xludf.DUMMYFUNCTION("""COMPUTED_VALUE"""),"Avery")</f>
        <v>Avery</v>
      </c>
      <c r="B48" s="21" t="str">
        <f>IFERROR(__xludf.DUMMYFUNCTION("""COMPUTED_VALUE"""),"Chromo")</f>
        <v>Chromo</v>
      </c>
      <c r="C48" s="21">
        <f>IFERROR(__xludf.DUMMYFUNCTION("""COMPUTED_VALUE"""),80.0)</f>
        <v>80</v>
      </c>
      <c r="D48" s="76">
        <f>IFERROR(__xludf.DUMMYFUNCTION("""COMPUTED_VALUE"""),230.0)</f>
        <v>230</v>
      </c>
      <c r="E48" s="20">
        <f>IFERROR(SUMIFS('Stock In'!F:F,'Stock In'!B:B,$A48,'Stock In'!C:C,$B48,'Stock In'!D:D,$C48,'Stock In'!E:E,$D48),0)</f>
        <v>150035</v>
      </c>
      <c r="F48" s="20">
        <f>IFERROR(SUMIFS(Issues!H:H, Issues!F:F, $A48, Issues!C:C, $B48, Issues!D:D, $C48, Issues!E:E, $D48), 0)</f>
        <v>149140</v>
      </c>
      <c r="G48" s="20">
        <f>IFERROR(SUMIFS(Returns!H:H, Returns!F:F, $A48, Returns!C:C, $B48, Returns!D:D, $C48, Returns!E:E, $D48), 0)</f>
        <v>10970</v>
      </c>
      <c r="H48" s="20">
        <f t="shared" si="1"/>
        <v>11865</v>
      </c>
      <c r="I48" s="20">
        <f t="shared" si="2"/>
        <v>2728.95</v>
      </c>
      <c r="J48" s="20">
        <f>IFERROR( SUMIFS('Stock In'!I:I,'Stock In'!B:B,$A48,'Stock In'!C:C,$B48,'Stock In'!D:D,$C48,'Stock In'!E:E,$D48) / SUMIFS('Stock In'!H:H,'Stock In'!B:B,$A48,'Stock In'!C:C,$B48,'Stock In'!D:D,$C48,'Stock In'!E:E,$D48), 0)</f>
        <v>28.5</v>
      </c>
      <c r="K48" s="20">
        <f t="shared" si="3"/>
        <v>77775.075</v>
      </c>
    </row>
    <row r="49" ht="22.5" customHeight="1">
      <c r="A49" s="21" t="str">
        <f>IFERROR(__xludf.DUMMYFUNCTION("""COMPUTED_VALUE"""),"Avery")</f>
        <v>Avery</v>
      </c>
      <c r="B49" s="21" t="str">
        <f>IFERROR(__xludf.DUMMYFUNCTION("""COMPUTED_VALUE"""),"Chromo")</f>
        <v>Chromo</v>
      </c>
      <c r="C49" s="21">
        <f>IFERROR(__xludf.DUMMYFUNCTION("""COMPUTED_VALUE"""),80.0)</f>
        <v>80</v>
      </c>
      <c r="D49" s="76">
        <f>IFERROR(__xludf.DUMMYFUNCTION("""COMPUTED_VALUE"""),250.0)</f>
        <v>250</v>
      </c>
      <c r="E49" s="20">
        <f>IFERROR(SUMIFS('Stock In'!F:F,'Stock In'!B:B,$A49,'Stock In'!C:C,$B49,'Stock In'!D:D,$C49,'Stock In'!E:E,$D49),0)</f>
        <v>190997</v>
      </c>
      <c r="F49" s="20">
        <f>IFERROR(SUMIFS(Issues!H:H, Issues!F:F, $A49, Issues!C:C, $B49, Issues!D:D, $C49, Issues!E:E, $D49), 0)</f>
        <v>172620</v>
      </c>
      <c r="G49" s="20">
        <f>IFERROR(SUMIFS(Returns!H:H, Returns!F:F, $A49, Returns!C:C, $B49, Returns!D:D, $C49, Returns!E:E, $D49), 0)</f>
        <v>27670</v>
      </c>
      <c r="H49" s="20">
        <f t="shared" si="1"/>
        <v>46047</v>
      </c>
      <c r="I49" s="20">
        <f t="shared" si="2"/>
        <v>11511.75</v>
      </c>
      <c r="J49" s="20">
        <f>IFERROR( SUMIFS('Stock In'!I:I,'Stock In'!B:B,$A49,'Stock In'!C:C,$B49,'Stock In'!D:D,$C49,'Stock In'!E:E,$D49) / SUMIFS('Stock In'!H:H,'Stock In'!B:B,$A49,'Stock In'!C:C,$B49,'Stock In'!D:D,$C49,'Stock In'!E:E,$D49), 0)</f>
        <v>50.97376859</v>
      </c>
      <c r="K49" s="20">
        <f t="shared" si="3"/>
        <v>586797.2806</v>
      </c>
    </row>
    <row r="50" ht="22.5" customHeight="1">
      <c r="A50" s="21" t="str">
        <f>IFERROR(__xludf.DUMMYFUNCTION("""COMPUTED_VALUE"""),"Avery")</f>
        <v>Avery</v>
      </c>
      <c r="B50" s="21" t="str">
        <f>IFERROR(__xludf.DUMMYFUNCTION("""COMPUTED_VALUE"""),"Chromo")</f>
        <v>Chromo</v>
      </c>
      <c r="C50" s="21">
        <f>IFERROR(__xludf.DUMMYFUNCTION("""COMPUTED_VALUE"""),80.0)</f>
        <v>80</v>
      </c>
      <c r="D50" s="76">
        <f>IFERROR(__xludf.DUMMYFUNCTION("""COMPUTED_VALUE"""),280.0)</f>
        <v>280</v>
      </c>
      <c r="E50" s="20">
        <f>IFERROR(SUMIFS('Stock In'!F:F,'Stock In'!B:B,$A50,'Stock In'!C:C,$B50,'Stock In'!D:D,$C50,'Stock In'!E:E,$D50),0)</f>
        <v>53025</v>
      </c>
      <c r="F50" s="20">
        <f>IFERROR(SUMIFS(Issues!H:H, Issues!F:F, $A50, Issues!C:C, $B50, Issues!D:D, $C50, Issues!E:E, $D50), 0)</f>
        <v>57625</v>
      </c>
      <c r="G50" s="20">
        <f>IFERROR(SUMIFS(Returns!H:H, Returns!F:F, $A50, Returns!C:C, $B50, Returns!D:D, $C50, Returns!E:E, $D50), 0)</f>
        <v>13780</v>
      </c>
      <c r="H50" s="20">
        <f t="shared" si="1"/>
        <v>9180</v>
      </c>
      <c r="I50" s="20">
        <f t="shared" si="2"/>
        <v>2570.4</v>
      </c>
      <c r="J50" s="20">
        <f>IFERROR( SUMIFS('Stock In'!I:I,'Stock In'!B:B,$A50,'Stock In'!C:C,$B50,'Stock In'!D:D,$C50,'Stock In'!E:E,$D50) / SUMIFS('Stock In'!H:H,'Stock In'!B:B,$A50,'Stock In'!C:C,$B50,'Stock In'!D:D,$C50,'Stock In'!E:E,$D50), 0)</f>
        <v>29.07235266</v>
      </c>
      <c r="K50" s="20">
        <f t="shared" si="3"/>
        <v>74727.57529</v>
      </c>
    </row>
    <row r="51" ht="22.5" customHeight="1">
      <c r="A51" s="21" t="str">
        <f>IFERROR(__xludf.DUMMYFUNCTION("""COMPUTED_VALUE"""),"Avery")</f>
        <v>Avery</v>
      </c>
      <c r="B51" s="21" t="str">
        <f>IFERROR(__xludf.DUMMYFUNCTION("""COMPUTED_VALUE"""),"Chromo")</f>
        <v>Chromo</v>
      </c>
      <c r="C51" s="21">
        <f>IFERROR(__xludf.DUMMYFUNCTION("""COMPUTED_VALUE"""),80.0)</f>
        <v>80</v>
      </c>
      <c r="D51" s="76">
        <f>IFERROR(__xludf.DUMMYFUNCTION("""COMPUTED_VALUE"""),290.0)</f>
        <v>290</v>
      </c>
      <c r="E51" s="20">
        <f>IFERROR(SUMIFS('Stock In'!F:F,'Stock In'!B:B,$A51,'Stock In'!C:C,$B51,'Stock In'!D:D,$C51,'Stock In'!E:E,$D51),0)</f>
        <v>343040</v>
      </c>
      <c r="F51" s="20">
        <f>IFERROR(SUMIFS(Issues!H:H, Issues!F:F, $A51, Issues!C:C, $B51, Issues!D:D, $C51, Issues!E:E, $D51), 0)</f>
        <v>308300</v>
      </c>
      <c r="G51" s="20">
        <f>IFERROR(SUMIFS(Returns!H:H, Returns!F:F, $A51, Returns!C:C, $B51, Returns!D:D, $C51, Returns!E:E, $D51), 0)</f>
        <v>54180</v>
      </c>
      <c r="H51" s="20">
        <f t="shared" si="1"/>
        <v>88920</v>
      </c>
      <c r="I51" s="20">
        <f t="shared" si="2"/>
        <v>25786.8</v>
      </c>
      <c r="J51" s="20">
        <f>IFERROR( SUMIFS('Stock In'!I:I,'Stock In'!B:B,$A51,'Stock In'!C:C,$B51,'Stock In'!D:D,$C51,'Stock In'!E:E,$D51) / SUMIFS('Stock In'!H:H,'Stock In'!B:B,$A51,'Stock In'!C:C,$B51,'Stock In'!D:D,$C51,'Stock In'!E:E,$D51), 0)</f>
        <v>29.32274924</v>
      </c>
      <c r="K51" s="20">
        <f t="shared" si="3"/>
        <v>756139.8702</v>
      </c>
    </row>
    <row r="52" ht="22.5" customHeight="1">
      <c r="A52" s="21" t="str">
        <f>IFERROR(__xludf.DUMMYFUNCTION("""COMPUTED_VALUE"""),"Avery")</f>
        <v>Avery</v>
      </c>
      <c r="B52" s="21" t="str">
        <f>IFERROR(__xludf.DUMMYFUNCTION("""COMPUTED_VALUE"""),"Chromo")</f>
        <v>Chromo</v>
      </c>
      <c r="C52" s="21">
        <f>IFERROR(__xludf.DUMMYFUNCTION("""COMPUTED_VALUE"""),80.0)</f>
        <v>80</v>
      </c>
      <c r="D52" s="76">
        <f>IFERROR(__xludf.DUMMYFUNCTION("""COMPUTED_VALUE"""),300.0)</f>
        <v>300</v>
      </c>
      <c r="E52" s="20">
        <f>IFERROR(SUMIFS('Stock In'!F:F,'Stock In'!B:B,$A52,'Stock In'!C:C,$B52,'Stock In'!D:D,$C52,'Stock In'!E:E,$D52),0)</f>
        <v>54665</v>
      </c>
      <c r="F52" s="20">
        <f>IFERROR(SUMIFS(Issues!H:H, Issues!F:F, $A52, Issues!C:C, $B52, Issues!D:D, $C52, Issues!E:E, $D52), 0)</f>
        <v>51250</v>
      </c>
      <c r="G52" s="20">
        <f>IFERROR(SUMIFS(Returns!H:H, Returns!F:F, $A52, Returns!C:C, $B52, Returns!D:D, $C52, Returns!E:E, $D52), 0)</f>
        <v>8450</v>
      </c>
      <c r="H52" s="20">
        <f t="shared" si="1"/>
        <v>11865</v>
      </c>
      <c r="I52" s="20">
        <f t="shared" si="2"/>
        <v>3559.5</v>
      </c>
      <c r="J52" s="20">
        <f>IFERROR( SUMIFS('Stock In'!I:I,'Stock In'!B:B,$A52,'Stock In'!C:C,$B52,'Stock In'!D:D,$C52,'Stock In'!E:E,$D52) / SUMIFS('Stock In'!H:H,'Stock In'!B:B,$A52,'Stock In'!C:C,$B52,'Stock In'!D:D,$C52,'Stock In'!E:E,$D52), 0)</f>
        <v>29.3455648</v>
      </c>
      <c r="K52" s="20">
        <f t="shared" si="3"/>
        <v>104455.5379</v>
      </c>
    </row>
    <row r="53" ht="22.5" customHeight="1">
      <c r="A53" s="21" t="str">
        <f>IFERROR(__xludf.DUMMYFUNCTION("""COMPUTED_VALUE"""),"Avery")</f>
        <v>Avery</v>
      </c>
      <c r="B53" s="21" t="str">
        <f>IFERROR(__xludf.DUMMYFUNCTION("""COMPUTED_VALUE"""),"Chromo")</f>
        <v>Chromo</v>
      </c>
      <c r="C53" s="21">
        <f>IFERROR(__xludf.DUMMYFUNCTION("""COMPUTED_VALUE"""),80.0)</f>
        <v>80</v>
      </c>
      <c r="D53" s="76">
        <f>IFERROR(__xludf.DUMMYFUNCTION("""COMPUTED_VALUE"""),310.0)</f>
        <v>310</v>
      </c>
      <c r="E53" s="20">
        <f>IFERROR(SUMIFS('Stock In'!F:F,'Stock In'!B:B,$A53,'Stock In'!C:C,$B53,'Stock In'!D:D,$C53,'Stock In'!E:E,$D53),0)</f>
        <v>7890</v>
      </c>
      <c r="F53" s="20">
        <f>IFERROR(SUMIFS(Issues!H:H, Issues!F:F, $A53, Issues!C:C, $B53, Issues!D:D, $C53, Issues!E:E, $D53), 0)</f>
        <v>0</v>
      </c>
      <c r="G53" s="20">
        <f>IFERROR(SUMIFS(Returns!H:H, Returns!F:F, $A53, Returns!C:C, $B53, Returns!D:D, $C53, Returns!E:E, $D53), 0)</f>
        <v>0</v>
      </c>
      <c r="H53" s="20">
        <f t="shared" si="1"/>
        <v>7890</v>
      </c>
      <c r="I53" s="20">
        <f t="shared" si="2"/>
        <v>2445.9</v>
      </c>
      <c r="J53" s="20">
        <f>IFERROR( SUMIFS('Stock In'!I:I,'Stock In'!B:B,$A53,'Stock In'!C:C,$B53,'Stock In'!D:D,$C53,'Stock In'!E:E,$D53) / SUMIFS('Stock In'!H:H,'Stock In'!B:B,$A53,'Stock In'!C:C,$B53,'Stock In'!D:D,$C53,'Stock In'!E:E,$D53), 0)</f>
        <v>31.64</v>
      </c>
      <c r="K53" s="20">
        <f t="shared" si="3"/>
        <v>77388.276</v>
      </c>
    </row>
    <row r="54" ht="22.5" customHeight="1">
      <c r="A54" s="21" t="str">
        <f>IFERROR(__xludf.DUMMYFUNCTION("""COMPUTED_VALUE"""),"Avery")</f>
        <v>Avery</v>
      </c>
      <c r="B54" s="21" t="str">
        <f>IFERROR(__xludf.DUMMYFUNCTION("""COMPUTED_VALUE"""),"Chromo")</f>
        <v>Chromo</v>
      </c>
      <c r="C54" s="21">
        <f>IFERROR(__xludf.DUMMYFUNCTION("""COMPUTED_VALUE"""),80.0)</f>
        <v>80</v>
      </c>
      <c r="D54" s="76">
        <f>IFERROR(__xludf.DUMMYFUNCTION("""COMPUTED_VALUE"""),320.0)</f>
        <v>320</v>
      </c>
      <c r="E54" s="20">
        <f>IFERROR(SUMIFS('Stock In'!F:F,'Stock In'!B:B,$A54,'Stock In'!C:C,$B54,'Stock In'!D:D,$C54,'Stock In'!E:E,$D54),0)</f>
        <v>45765</v>
      </c>
      <c r="F54" s="20">
        <f>IFERROR(SUMIFS(Issues!H:H, Issues!F:F, $A54, Issues!C:C, $B54, Issues!D:D, $C54, Issues!E:E, $D54), 0)</f>
        <v>41450</v>
      </c>
      <c r="G54" s="20">
        <f>IFERROR(SUMIFS(Returns!H:H, Returns!F:F, $A54, Returns!C:C, $B54, Returns!D:D, $C54, Returns!E:E, $D54), 0)</f>
        <v>16756</v>
      </c>
      <c r="H54" s="20">
        <f t="shared" si="1"/>
        <v>21071</v>
      </c>
      <c r="I54" s="20">
        <f t="shared" si="2"/>
        <v>6742.72</v>
      </c>
      <c r="J54" s="20">
        <f>IFERROR( SUMIFS('Stock In'!I:I,'Stock In'!B:B,$A54,'Stock In'!C:C,$B54,'Stock In'!D:D,$C54,'Stock In'!E:E,$D54) / SUMIFS('Stock In'!H:H,'Stock In'!B:B,$A54,'Stock In'!C:C,$B54,'Stock In'!D:D,$C54,'Stock In'!E:E,$D54), 0)</f>
        <v>29.51473834</v>
      </c>
      <c r="K54" s="20">
        <f t="shared" si="3"/>
        <v>199009.6165</v>
      </c>
    </row>
    <row r="55" ht="22.5" customHeight="1">
      <c r="A55" s="21" t="str">
        <f>IFERROR(__xludf.DUMMYFUNCTION("""COMPUTED_VALUE"""),"Avery")</f>
        <v>Avery</v>
      </c>
      <c r="B55" s="21" t="str">
        <f>IFERROR(__xludf.DUMMYFUNCTION("""COMPUTED_VALUE"""),"Chromo")</f>
        <v>Chromo</v>
      </c>
      <c r="C55" s="21">
        <f>IFERROR(__xludf.DUMMYFUNCTION("""COMPUTED_VALUE"""),80.0)</f>
        <v>80</v>
      </c>
      <c r="D55" s="76">
        <f>IFERROR(__xludf.DUMMYFUNCTION("""COMPUTED_VALUE"""),330.0)</f>
        <v>330</v>
      </c>
      <c r="E55" s="20">
        <f>IFERROR(SUMIFS('Stock In'!F:F,'Stock In'!B:B,$A55,'Stock In'!C:C,$B55,'Stock In'!D:D,$C55,'Stock In'!E:E,$D55),0)</f>
        <v>87760</v>
      </c>
      <c r="F55" s="20">
        <f>IFERROR(SUMIFS(Issues!H:H, Issues!F:F, $A55, Issues!C:C, $B55, Issues!D:D, $C55, Issues!E:E, $D55), 0)</f>
        <v>82016</v>
      </c>
      <c r="G55" s="20">
        <f>IFERROR(SUMIFS(Returns!H:H, Returns!F:F, $A55, Returns!C:C, $B55, Returns!D:D, $C55, Returns!E:E, $D55), 0)</f>
        <v>24010</v>
      </c>
      <c r="H55" s="20">
        <f t="shared" si="1"/>
        <v>29754</v>
      </c>
      <c r="I55" s="20">
        <f t="shared" si="2"/>
        <v>9818.82</v>
      </c>
      <c r="J55" s="20">
        <f>IFERROR( SUMIFS('Stock In'!I:I,'Stock In'!B:B,$A55,'Stock In'!C:C,$B55,'Stock In'!D:D,$C55,'Stock In'!E:E,$D55) / SUMIFS('Stock In'!H:H,'Stock In'!B:B,$A55,'Stock In'!C:C,$B55,'Stock In'!D:D,$C55,'Stock In'!E:E,$D55), 0)</f>
        <v>29.72311418</v>
      </c>
      <c r="K55" s="20">
        <f t="shared" si="3"/>
        <v>291845.9079</v>
      </c>
    </row>
    <row r="56" ht="22.5" customHeight="1">
      <c r="A56" s="21" t="str">
        <f>IFERROR(__xludf.DUMMYFUNCTION("""COMPUTED_VALUE"""),"Avery")</f>
        <v>Avery</v>
      </c>
      <c r="B56" s="21" t="str">
        <f>IFERROR(__xludf.DUMMYFUNCTION("""COMPUTED_VALUE"""),"Chromo")</f>
        <v>Chromo</v>
      </c>
      <c r="C56" s="21">
        <f>IFERROR(__xludf.DUMMYFUNCTION("""COMPUTED_VALUE"""),80.0)</f>
        <v>80</v>
      </c>
      <c r="D56" s="76">
        <f>IFERROR(__xludf.DUMMYFUNCTION("""COMPUTED_VALUE"""),395.0)</f>
        <v>395</v>
      </c>
      <c r="E56" s="20">
        <f>IFERROR(SUMIFS('Stock In'!F:F,'Stock In'!B:B,$A56,'Stock In'!C:C,$B56,'Stock In'!D:D,$C56,'Stock In'!E:E,$D56),0)</f>
        <v>46035</v>
      </c>
      <c r="F56" s="20">
        <f>IFERROR(SUMIFS(Issues!H:H, Issues!F:F, $A56, Issues!C:C, $B56, Issues!D:D, $C56, Issues!E:E, $D56), 0)</f>
        <v>40530</v>
      </c>
      <c r="G56" s="20">
        <f>IFERROR(SUMIFS(Returns!H:H, Returns!F:F, $A56, Returns!C:C, $B56, Returns!D:D, $C56, Returns!E:E, $D56), 0)</f>
        <v>5640</v>
      </c>
      <c r="H56" s="20">
        <f t="shared" si="1"/>
        <v>11145</v>
      </c>
      <c r="I56" s="20">
        <f t="shared" si="2"/>
        <v>4402.275</v>
      </c>
      <c r="J56" s="20">
        <f>IFERROR( SUMIFS('Stock In'!I:I,'Stock In'!B:B,$A56,'Stock In'!C:C,$B56,'Stock In'!D:D,$C56,'Stock In'!E:E,$D56) / SUMIFS('Stock In'!H:H,'Stock In'!B:B,$A56,'Stock In'!C:C,$B56,'Stock In'!D:D,$C56,'Stock In'!E:E,$D56), 0)</f>
        <v>29.18140762</v>
      </c>
      <c r="K56" s="20">
        <f t="shared" si="3"/>
        <v>128464.5813</v>
      </c>
    </row>
    <row r="57" ht="22.5" customHeight="1">
      <c r="A57" s="21" t="str">
        <f>IFERROR(__xludf.DUMMYFUNCTION("""COMPUTED_VALUE"""),"Avery")</f>
        <v>Avery</v>
      </c>
      <c r="B57" s="21" t="str">
        <f>IFERROR(__xludf.DUMMYFUNCTION("""COMPUTED_VALUE"""),"clear on clear")</f>
        <v>clear on clear</v>
      </c>
      <c r="C57" s="21">
        <f>IFERROR(__xludf.DUMMYFUNCTION("""COMPUTED_VALUE"""),50.0)</f>
        <v>50</v>
      </c>
      <c r="D57" s="76">
        <f>IFERROR(__xludf.DUMMYFUNCTION("""COMPUTED_VALUE"""),250.0)</f>
        <v>250</v>
      </c>
      <c r="E57" s="20">
        <f>IFERROR(SUMIFS('Stock In'!F:F,'Stock In'!B:B,$A57,'Stock In'!C:C,$B57,'Stock In'!D:D,$C57,'Stock In'!E:E,$D57),0)</f>
        <v>1000</v>
      </c>
      <c r="F57" s="20">
        <f>IFERROR(SUMIFS(Issues!H:H, Issues!F:F, $A57, Issues!C:C, $B57, Issues!D:D, $C57, Issues!E:E, $D57), 0)</f>
        <v>0</v>
      </c>
      <c r="G57" s="20">
        <f>IFERROR(SUMIFS(Returns!H:H, Returns!F:F, $A57, Returns!C:C, $B57, Returns!D:D, $C57, Returns!E:E, $D57), 0)</f>
        <v>0</v>
      </c>
      <c r="H57" s="20">
        <f t="shared" si="1"/>
        <v>1000</v>
      </c>
      <c r="I57" s="20">
        <f t="shared" si="2"/>
        <v>250</v>
      </c>
      <c r="J57" s="20">
        <f>IFERROR( SUMIFS('Stock In'!I:I,'Stock In'!B:B,$A57,'Stock In'!C:C,$B57,'Stock In'!D:D,$C57,'Stock In'!E:E,$D57) / SUMIFS('Stock In'!H:H,'Stock In'!B:B,$A57,'Stock In'!C:C,$B57,'Stock In'!D:D,$C57,'Stock In'!E:E,$D57), 0)</f>
        <v>62</v>
      </c>
      <c r="K57" s="20">
        <f t="shared" si="3"/>
        <v>15500</v>
      </c>
    </row>
    <row r="58" ht="22.5" customHeight="1">
      <c r="A58" s="21" t="str">
        <f>IFERROR(__xludf.DUMMYFUNCTION("""COMPUTED_VALUE"""),"Avery")</f>
        <v>Avery</v>
      </c>
      <c r="B58" s="21" t="str">
        <f>IFERROR(__xludf.DUMMYFUNCTION("""COMPUTED_VALUE"""),"DOUBLE SILICON (P G BACK)")</f>
        <v>DOUBLE SILICON (P G BACK)</v>
      </c>
      <c r="C58" s="21">
        <f>IFERROR(__xludf.DUMMYFUNCTION("""COMPUTED_VALUE"""),150.0)</f>
        <v>150</v>
      </c>
      <c r="D58" s="76">
        <f>IFERROR(__xludf.DUMMYFUNCTION("""COMPUTED_VALUE"""),100.0)</f>
        <v>100</v>
      </c>
      <c r="E58" s="20">
        <f>IFERROR(SUMIFS('Stock In'!F:F,'Stock In'!B:B,$A58,'Stock In'!C:C,$B58,'Stock In'!D:D,$C58,'Stock In'!E:E,$D58),0)</f>
        <v>1500</v>
      </c>
      <c r="F58" s="20">
        <f>IFERROR(SUMIFS(Issues!H:H, Issues!F:F, $A58, Issues!C:C, $B58, Issues!D:D, $C58, Issues!E:E, $D58), 0)</f>
        <v>0</v>
      </c>
      <c r="G58" s="20">
        <f>IFERROR(SUMIFS(Returns!H:H, Returns!F:F, $A58, Returns!C:C, $B58, Returns!D:D, $C58, Returns!E:E, $D58), 0)</f>
        <v>0</v>
      </c>
      <c r="H58" s="20">
        <f t="shared" si="1"/>
        <v>1500</v>
      </c>
      <c r="I58" s="20">
        <f t="shared" si="2"/>
        <v>150</v>
      </c>
      <c r="J58" s="20">
        <f>IFERROR( SUMIFS('Stock In'!I:I,'Stock In'!B:B,$A58,'Stock In'!C:C,$B58,'Stock In'!D:D,$C58,'Stock In'!E:E,$D58) / SUMIFS('Stock In'!H:H,'Stock In'!B:B,$A58,'Stock In'!C:C,$B58,'Stock In'!D:D,$C58,'Stock In'!E:E,$D58), 0)</f>
        <v>53.5</v>
      </c>
      <c r="K58" s="20">
        <f t="shared" si="3"/>
        <v>8025</v>
      </c>
    </row>
    <row r="59" ht="22.5" customHeight="1">
      <c r="A59" s="21" t="str">
        <f>IFERROR(__xludf.DUMMYFUNCTION("""COMPUTED_VALUE"""),"Avery")</f>
        <v>Avery</v>
      </c>
      <c r="B59" s="21" t="str">
        <f>IFERROR(__xludf.DUMMYFUNCTION("""COMPUTED_VALUE"""),"DOUBLE SILICON (P G BACK)")</f>
        <v>DOUBLE SILICON (P G BACK)</v>
      </c>
      <c r="C59" s="21">
        <f>IFERROR(__xludf.DUMMYFUNCTION("""COMPUTED_VALUE"""),150.0)</f>
        <v>150</v>
      </c>
      <c r="D59" s="76">
        <f>IFERROR(__xludf.DUMMYFUNCTION("""COMPUTED_VALUE"""),180.0)</f>
        <v>180</v>
      </c>
      <c r="E59" s="20">
        <f>IFERROR(SUMIFS('Stock In'!F:F,'Stock In'!B:B,$A59,'Stock In'!C:C,$B59,'Stock In'!D:D,$C59,'Stock In'!E:E,$D59),0)</f>
        <v>1500</v>
      </c>
      <c r="F59" s="20">
        <f>IFERROR(SUMIFS(Issues!H:H, Issues!F:F, $A59, Issues!C:C, $B59, Issues!D:D, $C59, Issues!E:E, $D59), 0)</f>
        <v>0</v>
      </c>
      <c r="G59" s="20">
        <f>IFERROR(SUMIFS(Returns!H:H, Returns!F:F, $A59, Returns!C:C, $B59, Returns!D:D, $C59, Returns!E:E, $D59), 0)</f>
        <v>0</v>
      </c>
      <c r="H59" s="20">
        <f t="shared" si="1"/>
        <v>1500</v>
      </c>
      <c r="I59" s="20">
        <f t="shared" si="2"/>
        <v>270</v>
      </c>
      <c r="J59" s="20">
        <f>IFERROR( SUMIFS('Stock In'!I:I,'Stock In'!B:B,$A59,'Stock In'!C:C,$B59,'Stock In'!D:D,$C59,'Stock In'!E:E,$D59) / SUMIFS('Stock In'!H:H,'Stock In'!B:B,$A59,'Stock In'!C:C,$B59,'Stock In'!D:D,$C59,'Stock In'!E:E,$D59), 0)</f>
        <v>53.5</v>
      </c>
      <c r="K59" s="20">
        <f t="shared" si="3"/>
        <v>14445</v>
      </c>
    </row>
    <row r="60" ht="22.5" customHeight="1">
      <c r="A60" s="21" t="str">
        <f>IFERROR(__xludf.DUMMYFUNCTION("""COMPUTED_VALUE"""),"Avery")</f>
        <v>Avery</v>
      </c>
      <c r="B60" s="21" t="str">
        <f>IFERROR(__xludf.DUMMYFUNCTION("""COMPUTED_VALUE"""),"P G BACK")</f>
        <v>P G BACK</v>
      </c>
      <c r="C60" s="21">
        <f>IFERROR(__xludf.DUMMYFUNCTION("""COMPUTED_VALUE"""),150.0)</f>
        <v>150</v>
      </c>
      <c r="D60" s="76">
        <f>IFERROR(__xludf.DUMMYFUNCTION("""COMPUTED_VALUE"""),90.0)</f>
        <v>90</v>
      </c>
      <c r="E60" s="20">
        <f>IFERROR(SUMIFS('Stock In'!F:F,'Stock In'!B:B,$A60,'Stock In'!C:C,$B60,'Stock In'!D:D,$C60,'Stock In'!E:E,$D60),0)</f>
        <v>500</v>
      </c>
      <c r="F60" s="20">
        <f>IFERROR(SUMIFS(Issues!H:H, Issues!F:F, $A60, Issues!C:C, $B60, Issues!D:D, $C60, Issues!E:E, $D60), 0)</f>
        <v>0</v>
      </c>
      <c r="G60" s="20">
        <f>IFERROR(SUMIFS(Returns!H:H, Returns!F:F, $A60, Returns!C:C, $B60, Returns!D:D, $C60, Returns!E:E, $D60), 0)</f>
        <v>0</v>
      </c>
      <c r="H60" s="20">
        <f t="shared" si="1"/>
        <v>500</v>
      </c>
      <c r="I60" s="20">
        <f t="shared" si="2"/>
        <v>45</v>
      </c>
      <c r="J60" s="20">
        <f>IFERROR( SUMIFS('Stock In'!I:I,'Stock In'!B:B,$A60,'Stock In'!C:C,$B60,'Stock In'!D:D,$C60,'Stock In'!E:E,$D60) / SUMIFS('Stock In'!H:H,'Stock In'!B:B,$A60,'Stock In'!C:C,$B60,'Stock In'!D:D,$C60,'Stock In'!E:E,$D60), 0)</f>
        <v>53.5</v>
      </c>
      <c r="K60" s="20">
        <f t="shared" si="3"/>
        <v>2407.5</v>
      </c>
    </row>
    <row r="61" ht="22.5" customHeight="1">
      <c r="A61" s="21" t="str">
        <f>IFERROR(__xludf.DUMMYFUNCTION("""COMPUTED_VALUE"""),"Avery")</f>
        <v>Avery</v>
      </c>
      <c r="B61" s="21" t="str">
        <f>IFERROR(__xludf.DUMMYFUNCTION("""COMPUTED_VALUE"""),"Paper- AMA5050 ( PIGGYBACK) ")</f>
        <v>Paper- AMA5050 ( PIGGYBACK) </v>
      </c>
      <c r="C61" s="21">
        <f>IFERROR(__xludf.DUMMYFUNCTION("""COMPUTED_VALUE"""),230.0)</f>
        <v>230</v>
      </c>
      <c r="D61" s="76">
        <f>IFERROR(__xludf.DUMMYFUNCTION("""COMPUTED_VALUE"""),200.0)</f>
        <v>200</v>
      </c>
      <c r="E61" s="20">
        <f>IFERROR(SUMIFS('Stock In'!F:F,'Stock In'!B:B,$A61,'Stock In'!C:C,$B61,'Stock In'!D:D,$C61,'Stock In'!E:E,$D61),0)</f>
        <v>34350</v>
      </c>
      <c r="F61" s="20">
        <f>IFERROR(SUMIFS(Issues!H:H, Issues!F:F, $A61, Issues!C:C, $B61, Issues!D:D, $C61, Issues!E:E, $D61), 0)</f>
        <v>7800</v>
      </c>
      <c r="G61" s="20">
        <f>IFERROR(SUMIFS(Returns!H:H, Returns!F:F, $A61, Returns!C:C, $B61, Returns!D:D, $C61, Returns!E:E, $D61), 0)</f>
        <v>650</v>
      </c>
      <c r="H61" s="20">
        <f t="shared" si="1"/>
        <v>27200</v>
      </c>
      <c r="I61" s="20">
        <f t="shared" si="2"/>
        <v>5440</v>
      </c>
      <c r="J61" s="20">
        <f>IFERROR( SUMIFS('Stock In'!I:I,'Stock In'!B:B,$A61,'Stock In'!C:C,$B61,'Stock In'!D:D,$C61,'Stock In'!E:E,$D61) / SUMIFS('Stock In'!H:H,'Stock In'!B:B,$A61,'Stock In'!C:C,$B61,'Stock In'!D:D,$C61,'Stock In'!E:E,$D61), 0)</f>
        <v>57.70959243</v>
      </c>
      <c r="K61" s="20">
        <f t="shared" si="3"/>
        <v>313940.1828</v>
      </c>
    </row>
    <row r="62" ht="22.5" customHeight="1">
      <c r="A62" s="21" t="str">
        <f>IFERROR(__xludf.DUMMYFUNCTION("""COMPUTED_VALUE"""),"Avery")</f>
        <v>Avery</v>
      </c>
      <c r="B62" s="21" t="str">
        <f>IFERROR(__xludf.DUMMYFUNCTION("""COMPUTED_VALUE"""),"PET MATT")</f>
        <v>PET MATT</v>
      </c>
      <c r="C62" s="21">
        <f>IFERROR(__xludf.DUMMYFUNCTION("""COMPUTED_VALUE"""),50.0)</f>
        <v>50</v>
      </c>
      <c r="D62" s="76">
        <f>IFERROR(__xludf.DUMMYFUNCTION("""COMPUTED_VALUE"""),175.0)</f>
        <v>175</v>
      </c>
      <c r="E62" s="20">
        <f>IFERROR(SUMIFS('Stock In'!F:F,'Stock In'!B:B,$A62,'Stock In'!C:C,$B62,'Stock In'!D:D,$C62,'Stock In'!E:E,$D62),0)</f>
        <v>600</v>
      </c>
      <c r="F62" s="20">
        <f>IFERROR(SUMIFS(Issues!H:H, Issues!F:F, $A62, Issues!C:C, $B62, Issues!D:D, $C62, Issues!E:E, $D62), 0)</f>
        <v>0</v>
      </c>
      <c r="G62" s="20">
        <f>IFERROR(SUMIFS(Returns!H:H, Returns!F:F, $A62, Returns!C:C, $B62, Returns!D:D, $C62, Returns!E:E, $D62), 0)</f>
        <v>0</v>
      </c>
      <c r="H62" s="20">
        <f t="shared" si="1"/>
        <v>600</v>
      </c>
      <c r="I62" s="20">
        <f t="shared" si="2"/>
        <v>105</v>
      </c>
      <c r="J62" s="20">
        <f>IFERROR( SUMIFS('Stock In'!I:I,'Stock In'!B:B,$A62,'Stock In'!C:C,$B62,'Stock In'!D:D,$C62,'Stock In'!E:E,$D62) / SUMIFS('Stock In'!H:H,'Stock In'!B:B,$A62,'Stock In'!C:C,$B62,'Stock In'!D:D,$C62,'Stock In'!E:E,$D62), 0)</f>
        <v>0</v>
      </c>
      <c r="K62" s="20">
        <f t="shared" si="3"/>
        <v>0</v>
      </c>
    </row>
    <row r="63" ht="22.5" customHeight="1">
      <c r="A63" s="21" t="str">
        <f>IFERROR(__xludf.DUMMYFUNCTION("""COMPUTED_VALUE"""),"Avery")</f>
        <v>Avery</v>
      </c>
      <c r="B63" s="21" t="str">
        <f>IFERROR(__xludf.DUMMYFUNCTION("""COMPUTED_VALUE"""),"PP CLEAR")</f>
        <v>PP CLEAR</v>
      </c>
      <c r="C63" s="21">
        <f>IFERROR(__xludf.DUMMYFUNCTION("""COMPUTED_VALUE"""),50.0)</f>
        <v>50</v>
      </c>
      <c r="D63" s="76">
        <f>IFERROR(__xludf.DUMMYFUNCTION("""COMPUTED_VALUE"""),100.0)</f>
        <v>100</v>
      </c>
      <c r="E63" s="20">
        <f>IFERROR(SUMIFS('Stock In'!F:F,'Stock In'!B:B,$A63,'Stock In'!C:C,$B63,'Stock In'!D:D,$C63,'Stock In'!E:E,$D63),0)</f>
        <v>960</v>
      </c>
      <c r="F63" s="20">
        <f>IFERROR(SUMIFS(Issues!H:H, Issues!F:F, $A63, Issues!C:C, $B63, Issues!D:D, $C63, Issues!E:E, $D63), 0)</f>
        <v>0</v>
      </c>
      <c r="G63" s="20">
        <f>IFERROR(SUMIFS(Returns!H:H, Returns!F:F, $A63, Returns!C:C, $B63, Returns!D:D, $C63, Returns!E:E, $D63), 0)</f>
        <v>0</v>
      </c>
      <c r="H63" s="20">
        <f t="shared" si="1"/>
        <v>960</v>
      </c>
      <c r="I63" s="20">
        <f t="shared" si="2"/>
        <v>96</v>
      </c>
      <c r="J63" s="20">
        <f>IFERROR( SUMIFS('Stock In'!I:I,'Stock In'!B:B,$A63,'Stock In'!C:C,$B63,'Stock In'!D:D,$C63,'Stock In'!E:E,$D63) / SUMIFS('Stock In'!H:H,'Stock In'!B:B,$A63,'Stock In'!C:C,$B63,'Stock In'!D:D,$C63,'Stock In'!E:E,$D63), 0)</f>
        <v>42.92</v>
      </c>
      <c r="K63" s="20">
        <f t="shared" si="3"/>
        <v>4120.32</v>
      </c>
    </row>
    <row r="64" ht="22.5" customHeight="1">
      <c r="A64" s="21" t="str">
        <f>IFERROR(__xludf.DUMMYFUNCTION("""COMPUTED_VALUE"""),"Avery")</f>
        <v>Avery</v>
      </c>
      <c r="B64" s="21" t="str">
        <f>IFERROR(__xludf.DUMMYFUNCTION("""COMPUTED_VALUE"""),"PP CLEAR")</f>
        <v>PP CLEAR</v>
      </c>
      <c r="C64" s="21">
        <f>IFERROR(__xludf.DUMMYFUNCTION("""COMPUTED_VALUE"""),50.0)</f>
        <v>50</v>
      </c>
      <c r="D64" s="76">
        <f>IFERROR(__xludf.DUMMYFUNCTION("""COMPUTED_VALUE"""),180.0)</f>
        <v>180</v>
      </c>
      <c r="E64" s="20">
        <f>IFERROR(SUMIFS('Stock In'!F:F,'Stock In'!B:B,$A64,'Stock In'!C:C,$B64,'Stock In'!D:D,$C64,'Stock In'!E:E,$D64),0)</f>
        <v>5000</v>
      </c>
      <c r="F64" s="20">
        <f>IFERROR(SUMIFS(Issues!H:H, Issues!F:F, $A64, Issues!C:C, $B64, Issues!D:D, $C64, Issues!E:E, $D64), 0)</f>
        <v>0</v>
      </c>
      <c r="G64" s="20">
        <f>IFERROR(SUMIFS(Returns!H:H, Returns!F:F, $A64, Returns!C:C, $B64, Returns!D:D, $C64, Returns!E:E, $D64), 0)</f>
        <v>0</v>
      </c>
      <c r="H64" s="20">
        <f t="shared" si="1"/>
        <v>5000</v>
      </c>
      <c r="I64" s="20">
        <f t="shared" si="2"/>
        <v>900</v>
      </c>
      <c r="J64" s="20">
        <f>IFERROR( SUMIFS('Stock In'!I:I,'Stock In'!B:B,$A64,'Stock In'!C:C,$B64,'Stock In'!D:D,$C64,'Stock In'!E:E,$D64) / SUMIFS('Stock In'!H:H,'Stock In'!B:B,$A64,'Stock In'!C:C,$B64,'Stock In'!D:D,$C64,'Stock In'!E:E,$D64), 0)</f>
        <v>42.92</v>
      </c>
      <c r="K64" s="20">
        <f t="shared" si="3"/>
        <v>38628</v>
      </c>
    </row>
    <row r="65" ht="22.5" customHeight="1">
      <c r="A65" s="21" t="str">
        <f>IFERROR(__xludf.DUMMYFUNCTION("""COMPUTED_VALUE"""),"Avery")</f>
        <v>Avery</v>
      </c>
      <c r="B65" s="21" t="str">
        <f>IFERROR(__xludf.DUMMYFUNCTION("""COMPUTED_VALUE"""),"PP CLEAR")</f>
        <v>PP CLEAR</v>
      </c>
      <c r="C65" s="21">
        <f>IFERROR(__xludf.DUMMYFUNCTION("""COMPUTED_VALUE"""),50.0)</f>
        <v>50</v>
      </c>
      <c r="D65" s="76">
        <f>IFERROR(__xludf.DUMMYFUNCTION("""COMPUTED_VALUE"""),200.0)</f>
        <v>200</v>
      </c>
      <c r="E65" s="20">
        <f>IFERROR(SUMIFS('Stock In'!F:F,'Stock In'!B:B,$A65,'Stock In'!C:C,$B65,'Stock In'!D:D,$C65,'Stock In'!E:E,$D65),0)</f>
        <v>17650</v>
      </c>
      <c r="F65" s="20">
        <f>IFERROR(SUMIFS(Issues!H:H, Issues!F:F, $A65, Issues!C:C, $B65, Issues!D:D, $C65, Issues!E:E, $D65), 0)</f>
        <v>12400</v>
      </c>
      <c r="G65" s="20">
        <f>IFERROR(SUMIFS(Returns!H:H, Returns!F:F, $A65, Returns!C:C, $B65, Returns!D:D, $C65, Returns!E:E, $D65), 0)</f>
        <v>310</v>
      </c>
      <c r="H65" s="20">
        <f t="shared" si="1"/>
        <v>5560</v>
      </c>
      <c r="I65" s="20">
        <f t="shared" si="2"/>
        <v>1112</v>
      </c>
      <c r="J65" s="20">
        <f>IFERROR( SUMIFS('Stock In'!I:I,'Stock In'!B:B,$A65,'Stock In'!C:C,$B65,'Stock In'!D:D,$C65,'Stock In'!E:E,$D65) / SUMIFS('Stock In'!H:H,'Stock In'!B:B,$A65,'Stock In'!C:C,$B65,'Stock In'!D:D,$C65,'Stock In'!E:E,$D65), 0)</f>
        <v>38.42776204</v>
      </c>
      <c r="K65" s="20">
        <f t="shared" si="3"/>
        <v>42731.67139</v>
      </c>
    </row>
    <row r="66" ht="22.5" customHeight="1">
      <c r="A66" s="21" t="str">
        <f>IFERROR(__xludf.DUMMYFUNCTION("""COMPUTED_VALUE"""),"Avery")</f>
        <v>Avery</v>
      </c>
      <c r="B66" s="21" t="str">
        <f>IFERROR(__xludf.DUMMYFUNCTION("""COMPUTED_VALUE"""),"PP WHITE")</f>
        <v>PP WHITE</v>
      </c>
      <c r="C66" s="21">
        <f>IFERROR(__xludf.DUMMYFUNCTION("""COMPUTED_VALUE"""),50.0)</f>
        <v>50</v>
      </c>
      <c r="D66" s="76">
        <f>IFERROR(__xludf.DUMMYFUNCTION("""COMPUTED_VALUE"""),100.0)</f>
        <v>100</v>
      </c>
      <c r="E66" s="20">
        <f>IFERROR(SUMIFS('Stock In'!F:F,'Stock In'!B:B,$A66,'Stock In'!C:C,$B66,'Stock In'!D:D,$C66,'Stock In'!E:E,$D66),0)</f>
        <v>19670</v>
      </c>
      <c r="F66" s="20">
        <f>IFERROR(SUMIFS(Issues!H:H, Issues!F:F, $A66, Issues!C:C, $B66, Issues!D:D, $C66, Issues!E:E, $D66), 0)</f>
        <v>1750</v>
      </c>
      <c r="G66" s="20">
        <f>IFERROR(SUMIFS(Returns!H:H, Returns!F:F, $A66, Returns!C:C, $B66, Returns!D:D, $C66, Returns!E:E, $D66), 0)</f>
        <v>400</v>
      </c>
      <c r="H66" s="20">
        <f t="shared" si="1"/>
        <v>18320</v>
      </c>
      <c r="I66" s="20">
        <f t="shared" si="2"/>
        <v>1832</v>
      </c>
      <c r="J66" s="20">
        <f>IFERROR( SUMIFS('Stock In'!I:I,'Stock In'!B:B,$A66,'Stock In'!C:C,$B66,'Stock In'!D:D,$C66,'Stock In'!E:E,$D66) / SUMIFS('Stock In'!H:H,'Stock In'!B:B,$A66,'Stock In'!C:C,$B66,'Stock In'!D:D,$C66,'Stock In'!E:E,$D66), 0)</f>
        <v>41.72215557</v>
      </c>
      <c r="K66" s="20">
        <f t="shared" si="3"/>
        <v>76434.989</v>
      </c>
    </row>
    <row r="67" ht="22.5" customHeight="1">
      <c r="A67" s="21" t="str">
        <f>IFERROR(__xludf.DUMMYFUNCTION("""COMPUTED_VALUE"""),"Avery")</f>
        <v>Avery</v>
      </c>
      <c r="B67" s="21" t="str">
        <f>IFERROR(__xludf.DUMMYFUNCTION("""COMPUTED_VALUE"""),"PP WHITE")</f>
        <v>PP WHITE</v>
      </c>
      <c r="C67" s="21">
        <f>IFERROR(__xludf.DUMMYFUNCTION("""COMPUTED_VALUE"""),80.0)</f>
        <v>80</v>
      </c>
      <c r="D67" s="76">
        <f>IFERROR(__xludf.DUMMYFUNCTION("""COMPUTED_VALUE"""),100.0)</f>
        <v>100</v>
      </c>
      <c r="E67" s="20">
        <f>IFERROR(SUMIFS('Stock In'!F:F,'Stock In'!B:B,$A67,'Stock In'!C:C,$B67,'Stock In'!D:D,$C67,'Stock In'!E:E,$D67),0)</f>
        <v>62035</v>
      </c>
      <c r="F67" s="20">
        <f>IFERROR(SUMIFS(Issues!H:H, Issues!F:F, $A67, Issues!C:C, $B67, Issues!D:D, $C67, Issues!E:E, $D67), 0)</f>
        <v>2000</v>
      </c>
      <c r="G67" s="20">
        <f>IFERROR(SUMIFS(Returns!H:H, Returns!F:F, $A67, Returns!C:C, $B67, Returns!D:D, $C67, Returns!E:E, $D67), 0)</f>
        <v>0</v>
      </c>
      <c r="H67" s="20">
        <f t="shared" si="1"/>
        <v>60035</v>
      </c>
      <c r="I67" s="20">
        <f t="shared" si="2"/>
        <v>6003.5</v>
      </c>
      <c r="J67" s="20">
        <f>IFERROR( SUMIFS('Stock In'!I:I,'Stock In'!B:B,$A67,'Stock In'!C:C,$B67,'Stock In'!D:D,$C67,'Stock In'!E:E,$D67) / SUMIFS('Stock In'!H:H,'Stock In'!B:B,$A67,'Stock In'!C:C,$B67,'Stock In'!D:D,$C67,'Stock In'!E:E,$D67), 0)</f>
        <v>42.92</v>
      </c>
      <c r="K67" s="20">
        <f t="shared" si="3"/>
        <v>257670.22</v>
      </c>
    </row>
    <row r="68" ht="22.5" customHeight="1">
      <c r="A68" s="21" t="str">
        <f>IFERROR(__xludf.DUMMYFUNCTION("""COMPUTED_VALUE"""),"Avery")</f>
        <v>Avery</v>
      </c>
      <c r="B68" s="21" t="str">
        <f>IFERROR(__xludf.DUMMYFUNCTION("""COMPUTED_VALUE"""),"PP WHITE")</f>
        <v>PP WHITE</v>
      </c>
      <c r="C68" s="21">
        <f>IFERROR(__xludf.DUMMYFUNCTION("""COMPUTED_VALUE"""),50.0)</f>
        <v>50</v>
      </c>
      <c r="D68" s="76">
        <f>IFERROR(__xludf.DUMMYFUNCTION("""COMPUTED_VALUE"""),160.0)</f>
        <v>160</v>
      </c>
      <c r="E68" s="20">
        <f>IFERROR(SUMIFS('Stock In'!F:F,'Stock In'!B:B,$A68,'Stock In'!C:C,$B68,'Stock In'!D:D,$C68,'Stock In'!E:E,$D68),0)</f>
        <v>8000</v>
      </c>
      <c r="F68" s="20">
        <f>IFERROR(SUMIFS(Issues!H:H, Issues!F:F, $A68, Issues!C:C, $B68, Issues!D:D, $C68, Issues!E:E, $D68), 0)</f>
        <v>600</v>
      </c>
      <c r="G68" s="20">
        <f>IFERROR(SUMIFS(Returns!H:H, Returns!F:F, $A68, Returns!C:C, $B68, Returns!D:D, $C68, Returns!E:E, $D68), 0)</f>
        <v>300</v>
      </c>
      <c r="H68" s="20">
        <f t="shared" si="1"/>
        <v>7700</v>
      </c>
      <c r="I68" s="20">
        <f t="shared" si="2"/>
        <v>1232</v>
      </c>
      <c r="J68" s="20">
        <f>IFERROR( SUMIFS('Stock In'!I:I,'Stock In'!B:B,$A68,'Stock In'!C:C,$B68,'Stock In'!D:D,$C68,'Stock In'!E:E,$D68) / SUMIFS('Stock In'!H:H,'Stock In'!B:B,$A68,'Stock In'!C:C,$B68,'Stock In'!D:D,$C68,'Stock In'!E:E,$D68), 0)</f>
        <v>37</v>
      </c>
      <c r="K68" s="20">
        <f t="shared" si="3"/>
        <v>45584</v>
      </c>
    </row>
    <row r="69" ht="22.5" customHeight="1">
      <c r="A69" s="21" t="str">
        <f>IFERROR(__xludf.DUMMYFUNCTION("""COMPUTED_VALUE"""),"Avery")</f>
        <v>Avery</v>
      </c>
      <c r="B69" s="21" t="str">
        <f>IFERROR(__xludf.DUMMYFUNCTION("""COMPUTED_VALUE"""),"PP WHITE")</f>
        <v>PP WHITE</v>
      </c>
      <c r="C69" s="21">
        <f>IFERROR(__xludf.DUMMYFUNCTION("""COMPUTED_VALUE"""),50.0)</f>
        <v>50</v>
      </c>
      <c r="D69" s="76">
        <f>IFERROR(__xludf.DUMMYFUNCTION("""COMPUTED_VALUE"""),190.0)</f>
        <v>190</v>
      </c>
      <c r="E69" s="20">
        <f>IFERROR(SUMIFS('Stock In'!F:F,'Stock In'!B:B,$A69,'Stock In'!C:C,$B69,'Stock In'!D:D,$C69,'Stock In'!E:E,$D69),0)</f>
        <v>40120</v>
      </c>
      <c r="F69" s="20">
        <f>IFERROR(SUMIFS(Issues!H:H, Issues!F:F, $A69, Issues!C:C, $B69, Issues!D:D, $C69, Issues!E:E, $D69), 0)</f>
        <v>700</v>
      </c>
      <c r="G69" s="20">
        <f>IFERROR(SUMIFS(Returns!H:H, Returns!F:F, $A69, Returns!C:C, $B69, Returns!D:D, $C69, Returns!E:E, $D69), 0)</f>
        <v>230</v>
      </c>
      <c r="H69" s="20">
        <f t="shared" si="1"/>
        <v>39650</v>
      </c>
      <c r="I69" s="20">
        <f t="shared" si="2"/>
        <v>7533.5</v>
      </c>
      <c r="J69" s="20">
        <f>IFERROR( SUMIFS('Stock In'!I:I,'Stock In'!B:B,$A69,'Stock In'!C:C,$B69,'Stock In'!D:D,$C69,'Stock In'!E:E,$D69) / SUMIFS('Stock In'!H:H,'Stock In'!B:B,$A69,'Stock In'!C:C,$B69,'Stock In'!D:D,$C69,'Stock In'!E:E,$D69), 0)</f>
        <v>42.92</v>
      </c>
      <c r="K69" s="20">
        <f t="shared" si="3"/>
        <v>323337.82</v>
      </c>
    </row>
    <row r="70" ht="22.5" customHeight="1">
      <c r="A70" s="21" t="str">
        <f>IFERROR(__xludf.DUMMYFUNCTION("""COMPUTED_VALUE"""),"Avery")</f>
        <v>Avery</v>
      </c>
      <c r="B70" s="21" t="str">
        <f>IFERROR(__xludf.DUMMYFUNCTION("""COMPUTED_VALUE"""),"PP WHITE")</f>
        <v>PP WHITE</v>
      </c>
      <c r="C70" s="21">
        <f>IFERROR(__xludf.DUMMYFUNCTION("""COMPUTED_VALUE"""),50.0)</f>
        <v>50</v>
      </c>
      <c r="D70" s="76">
        <f>IFERROR(__xludf.DUMMYFUNCTION("""COMPUTED_VALUE"""),200.0)</f>
        <v>200</v>
      </c>
      <c r="E70" s="20">
        <f>IFERROR(SUMIFS('Stock In'!F:F,'Stock In'!B:B,$A70,'Stock In'!C:C,$B70,'Stock In'!D:D,$C70,'Stock In'!E:E,$D70),0)</f>
        <v>800</v>
      </c>
      <c r="F70" s="20">
        <f>IFERROR(SUMIFS(Issues!H:H, Issues!F:F, $A70, Issues!C:C, $B70, Issues!D:D, $C70, Issues!E:E, $D70), 0)</f>
        <v>0</v>
      </c>
      <c r="G70" s="20">
        <f>IFERROR(SUMIFS(Returns!H:H, Returns!F:F, $A70, Returns!C:C, $B70, Returns!D:D, $C70, Returns!E:E, $D70), 0)</f>
        <v>0</v>
      </c>
      <c r="H70" s="20">
        <f t="shared" si="1"/>
        <v>800</v>
      </c>
      <c r="I70" s="20">
        <f t="shared" si="2"/>
        <v>160</v>
      </c>
      <c r="J70" s="20">
        <f>IFERROR( SUMIFS('Stock In'!I:I,'Stock In'!B:B,$A70,'Stock In'!C:C,$B70,'Stock In'!D:D,$C70,'Stock In'!E:E,$D70) / SUMIFS('Stock In'!H:H,'Stock In'!B:B,$A70,'Stock In'!C:C,$B70,'Stock In'!D:D,$C70,'Stock In'!E:E,$D70), 0)</f>
        <v>44</v>
      </c>
      <c r="K70" s="20">
        <f t="shared" si="3"/>
        <v>7040</v>
      </c>
    </row>
    <row r="71" ht="22.5" customHeight="1">
      <c r="A71" s="21" t="str">
        <f>IFERROR(__xludf.DUMMYFUNCTION("""COMPUTED_VALUE"""),"Avery")</f>
        <v>Avery</v>
      </c>
      <c r="B71" s="21" t="str">
        <f>IFERROR(__xludf.DUMMYFUNCTION("""COMPUTED_VALUE"""),"SILVER PAPER")</f>
        <v>SILVER PAPER</v>
      </c>
      <c r="C71" s="21">
        <f>IFERROR(__xludf.DUMMYFUNCTION("""COMPUTED_VALUE"""),80.0)</f>
        <v>80</v>
      </c>
      <c r="D71" s="76">
        <f>IFERROR(__xludf.DUMMYFUNCTION("""COMPUTED_VALUE"""),280.0)</f>
        <v>280</v>
      </c>
      <c r="E71" s="20">
        <f>IFERROR(SUMIFS('Stock In'!F:F,'Stock In'!B:B,$A71,'Stock In'!C:C,$B71,'Stock In'!D:D,$C71,'Stock In'!E:E,$D71),0)</f>
        <v>200</v>
      </c>
      <c r="F71" s="20">
        <f>IFERROR(SUMIFS(Issues!H:H, Issues!F:F, $A71, Issues!C:C, $B71, Issues!D:D, $C71, Issues!E:E, $D71), 0)</f>
        <v>200</v>
      </c>
      <c r="G71" s="20">
        <f>IFERROR(SUMIFS(Returns!H:H, Returns!F:F, $A71, Returns!C:C, $B71, Returns!D:D, $C71, Returns!E:E, $D71), 0)</f>
        <v>0</v>
      </c>
      <c r="H71" s="20">
        <f t="shared" si="1"/>
        <v>0</v>
      </c>
      <c r="I71" s="20">
        <f t="shared" si="2"/>
        <v>0</v>
      </c>
      <c r="J71" s="20">
        <f>IFERROR( SUMIFS('Stock In'!I:I,'Stock In'!B:B,$A71,'Stock In'!C:C,$B71,'Stock In'!D:D,$C71,'Stock In'!E:E,$D71) / SUMIFS('Stock In'!H:H,'Stock In'!B:B,$A71,'Stock In'!C:C,$B71,'Stock In'!D:D,$C71,'Stock In'!E:E,$D71), 0)</f>
        <v>48</v>
      </c>
      <c r="K71" s="20">
        <f t="shared" si="3"/>
        <v>0</v>
      </c>
    </row>
    <row r="72" ht="22.5" customHeight="1">
      <c r="A72" s="21" t="str">
        <f>IFERROR(__xludf.DUMMYFUNCTION("""COMPUTED_VALUE"""),"DEE DEE LABEL")</f>
        <v>DEE DEE LABEL</v>
      </c>
      <c r="B72" s="21" t="str">
        <f>IFERROR(__xludf.DUMMYFUNCTION("""COMPUTED_VALUE"""),"U- CHROMO 80/60 WGL (HM)")</f>
        <v>U- CHROMO 80/60 WGL (HM)</v>
      </c>
      <c r="C72" s="21">
        <f>IFERROR(__xludf.DUMMYFUNCTION("""COMPUTED_VALUE"""),80.0)</f>
        <v>80</v>
      </c>
      <c r="D72" s="76">
        <f>IFERROR(__xludf.DUMMYFUNCTION("""COMPUTED_VALUE"""),334.0)</f>
        <v>334</v>
      </c>
      <c r="E72" s="20">
        <f>IFERROR(SUMIFS('Stock In'!F:F,'Stock In'!B:B,$A72,'Stock In'!C:C,$B72,'Stock In'!D:D,$C72,'Stock In'!E:E,$D72),0)</f>
        <v>1856</v>
      </c>
      <c r="F72" s="20">
        <f>IFERROR(SUMIFS(Issues!H:H, Issues!F:F, $A72, Issues!C:C, $B72, Issues!D:D, $C72, Issues!E:E, $D72), 0)</f>
        <v>0</v>
      </c>
      <c r="G72" s="20">
        <f>IFERROR(SUMIFS(Returns!H:H, Returns!F:F, $A72, Returns!C:C, $B72, Returns!D:D, $C72, Returns!E:E, $D72), 0)</f>
        <v>0</v>
      </c>
      <c r="H72" s="20">
        <f t="shared" si="1"/>
        <v>1856</v>
      </c>
      <c r="I72" s="20">
        <f t="shared" si="2"/>
        <v>619.904</v>
      </c>
      <c r="J72" s="20">
        <f>IFERROR( SUMIFS('Stock In'!I:I,'Stock In'!B:B,$A72,'Stock In'!C:C,$B72,'Stock In'!D:D,$C72,'Stock In'!E:E,$D72) / SUMIFS('Stock In'!H:H,'Stock In'!B:B,$A72,'Stock In'!C:C,$B72,'Stock In'!D:D,$C72,'Stock In'!E:E,$D72), 0)</f>
        <v>25.5</v>
      </c>
      <c r="K72" s="20">
        <f t="shared" si="3"/>
        <v>15807.552</v>
      </c>
    </row>
    <row r="73" ht="22.5" customHeight="1">
      <c r="A73" s="21" t="str">
        <f>IFERROR(__xludf.DUMMYFUNCTION("""COMPUTED_VALUE"""),"Manish Pack")</f>
        <v>Manish Pack</v>
      </c>
      <c r="B73" s="21" t="str">
        <f>IFERROR(__xludf.DUMMYFUNCTION("""COMPUTED_VALUE"""),"Pvc Cast Film")</f>
        <v>Pvc Cast Film</v>
      </c>
      <c r="C73" s="21">
        <f>IFERROR(__xludf.DUMMYFUNCTION("""COMPUTED_VALUE"""),40.0)</f>
        <v>40</v>
      </c>
      <c r="D73" s="76">
        <f>IFERROR(__xludf.DUMMYFUNCTION("""COMPUTED_VALUE"""),190.0)</f>
        <v>190</v>
      </c>
      <c r="E73" s="20">
        <f>IFERROR(SUMIFS('Stock In'!F:F,'Stock In'!B:B,$A73,'Stock In'!C:C,$B73,'Stock In'!D:D,$C73,'Stock In'!E:E,$D73),0)</f>
        <v>500</v>
      </c>
      <c r="F73" s="20">
        <f>IFERROR(SUMIFS(Issues!H:H, Issues!F:F, $A73, Issues!C:C, $B73, Issues!D:D, $C73, Issues!E:E, $D73), 0)</f>
        <v>0</v>
      </c>
      <c r="G73" s="20">
        <f>IFERROR(SUMIFS(Returns!H:H, Returns!F:F, $A73, Returns!C:C, $B73, Returns!D:D, $C73, Returns!E:E, $D73), 0)</f>
        <v>0</v>
      </c>
      <c r="H73" s="20">
        <f t="shared" si="1"/>
        <v>500</v>
      </c>
      <c r="I73" s="20">
        <f t="shared" si="2"/>
        <v>95</v>
      </c>
      <c r="J73" s="20">
        <f>IFERROR( SUMIFS('Stock In'!I:I,'Stock In'!B:B,$A73,'Stock In'!C:C,$B73,'Stock In'!D:D,$C73,'Stock In'!E:E,$D73) / SUMIFS('Stock In'!H:H,'Stock In'!B:B,$A73,'Stock In'!C:C,$B73,'Stock In'!D:D,$C73,'Stock In'!E:E,$D73), 0)</f>
        <v>13</v>
      </c>
      <c r="K73" s="20">
        <f t="shared" si="3"/>
        <v>1235</v>
      </c>
    </row>
    <row r="74" ht="22.5" customHeight="1">
      <c r="A74" s="21" t="str">
        <f>IFERROR(__xludf.DUMMYFUNCTION("""COMPUTED_VALUE"""),"Manish Pack")</f>
        <v>Manish Pack</v>
      </c>
      <c r="B74" s="21" t="str">
        <f>IFERROR(__xludf.DUMMYFUNCTION("""COMPUTED_VALUE"""),"Pvc Cast Film")</f>
        <v>Pvc Cast Film</v>
      </c>
      <c r="C74" s="21">
        <f>IFERROR(__xludf.DUMMYFUNCTION("""COMPUTED_VALUE"""),40.0)</f>
        <v>40</v>
      </c>
      <c r="D74" s="76">
        <f>IFERROR(__xludf.DUMMYFUNCTION("""COMPUTED_VALUE"""),195.0)</f>
        <v>195</v>
      </c>
      <c r="E74" s="20">
        <f>IFERROR(SUMIFS('Stock In'!F:F,'Stock In'!B:B,$A74,'Stock In'!C:C,$B74,'Stock In'!D:D,$C74,'Stock In'!E:E,$D74),0)</f>
        <v>600</v>
      </c>
      <c r="F74" s="20">
        <f>IFERROR(SUMIFS(Issues!H:H, Issues!F:F, $A74, Issues!C:C, $B74, Issues!D:D, $C74, Issues!E:E, $D74), 0)</f>
        <v>0</v>
      </c>
      <c r="G74" s="20">
        <f>IFERROR(SUMIFS(Returns!H:H, Returns!F:F, $A74, Returns!C:C, $B74, Returns!D:D, $C74, Returns!E:E, $D74), 0)</f>
        <v>0</v>
      </c>
      <c r="H74" s="20">
        <f t="shared" si="1"/>
        <v>600</v>
      </c>
      <c r="I74" s="20">
        <f t="shared" si="2"/>
        <v>117</v>
      </c>
      <c r="J74" s="20">
        <f>IFERROR( SUMIFS('Stock In'!I:I,'Stock In'!B:B,$A74,'Stock In'!C:C,$B74,'Stock In'!D:D,$C74,'Stock In'!E:E,$D74) / SUMIFS('Stock In'!H:H,'Stock In'!B:B,$A74,'Stock In'!C:C,$B74,'Stock In'!D:D,$C74,'Stock In'!E:E,$D74), 0)</f>
        <v>13</v>
      </c>
      <c r="K74" s="20">
        <f t="shared" si="3"/>
        <v>1521</v>
      </c>
    </row>
    <row r="75" ht="22.5" customHeight="1">
      <c r="A75" s="21" t="str">
        <f>IFERROR(__xludf.DUMMYFUNCTION("""COMPUTED_VALUE"""),"Manish Pack")</f>
        <v>Manish Pack</v>
      </c>
      <c r="B75" s="21" t="str">
        <f>IFERROR(__xludf.DUMMYFUNCTION("""COMPUTED_VALUE"""),"Pvc Cast Film")</f>
        <v>Pvc Cast Film</v>
      </c>
      <c r="C75" s="21">
        <f>IFERROR(__xludf.DUMMYFUNCTION("""COMPUTED_VALUE"""),40.0)</f>
        <v>40</v>
      </c>
      <c r="D75" s="76">
        <f>IFERROR(__xludf.DUMMYFUNCTION("""COMPUTED_VALUE"""),240.0)</f>
        <v>240</v>
      </c>
      <c r="E75" s="20">
        <f>IFERROR(SUMIFS('Stock In'!F:F,'Stock In'!B:B,$A75,'Stock In'!C:C,$B75,'Stock In'!D:D,$C75,'Stock In'!E:E,$D75),0)</f>
        <v>30000</v>
      </c>
      <c r="F75" s="20">
        <f>IFERROR(SUMIFS(Issues!H:H, Issues!F:F, $A75, Issues!C:C, $B75, Issues!D:D, $C75, Issues!E:E, $D75), 0)</f>
        <v>66255</v>
      </c>
      <c r="G75" s="20">
        <f>IFERROR(SUMIFS(Returns!H:H, Returns!F:F, $A75, Returns!C:C, $B75, Returns!D:D, $C75, Returns!E:E, $D75), 0)</f>
        <v>34446</v>
      </c>
      <c r="H75" s="20">
        <f t="shared" si="1"/>
        <v>-1809</v>
      </c>
      <c r="I75" s="20">
        <f t="shared" si="2"/>
        <v>-434.16</v>
      </c>
      <c r="J75" s="20">
        <f>IFERROR( SUMIFS('Stock In'!I:I,'Stock In'!B:B,$A75,'Stock In'!C:C,$B75,'Stock In'!D:D,$C75,'Stock In'!E:E,$D75) / SUMIFS('Stock In'!H:H,'Stock In'!B:B,$A75,'Stock In'!C:C,$B75,'Stock In'!D:D,$C75,'Stock In'!E:E,$D75), 0)</f>
        <v>13</v>
      </c>
      <c r="K75" s="20">
        <f t="shared" si="3"/>
        <v>-5644.08</v>
      </c>
    </row>
    <row r="76" ht="22.5" customHeight="1">
      <c r="A76" s="21" t="str">
        <f>IFERROR(__xludf.DUMMYFUNCTION("""COMPUTED_VALUE"""),"Mitsubishi Chemical India Private Limited")</f>
        <v>Mitsubishi Chemical India Private Limited</v>
      </c>
      <c r="B76" s="21" t="str">
        <f>IFERROR(__xludf.DUMMYFUNCTION("""COMPUTED_VALUE"""),"Paper- ISF- IOF 105 Blow Mould ")</f>
        <v>Paper- ISF- IOF 105 Blow Mould </v>
      </c>
      <c r="C76" s="21">
        <f>IFERROR(__xludf.DUMMYFUNCTION("""COMPUTED_VALUE"""),105.0)</f>
        <v>105</v>
      </c>
      <c r="D76" s="76">
        <f>IFERROR(__xludf.DUMMYFUNCTION("""COMPUTED_VALUE"""),140.0)</f>
        <v>140</v>
      </c>
      <c r="E76" s="20">
        <f>IFERROR(SUMIFS('Stock In'!F:F,'Stock In'!B:B,$A76,'Stock In'!C:C,$B76,'Stock In'!D:D,$C76,'Stock In'!E:E,$D76),0)</f>
        <v>6000</v>
      </c>
      <c r="F76" s="20">
        <f>IFERROR(SUMIFS(Issues!H:H, Issues!F:F, $A76, Issues!C:C, $B76, Issues!D:D, $C76, Issues!E:E, $D76), 0)</f>
        <v>0</v>
      </c>
      <c r="G76" s="20">
        <f>IFERROR(SUMIFS(Returns!H:H, Returns!F:F, $A76, Returns!C:C, $B76, Returns!D:D, $C76, Returns!E:E, $D76), 0)</f>
        <v>0</v>
      </c>
      <c r="H76" s="20">
        <f t="shared" si="1"/>
        <v>6000</v>
      </c>
      <c r="I76" s="20">
        <f t="shared" si="2"/>
        <v>840</v>
      </c>
      <c r="J76" s="20">
        <f>IFERROR( SUMIFS('Stock In'!I:I,'Stock In'!B:B,$A76,'Stock In'!C:C,$B76,'Stock In'!D:D,$C76,'Stock In'!E:E,$D76) / SUMIFS('Stock In'!H:H,'Stock In'!B:B,$A76,'Stock In'!C:C,$B76,'Stock In'!D:D,$C76,'Stock In'!E:E,$D76), 0)</f>
        <v>34</v>
      </c>
      <c r="K76" s="20">
        <f t="shared" si="3"/>
        <v>28560</v>
      </c>
    </row>
    <row r="77" ht="22.5" customHeight="1">
      <c r="A77" s="21" t="str">
        <f>IFERROR(__xludf.DUMMYFUNCTION("""COMPUTED_VALUE"""),"Mitsubishi Chemical India Private Limited")</f>
        <v>Mitsubishi Chemical India Private Limited</v>
      </c>
      <c r="B77" s="21" t="str">
        <f>IFERROR(__xludf.DUMMYFUNCTION("""COMPUTED_VALUE"""),"Paper- ISF- IOF 105 Blow Mould ")</f>
        <v>Paper- ISF- IOF 105 Blow Mould </v>
      </c>
      <c r="C77" s="21">
        <f>IFERROR(__xludf.DUMMYFUNCTION("""COMPUTED_VALUE"""),105.0)</f>
        <v>105</v>
      </c>
      <c r="D77" s="76">
        <f>IFERROR(__xludf.DUMMYFUNCTION("""COMPUTED_VALUE"""),205.0)</f>
        <v>205</v>
      </c>
      <c r="E77" s="20">
        <f>IFERROR(SUMIFS('Stock In'!F:F,'Stock In'!B:B,$A77,'Stock In'!C:C,$B77,'Stock In'!D:D,$C77,'Stock In'!E:E,$D77),0)</f>
        <v>24000</v>
      </c>
      <c r="F77" s="20">
        <f>IFERROR(SUMIFS(Issues!H:H, Issues!F:F, $A77, Issues!C:C, $B77, Issues!D:D, $C77, Issues!E:E, $D77), 0)</f>
        <v>0</v>
      </c>
      <c r="G77" s="20">
        <f>IFERROR(SUMIFS(Returns!H:H, Returns!F:F, $A77, Returns!C:C, $B77, Returns!D:D, $C77, Returns!E:E, $D77), 0)</f>
        <v>0</v>
      </c>
      <c r="H77" s="20">
        <f t="shared" si="1"/>
        <v>24000</v>
      </c>
      <c r="I77" s="20">
        <f t="shared" si="2"/>
        <v>4920</v>
      </c>
      <c r="J77" s="20">
        <f>IFERROR( SUMIFS('Stock In'!I:I,'Stock In'!B:B,$A77,'Stock In'!C:C,$B77,'Stock In'!D:D,$C77,'Stock In'!E:E,$D77) / SUMIFS('Stock In'!H:H,'Stock In'!B:B,$A77,'Stock In'!C:C,$B77,'Stock In'!D:D,$C77,'Stock In'!E:E,$D77), 0)</f>
        <v>34</v>
      </c>
      <c r="K77" s="20">
        <f t="shared" si="3"/>
        <v>167280</v>
      </c>
    </row>
    <row r="78" ht="22.5" customHeight="1">
      <c r="A78" s="21" t="str">
        <f>IFERROR(__xludf.DUMMYFUNCTION("""COMPUTED_VALUE"""),"MPS Industries")</f>
        <v>MPS Industries</v>
      </c>
      <c r="B78" s="21" t="str">
        <f>IFERROR(__xludf.DUMMYFUNCTION("""COMPUTED_VALUE"""),"ONLY CHROMO ( GLOSS PAPER ) RAHAT HD")</f>
        <v>ONLY CHROMO ( GLOSS PAPER ) RAHAT HD</v>
      </c>
      <c r="C78" s="21">
        <f>IFERROR(__xludf.DUMMYFUNCTION("""COMPUTED_VALUE"""),120.0)</f>
        <v>120</v>
      </c>
      <c r="D78" s="76">
        <f>IFERROR(__xludf.DUMMYFUNCTION("""COMPUTED_VALUE"""),250.0)</f>
        <v>250</v>
      </c>
      <c r="E78" s="20">
        <f>IFERROR(SUMIFS('Stock In'!F:F,'Stock In'!B:B,$A78,'Stock In'!C:C,$B78,'Stock In'!D:D,$C78,'Stock In'!E:E,$D78),0)</f>
        <v>6000</v>
      </c>
      <c r="F78" s="20">
        <f>IFERROR(SUMIFS(Issues!H:H, Issues!F:F, $A78, Issues!C:C, $B78, Issues!D:D, $C78, Issues!E:E, $D78), 0)</f>
        <v>6100</v>
      </c>
      <c r="G78" s="20">
        <f>IFERROR(SUMIFS(Returns!H:H, Returns!F:F, $A78, Returns!C:C, $B78, Returns!D:D, $C78, Returns!E:E, $D78), 0)</f>
        <v>315</v>
      </c>
      <c r="H78" s="20">
        <f t="shared" si="1"/>
        <v>215</v>
      </c>
      <c r="I78" s="20">
        <f t="shared" si="2"/>
        <v>53.75</v>
      </c>
      <c r="J78" s="20">
        <f>IFERROR( SUMIFS('Stock In'!I:I,'Stock In'!B:B,$A78,'Stock In'!C:C,$B78,'Stock In'!D:D,$C78,'Stock In'!E:E,$D78) / SUMIFS('Stock In'!H:H,'Stock In'!B:B,$A78,'Stock In'!C:C,$B78,'Stock In'!D:D,$C78,'Stock In'!E:E,$D78), 0)</f>
        <v>0</v>
      </c>
      <c r="K78" s="20">
        <f t="shared" si="3"/>
        <v>0</v>
      </c>
    </row>
    <row r="79" ht="22.5" customHeight="1">
      <c r="A79" s="21" t="str">
        <f>IFERROR(__xludf.DUMMYFUNCTION("""COMPUTED_VALUE"""),"Mudra Arts")</f>
        <v>Mudra Arts</v>
      </c>
      <c r="B79" s="21" t="str">
        <f>IFERROR(__xludf.DUMMYFUNCTION("""COMPUTED_VALUE"""),"PP CLEAR")</f>
        <v>PP CLEAR</v>
      </c>
      <c r="C79" s="21">
        <f>IFERROR(__xludf.DUMMYFUNCTION("""COMPUTED_VALUE"""),50.0)</f>
        <v>50</v>
      </c>
      <c r="D79" s="76">
        <f>IFERROR(__xludf.DUMMYFUNCTION("""COMPUTED_VALUE"""),125.0)</f>
        <v>125</v>
      </c>
      <c r="E79" s="20">
        <f>IFERROR(SUMIFS('Stock In'!F:F,'Stock In'!B:B,$A79,'Stock In'!C:C,$B79,'Stock In'!D:D,$C79,'Stock In'!E:E,$D79),0)</f>
        <v>12300</v>
      </c>
      <c r="F79" s="20">
        <f>IFERROR(SUMIFS(Issues!H:H, Issues!F:F, $A79, Issues!C:C, $B79, Issues!D:D, $C79, Issues!E:E, $D79), 0)</f>
        <v>0</v>
      </c>
      <c r="G79" s="20">
        <f>IFERROR(SUMIFS(Returns!H:H, Returns!F:F, $A79, Returns!C:C, $B79, Returns!D:D, $C79, Returns!E:E, $D79), 0)</f>
        <v>0</v>
      </c>
      <c r="H79" s="20">
        <f t="shared" si="1"/>
        <v>12300</v>
      </c>
      <c r="I79" s="20">
        <f t="shared" si="2"/>
        <v>1537.5</v>
      </c>
      <c r="J79" s="20">
        <f>IFERROR( SUMIFS('Stock In'!I:I,'Stock In'!B:B,$A79,'Stock In'!C:C,$B79,'Stock In'!D:D,$C79,'Stock In'!E:E,$D79) / SUMIFS('Stock In'!H:H,'Stock In'!B:B,$A79,'Stock In'!C:C,$B79,'Stock In'!D:D,$C79,'Stock In'!E:E,$D79), 0)</f>
        <v>40</v>
      </c>
      <c r="K79" s="20">
        <f t="shared" si="3"/>
        <v>61500</v>
      </c>
    </row>
    <row r="80" ht="22.5" customHeight="1">
      <c r="A80" s="21" t="str">
        <f>IFERROR(__xludf.DUMMYFUNCTION("""COMPUTED_VALUE"""),"Mudra Arts")</f>
        <v>Mudra Arts</v>
      </c>
      <c r="B80" s="21" t="str">
        <f>IFERROR(__xludf.DUMMYFUNCTION("""COMPUTED_VALUE"""),"PP CLEAR")</f>
        <v>PP CLEAR</v>
      </c>
      <c r="C80" s="21">
        <f>IFERROR(__xludf.DUMMYFUNCTION("""COMPUTED_VALUE"""),50.0)</f>
        <v>50</v>
      </c>
      <c r="D80" s="76">
        <f>IFERROR(__xludf.DUMMYFUNCTION("""COMPUTED_VALUE"""),195.0)</f>
        <v>195</v>
      </c>
      <c r="E80" s="20">
        <f>IFERROR(SUMIFS('Stock In'!F:F,'Stock In'!B:B,$A80,'Stock In'!C:C,$B80,'Stock In'!D:D,$C80,'Stock In'!E:E,$D80),0)</f>
        <v>1250</v>
      </c>
      <c r="F80" s="20">
        <f>IFERROR(SUMIFS(Issues!H:H, Issues!F:F, $A80, Issues!C:C, $B80, Issues!D:D, $C80, Issues!E:E, $D80), 0)</f>
        <v>0</v>
      </c>
      <c r="G80" s="20">
        <f>IFERROR(SUMIFS(Returns!H:H, Returns!F:F, $A80, Returns!C:C, $B80, Returns!D:D, $C80, Returns!E:E, $D80), 0)</f>
        <v>0</v>
      </c>
      <c r="H80" s="20">
        <f t="shared" si="1"/>
        <v>1250</v>
      </c>
      <c r="I80" s="20">
        <f t="shared" si="2"/>
        <v>243.75</v>
      </c>
      <c r="J80" s="20">
        <f>IFERROR( SUMIFS('Stock In'!I:I,'Stock In'!B:B,$A80,'Stock In'!C:C,$B80,'Stock In'!D:D,$C80,'Stock In'!E:E,$D80) / SUMIFS('Stock In'!H:H,'Stock In'!B:B,$A80,'Stock In'!C:C,$B80,'Stock In'!D:D,$C80,'Stock In'!E:E,$D80), 0)</f>
        <v>34</v>
      </c>
      <c r="K80" s="20">
        <f t="shared" si="3"/>
        <v>8287.5</v>
      </c>
    </row>
    <row r="81" ht="22.5" customHeight="1">
      <c r="A81" s="21" t="str">
        <f>IFERROR(__xludf.DUMMYFUNCTION("""COMPUTED_VALUE"""),"Mudra Arts")</f>
        <v>Mudra Arts</v>
      </c>
      <c r="B81" s="21" t="str">
        <f>IFERROR(__xludf.DUMMYFUNCTION("""COMPUTED_VALUE"""),"PP CLEAR")</f>
        <v>PP CLEAR</v>
      </c>
      <c r="C81" s="21">
        <f>IFERROR(__xludf.DUMMYFUNCTION("""COMPUTED_VALUE"""),50.0)</f>
        <v>50</v>
      </c>
      <c r="D81" s="76">
        <f>IFERROR(__xludf.DUMMYFUNCTION("""COMPUTED_VALUE"""),200.0)</f>
        <v>200</v>
      </c>
      <c r="E81" s="20">
        <f>IFERROR(SUMIFS('Stock In'!F:F,'Stock In'!B:B,$A81,'Stock In'!C:C,$B81,'Stock In'!D:D,$C81,'Stock In'!E:E,$D81),0)</f>
        <v>1930</v>
      </c>
      <c r="F81" s="20">
        <f>IFERROR(SUMIFS(Issues!H:H, Issues!F:F, $A81, Issues!C:C, $B81, Issues!D:D, $C81, Issues!E:E, $D81), 0)</f>
        <v>0</v>
      </c>
      <c r="G81" s="20">
        <f>IFERROR(SUMIFS(Returns!H:H, Returns!F:F, $A81, Returns!C:C, $B81, Returns!D:D, $C81, Returns!E:E, $D81), 0)</f>
        <v>0</v>
      </c>
      <c r="H81" s="20">
        <f t="shared" si="1"/>
        <v>1930</v>
      </c>
      <c r="I81" s="20">
        <f t="shared" si="2"/>
        <v>386</v>
      </c>
      <c r="J81" s="20">
        <f>IFERROR( SUMIFS('Stock In'!I:I,'Stock In'!B:B,$A81,'Stock In'!C:C,$B81,'Stock In'!D:D,$C81,'Stock In'!E:E,$D81) / SUMIFS('Stock In'!H:H,'Stock In'!B:B,$A81,'Stock In'!C:C,$B81,'Stock In'!D:D,$C81,'Stock In'!E:E,$D81), 0)</f>
        <v>34</v>
      </c>
      <c r="K81" s="20">
        <f t="shared" si="3"/>
        <v>13124</v>
      </c>
    </row>
    <row r="82" ht="22.5" customHeight="1">
      <c r="A82" s="21" t="str">
        <f>IFERROR(__xludf.DUMMYFUNCTION("""COMPUTED_VALUE"""),"Mudra Arts")</f>
        <v>Mudra Arts</v>
      </c>
      <c r="B82" s="21" t="str">
        <f>IFERROR(__xludf.DUMMYFUNCTION("""COMPUTED_VALUE"""),"PP CLEAR")</f>
        <v>PP CLEAR</v>
      </c>
      <c r="C82" s="21">
        <f>IFERROR(__xludf.DUMMYFUNCTION("""COMPUTED_VALUE"""),50.0)</f>
        <v>50</v>
      </c>
      <c r="D82" s="76">
        <f>IFERROR(__xludf.DUMMYFUNCTION("""COMPUTED_VALUE"""),205.0)</f>
        <v>205</v>
      </c>
      <c r="E82" s="20">
        <f>IFERROR(SUMIFS('Stock In'!F:F,'Stock In'!B:B,$A82,'Stock In'!C:C,$B82,'Stock In'!D:D,$C82,'Stock In'!E:E,$D82),0)</f>
        <v>1500</v>
      </c>
      <c r="F82" s="20">
        <f>IFERROR(SUMIFS(Issues!H:H, Issues!F:F, $A82, Issues!C:C, $B82, Issues!D:D, $C82, Issues!E:E, $D82), 0)</f>
        <v>0</v>
      </c>
      <c r="G82" s="20">
        <f>IFERROR(SUMIFS(Returns!H:H, Returns!F:F, $A82, Returns!C:C, $B82, Returns!D:D, $C82, Returns!E:E, $D82), 0)</f>
        <v>0</v>
      </c>
      <c r="H82" s="20">
        <f t="shared" si="1"/>
        <v>1500</v>
      </c>
      <c r="I82" s="20">
        <f t="shared" si="2"/>
        <v>307.5</v>
      </c>
      <c r="J82" s="20">
        <f>IFERROR( SUMIFS('Stock In'!I:I,'Stock In'!B:B,$A82,'Stock In'!C:C,$B82,'Stock In'!D:D,$C82,'Stock In'!E:E,$D82) / SUMIFS('Stock In'!H:H,'Stock In'!B:B,$A82,'Stock In'!C:C,$B82,'Stock In'!D:D,$C82,'Stock In'!E:E,$D82), 0)</f>
        <v>31</v>
      </c>
      <c r="K82" s="20">
        <f t="shared" si="3"/>
        <v>9532.5</v>
      </c>
    </row>
    <row r="83" ht="22.5" customHeight="1">
      <c r="A83" s="21" t="str">
        <f>IFERROR(__xludf.DUMMYFUNCTION("""COMPUTED_VALUE"""),"Mudra Arts")</f>
        <v>Mudra Arts</v>
      </c>
      <c r="B83" s="21" t="str">
        <f>IFERROR(__xludf.DUMMYFUNCTION("""COMPUTED_VALUE"""),"PP CLEAR")</f>
        <v>PP CLEAR</v>
      </c>
      <c r="C83" s="21">
        <f>IFERROR(__xludf.DUMMYFUNCTION("""COMPUTED_VALUE"""),50.0)</f>
        <v>50</v>
      </c>
      <c r="D83" s="76">
        <f>IFERROR(__xludf.DUMMYFUNCTION("""COMPUTED_VALUE"""),210.0)</f>
        <v>210</v>
      </c>
      <c r="E83" s="20">
        <f>IFERROR(SUMIFS('Stock In'!F:F,'Stock In'!B:B,$A83,'Stock In'!C:C,$B83,'Stock In'!D:D,$C83,'Stock In'!E:E,$D83),0)</f>
        <v>4000</v>
      </c>
      <c r="F83" s="20">
        <f>IFERROR(SUMIFS(Issues!H:H, Issues!F:F, $A83, Issues!C:C, $B83, Issues!D:D, $C83, Issues!E:E, $D83), 0)</f>
        <v>0</v>
      </c>
      <c r="G83" s="20">
        <f>IFERROR(SUMIFS(Returns!H:H, Returns!F:F, $A83, Returns!C:C, $B83, Returns!D:D, $C83, Returns!E:E, $D83), 0)</f>
        <v>0</v>
      </c>
      <c r="H83" s="20">
        <f t="shared" si="1"/>
        <v>4000</v>
      </c>
      <c r="I83" s="20">
        <f t="shared" si="2"/>
        <v>840</v>
      </c>
      <c r="J83" s="20">
        <f>IFERROR( SUMIFS('Stock In'!I:I,'Stock In'!B:B,$A83,'Stock In'!C:C,$B83,'Stock In'!D:D,$C83,'Stock In'!E:E,$D83) / SUMIFS('Stock In'!H:H,'Stock In'!B:B,$A83,'Stock In'!C:C,$B83,'Stock In'!D:D,$C83,'Stock In'!E:E,$D83), 0)</f>
        <v>34</v>
      </c>
      <c r="K83" s="20">
        <f t="shared" si="3"/>
        <v>28560</v>
      </c>
    </row>
    <row r="84" ht="22.5" customHeight="1">
      <c r="A84" s="21" t="str">
        <f>IFERROR(__xludf.DUMMYFUNCTION("""COMPUTED_VALUE"""),"Mudra Arts")</f>
        <v>Mudra Arts</v>
      </c>
      <c r="B84" s="21" t="str">
        <f>IFERROR(__xludf.DUMMYFUNCTION("""COMPUTED_VALUE"""),"PP CLEAR")</f>
        <v>PP CLEAR</v>
      </c>
      <c r="C84" s="21">
        <f>IFERROR(__xludf.DUMMYFUNCTION("""COMPUTED_VALUE"""),50.0)</f>
        <v>50</v>
      </c>
      <c r="D84" s="76">
        <f>IFERROR(__xludf.DUMMYFUNCTION("""COMPUTED_VALUE"""),215.0)</f>
        <v>215</v>
      </c>
      <c r="E84" s="20">
        <f>IFERROR(SUMIFS('Stock In'!F:F,'Stock In'!B:B,$A84,'Stock In'!C:C,$B84,'Stock In'!D:D,$C84,'Stock In'!E:E,$D84),0)</f>
        <v>1780</v>
      </c>
      <c r="F84" s="20">
        <f>IFERROR(SUMIFS(Issues!H:H, Issues!F:F, $A84, Issues!C:C, $B84, Issues!D:D, $C84, Issues!E:E, $D84), 0)</f>
        <v>0</v>
      </c>
      <c r="G84" s="20">
        <f>IFERROR(SUMIFS(Returns!H:H, Returns!F:F, $A84, Returns!C:C, $B84, Returns!D:D, $C84, Returns!E:E, $D84), 0)</f>
        <v>0</v>
      </c>
      <c r="H84" s="20">
        <f t="shared" si="1"/>
        <v>1780</v>
      </c>
      <c r="I84" s="20">
        <f t="shared" si="2"/>
        <v>382.7</v>
      </c>
      <c r="J84" s="20">
        <f>IFERROR( SUMIFS('Stock In'!I:I,'Stock In'!B:B,$A84,'Stock In'!C:C,$B84,'Stock In'!D:D,$C84,'Stock In'!E:E,$D84) / SUMIFS('Stock In'!H:H,'Stock In'!B:B,$A84,'Stock In'!C:C,$B84,'Stock In'!D:D,$C84,'Stock In'!E:E,$D84), 0)</f>
        <v>34</v>
      </c>
      <c r="K84" s="20">
        <f t="shared" si="3"/>
        <v>13011.8</v>
      </c>
    </row>
    <row r="85" ht="22.5" customHeight="1">
      <c r="A85" s="21" t="str">
        <f>IFERROR(__xludf.DUMMYFUNCTION("""COMPUTED_VALUE"""),"Mudra Arts")</f>
        <v>Mudra Arts</v>
      </c>
      <c r="B85" s="21" t="str">
        <f>IFERROR(__xludf.DUMMYFUNCTION("""COMPUTED_VALUE"""),"PP WHITE")</f>
        <v>PP WHITE</v>
      </c>
      <c r="C85" s="21">
        <f>IFERROR(__xludf.DUMMYFUNCTION("""COMPUTED_VALUE"""),50.0)</f>
        <v>50</v>
      </c>
      <c r="D85" s="76">
        <f>IFERROR(__xludf.DUMMYFUNCTION("""COMPUTED_VALUE"""),110.0)</f>
        <v>110</v>
      </c>
      <c r="E85" s="20">
        <f>IFERROR(SUMIFS('Stock In'!F:F,'Stock In'!B:B,$A85,'Stock In'!C:C,$B85,'Stock In'!D:D,$C85,'Stock In'!E:E,$D85),0)</f>
        <v>2000</v>
      </c>
      <c r="F85" s="20">
        <f>IFERROR(SUMIFS(Issues!H:H, Issues!F:F, $A85, Issues!C:C, $B85, Issues!D:D, $C85, Issues!E:E, $D85), 0)</f>
        <v>0</v>
      </c>
      <c r="G85" s="20">
        <f>IFERROR(SUMIFS(Returns!H:H, Returns!F:F, $A85, Returns!C:C, $B85, Returns!D:D, $C85, Returns!E:E, $D85), 0)</f>
        <v>0</v>
      </c>
      <c r="H85" s="20">
        <f t="shared" si="1"/>
        <v>2000</v>
      </c>
      <c r="I85" s="20">
        <f t="shared" si="2"/>
        <v>220</v>
      </c>
      <c r="J85" s="20">
        <f>IFERROR( SUMIFS('Stock In'!I:I,'Stock In'!B:B,$A85,'Stock In'!C:C,$B85,'Stock In'!D:D,$C85,'Stock In'!E:E,$D85) / SUMIFS('Stock In'!H:H,'Stock In'!B:B,$A85,'Stock In'!C:C,$B85,'Stock In'!D:D,$C85,'Stock In'!E:E,$D85), 0)</f>
        <v>45</v>
      </c>
      <c r="K85" s="20">
        <f t="shared" si="3"/>
        <v>9900</v>
      </c>
    </row>
    <row r="86">
      <c r="A86" s="80" t="str">
        <f>IFERROR(__xludf.DUMMYFUNCTION("""COMPUTED_VALUE"""),"Mudra Arts")</f>
        <v>Mudra Arts</v>
      </c>
      <c r="B86" s="80" t="str">
        <f>IFERROR(__xludf.DUMMYFUNCTION("""COMPUTED_VALUE"""),"SILVER PAPER")</f>
        <v>SILVER PAPER</v>
      </c>
      <c r="C86" s="80">
        <f>IFERROR(__xludf.DUMMYFUNCTION("""COMPUTED_VALUE"""),80.0)</f>
        <v>80</v>
      </c>
      <c r="D86" s="81">
        <f>IFERROR(__xludf.DUMMYFUNCTION("""COMPUTED_VALUE"""),150.0)</f>
        <v>150</v>
      </c>
      <c r="E86" s="82">
        <f>IFERROR(SUMIFS('Stock In'!F:F,'Stock In'!B:B,$A86,'Stock In'!C:C,$B86,'Stock In'!D:D,$C86,'Stock In'!E:E,$D86),0)</f>
        <v>3020</v>
      </c>
      <c r="F86" s="82">
        <f>IFERROR(SUMIFS(Issues!H:H, Issues!F:F, $A86, Issues!C:C, $B86, Issues!D:D, $C86, Issues!E:E, $D86), 0)</f>
        <v>0</v>
      </c>
      <c r="G86" s="82">
        <f>IFERROR(SUMIFS(Returns!H:H, Returns!F:F, $A86, Returns!C:C, $B86, Returns!D:D, $C86, Returns!E:E, $D86), 0)</f>
        <v>0</v>
      </c>
      <c r="H86" s="82">
        <f t="shared" si="1"/>
        <v>3020</v>
      </c>
      <c r="I86" s="82">
        <f t="shared" si="2"/>
        <v>453</v>
      </c>
      <c r="J86" s="82">
        <f>IFERROR( SUMIFS('Stock In'!I:I,'Stock In'!B:B,$A86,'Stock In'!C:C,$B86,'Stock In'!D:D,$C86,'Stock In'!E:E,$D86) / SUMIFS('Stock In'!H:H,'Stock In'!B:B,$A86,'Stock In'!C:C,$B86,'Stock In'!D:D,$C86,'Stock In'!E:E,$D86), 0)</f>
        <v>34</v>
      </c>
      <c r="K86" s="82">
        <f t="shared" si="3"/>
        <v>15402</v>
      </c>
    </row>
    <row r="87">
      <c r="A87" s="80" t="str">
        <f>IFERROR(__xludf.DUMMYFUNCTION("""COMPUTED_VALUE"""),"Mudra Arts")</f>
        <v>Mudra Arts</v>
      </c>
      <c r="B87" s="80" t="str">
        <f>IFERROR(__xludf.DUMMYFUNCTION("""COMPUTED_VALUE"""),"SILVER PAPER")</f>
        <v>SILVER PAPER</v>
      </c>
      <c r="C87" s="80">
        <f>IFERROR(__xludf.DUMMYFUNCTION("""COMPUTED_VALUE"""),80.0)</f>
        <v>80</v>
      </c>
      <c r="D87" s="81">
        <f>IFERROR(__xludf.DUMMYFUNCTION("""COMPUTED_VALUE"""),165.0)</f>
        <v>165</v>
      </c>
      <c r="E87" s="82">
        <f>IFERROR(SUMIFS('Stock In'!F:F,'Stock In'!B:B,$A87,'Stock In'!C:C,$B87,'Stock In'!D:D,$C87,'Stock In'!E:E,$D87),0)</f>
        <v>5910</v>
      </c>
      <c r="F87" s="82">
        <f>IFERROR(SUMIFS(Issues!H:H, Issues!F:F, $A87, Issues!C:C, $B87, Issues!D:D, $C87, Issues!E:E, $D87), 0)</f>
        <v>0</v>
      </c>
      <c r="G87" s="82">
        <f>IFERROR(SUMIFS(Returns!H:H, Returns!F:F, $A87, Returns!C:C, $B87, Returns!D:D, $C87, Returns!E:E, $D87), 0)</f>
        <v>0</v>
      </c>
      <c r="H87" s="82">
        <f t="shared" si="1"/>
        <v>5910</v>
      </c>
      <c r="I87" s="82">
        <f t="shared" si="2"/>
        <v>975.15</v>
      </c>
      <c r="J87" s="82">
        <f>IFERROR( SUMIFS('Stock In'!I:I,'Stock In'!B:B,$A87,'Stock In'!C:C,$B87,'Stock In'!D:D,$C87,'Stock In'!E:E,$D87) / SUMIFS('Stock In'!H:H,'Stock In'!B:B,$A87,'Stock In'!C:C,$B87,'Stock In'!D:D,$C87,'Stock In'!E:E,$D87), 0)</f>
        <v>34</v>
      </c>
      <c r="K87" s="82">
        <f t="shared" si="3"/>
        <v>33155.1</v>
      </c>
    </row>
    <row r="88">
      <c r="A88" s="80" t="str">
        <f>IFERROR(__xludf.DUMMYFUNCTION("""COMPUTED_VALUE"""),"Mudra Arts")</f>
        <v>Mudra Arts</v>
      </c>
      <c r="B88" s="80" t="str">
        <f>IFERROR(__xludf.DUMMYFUNCTION("""COMPUTED_VALUE"""),"SILVER PAPER")</f>
        <v>SILVER PAPER</v>
      </c>
      <c r="C88" s="80">
        <f>IFERROR(__xludf.DUMMYFUNCTION("""COMPUTED_VALUE"""),80.0)</f>
        <v>80</v>
      </c>
      <c r="D88" s="81">
        <f>IFERROR(__xludf.DUMMYFUNCTION("""COMPUTED_VALUE"""),240.0)</f>
        <v>240</v>
      </c>
      <c r="E88" s="82">
        <f>IFERROR(SUMIFS('Stock In'!F:F,'Stock In'!B:B,$A88,'Stock In'!C:C,$B88,'Stock In'!D:D,$C88,'Stock In'!E:E,$D88),0)</f>
        <v>1930</v>
      </c>
      <c r="F88" s="82">
        <f>IFERROR(SUMIFS(Issues!H:H, Issues!F:F, $A88, Issues!C:C, $B88, Issues!D:D, $C88, Issues!E:E, $D88), 0)</f>
        <v>0</v>
      </c>
      <c r="G88" s="82">
        <f>IFERROR(SUMIFS(Returns!H:H, Returns!F:F, $A88, Returns!C:C, $B88, Returns!D:D, $C88, Returns!E:E, $D88), 0)</f>
        <v>0</v>
      </c>
      <c r="H88" s="82">
        <f t="shared" si="1"/>
        <v>1930</v>
      </c>
      <c r="I88" s="82">
        <f t="shared" si="2"/>
        <v>463.2</v>
      </c>
      <c r="J88" s="82">
        <f>IFERROR( SUMIFS('Stock In'!I:I,'Stock In'!B:B,$A88,'Stock In'!C:C,$B88,'Stock In'!D:D,$C88,'Stock In'!E:E,$D88) / SUMIFS('Stock In'!H:H,'Stock In'!B:B,$A88,'Stock In'!C:C,$B88,'Stock In'!D:D,$C88,'Stock In'!E:E,$D88), 0)</f>
        <v>34</v>
      </c>
      <c r="K88" s="82">
        <f t="shared" si="3"/>
        <v>15748.8</v>
      </c>
    </row>
    <row r="89">
      <c r="A89" s="80" t="str">
        <f>IFERROR(__xludf.DUMMYFUNCTION("""COMPUTED_VALUE"""),"Mudra Arts")</f>
        <v>Mudra Arts</v>
      </c>
      <c r="B89" s="80" t="str">
        <f>IFERROR(__xludf.DUMMYFUNCTION("""COMPUTED_VALUE"""),"SILVER PAPER")</f>
        <v>SILVER PAPER</v>
      </c>
      <c r="C89" s="80">
        <f>IFERROR(__xludf.DUMMYFUNCTION("""COMPUTED_VALUE"""),80.0)</f>
        <v>80</v>
      </c>
      <c r="D89" s="81">
        <f>IFERROR(__xludf.DUMMYFUNCTION("""COMPUTED_VALUE"""),260.0)</f>
        <v>260</v>
      </c>
      <c r="E89" s="82">
        <f>IFERROR(SUMIFS('Stock In'!F:F,'Stock In'!B:B,$A89,'Stock In'!C:C,$B89,'Stock In'!D:D,$C89,'Stock In'!E:E,$D89),0)</f>
        <v>1510</v>
      </c>
      <c r="F89" s="82">
        <f>IFERROR(SUMIFS(Issues!H:H, Issues!F:F, $A89, Issues!C:C, $B89, Issues!D:D, $C89, Issues!E:E, $D89), 0)</f>
        <v>0</v>
      </c>
      <c r="G89" s="82">
        <f>IFERROR(SUMIFS(Returns!H:H, Returns!F:F, $A89, Returns!C:C, $B89, Returns!D:D, $C89, Returns!E:E, $D89), 0)</f>
        <v>0</v>
      </c>
      <c r="H89" s="82">
        <f t="shared" si="1"/>
        <v>1510</v>
      </c>
      <c r="I89" s="82">
        <f t="shared" si="2"/>
        <v>392.6</v>
      </c>
      <c r="J89" s="82">
        <f>IFERROR( SUMIFS('Stock In'!I:I,'Stock In'!B:B,$A89,'Stock In'!C:C,$B89,'Stock In'!D:D,$C89,'Stock In'!E:E,$D89) / SUMIFS('Stock In'!H:H,'Stock In'!B:B,$A89,'Stock In'!C:C,$B89,'Stock In'!D:D,$C89,'Stock In'!E:E,$D89), 0)</f>
        <v>34</v>
      </c>
      <c r="K89" s="82">
        <f t="shared" si="3"/>
        <v>13348.4</v>
      </c>
    </row>
    <row r="90">
      <c r="A90" s="80" t="str">
        <f>IFERROR(__xludf.DUMMYFUNCTION("""COMPUTED_VALUE"""),"Mudra Arts")</f>
        <v>Mudra Arts</v>
      </c>
      <c r="B90" s="80" t="str">
        <f>IFERROR(__xludf.DUMMYFUNCTION("""COMPUTED_VALUE"""),"SILVER PAPER")</f>
        <v>SILVER PAPER</v>
      </c>
      <c r="C90" s="80">
        <f>IFERROR(__xludf.DUMMYFUNCTION("""COMPUTED_VALUE"""),80.0)</f>
        <v>80</v>
      </c>
      <c r="D90" s="81">
        <f>IFERROR(__xludf.DUMMYFUNCTION("""COMPUTED_VALUE"""),280.0)</f>
        <v>280</v>
      </c>
      <c r="E90" s="82">
        <f>IFERROR(SUMIFS('Stock In'!F:F,'Stock In'!B:B,$A90,'Stock In'!C:C,$B90,'Stock In'!D:D,$C90,'Stock In'!E:E,$D90),0)</f>
        <v>1510</v>
      </c>
      <c r="F90" s="82">
        <f>IFERROR(SUMIFS(Issues!H:H, Issues!F:F, $A90, Issues!C:C, $B90, Issues!D:D, $C90, Issues!E:E, $D90), 0)</f>
        <v>0</v>
      </c>
      <c r="G90" s="82">
        <f>IFERROR(SUMIFS(Returns!H:H, Returns!F:F, $A90, Returns!C:C, $B90, Returns!D:D, $C90, Returns!E:E, $D90), 0)</f>
        <v>0</v>
      </c>
      <c r="H90" s="82">
        <f t="shared" si="1"/>
        <v>1510</v>
      </c>
      <c r="I90" s="82">
        <f t="shared" si="2"/>
        <v>422.8</v>
      </c>
      <c r="J90" s="82">
        <f>IFERROR( SUMIFS('Stock In'!I:I,'Stock In'!B:B,$A90,'Stock In'!C:C,$B90,'Stock In'!D:D,$C90,'Stock In'!E:E,$D90) / SUMIFS('Stock In'!H:H,'Stock In'!B:B,$A90,'Stock In'!C:C,$B90,'Stock In'!D:D,$C90,'Stock In'!E:E,$D90), 0)</f>
        <v>34</v>
      </c>
      <c r="K90" s="82">
        <f t="shared" si="3"/>
        <v>14375.2</v>
      </c>
    </row>
    <row r="91">
      <c r="A91" s="80" t="str">
        <f>IFERROR(__xludf.DUMMYFUNCTION("""COMPUTED_VALUE"""),"Mudra Arts")</f>
        <v>Mudra Arts</v>
      </c>
      <c r="B91" s="80" t="str">
        <f>IFERROR(__xludf.DUMMYFUNCTION("""COMPUTED_VALUE"""),"SILVER PAPER")</f>
        <v>SILVER PAPER</v>
      </c>
      <c r="C91" s="80">
        <f>IFERROR(__xludf.DUMMYFUNCTION("""COMPUTED_VALUE"""),80.0)</f>
        <v>80</v>
      </c>
      <c r="D91" s="81">
        <f>IFERROR(__xludf.DUMMYFUNCTION("""COMPUTED_VALUE"""),300.0)</f>
        <v>300</v>
      </c>
      <c r="E91" s="82">
        <f>IFERROR(SUMIFS('Stock In'!F:F,'Stock In'!B:B,$A91,'Stock In'!C:C,$B91,'Stock In'!D:D,$C91,'Stock In'!E:E,$D91),0)</f>
        <v>2000</v>
      </c>
      <c r="F91" s="82">
        <f>IFERROR(SUMIFS(Issues!H:H, Issues!F:F, $A91, Issues!C:C, $B91, Issues!D:D, $C91, Issues!E:E, $D91), 0)</f>
        <v>0</v>
      </c>
      <c r="G91" s="82">
        <f>IFERROR(SUMIFS(Returns!H:H, Returns!F:F, $A91, Returns!C:C, $B91, Returns!D:D, $C91, Returns!E:E, $D91), 0)</f>
        <v>0</v>
      </c>
      <c r="H91" s="82">
        <f t="shared" si="1"/>
        <v>2000</v>
      </c>
      <c r="I91" s="82">
        <f t="shared" si="2"/>
        <v>600</v>
      </c>
      <c r="J91" s="82">
        <f>IFERROR( SUMIFS('Stock In'!I:I,'Stock In'!B:B,$A91,'Stock In'!C:C,$B91,'Stock In'!D:D,$C91,'Stock In'!E:E,$D91) / SUMIFS('Stock In'!H:H,'Stock In'!B:B,$A91,'Stock In'!C:C,$B91,'Stock In'!D:D,$C91,'Stock In'!E:E,$D91), 0)</f>
        <v>34</v>
      </c>
      <c r="K91" s="82">
        <f t="shared" si="3"/>
        <v>20400</v>
      </c>
    </row>
    <row r="92">
      <c r="A92" s="80" t="str">
        <f>IFERROR(__xludf.DUMMYFUNCTION("""COMPUTED_VALUE"""),"Papier")</f>
        <v>Papier</v>
      </c>
      <c r="B92" s="80" t="str">
        <f>IFERROR(__xludf.DUMMYFUNCTION("""COMPUTED_VALUE"""),"Void")</f>
        <v>Void</v>
      </c>
      <c r="C92" s="80">
        <f>IFERROR(__xludf.DUMMYFUNCTION("""COMPUTED_VALUE"""),50.0)</f>
        <v>50</v>
      </c>
      <c r="D92" s="81">
        <f>IFERROR(__xludf.DUMMYFUNCTION("""COMPUTED_VALUE"""),125.0)</f>
        <v>125</v>
      </c>
      <c r="E92" s="82">
        <f>IFERROR(SUMIFS('Stock In'!F:F,'Stock In'!B:B,$A92,'Stock In'!C:C,$B92,'Stock In'!D:D,$C92,'Stock In'!E:E,$D92),0)</f>
        <v>3920</v>
      </c>
      <c r="F92" s="82">
        <f>IFERROR(SUMIFS(Issues!H:H, Issues!F:F, $A92, Issues!C:C, $B92, Issues!D:D, $C92, Issues!E:E, $D92), 0)</f>
        <v>1000</v>
      </c>
      <c r="G92" s="82">
        <f>IFERROR(SUMIFS(Returns!H:H, Returns!F:F, $A92, Returns!C:C, $B92, Returns!D:D, $C92, Returns!E:E, $D92), 0)</f>
        <v>0</v>
      </c>
      <c r="H92" s="82">
        <f t="shared" si="1"/>
        <v>2920</v>
      </c>
      <c r="I92" s="82">
        <f t="shared" si="2"/>
        <v>365</v>
      </c>
      <c r="J92" s="82">
        <f>IFERROR( SUMIFS('Stock In'!I:I,'Stock In'!B:B,$A92,'Stock In'!C:C,$B92,'Stock In'!D:D,$C92,'Stock In'!E:E,$D92) / SUMIFS('Stock In'!H:H,'Stock In'!B:B,$A92,'Stock In'!C:C,$B92,'Stock In'!D:D,$C92,'Stock In'!E:E,$D92), 0)</f>
        <v>165</v>
      </c>
      <c r="K92" s="82">
        <f t="shared" si="3"/>
        <v>60225</v>
      </c>
    </row>
    <row r="93">
      <c r="A93" s="80" t="str">
        <f>IFERROR(__xludf.DUMMYFUNCTION("""COMPUTED_VALUE"""),"Papier")</f>
        <v>Papier</v>
      </c>
      <c r="B93" s="80" t="str">
        <f>IFERROR(__xludf.DUMMYFUNCTION("""COMPUTED_VALUE"""),"Void")</f>
        <v>Void</v>
      </c>
      <c r="C93" s="80">
        <f>IFERROR(__xludf.DUMMYFUNCTION("""COMPUTED_VALUE"""),50.0)</f>
        <v>50</v>
      </c>
      <c r="D93" s="81">
        <f>IFERROR(__xludf.DUMMYFUNCTION("""COMPUTED_VALUE"""),165.0)</f>
        <v>165</v>
      </c>
      <c r="E93" s="82">
        <f>IFERROR(SUMIFS('Stock In'!F:F,'Stock In'!B:B,$A93,'Stock In'!C:C,$B93,'Stock In'!D:D,$C93,'Stock In'!E:E,$D93),0)</f>
        <v>500</v>
      </c>
      <c r="F93" s="82">
        <f>IFERROR(SUMIFS(Issues!H:H, Issues!F:F, $A93, Issues!C:C, $B93, Issues!D:D, $C93, Issues!E:E, $D93), 0)</f>
        <v>350</v>
      </c>
      <c r="G93" s="82">
        <f>IFERROR(SUMIFS(Returns!H:H, Returns!F:F, $A93, Returns!C:C, $B93, Returns!D:D, $C93, Returns!E:E, $D93), 0)</f>
        <v>0</v>
      </c>
      <c r="H93" s="82">
        <f t="shared" si="1"/>
        <v>150</v>
      </c>
      <c r="I93" s="82">
        <f t="shared" si="2"/>
        <v>24.75</v>
      </c>
      <c r="J93" s="82">
        <f>IFERROR( SUMIFS('Stock In'!I:I,'Stock In'!B:B,$A93,'Stock In'!C:C,$B93,'Stock In'!D:D,$C93,'Stock In'!E:E,$D93) / SUMIFS('Stock In'!H:H,'Stock In'!B:B,$A93,'Stock In'!C:C,$B93,'Stock In'!D:D,$C93,'Stock In'!E:E,$D93), 0)</f>
        <v>165</v>
      </c>
      <c r="K93" s="82">
        <f t="shared" si="3"/>
        <v>4083.75</v>
      </c>
    </row>
    <row r="94">
      <c r="A94" s="80" t="str">
        <f>IFERROR(__xludf.DUMMYFUNCTION("""COMPUTED_VALUE"""),"Papier")</f>
        <v>Papier</v>
      </c>
      <c r="B94" s="80" t="str">
        <f>IFERROR(__xludf.DUMMYFUNCTION("""COMPUTED_VALUE"""),"Void")</f>
        <v>Void</v>
      </c>
      <c r="C94" s="80">
        <f>IFERROR(__xludf.DUMMYFUNCTION("""COMPUTED_VALUE"""),50.0)</f>
        <v>50</v>
      </c>
      <c r="D94" s="81">
        <f>IFERROR(__xludf.DUMMYFUNCTION("""COMPUTED_VALUE"""),205.0)</f>
        <v>205</v>
      </c>
      <c r="E94" s="82">
        <f>IFERROR(SUMIFS('Stock In'!F:F,'Stock In'!B:B,$A94,'Stock In'!C:C,$B94,'Stock In'!D:D,$C94,'Stock In'!E:E,$D94),0)</f>
        <v>900</v>
      </c>
      <c r="F94" s="82">
        <f>IFERROR(SUMIFS(Issues!H:H, Issues!F:F, $A94, Issues!C:C, $B94, Issues!D:D, $C94, Issues!E:E, $D94), 0)</f>
        <v>0</v>
      </c>
      <c r="G94" s="82">
        <f>IFERROR(SUMIFS(Returns!H:H, Returns!F:F, $A94, Returns!C:C, $B94, Returns!D:D, $C94, Returns!E:E, $D94), 0)</f>
        <v>0</v>
      </c>
      <c r="H94" s="82">
        <f t="shared" si="1"/>
        <v>900</v>
      </c>
      <c r="I94" s="82">
        <f t="shared" si="2"/>
        <v>184.5</v>
      </c>
      <c r="J94" s="82">
        <f>IFERROR( SUMIFS('Stock In'!I:I,'Stock In'!B:B,$A94,'Stock In'!C:C,$B94,'Stock In'!D:D,$C94,'Stock In'!E:E,$D94) / SUMIFS('Stock In'!H:H,'Stock In'!B:B,$A94,'Stock In'!C:C,$B94,'Stock In'!D:D,$C94,'Stock In'!E:E,$D94), 0)</f>
        <v>165</v>
      </c>
      <c r="K94" s="82">
        <f t="shared" si="3"/>
        <v>30442.5</v>
      </c>
    </row>
    <row r="95">
      <c r="A95" s="80" t="str">
        <f>IFERROR(__xludf.DUMMYFUNCTION("""COMPUTED_VALUE"""),"Presen Bontek Private Limited - NEW")</f>
        <v>Presen Bontek Private Limited - NEW</v>
      </c>
      <c r="B95" s="80" t="str">
        <f>IFERROR(__xludf.DUMMYFUNCTION("""COMPUTED_VALUE"""),"Special SDV Grade Security Film")</f>
        <v>Special SDV Grade Security Film</v>
      </c>
      <c r="C95" s="80"/>
      <c r="D95" s="81">
        <f>IFERROR(__xludf.DUMMYFUNCTION("""COMPUTED_VALUE"""),300.0)</f>
        <v>300</v>
      </c>
      <c r="E95" s="82">
        <f>IFERROR(SUMIFS('Stock In'!F:F,'Stock In'!B:B,$A95,'Stock In'!C:C,$B95,'Stock In'!D:D,$C95,'Stock In'!E:E,$D95),0)</f>
        <v>0</v>
      </c>
      <c r="F95" s="82">
        <f>IFERROR(SUMIFS(Issues!H:H, Issues!F:F, $A95, Issues!C:C, $B95, Issues!D:D, $C95, Issues!E:E, $D95), 0)</f>
        <v>0</v>
      </c>
      <c r="G95" s="82">
        <f>IFERROR(SUMIFS(Returns!H:H, Returns!F:F, $A95, Returns!C:C, $B95, Returns!D:D, $C95, Returns!E:E, $D95), 0)</f>
        <v>0</v>
      </c>
      <c r="H95" s="82">
        <f t="shared" si="1"/>
        <v>0</v>
      </c>
      <c r="I95" s="82">
        <f t="shared" si="2"/>
        <v>0</v>
      </c>
      <c r="J95" s="82">
        <f>IFERROR( SUMIFS('Stock In'!I:I,'Stock In'!B:B,$A95,'Stock In'!C:C,$B95,'Stock In'!D:D,$C95,'Stock In'!E:E,$D95) / SUMIFS('Stock In'!H:H,'Stock In'!B:B,$A95,'Stock In'!C:C,$B95,'Stock In'!D:D,$C95,'Stock In'!E:E,$D95), 0)</f>
        <v>0</v>
      </c>
      <c r="K95" s="82">
        <f t="shared" si="3"/>
        <v>0</v>
      </c>
    </row>
    <row r="96">
      <c r="A96" s="80" t="str">
        <f>IFERROR(__xludf.DUMMYFUNCTION("""COMPUTED_VALUE"""),"Sonafine Corporation Pvt Ltd")</f>
        <v>Sonafine Corporation Pvt Ltd</v>
      </c>
      <c r="B96" s="80" t="str">
        <f>IFERROR(__xludf.DUMMYFUNCTION("""COMPUTED_VALUE"""),"Blochum Blue Paper Sheet ")</f>
        <v>Blochum Blue Paper Sheet </v>
      </c>
      <c r="C96" s="80">
        <f>IFERROR(__xludf.DUMMYFUNCTION("""COMPUTED_VALUE"""),250.0)</f>
        <v>250</v>
      </c>
      <c r="D96" s="81">
        <f>IFERROR(__xludf.DUMMYFUNCTION("""COMPUTED_VALUE"""),0.0)</f>
        <v>0</v>
      </c>
      <c r="E96" s="82">
        <f>IFERROR(SUMIFS('Stock In'!F:F,'Stock In'!B:B,$A96,'Stock In'!C:C,$B96,'Stock In'!D:D,$C96,'Stock In'!E:E,$D96),0)</f>
        <v>0</v>
      </c>
      <c r="F96" s="82">
        <f>IFERROR(SUMIFS(Issues!H:H, Issues!F:F, $A96, Issues!C:C, $B96, Issues!D:D, $C96, Issues!E:E, $D96), 0)</f>
        <v>0</v>
      </c>
      <c r="G96" s="82">
        <f>IFERROR(SUMIFS(Returns!H:H, Returns!F:F, $A96, Returns!C:C, $B96, Returns!D:D, $C96, Returns!E:E, $D96), 0)</f>
        <v>0</v>
      </c>
      <c r="H96" s="82">
        <f t="shared" si="1"/>
        <v>0</v>
      </c>
      <c r="I96" s="82">
        <f t="shared" si="2"/>
        <v>0</v>
      </c>
      <c r="J96" s="82">
        <f>IFERROR( SUMIFS('Stock In'!I:I,'Stock In'!B:B,$A96,'Stock In'!C:C,$B96,'Stock In'!D:D,$C96,'Stock In'!E:E,$D96) / SUMIFS('Stock In'!H:H,'Stock In'!B:B,$A96,'Stock In'!C:C,$B96,'Stock In'!D:D,$C96,'Stock In'!E:E,$D96), 0)</f>
        <v>0</v>
      </c>
      <c r="K96" s="82">
        <f t="shared" si="3"/>
        <v>0</v>
      </c>
    </row>
    <row r="97">
      <c r="A97" s="80" t="str">
        <f>IFERROR(__xludf.DUMMYFUNCTION("""COMPUTED_VALUE"""),"Stick Tapes ")</f>
        <v>Stick Tapes </v>
      </c>
      <c r="B97" s="80" t="str">
        <f>IFERROR(__xludf.DUMMYFUNCTION("""COMPUTED_VALUE"""),"Tape")</f>
        <v>Tape</v>
      </c>
      <c r="C97" s="80">
        <f>IFERROR(__xludf.DUMMYFUNCTION("""COMPUTED_VALUE"""),12.0)</f>
        <v>12</v>
      </c>
      <c r="D97" s="81">
        <f>IFERROR(__xludf.DUMMYFUNCTION("""COMPUTED_VALUE"""),72.0)</f>
        <v>72</v>
      </c>
      <c r="E97" s="82">
        <f>IFERROR(SUMIFS('Stock In'!F:F,'Stock In'!B:B,$A97,'Stock In'!C:C,$B97,'Stock In'!D:D,$C97,'Stock In'!E:E,$D97),0)</f>
        <v>6000</v>
      </c>
      <c r="F97" s="82">
        <f>IFERROR(SUMIFS(Issues!H:H, Issues!F:F, $A97, Issues!C:C, $B97, Issues!D:D, $C97, Issues!E:E, $D97), 0)</f>
        <v>0</v>
      </c>
      <c r="G97" s="82">
        <f>IFERROR(SUMIFS(Returns!H:H, Returns!F:F, $A97, Returns!C:C, $B97, Returns!D:D, $C97, Returns!E:E, $D97), 0)</f>
        <v>0</v>
      </c>
      <c r="H97" s="82">
        <f t="shared" si="1"/>
        <v>6000</v>
      </c>
      <c r="I97" s="82">
        <f t="shared" si="2"/>
        <v>432</v>
      </c>
      <c r="J97" s="82">
        <f>IFERROR( SUMIFS('Stock In'!I:I,'Stock In'!B:B,$A97,'Stock In'!C:C,$B97,'Stock In'!D:D,$C97,'Stock In'!E:E,$D97) / SUMIFS('Stock In'!H:H,'Stock In'!B:B,$A97,'Stock In'!C:C,$B97,'Stock In'!D:D,$C97,'Stock In'!E:E,$D97), 0)</f>
        <v>230</v>
      </c>
      <c r="K97" s="82">
        <f t="shared" si="3"/>
        <v>99360</v>
      </c>
    </row>
    <row r="98">
      <c r="A98" s="80" t="str">
        <f>IFERROR(__xludf.DUMMYFUNCTION("""COMPUTED_VALUE"""),"Surya")</f>
        <v>Surya</v>
      </c>
      <c r="B98" s="80" t="str">
        <f>IFERROR(__xludf.DUMMYFUNCTION("""COMPUTED_VALUE"""),"Chromo")</f>
        <v>Chromo</v>
      </c>
      <c r="C98" s="80">
        <f>IFERROR(__xludf.DUMMYFUNCTION("""COMPUTED_VALUE"""),80.0)</f>
        <v>80</v>
      </c>
      <c r="D98" s="81">
        <f>IFERROR(__xludf.DUMMYFUNCTION("""COMPUTED_VALUE"""),125.0)</f>
        <v>125</v>
      </c>
      <c r="E98" s="82">
        <f>IFERROR(SUMIFS('Stock In'!F:F,'Stock In'!B:B,$A98,'Stock In'!C:C,$B98,'Stock In'!D:D,$C98,'Stock In'!E:E,$D98),0)</f>
        <v>6048</v>
      </c>
      <c r="F98" s="82">
        <f>IFERROR(SUMIFS(Issues!H:H, Issues!F:F, $A98, Issues!C:C, $B98, Issues!D:D, $C98, Issues!E:E, $D98), 0)</f>
        <v>2800</v>
      </c>
      <c r="G98" s="82">
        <f>IFERROR(SUMIFS(Returns!H:H, Returns!F:F, $A98, Returns!C:C, $B98, Returns!D:D, $C98, Returns!E:E, $D98), 0)</f>
        <v>450</v>
      </c>
      <c r="H98" s="82">
        <f t="shared" si="1"/>
        <v>3698</v>
      </c>
      <c r="I98" s="82">
        <f t="shared" si="2"/>
        <v>462.25</v>
      </c>
      <c r="J98" s="82">
        <f>IFERROR( SUMIFS('Stock In'!I:I,'Stock In'!B:B,$A98,'Stock In'!C:C,$B98,'Stock In'!D:D,$C98,'Stock In'!E:E,$D98) / SUMIFS('Stock In'!H:H,'Stock In'!B:B,$A98,'Stock In'!C:C,$B98,'Stock In'!D:D,$C98,'Stock In'!E:E,$D98), 0)</f>
        <v>26.5</v>
      </c>
      <c r="K98" s="82">
        <f t="shared" si="3"/>
        <v>12249.625</v>
      </c>
    </row>
    <row r="99">
      <c r="A99" s="80" t="str">
        <f>IFERROR(__xludf.DUMMYFUNCTION("""COMPUTED_VALUE"""),"Surya")</f>
        <v>Surya</v>
      </c>
      <c r="B99" s="80" t="str">
        <f>IFERROR(__xludf.DUMMYFUNCTION("""COMPUTED_VALUE"""),"Chromo")</f>
        <v>Chromo</v>
      </c>
      <c r="C99" s="80">
        <f>IFERROR(__xludf.DUMMYFUNCTION("""COMPUTED_VALUE"""),80.0)</f>
        <v>80</v>
      </c>
      <c r="D99" s="81">
        <f>IFERROR(__xludf.DUMMYFUNCTION("""COMPUTED_VALUE"""),126.0)</f>
        <v>126</v>
      </c>
      <c r="E99" s="82">
        <f>IFERROR(SUMIFS('Stock In'!F:F,'Stock In'!B:B,$A99,'Stock In'!C:C,$B99,'Stock In'!D:D,$C99,'Stock In'!E:E,$D99),0)</f>
        <v>8750</v>
      </c>
      <c r="F99" s="82">
        <f>IFERROR(SUMIFS(Issues!H:H, Issues!F:F, $A99, Issues!C:C, $B99, Issues!D:D, $C99, Issues!E:E, $D99), 0)</f>
        <v>9410</v>
      </c>
      <c r="G99" s="82">
        <f>IFERROR(SUMIFS(Returns!H:H, Returns!F:F, $A99, Returns!C:C, $B99, Returns!D:D, $C99, Returns!E:E, $D99), 0)</f>
        <v>1980</v>
      </c>
      <c r="H99" s="82">
        <f t="shared" si="1"/>
        <v>1320</v>
      </c>
      <c r="I99" s="82">
        <f t="shared" si="2"/>
        <v>166.32</v>
      </c>
      <c r="J99" s="82">
        <f>IFERROR( SUMIFS('Stock In'!I:I,'Stock In'!B:B,$A99,'Stock In'!C:C,$B99,'Stock In'!D:D,$C99,'Stock In'!E:E,$D99) / SUMIFS('Stock In'!H:H,'Stock In'!B:B,$A99,'Stock In'!C:C,$B99,'Stock In'!D:D,$C99,'Stock In'!E:E,$D99), 0)</f>
        <v>26.5</v>
      </c>
      <c r="K99" s="82">
        <f t="shared" si="3"/>
        <v>4407.48</v>
      </c>
    </row>
    <row r="100">
      <c r="A100" s="80" t="str">
        <f>IFERROR(__xludf.DUMMYFUNCTION("""COMPUTED_VALUE"""),"Surya")</f>
        <v>Surya</v>
      </c>
      <c r="B100" s="80" t="str">
        <f>IFERROR(__xludf.DUMMYFUNCTION("""COMPUTED_VALUE"""),"Chromo")</f>
        <v>Chromo</v>
      </c>
      <c r="C100" s="80">
        <f>IFERROR(__xludf.DUMMYFUNCTION("""COMPUTED_VALUE"""),80.0)</f>
        <v>80</v>
      </c>
      <c r="D100" s="81">
        <f>IFERROR(__xludf.DUMMYFUNCTION("""COMPUTED_VALUE"""),140.0)</f>
        <v>140</v>
      </c>
      <c r="E100" s="82">
        <f>IFERROR(SUMIFS('Stock In'!F:F,'Stock In'!B:B,$A100,'Stock In'!C:C,$B100,'Stock In'!D:D,$C100,'Stock In'!E:E,$D100),0)</f>
        <v>192040</v>
      </c>
      <c r="F100" s="82">
        <f>IFERROR(SUMIFS(Issues!H:H, Issues!F:F, $A100, Issues!C:C, $B100, Issues!D:D, $C100, Issues!E:E, $D100), 0)</f>
        <v>182581</v>
      </c>
      <c r="G100" s="82">
        <f>IFERROR(SUMIFS(Returns!H:H, Returns!F:F, $A100, Returns!C:C, $B100, Returns!D:D, $C100, Returns!E:E, $D100), 0)</f>
        <v>57350</v>
      </c>
      <c r="H100" s="82">
        <f t="shared" si="1"/>
        <v>66809</v>
      </c>
      <c r="I100" s="82">
        <f t="shared" si="2"/>
        <v>9353.26</v>
      </c>
      <c r="J100" s="82">
        <f>IFERROR( SUMIFS('Stock In'!I:I,'Stock In'!B:B,$A100,'Stock In'!C:C,$B100,'Stock In'!D:D,$C100,'Stock In'!E:E,$D100) / SUMIFS('Stock In'!H:H,'Stock In'!B:B,$A100,'Stock In'!C:C,$B100,'Stock In'!D:D,$C100,'Stock In'!E:E,$D100), 0)</f>
        <v>26.97401583</v>
      </c>
      <c r="K100" s="82">
        <f t="shared" si="3"/>
        <v>252294.9833</v>
      </c>
    </row>
    <row r="101">
      <c r="A101" s="80" t="str">
        <f>IFERROR(__xludf.DUMMYFUNCTION("""COMPUTED_VALUE"""),"Surya")</f>
        <v>Surya</v>
      </c>
      <c r="B101" s="80" t="str">
        <f>IFERROR(__xludf.DUMMYFUNCTION("""COMPUTED_VALUE"""),"Chromo")</f>
        <v>Chromo</v>
      </c>
      <c r="C101" s="80">
        <f>IFERROR(__xludf.DUMMYFUNCTION("""COMPUTED_VALUE"""),80.0)</f>
        <v>80</v>
      </c>
      <c r="D101" s="81">
        <f>IFERROR(__xludf.DUMMYFUNCTION("""COMPUTED_VALUE"""),160.0)</f>
        <v>160</v>
      </c>
      <c r="E101" s="82">
        <f>IFERROR(SUMIFS('Stock In'!F:F,'Stock In'!B:B,$A101,'Stock In'!C:C,$B101,'Stock In'!D:D,$C101,'Stock In'!E:E,$D101),0)</f>
        <v>251410</v>
      </c>
      <c r="F101" s="82">
        <f>IFERROR(SUMIFS(Issues!H:H, Issues!F:F, $A101, Issues!C:C, $B101, Issues!D:D, $C101, Issues!E:E, $D101), 0)</f>
        <v>198265</v>
      </c>
      <c r="G101" s="82">
        <f>IFERROR(SUMIFS(Returns!H:H, Returns!F:F, $A101, Returns!C:C, $B101, Returns!D:D, $C101, Returns!E:E, $D101), 0)</f>
        <v>33472</v>
      </c>
      <c r="H101" s="82">
        <f t="shared" si="1"/>
        <v>86617</v>
      </c>
      <c r="I101" s="82">
        <f t="shared" si="2"/>
        <v>13858.72</v>
      </c>
      <c r="J101" s="82">
        <f>IFERROR( SUMIFS('Stock In'!I:I,'Stock In'!B:B,$A101,'Stock In'!C:C,$B101,'Stock In'!D:D,$C101,'Stock In'!E:E,$D101) / SUMIFS('Stock In'!H:H,'Stock In'!B:B,$A101,'Stock In'!C:C,$B101,'Stock In'!D:D,$C101,'Stock In'!E:E,$D101), 0)</f>
        <v>27.05805258</v>
      </c>
      <c r="K101" s="82">
        <f t="shared" si="3"/>
        <v>374989.9745</v>
      </c>
    </row>
    <row r="102">
      <c r="A102" s="80" t="str">
        <f>IFERROR(__xludf.DUMMYFUNCTION("""COMPUTED_VALUE"""),"Surya")</f>
        <v>Surya</v>
      </c>
      <c r="B102" s="80" t="str">
        <f>IFERROR(__xludf.DUMMYFUNCTION("""COMPUTED_VALUE"""),"Chromo")</f>
        <v>Chromo</v>
      </c>
      <c r="C102" s="80">
        <f>IFERROR(__xludf.DUMMYFUNCTION("""COMPUTED_VALUE"""),80.0)</f>
        <v>80</v>
      </c>
      <c r="D102" s="81">
        <f>IFERROR(__xludf.DUMMYFUNCTION("""COMPUTED_VALUE"""),185.0)</f>
        <v>185</v>
      </c>
      <c r="E102" s="82">
        <f>IFERROR(SUMIFS('Stock In'!F:F,'Stock In'!B:B,$A102,'Stock In'!C:C,$B102,'Stock In'!D:D,$C102,'Stock In'!E:E,$D102),0)</f>
        <v>59790</v>
      </c>
      <c r="F102" s="82">
        <f>IFERROR(SUMIFS(Issues!H:H, Issues!F:F, $A102, Issues!C:C, $B102, Issues!D:D, $C102, Issues!E:E, $D102), 0)</f>
        <v>45270</v>
      </c>
      <c r="G102" s="82">
        <f>IFERROR(SUMIFS(Returns!H:H, Returns!F:F, $A102, Returns!C:C, $B102, Returns!D:D, $C102, Returns!E:E, $D102), 0)</f>
        <v>17370</v>
      </c>
      <c r="H102" s="82">
        <f t="shared" si="1"/>
        <v>31890</v>
      </c>
      <c r="I102" s="82">
        <f t="shared" si="2"/>
        <v>5899.65</v>
      </c>
      <c r="J102" s="82">
        <f>IFERROR( SUMIFS('Stock In'!I:I,'Stock In'!B:B,$A102,'Stock In'!C:C,$B102,'Stock In'!D:D,$C102,'Stock In'!E:E,$D102) / SUMIFS('Stock In'!H:H,'Stock In'!B:B,$A102,'Stock In'!C:C,$B102,'Stock In'!D:D,$C102,'Stock In'!E:E,$D102), 0)</f>
        <v>27.33626024</v>
      </c>
      <c r="K102" s="82">
        <f t="shared" si="3"/>
        <v>161274.3677</v>
      </c>
    </row>
    <row r="103">
      <c r="A103" s="80" t="str">
        <f>IFERROR(__xludf.DUMMYFUNCTION("""COMPUTED_VALUE"""),"Surya")</f>
        <v>Surya</v>
      </c>
      <c r="B103" s="80" t="str">
        <f>IFERROR(__xludf.DUMMYFUNCTION("""COMPUTED_VALUE"""),"Chromo")</f>
        <v>Chromo</v>
      </c>
      <c r="C103" s="80">
        <f>IFERROR(__xludf.DUMMYFUNCTION("""COMPUTED_VALUE"""),80.0)</f>
        <v>80</v>
      </c>
      <c r="D103" s="81">
        <f>IFERROR(__xludf.DUMMYFUNCTION("""COMPUTED_VALUE"""),190.0)</f>
        <v>190</v>
      </c>
      <c r="E103" s="82">
        <f>IFERROR(SUMIFS('Stock In'!F:F,'Stock In'!B:B,$A103,'Stock In'!C:C,$B103,'Stock In'!D:D,$C103,'Stock In'!E:E,$D103),0)</f>
        <v>250</v>
      </c>
      <c r="F103" s="82">
        <f>IFERROR(SUMIFS(Issues!H:H, Issues!F:F, $A103, Issues!C:C, $B103, Issues!D:D, $C103, Issues!E:E, $D103), 0)</f>
        <v>0</v>
      </c>
      <c r="G103" s="82">
        <f>IFERROR(SUMIFS(Returns!H:H, Returns!F:F, $A103, Returns!C:C, $B103, Returns!D:D, $C103, Returns!E:E, $D103), 0)</f>
        <v>0</v>
      </c>
      <c r="H103" s="82">
        <f t="shared" si="1"/>
        <v>250</v>
      </c>
      <c r="I103" s="82">
        <f t="shared" si="2"/>
        <v>47.5</v>
      </c>
      <c r="J103" s="82">
        <f>IFERROR( SUMIFS('Stock In'!I:I,'Stock In'!B:B,$A103,'Stock In'!C:C,$B103,'Stock In'!D:D,$C103,'Stock In'!E:E,$D103) / SUMIFS('Stock In'!H:H,'Stock In'!B:B,$A103,'Stock In'!C:C,$B103,'Stock In'!D:D,$C103,'Stock In'!E:E,$D103), 0)</f>
        <v>26.5</v>
      </c>
      <c r="K103" s="82">
        <f t="shared" si="3"/>
        <v>1258.75</v>
      </c>
    </row>
    <row r="104">
      <c r="A104" s="80" t="str">
        <f>IFERROR(__xludf.DUMMYFUNCTION("""COMPUTED_VALUE"""),"Surya")</f>
        <v>Surya</v>
      </c>
      <c r="B104" s="80" t="str">
        <f>IFERROR(__xludf.DUMMYFUNCTION("""COMPUTED_VALUE"""),"Chromo")</f>
        <v>Chromo</v>
      </c>
      <c r="C104" s="80">
        <f>IFERROR(__xludf.DUMMYFUNCTION("""COMPUTED_VALUE"""),80.0)</f>
        <v>80</v>
      </c>
      <c r="D104" s="81">
        <f>IFERROR(__xludf.DUMMYFUNCTION("""COMPUTED_VALUE"""),195.0)</f>
        <v>195</v>
      </c>
      <c r="E104" s="82">
        <f>IFERROR(SUMIFS('Stock In'!F:F,'Stock In'!B:B,$A104,'Stock In'!C:C,$B104,'Stock In'!D:D,$C104,'Stock In'!E:E,$D104),0)</f>
        <v>28610</v>
      </c>
      <c r="F104" s="82">
        <f>IFERROR(SUMIFS(Issues!H:H, Issues!F:F, $A104, Issues!C:C, $B104, Issues!D:D, $C104, Issues!E:E, $D104), 0)</f>
        <v>32120</v>
      </c>
      <c r="G104" s="82">
        <f>IFERROR(SUMIFS(Returns!H:H, Returns!F:F, $A104, Returns!C:C, $B104, Returns!D:D, $C104, Returns!E:E, $D104), 0)</f>
        <v>11950</v>
      </c>
      <c r="H104" s="82">
        <f t="shared" si="1"/>
        <v>8440</v>
      </c>
      <c r="I104" s="82">
        <f t="shared" si="2"/>
        <v>1645.8</v>
      </c>
      <c r="J104" s="82">
        <f>IFERROR( SUMIFS('Stock In'!I:I,'Stock In'!B:B,$A104,'Stock In'!C:C,$B104,'Stock In'!D:D,$C104,'Stock In'!E:E,$D104) / SUMIFS('Stock In'!H:H,'Stock In'!B:B,$A104,'Stock In'!C:C,$B104,'Stock In'!D:D,$C104,'Stock In'!E:E,$D104), 0)</f>
        <v>26.5</v>
      </c>
      <c r="K104" s="82">
        <f t="shared" si="3"/>
        <v>43613.7</v>
      </c>
    </row>
    <row r="105">
      <c r="A105" s="80" t="str">
        <f>IFERROR(__xludf.DUMMYFUNCTION("""COMPUTED_VALUE"""),"Surya")</f>
        <v>Surya</v>
      </c>
      <c r="B105" s="80" t="str">
        <f>IFERROR(__xludf.DUMMYFUNCTION("""COMPUTED_VALUE"""),"Chromo")</f>
        <v>Chromo</v>
      </c>
      <c r="C105" s="80">
        <f>IFERROR(__xludf.DUMMYFUNCTION("""COMPUTED_VALUE"""),80.0)</f>
        <v>80</v>
      </c>
      <c r="D105" s="81">
        <f>IFERROR(__xludf.DUMMYFUNCTION("""COMPUTED_VALUE"""),200.0)</f>
        <v>200</v>
      </c>
      <c r="E105" s="82">
        <f>IFERROR(SUMIFS('Stock In'!F:F,'Stock In'!B:B,$A105,'Stock In'!C:C,$B105,'Stock In'!D:D,$C105,'Stock In'!E:E,$D105),0)</f>
        <v>18879</v>
      </c>
      <c r="F105" s="82">
        <f>IFERROR(SUMIFS(Issues!H:H, Issues!F:F, $A105, Issues!C:C, $B105, Issues!D:D, $C105, Issues!E:E, $D105), 0)</f>
        <v>9150</v>
      </c>
      <c r="G105" s="82">
        <f>IFERROR(SUMIFS(Returns!H:H, Returns!F:F, $A105, Returns!C:C, $B105, Returns!D:D, $C105, Returns!E:E, $D105), 0)</f>
        <v>1260</v>
      </c>
      <c r="H105" s="82">
        <f t="shared" si="1"/>
        <v>10989</v>
      </c>
      <c r="I105" s="82">
        <f t="shared" si="2"/>
        <v>2197.8</v>
      </c>
      <c r="J105" s="82">
        <f>IFERROR( SUMIFS('Stock In'!I:I,'Stock In'!B:B,$A105,'Stock In'!C:C,$B105,'Stock In'!D:D,$C105,'Stock In'!E:E,$D105) / SUMIFS('Stock In'!H:H,'Stock In'!B:B,$A105,'Stock In'!C:C,$B105,'Stock In'!D:D,$C105,'Stock In'!E:E,$D105), 0)</f>
        <v>27.22485301</v>
      </c>
      <c r="K105" s="82">
        <f t="shared" si="3"/>
        <v>59834.78195</v>
      </c>
    </row>
    <row r="106">
      <c r="A106" s="80" t="str">
        <f>IFERROR(__xludf.DUMMYFUNCTION("""COMPUTED_VALUE"""),"Surya")</f>
        <v>Surya</v>
      </c>
      <c r="B106" s="80" t="str">
        <f>IFERROR(__xludf.DUMMYFUNCTION("""COMPUTED_VALUE"""),"Chromo")</f>
        <v>Chromo</v>
      </c>
      <c r="C106" s="80">
        <f>IFERROR(__xludf.DUMMYFUNCTION("""COMPUTED_VALUE"""),80.0)</f>
        <v>80</v>
      </c>
      <c r="D106" s="81">
        <f>IFERROR(__xludf.DUMMYFUNCTION("""COMPUTED_VALUE"""),210.0)</f>
        <v>210</v>
      </c>
      <c r="E106" s="82">
        <f>IFERROR(SUMIFS('Stock In'!F:F,'Stock In'!B:B,$A106,'Stock In'!C:C,$B106,'Stock In'!D:D,$C106,'Stock In'!E:E,$D106),0)</f>
        <v>12780</v>
      </c>
      <c r="F106" s="82">
        <f>IFERROR(SUMIFS(Issues!H:H, Issues!F:F, $A106, Issues!C:C, $B106, Issues!D:D, $C106, Issues!E:E, $D106), 0)</f>
        <v>15865</v>
      </c>
      <c r="G106" s="82">
        <f>IFERROR(SUMIFS(Returns!H:H, Returns!F:F, $A106, Returns!C:C, $B106, Returns!D:D, $C106, Returns!E:E, $D106), 0)</f>
        <v>4135</v>
      </c>
      <c r="H106" s="82">
        <f t="shared" si="1"/>
        <v>1050</v>
      </c>
      <c r="I106" s="82">
        <f t="shared" si="2"/>
        <v>220.5</v>
      </c>
      <c r="J106" s="82">
        <f>IFERROR( SUMIFS('Stock In'!I:I,'Stock In'!B:B,$A106,'Stock In'!C:C,$B106,'Stock In'!D:D,$C106,'Stock In'!E:E,$D106) / SUMIFS('Stock In'!H:H,'Stock In'!B:B,$A106,'Stock In'!C:C,$B106,'Stock In'!D:D,$C106,'Stock In'!E:E,$D106), 0)</f>
        <v>26.5</v>
      </c>
      <c r="K106" s="82">
        <f t="shared" si="3"/>
        <v>5843.25</v>
      </c>
    </row>
    <row r="107">
      <c r="A107" s="80" t="str">
        <f>IFERROR(__xludf.DUMMYFUNCTION("""COMPUTED_VALUE"""),"Surya")</f>
        <v>Surya</v>
      </c>
      <c r="B107" s="80" t="str">
        <f>IFERROR(__xludf.DUMMYFUNCTION("""COMPUTED_VALUE"""),"Chromo")</f>
        <v>Chromo</v>
      </c>
      <c r="C107" s="80">
        <f>IFERROR(__xludf.DUMMYFUNCTION("""COMPUTED_VALUE"""),80.0)</f>
        <v>80</v>
      </c>
      <c r="D107" s="81">
        <f>IFERROR(__xludf.DUMMYFUNCTION("""COMPUTED_VALUE"""),220.0)</f>
        <v>220</v>
      </c>
      <c r="E107" s="82">
        <f>IFERROR(SUMIFS('Stock In'!F:F,'Stock In'!B:B,$A107,'Stock In'!C:C,$B107,'Stock In'!D:D,$C107,'Stock In'!E:E,$D107),0)</f>
        <v>40780</v>
      </c>
      <c r="F107" s="82">
        <f>IFERROR(SUMIFS(Issues!H:H, Issues!F:F, $A107, Issues!C:C, $B107, Issues!D:D, $C107, Issues!E:E, $D107), 0)</f>
        <v>11250</v>
      </c>
      <c r="G107" s="82">
        <f>IFERROR(SUMIFS(Returns!H:H, Returns!F:F, $A107, Returns!C:C, $B107, Returns!D:D, $C107, Returns!E:E, $D107), 0)</f>
        <v>840</v>
      </c>
      <c r="H107" s="82">
        <f t="shared" si="1"/>
        <v>30370</v>
      </c>
      <c r="I107" s="82">
        <f t="shared" si="2"/>
        <v>6681.4</v>
      </c>
      <c r="J107" s="82">
        <f>IFERROR( SUMIFS('Stock In'!I:I,'Stock In'!B:B,$A107,'Stock In'!C:C,$B107,'Stock In'!D:D,$C107,'Stock In'!E:E,$D107) / SUMIFS('Stock In'!H:H,'Stock In'!B:B,$A107,'Stock In'!C:C,$B107,'Stock In'!D:D,$C107,'Stock In'!E:E,$D107), 0)</f>
        <v>27.48062776</v>
      </c>
      <c r="K107" s="82">
        <f t="shared" si="3"/>
        <v>183609.0663</v>
      </c>
    </row>
    <row r="108">
      <c r="A108" s="80" t="str">
        <f>IFERROR(__xludf.DUMMYFUNCTION("""COMPUTED_VALUE"""),"Surya")</f>
        <v>Surya</v>
      </c>
      <c r="B108" s="80" t="str">
        <f>IFERROR(__xludf.DUMMYFUNCTION("""COMPUTED_VALUE"""),"Chromo")</f>
        <v>Chromo</v>
      </c>
      <c r="C108" s="80">
        <f>IFERROR(__xludf.DUMMYFUNCTION("""COMPUTED_VALUE"""),80.0)</f>
        <v>80</v>
      </c>
      <c r="D108" s="81">
        <f>IFERROR(__xludf.DUMMYFUNCTION("""COMPUTED_VALUE"""),229.0)</f>
        <v>229</v>
      </c>
      <c r="E108" s="82">
        <f>IFERROR(SUMIFS('Stock In'!F:F,'Stock In'!B:B,$A108,'Stock In'!C:C,$B108,'Stock In'!D:D,$C108,'Stock In'!E:E,$D108),0)</f>
        <v>6000</v>
      </c>
      <c r="F108" s="82">
        <f>IFERROR(SUMIFS(Issues!H:H, Issues!F:F, $A108, Issues!C:C, $B108, Issues!D:D, $C108, Issues!E:E, $D108), 0)</f>
        <v>3980</v>
      </c>
      <c r="G108" s="82">
        <f>IFERROR(SUMIFS(Returns!H:H, Returns!F:F, $A108, Returns!C:C, $B108, Returns!D:D, $C108, Returns!E:E, $D108), 0)</f>
        <v>2050</v>
      </c>
      <c r="H108" s="82">
        <f t="shared" si="1"/>
        <v>4070</v>
      </c>
      <c r="I108" s="82">
        <f t="shared" si="2"/>
        <v>932.03</v>
      </c>
      <c r="J108" s="82">
        <f>IFERROR( SUMIFS('Stock In'!I:I,'Stock In'!B:B,$A108,'Stock In'!C:C,$B108,'Stock In'!D:D,$C108,'Stock In'!E:E,$D108) / SUMIFS('Stock In'!H:H,'Stock In'!B:B,$A108,'Stock In'!C:C,$B108,'Stock In'!D:D,$C108,'Stock In'!E:E,$D108), 0)</f>
        <v>28.5</v>
      </c>
      <c r="K108" s="82">
        <f t="shared" si="3"/>
        <v>26562.855</v>
      </c>
    </row>
    <row r="109">
      <c r="A109" s="80" t="str">
        <f>IFERROR(__xludf.DUMMYFUNCTION("""COMPUTED_VALUE"""),"Surya")</f>
        <v>Surya</v>
      </c>
      <c r="B109" s="80" t="str">
        <f>IFERROR(__xludf.DUMMYFUNCTION("""COMPUTED_VALUE"""),"Chromo")</f>
        <v>Chromo</v>
      </c>
      <c r="C109" s="80">
        <f>IFERROR(__xludf.DUMMYFUNCTION("""COMPUTED_VALUE"""),80.0)</f>
        <v>80</v>
      </c>
      <c r="D109" s="81">
        <f>IFERROR(__xludf.DUMMYFUNCTION("""COMPUTED_VALUE"""),230.0)</f>
        <v>230</v>
      </c>
      <c r="E109" s="82">
        <f>IFERROR(SUMIFS('Stock In'!F:F,'Stock In'!B:B,$A109,'Stock In'!C:C,$B109,'Stock In'!D:D,$C109,'Stock In'!E:E,$D109),0)</f>
        <v>48810</v>
      </c>
      <c r="F109" s="82">
        <f>IFERROR(SUMIFS(Issues!H:H, Issues!F:F, $A109, Issues!C:C, $B109, Issues!D:D, $C109, Issues!E:E, $D109), 0)</f>
        <v>53260</v>
      </c>
      <c r="G109" s="82">
        <f>IFERROR(SUMIFS(Returns!H:H, Returns!F:F, $A109, Returns!C:C, $B109, Returns!D:D, $C109, Returns!E:E, $D109), 0)</f>
        <v>18336</v>
      </c>
      <c r="H109" s="82">
        <f t="shared" si="1"/>
        <v>13886</v>
      </c>
      <c r="I109" s="82">
        <f t="shared" si="2"/>
        <v>3193.78</v>
      </c>
      <c r="J109" s="82">
        <f>IFERROR( SUMIFS('Stock In'!I:I,'Stock In'!B:B,$A109,'Stock In'!C:C,$B109,'Stock In'!D:D,$C109,'Stock In'!E:E,$D109) / SUMIFS('Stock In'!H:H,'Stock In'!B:B,$A109,'Stock In'!C:C,$B109,'Stock In'!D:D,$C109,'Stock In'!E:E,$D109), 0)</f>
        <v>26.9585126</v>
      </c>
      <c r="K109" s="82">
        <f t="shared" si="3"/>
        <v>86099.55837</v>
      </c>
    </row>
    <row r="110">
      <c r="A110" s="80" t="str">
        <f>IFERROR(__xludf.DUMMYFUNCTION("""COMPUTED_VALUE"""),"Surya")</f>
        <v>Surya</v>
      </c>
      <c r="B110" s="80" t="str">
        <f>IFERROR(__xludf.DUMMYFUNCTION("""COMPUTED_VALUE"""),"Chromo")</f>
        <v>Chromo</v>
      </c>
      <c r="C110" s="80">
        <f>IFERROR(__xludf.DUMMYFUNCTION("""COMPUTED_VALUE"""),80.0)</f>
        <v>80</v>
      </c>
      <c r="D110" s="81">
        <f>IFERROR(__xludf.DUMMYFUNCTION("""COMPUTED_VALUE"""),240.0)</f>
        <v>240</v>
      </c>
      <c r="E110" s="82">
        <f>IFERROR(SUMIFS('Stock In'!F:F,'Stock In'!B:B,$A110,'Stock In'!C:C,$B110,'Stock In'!D:D,$C110,'Stock In'!E:E,$D110),0)</f>
        <v>1300</v>
      </c>
      <c r="F110" s="82">
        <f>IFERROR(SUMIFS(Issues!H:H, Issues!F:F, $A110, Issues!C:C, $B110, Issues!D:D, $C110, Issues!E:E, $D110), 0)</f>
        <v>400</v>
      </c>
      <c r="G110" s="82">
        <f>IFERROR(SUMIFS(Returns!H:H, Returns!F:F, $A110, Returns!C:C, $B110, Returns!D:D, $C110, Returns!E:E, $D110), 0)</f>
        <v>200</v>
      </c>
      <c r="H110" s="82">
        <f t="shared" si="1"/>
        <v>1100</v>
      </c>
      <c r="I110" s="82">
        <f t="shared" si="2"/>
        <v>264</v>
      </c>
      <c r="J110" s="82">
        <f>IFERROR( SUMIFS('Stock In'!I:I,'Stock In'!B:B,$A110,'Stock In'!C:C,$B110,'Stock In'!D:D,$C110,'Stock In'!E:E,$D110) / SUMIFS('Stock In'!H:H,'Stock In'!B:B,$A110,'Stock In'!C:C,$B110,'Stock In'!D:D,$C110,'Stock In'!E:E,$D110), 0)</f>
        <v>26.5</v>
      </c>
      <c r="K110" s="82">
        <f t="shared" si="3"/>
        <v>6996</v>
      </c>
    </row>
    <row r="111">
      <c r="A111" s="80" t="str">
        <f>IFERROR(__xludf.DUMMYFUNCTION("""COMPUTED_VALUE"""),"Surya")</f>
        <v>Surya</v>
      </c>
      <c r="B111" s="80" t="str">
        <f>IFERROR(__xludf.DUMMYFUNCTION("""COMPUTED_VALUE"""),"Chromo")</f>
        <v>Chromo</v>
      </c>
      <c r="C111" s="80">
        <f>IFERROR(__xludf.DUMMYFUNCTION("""COMPUTED_VALUE"""),80.0)</f>
        <v>80</v>
      </c>
      <c r="D111" s="81">
        <f>IFERROR(__xludf.DUMMYFUNCTION("""COMPUTED_VALUE"""),245.0)</f>
        <v>245</v>
      </c>
      <c r="E111" s="82">
        <f>IFERROR(SUMIFS('Stock In'!F:F,'Stock In'!B:B,$A111,'Stock In'!C:C,$B111,'Stock In'!D:D,$C111,'Stock In'!E:E,$D111),0)</f>
        <v>2070</v>
      </c>
      <c r="F111" s="82">
        <f>IFERROR(SUMIFS(Issues!H:H, Issues!F:F, $A111, Issues!C:C, $B111, Issues!D:D, $C111, Issues!E:E, $D111), 0)</f>
        <v>0</v>
      </c>
      <c r="G111" s="82">
        <f>IFERROR(SUMIFS(Returns!H:H, Returns!F:F, $A111, Returns!C:C, $B111, Returns!D:D, $C111, Returns!E:E, $D111), 0)</f>
        <v>0</v>
      </c>
      <c r="H111" s="82">
        <f t="shared" si="1"/>
        <v>2070</v>
      </c>
      <c r="I111" s="82">
        <f t="shared" si="2"/>
        <v>507.15</v>
      </c>
      <c r="J111" s="82">
        <f>IFERROR( SUMIFS('Stock In'!I:I,'Stock In'!B:B,$A111,'Stock In'!C:C,$B111,'Stock In'!D:D,$C111,'Stock In'!E:E,$D111) / SUMIFS('Stock In'!H:H,'Stock In'!B:B,$A111,'Stock In'!C:C,$B111,'Stock In'!D:D,$C111,'Stock In'!E:E,$D111), 0)</f>
        <v>26.5</v>
      </c>
      <c r="K111" s="82">
        <f t="shared" si="3"/>
        <v>13439.475</v>
      </c>
    </row>
    <row r="112">
      <c r="A112" s="80" t="str">
        <f>IFERROR(__xludf.DUMMYFUNCTION("""COMPUTED_VALUE"""),"Surya")</f>
        <v>Surya</v>
      </c>
      <c r="B112" s="80" t="str">
        <f>IFERROR(__xludf.DUMMYFUNCTION("""COMPUTED_VALUE"""),"Chromo")</f>
        <v>Chromo</v>
      </c>
      <c r="C112" s="80">
        <f>IFERROR(__xludf.DUMMYFUNCTION("""COMPUTED_VALUE"""),80.0)</f>
        <v>80</v>
      </c>
      <c r="D112" s="81">
        <f>IFERROR(__xludf.DUMMYFUNCTION("""COMPUTED_VALUE"""),260.0)</f>
        <v>260</v>
      </c>
      <c r="E112" s="82">
        <f>IFERROR(SUMIFS('Stock In'!F:F,'Stock In'!B:B,$A112,'Stock In'!C:C,$B112,'Stock In'!D:D,$C112,'Stock In'!E:E,$D112),0)</f>
        <v>34850</v>
      </c>
      <c r="F112" s="82">
        <f>IFERROR(SUMIFS(Issues!H:H, Issues!F:F, $A112, Issues!C:C, $B112, Issues!D:D, $C112, Issues!E:E, $D112), 0)</f>
        <v>19380</v>
      </c>
      <c r="G112" s="82">
        <f>IFERROR(SUMIFS(Returns!H:H, Returns!F:F, $A112, Returns!C:C, $B112, Returns!D:D, $C112, Returns!E:E, $D112), 0)</f>
        <v>3000</v>
      </c>
      <c r="H112" s="82">
        <f t="shared" si="1"/>
        <v>18470</v>
      </c>
      <c r="I112" s="82">
        <f t="shared" si="2"/>
        <v>4802.2</v>
      </c>
      <c r="J112" s="82">
        <f>IFERROR( SUMIFS('Stock In'!I:I,'Stock In'!B:B,$A112,'Stock In'!C:C,$B112,'Stock In'!D:D,$C112,'Stock In'!E:E,$D112) / SUMIFS('Stock In'!H:H,'Stock In'!B:B,$A112,'Stock In'!C:C,$B112,'Stock In'!D:D,$C112,'Stock In'!E:E,$D112), 0)</f>
        <v>26.9892396</v>
      </c>
      <c r="K112" s="82">
        <f t="shared" si="3"/>
        <v>129607.7264</v>
      </c>
    </row>
    <row r="113">
      <c r="A113" s="80" t="str">
        <f>IFERROR(__xludf.DUMMYFUNCTION("""COMPUTED_VALUE"""),"Surya")</f>
        <v>Surya</v>
      </c>
      <c r="B113" s="80" t="str">
        <f>IFERROR(__xludf.DUMMYFUNCTION("""COMPUTED_VALUE"""),"Chromo")</f>
        <v>Chromo</v>
      </c>
      <c r="C113" s="80">
        <f>IFERROR(__xludf.DUMMYFUNCTION("""COMPUTED_VALUE"""),80.0)</f>
        <v>80</v>
      </c>
      <c r="D113" s="81">
        <f>IFERROR(__xludf.DUMMYFUNCTION("""COMPUTED_VALUE"""),320.0)</f>
        <v>320</v>
      </c>
      <c r="E113" s="82">
        <f>IFERROR(SUMIFS('Stock In'!F:F,'Stock In'!B:B,$A113,'Stock In'!C:C,$B113,'Stock In'!D:D,$C113,'Stock In'!E:E,$D113),0)</f>
        <v>700</v>
      </c>
      <c r="F113" s="82">
        <f>IFERROR(SUMIFS(Issues!H:H, Issues!F:F, $A113, Issues!C:C, $B113, Issues!D:D, $C113, Issues!E:E, $D113), 0)</f>
        <v>0</v>
      </c>
      <c r="G113" s="82">
        <f>IFERROR(SUMIFS(Returns!H:H, Returns!F:F, $A113, Returns!C:C, $B113, Returns!D:D, $C113, Returns!E:E, $D113), 0)</f>
        <v>0</v>
      </c>
      <c r="H113" s="82">
        <f t="shared" si="1"/>
        <v>700</v>
      </c>
      <c r="I113" s="82">
        <f t="shared" si="2"/>
        <v>224</v>
      </c>
      <c r="J113" s="82">
        <f>IFERROR( SUMIFS('Stock In'!I:I,'Stock In'!B:B,$A113,'Stock In'!C:C,$B113,'Stock In'!D:D,$C113,'Stock In'!E:E,$D113) / SUMIFS('Stock In'!H:H,'Stock In'!B:B,$A113,'Stock In'!C:C,$B113,'Stock In'!D:D,$C113,'Stock In'!E:E,$D113), 0)</f>
        <v>26.5</v>
      </c>
      <c r="K113" s="82">
        <f t="shared" si="3"/>
        <v>5936</v>
      </c>
    </row>
    <row r="114">
      <c r="A114" s="80" t="str">
        <f>IFERROR(__xludf.DUMMYFUNCTION("""COMPUTED_VALUE"""),"Surya")</f>
        <v>Surya</v>
      </c>
      <c r="B114" s="80" t="str">
        <f>IFERROR(__xludf.DUMMYFUNCTION("""COMPUTED_VALUE"""),"Chromo")</f>
        <v>Chromo</v>
      </c>
      <c r="C114" s="80">
        <f>IFERROR(__xludf.DUMMYFUNCTION("""COMPUTED_VALUE"""),80.0)</f>
        <v>80</v>
      </c>
      <c r="D114" s="81">
        <f>IFERROR(__xludf.DUMMYFUNCTION("""COMPUTED_VALUE"""),340.0)</f>
        <v>340</v>
      </c>
      <c r="E114" s="82">
        <f>IFERROR(SUMIFS('Stock In'!F:F,'Stock In'!B:B,$A114,'Stock In'!C:C,$B114,'Stock In'!D:D,$C114,'Stock In'!E:E,$D114),0)</f>
        <v>2000</v>
      </c>
      <c r="F114" s="82">
        <f>IFERROR(SUMIFS(Issues!H:H, Issues!F:F, $A114, Issues!C:C, $B114, Issues!D:D, $C114, Issues!E:E, $D114), 0)</f>
        <v>0</v>
      </c>
      <c r="G114" s="82">
        <f>IFERROR(SUMIFS(Returns!H:H, Returns!F:F, $A114, Returns!C:C, $B114, Returns!D:D, $C114, Returns!E:E, $D114), 0)</f>
        <v>0</v>
      </c>
      <c r="H114" s="82">
        <f t="shared" si="1"/>
        <v>2000</v>
      </c>
      <c r="I114" s="82">
        <f t="shared" si="2"/>
        <v>680</v>
      </c>
      <c r="J114" s="82">
        <f>IFERROR( SUMIFS('Stock In'!I:I,'Stock In'!B:B,$A114,'Stock In'!C:C,$B114,'Stock In'!D:D,$C114,'Stock In'!E:E,$D114) / SUMIFS('Stock In'!H:H,'Stock In'!B:B,$A114,'Stock In'!C:C,$B114,'Stock In'!D:D,$C114,'Stock In'!E:E,$D114), 0)</f>
        <v>26.5</v>
      </c>
      <c r="K114" s="82">
        <f t="shared" si="3"/>
        <v>18020</v>
      </c>
    </row>
    <row r="115">
      <c r="A115" s="80" t="str">
        <f>IFERROR(__xludf.DUMMYFUNCTION("""COMPUTED_VALUE"""),"Surya")</f>
        <v>Surya</v>
      </c>
      <c r="B115" s="80" t="str">
        <f>IFERROR(__xludf.DUMMYFUNCTION("""COMPUTED_VALUE"""),"Only ART Paper Without Gumming")</f>
        <v>Only ART Paper Without Gumming</v>
      </c>
      <c r="C115" s="80">
        <f>IFERROR(__xludf.DUMMYFUNCTION("""COMPUTED_VALUE"""),120.0)</f>
        <v>120</v>
      </c>
      <c r="D115" s="81">
        <f>IFERROR(__xludf.DUMMYFUNCTION("""COMPUTED_VALUE"""),115.0)</f>
        <v>115</v>
      </c>
      <c r="E115" s="82">
        <f>IFERROR(SUMIFS('Stock In'!F:F,'Stock In'!B:B,$A115,'Stock In'!C:C,$B115,'Stock In'!D:D,$C115,'Stock In'!E:E,$D115),0)</f>
        <v>1250</v>
      </c>
      <c r="F115" s="82">
        <f>IFERROR(SUMIFS(Issues!H:H, Issues!F:F, $A115, Issues!C:C, $B115, Issues!D:D, $C115, Issues!E:E, $D115), 0)</f>
        <v>0</v>
      </c>
      <c r="G115" s="82">
        <f>IFERROR(SUMIFS(Returns!H:H, Returns!F:F, $A115, Returns!C:C, $B115, Returns!D:D, $C115, Returns!E:E, $D115), 0)</f>
        <v>0</v>
      </c>
      <c r="H115" s="82">
        <f t="shared" si="1"/>
        <v>1250</v>
      </c>
      <c r="I115" s="82">
        <f t="shared" si="2"/>
        <v>143.75</v>
      </c>
      <c r="J115" s="82">
        <f>IFERROR( SUMIFS('Stock In'!I:I,'Stock In'!B:B,$A115,'Stock In'!C:C,$B115,'Stock In'!D:D,$C115,'Stock In'!E:E,$D115) / SUMIFS('Stock In'!H:H,'Stock In'!B:B,$A115,'Stock In'!C:C,$B115,'Stock In'!D:D,$C115,'Stock In'!E:E,$D115), 0)</f>
        <v>8.5</v>
      </c>
      <c r="K115" s="82">
        <f t="shared" si="3"/>
        <v>1221.875</v>
      </c>
    </row>
    <row r="116">
      <c r="A116" s="80" t="str">
        <f>IFERROR(__xludf.DUMMYFUNCTION("""COMPUTED_VALUE"""),"Surya")</f>
        <v>Surya</v>
      </c>
      <c r="B116" s="80" t="str">
        <f>IFERROR(__xludf.DUMMYFUNCTION("""COMPUTED_VALUE"""),"Only ART Paper Without Gumming")</f>
        <v>Only ART Paper Without Gumming</v>
      </c>
      <c r="C116" s="80">
        <f>IFERROR(__xludf.DUMMYFUNCTION("""COMPUTED_VALUE"""),120.0)</f>
        <v>120</v>
      </c>
      <c r="D116" s="81">
        <f>IFERROR(__xludf.DUMMYFUNCTION("""COMPUTED_VALUE"""),130.0)</f>
        <v>130</v>
      </c>
      <c r="E116" s="82">
        <f>IFERROR(SUMIFS('Stock In'!F:F,'Stock In'!B:B,$A116,'Stock In'!C:C,$B116,'Stock In'!D:D,$C116,'Stock In'!E:E,$D116),0)</f>
        <v>2000</v>
      </c>
      <c r="F116" s="82">
        <f>IFERROR(SUMIFS(Issues!H:H, Issues!F:F, $A116, Issues!C:C, $B116, Issues!D:D, $C116, Issues!E:E, $D116), 0)</f>
        <v>0</v>
      </c>
      <c r="G116" s="82">
        <f>IFERROR(SUMIFS(Returns!H:H, Returns!F:F, $A116, Returns!C:C, $B116, Returns!D:D, $C116, Returns!E:E, $D116), 0)</f>
        <v>0</v>
      </c>
      <c r="H116" s="82">
        <f t="shared" si="1"/>
        <v>2000</v>
      </c>
      <c r="I116" s="82">
        <f t="shared" si="2"/>
        <v>260</v>
      </c>
      <c r="J116" s="82">
        <f>IFERROR( SUMIFS('Stock In'!I:I,'Stock In'!B:B,$A116,'Stock In'!C:C,$B116,'Stock In'!D:D,$C116,'Stock In'!E:E,$D116) / SUMIFS('Stock In'!H:H,'Stock In'!B:B,$A116,'Stock In'!C:C,$B116,'Stock In'!D:D,$C116,'Stock In'!E:E,$D116), 0)</f>
        <v>14.5</v>
      </c>
      <c r="K116" s="82">
        <f t="shared" si="3"/>
        <v>3770</v>
      </c>
    </row>
    <row r="117">
      <c r="A117" s="80" t="str">
        <f>IFERROR(__xludf.DUMMYFUNCTION("""COMPUTED_VALUE"""),"Surya")</f>
        <v>Surya</v>
      </c>
      <c r="B117" s="80" t="str">
        <f>IFERROR(__xludf.DUMMYFUNCTION("""COMPUTED_VALUE"""),"Only ART Paper Without Gumming")</f>
        <v>Only ART Paper Without Gumming</v>
      </c>
      <c r="C117" s="80">
        <f>IFERROR(__xludf.DUMMYFUNCTION("""COMPUTED_VALUE"""),120.0)</f>
        <v>120</v>
      </c>
      <c r="D117" s="81">
        <f>IFERROR(__xludf.DUMMYFUNCTION("""COMPUTED_VALUE"""),230.0)</f>
        <v>230</v>
      </c>
      <c r="E117" s="82">
        <f>IFERROR(SUMIFS('Stock In'!F:F,'Stock In'!B:B,$A117,'Stock In'!C:C,$B117,'Stock In'!D:D,$C117,'Stock In'!E:E,$D117),0)</f>
        <v>1533</v>
      </c>
      <c r="F117" s="82">
        <f>IFERROR(SUMIFS(Issues!H:H, Issues!F:F, $A117, Issues!C:C, $B117, Issues!D:D, $C117, Issues!E:E, $D117), 0)</f>
        <v>0</v>
      </c>
      <c r="G117" s="82">
        <f>IFERROR(SUMIFS(Returns!H:H, Returns!F:F, $A117, Returns!C:C, $B117, Returns!D:D, $C117, Returns!E:E, $D117), 0)</f>
        <v>0</v>
      </c>
      <c r="H117" s="82">
        <f t="shared" si="1"/>
        <v>1533</v>
      </c>
      <c r="I117" s="82">
        <f t="shared" si="2"/>
        <v>352.59</v>
      </c>
      <c r="J117" s="82">
        <f>IFERROR( SUMIFS('Stock In'!I:I,'Stock In'!B:B,$A117,'Stock In'!C:C,$B117,'Stock In'!D:D,$C117,'Stock In'!E:E,$D117) / SUMIFS('Stock In'!H:H,'Stock In'!B:B,$A117,'Stock In'!C:C,$B117,'Stock In'!D:D,$C117,'Stock In'!E:E,$D117), 0)</f>
        <v>14.5</v>
      </c>
      <c r="K117" s="82">
        <f t="shared" si="3"/>
        <v>5112.555</v>
      </c>
    </row>
    <row r="118">
      <c r="A118" s="80" t="str">
        <f>IFERROR(__xludf.DUMMYFUNCTION("""COMPUTED_VALUE"""),"Surya")</f>
        <v>Surya</v>
      </c>
      <c r="B118" s="80" t="str">
        <f>IFERROR(__xludf.DUMMYFUNCTION("""COMPUTED_VALUE"""),"Only ART Paper Without Gumming")</f>
        <v>Only ART Paper Without Gumming</v>
      </c>
      <c r="C118" s="80">
        <f>IFERROR(__xludf.DUMMYFUNCTION("""COMPUTED_VALUE"""),80.0)</f>
        <v>80</v>
      </c>
      <c r="D118" s="81">
        <f>IFERROR(__xludf.DUMMYFUNCTION("""COMPUTED_VALUE"""),340.0)</f>
        <v>340</v>
      </c>
      <c r="E118" s="82">
        <f>IFERROR(SUMIFS('Stock In'!F:F,'Stock In'!B:B,$A118,'Stock In'!C:C,$B118,'Stock In'!D:D,$C118,'Stock In'!E:E,$D118),0)</f>
        <v>200</v>
      </c>
      <c r="F118" s="82">
        <f>IFERROR(SUMIFS(Issues!H:H, Issues!F:F, $A118, Issues!C:C, $B118, Issues!D:D, $C118, Issues!E:E, $D118), 0)</f>
        <v>0</v>
      </c>
      <c r="G118" s="82">
        <f>IFERROR(SUMIFS(Returns!H:H, Returns!F:F, $A118, Returns!C:C, $B118, Returns!D:D, $C118, Returns!E:E, $D118), 0)</f>
        <v>0</v>
      </c>
      <c r="H118" s="82">
        <f t="shared" si="1"/>
        <v>200</v>
      </c>
      <c r="I118" s="82">
        <f t="shared" si="2"/>
        <v>68</v>
      </c>
      <c r="J118" s="82">
        <f>IFERROR( SUMIFS('Stock In'!I:I,'Stock In'!B:B,$A118,'Stock In'!C:C,$B118,'Stock In'!D:D,$C118,'Stock In'!E:E,$D118) / SUMIFS('Stock In'!H:H,'Stock In'!B:B,$A118,'Stock In'!C:C,$B118,'Stock In'!D:D,$C118,'Stock In'!E:E,$D118), 0)</f>
        <v>8.5</v>
      </c>
      <c r="K118" s="82">
        <f t="shared" si="3"/>
        <v>578</v>
      </c>
    </row>
    <row r="119">
      <c r="A119" s="80" t="str">
        <f>IFERROR(__xludf.DUMMYFUNCTION("""COMPUTED_VALUE"""),"Surya")</f>
        <v>Surya</v>
      </c>
      <c r="B119" s="80" t="str">
        <f>IFERROR(__xludf.DUMMYFUNCTION("""COMPUTED_VALUE"""),"Only ART Paper Without Gumming")</f>
        <v>Only ART Paper Without Gumming</v>
      </c>
      <c r="C119" s="80">
        <f>IFERROR(__xludf.DUMMYFUNCTION("""COMPUTED_VALUE"""),120.0)</f>
        <v>120</v>
      </c>
      <c r="D119" s="81">
        <f>IFERROR(__xludf.DUMMYFUNCTION("""COMPUTED_VALUE"""),340.0)</f>
        <v>340</v>
      </c>
      <c r="E119" s="82">
        <f>IFERROR(SUMIFS('Stock In'!F:F,'Stock In'!B:B,$A119,'Stock In'!C:C,$B119,'Stock In'!D:D,$C119,'Stock In'!E:E,$D119),0)</f>
        <v>2000</v>
      </c>
      <c r="F119" s="82">
        <f>IFERROR(SUMIFS(Issues!H:H, Issues!F:F, $A119, Issues!C:C, $B119, Issues!D:D, $C119, Issues!E:E, $D119), 0)</f>
        <v>2000</v>
      </c>
      <c r="G119" s="82">
        <f>IFERROR(SUMIFS(Returns!H:H, Returns!F:F, $A119, Returns!C:C, $B119, Returns!D:D, $C119, Returns!E:E, $D119), 0)</f>
        <v>560</v>
      </c>
      <c r="H119" s="82">
        <f t="shared" si="1"/>
        <v>560</v>
      </c>
      <c r="I119" s="82">
        <f t="shared" si="2"/>
        <v>190.4</v>
      </c>
      <c r="J119" s="82">
        <f>IFERROR( SUMIFS('Stock In'!I:I,'Stock In'!B:B,$A119,'Stock In'!C:C,$B119,'Stock In'!D:D,$C119,'Stock In'!E:E,$D119) / SUMIFS('Stock In'!H:H,'Stock In'!B:B,$A119,'Stock In'!C:C,$B119,'Stock In'!D:D,$C119,'Stock In'!E:E,$D119), 0)</f>
        <v>14.5</v>
      </c>
      <c r="K119" s="82">
        <f t="shared" si="3"/>
        <v>2760.8</v>
      </c>
    </row>
    <row r="120">
      <c r="A120" s="80" t="str">
        <f>IFERROR(__xludf.DUMMYFUNCTION("""COMPUTED_VALUE"""),"Surya")</f>
        <v>Surya</v>
      </c>
      <c r="B120" s="80" t="str">
        <f>IFERROR(__xludf.DUMMYFUNCTION("""COMPUTED_VALUE"""),"PP CLEAR")</f>
        <v>PP CLEAR</v>
      </c>
      <c r="C120" s="80">
        <f>IFERROR(__xludf.DUMMYFUNCTION("""COMPUTED_VALUE"""),50.0)</f>
        <v>50</v>
      </c>
      <c r="D120" s="81">
        <f>IFERROR(__xludf.DUMMYFUNCTION("""COMPUTED_VALUE"""),143.0)</f>
        <v>143</v>
      </c>
      <c r="E120" s="82">
        <f>IFERROR(SUMIFS('Stock In'!F:F,'Stock In'!B:B,$A120,'Stock In'!C:C,$B120,'Stock In'!D:D,$C120,'Stock In'!E:E,$D120),0)</f>
        <v>6915</v>
      </c>
      <c r="F120" s="82">
        <f>IFERROR(SUMIFS(Issues!H:H, Issues!F:F, $A120, Issues!C:C, $B120, Issues!D:D, $C120, Issues!E:E, $D120), 0)</f>
        <v>0</v>
      </c>
      <c r="G120" s="82">
        <f>IFERROR(SUMIFS(Returns!H:H, Returns!F:F, $A120, Returns!C:C, $B120, Returns!D:D, $C120, Returns!E:E, $D120), 0)</f>
        <v>0</v>
      </c>
      <c r="H120" s="82">
        <f t="shared" si="1"/>
        <v>6915</v>
      </c>
      <c r="I120" s="82">
        <f t="shared" si="2"/>
        <v>988.845</v>
      </c>
      <c r="J120" s="82">
        <f>IFERROR( SUMIFS('Stock In'!I:I,'Stock In'!B:B,$A120,'Stock In'!C:C,$B120,'Stock In'!D:D,$C120,'Stock In'!E:E,$D120) / SUMIFS('Stock In'!H:H,'Stock In'!B:B,$A120,'Stock In'!C:C,$B120,'Stock In'!D:D,$C120,'Stock In'!E:E,$D120), 0)</f>
        <v>36</v>
      </c>
      <c r="K120" s="82">
        <f t="shared" si="3"/>
        <v>35598.42</v>
      </c>
    </row>
    <row r="121">
      <c r="A121" s="80" t="str">
        <f>IFERROR(__xludf.DUMMYFUNCTION("""COMPUTED_VALUE"""),"Surya")</f>
        <v>Surya</v>
      </c>
      <c r="B121" s="80" t="str">
        <f>IFERROR(__xludf.DUMMYFUNCTION("""COMPUTED_VALUE"""),"PP CLEAR")</f>
        <v>PP CLEAR</v>
      </c>
      <c r="C121" s="80">
        <f>IFERROR(__xludf.DUMMYFUNCTION("""COMPUTED_VALUE"""),50.0)</f>
        <v>50</v>
      </c>
      <c r="D121" s="81">
        <f>IFERROR(__xludf.DUMMYFUNCTION("""COMPUTED_VALUE"""),180.0)</f>
        <v>180</v>
      </c>
      <c r="E121" s="82">
        <f>IFERROR(SUMIFS('Stock In'!F:F,'Stock In'!B:B,$A121,'Stock In'!C:C,$B121,'Stock In'!D:D,$C121,'Stock In'!E:E,$D121),0)</f>
        <v>13830</v>
      </c>
      <c r="F121" s="82">
        <f>IFERROR(SUMIFS(Issues!H:H, Issues!F:F, $A121, Issues!C:C, $B121, Issues!D:D, $C121, Issues!E:E, $D121), 0)</f>
        <v>0</v>
      </c>
      <c r="G121" s="82">
        <f>IFERROR(SUMIFS(Returns!H:H, Returns!F:F, $A121, Returns!C:C, $B121, Returns!D:D, $C121, Returns!E:E, $D121), 0)</f>
        <v>0</v>
      </c>
      <c r="H121" s="82">
        <f t="shared" si="1"/>
        <v>13830</v>
      </c>
      <c r="I121" s="82">
        <f t="shared" si="2"/>
        <v>2489.4</v>
      </c>
      <c r="J121" s="82">
        <f>IFERROR( SUMIFS('Stock In'!I:I,'Stock In'!B:B,$A121,'Stock In'!C:C,$B121,'Stock In'!D:D,$C121,'Stock In'!E:E,$D121) / SUMIFS('Stock In'!H:H,'Stock In'!B:B,$A121,'Stock In'!C:C,$B121,'Stock In'!D:D,$C121,'Stock In'!E:E,$D121), 0)</f>
        <v>36</v>
      </c>
      <c r="K121" s="82">
        <f t="shared" si="3"/>
        <v>89618.4</v>
      </c>
    </row>
    <row r="122">
      <c r="A122" s="80" t="str">
        <f>IFERROR(__xludf.DUMMYFUNCTION("""COMPUTED_VALUE"""),"Surya")</f>
        <v>Surya</v>
      </c>
      <c r="B122" s="80" t="str">
        <f>IFERROR(__xludf.DUMMYFUNCTION("""COMPUTED_VALUE"""),"PP SILVER")</f>
        <v>PP SILVER</v>
      </c>
      <c r="C122" s="80">
        <f>IFERROR(__xludf.DUMMYFUNCTION("""COMPUTED_VALUE"""),50.0)</f>
        <v>50</v>
      </c>
      <c r="D122" s="81">
        <f>IFERROR(__xludf.DUMMYFUNCTION("""COMPUTED_VALUE"""),135.0)</f>
        <v>135</v>
      </c>
      <c r="E122" s="82">
        <f>IFERROR(SUMIFS('Stock In'!F:F,'Stock In'!B:B,$A122,'Stock In'!C:C,$B122,'Stock In'!D:D,$C122,'Stock In'!E:E,$D122),0)</f>
        <v>1700</v>
      </c>
      <c r="F122" s="82">
        <f>IFERROR(SUMIFS(Issues!H:H, Issues!F:F, $A122, Issues!C:C, $B122, Issues!D:D, $C122, Issues!E:E, $D122), 0)</f>
        <v>0</v>
      </c>
      <c r="G122" s="82">
        <f>IFERROR(SUMIFS(Returns!H:H, Returns!F:F, $A122, Returns!C:C, $B122, Returns!D:D, $C122, Returns!E:E, $D122), 0)</f>
        <v>0</v>
      </c>
      <c r="H122" s="82">
        <f t="shared" si="1"/>
        <v>1700</v>
      </c>
      <c r="I122" s="82">
        <f t="shared" si="2"/>
        <v>229.5</v>
      </c>
      <c r="J122" s="82">
        <f>IFERROR( SUMIFS('Stock In'!I:I,'Stock In'!B:B,$A122,'Stock In'!C:C,$B122,'Stock In'!D:D,$C122,'Stock In'!E:E,$D122) / SUMIFS('Stock In'!H:H,'Stock In'!B:B,$A122,'Stock In'!C:C,$B122,'Stock In'!D:D,$C122,'Stock In'!E:E,$D122), 0)</f>
        <v>39.18</v>
      </c>
      <c r="K122" s="82">
        <f t="shared" si="3"/>
        <v>8991.81</v>
      </c>
    </row>
    <row r="123">
      <c r="A123" s="80" t="str">
        <f>IFERROR(__xludf.DUMMYFUNCTION("""COMPUTED_VALUE"""),"Surya")</f>
        <v>Surya</v>
      </c>
      <c r="B123" s="80" t="str">
        <f>IFERROR(__xludf.DUMMYFUNCTION("""COMPUTED_VALUE"""),"PP WHITE")</f>
        <v>PP WHITE</v>
      </c>
      <c r="C123" s="80">
        <f>IFERROR(__xludf.DUMMYFUNCTION("""COMPUTED_VALUE"""),50.0)</f>
        <v>50</v>
      </c>
      <c r="D123" s="81">
        <f>IFERROR(__xludf.DUMMYFUNCTION("""COMPUTED_VALUE"""),110.0)</f>
        <v>110</v>
      </c>
      <c r="E123" s="82">
        <f>IFERROR(SUMIFS('Stock In'!F:F,'Stock In'!B:B,$A123,'Stock In'!C:C,$B123,'Stock In'!D:D,$C123,'Stock In'!E:E,$D123),0)</f>
        <v>7920</v>
      </c>
      <c r="F123" s="82">
        <f>IFERROR(SUMIFS(Issues!H:H, Issues!F:F, $A123, Issues!C:C, $B123, Issues!D:D, $C123, Issues!E:E, $D123), 0)</f>
        <v>0</v>
      </c>
      <c r="G123" s="82">
        <f>IFERROR(SUMIFS(Returns!H:H, Returns!F:F, $A123, Returns!C:C, $B123, Returns!D:D, $C123, Returns!E:E, $D123), 0)</f>
        <v>0</v>
      </c>
      <c r="H123" s="82">
        <f t="shared" si="1"/>
        <v>7920</v>
      </c>
      <c r="I123" s="82">
        <f t="shared" si="2"/>
        <v>871.2</v>
      </c>
      <c r="J123" s="82">
        <f>IFERROR( SUMIFS('Stock In'!I:I,'Stock In'!B:B,$A123,'Stock In'!C:C,$B123,'Stock In'!D:D,$C123,'Stock In'!E:E,$D123) / SUMIFS('Stock In'!H:H,'Stock In'!B:B,$A123,'Stock In'!C:C,$B123,'Stock In'!D:D,$C123,'Stock In'!E:E,$D123), 0)</f>
        <v>35.2</v>
      </c>
      <c r="K123" s="82">
        <f t="shared" si="3"/>
        <v>30666.24</v>
      </c>
    </row>
    <row r="124">
      <c r="A124" s="80" t="str">
        <f>IFERROR(__xludf.DUMMYFUNCTION("""COMPUTED_VALUE"""),"Surya")</f>
        <v>Surya</v>
      </c>
      <c r="B124" s="80" t="str">
        <f>IFERROR(__xludf.DUMMYFUNCTION("""COMPUTED_VALUE"""),"PP WHITE")</f>
        <v>PP WHITE</v>
      </c>
      <c r="C124" s="80">
        <f>IFERROR(__xludf.DUMMYFUNCTION("""COMPUTED_VALUE"""),50.0)</f>
        <v>50</v>
      </c>
      <c r="D124" s="81">
        <f>IFERROR(__xludf.DUMMYFUNCTION("""COMPUTED_VALUE"""),120.0)</f>
        <v>120</v>
      </c>
      <c r="E124" s="82">
        <f>IFERROR(SUMIFS('Stock In'!F:F,'Stock In'!B:B,$A124,'Stock In'!C:C,$B124,'Stock In'!D:D,$C124,'Stock In'!E:E,$D124),0)</f>
        <v>6030</v>
      </c>
      <c r="F124" s="82">
        <f>IFERROR(SUMIFS(Issues!H:H, Issues!F:F, $A124, Issues!C:C, $B124, Issues!D:D, $C124, Issues!E:E, $D124), 0)</f>
        <v>0</v>
      </c>
      <c r="G124" s="82">
        <f>IFERROR(SUMIFS(Returns!H:H, Returns!F:F, $A124, Returns!C:C, $B124, Returns!D:D, $C124, Returns!E:E, $D124), 0)</f>
        <v>0</v>
      </c>
      <c r="H124" s="82">
        <f t="shared" si="1"/>
        <v>6030</v>
      </c>
      <c r="I124" s="82">
        <f t="shared" si="2"/>
        <v>723.6</v>
      </c>
      <c r="J124" s="82">
        <f>IFERROR( SUMIFS('Stock In'!I:I,'Stock In'!B:B,$A124,'Stock In'!C:C,$B124,'Stock In'!D:D,$C124,'Stock In'!E:E,$D124) / SUMIFS('Stock In'!H:H,'Stock In'!B:B,$A124,'Stock In'!C:C,$B124,'Stock In'!D:D,$C124,'Stock In'!E:E,$D124), 0)</f>
        <v>38</v>
      </c>
      <c r="K124" s="82">
        <f t="shared" si="3"/>
        <v>27496.8</v>
      </c>
    </row>
    <row r="125">
      <c r="A125" s="80" t="str">
        <f>IFERROR(__xludf.DUMMYFUNCTION("""COMPUTED_VALUE"""),"Surya")</f>
        <v>Surya</v>
      </c>
      <c r="B125" s="80" t="str">
        <f>IFERROR(__xludf.DUMMYFUNCTION("""COMPUTED_VALUE"""),"PP WHITE")</f>
        <v>PP WHITE</v>
      </c>
      <c r="C125" s="80">
        <f>IFERROR(__xludf.DUMMYFUNCTION("""COMPUTED_VALUE"""),50.0)</f>
        <v>50</v>
      </c>
      <c r="D125" s="81">
        <f>IFERROR(__xludf.DUMMYFUNCTION("""COMPUTED_VALUE"""),125.0)</f>
        <v>125</v>
      </c>
      <c r="E125" s="82">
        <f>IFERROR(SUMIFS('Stock In'!F:F,'Stock In'!B:B,$A125,'Stock In'!C:C,$B125,'Stock In'!D:D,$C125,'Stock In'!E:E,$D125),0)</f>
        <v>81293</v>
      </c>
      <c r="F125" s="82">
        <f>IFERROR(SUMIFS(Issues!H:H, Issues!F:F, $A125, Issues!C:C, $B125, Issues!D:D, $C125, Issues!E:E, $D125), 0)</f>
        <v>72680</v>
      </c>
      <c r="G125" s="82">
        <f>IFERROR(SUMIFS(Returns!H:H, Returns!F:F, $A125, Returns!C:C, $B125, Returns!D:D, $C125, Returns!E:E, $D125), 0)</f>
        <v>29370</v>
      </c>
      <c r="H125" s="82">
        <f t="shared" si="1"/>
        <v>37983</v>
      </c>
      <c r="I125" s="82">
        <f t="shared" si="2"/>
        <v>4747.875</v>
      </c>
      <c r="J125" s="82">
        <f>IFERROR( SUMIFS('Stock In'!I:I,'Stock In'!B:B,$A125,'Stock In'!C:C,$B125,'Stock In'!D:D,$C125,'Stock In'!E:E,$D125) / SUMIFS('Stock In'!H:H,'Stock In'!B:B,$A125,'Stock In'!C:C,$B125,'Stock In'!D:D,$C125,'Stock In'!E:E,$D125), 0)</f>
        <v>36.20043546</v>
      </c>
      <c r="K125" s="82">
        <f t="shared" si="3"/>
        <v>171875.1425</v>
      </c>
    </row>
    <row r="126">
      <c r="A126" s="80" t="str">
        <f>IFERROR(__xludf.DUMMYFUNCTION("""COMPUTED_VALUE"""),"Surya")</f>
        <v>Surya</v>
      </c>
      <c r="B126" s="80" t="str">
        <f>IFERROR(__xludf.DUMMYFUNCTION("""COMPUTED_VALUE"""),"PP WHITE")</f>
        <v>PP WHITE</v>
      </c>
      <c r="C126" s="80">
        <f>IFERROR(__xludf.DUMMYFUNCTION("""COMPUTED_VALUE"""),50.0)</f>
        <v>50</v>
      </c>
      <c r="D126" s="81">
        <f>IFERROR(__xludf.DUMMYFUNCTION("""COMPUTED_VALUE"""),135.0)</f>
        <v>135</v>
      </c>
      <c r="E126" s="82">
        <f>IFERROR(SUMIFS('Stock In'!F:F,'Stock In'!B:B,$A126,'Stock In'!C:C,$B126,'Stock In'!D:D,$C126,'Stock In'!E:E,$D126),0)</f>
        <v>1760</v>
      </c>
      <c r="F126" s="82">
        <f>IFERROR(SUMIFS(Issues!H:H, Issues!F:F, $A126, Issues!C:C, $B126, Issues!D:D, $C126, Issues!E:E, $D126), 0)</f>
        <v>0</v>
      </c>
      <c r="G126" s="82">
        <f>IFERROR(SUMIFS(Returns!H:H, Returns!F:F, $A126, Returns!C:C, $B126, Returns!D:D, $C126, Returns!E:E, $D126), 0)</f>
        <v>0</v>
      </c>
      <c r="H126" s="82">
        <f t="shared" si="1"/>
        <v>1760</v>
      </c>
      <c r="I126" s="82">
        <f t="shared" si="2"/>
        <v>237.6</v>
      </c>
      <c r="J126" s="82">
        <f>IFERROR( SUMIFS('Stock In'!I:I,'Stock In'!B:B,$A126,'Stock In'!C:C,$B126,'Stock In'!D:D,$C126,'Stock In'!E:E,$D126) / SUMIFS('Stock In'!H:H,'Stock In'!B:B,$A126,'Stock In'!C:C,$B126,'Stock In'!D:D,$C126,'Stock In'!E:E,$D126), 0)</f>
        <v>36</v>
      </c>
      <c r="K126" s="82">
        <f t="shared" si="3"/>
        <v>8553.6</v>
      </c>
    </row>
    <row r="127">
      <c r="A127" s="80" t="str">
        <f>IFERROR(__xludf.DUMMYFUNCTION("""COMPUTED_VALUE"""),"Surya")</f>
        <v>Surya</v>
      </c>
      <c r="B127" s="80" t="str">
        <f>IFERROR(__xludf.DUMMYFUNCTION("""COMPUTED_VALUE"""),"PP WHITE")</f>
        <v>PP WHITE</v>
      </c>
      <c r="C127" s="80">
        <f>IFERROR(__xludf.DUMMYFUNCTION("""COMPUTED_VALUE"""),50.0)</f>
        <v>50</v>
      </c>
      <c r="D127" s="81">
        <f>IFERROR(__xludf.DUMMYFUNCTION("""COMPUTED_VALUE"""),140.0)</f>
        <v>140</v>
      </c>
      <c r="E127" s="82">
        <f>IFERROR(SUMIFS('Stock In'!F:F,'Stock In'!B:B,$A127,'Stock In'!C:C,$B127,'Stock In'!D:D,$C127,'Stock In'!E:E,$D127),0)</f>
        <v>2010</v>
      </c>
      <c r="F127" s="82">
        <f>IFERROR(SUMIFS(Issues!H:H, Issues!F:F, $A127, Issues!C:C, $B127, Issues!D:D, $C127, Issues!E:E, $D127), 0)</f>
        <v>0</v>
      </c>
      <c r="G127" s="82">
        <f>IFERROR(SUMIFS(Returns!H:H, Returns!F:F, $A127, Returns!C:C, $B127, Returns!D:D, $C127, Returns!E:E, $D127), 0)</f>
        <v>0</v>
      </c>
      <c r="H127" s="82">
        <f t="shared" si="1"/>
        <v>2010</v>
      </c>
      <c r="I127" s="82">
        <f t="shared" si="2"/>
        <v>281.4</v>
      </c>
      <c r="J127" s="82">
        <f>IFERROR( SUMIFS('Stock In'!I:I,'Stock In'!B:B,$A127,'Stock In'!C:C,$B127,'Stock In'!D:D,$C127,'Stock In'!E:E,$D127) / SUMIFS('Stock In'!H:H,'Stock In'!B:B,$A127,'Stock In'!C:C,$B127,'Stock In'!D:D,$C127,'Stock In'!E:E,$D127), 0)</f>
        <v>38</v>
      </c>
      <c r="K127" s="82">
        <f t="shared" si="3"/>
        <v>10693.2</v>
      </c>
    </row>
    <row r="128">
      <c r="A128" s="80" t="str">
        <f>IFERROR(__xludf.DUMMYFUNCTION("""COMPUTED_VALUE"""),"Surya")</f>
        <v>Surya</v>
      </c>
      <c r="B128" s="80" t="str">
        <f>IFERROR(__xludf.DUMMYFUNCTION("""COMPUTED_VALUE"""),"PP WHITE")</f>
        <v>PP WHITE</v>
      </c>
      <c r="C128" s="80">
        <f>IFERROR(__xludf.DUMMYFUNCTION("""COMPUTED_VALUE"""),50.0)</f>
        <v>50</v>
      </c>
      <c r="D128" s="81">
        <f>IFERROR(__xludf.DUMMYFUNCTION("""COMPUTED_VALUE"""),165.0)</f>
        <v>165</v>
      </c>
      <c r="E128" s="82">
        <f>IFERROR(SUMIFS('Stock In'!F:F,'Stock In'!B:B,$A128,'Stock In'!C:C,$B128,'Stock In'!D:D,$C128,'Stock In'!E:E,$D128),0)</f>
        <v>11637</v>
      </c>
      <c r="F128" s="82">
        <f>IFERROR(SUMIFS(Issues!H:H, Issues!F:F, $A128, Issues!C:C, $B128, Issues!D:D, $C128, Issues!E:E, $D128), 0)</f>
        <v>0</v>
      </c>
      <c r="G128" s="82">
        <f>IFERROR(SUMIFS(Returns!H:H, Returns!F:F, $A128, Returns!C:C, $B128, Returns!D:D, $C128, Returns!E:E, $D128), 0)</f>
        <v>0</v>
      </c>
      <c r="H128" s="82">
        <f t="shared" si="1"/>
        <v>11637</v>
      </c>
      <c r="I128" s="82">
        <f t="shared" si="2"/>
        <v>1920.105</v>
      </c>
      <c r="J128" s="82">
        <f>IFERROR( SUMIFS('Stock In'!I:I,'Stock In'!B:B,$A128,'Stock In'!C:C,$B128,'Stock In'!D:D,$C128,'Stock In'!E:E,$D128) / SUMIFS('Stock In'!H:H,'Stock In'!B:B,$A128,'Stock In'!C:C,$B128,'Stock In'!D:D,$C128,'Stock In'!E:E,$D128), 0)</f>
        <v>28.5</v>
      </c>
      <c r="K128" s="82">
        <f t="shared" si="3"/>
        <v>54722.9925</v>
      </c>
    </row>
    <row r="129">
      <c r="A129" s="80" t="str">
        <f>IFERROR(__xludf.DUMMYFUNCTION("""COMPUTED_VALUE"""),"Surya")</f>
        <v>Surya</v>
      </c>
      <c r="B129" s="80" t="str">
        <f>IFERROR(__xludf.DUMMYFUNCTION("""COMPUTED_VALUE"""),"PP WHITE")</f>
        <v>PP WHITE</v>
      </c>
      <c r="C129" s="80">
        <f>IFERROR(__xludf.DUMMYFUNCTION("""COMPUTED_VALUE"""),50.0)</f>
        <v>50</v>
      </c>
      <c r="D129" s="81">
        <f>IFERROR(__xludf.DUMMYFUNCTION("""COMPUTED_VALUE"""),180.0)</f>
        <v>180</v>
      </c>
      <c r="E129" s="82">
        <f>IFERROR(SUMIFS('Stock In'!F:F,'Stock In'!B:B,$A129,'Stock In'!C:C,$B129,'Stock In'!D:D,$C129,'Stock In'!E:E,$D129),0)</f>
        <v>1000</v>
      </c>
      <c r="F129" s="82">
        <f>IFERROR(SUMIFS(Issues!H:H, Issues!F:F, $A129, Issues!C:C, $B129, Issues!D:D, $C129, Issues!E:E, $D129), 0)</f>
        <v>0</v>
      </c>
      <c r="G129" s="82">
        <f>IFERROR(SUMIFS(Returns!H:H, Returns!F:F, $A129, Returns!C:C, $B129, Returns!D:D, $C129, Returns!E:E, $D129), 0)</f>
        <v>150</v>
      </c>
      <c r="H129" s="82">
        <f t="shared" si="1"/>
        <v>1150</v>
      </c>
      <c r="I129" s="82">
        <f t="shared" si="2"/>
        <v>207</v>
      </c>
      <c r="J129" s="82">
        <f>IFERROR( SUMIFS('Stock In'!I:I,'Stock In'!B:B,$A129,'Stock In'!C:C,$B129,'Stock In'!D:D,$C129,'Stock In'!E:E,$D129) / SUMIFS('Stock In'!H:H,'Stock In'!B:B,$A129,'Stock In'!C:C,$B129,'Stock In'!D:D,$C129,'Stock In'!E:E,$D129), 0)</f>
        <v>34</v>
      </c>
      <c r="K129" s="82">
        <f t="shared" si="3"/>
        <v>7038</v>
      </c>
    </row>
    <row r="130">
      <c r="A130" s="80" t="str">
        <f>IFERROR(__xludf.DUMMYFUNCTION("""COMPUTED_VALUE"""),"Surya")</f>
        <v>Surya</v>
      </c>
      <c r="B130" s="80" t="str">
        <f>IFERROR(__xludf.DUMMYFUNCTION("""COMPUTED_VALUE"""),"PP WHITE")</f>
        <v>PP WHITE</v>
      </c>
      <c r="C130" s="80">
        <f>IFERROR(__xludf.DUMMYFUNCTION("""COMPUTED_VALUE"""),50.0)</f>
        <v>50</v>
      </c>
      <c r="D130" s="81">
        <f>IFERROR(__xludf.DUMMYFUNCTION("""COMPUTED_VALUE"""),190.0)</f>
        <v>190</v>
      </c>
      <c r="E130" s="82">
        <f>IFERROR(SUMIFS('Stock In'!F:F,'Stock In'!B:B,$A130,'Stock In'!C:C,$B130,'Stock In'!D:D,$C130,'Stock In'!E:E,$D130),0)</f>
        <v>6081</v>
      </c>
      <c r="F130" s="82">
        <f>IFERROR(SUMIFS(Issues!H:H, Issues!F:F, $A130, Issues!C:C, $B130, Issues!D:D, $C130, Issues!E:E, $D130), 0)</f>
        <v>2440</v>
      </c>
      <c r="G130" s="82">
        <f>IFERROR(SUMIFS(Returns!H:H, Returns!F:F, $A130, Returns!C:C, $B130, Returns!D:D, $C130, Returns!E:E, $D130), 0)</f>
        <v>420</v>
      </c>
      <c r="H130" s="82">
        <f t="shared" si="1"/>
        <v>4061</v>
      </c>
      <c r="I130" s="82">
        <f t="shared" si="2"/>
        <v>771.59</v>
      </c>
      <c r="J130" s="82">
        <f>IFERROR( SUMIFS('Stock In'!I:I,'Stock In'!B:B,$A130,'Stock In'!C:C,$B130,'Stock In'!D:D,$C130,'Stock In'!E:E,$D130) / SUMIFS('Stock In'!H:H,'Stock In'!B:B,$A130,'Stock In'!C:C,$B130,'Stock In'!D:D,$C130,'Stock In'!E:E,$D130), 0)</f>
        <v>36</v>
      </c>
      <c r="K130" s="82">
        <f t="shared" si="3"/>
        <v>27777.24</v>
      </c>
    </row>
    <row r="131">
      <c r="A131" s="80" t="str">
        <f>IFERROR(__xludf.DUMMYFUNCTION("""COMPUTED_VALUE"""),"Surya")</f>
        <v>Surya</v>
      </c>
      <c r="B131" s="80" t="str">
        <f>IFERROR(__xludf.DUMMYFUNCTION("""COMPUTED_VALUE"""),"PP WHITE")</f>
        <v>PP WHITE</v>
      </c>
      <c r="C131" s="80">
        <f>IFERROR(__xludf.DUMMYFUNCTION("""COMPUTED_VALUE"""),50.0)</f>
        <v>50</v>
      </c>
      <c r="D131" s="81">
        <f>IFERROR(__xludf.DUMMYFUNCTION("""COMPUTED_VALUE"""),195.0)</f>
        <v>195</v>
      </c>
      <c r="E131" s="82">
        <f>IFERROR(SUMIFS('Stock In'!F:F,'Stock In'!B:B,$A131,'Stock In'!C:C,$B131,'Stock In'!D:D,$C131,'Stock In'!E:E,$D131),0)</f>
        <v>6000</v>
      </c>
      <c r="F131" s="82">
        <f>IFERROR(SUMIFS(Issues!H:H, Issues!F:F, $A131, Issues!C:C, $B131, Issues!D:D, $C131, Issues!E:E, $D131), 0)</f>
        <v>0</v>
      </c>
      <c r="G131" s="82">
        <f>IFERROR(SUMIFS(Returns!H:H, Returns!F:F, $A131, Returns!C:C, $B131, Returns!D:D, $C131, Returns!E:E, $D131), 0)</f>
        <v>0</v>
      </c>
      <c r="H131" s="82">
        <f t="shared" si="1"/>
        <v>6000</v>
      </c>
      <c r="I131" s="82">
        <f t="shared" si="2"/>
        <v>1170</v>
      </c>
      <c r="J131" s="82">
        <f>IFERROR( SUMIFS('Stock In'!I:I,'Stock In'!B:B,$A131,'Stock In'!C:C,$B131,'Stock In'!D:D,$C131,'Stock In'!E:E,$D131) / SUMIFS('Stock In'!H:H,'Stock In'!B:B,$A131,'Stock In'!C:C,$B131,'Stock In'!D:D,$C131,'Stock In'!E:E,$D131), 0)</f>
        <v>36</v>
      </c>
      <c r="K131" s="82">
        <f t="shared" si="3"/>
        <v>42120</v>
      </c>
    </row>
    <row r="132">
      <c r="A132" s="80" t="str">
        <f>IFERROR(__xludf.DUMMYFUNCTION("""COMPUTED_VALUE"""),"Surya")</f>
        <v>Surya</v>
      </c>
      <c r="B132" s="80" t="str">
        <f>IFERROR(__xludf.DUMMYFUNCTION("""COMPUTED_VALUE"""),"PP WHITE")</f>
        <v>PP WHITE</v>
      </c>
      <c r="C132" s="80">
        <f>IFERROR(__xludf.DUMMYFUNCTION("""COMPUTED_VALUE"""),50.0)</f>
        <v>50</v>
      </c>
      <c r="D132" s="81">
        <f>IFERROR(__xludf.DUMMYFUNCTION("""COMPUTED_VALUE"""),200.0)</f>
        <v>200</v>
      </c>
      <c r="E132" s="82">
        <f>IFERROR(SUMIFS('Stock In'!F:F,'Stock In'!B:B,$A132,'Stock In'!C:C,$B132,'Stock In'!D:D,$C132,'Stock In'!E:E,$D132),0)</f>
        <v>3390</v>
      </c>
      <c r="F132" s="82">
        <f>IFERROR(SUMIFS(Issues!H:H, Issues!F:F, $A132, Issues!C:C, $B132, Issues!D:D, $C132, Issues!E:E, $D132), 0)</f>
        <v>0</v>
      </c>
      <c r="G132" s="82">
        <f>IFERROR(SUMIFS(Returns!H:H, Returns!F:F, $A132, Returns!C:C, $B132, Returns!D:D, $C132, Returns!E:E, $D132), 0)</f>
        <v>0</v>
      </c>
      <c r="H132" s="82">
        <f t="shared" si="1"/>
        <v>3390</v>
      </c>
      <c r="I132" s="82">
        <f t="shared" si="2"/>
        <v>678</v>
      </c>
      <c r="J132" s="82">
        <f>IFERROR( SUMIFS('Stock In'!I:I,'Stock In'!B:B,$A132,'Stock In'!C:C,$B132,'Stock In'!D:D,$C132,'Stock In'!E:E,$D132) / SUMIFS('Stock In'!H:H,'Stock In'!B:B,$A132,'Stock In'!C:C,$B132,'Stock In'!D:D,$C132,'Stock In'!E:E,$D132), 0)</f>
        <v>35.19764012</v>
      </c>
      <c r="K132" s="82">
        <f t="shared" si="3"/>
        <v>23864</v>
      </c>
    </row>
    <row r="133">
      <c r="A133" s="80" t="str">
        <f>IFERROR(__xludf.DUMMYFUNCTION("""COMPUTED_VALUE"""),"Surya")</f>
        <v>Surya</v>
      </c>
      <c r="B133" s="80" t="str">
        <f>IFERROR(__xludf.DUMMYFUNCTION("""COMPUTED_VALUE"""),"PP WHITE")</f>
        <v>PP WHITE</v>
      </c>
      <c r="C133" s="80">
        <f>IFERROR(__xludf.DUMMYFUNCTION("""COMPUTED_VALUE"""),50.0)</f>
        <v>50</v>
      </c>
      <c r="D133" s="81">
        <f>IFERROR(__xludf.DUMMYFUNCTION("""COMPUTED_VALUE"""),320.0)</f>
        <v>320</v>
      </c>
      <c r="E133" s="82">
        <f>IFERROR(SUMIFS('Stock In'!F:F,'Stock In'!B:B,$A133,'Stock In'!C:C,$B133,'Stock In'!D:D,$C133,'Stock In'!E:E,$D133),0)</f>
        <v>250</v>
      </c>
      <c r="F133" s="82">
        <f>IFERROR(SUMIFS(Issues!H:H, Issues!F:F, $A133, Issues!C:C, $B133, Issues!D:D, $C133, Issues!E:E, $D133), 0)</f>
        <v>0</v>
      </c>
      <c r="G133" s="82">
        <f>IFERROR(SUMIFS(Returns!H:H, Returns!F:F, $A133, Returns!C:C, $B133, Returns!D:D, $C133, Returns!E:E, $D133), 0)</f>
        <v>0</v>
      </c>
      <c r="H133" s="82">
        <f t="shared" si="1"/>
        <v>250</v>
      </c>
      <c r="I133" s="82">
        <f t="shared" si="2"/>
        <v>80</v>
      </c>
      <c r="J133" s="82">
        <f>IFERROR( SUMIFS('Stock In'!I:I,'Stock In'!B:B,$A133,'Stock In'!C:C,$B133,'Stock In'!D:D,$C133,'Stock In'!E:E,$D133) / SUMIFS('Stock In'!H:H,'Stock In'!B:B,$A133,'Stock In'!C:C,$B133,'Stock In'!D:D,$C133,'Stock In'!E:E,$D133), 0)</f>
        <v>34</v>
      </c>
      <c r="K133" s="82">
        <f t="shared" si="3"/>
        <v>2720</v>
      </c>
    </row>
    <row r="134">
      <c r="A134" s="80" t="str">
        <f>IFERROR(__xludf.DUMMYFUNCTION("""COMPUTED_VALUE"""),"Surya")</f>
        <v>Surya</v>
      </c>
      <c r="B134" s="80" t="str">
        <f>IFERROR(__xludf.DUMMYFUNCTION("""COMPUTED_VALUE"""),"SILVER PAPER")</f>
        <v>SILVER PAPER</v>
      </c>
      <c r="C134" s="80">
        <f>IFERROR(__xludf.DUMMYFUNCTION("""COMPUTED_VALUE"""),80.0)</f>
        <v>80</v>
      </c>
      <c r="D134" s="81">
        <f>IFERROR(__xludf.DUMMYFUNCTION("""COMPUTED_VALUE"""),125.0)</f>
        <v>125</v>
      </c>
      <c r="E134" s="82">
        <f>IFERROR(SUMIFS('Stock In'!F:F,'Stock In'!B:B,$A134,'Stock In'!C:C,$B134,'Stock In'!D:D,$C134,'Stock In'!E:E,$D134),0)</f>
        <v>5100</v>
      </c>
      <c r="F134" s="82">
        <f>IFERROR(SUMIFS(Issues!H:H, Issues!F:F, $A134, Issues!C:C, $B134, Issues!D:D, $C134, Issues!E:E, $D134), 0)</f>
        <v>4800</v>
      </c>
      <c r="G134" s="82">
        <f>IFERROR(SUMIFS(Returns!H:H, Returns!F:F, $A134, Returns!C:C, $B134, Returns!D:D, $C134, Returns!E:E, $D134), 0)</f>
        <v>390</v>
      </c>
      <c r="H134" s="82">
        <f t="shared" si="1"/>
        <v>690</v>
      </c>
      <c r="I134" s="82">
        <f t="shared" si="2"/>
        <v>86.25</v>
      </c>
      <c r="J134" s="82">
        <f>IFERROR( SUMIFS('Stock In'!I:I,'Stock In'!B:B,$A134,'Stock In'!C:C,$B134,'Stock In'!D:D,$C134,'Stock In'!E:E,$D134) / SUMIFS('Stock In'!H:H,'Stock In'!B:B,$A134,'Stock In'!C:C,$B134,'Stock In'!D:D,$C134,'Stock In'!E:E,$D134), 0)</f>
        <v>43.85</v>
      </c>
      <c r="K134" s="82">
        <f t="shared" si="3"/>
        <v>3782.0625</v>
      </c>
    </row>
    <row r="135">
      <c r="A135" s="80" t="str">
        <f>IFERROR(__xludf.DUMMYFUNCTION("""COMPUTED_VALUE"""),"Surya")</f>
        <v>Surya</v>
      </c>
      <c r="B135" s="80" t="str">
        <f>IFERROR(__xludf.DUMMYFUNCTION("""COMPUTED_VALUE"""),"SILVER PAPER")</f>
        <v>SILVER PAPER</v>
      </c>
      <c r="C135" s="80">
        <f>IFERROR(__xludf.DUMMYFUNCTION("""COMPUTED_VALUE"""),80.0)</f>
        <v>80</v>
      </c>
      <c r="D135" s="81">
        <f>IFERROR(__xludf.DUMMYFUNCTION("""COMPUTED_VALUE"""),126.0)</f>
        <v>126</v>
      </c>
      <c r="E135" s="82">
        <f>IFERROR(SUMIFS('Stock In'!F:F,'Stock In'!B:B,$A135,'Stock In'!C:C,$B135,'Stock In'!D:D,$C135,'Stock In'!E:E,$D135),0)</f>
        <v>5040</v>
      </c>
      <c r="F135" s="82">
        <f>IFERROR(SUMIFS(Issues!H:H, Issues!F:F, $A135, Issues!C:C, $B135, Issues!D:D, $C135, Issues!E:E, $D135), 0)</f>
        <v>5040</v>
      </c>
      <c r="G135" s="82">
        <f>IFERROR(SUMIFS(Returns!H:H, Returns!F:F, $A135, Returns!C:C, $B135, Returns!D:D, $C135, Returns!E:E, $D135), 0)</f>
        <v>300</v>
      </c>
      <c r="H135" s="82">
        <f t="shared" si="1"/>
        <v>300</v>
      </c>
      <c r="I135" s="82">
        <f t="shared" si="2"/>
        <v>37.8</v>
      </c>
      <c r="J135" s="82">
        <f>IFERROR( SUMIFS('Stock In'!I:I,'Stock In'!B:B,$A135,'Stock In'!C:C,$B135,'Stock In'!D:D,$C135,'Stock In'!E:E,$D135) / SUMIFS('Stock In'!H:H,'Stock In'!B:B,$A135,'Stock In'!C:C,$B135,'Stock In'!D:D,$C135,'Stock In'!E:E,$D135), 0)</f>
        <v>43.85</v>
      </c>
      <c r="K135" s="82">
        <f t="shared" si="3"/>
        <v>1657.53</v>
      </c>
    </row>
    <row r="136">
      <c r="A136" s="80" t="str">
        <f>IFERROR(__xludf.DUMMYFUNCTION("""COMPUTED_VALUE"""),"Surya")</f>
        <v>Surya</v>
      </c>
      <c r="B136" s="80" t="str">
        <f>IFERROR(__xludf.DUMMYFUNCTION("""COMPUTED_VALUE"""),"SILVER PAPER")</f>
        <v>SILVER PAPER</v>
      </c>
      <c r="C136" s="80">
        <f>IFERROR(__xludf.DUMMYFUNCTION("""COMPUTED_VALUE"""),80.0)</f>
        <v>80</v>
      </c>
      <c r="D136" s="81">
        <f>IFERROR(__xludf.DUMMYFUNCTION("""COMPUTED_VALUE"""),130.0)</f>
        <v>130</v>
      </c>
      <c r="E136" s="82">
        <f>IFERROR(SUMIFS('Stock In'!F:F,'Stock In'!B:B,$A136,'Stock In'!C:C,$B136,'Stock In'!D:D,$C136,'Stock In'!E:E,$D136),0)</f>
        <v>1500</v>
      </c>
      <c r="F136" s="82">
        <f>IFERROR(SUMIFS(Issues!H:H, Issues!F:F, $A136, Issues!C:C, $B136, Issues!D:D, $C136, Issues!E:E, $D136), 0)</f>
        <v>1500</v>
      </c>
      <c r="G136" s="82">
        <f>IFERROR(SUMIFS(Returns!H:H, Returns!F:F, $A136, Returns!C:C, $B136, Returns!D:D, $C136, Returns!E:E, $D136), 0)</f>
        <v>650</v>
      </c>
      <c r="H136" s="82">
        <f t="shared" si="1"/>
        <v>650</v>
      </c>
      <c r="I136" s="82">
        <f t="shared" si="2"/>
        <v>84.5</v>
      </c>
      <c r="J136" s="82">
        <f>IFERROR( SUMIFS('Stock In'!I:I,'Stock In'!B:B,$A136,'Stock In'!C:C,$B136,'Stock In'!D:D,$C136,'Stock In'!E:E,$D136) / SUMIFS('Stock In'!H:H,'Stock In'!B:B,$A136,'Stock In'!C:C,$B136,'Stock In'!D:D,$C136,'Stock In'!E:E,$D136), 0)</f>
        <v>43.85</v>
      </c>
      <c r="K136" s="82">
        <f t="shared" si="3"/>
        <v>3705.325</v>
      </c>
    </row>
    <row r="137">
      <c r="A137" s="80" t="str">
        <f>IFERROR(__xludf.DUMMYFUNCTION("""COMPUTED_VALUE"""),"Surya")</f>
        <v>Surya</v>
      </c>
      <c r="B137" s="80" t="str">
        <f>IFERROR(__xludf.DUMMYFUNCTION("""COMPUTED_VALUE"""),"SILVER PAPER")</f>
        <v>SILVER PAPER</v>
      </c>
      <c r="C137" s="80">
        <f>IFERROR(__xludf.DUMMYFUNCTION("""COMPUTED_VALUE"""),80.0)</f>
        <v>80</v>
      </c>
      <c r="D137" s="81">
        <f>IFERROR(__xludf.DUMMYFUNCTION("""COMPUTED_VALUE"""),140.0)</f>
        <v>140</v>
      </c>
      <c r="E137" s="82">
        <f>IFERROR(SUMIFS('Stock In'!F:F,'Stock In'!B:B,$A137,'Stock In'!C:C,$B137,'Stock In'!D:D,$C137,'Stock In'!E:E,$D137),0)</f>
        <v>5380</v>
      </c>
      <c r="F137" s="82">
        <f>IFERROR(SUMIFS(Issues!H:H, Issues!F:F, $A137, Issues!C:C, $B137, Issues!D:D, $C137, Issues!E:E, $D137), 0)</f>
        <v>10380</v>
      </c>
      <c r="G137" s="82">
        <f>IFERROR(SUMIFS(Returns!H:H, Returns!F:F, $A137, Returns!C:C, $B137, Returns!D:D, $C137, Returns!E:E, $D137), 0)</f>
        <v>2134</v>
      </c>
      <c r="H137" s="82">
        <f t="shared" si="1"/>
        <v>-2866</v>
      </c>
      <c r="I137" s="82">
        <f t="shared" si="2"/>
        <v>-401.24</v>
      </c>
      <c r="J137" s="82">
        <f>IFERROR( SUMIFS('Stock In'!I:I,'Stock In'!B:B,$A137,'Stock In'!C:C,$B137,'Stock In'!D:D,$C137,'Stock In'!E:E,$D137) / SUMIFS('Stock In'!H:H,'Stock In'!B:B,$A137,'Stock In'!C:C,$B137,'Stock In'!D:D,$C137,'Stock In'!E:E,$D137), 0)</f>
        <v>42.01914498</v>
      </c>
      <c r="K137" s="82">
        <f t="shared" si="3"/>
        <v>-16859.76173</v>
      </c>
    </row>
    <row r="138">
      <c r="A138" s="80" t="str">
        <f>IFERROR(__xludf.DUMMYFUNCTION("""COMPUTED_VALUE"""),"Surya")</f>
        <v>Surya</v>
      </c>
      <c r="B138" s="80" t="str">
        <f>IFERROR(__xludf.DUMMYFUNCTION("""COMPUTED_VALUE"""),"SILVER PAPER")</f>
        <v>SILVER PAPER</v>
      </c>
      <c r="C138" s="80">
        <f>IFERROR(__xludf.DUMMYFUNCTION("""COMPUTED_VALUE"""),50.0)</f>
        <v>50</v>
      </c>
      <c r="D138" s="81">
        <f>IFERROR(__xludf.DUMMYFUNCTION("""COMPUTED_VALUE"""),140.0)</f>
        <v>140</v>
      </c>
      <c r="E138" s="82">
        <f>IFERROR(SUMIFS('Stock In'!F:F,'Stock In'!B:B,$A138,'Stock In'!C:C,$B138,'Stock In'!D:D,$C138,'Stock In'!E:E,$D138),0)</f>
        <v>2858</v>
      </c>
      <c r="F138" s="82">
        <f>IFERROR(SUMIFS(Issues!H:H, Issues!F:F, $A138, Issues!C:C, $B138, Issues!D:D, $C138, Issues!E:E, $D138), 0)</f>
        <v>0</v>
      </c>
      <c r="G138" s="82">
        <f>IFERROR(SUMIFS(Returns!H:H, Returns!F:F, $A138, Returns!C:C, $B138, Returns!D:D, $C138, Returns!E:E, $D138), 0)</f>
        <v>0</v>
      </c>
      <c r="H138" s="82">
        <f t="shared" si="1"/>
        <v>2858</v>
      </c>
      <c r="I138" s="82">
        <f t="shared" si="2"/>
        <v>400.12</v>
      </c>
      <c r="J138" s="82">
        <f>IFERROR( SUMIFS('Stock In'!I:I,'Stock In'!B:B,$A138,'Stock In'!C:C,$B138,'Stock In'!D:D,$C138,'Stock In'!E:E,$D138) / SUMIFS('Stock In'!H:H,'Stock In'!B:B,$A138,'Stock In'!C:C,$B138,'Stock In'!D:D,$C138,'Stock In'!E:E,$D138), 0)</f>
        <v>47</v>
      </c>
      <c r="K138" s="82">
        <f t="shared" si="3"/>
        <v>18805.64</v>
      </c>
    </row>
    <row r="139">
      <c r="A139" s="80" t="str">
        <f>IFERROR(__xludf.DUMMYFUNCTION("""COMPUTED_VALUE"""),"Surya")</f>
        <v>Surya</v>
      </c>
      <c r="B139" s="80" t="str">
        <f>IFERROR(__xludf.DUMMYFUNCTION("""COMPUTED_VALUE"""),"SILVER PAPER")</f>
        <v>SILVER PAPER</v>
      </c>
      <c r="C139" s="80">
        <f>IFERROR(__xludf.DUMMYFUNCTION("""COMPUTED_VALUE"""),50.0)</f>
        <v>50</v>
      </c>
      <c r="D139" s="81">
        <f>IFERROR(__xludf.DUMMYFUNCTION("""COMPUTED_VALUE"""),150.0)</f>
        <v>150</v>
      </c>
      <c r="E139" s="82">
        <f>IFERROR(SUMIFS('Stock In'!F:F,'Stock In'!B:B,$A139,'Stock In'!C:C,$B139,'Stock In'!D:D,$C139,'Stock In'!E:E,$D139),0)</f>
        <v>4710</v>
      </c>
      <c r="F139" s="82">
        <f>IFERROR(SUMIFS(Issues!H:H, Issues!F:F, $A139, Issues!C:C, $B139, Issues!D:D, $C139, Issues!E:E, $D139), 0)</f>
        <v>0</v>
      </c>
      <c r="G139" s="82">
        <f>IFERROR(SUMIFS(Returns!H:H, Returns!F:F, $A139, Returns!C:C, $B139, Returns!D:D, $C139, Returns!E:E, $D139), 0)</f>
        <v>0</v>
      </c>
      <c r="H139" s="82">
        <f t="shared" si="1"/>
        <v>4710</v>
      </c>
      <c r="I139" s="82">
        <f t="shared" si="2"/>
        <v>706.5</v>
      </c>
      <c r="J139" s="82">
        <f>IFERROR( SUMIFS('Stock In'!I:I,'Stock In'!B:B,$A139,'Stock In'!C:C,$B139,'Stock In'!D:D,$C139,'Stock In'!E:E,$D139) / SUMIFS('Stock In'!H:H,'Stock In'!B:B,$A139,'Stock In'!C:C,$B139,'Stock In'!D:D,$C139,'Stock In'!E:E,$D139), 0)</f>
        <v>48</v>
      </c>
      <c r="K139" s="82">
        <f t="shared" si="3"/>
        <v>33912</v>
      </c>
    </row>
    <row r="140">
      <c r="A140" s="80" t="str">
        <f>IFERROR(__xludf.DUMMYFUNCTION("""COMPUTED_VALUE"""),"Surya")</f>
        <v>Surya</v>
      </c>
      <c r="B140" s="80" t="str">
        <f>IFERROR(__xludf.DUMMYFUNCTION("""COMPUTED_VALUE"""),"SILVER PAPER")</f>
        <v>SILVER PAPER</v>
      </c>
      <c r="C140" s="80">
        <f>IFERROR(__xludf.DUMMYFUNCTION("""COMPUTED_VALUE"""),80.0)</f>
        <v>80</v>
      </c>
      <c r="D140" s="81">
        <f>IFERROR(__xludf.DUMMYFUNCTION("""COMPUTED_VALUE"""),160.0)</f>
        <v>160</v>
      </c>
      <c r="E140" s="82">
        <f>IFERROR(SUMIFS('Stock In'!F:F,'Stock In'!B:B,$A140,'Stock In'!C:C,$B140,'Stock In'!D:D,$C140,'Stock In'!E:E,$D140),0)</f>
        <v>700</v>
      </c>
      <c r="F140" s="82">
        <f>IFERROR(SUMIFS(Issues!H:H, Issues!F:F, $A140, Issues!C:C, $B140, Issues!D:D, $C140, Issues!E:E, $D140), 0)</f>
        <v>540</v>
      </c>
      <c r="G140" s="82">
        <f>IFERROR(SUMIFS(Returns!H:H, Returns!F:F, $A140, Returns!C:C, $B140, Returns!D:D, $C140, Returns!E:E, $D140), 0)</f>
        <v>0</v>
      </c>
      <c r="H140" s="82">
        <f t="shared" si="1"/>
        <v>160</v>
      </c>
      <c r="I140" s="82">
        <f t="shared" si="2"/>
        <v>25.6</v>
      </c>
      <c r="J140" s="82">
        <f>IFERROR( SUMIFS('Stock In'!I:I,'Stock In'!B:B,$A140,'Stock In'!C:C,$B140,'Stock In'!D:D,$C140,'Stock In'!E:E,$D140) / SUMIFS('Stock In'!H:H,'Stock In'!B:B,$A140,'Stock In'!C:C,$B140,'Stock In'!D:D,$C140,'Stock In'!E:E,$D140), 0)</f>
        <v>43.85</v>
      </c>
      <c r="K140" s="82">
        <f t="shared" si="3"/>
        <v>1122.56</v>
      </c>
    </row>
    <row r="141">
      <c r="A141" s="80" t="str">
        <f>IFERROR(__xludf.DUMMYFUNCTION("""COMPUTED_VALUE"""),"Surya")</f>
        <v>Surya</v>
      </c>
      <c r="B141" s="80" t="str">
        <f>IFERROR(__xludf.DUMMYFUNCTION("""COMPUTED_VALUE"""),"SILVER PAPER")</f>
        <v>SILVER PAPER</v>
      </c>
      <c r="C141" s="80">
        <f>IFERROR(__xludf.DUMMYFUNCTION("""COMPUTED_VALUE"""),80.0)</f>
        <v>80</v>
      </c>
      <c r="D141" s="81">
        <f>IFERROR(__xludf.DUMMYFUNCTION("""COMPUTED_VALUE"""),167.0)</f>
        <v>167</v>
      </c>
      <c r="E141" s="82">
        <f>IFERROR(SUMIFS('Stock In'!F:F,'Stock In'!B:B,$A141,'Stock In'!C:C,$B141,'Stock In'!D:D,$C141,'Stock In'!E:E,$D141),0)</f>
        <v>12437</v>
      </c>
      <c r="F141" s="82">
        <f>IFERROR(SUMIFS(Issues!H:H, Issues!F:F, $A141, Issues!C:C, $B141, Issues!D:D, $C141, Issues!E:E, $D141), 0)</f>
        <v>9900</v>
      </c>
      <c r="G141" s="82">
        <f>IFERROR(SUMIFS(Returns!H:H, Returns!F:F, $A141, Returns!C:C, $B141, Returns!D:D, $C141, Returns!E:E, $D141), 0)</f>
        <v>1450</v>
      </c>
      <c r="H141" s="82">
        <f t="shared" si="1"/>
        <v>3987</v>
      </c>
      <c r="I141" s="82">
        <f t="shared" si="2"/>
        <v>665.829</v>
      </c>
      <c r="J141" s="82">
        <f>IFERROR( SUMIFS('Stock In'!I:I,'Stock In'!B:B,$A141,'Stock In'!C:C,$B141,'Stock In'!D:D,$C141,'Stock In'!E:E,$D141) / SUMIFS('Stock In'!H:H,'Stock In'!B:B,$A141,'Stock In'!C:C,$B141,'Stock In'!D:D,$C141,'Stock In'!E:E,$D141), 0)</f>
        <v>44.72051138</v>
      </c>
      <c r="K141" s="82">
        <f t="shared" si="3"/>
        <v>29776.21337</v>
      </c>
    </row>
    <row r="142">
      <c r="A142" s="80" t="str">
        <f>IFERROR(__xludf.DUMMYFUNCTION("""COMPUTED_VALUE"""),"Surya")</f>
        <v>Surya</v>
      </c>
      <c r="B142" s="80" t="str">
        <f>IFERROR(__xludf.DUMMYFUNCTION("""COMPUTED_VALUE"""),"SILVER PAPER")</f>
        <v>SILVER PAPER</v>
      </c>
      <c r="C142" s="80">
        <f>IFERROR(__xludf.DUMMYFUNCTION("""COMPUTED_VALUE"""),50.0)</f>
        <v>50</v>
      </c>
      <c r="D142" s="81">
        <f>IFERROR(__xludf.DUMMYFUNCTION("""COMPUTED_VALUE"""),167.0)</f>
        <v>167</v>
      </c>
      <c r="E142" s="82">
        <f>IFERROR(SUMIFS('Stock In'!F:F,'Stock In'!B:B,$A142,'Stock In'!C:C,$B142,'Stock In'!D:D,$C142,'Stock In'!E:E,$D142),0)</f>
        <v>4600</v>
      </c>
      <c r="F142" s="82">
        <f>IFERROR(SUMIFS(Issues!H:H, Issues!F:F, $A142, Issues!C:C, $B142, Issues!D:D, $C142, Issues!E:E, $D142), 0)</f>
        <v>0</v>
      </c>
      <c r="G142" s="82">
        <f>IFERROR(SUMIFS(Returns!H:H, Returns!F:F, $A142, Returns!C:C, $B142, Returns!D:D, $C142, Returns!E:E, $D142), 0)</f>
        <v>0</v>
      </c>
      <c r="H142" s="82">
        <f t="shared" si="1"/>
        <v>4600</v>
      </c>
      <c r="I142" s="82">
        <f t="shared" si="2"/>
        <v>768.2</v>
      </c>
      <c r="J142" s="82">
        <f>IFERROR( SUMIFS('Stock In'!I:I,'Stock In'!B:B,$A142,'Stock In'!C:C,$B142,'Stock In'!D:D,$C142,'Stock In'!E:E,$D142) / SUMIFS('Stock In'!H:H,'Stock In'!B:B,$A142,'Stock In'!C:C,$B142,'Stock In'!D:D,$C142,'Stock In'!E:E,$D142), 0)</f>
        <v>47</v>
      </c>
      <c r="K142" s="82">
        <f t="shared" si="3"/>
        <v>36105.4</v>
      </c>
    </row>
    <row r="143">
      <c r="A143" s="80" t="str">
        <f>IFERROR(__xludf.DUMMYFUNCTION("""COMPUTED_VALUE"""),"Surya")</f>
        <v>Surya</v>
      </c>
      <c r="B143" s="80" t="str">
        <f>IFERROR(__xludf.DUMMYFUNCTION("""COMPUTED_VALUE"""),"SILVER PAPER")</f>
        <v>SILVER PAPER</v>
      </c>
      <c r="C143" s="80">
        <f>IFERROR(__xludf.DUMMYFUNCTION("""COMPUTED_VALUE"""),50.0)</f>
        <v>50</v>
      </c>
      <c r="D143" s="81">
        <f>IFERROR(__xludf.DUMMYFUNCTION("""COMPUTED_VALUE"""),168.0)</f>
        <v>168</v>
      </c>
      <c r="E143" s="82">
        <f>IFERROR(SUMIFS('Stock In'!F:F,'Stock In'!B:B,$A143,'Stock In'!C:C,$B143,'Stock In'!D:D,$C143,'Stock In'!E:E,$D143),0)</f>
        <v>6048</v>
      </c>
      <c r="F143" s="82">
        <f>IFERROR(SUMIFS(Issues!H:H, Issues!F:F, $A143, Issues!C:C, $B143, Issues!D:D, $C143, Issues!E:E, $D143), 0)</f>
        <v>0</v>
      </c>
      <c r="G143" s="82">
        <f>IFERROR(SUMIFS(Returns!H:H, Returns!F:F, $A143, Returns!C:C, $B143, Returns!D:D, $C143, Returns!E:E, $D143), 0)</f>
        <v>0</v>
      </c>
      <c r="H143" s="82">
        <f t="shared" si="1"/>
        <v>6048</v>
      </c>
      <c r="I143" s="82">
        <f t="shared" si="2"/>
        <v>1016.064</v>
      </c>
      <c r="J143" s="82">
        <f>IFERROR( SUMIFS('Stock In'!I:I,'Stock In'!B:B,$A143,'Stock In'!C:C,$B143,'Stock In'!D:D,$C143,'Stock In'!E:E,$D143) / SUMIFS('Stock In'!H:H,'Stock In'!B:B,$A143,'Stock In'!C:C,$B143,'Stock In'!D:D,$C143,'Stock In'!E:E,$D143), 0)</f>
        <v>47</v>
      </c>
      <c r="K143" s="82">
        <f t="shared" si="3"/>
        <v>47755.008</v>
      </c>
    </row>
    <row r="144">
      <c r="A144" s="80" t="str">
        <f>IFERROR(__xludf.DUMMYFUNCTION("""COMPUTED_VALUE"""),"Surya")</f>
        <v>Surya</v>
      </c>
      <c r="B144" s="80" t="str">
        <f>IFERROR(__xludf.DUMMYFUNCTION("""COMPUTED_VALUE"""),"SILVER PAPER")</f>
        <v>SILVER PAPER</v>
      </c>
      <c r="C144" s="80">
        <f>IFERROR(__xludf.DUMMYFUNCTION("""COMPUTED_VALUE"""),80.0)</f>
        <v>80</v>
      </c>
      <c r="D144" s="81">
        <f>IFERROR(__xludf.DUMMYFUNCTION("""COMPUTED_VALUE"""),170.0)</f>
        <v>170</v>
      </c>
      <c r="E144" s="82">
        <f>IFERROR(SUMIFS('Stock In'!F:F,'Stock In'!B:B,$A144,'Stock In'!C:C,$B144,'Stock In'!D:D,$C144,'Stock In'!E:E,$D144),0)</f>
        <v>600</v>
      </c>
      <c r="F144" s="82">
        <f>IFERROR(SUMIFS(Issues!H:H, Issues!F:F, $A144, Issues!C:C, $B144, Issues!D:D, $C144, Issues!E:E, $D144), 0)</f>
        <v>0</v>
      </c>
      <c r="G144" s="82">
        <f>IFERROR(SUMIFS(Returns!H:H, Returns!F:F, $A144, Returns!C:C, $B144, Returns!D:D, $C144, Returns!E:E, $D144), 0)</f>
        <v>0</v>
      </c>
      <c r="H144" s="82">
        <f t="shared" si="1"/>
        <v>600</v>
      </c>
      <c r="I144" s="82">
        <f t="shared" si="2"/>
        <v>102</v>
      </c>
      <c r="J144" s="82">
        <f>IFERROR( SUMIFS('Stock In'!I:I,'Stock In'!B:B,$A144,'Stock In'!C:C,$B144,'Stock In'!D:D,$C144,'Stock In'!E:E,$D144) / SUMIFS('Stock In'!H:H,'Stock In'!B:B,$A144,'Stock In'!C:C,$B144,'Stock In'!D:D,$C144,'Stock In'!E:E,$D144), 0)</f>
        <v>43.85</v>
      </c>
      <c r="K144" s="82">
        <f t="shared" si="3"/>
        <v>4472.7</v>
      </c>
    </row>
    <row r="145">
      <c r="A145" s="80" t="str">
        <f>IFERROR(__xludf.DUMMYFUNCTION("""COMPUTED_VALUE"""),"Surya")</f>
        <v>Surya</v>
      </c>
      <c r="B145" s="80" t="str">
        <f>IFERROR(__xludf.DUMMYFUNCTION("""COMPUTED_VALUE"""),"SILVER PAPER")</f>
        <v>SILVER PAPER</v>
      </c>
      <c r="C145" s="80">
        <f>IFERROR(__xludf.DUMMYFUNCTION("""COMPUTED_VALUE"""),50.0)</f>
        <v>50</v>
      </c>
      <c r="D145" s="81">
        <f>IFERROR(__xludf.DUMMYFUNCTION("""COMPUTED_VALUE"""),170.0)</f>
        <v>170</v>
      </c>
      <c r="E145" s="82">
        <f>IFERROR(SUMIFS('Stock In'!F:F,'Stock In'!B:B,$A145,'Stock In'!C:C,$B145,'Stock In'!D:D,$C145,'Stock In'!E:E,$D145),0)</f>
        <v>1280</v>
      </c>
      <c r="F145" s="82">
        <f>IFERROR(SUMIFS(Issues!H:H, Issues!F:F, $A145, Issues!C:C, $B145, Issues!D:D, $C145, Issues!E:E, $D145), 0)</f>
        <v>0</v>
      </c>
      <c r="G145" s="82">
        <f>IFERROR(SUMIFS(Returns!H:H, Returns!F:F, $A145, Returns!C:C, $B145, Returns!D:D, $C145, Returns!E:E, $D145), 0)</f>
        <v>0</v>
      </c>
      <c r="H145" s="82">
        <f t="shared" si="1"/>
        <v>1280</v>
      </c>
      <c r="I145" s="82">
        <f t="shared" si="2"/>
        <v>217.6</v>
      </c>
      <c r="J145" s="82">
        <f>IFERROR( SUMIFS('Stock In'!I:I,'Stock In'!B:B,$A145,'Stock In'!C:C,$B145,'Stock In'!D:D,$C145,'Stock In'!E:E,$D145) / SUMIFS('Stock In'!H:H,'Stock In'!B:B,$A145,'Stock In'!C:C,$B145,'Stock In'!D:D,$C145,'Stock In'!E:E,$D145), 0)</f>
        <v>47</v>
      </c>
      <c r="K145" s="82">
        <f t="shared" si="3"/>
        <v>10227.2</v>
      </c>
    </row>
    <row r="146">
      <c r="A146" s="80" t="str">
        <f>IFERROR(__xludf.DUMMYFUNCTION("""COMPUTED_VALUE"""),"Surya")</f>
        <v>Surya</v>
      </c>
      <c r="B146" s="80" t="str">
        <f>IFERROR(__xludf.DUMMYFUNCTION("""COMPUTED_VALUE"""),"SILVER PAPER")</f>
        <v>SILVER PAPER</v>
      </c>
      <c r="C146" s="80">
        <f>IFERROR(__xludf.DUMMYFUNCTION("""COMPUTED_VALUE"""),80.0)</f>
        <v>80</v>
      </c>
      <c r="D146" s="81">
        <f>IFERROR(__xludf.DUMMYFUNCTION("""COMPUTED_VALUE"""),185.0)</f>
        <v>185</v>
      </c>
      <c r="E146" s="82">
        <f>IFERROR(SUMIFS('Stock In'!F:F,'Stock In'!B:B,$A146,'Stock In'!C:C,$B146,'Stock In'!D:D,$C146,'Stock In'!E:E,$D146),0)</f>
        <v>3000</v>
      </c>
      <c r="F146" s="82">
        <f>IFERROR(SUMIFS(Issues!H:H, Issues!F:F, $A146, Issues!C:C, $B146, Issues!D:D, $C146, Issues!E:E, $D146), 0)</f>
        <v>3000</v>
      </c>
      <c r="G146" s="82">
        <f>IFERROR(SUMIFS(Returns!H:H, Returns!F:F, $A146, Returns!C:C, $B146, Returns!D:D, $C146, Returns!E:E, $D146), 0)</f>
        <v>0</v>
      </c>
      <c r="H146" s="82">
        <f t="shared" si="1"/>
        <v>0</v>
      </c>
      <c r="I146" s="82">
        <f t="shared" si="2"/>
        <v>0</v>
      </c>
      <c r="J146" s="82">
        <f>IFERROR( SUMIFS('Stock In'!I:I,'Stock In'!B:B,$A146,'Stock In'!C:C,$B146,'Stock In'!D:D,$C146,'Stock In'!E:E,$D146) / SUMIFS('Stock In'!H:H,'Stock In'!B:B,$A146,'Stock In'!C:C,$B146,'Stock In'!D:D,$C146,'Stock In'!E:E,$D146), 0)</f>
        <v>43.85</v>
      </c>
      <c r="K146" s="82">
        <f t="shared" si="3"/>
        <v>0</v>
      </c>
    </row>
    <row r="147">
      <c r="A147" s="80" t="str">
        <f>IFERROR(__xludf.DUMMYFUNCTION("""COMPUTED_VALUE"""),"Surya")</f>
        <v>Surya</v>
      </c>
      <c r="B147" s="80" t="str">
        <f>IFERROR(__xludf.DUMMYFUNCTION("""COMPUTED_VALUE"""),"SILVER PAPER")</f>
        <v>SILVER PAPER</v>
      </c>
      <c r="C147" s="80">
        <f>IFERROR(__xludf.DUMMYFUNCTION("""COMPUTED_VALUE"""),80.0)</f>
        <v>80</v>
      </c>
      <c r="D147" s="81">
        <f>IFERROR(__xludf.DUMMYFUNCTION("""COMPUTED_VALUE"""),190.0)</f>
        <v>190</v>
      </c>
      <c r="E147" s="82">
        <f>IFERROR(SUMIFS('Stock In'!F:F,'Stock In'!B:B,$A147,'Stock In'!C:C,$B147,'Stock In'!D:D,$C147,'Stock In'!E:E,$D147),0)</f>
        <v>1300</v>
      </c>
      <c r="F147" s="82">
        <f>IFERROR(SUMIFS(Issues!H:H, Issues!F:F, $A147, Issues!C:C, $B147, Issues!D:D, $C147, Issues!E:E, $D147), 0)</f>
        <v>1500</v>
      </c>
      <c r="G147" s="82">
        <f>IFERROR(SUMIFS(Returns!H:H, Returns!F:F, $A147, Returns!C:C, $B147, Returns!D:D, $C147, Returns!E:E, $D147), 0)</f>
        <v>290</v>
      </c>
      <c r="H147" s="82">
        <f t="shared" si="1"/>
        <v>90</v>
      </c>
      <c r="I147" s="82">
        <f t="shared" si="2"/>
        <v>17.1</v>
      </c>
      <c r="J147" s="82">
        <f>IFERROR( SUMIFS('Stock In'!I:I,'Stock In'!B:B,$A147,'Stock In'!C:C,$B147,'Stock In'!D:D,$C147,'Stock In'!E:E,$D147) / SUMIFS('Stock In'!H:H,'Stock In'!B:B,$A147,'Stock In'!C:C,$B147,'Stock In'!D:D,$C147,'Stock In'!E:E,$D147), 0)</f>
        <v>43.85</v>
      </c>
      <c r="K147" s="82">
        <f t="shared" si="3"/>
        <v>749.835</v>
      </c>
    </row>
    <row r="148">
      <c r="A148" s="80" t="str">
        <f>IFERROR(__xludf.DUMMYFUNCTION("""COMPUTED_VALUE"""),"Surya")</f>
        <v>Surya</v>
      </c>
      <c r="B148" s="80" t="str">
        <f>IFERROR(__xludf.DUMMYFUNCTION("""COMPUTED_VALUE"""),"SILVER PAPER")</f>
        <v>SILVER PAPER</v>
      </c>
      <c r="C148" s="80">
        <f>IFERROR(__xludf.DUMMYFUNCTION("""COMPUTED_VALUE"""),50.0)</f>
        <v>50</v>
      </c>
      <c r="D148" s="81">
        <f>IFERROR(__xludf.DUMMYFUNCTION("""COMPUTED_VALUE"""),190.0)</f>
        <v>190</v>
      </c>
      <c r="E148" s="82">
        <f>IFERROR(SUMIFS('Stock In'!F:F,'Stock In'!B:B,$A148,'Stock In'!C:C,$B148,'Stock In'!D:D,$C148,'Stock In'!E:E,$D148),0)</f>
        <v>1535</v>
      </c>
      <c r="F148" s="82">
        <f>IFERROR(SUMIFS(Issues!H:H, Issues!F:F, $A148, Issues!C:C, $B148, Issues!D:D, $C148, Issues!E:E, $D148), 0)</f>
        <v>0</v>
      </c>
      <c r="G148" s="82">
        <f>IFERROR(SUMIFS(Returns!H:H, Returns!F:F, $A148, Returns!C:C, $B148, Returns!D:D, $C148, Returns!E:E, $D148), 0)</f>
        <v>0</v>
      </c>
      <c r="H148" s="82">
        <f t="shared" si="1"/>
        <v>1535</v>
      </c>
      <c r="I148" s="82">
        <f t="shared" si="2"/>
        <v>291.65</v>
      </c>
      <c r="J148" s="82">
        <f>IFERROR( SUMIFS('Stock In'!I:I,'Stock In'!B:B,$A148,'Stock In'!C:C,$B148,'Stock In'!D:D,$C148,'Stock In'!E:E,$D148) / SUMIFS('Stock In'!H:H,'Stock In'!B:B,$A148,'Stock In'!C:C,$B148,'Stock In'!D:D,$C148,'Stock In'!E:E,$D148), 0)</f>
        <v>49</v>
      </c>
      <c r="K148" s="82">
        <f t="shared" si="3"/>
        <v>14290.85</v>
      </c>
    </row>
    <row r="149">
      <c r="A149" s="80" t="str">
        <f>IFERROR(__xludf.DUMMYFUNCTION("""COMPUTED_VALUE"""),"Surya")</f>
        <v>Surya</v>
      </c>
      <c r="B149" s="80" t="str">
        <f>IFERROR(__xludf.DUMMYFUNCTION("""COMPUTED_VALUE"""),"SILVER PAPER")</f>
        <v>SILVER PAPER</v>
      </c>
      <c r="C149" s="80">
        <f>IFERROR(__xludf.DUMMYFUNCTION("""COMPUTED_VALUE"""),80.0)</f>
        <v>80</v>
      </c>
      <c r="D149" s="81">
        <f>IFERROR(__xludf.DUMMYFUNCTION("""COMPUTED_VALUE"""),210.0)</f>
        <v>210</v>
      </c>
      <c r="E149" s="82">
        <f>IFERROR(SUMIFS('Stock In'!F:F,'Stock In'!B:B,$A149,'Stock In'!C:C,$B149,'Stock In'!D:D,$C149,'Stock In'!E:E,$D149),0)</f>
        <v>11760</v>
      </c>
      <c r="F149" s="82">
        <f>IFERROR(SUMIFS(Issues!H:H, Issues!F:F, $A149, Issues!C:C, $B149, Issues!D:D, $C149, Issues!E:E, $D149), 0)</f>
        <v>7760</v>
      </c>
      <c r="G149" s="82">
        <f>IFERROR(SUMIFS(Returns!H:H, Returns!F:F, $A149, Returns!C:C, $B149, Returns!D:D, $C149, Returns!E:E, $D149), 0)</f>
        <v>1220</v>
      </c>
      <c r="H149" s="82">
        <f t="shared" si="1"/>
        <v>5220</v>
      </c>
      <c r="I149" s="82">
        <f t="shared" si="2"/>
        <v>1096.2</v>
      </c>
      <c r="J149" s="82">
        <f>IFERROR( SUMIFS('Stock In'!I:I,'Stock In'!B:B,$A149,'Stock In'!C:C,$B149,'Stock In'!D:D,$C149,'Stock In'!E:E,$D149) / SUMIFS('Stock In'!H:H,'Stock In'!B:B,$A149,'Stock In'!C:C,$B149,'Stock In'!D:D,$C149,'Stock In'!E:E,$D149), 0)</f>
        <v>39.57831633</v>
      </c>
      <c r="K149" s="82">
        <f t="shared" si="3"/>
        <v>43385.75036</v>
      </c>
    </row>
    <row r="150">
      <c r="A150" s="80" t="str">
        <f>IFERROR(__xludf.DUMMYFUNCTION("""COMPUTED_VALUE"""),"Surya")</f>
        <v>Surya</v>
      </c>
      <c r="B150" s="80" t="str">
        <f>IFERROR(__xludf.DUMMYFUNCTION("""COMPUTED_VALUE"""),"SILVER PAPER")</f>
        <v>SILVER PAPER</v>
      </c>
      <c r="C150" s="80">
        <f>IFERROR(__xludf.DUMMYFUNCTION("""COMPUTED_VALUE"""),50.0)</f>
        <v>50</v>
      </c>
      <c r="D150" s="81">
        <f>IFERROR(__xludf.DUMMYFUNCTION("""COMPUTED_VALUE"""),250.0)</f>
        <v>250</v>
      </c>
      <c r="E150" s="82">
        <f>IFERROR(SUMIFS('Stock In'!F:F,'Stock In'!B:B,$A150,'Stock In'!C:C,$B150,'Stock In'!D:D,$C150,'Stock In'!E:E,$D150),0)</f>
        <v>1500</v>
      </c>
      <c r="F150" s="82">
        <f>IFERROR(SUMIFS(Issues!H:H, Issues!F:F, $A150, Issues!C:C, $B150, Issues!D:D, $C150, Issues!E:E, $D150), 0)</f>
        <v>0</v>
      </c>
      <c r="G150" s="82">
        <f>IFERROR(SUMIFS(Returns!H:H, Returns!F:F, $A150, Returns!C:C, $B150, Returns!D:D, $C150, Returns!E:E, $D150), 0)</f>
        <v>0</v>
      </c>
      <c r="H150" s="82">
        <f t="shared" si="1"/>
        <v>1500</v>
      </c>
      <c r="I150" s="82">
        <f t="shared" si="2"/>
        <v>375</v>
      </c>
      <c r="J150" s="82">
        <f>IFERROR( SUMIFS('Stock In'!I:I,'Stock In'!B:B,$A150,'Stock In'!C:C,$B150,'Stock In'!D:D,$C150,'Stock In'!E:E,$D150) / SUMIFS('Stock In'!H:H,'Stock In'!B:B,$A150,'Stock In'!C:C,$B150,'Stock In'!D:D,$C150,'Stock In'!E:E,$D150), 0)</f>
        <v>49</v>
      </c>
      <c r="K150" s="82">
        <f t="shared" si="3"/>
        <v>18375</v>
      </c>
    </row>
    <row r="151">
      <c r="A151" s="80" t="str">
        <f>IFERROR(__xludf.DUMMYFUNCTION("""COMPUTED_VALUE"""),"Surya")</f>
        <v>Surya</v>
      </c>
      <c r="B151" s="80" t="str">
        <f>IFERROR(__xludf.DUMMYFUNCTION("""COMPUTED_VALUE"""),"SILVER PAPER")</f>
        <v>SILVER PAPER</v>
      </c>
      <c r="C151" s="80">
        <f>IFERROR(__xludf.DUMMYFUNCTION("""COMPUTED_VALUE"""),80.0)</f>
        <v>80</v>
      </c>
      <c r="D151" s="81">
        <f>IFERROR(__xludf.DUMMYFUNCTION("""COMPUTED_VALUE"""),280.0)</f>
        <v>280</v>
      </c>
      <c r="E151" s="82">
        <f>IFERROR(SUMIFS('Stock In'!F:F,'Stock In'!B:B,$A151,'Stock In'!C:C,$B151,'Stock In'!D:D,$C151,'Stock In'!E:E,$D151),0)</f>
        <v>3550</v>
      </c>
      <c r="F151" s="82">
        <f>IFERROR(SUMIFS(Issues!H:H, Issues!F:F, $A151, Issues!C:C, $B151, Issues!D:D, $C151, Issues!E:E, $D151), 0)</f>
        <v>4320</v>
      </c>
      <c r="G151" s="82">
        <f>IFERROR(SUMIFS(Returns!H:H, Returns!F:F, $A151, Returns!C:C, $B151, Returns!D:D, $C151, Returns!E:E, $D151), 0)</f>
        <v>300</v>
      </c>
      <c r="H151" s="82">
        <f t="shared" si="1"/>
        <v>-470</v>
      </c>
      <c r="I151" s="82">
        <f t="shared" si="2"/>
        <v>-131.6</v>
      </c>
      <c r="J151" s="82">
        <f>IFERROR( SUMIFS('Stock In'!I:I,'Stock In'!B:B,$A151,'Stock In'!C:C,$B151,'Stock In'!D:D,$C151,'Stock In'!E:E,$D151) / SUMIFS('Stock In'!H:H,'Stock In'!B:B,$A151,'Stock In'!C:C,$B151,'Stock In'!D:D,$C151,'Stock In'!E:E,$D151), 0)</f>
        <v>43.85</v>
      </c>
      <c r="K151" s="82">
        <f t="shared" si="3"/>
        <v>-5770.66</v>
      </c>
    </row>
    <row r="152">
      <c r="A152" s="80" t="str">
        <f>IFERROR(__xludf.DUMMYFUNCTION("""COMPUTED_VALUE"""),"Tackify")</f>
        <v>Tackify</v>
      </c>
      <c r="B152" s="80" t="str">
        <f>IFERROR(__xludf.DUMMYFUNCTION("""COMPUTED_VALUE"""),"CHROMO ( SHINE )")</f>
        <v>CHROMO ( SHINE )</v>
      </c>
      <c r="C152" s="80">
        <f>IFERROR(__xludf.DUMMYFUNCTION("""COMPUTED_VALUE"""),80.0)</f>
        <v>80</v>
      </c>
      <c r="D152" s="81">
        <f>IFERROR(__xludf.DUMMYFUNCTION("""COMPUTED_VALUE"""),210.0)</f>
        <v>210</v>
      </c>
      <c r="E152" s="82">
        <f>IFERROR(SUMIFS('Stock In'!F:F,'Stock In'!B:B,$A152,'Stock In'!C:C,$B152,'Stock In'!D:D,$C152,'Stock In'!E:E,$D152),0)</f>
        <v>1000</v>
      </c>
      <c r="F152" s="82">
        <f>IFERROR(SUMIFS(Issues!H:H, Issues!F:F, $A152, Issues!C:C, $B152, Issues!D:D, $C152, Issues!E:E, $D152), 0)</f>
        <v>0</v>
      </c>
      <c r="G152" s="82">
        <f>IFERROR(SUMIFS(Returns!H:H, Returns!F:F, $A152, Returns!C:C, $B152, Returns!D:D, $C152, Returns!E:E, $D152), 0)</f>
        <v>0</v>
      </c>
      <c r="H152" s="82">
        <f t="shared" si="1"/>
        <v>1000</v>
      </c>
      <c r="I152" s="82">
        <f t="shared" si="2"/>
        <v>210</v>
      </c>
      <c r="J152" s="82">
        <f>IFERROR( SUMIFS('Stock In'!I:I,'Stock In'!B:B,$A152,'Stock In'!C:C,$B152,'Stock In'!D:D,$C152,'Stock In'!E:E,$D152) / SUMIFS('Stock In'!H:H,'Stock In'!B:B,$A152,'Stock In'!C:C,$B152,'Stock In'!D:D,$C152,'Stock In'!E:E,$D152), 0)</f>
        <v>30</v>
      </c>
      <c r="K152" s="82">
        <f t="shared" si="3"/>
        <v>6300</v>
      </c>
    </row>
    <row r="153">
      <c r="A153" s="80" t="str">
        <f>IFERROR(__xludf.DUMMYFUNCTION("""COMPUTED_VALUE"""),"Tackify")</f>
        <v>Tackify</v>
      </c>
      <c r="B153" s="80" t="str">
        <f>IFERROR(__xludf.DUMMYFUNCTION("""COMPUTED_VALUE"""),"PP CLEAR")</f>
        <v>PP CLEAR</v>
      </c>
      <c r="C153" s="80">
        <f>IFERROR(__xludf.DUMMYFUNCTION("""COMPUTED_VALUE"""),50.0)</f>
        <v>50</v>
      </c>
      <c r="D153" s="81">
        <f>IFERROR(__xludf.DUMMYFUNCTION("""COMPUTED_VALUE"""),220.0)</f>
        <v>220</v>
      </c>
      <c r="E153" s="82">
        <f>IFERROR(SUMIFS('Stock In'!F:F,'Stock In'!B:B,$A153,'Stock In'!C:C,$B153,'Stock In'!D:D,$C153,'Stock In'!E:E,$D153),0)</f>
        <v>1800</v>
      </c>
      <c r="F153" s="82">
        <f>IFERROR(SUMIFS(Issues!H:H, Issues!F:F, $A153, Issues!C:C, $B153, Issues!D:D, $C153, Issues!E:E, $D153), 0)</f>
        <v>0</v>
      </c>
      <c r="G153" s="82">
        <f>IFERROR(SUMIFS(Returns!H:H, Returns!F:F, $A153, Returns!C:C, $B153, Returns!D:D, $C153, Returns!E:E, $D153), 0)</f>
        <v>0</v>
      </c>
      <c r="H153" s="82">
        <f t="shared" si="1"/>
        <v>1800</v>
      </c>
      <c r="I153" s="82">
        <f t="shared" si="2"/>
        <v>396</v>
      </c>
      <c r="J153" s="82">
        <f>IFERROR( SUMIFS('Stock In'!I:I,'Stock In'!B:B,$A153,'Stock In'!C:C,$B153,'Stock In'!D:D,$C153,'Stock In'!E:E,$D153) / SUMIFS('Stock In'!H:H,'Stock In'!B:B,$A153,'Stock In'!C:C,$B153,'Stock In'!D:D,$C153,'Stock In'!E:E,$D153), 0)</f>
        <v>40</v>
      </c>
      <c r="K153" s="82">
        <f t="shared" si="3"/>
        <v>15840</v>
      </c>
    </row>
    <row r="154">
      <c r="A154" s="80" t="str">
        <f>IFERROR(__xludf.DUMMYFUNCTION("""COMPUTED_VALUE"""),"Technova")</f>
        <v>Technova</v>
      </c>
      <c r="B154" s="80" t="str">
        <f>IFERROR(__xludf.DUMMYFUNCTION("""COMPUTED_VALUE"""),"PET MATT")</f>
        <v>PET MATT</v>
      </c>
      <c r="C154" s="80">
        <f>IFERROR(__xludf.DUMMYFUNCTION("""COMPUTED_VALUE"""),125.0)</f>
        <v>125</v>
      </c>
      <c r="D154" s="81">
        <f>IFERROR(__xludf.DUMMYFUNCTION("""COMPUTED_VALUE"""),180.0)</f>
        <v>180</v>
      </c>
      <c r="E154" s="82">
        <f>IFERROR(SUMIFS('Stock In'!F:F,'Stock In'!B:B,$A154,'Stock In'!C:C,$B154,'Stock In'!D:D,$C154,'Stock In'!E:E,$D154),0)</f>
        <v>500</v>
      </c>
      <c r="F154" s="82">
        <f>IFERROR(SUMIFS(Issues!H:H, Issues!F:F, $A154, Issues!C:C, $B154, Issues!D:D, $C154, Issues!E:E, $D154), 0)</f>
        <v>0</v>
      </c>
      <c r="G154" s="82">
        <f>IFERROR(SUMIFS(Returns!H:H, Returns!F:F, $A154, Returns!C:C, $B154, Returns!D:D, $C154, Returns!E:E, $D154), 0)</f>
        <v>0</v>
      </c>
      <c r="H154" s="82">
        <f t="shared" si="1"/>
        <v>500</v>
      </c>
      <c r="I154" s="82">
        <f t="shared" si="2"/>
        <v>90</v>
      </c>
      <c r="J154" s="82">
        <f>IFERROR( SUMIFS('Stock In'!I:I,'Stock In'!B:B,$A154,'Stock In'!C:C,$B154,'Stock In'!D:D,$C154,'Stock In'!E:E,$D154) / SUMIFS('Stock In'!H:H,'Stock In'!B:B,$A154,'Stock In'!C:C,$B154,'Stock In'!D:D,$C154,'Stock In'!E:E,$D154), 0)</f>
        <v>47</v>
      </c>
      <c r="K154" s="82">
        <f t="shared" si="3"/>
        <v>4230</v>
      </c>
    </row>
    <row r="155">
      <c r="A155" s="80" t="str">
        <f>IFERROR(__xludf.DUMMYFUNCTION("""COMPUTED_VALUE"""),"Technova")</f>
        <v>Technova</v>
      </c>
      <c r="B155" s="80" t="str">
        <f>IFERROR(__xludf.DUMMYFUNCTION("""COMPUTED_VALUE"""),"PET MATT")</f>
        <v>PET MATT</v>
      </c>
      <c r="C155" s="80">
        <f>IFERROR(__xludf.DUMMYFUNCTION("""COMPUTED_VALUE"""),125.0)</f>
        <v>125</v>
      </c>
      <c r="D155" s="81">
        <f>IFERROR(__xludf.DUMMYFUNCTION("""COMPUTED_VALUE"""),220.0)</f>
        <v>220</v>
      </c>
      <c r="E155" s="82">
        <f>IFERROR(SUMIFS('Stock In'!F:F,'Stock In'!B:B,$A155,'Stock In'!C:C,$B155,'Stock In'!D:D,$C155,'Stock In'!E:E,$D155),0)</f>
        <v>1200</v>
      </c>
      <c r="F155" s="82">
        <f>IFERROR(SUMIFS(Issues!H:H, Issues!F:F, $A155, Issues!C:C, $B155, Issues!D:D, $C155, Issues!E:E, $D155), 0)</f>
        <v>0</v>
      </c>
      <c r="G155" s="82">
        <f>IFERROR(SUMIFS(Returns!H:H, Returns!F:F, $A155, Returns!C:C, $B155, Returns!D:D, $C155, Returns!E:E, $D155), 0)</f>
        <v>0</v>
      </c>
      <c r="H155" s="82">
        <f t="shared" si="1"/>
        <v>1200</v>
      </c>
      <c r="I155" s="82">
        <f t="shared" si="2"/>
        <v>264</v>
      </c>
      <c r="J155" s="82">
        <f>IFERROR( SUMIFS('Stock In'!I:I,'Stock In'!B:B,$A155,'Stock In'!C:C,$B155,'Stock In'!D:D,$C155,'Stock In'!E:E,$D155) / SUMIFS('Stock In'!H:H,'Stock In'!B:B,$A155,'Stock In'!C:C,$B155,'Stock In'!D:D,$C155,'Stock In'!E:E,$D155), 0)</f>
        <v>47</v>
      </c>
      <c r="K155" s="82">
        <f t="shared" si="3"/>
        <v>12408</v>
      </c>
    </row>
    <row r="156">
      <c r="A156" s="80" t="str">
        <f>IFERROR(__xludf.DUMMYFUNCTION("""COMPUTED_VALUE"""),"UPM")</f>
        <v>UPM</v>
      </c>
      <c r="B156" s="80" t="str">
        <f>IFERROR(__xludf.DUMMYFUNCTION("""COMPUTED_VALUE"""),"Chromo")</f>
        <v>Chromo</v>
      </c>
      <c r="C156" s="80">
        <f>IFERROR(__xludf.DUMMYFUNCTION("""COMPUTED_VALUE"""),80.0)</f>
        <v>80</v>
      </c>
      <c r="D156" s="81">
        <f>IFERROR(__xludf.DUMMYFUNCTION("""COMPUTED_VALUE"""),290.0)</f>
        <v>290</v>
      </c>
      <c r="E156" s="82">
        <f>IFERROR(SUMIFS('Stock In'!F:F,'Stock In'!B:B,$A156,'Stock In'!C:C,$B156,'Stock In'!D:D,$C156,'Stock In'!E:E,$D156),0)</f>
        <v>20000</v>
      </c>
      <c r="F156" s="82">
        <f>IFERROR(SUMIFS(Issues!H:H, Issues!F:F, $A156, Issues!C:C, $B156, Issues!D:D, $C156, Issues!E:E, $D156), 0)</f>
        <v>0</v>
      </c>
      <c r="G156" s="82">
        <f>IFERROR(SUMIFS(Returns!H:H, Returns!F:F, $A156, Returns!C:C, $B156, Returns!D:D, $C156, Returns!E:E, $D156), 0)</f>
        <v>0</v>
      </c>
      <c r="H156" s="82">
        <f t="shared" si="1"/>
        <v>20000</v>
      </c>
      <c r="I156" s="82">
        <f t="shared" si="2"/>
        <v>5800</v>
      </c>
      <c r="J156" s="82">
        <f>IFERROR( SUMIFS('Stock In'!I:I,'Stock In'!B:B,$A156,'Stock In'!C:C,$B156,'Stock In'!D:D,$C156,'Stock In'!E:E,$D156) / SUMIFS('Stock In'!H:H,'Stock In'!B:B,$A156,'Stock In'!C:C,$B156,'Stock In'!D:D,$C156,'Stock In'!E:E,$D156), 0)</f>
        <v>32.9</v>
      </c>
      <c r="K156" s="82">
        <f t="shared" si="3"/>
        <v>190820</v>
      </c>
    </row>
    <row r="157">
      <c r="A157" s="80" t="str">
        <f>IFERROR(__xludf.DUMMYFUNCTION("""COMPUTED_VALUE"""),"UPM")</f>
        <v>UPM</v>
      </c>
      <c r="B157" s="80" t="str">
        <f>IFERROR(__xludf.DUMMYFUNCTION("""COMPUTED_VALUE"""),"clear on clear")</f>
        <v>clear on clear</v>
      </c>
      <c r="C157" s="80">
        <f>IFERROR(__xludf.DUMMYFUNCTION("""COMPUTED_VALUE"""),50.0)</f>
        <v>50</v>
      </c>
      <c r="D157" s="81">
        <f>IFERROR(__xludf.DUMMYFUNCTION("""COMPUTED_VALUE"""),335.0)</f>
        <v>335</v>
      </c>
      <c r="E157" s="82">
        <f>IFERROR(SUMIFS('Stock In'!F:F,'Stock In'!B:B,$A157,'Stock In'!C:C,$B157,'Stock In'!D:D,$C157,'Stock In'!E:E,$D157),0)</f>
        <v>3051</v>
      </c>
      <c r="F157" s="82">
        <f>IFERROR(SUMIFS(Issues!H:H, Issues!F:F, $A157, Issues!C:C, $B157, Issues!D:D, $C157, Issues!E:E, $D157), 0)</f>
        <v>0</v>
      </c>
      <c r="G157" s="82">
        <f>IFERROR(SUMIFS(Returns!H:H, Returns!F:F, $A157, Returns!C:C, $B157, Returns!D:D, $C157, Returns!E:E, $D157), 0)</f>
        <v>0</v>
      </c>
      <c r="H157" s="82">
        <f t="shared" si="1"/>
        <v>3051</v>
      </c>
      <c r="I157" s="82">
        <f t="shared" si="2"/>
        <v>1022.085</v>
      </c>
      <c r="J157" s="82">
        <f>IFERROR( SUMIFS('Stock In'!I:I,'Stock In'!B:B,$A157,'Stock In'!C:C,$B157,'Stock In'!D:D,$C157,'Stock In'!E:E,$D157) / SUMIFS('Stock In'!H:H,'Stock In'!B:B,$A157,'Stock In'!C:C,$B157,'Stock In'!D:D,$C157,'Stock In'!E:E,$D157), 0)</f>
        <v>48</v>
      </c>
      <c r="K157" s="82">
        <f t="shared" si="3"/>
        <v>49060.08</v>
      </c>
    </row>
    <row r="158">
      <c r="A158" s="80" t="str">
        <f>IFERROR(__xludf.DUMMYFUNCTION("""COMPUTED_VALUE"""),"UPM")</f>
        <v>UPM</v>
      </c>
      <c r="B158" s="80" t="str">
        <f>IFERROR(__xludf.DUMMYFUNCTION("""COMPUTED_VALUE"""),"PE CLEAR")</f>
        <v>PE CLEAR</v>
      </c>
      <c r="C158" s="80">
        <f>IFERROR(__xludf.DUMMYFUNCTION("""COMPUTED_VALUE"""),50.0)</f>
        <v>50</v>
      </c>
      <c r="D158" s="81">
        <f>IFERROR(__xludf.DUMMYFUNCTION("""COMPUTED_VALUE"""),265.0)</f>
        <v>265</v>
      </c>
      <c r="E158" s="82">
        <f>IFERROR(SUMIFS('Stock In'!F:F,'Stock In'!B:B,$A158,'Stock In'!C:C,$B158,'Stock In'!D:D,$C158,'Stock In'!E:E,$D158),0)</f>
        <v>1500</v>
      </c>
      <c r="F158" s="82">
        <f>IFERROR(SUMIFS(Issues!H:H, Issues!F:F, $A158, Issues!C:C, $B158, Issues!D:D, $C158, Issues!E:E, $D158), 0)</f>
        <v>0</v>
      </c>
      <c r="G158" s="82">
        <f>IFERROR(SUMIFS(Returns!H:H, Returns!F:F, $A158, Returns!C:C, $B158, Returns!D:D, $C158, Returns!E:E, $D158), 0)</f>
        <v>0</v>
      </c>
      <c r="H158" s="82">
        <f t="shared" si="1"/>
        <v>1500</v>
      </c>
      <c r="I158" s="82">
        <f t="shared" si="2"/>
        <v>397.5</v>
      </c>
      <c r="J158" s="82">
        <f>IFERROR( SUMIFS('Stock In'!I:I,'Stock In'!B:B,$A158,'Stock In'!C:C,$B158,'Stock In'!D:D,$C158,'Stock In'!E:E,$D158) / SUMIFS('Stock In'!H:H,'Stock In'!B:B,$A158,'Stock In'!C:C,$B158,'Stock In'!D:D,$C158,'Stock In'!E:E,$D158), 0)</f>
        <v>48</v>
      </c>
      <c r="K158" s="82">
        <f t="shared" si="3"/>
        <v>19080</v>
      </c>
    </row>
    <row r="159">
      <c r="A159" s="80" t="str">
        <f>IFERROR(__xludf.DUMMYFUNCTION("""COMPUTED_VALUE"""),"UPM")</f>
        <v>UPM</v>
      </c>
      <c r="B159" s="80" t="str">
        <f>IFERROR(__xludf.DUMMYFUNCTION("""COMPUTED_VALUE"""),"PE CLEAR")</f>
        <v>PE CLEAR</v>
      </c>
      <c r="C159" s="80">
        <f>IFERROR(__xludf.DUMMYFUNCTION("""COMPUTED_VALUE"""),50.0)</f>
        <v>50</v>
      </c>
      <c r="D159" s="81">
        <f>IFERROR(__xludf.DUMMYFUNCTION("""COMPUTED_VALUE"""),266.0)</f>
        <v>266</v>
      </c>
      <c r="E159" s="82">
        <f>IFERROR(SUMIFS('Stock In'!F:F,'Stock In'!B:B,$A159,'Stock In'!C:C,$B159,'Stock In'!D:D,$C159,'Stock In'!E:E,$D159),0)</f>
        <v>4000</v>
      </c>
      <c r="F159" s="82">
        <f>IFERROR(SUMIFS(Issues!H:H, Issues!F:F, $A159, Issues!C:C, $B159, Issues!D:D, $C159, Issues!E:E, $D159), 0)</f>
        <v>0</v>
      </c>
      <c r="G159" s="82">
        <f>IFERROR(SUMIFS(Returns!H:H, Returns!F:F, $A159, Returns!C:C, $B159, Returns!D:D, $C159, Returns!E:E, $D159), 0)</f>
        <v>0</v>
      </c>
      <c r="H159" s="82">
        <f t="shared" si="1"/>
        <v>4000</v>
      </c>
      <c r="I159" s="82">
        <f t="shared" si="2"/>
        <v>1064</v>
      </c>
      <c r="J159" s="82">
        <f>IFERROR( SUMIFS('Stock In'!I:I,'Stock In'!B:B,$A159,'Stock In'!C:C,$B159,'Stock In'!D:D,$C159,'Stock In'!E:E,$D159) / SUMIFS('Stock In'!H:H,'Stock In'!B:B,$A159,'Stock In'!C:C,$B159,'Stock In'!D:D,$C159,'Stock In'!E:E,$D159), 0)</f>
        <v>48</v>
      </c>
      <c r="K159" s="82">
        <f t="shared" si="3"/>
        <v>51072</v>
      </c>
    </row>
    <row r="160">
      <c r="A160" s="80" t="str">
        <f>IFERROR(__xludf.DUMMYFUNCTION("""COMPUTED_VALUE"""),"UPM")</f>
        <v>UPM</v>
      </c>
      <c r="B160" s="80" t="str">
        <f>IFERROR(__xludf.DUMMYFUNCTION("""COMPUTED_VALUE"""),"PP WHITE")</f>
        <v>PP WHITE</v>
      </c>
      <c r="C160" s="80">
        <f>IFERROR(__xludf.DUMMYFUNCTION("""COMPUTED_VALUE"""),50.0)</f>
        <v>50</v>
      </c>
      <c r="D160" s="81">
        <f>IFERROR(__xludf.DUMMYFUNCTION("""COMPUTED_VALUE"""),150.0)</f>
        <v>150</v>
      </c>
      <c r="E160" s="82">
        <f>IFERROR(SUMIFS('Stock In'!F:F,'Stock In'!B:B,$A160,'Stock In'!C:C,$B160,'Stock In'!D:D,$C160,'Stock In'!E:E,$D160),0)</f>
        <v>800</v>
      </c>
      <c r="F160" s="82">
        <f>IFERROR(SUMIFS(Issues!H:H, Issues!F:F, $A160, Issues!C:C, $B160, Issues!D:D, $C160, Issues!E:E, $D160), 0)</f>
        <v>0</v>
      </c>
      <c r="G160" s="82">
        <f>IFERROR(SUMIFS(Returns!H:H, Returns!F:F, $A160, Returns!C:C, $B160, Returns!D:D, $C160, Returns!E:E, $D160), 0)</f>
        <v>0</v>
      </c>
      <c r="H160" s="82">
        <f t="shared" si="1"/>
        <v>800</v>
      </c>
      <c r="I160" s="82">
        <f t="shared" si="2"/>
        <v>120</v>
      </c>
      <c r="J160" s="82">
        <f>IFERROR( SUMIFS('Stock In'!I:I,'Stock In'!B:B,$A160,'Stock In'!C:C,$B160,'Stock In'!D:D,$C160,'Stock In'!E:E,$D160) / SUMIFS('Stock In'!H:H,'Stock In'!B:B,$A160,'Stock In'!C:C,$B160,'Stock In'!D:D,$C160,'Stock In'!E:E,$D160), 0)</f>
        <v>35</v>
      </c>
      <c r="K160" s="82">
        <f t="shared" si="3"/>
        <v>4200</v>
      </c>
    </row>
    <row r="161">
      <c r="A161" s="80" t="str">
        <f>IFERROR(__xludf.DUMMYFUNCTION("""COMPUTED_VALUE"""),"UPM")</f>
        <v>UPM</v>
      </c>
      <c r="B161" s="80" t="str">
        <f>IFERROR(__xludf.DUMMYFUNCTION("""COMPUTED_VALUE"""),"PP WHITE")</f>
        <v>PP WHITE</v>
      </c>
      <c r="C161" s="80">
        <f>IFERROR(__xludf.DUMMYFUNCTION("""COMPUTED_VALUE"""),50.0)</f>
        <v>50</v>
      </c>
      <c r="D161" s="81">
        <f>IFERROR(__xludf.DUMMYFUNCTION("""COMPUTED_VALUE"""),265.0)</f>
        <v>265</v>
      </c>
      <c r="E161" s="82">
        <f>IFERROR(SUMIFS('Stock In'!F:F,'Stock In'!B:B,$A161,'Stock In'!C:C,$B161,'Stock In'!D:D,$C161,'Stock In'!E:E,$D161),0)</f>
        <v>1000</v>
      </c>
      <c r="F161" s="82">
        <f>IFERROR(SUMIFS(Issues!H:H, Issues!F:F, $A161, Issues!C:C, $B161, Issues!D:D, $C161, Issues!E:E, $D161), 0)</f>
        <v>0</v>
      </c>
      <c r="G161" s="82">
        <f>IFERROR(SUMIFS(Returns!H:H, Returns!F:F, $A161, Returns!C:C, $B161, Returns!D:D, $C161, Returns!E:E, $D161), 0)</f>
        <v>0</v>
      </c>
      <c r="H161" s="82">
        <f t="shared" si="1"/>
        <v>1000</v>
      </c>
      <c r="I161" s="82">
        <f t="shared" si="2"/>
        <v>265</v>
      </c>
      <c r="J161" s="82">
        <f>IFERROR( SUMIFS('Stock In'!I:I,'Stock In'!B:B,$A161,'Stock In'!C:C,$B161,'Stock In'!D:D,$C161,'Stock In'!E:E,$D161) / SUMIFS('Stock In'!H:H,'Stock In'!B:B,$A161,'Stock In'!C:C,$B161,'Stock In'!D:D,$C161,'Stock In'!E:E,$D161), 0)</f>
        <v>35</v>
      </c>
      <c r="K161" s="82">
        <f t="shared" si="3"/>
        <v>9275</v>
      </c>
    </row>
    <row r="162">
      <c r="A162" s="80" t="str">
        <f>IFERROR(__xludf.DUMMYFUNCTION("""COMPUTED_VALUE"""),"UPM")</f>
        <v>UPM</v>
      </c>
      <c r="B162" s="80" t="str">
        <f>IFERROR(__xludf.DUMMYFUNCTION("""COMPUTED_VALUE"""),"RAFLACOAT NXT (CHROMO PAPER)")</f>
        <v>RAFLACOAT NXT (CHROMO PAPER)</v>
      </c>
      <c r="C162" s="80">
        <f>IFERROR(__xludf.DUMMYFUNCTION("""COMPUTED_VALUE"""),70.0)</f>
        <v>70</v>
      </c>
      <c r="D162" s="81">
        <f>IFERROR(__xludf.DUMMYFUNCTION("""COMPUTED_VALUE"""),160.0)</f>
        <v>160</v>
      </c>
      <c r="E162" s="82">
        <f>IFERROR(SUMIFS('Stock In'!F:F,'Stock In'!B:B,$A162,'Stock In'!C:C,$B162,'Stock In'!D:D,$C162,'Stock In'!E:E,$D162),0)</f>
        <v>17930</v>
      </c>
      <c r="F162" s="82">
        <f>IFERROR(SUMIFS(Issues!H:H, Issues!F:F, $A162, Issues!C:C, $B162, Issues!D:D, $C162, Issues!E:E, $D162), 0)</f>
        <v>0</v>
      </c>
      <c r="G162" s="82">
        <f>IFERROR(SUMIFS(Returns!H:H, Returns!F:F, $A162, Returns!C:C, $B162, Returns!D:D, $C162, Returns!E:E, $D162), 0)</f>
        <v>0</v>
      </c>
      <c r="H162" s="82">
        <f t="shared" si="1"/>
        <v>17930</v>
      </c>
      <c r="I162" s="82">
        <f t="shared" si="2"/>
        <v>2868.8</v>
      </c>
      <c r="J162" s="82">
        <f>IFERROR( SUMIFS('Stock In'!I:I,'Stock In'!B:B,$A162,'Stock In'!C:C,$B162,'Stock In'!D:D,$C162,'Stock In'!E:E,$D162) / SUMIFS('Stock In'!H:H,'Stock In'!B:B,$A162,'Stock In'!C:C,$B162,'Stock In'!D:D,$C162,'Stock In'!E:E,$D162), 0)</f>
        <v>27.5</v>
      </c>
      <c r="K162" s="82">
        <f t="shared" si="3"/>
        <v>78892</v>
      </c>
    </row>
    <row r="163">
      <c r="A163" s="80" t="str">
        <f>IFERROR(__xludf.DUMMYFUNCTION("""COMPUTED_VALUE"""),"V - TECH")</f>
        <v>V - TECH</v>
      </c>
      <c r="B163" s="80" t="str">
        <f>IFERROR(__xludf.DUMMYFUNCTION("""COMPUTED_VALUE"""),"PP CLEAR")</f>
        <v>PP CLEAR</v>
      </c>
      <c r="C163" s="80">
        <f>IFERROR(__xludf.DUMMYFUNCTION("""COMPUTED_VALUE"""),50.0)</f>
        <v>50</v>
      </c>
      <c r="D163" s="81">
        <f>IFERROR(__xludf.DUMMYFUNCTION("""COMPUTED_VALUE"""),160.0)</f>
        <v>160</v>
      </c>
      <c r="E163" s="82">
        <f>IFERROR(SUMIFS('Stock In'!F:F,'Stock In'!B:B,$A163,'Stock In'!C:C,$B163,'Stock In'!D:D,$C163,'Stock In'!E:E,$D163),0)</f>
        <v>1900</v>
      </c>
      <c r="F163" s="82">
        <f>IFERROR(SUMIFS(Issues!H:H, Issues!F:F, $A163, Issues!C:C, $B163, Issues!D:D, $C163, Issues!E:E, $D163), 0)</f>
        <v>0</v>
      </c>
      <c r="G163" s="82">
        <f>IFERROR(SUMIFS(Returns!H:H, Returns!F:F, $A163, Returns!C:C, $B163, Returns!D:D, $C163, Returns!E:E, $D163), 0)</f>
        <v>0</v>
      </c>
      <c r="H163" s="82">
        <f t="shared" si="1"/>
        <v>1900</v>
      </c>
      <c r="I163" s="82">
        <f t="shared" si="2"/>
        <v>304</v>
      </c>
      <c r="J163" s="82">
        <f>IFERROR( SUMIFS('Stock In'!I:I,'Stock In'!B:B,$A163,'Stock In'!C:C,$B163,'Stock In'!D:D,$C163,'Stock In'!E:E,$D163) / SUMIFS('Stock In'!H:H,'Stock In'!B:B,$A163,'Stock In'!C:C,$B163,'Stock In'!D:D,$C163,'Stock In'!E:E,$D163), 0)</f>
        <v>40</v>
      </c>
      <c r="K163" s="82">
        <f t="shared" si="3"/>
        <v>12160</v>
      </c>
    </row>
    <row r="164">
      <c r="A164" s="80" t="str">
        <f>IFERROR(__xludf.DUMMYFUNCTION("""COMPUTED_VALUE"""),"V - TECH")</f>
        <v>V - TECH</v>
      </c>
      <c r="B164" s="80" t="str">
        <f>IFERROR(__xludf.DUMMYFUNCTION("""COMPUTED_VALUE"""),"PP SILVER")</f>
        <v>PP SILVER</v>
      </c>
      <c r="C164" s="80">
        <f>IFERROR(__xludf.DUMMYFUNCTION("""COMPUTED_VALUE"""),50.0)</f>
        <v>50</v>
      </c>
      <c r="D164" s="81">
        <f>IFERROR(__xludf.DUMMYFUNCTION("""COMPUTED_VALUE"""),125.0)</f>
        <v>125</v>
      </c>
      <c r="E164" s="82">
        <f>IFERROR(SUMIFS('Stock In'!F:F,'Stock In'!B:B,$A164,'Stock In'!C:C,$B164,'Stock In'!D:D,$C164,'Stock In'!E:E,$D164),0)</f>
        <v>7450</v>
      </c>
      <c r="F164" s="82">
        <f>IFERROR(SUMIFS(Issues!H:H, Issues!F:F, $A164, Issues!C:C, $B164, Issues!D:D, $C164, Issues!E:E, $D164), 0)</f>
        <v>1450</v>
      </c>
      <c r="G164" s="82">
        <f>IFERROR(SUMIFS(Returns!H:H, Returns!F:F, $A164, Returns!C:C, $B164, Returns!D:D, $C164, Returns!E:E, $D164), 0)</f>
        <v>450</v>
      </c>
      <c r="H164" s="82">
        <f t="shared" si="1"/>
        <v>6450</v>
      </c>
      <c r="I164" s="82">
        <f t="shared" si="2"/>
        <v>806.25</v>
      </c>
      <c r="J164" s="82">
        <f>IFERROR( SUMIFS('Stock In'!I:I,'Stock In'!B:B,$A164,'Stock In'!C:C,$B164,'Stock In'!D:D,$C164,'Stock In'!E:E,$D164) / SUMIFS('Stock In'!H:H,'Stock In'!B:B,$A164,'Stock In'!C:C,$B164,'Stock In'!D:D,$C164,'Stock In'!E:E,$D164), 0)</f>
        <v>34</v>
      </c>
      <c r="K164" s="82">
        <f t="shared" si="3"/>
        <v>27412.5</v>
      </c>
    </row>
    <row r="165">
      <c r="A165" s="80" t="str">
        <f>IFERROR(__xludf.DUMMYFUNCTION("""COMPUTED_VALUE"""),"V - TECH")</f>
        <v>V - TECH</v>
      </c>
      <c r="B165" s="80" t="str">
        <f>IFERROR(__xludf.DUMMYFUNCTION("""COMPUTED_VALUE"""),"PP SILVER")</f>
        <v>PP SILVER</v>
      </c>
      <c r="C165" s="80">
        <f>IFERROR(__xludf.DUMMYFUNCTION("""COMPUTED_VALUE"""),50.0)</f>
        <v>50</v>
      </c>
      <c r="D165" s="81">
        <f>IFERROR(__xludf.DUMMYFUNCTION("""COMPUTED_VALUE"""),150.0)</f>
        <v>150</v>
      </c>
      <c r="E165" s="82">
        <f>IFERROR(SUMIFS('Stock In'!F:F,'Stock In'!B:B,$A165,'Stock In'!C:C,$B165,'Stock In'!D:D,$C165,'Stock In'!E:E,$D165),0)</f>
        <v>200</v>
      </c>
      <c r="F165" s="82">
        <f>IFERROR(SUMIFS(Issues!H:H, Issues!F:F, $A165, Issues!C:C, $B165, Issues!D:D, $C165, Issues!E:E, $D165), 0)</f>
        <v>0</v>
      </c>
      <c r="G165" s="82">
        <f>IFERROR(SUMIFS(Returns!H:H, Returns!F:F, $A165, Returns!C:C, $B165, Returns!D:D, $C165, Returns!E:E, $D165), 0)</f>
        <v>0</v>
      </c>
      <c r="H165" s="82">
        <f t="shared" si="1"/>
        <v>200</v>
      </c>
      <c r="I165" s="82">
        <f t="shared" si="2"/>
        <v>30</v>
      </c>
      <c r="J165" s="82">
        <f>IFERROR( SUMIFS('Stock In'!I:I,'Stock In'!B:B,$A165,'Stock In'!C:C,$B165,'Stock In'!D:D,$C165,'Stock In'!E:E,$D165) / SUMIFS('Stock In'!H:H,'Stock In'!B:B,$A165,'Stock In'!C:C,$B165,'Stock In'!D:D,$C165,'Stock In'!E:E,$D165), 0)</f>
        <v>34</v>
      </c>
      <c r="K165" s="82">
        <f t="shared" si="3"/>
        <v>1020</v>
      </c>
    </row>
    <row r="166">
      <c r="A166" s="80" t="str">
        <f>IFERROR(__xludf.DUMMYFUNCTION("""COMPUTED_VALUE"""),"V - TECH")</f>
        <v>V - TECH</v>
      </c>
      <c r="B166" s="80" t="str">
        <f>IFERROR(__xludf.DUMMYFUNCTION("""COMPUTED_VALUE"""),"PP WHITE")</f>
        <v>PP WHITE</v>
      </c>
      <c r="C166" s="80">
        <f>IFERROR(__xludf.DUMMYFUNCTION("""COMPUTED_VALUE"""),50.0)</f>
        <v>50</v>
      </c>
      <c r="D166" s="81">
        <f>IFERROR(__xludf.DUMMYFUNCTION("""COMPUTED_VALUE"""),135.0)</f>
        <v>135</v>
      </c>
      <c r="E166" s="82">
        <f>IFERROR(SUMIFS('Stock In'!F:F,'Stock In'!B:B,$A166,'Stock In'!C:C,$B166,'Stock In'!D:D,$C166,'Stock In'!E:E,$D166),0)</f>
        <v>2070</v>
      </c>
      <c r="F166" s="82">
        <f>IFERROR(SUMIFS(Issues!H:H, Issues!F:F, $A166, Issues!C:C, $B166, Issues!D:D, $C166, Issues!E:E, $D166), 0)</f>
        <v>3845</v>
      </c>
      <c r="G166" s="82">
        <f>IFERROR(SUMIFS(Returns!H:H, Returns!F:F, $A166, Returns!C:C, $B166, Returns!D:D, $C166, Returns!E:E, $D166), 0)</f>
        <v>2495</v>
      </c>
      <c r="H166" s="82">
        <f t="shared" si="1"/>
        <v>720</v>
      </c>
      <c r="I166" s="82">
        <f t="shared" si="2"/>
        <v>97.2</v>
      </c>
      <c r="J166" s="82">
        <f>IFERROR( SUMIFS('Stock In'!I:I,'Stock In'!B:B,$A166,'Stock In'!C:C,$B166,'Stock In'!D:D,$C166,'Stock In'!E:E,$D166) / SUMIFS('Stock In'!H:H,'Stock In'!B:B,$A166,'Stock In'!C:C,$B166,'Stock In'!D:D,$C166,'Stock In'!E:E,$D166), 0)</f>
        <v>34</v>
      </c>
      <c r="K166" s="82">
        <f t="shared" si="3"/>
        <v>3304.8</v>
      </c>
    </row>
    <row r="167">
      <c r="A167" s="80" t="str">
        <f>IFERROR(__xludf.DUMMYFUNCTION("""COMPUTED_VALUE"""),"Verifys")</f>
        <v>Verifys</v>
      </c>
      <c r="B167" s="80" t="str">
        <f>IFERROR(__xludf.DUMMYFUNCTION("""COMPUTED_VALUE"""),"SGL Hologram ")</f>
        <v>SGL Hologram </v>
      </c>
      <c r="C167" s="80">
        <f>IFERROR(__xludf.DUMMYFUNCTION("""COMPUTED_VALUE"""),23.0)</f>
        <v>23</v>
      </c>
      <c r="D167" s="81">
        <f>IFERROR(__xludf.DUMMYFUNCTION("""COMPUTED_VALUE"""),13.0)</f>
        <v>13</v>
      </c>
      <c r="E167" s="82">
        <f>IFERROR(SUMIFS('Stock In'!F:F,'Stock In'!B:B,$A167,'Stock In'!C:C,$B167,'Stock In'!D:D,$C167,'Stock In'!E:E,$D167),0)</f>
        <v>1530</v>
      </c>
      <c r="F167" s="82">
        <f>IFERROR(SUMIFS(Issues!H:H, Issues!F:F, $A167, Issues!C:C, $B167, Issues!D:D, $C167, Issues!E:E, $D167), 0)</f>
        <v>0</v>
      </c>
      <c r="G167" s="82">
        <f>IFERROR(SUMIFS(Returns!H:H, Returns!F:F, $A167, Returns!C:C, $B167, Returns!D:D, $C167, Returns!E:E, $D167), 0)</f>
        <v>0</v>
      </c>
      <c r="H167" s="82">
        <f t="shared" si="1"/>
        <v>1530</v>
      </c>
      <c r="I167" s="82">
        <f t="shared" si="2"/>
        <v>19.89</v>
      </c>
      <c r="J167" s="82">
        <f>IFERROR( SUMIFS('Stock In'!I:I,'Stock In'!B:B,$A167,'Stock In'!C:C,$B167,'Stock In'!D:D,$C167,'Stock In'!E:E,$D167) / SUMIFS('Stock In'!H:H,'Stock In'!B:B,$A167,'Stock In'!C:C,$B167,'Stock In'!D:D,$C167,'Stock In'!E:E,$D167), 0)</f>
        <v>226</v>
      </c>
      <c r="K167" s="82">
        <f t="shared" si="3"/>
        <v>4495.14</v>
      </c>
    </row>
    <row r="168">
      <c r="A168" s="80" t="str">
        <f>IFERROR(__xludf.DUMMYFUNCTION("""COMPUTED_VALUE"""),"Verifys")</f>
        <v>Verifys</v>
      </c>
      <c r="B168" s="80" t="str">
        <f>IFERROR(__xludf.DUMMYFUNCTION("""COMPUTED_VALUE"""),"SGL Hologram ")</f>
        <v>SGL Hologram </v>
      </c>
      <c r="C168" s="80">
        <f>IFERROR(__xludf.DUMMYFUNCTION("""COMPUTED_VALUE"""),23.0)</f>
        <v>23</v>
      </c>
      <c r="D168" s="81">
        <f>IFERROR(__xludf.DUMMYFUNCTION("""COMPUTED_VALUE"""),20.0)</f>
        <v>20</v>
      </c>
      <c r="E168" s="82">
        <f>IFERROR(SUMIFS('Stock In'!F:F,'Stock In'!B:B,$A168,'Stock In'!C:C,$B168,'Stock In'!D:D,$C168,'Stock In'!E:E,$D168),0)</f>
        <v>920</v>
      </c>
      <c r="F168" s="82">
        <f>IFERROR(SUMIFS(Issues!H:H, Issues!F:F, $A168, Issues!C:C, $B168, Issues!D:D, $C168, Issues!E:E, $D168), 0)</f>
        <v>0</v>
      </c>
      <c r="G168" s="82">
        <f>IFERROR(SUMIFS(Returns!H:H, Returns!F:F, $A168, Returns!C:C, $B168, Returns!D:D, $C168, Returns!E:E, $D168), 0)</f>
        <v>0</v>
      </c>
      <c r="H168" s="82">
        <f t="shared" si="1"/>
        <v>920</v>
      </c>
      <c r="I168" s="82">
        <f t="shared" si="2"/>
        <v>18.4</v>
      </c>
      <c r="J168" s="82">
        <f>IFERROR( SUMIFS('Stock In'!I:I,'Stock In'!B:B,$A168,'Stock In'!C:C,$B168,'Stock In'!D:D,$C168,'Stock In'!E:E,$D168) / SUMIFS('Stock In'!H:H,'Stock In'!B:B,$A168,'Stock In'!C:C,$B168,'Stock In'!D:D,$C168,'Stock In'!E:E,$D168), 0)</f>
        <v>280</v>
      </c>
      <c r="K168" s="82">
        <f t="shared" si="3"/>
        <v>5152</v>
      </c>
    </row>
    <row r="169">
      <c r="A169" s="80" t="str">
        <f>IFERROR(__xludf.DUMMYFUNCTION("""COMPUTED_VALUE"""),"Zalak")</f>
        <v>Zalak</v>
      </c>
      <c r="B169" s="80" t="str">
        <f>IFERROR(__xludf.DUMMYFUNCTION("""COMPUTED_VALUE"""),"Chromo")</f>
        <v>Chromo</v>
      </c>
      <c r="C169" s="80">
        <f>IFERROR(__xludf.DUMMYFUNCTION("""COMPUTED_VALUE"""),80.0)</f>
        <v>80</v>
      </c>
      <c r="D169" s="81">
        <f>IFERROR(__xludf.DUMMYFUNCTION("""COMPUTED_VALUE"""),195.0)</f>
        <v>195</v>
      </c>
      <c r="E169" s="82">
        <f>IFERROR(SUMIFS('Stock In'!F:F,'Stock In'!B:B,$A169,'Stock In'!C:C,$B169,'Stock In'!D:D,$C169,'Stock In'!E:E,$D169),0)</f>
        <v>180</v>
      </c>
      <c r="F169" s="82">
        <f>IFERROR(SUMIFS(Issues!H:H, Issues!F:F, $A169, Issues!C:C, $B169, Issues!D:D, $C169, Issues!E:E, $D169), 0)</f>
        <v>0</v>
      </c>
      <c r="G169" s="82">
        <f>IFERROR(SUMIFS(Returns!H:H, Returns!F:F, $A169, Returns!C:C, $B169, Returns!D:D, $C169, Returns!E:E, $D169), 0)</f>
        <v>0</v>
      </c>
      <c r="H169" s="82">
        <f t="shared" si="1"/>
        <v>180</v>
      </c>
      <c r="I169" s="82">
        <f t="shared" si="2"/>
        <v>35.1</v>
      </c>
      <c r="J169" s="82">
        <f>IFERROR( SUMIFS('Stock In'!I:I,'Stock In'!B:B,$A169,'Stock In'!C:C,$B169,'Stock In'!D:D,$C169,'Stock In'!E:E,$D169) / SUMIFS('Stock In'!H:H,'Stock In'!B:B,$A169,'Stock In'!C:C,$B169,'Stock In'!D:D,$C169,'Stock In'!E:E,$D169), 0)</f>
        <v>26.25</v>
      </c>
      <c r="K169" s="82">
        <f t="shared" si="3"/>
        <v>921.375</v>
      </c>
    </row>
    <row r="170">
      <c r="A170" s="80" t="str">
        <f>IFERROR(__xludf.DUMMYFUNCTION("""COMPUTED_VALUE"""),"Zalak")</f>
        <v>Zalak</v>
      </c>
      <c r="B170" s="80" t="str">
        <f>IFERROR(__xludf.DUMMYFUNCTION("""COMPUTED_VALUE"""),"Chromo")</f>
        <v>Chromo</v>
      </c>
      <c r="C170" s="80">
        <f>IFERROR(__xludf.DUMMYFUNCTION("""COMPUTED_VALUE"""),80.0)</f>
        <v>80</v>
      </c>
      <c r="D170" s="81">
        <f>IFERROR(__xludf.DUMMYFUNCTION("""COMPUTED_VALUE"""),220.0)</f>
        <v>220</v>
      </c>
      <c r="E170" s="82">
        <f>IFERROR(SUMIFS('Stock In'!F:F,'Stock In'!B:B,$A170,'Stock In'!C:C,$B170,'Stock In'!D:D,$C170,'Stock In'!E:E,$D170),0)</f>
        <v>2000</v>
      </c>
      <c r="F170" s="82">
        <f>IFERROR(SUMIFS(Issues!H:H, Issues!F:F, $A170, Issues!C:C, $B170, Issues!D:D, $C170, Issues!E:E, $D170), 0)</f>
        <v>0</v>
      </c>
      <c r="G170" s="82">
        <f>IFERROR(SUMIFS(Returns!H:H, Returns!F:F, $A170, Returns!C:C, $B170, Returns!D:D, $C170, Returns!E:E, $D170), 0)</f>
        <v>0</v>
      </c>
      <c r="H170" s="82">
        <f t="shared" si="1"/>
        <v>2000</v>
      </c>
      <c r="I170" s="82">
        <f t="shared" si="2"/>
        <v>440</v>
      </c>
      <c r="J170" s="82">
        <f>IFERROR( SUMIFS('Stock In'!I:I,'Stock In'!B:B,$A170,'Stock In'!C:C,$B170,'Stock In'!D:D,$C170,'Stock In'!E:E,$D170) / SUMIFS('Stock In'!H:H,'Stock In'!B:B,$A170,'Stock In'!C:C,$B170,'Stock In'!D:D,$C170,'Stock In'!E:E,$D170), 0)</f>
        <v>26.25</v>
      </c>
      <c r="K170" s="82">
        <f t="shared" si="3"/>
        <v>11550</v>
      </c>
    </row>
    <row r="171">
      <c r="A171" s="80" t="str">
        <f>IFERROR(__xludf.DUMMYFUNCTION("""COMPUTED_VALUE"""),"Zalak")</f>
        <v>Zalak</v>
      </c>
      <c r="B171" s="80" t="str">
        <f>IFERROR(__xludf.DUMMYFUNCTION("""COMPUTED_VALUE"""),"Chromo")</f>
        <v>Chromo</v>
      </c>
      <c r="C171" s="80">
        <f>IFERROR(__xludf.DUMMYFUNCTION("""COMPUTED_VALUE"""),80.0)</f>
        <v>80</v>
      </c>
      <c r="D171" s="81">
        <f>IFERROR(__xludf.DUMMYFUNCTION("""COMPUTED_VALUE"""),230.0)</f>
        <v>230</v>
      </c>
      <c r="E171" s="82">
        <f>IFERROR(SUMIFS('Stock In'!F:F,'Stock In'!B:B,$A171,'Stock In'!C:C,$B171,'Stock In'!D:D,$C171,'Stock In'!E:E,$D171),0)</f>
        <v>2000</v>
      </c>
      <c r="F171" s="82">
        <f>IFERROR(SUMIFS(Issues!H:H, Issues!F:F, $A171, Issues!C:C, $B171, Issues!D:D, $C171, Issues!E:E, $D171), 0)</f>
        <v>0</v>
      </c>
      <c r="G171" s="82">
        <f>IFERROR(SUMIFS(Returns!H:H, Returns!F:F, $A171, Returns!C:C, $B171, Returns!D:D, $C171, Returns!E:E, $D171), 0)</f>
        <v>0</v>
      </c>
      <c r="H171" s="82">
        <f t="shared" si="1"/>
        <v>2000</v>
      </c>
      <c r="I171" s="82">
        <f t="shared" si="2"/>
        <v>460</v>
      </c>
      <c r="J171" s="82">
        <f>IFERROR( SUMIFS('Stock In'!I:I,'Stock In'!B:B,$A171,'Stock In'!C:C,$B171,'Stock In'!D:D,$C171,'Stock In'!E:E,$D171) / SUMIFS('Stock In'!H:H,'Stock In'!B:B,$A171,'Stock In'!C:C,$B171,'Stock In'!D:D,$C171,'Stock In'!E:E,$D171), 0)</f>
        <v>26.25</v>
      </c>
      <c r="K171" s="82">
        <f t="shared" si="3"/>
        <v>12075</v>
      </c>
    </row>
    <row r="172">
      <c r="A172" s="80" t="str">
        <f>IFERROR(__xludf.DUMMYFUNCTION("""COMPUTED_VALUE"""),"Zalak")</f>
        <v>Zalak</v>
      </c>
      <c r="B172" s="80" t="str">
        <f>IFERROR(__xludf.DUMMYFUNCTION("""COMPUTED_VALUE"""),"Chromo")</f>
        <v>Chromo</v>
      </c>
      <c r="C172" s="80">
        <f>IFERROR(__xludf.DUMMYFUNCTION("""COMPUTED_VALUE"""),80.0)</f>
        <v>80</v>
      </c>
      <c r="D172" s="81">
        <f>IFERROR(__xludf.DUMMYFUNCTION("""COMPUTED_VALUE"""),260.0)</f>
        <v>260</v>
      </c>
      <c r="E172" s="82">
        <f>IFERROR(SUMIFS('Stock In'!F:F,'Stock In'!B:B,$A172,'Stock In'!C:C,$B172,'Stock In'!D:D,$C172,'Stock In'!E:E,$D172),0)</f>
        <v>350</v>
      </c>
      <c r="F172" s="82">
        <f>IFERROR(SUMIFS(Issues!H:H, Issues!F:F, $A172, Issues!C:C, $B172, Issues!D:D, $C172, Issues!E:E, $D172), 0)</f>
        <v>0</v>
      </c>
      <c r="G172" s="82">
        <f>IFERROR(SUMIFS(Returns!H:H, Returns!F:F, $A172, Returns!C:C, $B172, Returns!D:D, $C172, Returns!E:E, $D172), 0)</f>
        <v>0</v>
      </c>
      <c r="H172" s="82">
        <f t="shared" si="1"/>
        <v>350</v>
      </c>
      <c r="I172" s="82">
        <f t="shared" si="2"/>
        <v>91</v>
      </c>
      <c r="J172" s="82">
        <f>IFERROR( SUMIFS('Stock In'!I:I,'Stock In'!B:B,$A172,'Stock In'!C:C,$B172,'Stock In'!D:D,$C172,'Stock In'!E:E,$D172) / SUMIFS('Stock In'!H:H,'Stock In'!B:B,$A172,'Stock In'!C:C,$B172,'Stock In'!D:D,$C172,'Stock In'!E:E,$D172), 0)</f>
        <v>26.25</v>
      </c>
      <c r="K172" s="82">
        <f t="shared" si="3"/>
        <v>2388.75</v>
      </c>
    </row>
    <row r="173">
      <c r="A173" s="80" t="str">
        <f>IFERROR(__xludf.DUMMYFUNCTION("""COMPUTED_VALUE"""),"Zalak")</f>
        <v>Zalak</v>
      </c>
      <c r="B173" s="80" t="str">
        <f>IFERROR(__xludf.DUMMYFUNCTION("""COMPUTED_VALUE"""),"PP WHITE MATT")</f>
        <v>PP WHITE MATT</v>
      </c>
      <c r="C173" s="80">
        <f>IFERROR(__xludf.DUMMYFUNCTION("""COMPUTED_VALUE"""),50.0)</f>
        <v>50</v>
      </c>
      <c r="D173" s="81">
        <f>IFERROR(__xludf.DUMMYFUNCTION("""COMPUTED_VALUE"""),200.0)</f>
        <v>200</v>
      </c>
      <c r="E173" s="82">
        <f>IFERROR(SUMIFS('Stock In'!F:F,'Stock In'!B:B,$A173,'Stock In'!C:C,$B173,'Stock In'!D:D,$C173,'Stock In'!E:E,$D173),0)</f>
        <v>1500</v>
      </c>
      <c r="F173" s="82">
        <f>IFERROR(SUMIFS(Issues!H:H, Issues!F:F, $A173, Issues!C:C, $B173, Issues!D:D, $C173, Issues!E:E, $D173), 0)</f>
        <v>0</v>
      </c>
      <c r="G173" s="82">
        <f>IFERROR(SUMIFS(Returns!H:H, Returns!F:F, $A173, Returns!C:C, $B173, Returns!D:D, $C173, Returns!E:E, $D173), 0)</f>
        <v>0</v>
      </c>
      <c r="H173" s="82">
        <f t="shared" si="1"/>
        <v>1500</v>
      </c>
      <c r="I173" s="82">
        <f t="shared" si="2"/>
        <v>300</v>
      </c>
      <c r="J173" s="82">
        <f>IFERROR( SUMIFS('Stock In'!I:I,'Stock In'!B:B,$A173,'Stock In'!C:C,$B173,'Stock In'!D:D,$C173,'Stock In'!E:E,$D173) / SUMIFS('Stock In'!H:H,'Stock In'!B:B,$A173,'Stock In'!C:C,$B173,'Stock In'!D:D,$C173,'Stock In'!E:E,$D173), 0)</f>
        <v>34.5</v>
      </c>
      <c r="K173" s="82">
        <f t="shared" si="3"/>
        <v>10350</v>
      </c>
    </row>
    <row r="174">
      <c r="A174" s="80"/>
      <c r="B174" s="80"/>
      <c r="C174" s="80"/>
      <c r="D174" s="80"/>
      <c r="E174" s="82">
        <f>IFERROR(SUMIFS('Stock In'!F:F,'Stock In'!B:B,$A174,'Stock In'!C:C,$B174,'Stock In'!D:D,$C174,'Stock In'!E:E,$D174),0)</f>
        <v>0</v>
      </c>
      <c r="F174" s="82">
        <f>IFERROR(SUMIFS(Issues!H:H, Issues!F:F, $A174, Issues!C:C, $B174, Issues!D:D, $C174, Issues!E:E, $D174), 0)</f>
        <v>0</v>
      </c>
      <c r="G174" s="82">
        <f>IFERROR(SUMIFS(Returns!H:H, Returns!F:F, $A174, Returns!C:C, $B174, Returns!D:D, $C174, Returns!E:E, $D174), 0)</f>
        <v>0</v>
      </c>
      <c r="H174" s="82">
        <f t="shared" si="1"/>
        <v>0</v>
      </c>
      <c r="I174" s="82">
        <f t="shared" si="2"/>
        <v>0</v>
      </c>
      <c r="J174" s="82">
        <f>IFERROR( SUMIFS('Stock In'!I:I,'Stock In'!B:B,$A174,'Stock In'!C:C,$B174,'Stock In'!D:D,$C174,'Stock In'!E:E,$D174) / SUMIFS('Stock In'!H:H,'Stock In'!B:B,$A174,'Stock In'!C:C,$B174,'Stock In'!D:D,$C174,'Stock In'!E:E,$D174), 0)</f>
        <v>0</v>
      </c>
      <c r="K174" s="82">
        <f t="shared" si="3"/>
        <v>0</v>
      </c>
    </row>
    <row r="175">
      <c r="A175" s="80"/>
      <c r="B175" s="80"/>
      <c r="C175" s="80"/>
      <c r="D175" s="80"/>
      <c r="E175" s="82">
        <f>IFERROR(SUMIFS('Stock In'!F:F,'Stock In'!B:B,$A175,'Stock In'!C:C,$B175,'Stock In'!D:D,$C175,'Stock In'!E:E,$D175),0)</f>
        <v>0</v>
      </c>
      <c r="F175" s="82">
        <f>IFERROR(SUMIFS(Issues!H:H, Issues!F:F, $A175, Issues!C:C, $B175, Issues!D:D, $C175, Issues!E:E, $D175), 0)</f>
        <v>0</v>
      </c>
      <c r="G175" s="82">
        <f>IFERROR(SUMIFS(Returns!H:H, Returns!F:F, $A175, Returns!C:C, $B175, Returns!D:D, $C175, Returns!E:E, $D175), 0)</f>
        <v>0</v>
      </c>
      <c r="H175" s="82">
        <f t="shared" si="1"/>
        <v>0</v>
      </c>
      <c r="I175" s="82">
        <f t="shared" si="2"/>
        <v>0</v>
      </c>
      <c r="J175" s="82">
        <f>IFERROR( SUMIFS('Stock In'!I:I,'Stock In'!B:B,$A175,'Stock In'!C:C,$B175,'Stock In'!D:D,$C175,'Stock In'!E:E,$D175) / SUMIFS('Stock In'!H:H,'Stock In'!B:B,$A175,'Stock In'!C:C,$B175,'Stock In'!D:D,$C175,'Stock In'!E:E,$D175), 0)</f>
        <v>0</v>
      </c>
      <c r="K175" s="82">
        <f t="shared" si="3"/>
        <v>0</v>
      </c>
    </row>
    <row r="176">
      <c r="A176" s="80"/>
      <c r="B176" s="80"/>
      <c r="C176" s="80"/>
      <c r="D176" s="80"/>
      <c r="E176" s="82">
        <f>IFERROR(SUMIFS('Stock In'!F:F,'Stock In'!B:B,$A176,'Stock In'!C:C,$B176,'Stock In'!D:D,$C176,'Stock In'!E:E,$D176),0)</f>
        <v>0</v>
      </c>
      <c r="F176" s="82">
        <f>IFERROR(SUMIFS(Issues!H:H, Issues!F:F, $A176, Issues!C:C, $B176, Issues!D:D, $C176, Issues!E:E, $D176), 0)</f>
        <v>0</v>
      </c>
      <c r="G176" s="82">
        <f>IFERROR(SUMIFS(Returns!H:H, Returns!F:F, $A176, Returns!C:C, $B176, Returns!D:D, $C176, Returns!E:E, $D176), 0)</f>
        <v>0</v>
      </c>
      <c r="H176" s="82">
        <f t="shared" si="1"/>
        <v>0</v>
      </c>
      <c r="I176" s="82">
        <f t="shared" si="2"/>
        <v>0</v>
      </c>
      <c r="J176" s="82">
        <f>IFERROR( SUMIFS('Stock In'!I:I,'Stock In'!B:B,$A176,'Stock In'!C:C,$B176,'Stock In'!D:D,$C176,'Stock In'!E:E,$D176) / SUMIFS('Stock In'!H:H,'Stock In'!B:B,$A176,'Stock In'!C:C,$B176,'Stock In'!D:D,$C176,'Stock In'!E:E,$D176), 0)</f>
        <v>0</v>
      </c>
      <c r="K176" s="82">
        <f t="shared" si="3"/>
        <v>0</v>
      </c>
    </row>
    <row r="177">
      <c r="A177" s="80"/>
      <c r="B177" s="80"/>
      <c r="C177" s="80"/>
      <c r="D177" s="80"/>
      <c r="E177" s="82">
        <f>IFERROR(SUMIFS('Stock In'!F:F,'Stock In'!B:B,$A177,'Stock In'!C:C,$B177,'Stock In'!D:D,$C177,'Stock In'!E:E,$D177),0)</f>
        <v>0</v>
      </c>
      <c r="F177" s="82">
        <f>IFERROR(SUMIFS(Issues!H:H, Issues!F:F, $A177, Issues!C:C, $B177, Issues!D:D, $C177, Issues!E:E, $D177), 0)</f>
        <v>0</v>
      </c>
      <c r="G177" s="82">
        <f>IFERROR(SUMIFS(Returns!H:H, Returns!F:F, $A177, Returns!C:C, $B177, Returns!D:D, $C177, Returns!E:E, $D177), 0)</f>
        <v>0</v>
      </c>
      <c r="H177" s="82">
        <f t="shared" si="1"/>
        <v>0</v>
      </c>
      <c r="I177" s="82">
        <f t="shared" si="2"/>
        <v>0</v>
      </c>
      <c r="J177" s="82">
        <f>IFERROR( SUMIFS('Stock In'!I:I,'Stock In'!B:B,$A177,'Stock In'!C:C,$B177,'Stock In'!D:D,$C177,'Stock In'!E:E,$D177) / SUMIFS('Stock In'!H:H,'Stock In'!B:B,$A177,'Stock In'!C:C,$B177,'Stock In'!D:D,$C177,'Stock In'!E:E,$D177), 0)</f>
        <v>0</v>
      </c>
      <c r="K177" s="82">
        <f t="shared" si="3"/>
        <v>0</v>
      </c>
    </row>
    <row r="178">
      <c r="A178" s="80"/>
      <c r="B178" s="80"/>
      <c r="C178" s="80"/>
      <c r="D178" s="80"/>
      <c r="E178" s="82">
        <f>IFERROR(SUMIFS('Stock In'!F:F,'Stock In'!B:B,$A178,'Stock In'!C:C,$B178,'Stock In'!D:D,$C178,'Stock In'!E:E,$D178),0)</f>
        <v>0</v>
      </c>
      <c r="F178" s="82">
        <f>IFERROR(SUMIFS(Issues!H:H, Issues!F:F, $A178, Issues!C:C, $B178, Issues!D:D, $C178, Issues!E:E, $D178), 0)</f>
        <v>0</v>
      </c>
      <c r="G178" s="82">
        <f>IFERROR(SUMIFS(Returns!H:H, Returns!F:F, $A178, Returns!C:C, $B178, Returns!D:D, $C178, Returns!E:E, $D178), 0)</f>
        <v>0</v>
      </c>
      <c r="H178" s="82">
        <f t="shared" si="1"/>
        <v>0</v>
      </c>
      <c r="I178" s="82">
        <f t="shared" si="2"/>
        <v>0</v>
      </c>
      <c r="J178" s="82">
        <f>IFERROR( SUMIFS('Stock In'!I:I,'Stock In'!B:B,$A178,'Stock In'!C:C,$B178,'Stock In'!D:D,$C178,'Stock In'!E:E,$D178) / SUMIFS('Stock In'!H:H,'Stock In'!B:B,$A178,'Stock In'!C:C,$B178,'Stock In'!D:D,$C178,'Stock In'!E:E,$D178), 0)</f>
        <v>0</v>
      </c>
      <c r="K178" s="82">
        <f t="shared" si="3"/>
        <v>0</v>
      </c>
    </row>
    <row r="179">
      <c r="A179" s="80"/>
      <c r="B179" s="80"/>
      <c r="C179" s="80"/>
      <c r="D179" s="80"/>
      <c r="E179" s="82">
        <f>IFERROR(SUMIFS('Stock In'!F:F,'Stock In'!B:B,$A179,'Stock In'!C:C,$B179,'Stock In'!D:D,$C179,'Stock In'!E:E,$D179),0)</f>
        <v>0</v>
      </c>
      <c r="F179" s="82">
        <f>IFERROR(SUMIFS(Issues!H:H, Issues!F:F, $A179, Issues!C:C, $B179, Issues!D:D, $C179, Issues!E:E, $D179), 0)</f>
        <v>0</v>
      </c>
      <c r="G179" s="82">
        <f>IFERROR(SUMIFS(Returns!H:H, Returns!F:F, $A179, Returns!C:C, $B179, Returns!D:D, $C179, Returns!E:E, $D179), 0)</f>
        <v>0</v>
      </c>
      <c r="H179" s="82">
        <f t="shared" si="1"/>
        <v>0</v>
      </c>
      <c r="I179" s="82">
        <f t="shared" si="2"/>
        <v>0</v>
      </c>
      <c r="J179" s="82">
        <f>IFERROR( SUMIFS('Stock In'!I:I,'Stock In'!B:B,$A179,'Stock In'!C:C,$B179,'Stock In'!D:D,$C179,'Stock In'!E:E,$D179) / SUMIFS('Stock In'!H:H,'Stock In'!B:B,$A179,'Stock In'!C:C,$B179,'Stock In'!D:D,$C179,'Stock In'!E:E,$D179), 0)</f>
        <v>0</v>
      </c>
      <c r="K179" s="82">
        <f t="shared" si="3"/>
        <v>0</v>
      </c>
    </row>
    <row r="180">
      <c r="A180" s="80"/>
      <c r="B180" s="80"/>
      <c r="C180" s="80"/>
      <c r="D180" s="80"/>
      <c r="E180" s="82">
        <f>IFERROR(SUMIFS('Stock In'!F:F,'Stock In'!B:B,$A180,'Stock In'!C:C,$B180,'Stock In'!D:D,$C180,'Stock In'!E:E,$D180),0)</f>
        <v>0</v>
      </c>
      <c r="F180" s="82">
        <f>IFERROR(SUMIFS(Issues!H:H, Issues!F:F, $A180, Issues!C:C, $B180, Issues!D:D, $C180, Issues!E:E, $D180), 0)</f>
        <v>0</v>
      </c>
      <c r="G180" s="82">
        <f>IFERROR(SUMIFS(Returns!H:H, Returns!F:F, $A180, Returns!C:C, $B180, Returns!D:D, $C180, Returns!E:E, $D180), 0)</f>
        <v>0</v>
      </c>
      <c r="H180" s="82">
        <f t="shared" si="1"/>
        <v>0</v>
      </c>
      <c r="I180" s="82">
        <f t="shared" si="2"/>
        <v>0</v>
      </c>
      <c r="J180" s="82">
        <f>IFERROR( SUMIFS('Stock In'!I:I,'Stock In'!B:B,$A180,'Stock In'!C:C,$B180,'Stock In'!D:D,$C180,'Stock In'!E:E,$D180) / SUMIFS('Stock In'!H:H,'Stock In'!B:B,$A180,'Stock In'!C:C,$B180,'Stock In'!D:D,$C180,'Stock In'!E:E,$D180), 0)</f>
        <v>0</v>
      </c>
      <c r="K180" s="82">
        <f t="shared" si="3"/>
        <v>0</v>
      </c>
    </row>
    <row r="181">
      <c r="A181" s="80"/>
      <c r="B181" s="80"/>
      <c r="C181" s="80"/>
      <c r="D181" s="80"/>
      <c r="E181" s="82">
        <f>IFERROR(SUMIFS('Stock In'!F:F,'Stock In'!B:B,$A181,'Stock In'!C:C,$B181,'Stock In'!D:D,$C181,'Stock In'!E:E,$D181),0)</f>
        <v>0</v>
      </c>
      <c r="F181" s="82">
        <f>IFERROR(SUMIFS(Issues!H:H, Issues!F:F, $A181, Issues!C:C, $B181, Issues!D:D, $C181, Issues!E:E, $D181), 0)</f>
        <v>0</v>
      </c>
      <c r="G181" s="82">
        <f>IFERROR(SUMIFS(Returns!H:H, Returns!F:F, $A181, Returns!C:C, $B181, Returns!D:D, $C181, Returns!E:E, $D181), 0)</f>
        <v>0</v>
      </c>
      <c r="H181" s="82">
        <f t="shared" si="1"/>
        <v>0</v>
      </c>
      <c r="I181" s="82">
        <f t="shared" si="2"/>
        <v>0</v>
      </c>
      <c r="J181" s="82">
        <f>IFERROR( SUMIFS('Stock In'!I:I,'Stock In'!B:B,$A181,'Stock In'!C:C,$B181,'Stock In'!D:D,$C181,'Stock In'!E:E,$D181) / SUMIFS('Stock In'!H:H,'Stock In'!B:B,$A181,'Stock In'!C:C,$B181,'Stock In'!D:D,$C181,'Stock In'!E:E,$D181), 0)</f>
        <v>0</v>
      </c>
      <c r="K181" s="82">
        <f t="shared" si="3"/>
        <v>0</v>
      </c>
    </row>
    <row r="182">
      <c r="A182" s="80"/>
      <c r="B182" s="80"/>
      <c r="C182" s="80"/>
      <c r="D182" s="80"/>
      <c r="E182" s="82">
        <f>IFERROR(SUMIFS('Stock In'!F:F,'Stock In'!B:B,$A182,'Stock In'!C:C,$B182,'Stock In'!D:D,$C182,'Stock In'!E:E,$D182),0)</f>
        <v>0</v>
      </c>
      <c r="F182" s="82">
        <f>IFERROR(SUMIFS(Issues!H:H, Issues!F:F, $A182, Issues!C:C, $B182, Issues!D:D, $C182, Issues!E:E, $D182), 0)</f>
        <v>0</v>
      </c>
      <c r="G182" s="82">
        <f>IFERROR(SUMIFS(Returns!H:H, Returns!F:F, $A182, Returns!C:C, $B182, Returns!D:D, $C182, Returns!E:E, $D182), 0)</f>
        <v>0</v>
      </c>
      <c r="H182" s="82">
        <f t="shared" si="1"/>
        <v>0</v>
      </c>
      <c r="I182" s="82">
        <f t="shared" si="2"/>
        <v>0</v>
      </c>
      <c r="J182" s="82">
        <f>IFERROR( SUMIFS('Stock In'!I:I,'Stock In'!B:B,$A182,'Stock In'!C:C,$B182,'Stock In'!D:D,$C182,'Stock In'!E:E,$D182) / SUMIFS('Stock In'!H:H,'Stock In'!B:B,$A182,'Stock In'!C:C,$B182,'Stock In'!D:D,$C182,'Stock In'!E:E,$D182), 0)</f>
        <v>0</v>
      </c>
      <c r="K182" s="82">
        <f t="shared" si="3"/>
        <v>0</v>
      </c>
    </row>
    <row r="183">
      <c r="A183" s="80"/>
      <c r="B183" s="80"/>
      <c r="C183" s="80"/>
      <c r="D183" s="80"/>
      <c r="E183" s="82">
        <f>IFERROR(SUMIFS('Stock In'!F:F,'Stock In'!B:B,$A183,'Stock In'!C:C,$B183,'Stock In'!D:D,$C183,'Stock In'!E:E,$D183),0)</f>
        <v>0</v>
      </c>
      <c r="F183" s="82">
        <f>IFERROR(SUMIFS(Issues!H:H, Issues!F:F, $A183, Issues!C:C, $B183, Issues!D:D, $C183, Issues!E:E, $D183), 0)</f>
        <v>0</v>
      </c>
      <c r="G183" s="82">
        <f>IFERROR(SUMIFS(Returns!H:H, Returns!F:F, $A183, Returns!C:C, $B183, Returns!D:D, $C183, Returns!E:E, $D183), 0)</f>
        <v>0</v>
      </c>
      <c r="H183" s="82">
        <f t="shared" si="1"/>
        <v>0</v>
      </c>
      <c r="I183" s="82">
        <f t="shared" si="2"/>
        <v>0</v>
      </c>
      <c r="J183" s="82">
        <f>IFERROR( SUMIFS('Stock In'!I:I,'Stock In'!B:B,$A183,'Stock In'!C:C,$B183,'Stock In'!D:D,$C183,'Stock In'!E:E,$D183) / SUMIFS('Stock In'!H:H,'Stock In'!B:B,$A183,'Stock In'!C:C,$B183,'Stock In'!D:D,$C183,'Stock In'!E:E,$D183), 0)</f>
        <v>0</v>
      </c>
      <c r="K183" s="82">
        <f t="shared" si="3"/>
        <v>0</v>
      </c>
    </row>
    <row r="184">
      <c r="A184" s="80"/>
      <c r="B184" s="80"/>
      <c r="C184" s="80"/>
      <c r="D184" s="80"/>
      <c r="E184" s="82">
        <f>IFERROR(SUMIFS('Stock In'!F:F,'Stock In'!B:B,$A184,'Stock In'!C:C,$B184,'Stock In'!D:D,$C184,'Stock In'!E:E,$D184),0)</f>
        <v>0</v>
      </c>
      <c r="F184" s="82">
        <f>IFERROR(SUMIFS(Issues!H:H, Issues!F:F, $A184, Issues!C:C, $B184, Issues!D:D, $C184, Issues!E:E, $D184), 0)</f>
        <v>0</v>
      </c>
      <c r="G184" s="82">
        <f>IFERROR(SUMIFS(Returns!H:H, Returns!F:F, $A184, Returns!C:C, $B184, Returns!D:D, $C184, Returns!E:E, $D184), 0)</f>
        <v>0</v>
      </c>
      <c r="H184" s="82">
        <f t="shared" si="1"/>
        <v>0</v>
      </c>
      <c r="I184" s="82">
        <f t="shared" si="2"/>
        <v>0</v>
      </c>
      <c r="J184" s="82">
        <f>IFERROR( SUMIFS('Stock In'!I:I,'Stock In'!B:B,$A184,'Stock In'!C:C,$B184,'Stock In'!D:D,$C184,'Stock In'!E:E,$D184) / SUMIFS('Stock In'!H:H,'Stock In'!B:B,$A184,'Stock In'!C:C,$B184,'Stock In'!D:D,$C184,'Stock In'!E:E,$D184), 0)</f>
        <v>0</v>
      </c>
      <c r="K184" s="82">
        <f t="shared" si="3"/>
        <v>0</v>
      </c>
    </row>
    <row r="185">
      <c r="A185" s="80"/>
      <c r="B185" s="80"/>
      <c r="C185" s="80"/>
      <c r="D185" s="80"/>
      <c r="E185" s="82">
        <f>IFERROR(SUMIFS('Stock In'!F:F,'Stock In'!B:B,$A185,'Stock In'!C:C,$B185,'Stock In'!D:D,$C185,'Stock In'!E:E,$D185),0)</f>
        <v>0</v>
      </c>
      <c r="F185" s="82">
        <f>IFERROR(SUMIFS(Issues!H:H, Issues!F:F, $A185, Issues!C:C, $B185, Issues!D:D, $C185, Issues!E:E, $D185), 0)</f>
        <v>0</v>
      </c>
      <c r="G185" s="82">
        <f>IFERROR(SUMIFS(Returns!H:H, Returns!F:F, $A185, Returns!C:C, $B185, Returns!D:D, $C185, Returns!E:E, $D185), 0)</f>
        <v>0</v>
      </c>
      <c r="H185" s="82">
        <f t="shared" si="1"/>
        <v>0</v>
      </c>
      <c r="I185" s="82">
        <f t="shared" si="2"/>
        <v>0</v>
      </c>
      <c r="J185" s="82">
        <f>IFERROR( SUMIFS('Stock In'!I:I,'Stock In'!B:B,$A185,'Stock In'!C:C,$B185,'Stock In'!D:D,$C185,'Stock In'!E:E,$D185) / SUMIFS('Stock In'!H:H,'Stock In'!B:B,$A185,'Stock In'!C:C,$B185,'Stock In'!D:D,$C185,'Stock In'!E:E,$D185), 0)</f>
        <v>0</v>
      </c>
      <c r="K185" s="82">
        <f t="shared" si="3"/>
        <v>0</v>
      </c>
    </row>
    <row r="186">
      <c r="A186" s="80"/>
      <c r="B186" s="80"/>
      <c r="C186" s="80"/>
      <c r="D186" s="80"/>
      <c r="E186" s="82">
        <f>IFERROR(SUMIFS('Stock In'!F:F,'Stock In'!B:B,$A186,'Stock In'!C:C,$B186,'Stock In'!D:D,$C186,'Stock In'!E:E,$D186),0)</f>
        <v>0</v>
      </c>
      <c r="F186" s="82">
        <f>IFERROR(SUMIFS(Issues!H:H, Issues!F:F, $A186, Issues!C:C, $B186, Issues!D:D, $C186, Issues!E:E, $D186), 0)</f>
        <v>0</v>
      </c>
      <c r="G186" s="82">
        <f>IFERROR(SUMIFS(Returns!H:H, Returns!F:F, $A186, Returns!C:C, $B186, Returns!D:D, $C186, Returns!E:E, $D186), 0)</f>
        <v>0</v>
      </c>
      <c r="H186" s="82">
        <f t="shared" si="1"/>
        <v>0</v>
      </c>
      <c r="I186" s="82">
        <f t="shared" si="2"/>
        <v>0</v>
      </c>
      <c r="J186" s="82">
        <f>IFERROR( SUMIFS('Stock In'!I:I,'Stock In'!B:B,$A186,'Stock In'!C:C,$B186,'Stock In'!D:D,$C186,'Stock In'!E:E,$D186) / SUMIFS('Stock In'!H:H,'Stock In'!B:B,$A186,'Stock In'!C:C,$B186,'Stock In'!D:D,$C186,'Stock In'!E:E,$D186), 0)</f>
        <v>0</v>
      </c>
      <c r="K186" s="82">
        <f t="shared" si="3"/>
        <v>0</v>
      </c>
    </row>
    <row r="187">
      <c r="A187" s="80"/>
      <c r="B187" s="80"/>
      <c r="C187" s="80"/>
      <c r="D187" s="80"/>
      <c r="E187" s="82">
        <f>IFERROR(SUMIFS('Stock In'!F:F,'Stock In'!B:B,$A187,'Stock In'!C:C,$B187,'Stock In'!D:D,$C187,'Stock In'!E:E,$D187),0)</f>
        <v>0</v>
      </c>
      <c r="F187" s="82">
        <f>IFERROR(SUMIFS(Issues!H:H, Issues!F:F, $A187, Issues!C:C, $B187, Issues!D:D, $C187, Issues!E:E, $D187), 0)</f>
        <v>0</v>
      </c>
      <c r="G187" s="82">
        <f>IFERROR(SUMIFS(Returns!H:H, Returns!F:F, $A187, Returns!C:C, $B187, Returns!D:D, $C187, Returns!E:E, $D187), 0)</f>
        <v>0</v>
      </c>
      <c r="H187" s="82">
        <f t="shared" si="1"/>
        <v>0</v>
      </c>
      <c r="I187" s="82">
        <f t="shared" si="2"/>
        <v>0</v>
      </c>
      <c r="J187" s="82">
        <f>IFERROR( SUMIFS('Stock In'!I:I,'Stock In'!B:B,$A187,'Stock In'!C:C,$B187,'Stock In'!D:D,$C187,'Stock In'!E:E,$D187) / SUMIFS('Stock In'!H:H,'Stock In'!B:B,$A187,'Stock In'!C:C,$B187,'Stock In'!D:D,$C187,'Stock In'!E:E,$D187), 0)</f>
        <v>0</v>
      </c>
      <c r="K187" s="82">
        <f t="shared" si="3"/>
        <v>0</v>
      </c>
    </row>
    <row r="188">
      <c r="A188" s="80"/>
      <c r="B188" s="80"/>
      <c r="C188" s="80"/>
      <c r="D188" s="80"/>
      <c r="E188" s="82">
        <f>IFERROR(SUMIFS('Stock In'!F:F,'Stock In'!B:B,$A188,'Stock In'!C:C,$B188,'Stock In'!D:D,$C188,'Stock In'!E:E,$D188),0)</f>
        <v>0</v>
      </c>
      <c r="F188" s="82">
        <f>IFERROR(SUMIFS(Issues!H:H, Issues!F:F, $A188, Issues!C:C, $B188, Issues!D:D, $C188, Issues!E:E, $D188), 0)</f>
        <v>0</v>
      </c>
      <c r="G188" s="82">
        <f>IFERROR(SUMIFS(Returns!H:H, Returns!F:F, $A188, Returns!C:C, $B188, Returns!D:D, $C188, Returns!E:E, $D188), 0)</f>
        <v>0</v>
      </c>
      <c r="H188" s="82">
        <f t="shared" si="1"/>
        <v>0</v>
      </c>
      <c r="I188" s="82">
        <f t="shared" si="2"/>
        <v>0</v>
      </c>
      <c r="J188" s="82">
        <f>IFERROR( SUMIFS('Stock In'!I:I,'Stock In'!B:B,$A188,'Stock In'!C:C,$B188,'Stock In'!D:D,$C188,'Stock In'!E:E,$D188) / SUMIFS('Stock In'!H:H,'Stock In'!B:B,$A188,'Stock In'!C:C,$B188,'Stock In'!D:D,$C188,'Stock In'!E:E,$D188), 0)</f>
        <v>0</v>
      </c>
      <c r="K188" s="82">
        <f t="shared" si="3"/>
        <v>0</v>
      </c>
    </row>
    <row r="189">
      <c r="A189" s="80"/>
      <c r="B189" s="80"/>
      <c r="C189" s="80"/>
      <c r="D189" s="80"/>
      <c r="E189" s="82">
        <f>IFERROR(SUMIFS('Stock In'!F:F,'Stock In'!B:B,$A189,'Stock In'!C:C,$B189,'Stock In'!D:D,$C189,'Stock In'!E:E,$D189),0)</f>
        <v>0</v>
      </c>
      <c r="F189" s="82">
        <f>IFERROR(SUMIFS(Issues!H:H, Issues!F:F, $A189, Issues!C:C, $B189, Issues!D:D, $C189, Issues!E:E, $D189), 0)</f>
        <v>0</v>
      </c>
      <c r="G189" s="82">
        <f>IFERROR(SUMIFS(Returns!H:H, Returns!F:F, $A189, Returns!C:C, $B189, Returns!D:D, $C189, Returns!E:E, $D189), 0)</f>
        <v>0</v>
      </c>
      <c r="H189" s="82">
        <f t="shared" si="1"/>
        <v>0</v>
      </c>
      <c r="I189" s="82">
        <f t="shared" si="2"/>
        <v>0</v>
      </c>
      <c r="J189" s="82">
        <f>IFERROR( SUMIFS('Stock In'!I:I,'Stock In'!B:B,$A189,'Stock In'!C:C,$B189,'Stock In'!D:D,$C189,'Stock In'!E:E,$D189) / SUMIFS('Stock In'!H:H,'Stock In'!B:B,$A189,'Stock In'!C:C,$B189,'Stock In'!D:D,$C189,'Stock In'!E:E,$D189), 0)</f>
        <v>0</v>
      </c>
      <c r="K189" s="82">
        <f t="shared" si="3"/>
        <v>0</v>
      </c>
    </row>
    <row r="190">
      <c r="A190" s="80"/>
      <c r="B190" s="80"/>
      <c r="C190" s="80"/>
      <c r="D190" s="80"/>
      <c r="E190" s="82">
        <f>IFERROR(SUMIFS('Stock In'!F:F,'Stock In'!B:B,$A190,'Stock In'!C:C,$B190,'Stock In'!D:D,$C190,'Stock In'!E:E,$D190),0)</f>
        <v>0</v>
      </c>
      <c r="F190" s="82">
        <f>IFERROR(SUMIFS(Issues!H:H, Issues!F:F, $A190, Issues!C:C, $B190, Issues!D:D, $C190, Issues!E:E, $D190), 0)</f>
        <v>0</v>
      </c>
      <c r="G190" s="82">
        <f>IFERROR(SUMIFS(Returns!H:H, Returns!F:F, $A190, Returns!C:C, $B190, Returns!D:D, $C190, Returns!E:E, $D190), 0)</f>
        <v>0</v>
      </c>
      <c r="H190" s="82">
        <f t="shared" si="1"/>
        <v>0</v>
      </c>
      <c r="I190" s="82">
        <f t="shared" si="2"/>
        <v>0</v>
      </c>
      <c r="J190" s="82">
        <f>IFERROR( SUMIFS('Stock In'!I:I,'Stock In'!B:B,$A190,'Stock In'!C:C,$B190,'Stock In'!D:D,$C190,'Stock In'!E:E,$D190) / SUMIFS('Stock In'!H:H,'Stock In'!B:B,$A190,'Stock In'!C:C,$B190,'Stock In'!D:D,$C190,'Stock In'!E:E,$D190), 0)</f>
        <v>0</v>
      </c>
      <c r="K190" s="82">
        <f t="shared" si="3"/>
        <v>0</v>
      </c>
    </row>
    <row r="191">
      <c r="A191" s="80"/>
      <c r="B191" s="80"/>
      <c r="C191" s="80"/>
      <c r="D191" s="80"/>
      <c r="E191" s="82">
        <f>IFERROR(SUMIFS('Stock In'!F:F,'Stock In'!B:B,$A191,'Stock In'!C:C,$B191,'Stock In'!D:D,$C191,'Stock In'!E:E,$D191),0)</f>
        <v>0</v>
      </c>
      <c r="F191" s="82">
        <f>IFERROR(SUMIFS(Issues!H:H, Issues!F:F, $A191, Issues!C:C, $B191, Issues!D:D, $C191, Issues!E:E, $D191), 0)</f>
        <v>0</v>
      </c>
      <c r="G191" s="82">
        <f>IFERROR(SUMIFS(Returns!H:H, Returns!F:F, $A191, Returns!C:C, $B191, Returns!D:D, $C191, Returns!E:E, $D191), 0)</f>
        <v>0</v>
      </c>
      <c r="H191" s="82">
        <f t="shared" si="1"/>
        <v>0</v>
      </c>
      <c r="I191" s="82">
        <f t="shared" si="2"/>
        <v>0</v>
      </c>
      <c r="J191" s="82">
        <f>IFERROR( SUMIFS('Stock In'!I:I,'Stock In'!B:B,$A191,'Stock In'!C:C,$B191,'Stock In'!D:D,$C191,'Stock In'!E:E,$D191) / SUMIFS('Stock In'!H:H,'Stock In'!B:B,$A191,'Stock In'!C:C,$B191,'Stock In'!D:D,$C191,'Stock In'!E:E,$D191), 0)</f>
        <v>0</v>
      </c>
      <c r="K191" s="82">
        <f t="shared" si="3"/>
        <v>0</v>
      </c>
    </row>
    <row r="192">
      <c r="A192" s="80"/>
      <c r="B192" s="80"/>
      <c r="C192" s="80"/>
      <c r="D192" s="80"/>
      <c r="E192" s="82">
        <f>IFERROR(SUMIFS('Stock In'!F:F,'Stock In'!B:B,$A192,'Stock In'!C:C,$B192,'Stock In'!D:D,$C192,'Stock In'!E:E,$D192),0)</f>
        <v>0</v>
      </c>
      <c r="F192" s="82">
        <f>IFERROR(SUMIFS(Issues!H:H, Issues!F:F, $A192, Issues!C:C, $B192, Issues!D:D, $C192, Issues!E:E, $D192), 0)</f>
        <v>0</v>
      </c>
      <c r="G192" s="82">
        <f>IFERROR(SUMIFS(Returns!H:H, Returns!F:F, $A192, Returns!C:C, $B192, Returns!D:D, $C192, Returns!E:E, $D192), 0)</f>
        <v>0</v>
      </c>
      <c r="H192" s="82">
        <f t="shared" si="1"/>
        <v>0</v>
      </c>
      <c r="I192" s="82">
        <f t="shared" si="2"/>
        <v>0</v>
      </c>
      <c r="J192" s="82">
        <f>IFERROR( SUMIFS('Stock In'!I:I,'Stock In'!B:B,$A192,'Stock In'!C:C,$B192,'Stock In'!D:D,$C192,'Stock In'!E:E,$D192) / SUMIFS('Stock In'!H:H,'Stock In'!B:B,$A192,'Stock In'!C:C,$B192,'Stock In'!D:D,$C192,'Stock In'!E:E,$D192), 0)</f>
        <v>0</v>
      </c>
      <c r="K192" s="82">
        <f t="shared" si="3"/>
        <v>0</v>
      </c>
    </row>
    <row r="193">
      <c r="A193" s="80"/>
      <c r="B193" s="80"/>
      <c r="C193" s="80"/>
      <c r="D193" s="80"/>
      <c r="E193" s="82">
        <f>IFERROR(SUMIFS('Stock In'!F:F,'Stock In'!B:B,$A193,'Stock In'!C:C,$B193,'Stock In'!D:D,$C193,'Stock In'!E:E,$D193),0)</f>
        <v>0</v>
      </c>
      <c r="F193" s="82">
        <f>IFERROR(SUMIFS(Issues!H:H, Issues!F:F, $A193, Issues!C:C, $B193, Issues!D:D, $C193, Issues!E:E, $D193), 0)</f>
        <v>0</v>
      </c>
      <c r="G193" s="82">
        <f>IFERROR(SUMIFS(Returns!H:H, Returns!F:F, $A193, Returns!C:C, $B193, Returns!D:D, $C193, Returns!E:E, $D193), 0)</f>
        <v>0</v>
      </c>
      <c r="H193" s="82">
        <f t="shared" si="1"/>
        <v>0</v>
      </c>
      <c r="I193" s="82">
        <f t="shared" si="2"/>
        <v>0</v>
      </c>
      <c r="J193" s="82">
        <f>IFERROR( SUMIFS('Stock In'!I:I,'Stock In'!B:B,$A193,'Stock In'!C:C,$B193,'Stock In'!D:D,$C193,'Stock In'!E:E,$D193) / SUMIFS('Stock In'!H:H,'Stock In'!B:B,$A193,'Stock In'!C:C,$B193,'Stock In'!D:D,$C193,'Stock In'!E:E,$D193), 0)</f>
        <v>0</v>
      </c>
      <c r="K193" s="82">
        <f t="shared" si="3"/>
        <v>0</v>
      </c>
    </row>
    <row r="194">
      <c r="A194" s="80"/>
      <c r="B194" s="80"/>
      <c r="C194" s="80"/>
      <c r="D194" s="80"/>
      <c r="E194" s="82">
        <f>IFERROR(SUMIFS('Stock In'!F:F,'Stock In'!B:B,$A194,'Stock In'!C:C,$B194,'Stock In'!D:D,$C194,'Stock In'!E:E,$D194),0)</f>
        <v>0</v>
      </c>
      <c r="F194" s="82">
        <f>IFERROR(SUMIFS(Issues!H:H, Issues!F:F, $A194, Issues!C:C, $B194, Issues!D:D, $C194, Issues!E:E, $D194), 0)</f>
        <v>0</v>
      </c>
      <c r="G194" s="82">
        <f>IFERROR(SUMIFS(Returns!H:H, Returns!F:F, $A194, Returns!C:C, $B194, Returns!D:D, $C194, Returns!E:E, $D194), 0)</f>
        <v>0</v>
      </c>
      <c r="H194" s="82">
        <f t="shared" si="1"/>
        <v>0</v>
      </c>
      <c r="I194" s="82">
        <f t="shared" si="2"/>
        <v>0</v>
      </c>
      <c r="J194" s="82">
        <f>IFERROR( SUMIFS('Stock In'!I:I,'Stock In'!B:B,$A194,'Stock In'!C:C,$B194,'Stock In'!D:D,$C194,'Stock In'!E:E,$D194) / SUMIFS('Stock In'!H:H,'Stock In'!B:B,$A194,'Stock In'!C:C,$B194,'Stock In'!D:D,$C194,'Stock In'!E:E,$D194), 0)</f>
        <v>0</v>
      </c>
      <c r="K194" s="82">
        <f t="shared" si="3"/>
        <v>0</v>
      </c>
    </row>
    <row r="195">
      <c r="A195" s="80"/>
      <c r="B195" s="80"/>
      <c r="C195" s="80"/>
      <c r="D195" s="80"/>
      <c r="E195" s="82">
        <f>IFERROR(SUMIFS('Stock In'!F:F,'Stock In'!B:B,$A195,'Stock In'!C:C,$B195,'Stock In'!D:D,$C195,'Stock In'!E:E,$D195),0)</f>
        <v>0</v>
      </c>
      <c r="F195" s="82">
        <f>IFERROR(SUMIFS(Issues!H:H, Issues!F:F, $A195, Issues!C:C, $B195, Issues!D:D, $C195, Issues!E:E, $D195), 0)</f>
        <v>0</v>
      </c>
      <c r="G195" s="82">
        <f>IFERROR(SUMIFS(Returns!H:H, Returns!F:F, $A195, Returns!C:C, $B195, Returns!D:D, $C195, Returns!E:E, $D195), 0)</f>
        <v>0</v>
      </c>
      <c r="H195" s="82">
        <f t="shared" si="1"/>
        <v>0</v>
      </c>
      <c r="I195" s="82">
        <f t="shared" si="2"/>
        <v>0</v>
      </c>
      <c r="J195" s="82">
        <f>IFERROR( SUMIFS('Stock In'!I:I,'Stock In'!B:B,$A195,'Stock In'!C:C,$B195,'Stock In'!D:D,$C195,'Stock In'!E:E,$D195) / SUMIFS('Stock In'!H:H,'Stock In'!B:B,$A195,'Stock In'!C:C,$B195,'Stock In'!D:D,$C195,'Stock In'!E:E,$D195), 0)</f>
        <v>0</v>
      </c>
      <c r="K195" s="82">
        <f t="shared" si="3"/>
        <v>0</v>
      </c>
    </row>
    <row r="196">
      <c r="A196" s="80"/>
      <c r="B196" s="80"/>
      <c r="C196" s="80"/>
      <c r="D196" s="80"/>
      <c r="E196" s="82">
        <f>IFERROR(SUMIFS('Stock In'!F:F,'Stock In'!B:B,$A196,'Stock In'!C:C,$B196,'Stock In'!D:D,$C196,'Stock In'!E:E,$D196),0)</f>
        <v>0</v>
      </c>
      <c r="F196" s="82">
        <f>IFERROR(SUMIFS(Issues!H:H, Issues!F:F, $A196, Issues!C:C, $B196, Issues!D:D, $C196, Issues!E:E, $D196), 0)</f>
        <v>0</v>
      </c>
      <c r="G196" s="82">
        <f>IFERROR(SUMIFS(Returns!H:H, Returns!F:F, $A196, Returns!C:C, $B196, Returns!D:D, $C196, Returns!E:E, $D196), 0)</f>
        <v>0</v>
      </c>
      <c r="H196" s="82">
        <f t="shared" si="1"/>
        <v>0</v>
      </c>
      <c r="I196" s="82">
        <f t="shared" si="2"/>
        <v>0</v>
      </c>
      <c r="J196" s="82">
        <f>IFERROR( SUMIFS('Stock In'!I:I,'Stock In'!B:B,$A196,'Stock In'!C:C,$B196,'Stock In'!D:D,$C196,'Stock In'!E:E,$D196) / SUMIFS('Stock In'!H:H,'Stock In'!B:B,$A196,'Stock In'!C:C,$B196,'Stock In'!D:D,$C196,'Stock In'!E:E,$D196), 0)</f>
        <v>0</v>
      </c>
      <c r="K196" s="82">
        <f t="shared" si="3"/>
        <v>0</v>
      </c>
    </row>
    <row r="197">
      <c r="A197" s="80"/>
      <c r="B197" s="80"/>
      <c r="C197" s="80"/>
      <c r="D197" s="80"/>
      <c r="E197" s="82">
        <f>IFERROR(SUMIFS('Stock In'!F:F,'Stock In'!B:B,$A197,'Stock In'!C:C,$B197,'Stock In'!D:D,$C197,'Stock In'!E:E,$D197),0)</f>
        <v>0</v>
      </c>
      <c r="F197" s="82">
        <f>IFERROR(SUMIFS(Issues!H:H, Issues!F:F, $A197, Issues!C:C, $B197, Issues!D:D, $C197, Issues!E:E, $D197), 0)</f>
        <v>0</v>
      </c>
      <c r="G197" s="82">
        <f>IFERROR(SUMIFS(Returns!H:H, Returns!F:F, $A197, Returns!C:C, $B197, Returns!D:D, $C197, Returns!E:E, $D197), 0)</f>
        <v>0</v>
      </c>
      <c r="H197" s="82">
        <f t="shared" si="1"/>
        <v>0</v>
      </c>
      <c r="I197" s="82">
        <f t="shared" si="2"/>
        <v>0</v>
      </c>
      <c r="J197" s="82">
        <f>IFERROR( SUMIFS('Stock In'!I:I,'Stock In'!B:B,$A197,'Stock In'!C:C,$B197,'Stock In'!D:D,$C197,'Stock In'!E:E,$D197) / SUMIFS('Stock In'!H:H,'Stock In'!B:B,$A197,'Stock In'!C:C,$B197,'Stock In'!D:D,$C197,'Stock In'!E:E,$D197), 0)</f>
        <v>0</v>
      </c>
      <c r="K197" s="82">
        <f t="shared" si="3"/>
        <v>0</v>
      </c>
    </row>
    <row r="198">
      <c r="A198" s="80"/>
      <c r="B198" s="80"/>
      <c r="C198" s="80"/>
      <c r="D198" s="80"/>
      <c r="E198" s="82">
        <f>IFERROR(SUMIFS('Stock In'!F:F,'Stock In'!B:B,$A198,'Stock In'!C:C,$B198,'Stock In'!D:D,$C198,'Stock In'!E:E,$D198),0)</f>
        <v>0</v>
      </c>
      <c r="F198" s="82">
        <f>IFERROR(SUMIFS(Issues!H:H, Issues!F:F, $A198, Issues!C:C, $B198, Issues!D:D, $C198, Issues!E:E, $D198), 0)</f>
        <v>0</v>
      </c>
      <c r="G198" s="82">
        <f>IFERROR(SUMIFS(Returns!H:H, Returns!F:F, $A198, Returns!C:C, $B198, Returns!D:D, $C198, Returns!E:E, $D198), 0)</f>
        <v>0</v>
      </c>
      <c r="H198" s="82">
        <f t="shared" si="1"/>
        <v>0</v>
      </c>
      <c r="I198" s="82">
        <f t="shared" si="2"/>
        <v>0</v>
      </c>
      <c r="J198" s="82">
        <f>IFERROR( SUMIFS('Stock In'!I:I,'Stock In'!B:B,$A198,'Stock In'!C:C,$B198,'Stock In'!D:D,$C198,'Stock In'!E:E,$D198) / SUMIFS('Stock In'!H:H,'Stock In'!B:B,$A198,'Stock In'!C:C,$B198,'Stock In'!D:D,$C198,'Stock In'!E:E,$D198), 0)</f>
        <v>0</v>
      </c>
      <c r="K198" s="82">
        <f t="shared" si="3"/>
        <v>0</v>
      </c>
    </row>
    <row r="199">
      <c r="A199" s="80"/>
      <c r="B199" s="80"/>
      <c r="C199" s="80"/>
      <c r="D199" s="80"/>
      <c r="E199" s="82">
        <f>IFERROR(SUMIFS('Stock In'!F:F,'Stock In'!B:B,$A199,'Stock In'!C:C,$B199,'Stock In'!D:D,$C199,'Stock In'!E:E,$D199),0)</f>
        <v>0</v>
      </c>
      <c r="F199" s="82">
        <f>IFERROR(SUMIFS(Issues!H:H, Issues!F:F, $A199, Issues!C:C, $B199, Issues!D:D, $C199, Issues!E:E, $D199), 0)</f>
        <v>0</v>
      </c>
      <c r="G199" s="82">
        <f>IFERROR(SUMIFS(Returns!H:H, Returns!F:F, $A199, Returns!C:C, $B199, Returns!D:D, $C199, Returns!E:E, $D199), 0)</f>
        <v>0</v>
      </c>
      <c r="H199" s="82">
        <f t="shared" si="1"/>
        <v>0</v>
      </c>
      <c r="I199" s="82">
        <f t="shared" si="2"/>
        <v>0</v>
      </c>
      <c r="J199" s="82">
        <f>IFERROR( SUMIFS('Stock In'!I:I,'Stock In'!B:B,$A199,'Stock In'!C:C,$B199,'Stock In'!D:D,$C199,'Stock In'!E:E,$D199) / SUMIFS('Stock In'!H:H,'Stock In'!B:B,$A199,'Stock In'!C:C,$B199,'Stock In'!D:D,$C199,'Stock In'!E:E,$D199), 0)</f>
        <v>0</v>
      </c>
      <c r="K199" s="82">
        <f t="shared" si="3"/>
        <v>0</v>
      </c>
    </row>
    <row r="200">
      <c r="A200" s="80"/>
      <c r="B200" s="80"/>
      <c r="C200" s="80"/>
      <c r="D200" s="80"/>
      <c r="E200" s="82">
        <f>IFERROR(SUMIFS('Stock In'!F:F,'Stock In'!B:B,$A200,'Stock In'!C:C,$B200,'Stock In'!D:D,$C200,'Stock In'!E:E,$D200),0)</f>
        <v>0</v>
      </c>
      <c r="F200" s="82">
        <f>IFERROR(SUMIFS(Issues!H:H, Issues!F:F, $A200, Issues!C:C, $B200, Issues!D:D, $C200, Issues!E:E, $D200), 0)</f>
        <v>0</v>
      </c>
      <c r="G200" s="82">
        <f>IFERROR(SUMIFS(Returns!H:H, Returns!F:F, $A200, Returns!C:C, $B200, Returns!D:D, $C200, Returns!E:E, $D200), 0)</f>
        <v>0</v>
      </c>
      <c r="H200" s="82">
        <f t="shared" si="1"/>
        <v>0</v>
      </c>
      <c r="I200" s="82">
        <f t="shared" si="2"/>
        <v>0</v>
      </c>
      <c r="J200" s="82">
        <f>IFERROR( SUMIFS('Stock In'!I:I,'Stock In'!B:B,$A200,'Stock In'!C:C,$B200,'Stock In'!D:D,$C200,'Stock In'!E:E,$D200) / SUMIFS('Stock In'!H:H,'Stock In'!B:B,$A200,'Stock In'!C:C,$B200,'Stock In'!D:D,$C200,'Stock In'!E:E,$D200), 0)</f>
        <v>0</v>
      </c>
      <c r="K200" s="82">
        <f t="shared" si="3"/>
        <v>0</v>
      </c>
    </row>
    <row r="201">
      <c r="A201" s="80"/>
      <c r="B201" s="80"/>
      <c r="C201" s="80"/>
      <c r="D201" s="80"/>
      <c r="E201" s="82">
        <f>IFERROR(SUMIFS('Stock In'!F:F,'Stock In'!B:B,$A201,'Stock In'!C:C,$B201,'Stock In'!D:D,$C201,'Stock In'!E:E,$D201),0)</f>
        <v>0</v>
      </c>
      <c r="F201" s="82">
        <f>IFERROR(SUMIFS(Issues!H:H, Issues!F:F, $A201, Issues!C:C, $B201, Issues!D:D, $C201, Issues!E:E, $D201), 0)</f>
        <v>0</v>
      </c>
      <c r="G201" s="82">
        <f>IFERROR(SUMIFS(Returns!H:H, Returns!F:F, $A201, Returns!C:C, $B201, Returns!D:D, $C201, Returns!E:E, $D201), 0)</f>
        <v>0</v>
      </c>
      <c r="H201" s="82">
        <f t="shared" si="1"/>
        <v>0</v>
      </c>
      <c r="I201" s="82">
        <f t="shared" si="2"/>
        <v>0</v>
      </c>
      <c r="J201" s="82">
        <f>IFERROR( SUMIFS('Stock In'!I:I,'Stock In'!B:B,$A201,'Stock In'!C:C,$B201,'Stock In'!D:D,$C201,'Stock In'!E:E,$D201) / SUMIFS('Stock In'!H:H,'Stock In'!B:B,$A201,'Stock In'!C:C,$B201,'Stock In'!D:D,$C201,'Stock In'!E:E,$D201), 0)</f>
        <v>0</v>
      </c>
      <c r="K201" s="82">
        <f t="shared" si="3"/>
        <v>0</v>
      </c>
    </row>
    <row r="202">
      <c r="A202" s="80"/>
      <c r="B202" s="80"/>
      <c r="C202" s="80"/>
      <c r="D202" s="80"/>
      <c r="E202" s="82">
        <f>IFERROR(SUMIFS('Stock In'!F:F,'Stock In'!B:B,$A202,'Stock In'!C:C,$B202,'Stock In'!D:D,$C202,'Stock In'!E:E,$D202),0)</f>
        <v>0</v>
      </c>
      <c r="F202" s="82">
        <f>IFERROR(SUMIFS(Issues!H:H, Issues!F:F, $A202, Issues!C:C, $B202, Issues!D:D, $C202, Issues!E:E, $D202), 0)</f>
        <v>0</v>
      </c>
      <c r="G202" s="82">
        <f>IFERROR(SUMIFS(Returns!H:H, Returns!F:F, $A202, Returns!C:C, $B202, Returns!D:D, $C202, Returns!E:E, $D202), 0)</f>
        <v>0</v>
      </c>
      <c r="H202" s="82">
        <f t="shared" si="1"/>
        <v>0</v>
      </c>
      <c r="I202" s="82">
        <f t="shared" si="2"/>
        <v>0</v>
      </c>
      <c r="J202" s="82">
        <f>IFERROR( SUMIFS('Stock In'!I:I,'Stock In'!B:B,$A202,'Stock In'!C:C,$B202,'Stock In'!D:D,$C202,'Stock In'!E:E,$D202) / SUMIFS('Stock In'!H:H,'Stock In'!B:B,$A202,'Stock In'!C:C,$B202,'Stock In'!D:D,$C202,'Stock In'!E:E,$D202), 0)</f>
        <v>0</v>
      </c>
      <c r="K202" s="82">
        <f t="shared" si="3"/>
        <v>0</v>
      </c>
    </row>
    <row r="203">
      <c r="A203" s="80"/>
      <c r="B203" s="80"/>
      <c r="C203" s="80"/>
      <c r="D203" s="80"/>
      <c r="E203" s="82">
        <f>IFERROR(SUMIFS('Stock In'!F:F,'Stock In'!B:B,$A203,'Stock In'!C:C,$B203,'Stock In'!D:D,$C203,'Stock In'!E:E,$D203),0)</f>
        <v>0</v>
      </c>
      <c r="F203" s="82">
        <f>IFERROR(SUMIFS(Issues!H:H, Issues!F:F, $A203, Issues!C:C, $B203, Issues!D:D, $C203, Issues!E:E, $D203), 0)</f>
        <v>0</v>
      </c>
      <c r="G203" s="82">
        <f>IFERROR(SUMIFS(Returns!H:H, Returns!F:F, $A203, Returns!C:C, $B203, Returns!D:D, $C203, Returns!E:E, $D203), 0)</f>
        <v>0</v>
      </c>
      <c r="H203" s="82">
        <f t="shared" si="1"/>
        <v>0</v>
      </c>
      <c r="I203" s="82">
        <f t="shared" si="2"/>
        <v>0</v>
      </c>
      <c r="J203" s="82">
        <f>IFERROR( SUMIFS('Stock In'!I:I,'Stock In'!B:B,$A203,'Stock In'!C:C,$B203,'Stock In'!D:D,$C203,'Stock In'!E:E,$D203) / SUMIFS('Stock In'!H:H,'Stock In'!B:B,$A203,'Stock In'!C:C,$B203,'Stock In'!D:D,$C203,'Stock In'!E:E,$D203), 0)</f>
        <v>0</v>
      </c>
      <c r="K203" s="82">
        <f t="shared" si="3"/>
        <v>0</v>
      </c>
    </row>
    <row r="204">
      <c r="A204" s="80"/>
      <c r="B204" s="80"/>
      <c r="C204" s="80"/>
      <c r="D204" s="80"/>
      <c r="E204" s="82">
        <f>IFERROR(SUMIFS('Stock In'!F:F,'Stock In'!B:B,$A204,'Stock In'!C:C,$B204,'Stock In'!D:D,$C204,'Stock In'!E:E,$D204),0)</f>
        <v>0</v>
      </c>
      <c r="F204" s="82">
        <f>IFERROR(SUMIFS(Issues!H:H, Issues!F:F, $A204, Issues!C:C, $B204, Issues!D:D, $C204, Issues!E:E, $D204), 0)</f>
        <v>0</v>
      </c>
      <c r="G204" s="82">
        <f>IFERROR(SUMIFS(Returns!H:H, Returns!F:F, $A204, Returns!C:C, $B204, Returns!D:D, $C204, Returns!E:E, $D204), 0)</f>
        <v>0</v>
      </c>
      <c r="H204" s="82">
        <f t="shared" si="1"/>
        <v>0</v>
      </c>
      <c r="I204" s="82">
        <f t="shared" si="2"/>
        <v>0</v>
      </c>
      <c r="J204" s="82">
        <f>IFERROR( SUMIFS('Stock In'!I:I,'Stock In'!B:B,$A204,'Stock In'!C:C,$B204,'Stock In'!D:D,$C204,'Stock In'!E:E,$D204) / SUMIFS('Stock In'!H:H,'Stock In'!B:B,$A204,'Stock In'!C:C,$B204,'Stock In'!D:D,$C204,'Stock In'!E:E,$D204), 0)</f>
        <v>0</v>
      </c>
      <c r="K204" s="82">
        <f t="shared" si="3"/>
        <v>0</v>
      </c>
    </row>
    <row r="205">
      <c r="A205" s="80"/>
      <c r="B205" s="80"/>
      <c r="C205" s="80"/>
      <c r="D205" s="80"/>
      <c r="E205" s="82">
        <f>IFERROR(SUMIFS('Stock In'!F:F,'Stock In'!B:B,$A205,'Stock In'!C:C,$B205,'Stock In'!D:D,$C205,'Stock In'!E:E,$D205),0)</f>
        <v>0</v>
      </c>
      <c r="F205" s="82">
        <f>IFERROR(SUMIFS(Issues!H:H, Issues!F:F, $A205, Issues!C:C, $B205, Issues!D:D, $C205, Issues!E:E, $D205), 0)</f>
        <v>0</v>
      </c>
      <c r="G205" s="82">
        <f>IFERROR(SUMIFS(Returns!H:H, Returns!F:F, $A205, Returns!C:C, $B205, Returns!D:D, $C205, Returns!E:E, $D205), 0)</f>
        <v>0</v>
      </c>
      <c r="H205" s="82">
        <f t="shared" si="1"/>
        <v>0</v>
      </c>
      <c r="I205" s="82">
        <f t="shared" si="2"/>
        <v>0</v>
      </c>
      <c r="J205" s="82">
        <f>IFERROR( SUMIFS('Stock In'!I:I,'Stock In'!B:B,$A205,'Stock In'!C:C,$B205,'Stock In'!D:D,$C205,'Stock In'!E:E,$D205) / SUMIFS('Stock In'!H:H,'Stock In'!B:B,$A205,'Stock In'!C:C,$B205,'Stock In'!D:D,$C205,'Stock In'!E:E,$D205), 0)</f>
        <v>0</v>
      </c>
      <c r="K205" s="82">
        <f t="shared" si="3"/>
        <v>0</v>
      </c>
    </row>
    <row r="206">
      <c r="A206" s="80"/>
      <c r="B206" s="80"/>
      <c r="C206" s="80"/>
      <c r="D206" s="80"/>
      <c r="E206" s="82">
        <f>IFERROR(SUMIFS('Stock In'!F:F,'Stock In'!B:B,$A206,'Stock In'!C:C,$B206,'Stock In'!D:D,$C206,'Stock In'!E:E,$D206),0)</f>
        <v>0</v>
      </c>
      <c r="F206" s="82">
        <f>IFERROR(SUMIFS(Issues!H:H, Issues!F:F, $A206, Issues!C:C, $B206, Issues!D:D, $C206, Issues!E:E, $D206), 0)</f>
        <v>0</v>
      </c>
      <c r="G206" s="82">
        <f>IFERROR(SUMIFS(Returns!H:H, Returns!F:F, $A206, Returns!C:C, $B206, Returns!D:D, $C206, Returns!E:E, $D206), 0)</f>
        <v>0</v>
      </c>
      <c r="H206" s="82">
        <f t="shared" si="1"/>
        <v>0</v>
      </c>
      <c r="I206" s="82">
        <f t="shared" si="2"/>
        <v>0</v>
      </c>
      <c r="J206" s="82">
        <f>IFERROR( SUMIFS('Stock In'!I:I,'Stock In'!B:B,$A206,'Stock In'!C:C,$B206,'Stock In'!D:D,$C206,'Stock In'!E:E,$D206) / SUMIFS('Stock In'!H:H,'Stock In'!B:B,$A206,'Stock In'!C:C,$B206,'Stock In'!D:D,$C206,'Stock In'!E:E,$D206), 0)</f>
        <v>0</v>
      </c>
      <c r="K206" s="82">
        <f t="shared" si="3"/>
        <v>0</v>
      </c>
    </row>
    <row r="207">
      <c r="A207" s="80"/>
      <c r="B207" s="80"/>
      <c r="C207" s="80"/>
      <c r="D207" s="80"/>
      <c r="E207" s="82">
        <f>IFERROR(SUMIFS('Stock In'!F:F,'Stock In'!B:B,$A207,'Stock In'!C:C,$B207,'Stock In'!D:D,$C207,'Stock In'!E:E,$D207),0)</f>
        <v>0</v>
      </c>
      <c r="F207" s="82">
        <f>IFERROR(SUMIFS(Issues!H:H, Issues!F:F, $A207, Issues!C:C, $B207, Issues!D:D, $C207, Issues!E:E, $D207), 0)</f>
        <v>0</v>
      </c>
      <c r="G207" s="82">
        <f>IFERROR(SUMIFS(Returns!H:H, Returns!F:F, $A207, Returns!C:C, $B207, Returns!D:D, $C207, Returns!E:E, $D207), 0)</f>
        <v>0</v>
      </c>
      <c r="H207" s="82">
        <f t="shared" si="1"/>
        <v>0</v>
      </c>
      <c r="I207" s="82">
        <f t="shared" si="2"/>
        <v>0</v>
      </c>
      <c r="J207" s="82">
        <f>IFERROR( SUMIFS('Stock In'!I:I,'Stock In'!B:B,$A207,'Stock In'!C:C,$B207,'Stock In'!D:D,$C207,'Stock In'!E:E,$D207) / SUMIFS('Stock In'!H:H,'Stock In'!B:B,$A207,'Stock In'!C:C,$B207,'Stock In'!D:D,$C207,'Stock In'!E:E,$D207), 0)</f>
        <v>0</v>
      </c>
      <c r="K207" s="82">
        <f t="shared" si="3"/>
        <v>0</v>
      </c>
    </row>
    <row r="208">
      <c r="A208" s="80"/>
      <c r="B208" s="80"/>
      <c r="C208" s="80"/>
      <c r="D208" s="80"/>
      <c r="E208" s="82">
        <f>IFERROR(SUMIFS('Stock In'!F:F,'Stock In'!B:B,$A208,'Stock In'!C:C,$B208,'Stock In'!D:D,$C208,'Stock In'!E:E,$D208),0)</f>
        <v>0</v>
      </c>
      <c r="F208" s="82">
        <f>IFERROR(SUMIFS(Issues!H:H, Issues!F:F, $A208, Issues!C:C, $B208, Issues!D:D, $C208, Issues!E:E, $D208), 0)</f>
        <v>0</v>
      </c>
      <c r="G208" s="82">
        <f>IFERROR(SUMIFS(Returns!H:H, Returns!F:F, $A208, Returns!C:C, $B208, Returns!D:D, $C208, Returns!E:E, $D208), 0)</f>
        <v>0</v>
      </c>
      <c r="H208" s="82">
        <f t="shared" si="1"/>
        <v>0</v>
      </c>
      <c r="I208" s="82">
        <f t="shared" si="2"/>
        <v>0</v>
      </c>
      <c r="J208" s="82">
        <f>IFERROR( SUMIFS('Stock In'!I:I,'Stock In'!B:B,$A208,'Stock In'!C:C,$B208,'Stock In'!D:D,$C208,'Stock In'!E:E,$D208) / SUMIFS('Stock In'!H:H,'Stock In'!B:B,$A208,'Stock In'!C:C,$B208,'Stock In'!D:D,$C208,'Stock In'!E:E,$D208), 0)</f>
        <v>0</v>
      </c>
      <c r="K208" s="82">
        <f t="shared" si="3"/>
        <v>0</v>
      </c>
    </row>
    <row r="209">
      <c r="A209" s="80"/>
      <c r="B209" s="80"/>
      <c r="C209" s="80"/>
      <c r="D209" s="80"/>
      <c r="E209" s="82">
        <f>IFERROR(SUMIFS('Stock In'!F:F,'Stock In'!B:B,$A209,'Stock In'!C:C,$B209,'Stock In'!D:D,$C209,'Stock In'!E:E,$D209),0)</f>
        <v>0</v>
      </c>
      <c r="F209" s="82">
        <f>IFERROR(SUMIFS(Issues!H:H, Issues!F:F, $A209, Issues!C:C, $B209, Issues!D:D, $C209, Issues!E:E, $D209), 0)</f>
        <v>0</v>
      </c>
      <c r="G209" s="82">
        <f>IFERROR(SUMIFS(Returns!H:H, Returns!F:F, $A209, Returns!C:C, $B209, Returns!D:D, $C209, Returns!E:E, $D209), 0)</f>
        <v>0</v>
      </c>
      <c r="H209" s="82">
        <f t="shared" si="1"/>
        <v>0</v>
      </c>
      <c r="I209" s="82">
        <f t="shared" si="2"/>
        <v>0</v>
      </c>
      <c r="J209" s="82">
        <f>IFERROR( SUMIFS('Stock In'!I:I,'Stock In'!B:B,$A209,'Stock In'!C:C,$B209,'Stock In'!D:D,$C209,'Stock In'!E:E,$D209) / SUMIFS('Stock In'!H:H,'Stock In'!B:B,$A209,'Stock In'!C:C,$B209,'Stock In'!D:D,$C209,'Stock In'!E:E,$D209), 0)</f>
        <v>0</v>
      </c>
      <c r="K209" s="82">
        <f t="shared" si="3"/>
        <v>0</v>
      </c>
    </row>
    <row r="210">
      <c r="A210" s="80"/>
      <c r="B210" s="80"/>
      <c r="C210" s="80"/>
      <c r="D210" s="80"/>
      <c r="E210" s="82">
        <f>IFERROR(SUMIFS('Stock In'!F:F,'Stock In'!B:B,$A210,'Stock In'!C:C,$B210,'Stock In'!D:D,$C210,'Stock In'!E:E,$D210),0)</f>
        <v>0</v>
      </c>
      <c r="F210" s="82">
        <f>IFERROR(SUMIFS(Issues!H:H, Issues!F:F, $A210, Issues!C:C, $B210, Issues!D:D, $C210, Issues!E:E, $D210), 0)</f>
        <v>0</v>
      </c>
      <c r="G210" s="82">
        <f>IFERROR(SUMIFS(Returns!H:H, Returns!F:F, $A210, Returns!C:C, $B210, Returns!D:D, $C210, Returns!E:E, $D210), 0)</f>
        <v>0</v>
      </c>
      <c r="H210" s="82">
        <f t="shared" si="1"/>
        <v>0</v>
      </c>
      <c r="I210" s="82">
        <f t="shared" si="2"/>
        <v>0</v>
      </c>
      <c r="J210" s="82">
        <f>IFERROR( SUMIFS('Stock In'!I:I,'Stock In'!B:B,$A210,'Stock In'!C:C,$B210,'Stock In'!D:D,$C210,'Stock In'!E:E,$D210) / SUMIFS('Stock In'!H:H,'Stock In'!B:B,$A210,'Stock In'!C:C,$B210,'Stock In'!D:D,$C210,'Stock In'!E:E,$D210), 0)</f>
        <v>0</v>
      </c>
      <c r="K210" s="82">
        <f t="shared" si="3"/>
        <v>0</v>
      </c>
    </row>
    <row r="211">
      <c r="A211" s="80"/>
      <c r="B211" s="80"/>
      <c r="C211" s="80"/>
      <c r="D211" s="80"/>
      <c r="E211" s="82">
        <f>IFERROR(SUMIFS('Stock In'!F:F,'Stock In'!B:B,$A211,'Stock In'!C:C,$B211,'Stock In'!D:D,$C211,'Stock In'!E:E,$D211),0)</f>
        <v>0</v>
      </c>
      <c r="F211" s="82">
        <f>IFERROR(SUMIFS(Issues!H:H, Issues!F:F, $A211, Issues!C:C, $B211, Issues!D:D, $C211, Issues!E:E, $D211), 0)</f>
        <v>0</v>
      </c>
      <c r="G211" s="82">
        <f>IFERROR(SUMIFS(Returns!H:H, Returns!F:F, $A211, Returns!C:C, $B211, Returns!D:D, $C211, Returns!E:E, $D211), 0)</f>
        <v>0</v>
      </c>
      <c r="H211" s="82">
        <f t="shared" si="1"/>
        <v>0</v>
      </c>
      <c r="I211" s="82">
        <f t="shared" si="2"/>
        <v>0</v>
      </c>
      <c r="J211" s="82">
        <f>IFERROR( SUMIFS('Stock In'!I:I,'Stock In'!B:B,$A211,'Stock In'!C:C,$B211,'Stock In'!D:D,$C211,'Stock In'!E:E,$D211) / SUMIFS('Stock In'!H:H,'Stock In'!B:B,$A211,'Stock In'!C:C,$B211,'Stock In'!D:D,$C211,'Stock In'!E:E,$D211), 0)</f>
        <v>0</v>
      </c>
      <c r="K211" s="82">
        <f t="shared" si="3"/>
        <v>0</v>
      </c>
    </row>
    <row r="212">
      <c r="A212" s="80"/>
      <c r="B212" s="80"/>
      <c r="C212" s="80"/>
      <c r="D212" s="80"/>
      <c r="E212" s="82">
        <f>IFERROR(SUMIFS('Stock In'!F:F,'Stock In'!B:B,$A212,'Stock In'!C:C,$B212,'Stock In'!D:D,$C212,'Stock In'!E:E,$D212),0)</f>
        <v>0</v>
      </c>
      <c r="F212" s="82">
        <f>IFERROR(SUMIFS(Issues!H:H, Issues!F:F, $A212, Issues!C:C, $B212, Issues!D:D, $C212, Issues!E:E, $D212), 0)</f>
        <v>0</v>
      </c>
      <c r="G212" s="82">
        <f>IFERROR(SUMIFS(Returns!H:H, Returns!F:F, $A212, Returns!C:C, $B212, Returns!D:D, $C212, Returns!E:E, $D212), 0)</f>
        <v>0</v>
      </c>
      <c r="H212" s="82">
        <f t="shared" si="1"/>
        <v>0</v>
      </c>
      <c r="I212" s="82">
        <f t="shared" si="2"/>
        <v>0</v>
      </c>
      <c r="J212" s="82">
        <f>IFERROR( SUMIFS('Stock In'!I:I,'Stock In'!B:B,$A212,'Stock In'!C:C,$B212,'Stock In'!D:D,$C212,'Stock In'!E:E,$D212) / SUMIFS('Stock In'!H:H,'Stock In'!B:B,$A212,'Stock In'!C:C,$B212,'Stock In'!D:D,$C212,'Stock In'!E:E,$D212), 0)</f>
        <v>0</v>
      </c>
      <c r="K212" s="82">
        <f t="shared" si="3"/>
        <v>0</v>
      </c>
    </row>
    <row r="213">
      <c r="A213" s="80"/>
      <c r="B213" s="80"/>
      <c r="C213" s="80"/>
      <c r="D213" s="80"/>
      <c r="E213" s="82">
        <f>IFERROR(SUMIFS('Stock In'!F:F,'Stock In'!B:B,$A213,'Stock In'!C:C,$B213,'Stock In'!D:D,$C213,'Stock In'!E:E,$D213),0)</f>
        <v>0</v>
      </c>
      <c r="F213" s="82">
        <f>IFERROR(SUMIFS(Issues!H:H, Issues!F:F, $A213, Issues!C:C, $B213, Issues!D:D, $C213, Issues!E:E, $D213), 0)</f>
        <v>0</v>
      </c>
      <c r="G213" s="82">
        <f>IFERROR(SUMIFS(Returns!H:H, Returns!F:F, $A213, Returns!C:C, $B213, Returns!D:D, $C213, Returns!E:E, $D213), 0)</f>
        <v>0</v>
      </c>
      <c r="H213" s="82">
        <f t="shared" si="1"/>
        <v>0</v>
      </c>
      <c r="I213" s="82">
        <f t="shared" si="2"/>
        <v>0</v>
      </c>
      <c r="J213" s="82">
        <f>IFERROR( SUMIFS('Stock In'!I:I,'Stock In'!B:B,$A213,'Stock In'!C:C,$B213,'Stock In'!D:D,$C213,'Stock In'!E:E,$D213) / SUMIFS('Stock In'!H:H,'Stock In'!B:B,$A213,'Stock In'!C:C,$B213,'Stock In'!D:D,$C213,'Stock In'!E:E,$D213), 0)</f>
        <v>0</v>
      </c>
      <c r="K213" s="82">
        <f t="shared" si="3"/>
        <v>0</v>
      </c>
    </row>
    <row r="214">
      <c r="A214" s="80"/>
      <c r="B214" s="80"/>
      <c r="C214" s="80"/>
      <c r="D214" s="80"/>
      <c r="E214" s="82">
        <f>IFERROR(SUMIFS('Stock In'!F:F,'Stock In'!B:B,$A214,'Stock In'!C:C,$B214,'Stock In'!D:D,$C214,'Stock In'!E:E,$D214),0)</f>
        <v>0</v>
      </c>
      <c r="F214" s="82">
        <f>IFERROR(SUMIFS(Issues!H:H, Issues!F:F, $A214, Issues!C:C, $B214, Issues!D:D, $C214, Issues!E:E, $D214), 0)</f>
        <v>0</v>
      </c>
      <c r="G214" s="82">
        <f>IFERROR(SUMIFS(Returns!H:H, Returns!F:F, $A214, Returns!C:C, $B214, Returns!D:D, $C214, Returns!E:E, $D214), 0)</f>
        <v>0</v>
      </c>
      <c r="H214" s="82">
        <f t="shared" si="1"/>
        <v>0</v>
      </c>
      <c r="I214" s="82">
        <f t="shared" si="2"/>
        <v>0</v>
      </c>
      <c r="J214" s="82">
        <f>IFERROR( SUMIFS('Stock In'!I:I,'Stock In'!B:B,$A214,'Stock In'!C:C,$B214,'Stock In'!D:D,$C214,'Stock In'!E:E,$D214) / SUMIFS('Stock In'!H:H,'Stock In'!B:B,$A214,'Stock In'!C:C,$B214,'Stock In'!D:D,$C214,'Stock In'!E:E,$D214), 0)</f>
        <v>0</v>
      </c>
      <c r="K214" s="82">
        <f t="shared" si="3"/>
        <v>0</v>
      </c>
    </row>
    <row r="215">
      <c r="A215" s="80"/>
      <c r="B215" s="80"/>
      <c r="C215" s="80"/>
      <c r="D215" s="80"/>
      <c r="E215" s="82">
        <f>IFERROR(SUMIFS('Stock In'!F:F,'Stock In'!B:B,$A215,'Stock In'!C:C,$B215,'Stock In'!D:D,$C215,'Stock In'!E:E,$D215),0)</f>
        <v>0</v>
      </c>
      <c r="F215" s="82">
        <f>IFERROR(SUMIFS(Issues!H:H, Issues!F:F, $A215, Issues!C:C, $B215, Issues!D:D, $C215, Issues!E:E, $D215), 0)</f>
        <v>0</v>
      </c>
      <c r="G215" s="82">
        <f>IFERROR(SUMIFS(Returns!H:H, Returns!F:F, $A215, Returns!C:C, $B215, Returns!D:D, $C215, Returns!E:E, $D215), 0)</f>
        <v>0</v>
      </c>
      <c r="H215" s="82">
        <f t="shared" si="1"/>
        <v>0</v>
      </c>
      <c r="I215" s="82">
        <f t="shared" si="2"/>
        <v>0</v>
      </c>
      <c r="J215" s="82">
        <f>IFERROR( SUMIFS('Stock In'!I:I,'Stock In'!B:B,$A215,'Stock In'!C:C,$B215,'Stock In'!D:D,$C215,'Stock In'!E:E,$D215) / SUMIFS('Stock In'!H:H,'Stock In'!B:B,$A215,'Stock In'!C:C,$B215,'Stock In'!D:D,$C215,'Stock In'!E:E,$D215), 0)</f>
        <v>0</v>
      </c>
      <c r="K215" s="82">
        <f t="shared" si="3"/>
        <v>0</v>
      </c>
    </row>
    <row r="216">
      <c r="A216" s="80"/>
      <c r="B216" s="80"/>
      <c r="C216" s="80"/>
      <c r="D216" s="80"/>
      <c r="E216" s="82">
        <f>IFERROR(SUMIFS('Stock In'!F:F,'Stock In'!B:B,$A216,'Stock In'!C:C,$B216,'Stock In'!D:D,$C216,'Stock In'!E:E,$D216),0)</f>
        <v>0</v>
      </c>
      <c r="F216" s="82">
        <f>IFERROR(SUMIFS(Issues!H:H, Issues!F:F, $A216, Issues!C:C, $B216, Issues!D:D, $C216, Issues!E:E, $D216), 0)</f>
        <v>0</v>
      </c>
      <c r="G216" s="82">
        <f>IFERROR(SUMIFS(Returns!H:H, Returns!F:F, $A216, Returns!C:C, $B216, Returns!D:D, $C216, Returns!E:E, $D216), 0)</f>
        <v>0</v>
      </c>
      <c r="H216" s="82">
        <f t="shared" si="1"/>
        <v>0</v>
      </c>
      <c r="I216" s="82">
        <f t="shared" si="2"/>
        <v>0</v>
      </c>
      <c r="J216" s="82">
        <f>IFERROR( SUMIFS('Stock In'!I:I,'Stock In'!B:B,$A216,'Stock In'!C:C,$B216,'Stock In'!D:D,$C216,'Stock In'!E:E,$D216) / SUMIFS('Stock In'!H:H,'Stock In'!B:B,$A216,'Stock In'!C:C,$B216,'Stock In'!D:D,$C216,'Stock In'!E:E,$D216), 0)</f>
        <v>0</v>
      </c>
      <c r="K216" s="82">
        <f t="shared" si="3"/>
        <v>0</v>
      </c>
    </row>
    <row r="217">
      <c r="A217" s="80"/>
      <c r="B217" s="80"/>
      <c r="C217" s="80"/>
      <c r="D217" s="80"/>
      <c r="E217" s="82">
        <f>IFERROR(SUMIFS('Stock In'!F:F,'Stock In'!B:B,$A217,'Stock In'!C:C,$B217,'Stock In'!D:D,$C217,'Stock In'!E:E,$D217),0)</f>
        <v>0</v>
      </c>
      <c r="F217" s="82">
        <f>IFERROR(SUMIFS(Issues!H:H, Issues!F:F, $A217, Issues!C:C, $B217, Issues!D:D, $C217, Issues!E:E, $D217), 0)</f>
        <v>0</v>
      </c>
      <c r="G217" s="82">
        <f>IFERROR(SUMIFS(Returns!H:H, Returns!F:F, $A217, Returns!C:C, $B217, Returns!D:D, $C217, Returns!E:E, $D217), 0)</f>
        <v>0</v>
      </c>
      <c r="H217" s="82">
        <f t="shared" si="1"/>
        <v>0</v>
      </c>
      <c r="I217" s="82">
        <f t="shared" si="2"/>
        <v>0</v>
      </c>
      <c r="J217" s="82">
        <f>IFERROR( SUMIFS('Stock In'!I:I,'Stock In'!B:B,$A217,'Stock In'!C:C,$B217,'Stock In'!D:D,$C217,'Stock In'!E:E,$D217) / SUMIFS('Stock In'!H:H,'Stock In'!B:B,$A217,'Stock In'!C:C,$B217,'Stock In'!D:D,$C217,'Stock In'!E:E,$D217), 0)</f>
        <v>0</v>
      </c>
      <c r="K217" s="82">
        <f t="shared" si="3"/>
        <v>0</v>
      </c>
    </row>
    <row r="218">
      <c r="A218" s="80"/>
      <c r="B218" s="80"/>
      <c r="C218" s="80"/>
      <c r="D218" s="80"/>
      <c r="E218" s="82">
        <f>IFERROR(SUMIFS('Stock In'!F:F,'Stock In'!B:B,$A218,'Stock In'!C:C,$B218,'Stock In'!D:D,$C218,'Stock In'!E:E,$D218),0)</f>
        <v>0</v>
      </c>
      <c r="F218" s="82">
        <f>IFERROR(SUMIFS(Issues!H:H, Issues!F:F, $A218, Issues!C:C, $B218, Issues!D:D, $C218, Issues!E:E, $D218), 0)</f>
        <v>0</v>
      </c>
      <c r="G218" s="82">
        <f>IFERROR(SUMIFS(Returns!H:H, Returns!F:F, $A218, Returns!C:C, $B218, Returns!D:D, $C218, Returns!E:E, $D218), 0)</f>
        <v>0</v>
      </c>
      <c r="H218" s="82">
        <f t="shared" si="1"/>
        <v>0</v>
      </c>
      <c r="I218" s="82">
        <f t="shared" si="2"/>
        <v>0</v>
      </c>
      <c r="J218" s="82">
        <f>IFERROR( SUMIFS('Stock In'!I:I,'Stock In'!B:B,$A218,'Stock In'!C:C,$B218,'Stock In'!D:D,$C218,'Stock In'!E:E,$D218) / SUMIFS('Stock In'!H:H,'Stock In'!B:B,$A218,'Stock In'!C:C,$B218,'Stock In'!D:D,$C218,'Stock In'!E:E,$D218), 0)</f>
        <v>0</v>
      </c>
      <c r="K218" s="82">
        <f t="shared" si="3"/>
        <v>0</v>
      </c>
    </row>
    <row r="219">
      <c r="A219" s="80"/>
      <c r="B219" s="80"/>
      <c r="C219" s="80"/>
      <c r="D219" s="80"/>
      <c r="E219" s="82">
        <f>IFERROR(SUMIFS('Stock In'!F:F,'Stock In'!B:B,$A219,'Stock In'!C:C,$B219,'Stock In'!D:D,$C219,'Stock In'!E:E,$D219),0)</f>
        <v>0</v>
      </c>
      <c r="F219" s="82">
        <f>IFERROR(SUMIFS(Issues!H:H, Issues!F:F, $A219, Issues!C:C, $B219, Issues!D:D, $C219, Issues!E:E, $D219), 0)</f>
        <v>0</v>
      </c>
      <c r="G219" s="82">
        <f>IFERROR(SUMIFS(Returns!H:H, Returns!F:F, $A219, Returns!C:C, $B219, Returns!D:D, $C219, Returns!E:E, $D219), 0)</f>
        <v>0</v>
      </c>
      <c r="H219" s="82">
        <f t="shared" si="1"/>
        <v>0</v>
      </c>
      <c r="I219" s="82">
        <f t="shared" si="2"/>
        <v>0</v>
      </c>
      <c r="J219" s="82">
        <f>IFERROR( SUMIFS('Stock In'!I:I,'Stock In'!B:B,$A219,'Stock In'!C:C,$B219,'Stock In'!D:D,$C219,'Stock In'!E:E,$D219) / SUMIFS('Stock In'!H:H,'Stock In'!B:B,$A219,'Stock In'!C:C,$B219,'Stock In'!D:D,$C219,'Stock In'!E:E,$D219), 0)</f>
        <v>0</v>
      </c>
      <c r="K219" s="82">
        <f t="shared" si="3"/>
        <v>0</v>
      </c>
    </row>
    <row r="220">
      <c r="A220" s="80"/>
      <c r="B220" s="80"/>
      <c r="C220" s="80"/>
      <c r="D220" s="80"/>
      <c r="E220" s="82">
        <f>IFERROR(SUMIFS('Stock In'!F:F,'Stock In'!B:B,$A220,'Stock In'!C:C,$B220,'Stock In'!D:D,$C220,'Stock In'!E:E,$D220),0)</f>
        <v>0</v>
      </c>
      <c r="F220" s="82">
        <f>IFERROR(SUMIFS(Issues!H:H, Issues!F:F, $A220, Issues!C:C, $B220, Issues!D:D, $C220, Issues!E:E, $D220), 0)</f>
        <v>0</v>
      </c>
      <c r="G220" s="82">
        <f>IFERROR(SUMIFS(Returns!H:H, Returns!F:F, $A220, Returns!C:C, $B220, Returns!D:D, $C220, Returns!E:E, $D220), 0)</f>
        <v>0</v>
      </c>
      <c r="H220" s="82">
        <f t="shared" si="1"/>
        <v>0</v>
      </c>
      <c r="I220" s="82">
        <f t="shared" si="2"/>
        <v>0</v>
      </c>
      <c r="J220" s="82">
        <f>IFERROR( SUMIFS('Stock In'!I:I,'Stock In'!B:B,$A220,'Stock In'!C:C,$B220,'Stock In'!D:D,$C220,'Stock In'!E:E,$D220) / SUMIFS('Stock In'!H:H,'Stock In'!B:B,$A220,'Stock In'!C:C,$B220,'Stock In'!D:D,$C220,'Stock In'!E:E,$D220), 0)</f>
        <v>0</v>
      </c>
      <c r="K220" s="82">
        <f t="shared" si="3"/>
        <v>0</v>
      </c>
    </row>
    <row r="221">
      <c r="A221" s="80"/>
      <c r="B221" s="80"/>
      <c r="C221" s="80"/>
      <c r="D221" s="80"/>
      <c r="E221" s="82">
        <f>IFERROR(SUMIFS('Stock In'!F:F,'Stock In'!B:B,$A221,'Stock In'!C:C,$B221,'Stock In'!D:D,$C221,'Stock In'!E:E,$D221),0)</f>
        <v>0</v>
      </c>
      <c r="F221" s="82">
        <f>IFERROR(SUMIFS(Issues!H:H, Issues!F:F, $A221, Issues!C:C, $B221, Issues!D:D, $C221, Issues!E:E, $D221), 0)</f>
        <v>0</v>
      </c>
      <c r="G221" s="82">
        <f>IFERROR(SUMIFS(Returns!H:H, Returns!F:F, $A221, Returns!C:C, $B221, Returns!D:D, $C221, Returns!E:E, $D221), 0)</f>
        <v>0</v>
      </c>
      <c r="H221" s="82">
        <f t="shared" si="1"/>
        <v>0</v>
      </c>
      <c r="I221" s="82">
        <f t="shared" si="2"/>
        <v>0</v>
      </c>
      <c r="J221" s="82">
        <f>IFERROR( SUMIFS('Stock In'!I:I,'Stock In'!B:B,$A221,'Stock In'!C:C,$B221,'Stock In'!D:D,$C221,'Stock In'!E:E,$D221) / SUMIFS('Stock In'!H:H,'Stock In'!B:B,$A221,'Stock In'!C:C,$B221,'Stock In'!D:D,$C221,'Stock In'!E:E,$D221), 0)</f>
        <v>0</v>
      </c>
      <c r="K221" s="82">
        <f t="shared" si="3"/>
        <v>0</v>
      </c>
    </row>
    <row r="222">
      <c r="A222" s="80"/>
      <c r="B222" s="80"/>
      <c r="C222" s="80"/>
      <c r="D222" s="80"/>
      <c r="E222" s="82">
        <f>IFERROR(SUMIFS('Stock In'!F:F,'Stock In'!B:B,$A222,'Stock In'!C:C,$B222,'Stock In'!D:D,$C222,'Stock In'!E:E,$D222),0)</f>
        <v>0</v>
      </c>
      <c r="F222" s="82">
        <f>IFERROR(SUMIFS(Issues!H:H, Issues!F:F, $A222, Issues!C:C, $B222, Issues!D:D, $C222, Issues!E:E, $D222), 0)</f>
        <v>0</v>
      </c>
      <c r="G222" s="82">
        <f>IFERROR(SUMIFS(Returns!H:H, Returns!F:F, $A222, Returns!C:C, $B222, Returns!D:D, $C222, Returns!E:E, $D222), 0)</f>
        <v>0</v>
      </c>
      <c r="H222" s="82">
        <f t="shared" si="1"/>
        <v>0</v>
      </c>
      <c r="I222" s="82">
        <f t="shared" si="2"/>
        <v>0</v>
      </c>
      <c r="J222" s="82">
        <f>IFERROR( SUMIFS('Stock In'!I:I,'Stock In'!B:B,$A222,'Stock In'!C:C,$B222,'Stock In'!D:D,$C222,'Stock In'!E:E,$D222) / SUMIFS('Stock In'!H:H,'Stock In'!B:B,$A222,'Stock In'!C:C,$B222,'Stock In'!D:D,$C222,'Stock In'!E:E,$D222), 0)</f>
        <v>0</v>
      </c>
      <c r="K222" s="82">
        <f t="shared" si="3"/>
        <v>0</v>
      </c>
    </row>
    <row r="223">
      <c r="A223" s="80"/>
      <c r="B223" s="80"/>
      <c r="C223" s="80"/>
      <c r="D223" s="80"/>
      <c r="E223" s="82">
        <f>IFERROR(SUMIFS('Stock In'!F:F,'Stock In'!B:B,$A223,'Stock In'!C:C,$B223,'Stock In'!D:D,$C223,'Stock In'!E:E,$D223),0)</f>
        <v>0</v>
      </c>
      <c r="F223" s="82">
        <f>IFERROR(SUMIFS(Issues!H:H, Issues!F:F, $A223, Issues!C:C, $B223, Issues!D:D, $C223, Issues!E:E, $D223), 0)</f>
        <v>0</v>
      </c>
      <c r="G223" s="82">
        <f>IFERROR(SUMIFS(Returns!H:H, Returns!F:F, $A223, Returns!C:C, $B223, Returns!D:D, $C223, Returns!E:E, $D223), 0)</f>
        <v>0</v>
      </c>
      <c r="H223" s="82">
        <f t="shared" si="1"/>
        <v>0</v>
      </c>
      <c r="I223" s="82">
        <f t="shared" si="2"/>
        <v>0</v>
      </c>
      <c r="J223" s="82">
        <f>IFERROR( SUMIFS('Stock In'!I:I,'Stock In'!B:B,$A223,'Stock In'!C:C,$B223,'Stock In'!D:D,$C223,'Stock In'!E:E,$D223) / SUMIFS('Stock In'!H:H,'Stock In'!B:B,$A223,'Stock In'!C:C,$B223,'Stock In'!D:D,$C223,'Stock In'!E:E,$D223), 0)</f>
        <v>0</v>
      </c>
      <c r="K223" s="82">
        <f t="shared" si="3"/>
        <v>0</v>
      </c>
    </row>
    <row r="224">
      <c r="A224" s="80"/>
      <c r="B224" s="80"/>
      <c r="C224" s="80"/>
      <c r="D224" s="80"/>
      <c r="E224" s="82">
        <f>IFERROR(SUMIFS('Stock In'!F:F,'Stock In'!B:B,$A224,'Stock In'!C:C,$B224,'Stock In'!D:D,$C224,'Stock In'!E:E,$D224),0)</f>
        <v>0</v>
      </c>
      <c r="F224" s="82">
        <f>IFERROR(SUMIFS(Issues!H:H, Issues!F:F, $A224, Issues!C:C, $B224, Issues!D:D, $C224, Issues!E:E, $D224), 0)</f>
        <v>0</v>
      </c>
      <c r="G224" s="82">
        <f>IFERROR(SUMIFS(Returns!H:H, Returns!F:F, $A224, Returns!C:C, $B224, Returns!D:D, $C224, Returns!E:E, $D224), 0)</f>
        <v>0</v>
      </c>
      <c r="H224" s="82">
        <f t="shared" si="1"/>
        <v>0</v>
      </c>
      <c r="I224" s="82">
        <f t="shared" si="2"/>
        <v>0</v>
      </c>
      <c r="J224" s="82">
        <f>IFERROR( SUMIFS('Stock In'!I:I,'Stock In'!B:B,$A224,'Stock In'!C:C,$B224,'Stock In'!D:D,$C224,'Stock In'!E:E,$D224) / SUMIFS('Stock In'!H:H,'Stock In'!B:B,$A224,'Stock In'!C:C,$B224,'Stock In'!D:D,$C224,'Stock In'!E:E,$D224), 0)</f>
        <v>0</v>
      </c>
      <c r="K224" s="82">
        <f t="shared" si="3"/>
        <v>0</v>
      </c>
    </row>
    <row r="225">
      <c r="A225" s="80"/>
      <c r="B225" s="80"/>
      <c r="C225" s="80"/>
      <c r="D225" s="80"/>
      <c r="E225" s="82">
        <f>IFERROR(SUMIFS('Stock In'!F:F,'Stock In'!B:B,$A225,'Stock In'!C:C,$B225,'Stock In'!D:D,$C225,'Stock In'!E:E,$D225),0)</f>
        <v>0</v>
      </c>
      <c r="F225" s="82">
        <f>IFERROR(SUMIFS(Issues!H:H, Issues!F:F, $A225, Issues!C:C, $B225, Issues!D:D, $C225, Issues!E:E, $D225), 0)</f>
        <v>0</v>
      </c>
      <c r="G225" s="82">
        <f>IFERROR(SUMIFS(Returns!H:H, Returns!F:F, $A225, Returns!C:C, $B225, Returns!D:D, $C225, Returns!E:E, $D225), 0)</f>
        <v>0</v>
      </c>
      <c r="H225" s="82">
        <f t="shared" si="1"/>
        <v>0</v>
      </c>
      <c r="I225" s="82">
        <f t="shared" si="2"/>
        <v>0</v>
      </c>
      <c r="J225" s="82">
        <f>IFERROR( SUMIFS('Stock In'!I:I,'Stock In'!B:B,$A225,'Stock In'!C:C,$B225,'Stock In'!D:D,$C225,'Stock In'!E:E,$D225) / SUMIFS('Stock In'!H:H,'Stock In'!B:B,$A225,'Stock In'!C:C,$B225,'Stock In'!D:D,$C225,'Stock In'!E:E,$D225), 0)</f>
        <v>0</v>
      </c>
      <c r="K225" s="82">
        <f t="shared" si="3"/>
        <v>0</v>
      </c>
    </row>
    <row r="226">
      <c r="A226" s="80"/>
      <c r="B226" s="80"/>
      <c r="C226" s="80"/>
      <c r="D226" s="80"/>
      <c r="E226" s="82">
        <f>IFERROR(SUMIFS('Stock In'!F:F,'Stock In'!B:B,$A226,'Stock In'!C:C,$B226,'Stock In'!D:D,$C226,'Stock In'!E:E,$D226),0)</f>
        <v>0</v>
      </c>
      <c r="F226" s="82">
        <f>IFERROR(SUMIFS(Issues!H:H, Issues!F:F, $A226, Issues!C:C, $B226, Issues!D:D, $C226, Issues!E:E, $D226), 0)</f>
        <v>0</v>
      </c>
      <c r="G226" s="82">
        <f>IFERROR(SUMIFS(Returns!H:H, Returns!F:F, $A226, Returns!C:C, $B226, Returns!D:D, $C226, Returns!E:E, $D226), 0)</f>
        <v>0</v>
      </c>
      <c r="H226" s="82">
        <f t="shared" si="1"/>
        <v>0</v>
      </c>
      <c r="I226" s="82">
        <f t="shared" si="2"/>
        <v>0</v>
      </c>
      <c r="J226" s="82">
        <f>IFERROR( SUMIFS('Stock In'!I:I,'Stock In'!B:B,$A226,'Stock In'!C:C,$B226,'Stock In'!D:D,$C226,'Stock In'!E:E,$D226) / SUMIFS('Stock In'!H:H,'Stock In'!B:B,$A226,'Stock In'!C:C,$B226,'Stock In'!D:D,$C226,'Stock In'!E:E,$D226), 0)</f>
        <v>0</v>
      </c>
      <c r="K226" s="82">
        <f t="shared" si="3"/>
        <v>0</v>
      </c>
    </row>
    <row r="227">
      <c r="A227" s="80"/>
      <c r="B227" s="80"/>
      <c r="C227" s="80"/>
      <c r="D227" s="80"/>
      <c r="E227" s="82">
        <f>IFERROR(SUMIFS('Stock In'!F:F,'Stock In'!B:B,$A227,'Stock In'!C:C,$B227,'Stock In'!D:D,$C227,'Stock In'!E:E,$D227),0)</f>
        <v>0</v>
      </c>
      <c r="F227" s="82">
        <f>IFERROR(SUMIFS(Issues!H:H, Issues!F:F, $A227, Issues!C:C, $B227, Issues!D:D, $C227, Issues!E:E, $D227), 0)</f>
        <v>0</v>
      </c>
      <c r="G227" s="82">
        <f>IFERROR(SUMIFS(Returns!H:H, Returns!F:F, $A227, Returns!C:C, $B227, Returns!D:D, $C227, Returns!E:E, $D227), 0)</f>
        <v>0</v>
      </c>
      <c r="H227" s="82">
        <f t="shared" si="1"/>
        <v>0</v>
      </c>
      <c r="I227" s="82">
        <f t="shared" si="2"/>
        <v>0</v>
      </c>
      <c r="J227" s="82">
        <f>IFERROR( SUMIFS('Stock In'!I:I,'Stock In'!B:B,$A227,'Stock In'!C:C,$B227,'Stock In'!D:D,$C227,'Stock In'!E:E,$D227) / SUMIFS('Stock In'!H:H,'Stock In'!B:B,$A227,'Stock In'!C:C,$B227,'Stock In'!D:D,$C227,'Stock In'!E:E,$D227), 0)</f>
        <v>0</v>
      </c>
      <c r="K227" s="82">
        <f t="shared" si="3"/>
        <v>0</v>
      </c>
    </row>
    <row r="228">
      <c r="A228" s="80"/>
      <c r="B228" s="80"/>
      <c r="C228" s="80"/>
      <c r="D228" s="80"/>
      <c r="E228" s="82">
        <f>IFERROR(SUMIFS('Stock In'!F:F,'Stock In'!B:B,$A228,'Stock In'!C:C,$B228,'Stock In'!D:D,$C228,'Stock In'!E:E,$D228),0)</f>
        <v>0</v>
      </c>
      <c r="F228" s="82">
        <f>IFERROR(SUMIFS(Issues!H:H, Issues!F:F, $A228, Issues!C:C, $B228, Issues!D:D, $C228, Issues!E:E, $D228), 0)</f>
        <v>0</v>
      </c>
      <c r="G228" s="82">
        <f>IFERROR(SUMIFS(Returns!H:H, Returns!F:F, $A228, Returns!C:C, $B228, Returns!D:D, $C228, Returns!E:E, $D228), 0)</f>
        <v>0</v>
      </c>
      <c r="H228" s="82">
        <f t="shared" si="1"/>
        <v>0</v>
      </c>
      <c r="I228" s="82">
        <f t="shared" si="2"/>
        <v>0</v>
      </c>
      <c r="J228" s="82">
        <f>IFERROR( SUMIFS('Stock In'!I:I,'Stock In'!B:B,$A228,'Stock In'!C:C,$B228,'Stock In'!D:D,$C228,'Stock In'!E:E,$D228) / SUMIFS('Stock In'!H:H,'Stock In'!B:B,$A228,'Stock In'!C:C,$B228,'Stock In'!D:D,$C228,'Stock In'!E:E,$D228), 0)</f>
        <v>0</v>
      </c>
      <c r="K228" s="82">
        <f t="shared" si="3"/>
        <v>0</v>
      </c>
    </row>
    <row r="229">
      <c r="A229" s="80"/>
      <c r="B229" s="80"/>
      <c r="C229" s="80"/>
      <c r="D229" s="80"/>
      <c r="E229" s="82">
        <f>IFERROR(SUMIFS('Stock In'!F:F,'Stock In'!B:B,$A229,'Stock In'!C:C,$B229,'Stock In'!D:D,$C229,'Stock In'!E:E,$D229),0)</f>
        <v>0</v>
      </c>
      <c r="F229" s="82">
        <f>IFERROR(SUMIFS(Issues!H:H, Issues!F:F, $A229, Issues!C:C, $B229, Issues!D:D, $C229, Issues!E:E, $D229), 0)</f>
        <v>0</v>
      </c>
      <c r="G229" s="82">
        <f>IFERROR(SUMIFS(Returns!H:H, Returns!F:F, $A229, Returns!C:C, $B229, Returns!D:D, $C229, Returns!E:E, $D229), 0)</f>
        <v>0</v>
      </c>
      <c r="H229" s="82">
        <f t="shared" si="1"/>
        <v>0</v>
      </c>
      <c r="I229" s="82">
        <f t="shared" si="2"/>
        <v>0</v>
      </c>
      <c r="J229" s="82">
        <f>IFERROR( SUMIFS('Stock In'!I:I,'Stock In'!B:B,$A229,'Stock In'!C:C,$B229,'Stock In'!D:D,$C229,'Stock In'!E:E,$D229) / SUMIFS('Stock In'!H:H,'Stock In'!B:B,$A229,'Stock In'!C:C,$B229,'Stock In'!D:D,$C229,'Stock In'!E:E,$D229), 0)</f>
        <v>0</v>
      </c>
      <c r="K229" s="82">
        <f t="shared" si="3"/>
        <v>0</v>
      </c>
    </row>
    <row r="230">
      <c r="A230" s="80"/>
      <c r="B230" s="80"/>
      <c r="C230" s="80"/>
      <c r="D230" s="80"/>
      <c r="E230" s="82">
        <f>IFERROR(SUMIFS('Stock In'!F:F,'Stock In'!B:B,$A230,'Stock In'!C:C,$B230,'Stock In'!D:D,$C230,'Stock In'!E:E,$D230),0)</f>
        <v>0</v>
      </c>
      <c r="F230" s="82">
        <f>IFERROR(SUMIFS(Issues!H:H, Issues!F:F, $A230, Issues!C:C, $B230, Issues!D:D, $C230, Issues!E:E, $D230), 0)</f>
        <v>0</v>
      </c>
      <c r="G230" s="82">
        <f>IFERROR(SUMIFS(Returns!H:H, Returns!F:F, $A230, Returns!C:C, $B230, Returns!D:D, $C230, Returns!E:E, $D230), 0)</f>
        <v>0</v>
      </c>
      <c r="H230" s="82">
        <f t="shared" si="1"/>
        <v>0</v>
      </c>
      <c r="I230" s="82">
        <f t="shared" si="2"/>
        <v>0</v>
      </c>
      <c r="J230" s="82">
        <f>IFERROR( SUMIFS('Stock In'!I:I,'Stock In'!B:B,$A230,'Stock In'!C:C,$B230,'Stock In'!D:D,$C230,'Stock In'!E:E,$D230) / SUMIFS('Stock In'!H:H,'Stock In'!B:B,$A230,'Stock In'!C:C,$B230,'Stock In'!D:D,$C230,'Stock In'!E:E,$D230), 0)</f>
        <v>0</v>
      </c>
      <c r="K230" s="82">
        <f t="shared" si="3"/>
        <v>0</v>
      </c>
    </row>
    <row r="231">
      <c r="A231" s="80"/>
      <c r="B231" s="80"/>
      <c r="C231" s="80"/>
      <c r="D231" s="80"/>
      <c r="E231" s="82">
        <f>IFERROR(SUMIFS('Stock In'!F:F,'Stock In'!B:B,$A231,'Stock In'!C:C,$B231,'Stock In'!D:D,$C231,'Stock In'!E:E,$D231),0)</f>
        <v>0</v>
      </c>
      <c r="F231" s="82">
        <f>IFERROR(SUMIFS(Issues!H:H, Issues!F:F, $A231, Issues!C:C, $B231, Issues!D:D, $C231, Issues!E:E, $D231), 0)</f>
        <v>0</v>
      </c>
      <c r="G231" s="82">
        <f>IFERROR(SUMIFS(Returns!H:H, Returns!F:F, $A231, Returns!C:C, $B231, Returns!D:D, $C231, Returns!E:E, $D231), 0)</f>
        <v>0</v>
      </c>
      <c r="H231" s="82">
        <f t="shared" si="1"/>
        <v>0</v>
      </c>
      <c r="I231" s="82">
        <f t="shared" si="2"/>
        <v>0</v>
      </c>
      <c r="J231" s="82">
        <f>IFERROR( SUMIFS('Stock In'!I:I,'Stock In'!B:B,$A231,'Stock In'!C:C,$B231,'Stock In'!D:D,$C231,'Stock In'!E:E,$D231) / SUMIFS('Stock In'!H:H,'Stock In'!B:B,$A231,'Stock In'!C:C,$B231,'Stock In'!D:D,$C231,'Stock In'!E:E,$D231), 0)</f>
        <v>0</v>
      </c>
      <c r="K231" s="82">
        <f t="shared" si="3"/>
        <v>0</v>
      </c>
    </row>
    <row r="232">
      <c r="A232" s="80"/>
      <c r="B232" s="80"/>
      <c r="C232" s="80"/>
      <c r="D232" s="80"/>
      <c r="E232" s="82">
        <f>IFERROR(SUMIFS('Stock In'!F:F,'Stock In'!B:B,$A232,'Stock In'!C:C,$B232,'Stock In'!D:D,$C232,'Stock In'!E:E,$D232),0)</f>
        <v>0</v>
      </c>
      <c r="F232" s="82">
        <f>IFERROR(SUMIFS(Issues!H:H, Issues!F:F, $A232, Issues!C:C, $B232, Issues!D:D, $C232, Issues!E:E, $D232), 0)</f>
        <v>0</v>
      </c>
      <c r="G232" s="82">
        <f>IFERROR(SUMIFS(Returns!H:H, Returns!F:F, $A232, Returns!C:C, $B232, Returns!D:D, $C232, Returns!E:E, $D232), 0)</f>
        <v>0</v>
      </c>
      <c r="H232" s="82">
        <f t="shared" si="1"/>
        <v>0</v>
      </c>
      <c r="I232" s="82">
        <f t="shared" si="2"/>
        <v>0</v>
      </c>
      <c r="J232" s="82">
        <f>IFERROR( SUMIFS('Stock In'!I:I,'Stock In'!B:B,$A232,'Stock In'!C:C,$B232,'Stock In'!D:D,$C232,'Stock In'!E:E,$D232) / SUMIFS('Stock In'!H:H,'Stock In'!B:B,$A232,'Stock In'!C:C,$B232,'Stock In'!D:D,$C232,'Stock In'!E:E,$D232), 0)</f>
        <v>0</v>
      </c>
      <c r="K232" s="82">
        <f t="shared" si="3"/>
        <v>0</v>
      </c>
    </row>
    <row r="233">
      <c r="A233" s="80"/>
      <c r="B233" s="80"/>
      <c r="C233" s="80"/>
      <c r="D233" s="80"/>
      <c r="E233" s="82">
        <f>IFERROR(SUMIFS('Stock In'!F:F,'Stock In'!B:B,$A233,'Stock In'!C:C,$B233,'Stock In'!D:D,$C233,'Stock In'!E:E,$D233),0)</f>
        <v>0</v>
      </c>
      <c r="F233" s="82">
        <f>IFERROR(SUMIFS(Issues!H:H, Issues!F:F, $A233, Issues!C:C, $B233, Issues!D:D, $C233, Issues!E:E, $D233), 0)</f>
        <v>0</v>
      </c>
      <c r="G233" s="82">
        <f>IFERROR(SUMIFS(Returns!H:H, Returns!F:F, $A233, Returns!C:C, $B233, Returns!D:D, $C233, Returns!E:E, $D233), 0)</f>
        <v>0</v>
      </c>
      <c r="H233" s="82">
        <f t="shared" si="1"/>
        <v>0</v>
      </c>
      <c r="I233" s="82">
        <f t="shared" si="2"/>
        <v>0</v>
      </c>
      <c r="J233" s="82">
        <f>IFERROR( SUMIFS('Stock In'!I:I,'Stock In'!B:B,$A233,'Stock In'!C:C,$B233,'Stock In'!D:D,$C233,'Stock In'!E:E,$D233) / SUMIFS('Stock In'!H:H,'Stock In'!B:B,$A233,'Stock In'!C:C,$B233,'Stock In'!D:D,$C233,'Stock In'!E:E,$D233), 0)</f>
        <v>0</v>
      </c>
      <c r="K233" s="82">
        <f t="shared" si="3"/>
        <v>0</v>
      </c>
    </row>
    <row r="234">
      <c r="A234" s="80"/>
      <c r="B234" s="80"/>
      <c r="C234" s="80"/>
      <c r="D234" s="80"/>
      <c r="E234" s="82">
        <f>IFERROR(SUMIFS('Stock In'!F:F,'Stock In'!B:B,$A234,'Stock In'!C:C,$B234,'Stock In'!D:D,$C234,'Stock In'!E:E,$D234),0)</f>
        <v>0</v>
      </c>
      <c r="F234" s="82">
        <f>IFERROR(SUMIFS(Issues!H:H, Issues!F:F, $A234, Issues!C:C, $B234, Issues!D:D, $C234, Issues!E:E, $D234), 0)</f>
        <v>0</v>
      </c>
      <c r="G234" s="82">
        <f>IFERROR(SUMIFS(Returns!H:H, Returns!F:F, $A234, Returns!C:C, $B234, Returns!D:D, $C234, Returns!E:E, $D234), 0)</f>
        <v>0</v>
      </c>
      <c r="H234" s="82">
        <f t="shared" si="1"/>
        <v>0</v>
      </c>
      <c r="I234" s="82">
        <f t="shared" si="2"/>
        <v>0</v>
      </c>
      <c r="J234" s="82">
        <f>IFERROR( SUMIFS('Stock In'!I:I,'Stock In'!B:B,$A234,'Stock In'!C:C,$B234,'Stock In'!D:D,$C234,'Stock In'!E:E,$D234) / SUMIFS('Stock In'!H:H,'Stock In'!B:B,$A234,'Stock In'!C:C,$B234,'Stock In'!D:D,$C234,'Stock In'!E:E,$D234), 0)</f>
        <v>0</v>
      </c>
      <c r="K234" s="82">
        <f t="shared" si="3"/>
        <v>0</v>
      </c>
    </row>
    <row r="235">
      <c r="A235" s="80"/>
      <c r="B235" s="80"/>
      <c r="C235" s="80"/>
      <c r="D235" s="80"/>
      <c r="E235" s="82">
        <f>IFERROR(SUMIFS('Stock In'!F:F,'Stock In'!B:B,$A235,'Stock In'!C:C,$B235,'Stock In'!D:D,$C235,'Stock In'!E:E,$D235),0)</f>
        <v>0</v>
      </c>
      <c r="F235" s="82">
        <f>IFERROR(SUMIFS(Issues!H:H, Issues!F:F, $A235, Issues!C:C, $B235, Issues!D:D, $C235, Issues!E:E, $D235), 0)</f>
        <v>0</v>
      </c>
      <c r="G235" s="82">
        <f>IFERROR(SUMIFS(Returns!H:H, Returns!F:F, $A235, Returns!C:C, $B235, Returns!D:D, $C235, Returns!E:E, $D235), 0)</f>
        <v>0</v>
      </c>
      <c r="H235" s="82">
        <f t="shared" si="1"/>
        <v>0</v>
      </c>
      <c r="I235" s="82">
        <f t="shared" si="2"/>
        <v>0</v>
      </c>
      <c r="J235" s="82">
        <f>IFERROR( SUMIFS('Stock In'!I:I,'Stock In'!B:B,$A235,'Stock In'!C:C,$B235,'Stock In'!D:D,$C235,'Stock In'!E:E,$D235) / SUMIFS('Stock In'!H:H,'Stock In'!B:B,$A235,'Stock In'!C:C,$B235,'Stock In'!D:D,$C235,'Stock In'!E:E,$D235), 0)</f>
        <v>0</v>
      </c>
      <c r="K235" s="82">
        <f t="shared" si="3"/>
        <v>0</v>
      </c>
    </row>
    <row r="236">
      <c r="A236" s="80"/>
      <c r="B236" s="80"/>
      <c r="C236" s="80"/>
      <c r="D236" s="80"/>
      <c r="E236" s="82">
        <f>IFERROR(SUMIFS('Stock In'!F:F,'Stock In'!B:B,$A236,'Stock In'!C:C,$B236,'Stock In'!D:D,$C236,'Stock In'!E:E,$D236),0)</f>
        <v>0</v>
      </c>
      <c r="F236" s="82">
        <f>IFERROR(SUMIFS(Issues!H:H, Issues!F:F, $A236, Issues!C:C, $B236, Issues!D:D, $C236, Issues!E:E, $D236), 0)</f>
        <v>0</v>
      </c>
      <c r="G236" s="82">
        <f>IFERROR(SUMIFS(Returns!H:H, Returns!F:F, $A236, Returns!C:C, $B236, Returns!D:D, $C236, Returns!E:E, $D236), 0)</f>
        <v>0</v>
      </c>
      <c r="H236" s="82">
        <f t="shared" si="1"/>
        <v>0</v>
      </c>
      <c r="I236" s="82">
        <f t="shared" si="2"/>
        <v>0</v>
      </c>
      <c r="J236" s="82">
        <f>IFERROR( SUMIFS('Stock In'!I:I,'Stock In'!B:B,$A236,'Stock In'!C:C,$B236,'Stock In'!D:D,$C236,'Stock In'!E:E,$D236) / SUMIFS('Stock In'!H:H,'Stock In'!B:B,$A236,'Stock In'!C:C,$B236,'Stock In'!D:D,$C236,'Stock In'!E:E,$D236), 0)</f>
        <v>0</v>
      </c>
      <c r="K236" s="82">
        <f t="shared" si="3"/>
        <v>0</v>
      </c>
    </row>
    <row r="237">
      <c r="A237" s="80"/>
      <c r="B237" s="80"/>
      <c r="C237" s="80"/>
      <c r="D237" s="80"/>
      <c r="E237" s="82">
        <f>IFERROR(SUMIFS('Stock In'!F:F,'Stock In'!B:B,$A237,'Stock In'!C:C,$B237,'Stock In'!D:D,$C237,'Stock In'!E:E,$D237),0)</f>
        <v>0</v>
      </c>
      <c r="F237" s="82">
        <f>IFERROR(SUMIFS(Issues!H:H, Issues!F:F, $A237, Issues!C:C, $B237, Issues!D:D, $C237, Issues!E:E, $D237), 0)</f>
        <v>0</v>
      </c>
      <c r="G237" s="82">
        <f>IFERROR(SUMIFS(Returns!H:H, Returns!F:F, $A237, Returns!C:C, $B237, Returns!D:D, $C237, Returns!E:E, $D237), 0)</f>
        <v>0</v>
      </c>
      <c r="H237" s="82">
        <f t="shared" si="1"/>
        <v>0</v>
      </c>
      <c r="I237" s="82">
        <f t="shared" si="2"/>
        <v>0</v>
      </c>
      <c r="J237" s="82">
        <f>IFERROR( SUMIFS('Stock In'!I:I,'Stock In'!B:B,$A237,'Stock In'!C:C,$B237,'Stock In'!D:D,$C237,'Stock In'!E:E,$D237) / SUMIFS('Stock In'!H:H,'Stock In'!B:B,$A237,'Stock In'!C:C,$B237,'Stock In'!D:D,$C237,'Stock In'!E:E,$D237), 0)</f>
        <v>0</v>
      </c>
      <c r="K237" s="82">
        <f t="shared" si="3"/>
        <v>0</v>
      </c>
    </row>
    <row r="238">
      <c r="A238" s="80"/>
      <c r="B238" s="80"/>
      <c r="C238" s="80"/>
      <c r="D238" s="80"/>
      <c r="E238" s="82">
        <f>IFERROR(SUMIFS('Stock In'!F:F,'Stock In'!B:B,$A238,'Stock In'!C:C,$B238,'Stock In'!D:D,$C238,'Stock In'!E:E,$D238),0)</f>
        <v>0</v>
      </c>
      <c r="F238" s="82">
        <f>IFERROR(SUMIFS(Issues!H:H, Issues!F:F, $A238, Issues!C:C, $B238, Issues!D:D, $C238, Issues!E:E, $D238), 0)</f>
        <v>0</v>
      </c>
      <c r="G238" s="82">
        <f>IFERROR(SUMIFS(Returns!H:H, Returns!F:F, $A238, Returns!C:C, $B238, Returns!D:D, $C238, Returns!E:E, $D238), 0)</f>
        <v>0</v>
      </c>
      <c r="H238" s="82">
        <f t="shared" si="1"/>
        <v>0</v>
      </c>
      <c r="I238" s="82">
        <f t="shared" si="2"/>
        <v>0</v>
      </c>
      <c r="J238" s="82">
        <f>IFERROR( SUMIFS('Stock In'!I:I,'Stock In'!B:B,$A238,'Stock In'!C:C,$B238,'Stock In'!D:D,$C238,'Stock In'!E:E,$D238) / SUMIFS('Stock In'!H:H,'Stock In'!B:B,$A238,'Stock In'!C:C,$B238,'Stock In'!D:D,$C238,'Stock In'!E:E,$D238), 0)</f>
        <v>0</v>
      </c>
      <c r="K238" s="82">
        <f t="shared" si="3"/>
        <v>0</v>
      </c>
    </row>
    <row r="239">
      <c r="A239" s="80"/>
      <c r="B239" s="80"/>
      <c r="C239" s="80"/>
      <c r="D239" s="80"/>
      <c r="E239" s="82">
        <f>IFERROR(SUMIFS('Stock In'!F:F,'Stock In'!B:B,$A239,'Stock In'!C:C,$B239,'Stock In'!D:D,$C239,'Stock In'!E:E,$D239),0)</f>
        <v>0</v>
      </c>
      <c r="F239" s="82">
        <f>IFERROR(SUMIFS(Issues!H:H, Issues!F:F, $A239, Issues!C:C, $B239, Issues!D:D, $C239, Issues!E:E, $D239), 0)</f>
        <v>0</v>
      </c>
      <c r="G239" s="82">
        <f>IFERROR(SUMIFS(Returns!H:H, Returns!F:F, $A239, Returns!C:C, $B239, Returns!D:D, $C239, Returns!E:E, $D239), 0)</f>
        <v>0</v>
      </c>
      <c r="H239" s="82">
        <f t="shared" si="1"/>
        <v>0</v>
      </c>
      <c r="I239" s="82">
        <f t="shared" si="2"/>
        <v>0</v>
      </c>
      <c r="J239" s="82">
        <f>IFERROR( SUMIFS('Stock In'!I:I,'Stock In'!B:B,$A239,'Stock In'!C:C,$B239,'Stock In'!D:D,$C239,'Stock In'!E:E,$D239) / SUMIFS('Stock In'!H:H,'Stock In'!B:B,$A239,'Stock In'!C:C,$B239,'Stock In'!D:D,$C239,'Stock In'!E:E,$D239), 0)</f>
        <v>0</v>
      </c>
      <c r="K239" s="82">
        <f t="shared" si="3"/>
        <v>0</v>
      </c>
    </row>
    <row r="240">
      <c r="A240" s="80"/>
      <c r="B240" s="80"/>
      <c r="C240" s="80"/>
      <c r="D240" s="80"/>
      <c r="E240" s="82">
        <f>IFERROR(SUMIFS('Stock In'!F:F,'Stock In'!B:B,$A240,'Stock In'!C:C,$B240,'Stock In'!D:D,$C240,'Stock In'!E:E,$D240),0)</f>
        <v>0</v>
      </c>
      <c r="F240" s="82">
        <f>IFERROR(SUMIFS(Issues!H:H, Issues!F:F, $A240, Issues!C:C, $B240, Issues!D:D, $C240, Issues!E:E, $D240), 0)</f>
        <v>0</v>
      </c>
      <c r="G240" s="82">
        <f>IFERROR(SUMIFS(Returns!H:H, Returns!F:F, $A240, Returns!C:C, $B240, Returns!D:D, $C240, Returns!E:E, $D240), 0)</f>
        <v>0</v>
      </c>
      <c r="H240" s="82">
        <f t="shared" si="1"/>
        <v>0</v>
      </c>
      <c r="I240" s="82">
        <f t="shared" si="2"/>
        <v>0</v>
      </c>
      <c r="J240" s="82">
        <f>IFERROR( SUMIFS('Stock In'!I:I,'Stock In'!B:B,$A240,'Stock In'!C:C,$B240,'Stock In'!D:D,$C240,'Stock In'!E:E,$D240) / SUMIFS('Stock In'!H:H,'Stock In'!B:B,$A240,'Stock In'!C:C,$B240,'Stock In'!D:D,$C240,'Stock In'!E:E,$D240), 0)</f>
        <v>0</v>
      </c>
      <c r="K240" s="82">
        <f t="shared" si="3"/>
        <v>0</v>
      </c>
    </row>
    <row r="241">
      <c r="A241" s="80"/>
      <c r="B241" s="80"/>
      <c r="C241" s="80"/>
      <c r="D241" s="80"/>
      <c r="E241" s="82">
        <f>IFERROR(SUMIFS('Stock In'!F:F,'Stock In'!B:B,$A241,'Stock In'!C:C,$B241,'Stock In'!D:D,$C241,'Stock In'!E:E,$D241),0)</f>
        <v>0</v>
      </c>
      <c r="F241" s="82">
        <f>IFERROR(SUMIFS(Issues!H:H, Issues!F:F, $A241, Issues!C:C, $B241, Issues!D:D, $C241, Issues!E:E, $D241), 0)</f>
        <v>0</v>
      </c>
      <c r="G241" s="82">
        <f>IFERROR(SUMIFS(Returns!H:H, Returns!F:F, $A241, Returns!C:C, $B241, Returns!D:D, $C241, Returns!E:E, $D241), 0)</f>
        <v>0</v>
      </c>
      <c r="H241" s="82">
        <f t="shared" si="1"/>
        <v>0</v>
      </c>
      <c r="I241" s="82">
        <f t="shared" si="2"/>
        <v>0</v>
      </c>
      <c r="J241" s="82">
        <f>IFERROR( SUMIFS('Stock In'!I:I,'Stock In'!B:B,$A241,'Stock In'!C:C,$B241,'Stock In'!D:D,$C241,'Stock In'!E:E,$D241) / SUMIFS('Stock In'!H:H,'Stock In'!B:B,$A241,'Stock In'!C:C,$B241,'Stock In'!D:D,$C241,'Stock In'!E:E,$D241), 0)</f>
        <v>0</v>
      </c>
      <c r="K241" s="82">
        <f t="shared" si="3"/>
        <v>0</v>
      </c>
    </row>
    <row r="242">
      <c r="A242" s="80"/>
      <c r="B242" s="80"/>
      <c r="C242" s="80"/>
      <c r="D242" s="80"/>
      <c r="E242" s="82">
        <f>IFERROR(SUMIFS('Stock In'!F:F,'Stock In'!B:B,$A242,'Stock In'!C:C,$B242,'Stock In'!D:D,$C242,'Stock In'!E:E,$D242),0)</f>
        <v>0</v>
      </c>
      <c r="F242" s="82">
        <f>IFERROR(SUMIFS(Issues!H:H, Issues!F:F, $A242, Issues!C:C, $B242, Issues!D:D, $C242, Issues!E:E, $D242), 0)</f>
        <v>0</v>
      </c>
      <c r="G242" s="82">
        <f>IFERROR(SUMIFS(Returns!H:H, Returns!F:F, $A242, Returns!C:C, $B242, Returns!D:D, $C242, Returns!E:E, $D242), 0)</f>
        <v>0</v>
      </c>
      <c r="H242" s="82">
        <f t="shared" si="1"/>
        <v>0</v>
      </c>
      <c r="I242" s="82">
        <f t="shared" si="2"/>
        <v>0</v>
      </c>
      <c r="J242" s="82">
        <f>IFERROR( SUMIFS('Stock In'!I:I,'Stock In'!B:B,$A242,'Stock In'!C:C,$B242,'Stock In'!D:D,$C242,'Stock In'!E:E,$D242) / SUMIFS('Stock In'!H:H,'Stock In'!B:B,$A242,'Stock In'!C:C,$B242,'Stock In'!D:D,$C242,'Stock In'!E:E,$D242), 0)</f>
        <v>0</v>
      </c>
      <c r="K242" s="82">
        <f t="shared" si="3"/>
        <v>0</v>
      </c>
    </row>
    <row r="243">
      <c r="A243" s="80"/>
      <c r="B243" s="80"/>
      <c r="C243" s="80"/>
      <c r="D243" s="80"/>
      <c r="E243" s="82">
        <f>IFERROR(SUMIFS('Stock In'!F:F,'Stock In'!B:B,$A243,'Stock In'!C:C,$B243,'Stock In'!D:D,$C243,'Stock In'!E:E,$D243),0)</f>
        <v>0</v>
      </c>
      <c r="F243" s="82">
        <f>IFERROR(SUMIFS(Issues!H:H, Issues!F:F, $A243, Issues!C:C, $B243, Issues!D:D, $C243, Issues!E:E, $D243), 0)</f>
        <v>0</v>
      </c>
      <c r="G243" s="82">
        <f>IFERROR(SUMIFS(Returns!H:H, Returns!F:F, $A243, Returns!C:C, $B243, Returns!D:D, $C243, Returns!E:E, $D243), 0)</f>
        <v>0</v>
      </c>
      <c r="H243" s="82">
        <f t="shared" si="1"/>
        <v>0</v>
      </c>
      <c r="I243" s="82">
        <f t="shared" si="2"/>
        <v>0</v>
      </c>
      <c r="J243" s="82">
        <f>IFERROR( SUMIFS('Stock In'!I:I,'Stock In'!B:B,$A243,'Stock In'!C:C,$B243,'Stock In'!D:D,$C243,'Stock In'!E:E,$D243) / SUMIFS('Stock In'!H:H,'Stock In'!B:B,$A243,'Stock In'!C:C,$B243,'Stock In'!D:D,$C243,'Stock In'!E:E,$D243), 0)</f>
        <v>0</v>
      </c>
      <c r="K243" s="82">
        <f t="shared" si="3"/>
        <v>0</v>
      </c>
    </row>
    <row r="244">
      <c r="A244" s="80"/>
      <c r="B244" s="80"/>
      <c r="C244" s="80"/>
      <c r="D244" s="80"/>
      <c r="E244" s="82">
        <f>IFERROR(SUMIFS('Stock In'!F:F,'Stock In'!B:B,$A244,'Stock In'!C:C,$B244,'Stock In'!D:D,$C244,'Stock In'!E:E,$D244),0)</f>
        <v>0</v>
      </c>
      <c r="F244" s="82">
        <f>IFERROR(SUMIFS(Issues!H:H, Issues!F:F, $A244, Issues!C:C, $B244, Issues!D:D, $C244, Issues!E:E, $D244), 0)</f>
        <v>0</v>
      </c>
      <c r="G244" s="82">
        <f>IFERROR(SUMIFS(Returns!H:H, Returns!F:F, $A244, Returns!C:C, $B244, Returns!D:D, $C244, Returns!E:E, $D244), 0)</f>
        <v>0</v>
      </c>
      <c r="H244" s="82">
        <f t="shared" si="1"/>
        <v>0</v>
      </c>
      <c r="I244" s="82">
        <f t="shared" si="2"/>
        <v>0</v>
      </c>
      <c r="J244" s="82">
        <f>IFERROR( SUMIFS('Stock In'!I:I,'Stock In'!B:B,$A244,'Stock In'!C:C,$B244,'Stock In'!D:D,$C244,'Stock In'!E:E,$D244) / SUMIFS('Stock In'!H:H,'Stock In'!B:B,$A244,'Stock In'!C:C,$B244,'Stock In'!D:D,$C244,'Stock In'!E:E,$D244), 0)</f>
        <v>0</v>
      </c>
      <c r="K244" s="82">
        <f t="shared" si="3"/>
        <v>0</v>
      </c>
    </row>
    <row r="245">
      <c r="A245" s="80"/>
      <c r="B245" s="80"/>
      <c r="C245" s="80"/>
      <c r="D245" s="80"/>
      <c r="E245" s="82">
        <f>IFERROR(SUMIFS('Stock In'!F:F,'Stock In'!B:B,$A245,'Stock In'!C:C,$B245,'Stock In'!D:D,$C245,'Stock In'!E:E,$D245),0)</f>
        <v>0</v>
      </c>
      <c r="F245" s="82">
        <f>IFERROR(SUMIFS(Issues!H:H, Issues!F:F, $A245, Issues!C:C, $B245, Issues!D:D, $C245, Issues!E:E, $D245), 0)</f>
        <v>0</v>
      </c>
      <c r="G245" s="82">
        <f>IFERROR(SUMIFS(Returns!H:H, Returns!F:F, $A245, Returns!C:C, $B245, Returns!D:D, $C245, Returns!E:E, $D245), 0)</f>
        <v>0</v>
      </c>
      <c r="H245" s="82">
        <f t="shared" si="1"/>
        <v>0</v>
      </c>
      <c r="I245" s="82">
        <f t="shared" si="2"/>
        <v>0</v>
      </c>
      <c r="J245" s="82">
        <f>IFERROR( SUMIFS('Stock In'!I:I,'Stock In'!B:B,$A245,'Stock In'!C:C,$B245,'Stock In'!D:D,$C245,'Stock In'!E:E,$D245) / SUMIFS('Stock In'!H:H,'Stock In'!B:B,$A245,'Stock In'!C:C,$B245,'Stock In'!D:D,$C245,'Stock In'!E:E,$D245), 0)</f>
        <v>0</v>
      </c>
      <c r="K245" s="82">
        <f t="shared" si="3"/>
        <v>0</v>
      </c>
    </row>
    <row r="246">
      <c r="A246" s="80"/>
      <c r="B246" s="80"/>
      <c r="C246" s="80"/>
      <c r="D246" s="80"/>
      <c r="E246" s="82">
        <f>IFERROR(SUMIFS('Stock In'!F:F,'Stock In'!B:B,$A246,'Stock In'!C:C,$B246,'Stock In'!D:D,$C246,'Stock In'!E:E,$D246),0)</f>
        <v>0</v>
      </c>
      <c r="F246" s="82">
        <f>IFERROR(SUMIFS(Issues!H:H, Issues!F:F, $A246, Issues!C:C, $B246, Issues!D:D, $C246, Issues!E:E, $D246), 0)</f>
        <v>0</v>
      </c>
      <c r="G246" s="82">
        <f>IFERROR(SUMIFS(Returns!H:H, Returns!F:F, $A246, Returns!C:C, $B246, Returns!D:D, $C246, Returns!E:E, $D246), 0)</f>
        <v>0</v>
      </c>
      <c r="H246" s="82">
        <f t="shared" si="1"/>
        <v>0</v>
      </c>
      <c r="I246" s="82">
        <f t="shared" si="2"/>
        <v>0</v>
      </c>
      <c r="J246" s="82">
        <f>IFERROR( SUMIFS('Stock In'!I:I,'Stock In'!B:B,$A246,'Stock In'!C:C,$B246,'Stock In'!D:D,$C246,'Stock In'!E:E,$D246) / SUMIFS('Stock In'!H:H,'Stock In'!B:B,$A246,'Stock In'!C:C,$B246,'Stock In'!D:D,$C246,'Stock In'!E:E,$D246), 0)</f>
        <v>0</v>
      </c>
      <c r="K246" s="82">
        <f t="shared" si="3"/>
        <v>0</v>
      </c>
    </row>
    <row r="247">
      <c r="A247" s="80"/>
      <c r="B247" s="80"/>
      <c r="C247" s="80"/>
      <c r="D247" s="80"/>
      <c r="E247" s="82">
        <f>IFERROR(SUMIFS('Stock In'!F:F,'Stock In'!B:B,$A247,'Stock In'!C:C,$B247,'Stock In'!D:D,$C247,'Stock In'!E:E,$D247),0)</f>
        <v>0</v>
      </c>
      <c r="F247" s="82">
        <f>IFERROR(SUMIFS(Issues!H:H, Issues!F:F, $A247, Issues!C:C, $B247, Issues!D:D, $C247, Issues!E:E, $D247), 0)</f>
        <v>0</v>
      </c>
      <c r="G247" s="82">
        <f>IFERROR(SUMIFS(Returns!H:H, Returns!F:F, $A247, Returns!C:C, $B247, Returns!D:D, $C247, Returns!E:E, $D247), 0)</f>
        <v>0</v>
      </c>
      <c r="H247" s="82">
        <f t="shared" si="1"/>
        <v>0</v>
      </c>
      <c r="I247" s="82">
        <f t="shared" si="2"/>
        <v>0</v>
      </c>
      <c r="J247" s="82">
        <f>IFERROR( SUMIFS('Stock In'!I:I,'Stock In'!B:B,$A247,'Stock In'!C:C,$B247,'Stock In'!D:D,$C247,'Stock In'!E:E,$D247) / SUMIFS('Stock In'!H:H,'Stock In'!B:B,$A247,'Stock In'!C:C,$B247,'Stock In'!D:D,$C247,'Stock In'!E:E,$D247), 0)</f>
        <v>0</v>
      </c>
      <c r="K247" s="82">
        <f t="shared" si="3"/>
        <v>0</v>
      </c>
    </row>
    <row r="248">
      <c r="A248" s="80"/>
      <c r="B248" s="80"/>
      <c r="C248" s="80"/>
      <c r="D248" s="80"/>
      <c r="E248" s="82">
        <f>IFERROR(SUMIFS('Stock In'!F:F,'Stock In'!B:B,$A248,'Stock In'!C:C,$B248,'Stock In'!D:D,$C248,'Stock In'!E:E,$D248),0)</f>
        <v>0</v>
      </c>
      <c r="F248" s="82">
        <f>IFERROR(SUMIFS(Issues!H:H, Issues!F:F, $A248, Issues!C:C, $B248, Issues!D:D, $C248, Issues!E:E, $D248), 0)</f>
        <v>0</v>
      </c>
      <c r="G248" s="82">
        <f>IFERROR(SUMIFS(Returns!H:H, Returns!F:F, $A248, Returns!C:C, $B248, Returns!D:D, $C248, Returns!E:E, $D248), 0)</f>
        <v>0</v>
      </c>
      <c r="H248" s="82">
        <f t="shared" si="1"/>
        <v>0</v>
      </c>
      <c r="I248" s="82">
        <f t="shared" si="2"/>
        <v>0</v>
      </c>
      <c r="J248" s="82">
        <f>IFERROR( SUMIFS('Stock In'!I:I,'Stock In'!B:B,$A248,'Stock In'!C:C,$B248,'Stock In'!D:D,$C248,'Stock In'!E:E,$D248) / SUMIFS('Stock In'!H:H,'Stock In'!B:B,$A248,'Stock In'!C:C,$B248,'Stock In'!D:D,$C248,'Stock In'!E:E,$D248), 0)</f>
        <v>0</v>
      </c>
      <c r="K248" s="82">
        <f t="shared" si="3"/>
        <v>0</v>
      </c>
    </row>
    <row r="249">
      <c r="A249" s="80"/>
      <c r="B249" s="80"/>
      <c r="C249" s="80"/>
      <c r="D249" s="80"/>
      <c r="E249" s="82">
        <f>IFERROR(SUMIFS('Stock In'!F:F,'Stock In'!B:B,$A249,'Stock In'!C:C,$B249,'Stock In'!D:D,$C249,'Stock In'!E:E,$D249),0)</f>
        <v>0</v>
      </c>
      <c r="F249" s="82">
        <f>IFERROR(SUMIFS(Issues!H:H, Issues!F:F, $A249, Issues!C:C, $B249, Issues!D:D, $C249, Issues!E:E, $D249), 0)</f>
        <v>0</v>
      </c>
      <c r="G249" s="82">
        <f>IFERROR(SUMIFS(Returns!H:H, Returns!F:F, $A249, Returns!C:C, $B249, Returns!D:D, $C249, Returns!E:E, $D249), 0)</f>
        <v>0</v>
      </c>
      <c r="H249" s="82">
        <f t="shared" si="1"/>
        <v>0</v>
      </c>
      <c r="I249" s="82">
        <f t="shared" si="2"/>
        <v>0</v>
      </c>
      <c r="J249" s="82">
        <f>IFERROR( SUMIFS('Stock In'!I:I,'Stock In'!B:B,$A249,'Stock In'!C:C,$B249,'Stock In'!D:D,$C249,'Stock In'!E:E,$D249) / SUMIFS('Stock In'!H:H,'Stock In'!B:B,$A249,'Stock In'!C:C,$B249,'Stock In'!D:D,$C249,'Stock In'!E:E,$D249), 0)</f>
        <v>0</v>
      </c>
      <c r="K249" s="82">
        <f t="shared" si="3"/>
        <v>0</v>
      </c>
    </row>
    <row r="250">
      <c r="A250" s="80"/>
      <c r="B250" s="80"/>
      <c r="C250" s="80"/>
      <c r="D250" s="80"/>
      <c r="E250" s="82">
        <f>IFERROR(SUMIFS('Stock In'!F:F,'Stock In'!B:B,$A250,'Stock In'!C:C,$B250,'Stock In'!D:D,$C250,'Stock In'!E:E,$D250),0)</f>
        <v>0</v>
      </c>
      <c r="F250" s="82">
        <f>IFERROR(SUMIFS(Issues!H:H, Issues!F:F, $A250, Issues!C:C, $B250, Issues!D:D, $C250, Issues!E:E, $D250), 0)</f>
        <v>0</v>
      </c>
      <c r="G250" s="82">
        <f>IFERROR(SUMIFS(Returns!H:H, Returns!F:F, $A250, Returns!C:C, $B250, Returns!D:D, $C250, Returns!E:E, $D250), 0)</f>
        <v>0</v>
      </c>
      <c r="H250" s="82">
        <f t="shared" si="1"/>
        <v>0</v>
      </c>
      <c r="I250" s="82">
        <f t="shared" si="2"/>
        <v>0</v>
      </c>
      <c r="J250" s="82">
        <f>IFERROR( SUMIFS('Stock In'!I:I,'Stock In'!B:B,$A250,'Stock In'!C:C,$B250,'Stock In'!D:D,$C250,'Stock In'!E:E,$D250) / SUMIFS('Stock In'!H:H,'Stock In'!B:B,$A250,'Stock In'!C:C,$B250,'Stock In'!D:D,$C250,'Stock In'!E:E,$D250), 0)</f>
        <v>0</v>
      </c>
      <c r="K250" s="82">
        <f t="shared" si="3"/>
        <v>0</v>
      </c>
    </row>
    <row r="251">
      <c r="A251" s="80"/>
      <c r="B251" s="80"/>
      <c r="C251" s="80"/>
      <c r="D251" s="80"/>
      <c r="E251" s="82">
        <f>IFERROR(SUMIFS('Stock In'!F:F,'Stock In'!B:B,$A251,'Stock In'!C:C,$B251,'Stock In'!D:D,$C251,'Stock In'!E:E,$D251),0)</f>
        <v>0</v>
      </c>
      <c r="F251" s="82">
        <f>IFERROR(SUMIFS(Issues!H:H, Issues!F:F, $A251, Issues!C:C, $B251, Issues!D:D, $C251, Issues!E:E, $D251), 0)</f>
        <v>0</v>
      </c>
      <c r="G251" s="82">
        <f>IFERROR(SUMIFS(Returns!H:H, Returns!F:F, $A251, Returns!C:C, $B251, Returns!D:D, $C251, Returns!E:E, $D251), 0)</f>
        <v>0</v>
      </c>
      <c r="H251" s="82">
        <f t="shared" si="1"/>
        <v>0</v>
      </c>
      <c r="I251" s="82">
        <f t="shared" si="2"/>
        <v>0</v>
      </c>
      <c r="J251" s="82">
        <f>IFERROR( SUMIFS('Stock In'!I:I,'Stock In'!B:B,$A251,'Stock In'!C:C,$B251,'Stock In'!D:D,$C251,'Stock In'!E:E,$D251) / SUMIFS('Stock In'!H:H,'Stock In'!B:B,$A251,'Stock In'!C:C,$B251,'Stock In'!D:D,$C251,'Stock In'!E:E,$D251), 0)</f>
        <v>0</v>
      </c>
      <c r="K251" s="82">
        <f t="shared" si="3"/>
        <v>0</v>
      </c>
    </row>
    <row r="252">
      <c r="A252" s="80"/>
      <c r="B252" s="80"/>
      <c r="C252" s="80"/>
      <c r="D252" s="80"/>
      <c r="E252" s="82">
        <f>IFERROR(SUMIFS('Stock In'!F:F,'Stock In'!B:B,$A252,'Stock In'!C:C,$B252,'Stock In'!D:D,$C252,'Stock In'!E:E,$D252),0)</f>
        <v>0</v>
      </c>
      <c r="F252" s="82">
        <f>IFERROR(SUMIFS(Issues!H:H, Issues!F:F, $A252, Issues!C:C, $B252, Issues!D:D, $C252, Issues!E:E, $D252), 0)</f>
        <v>0</v>
      </c>
      <c r="G252" s="82">
        <f>IFERROR(SUMIFS(Returns!H:H, Returns!F:F, $A252, Returns!C:C, $B252, Returns!D:D, $C252, Returns!E:E, $D252), 0)</f>
        <v>0</v>
      </c>
      <c r="H252" s="82">
        <f t="shared" si="1"/>
        <v>0</v>
      </c>
      <c r="I252" s="82">
        <f t="shared" si="2"/>
        <v>0</v>
      </c>
      <c r="J252" s="82">
        <f>IFERROR( SUMIFS('Stock In'!I:I,'Stock In'!B:B,$A252,'Stock In'!C:C,$B252,'Stock In'!D:D,$C252,'Stock In'!E:E,$D252) / SUMIFS('Stock In'!H:H,'Stock In'!B:B,$A252,'Stock In'!C:C,$B252,'Stock In'!D:D,$C252,'Stock In'!E:E,$D252), 0)</f>
        <v>0</v>
      </c>
      <c r="K252" s="82">
        <f t="shared" si="3"/>
        <v>0</v>
      </c>
    </row>
    <row r="253">
      <c r="A253" s="80"/>
      <c r="B253" s="80"/>
      <c r="C253" s="80"/>
      <c r="D253" s="80"/>
      <c r="E253" s="82">
        <f>IFERROR(SUMIFS('Stock In'!F:F,'Stock In'!B:B,$A253,'Stock In'!C:C,$B253,'Stock In'!D:D,$C253,'Stock In'!E:E,$D253),0)</f>
        <v>0</v>
      </c>
      <c r="F253" s="82">
        <f>IFERROR(SUMIFS(Issues!H:H, Issues!F:F, $A253, Issues!C:C, $B253, Issues!D:D, $C253, Issues!E:E, $D253), 0)</f>
        <v>0</v>
      </c>
      <c r="G253" s="82">
        <f>IFERROR(SUMIFS(Returns!H:H, Returns!F:F, $A253, Returns!C:C, $B253, Returns!D:D, $C253, Returns!E:E, $D253), 0)</f>
        <v>0</v>
      </c>
      <c r="H253" s="82">
        <f t="shared" si="1"/>
        <v>0</v>
      </c>
      <c r="I253" s="82">
        <f t="shared" si="2"/>
        <v>0</v>
      </c>
      <c r="J253" s="82">
        <f>IFERROR( SUMIFS('Stock In'!I:I,'Stock In'!B:B,$A253,'Stock In'!C:C,$B253,'Stock In'!D:D,$C253,'Stock In'!E:E,$D253) / SUMIFS('Stock In'!H:H,'Stock In'!B:B,$A253,'Stock In'!C:C,$B253,'Stock In'!D:D,$C253,'Stock In'!E:E,$D253), 0)</f>
        <v>0</v>
      </c>
      <c r="K253" s="82">
        <f t="shared" si="3"/>
        <v>0</v>
      </c>
    </row>
    <row r="254">
      <c r="A254" s="80"/>
      <c r="B254" s="80"/>
      <c r="C254" s="80"/>
      <c r="D254" s="80"/>
      <c r="E254" s="82">
        <f>IFERROR(SUMIFS('Stock In'!F:F,'Stock In'!B:B,$A254,'Stock In'!C:C,$B254,'Stock In'!D:D,$C254,'Stock In'!E:E,$D254),0)</f>
        <v>0</v>
      </c>
      <c r="F254" s="82">
        <f>IFERROR(SUMIFS(Issues!H:H, Issues!F:F, $A254, Issues!C:C, $B254, Issues!D:D, $C254, Issues!E:E, $D254), 0)</f>
        <v>0</v>
      </c>
      <c r="G254" s="82">
        <f>IFERROR(SUMIFS(Returns!H:H, Returns!F:F, $A254, Returns!C:C, $B254, Returns!D:D, $C254, Returns!E:E, $D254), 0)</f>
        <v>0</v>
      </c>
      <c r="H254" s="82">
        <f t="shared" si="1"/>
        <v>0</v>
      </c>
      <c r="I254" s="82">
        <f t="shared" si="2"/>
        <v>0</v>
      </c>
      <c r="J254" s="82">
        <f>IFERROR( SUMIFS('Stock In'!I:I,'Stock In'!B:B,$A254,'Stock In'!C:C,$B254,'Stock In'!D:D,$C254,'Stock In'!E:E,$D254) / SUMIFS('Stock In'!H:H,'Stock In'!B:B,$A254,'Stock In'!C:C,$B254,'Stock In'!D:D,$C254,'Stock In'!E:E,$D254), 0)</f>
        <v>0</v>
      </c>
      <c r="K254" s="82">
        <f t="shared" si="3"/>
        <v>0</v>
      </c>
    </row>
    <row r="255">
      <c r="A255" s="80"/>
      <c r="B255" s="80"/>
      <c r="C255" s="80"/>
      <c r="D255" s="80"/>
      <c r="E255" s="82">
        <f>IFERROR(SUMIFS('Stock In'!F:F,'Stock In'!B:B,$A255,'Stock In'!C:C,$B255,'Stock In'!D:D,$C255,'Stock In'!E:E,$D255),0)</f>
        <v>0</v>
      </c>
      <c r="F255" s="82">
        <f>IFERROR(SUMIFS(Issues!H:H, Issues!F:F, $A255, Issues!C:C, $B255, Issues!D:D, $C255, Issues!E:E, $D255), 0)</f>
        <v>0</v>
      </c>
      <c r="G255" s="82">
        <f>IFERROR(SUMIFS(Returns!H:H, Returns!F:F, $A255, Returns!C:C, $B255, Returns!D:D, $C255, Returns!E:E, $D255), 0)</f>
        <v>0</v>
      </c>
      <c r="H255" s="82">
        <f t="shared" si="1"/>
        <v>0</v>
      </c>
      <c r="I255" s="82">
        <f t="shared" si="2"/>
        <v>0</v>
      </c>
      <c r="J255" s="82">
        <f>IFERROR( SUMIFS('Stock In'!I:I,'Stock In'!B:B,$A255,'Stock In'!C:C,$B255,'Stock In'!D:D,$C255,'Stock In'!E:E,$D255) / SUMIFS('Stock In'!H:H,'Stock In'!B:B,$A255,'Stock In'!C:C,$B255,'Stock In'!D:D,$C255,'Stock In'!E:E,$D255), 0)</f>
        <v>0</v>
      </c>
      <c r="K255" s="82">
        <f t="shared" si="3"/>
        <v>0</v>
      </c>
    </row>
    <row r="256">
      <c r="A256" s="80"/>
      <c r="B256" s="80"/>
      <c r="C256" s="80"/>
      <c r="D256" s="80"/>
      <c r="E256" s="82">
        <f>IFERROR(SUMIFS('Stock In'!F:F,'Stock In'!B:B,$A256,'Stock In'!C:C,$B256,'Stock In'!D:D,$C256,'Stock In'!E:E,$D256),0)</f>
        <v>0</v>
      </c>
      <c r="F256" s="82">
        <f>IFERROR(SUMIFS(Issues!H:H, Issues!F:F, $A256, Issues!C:C, $B256, Issues!D:D, $C256, Issues!E:E, $D256), 0)</f>
        <v>0</v>
      </c>
      <c r="G256" s="82">
        <f>IFERROR(SUMIFS(Returns!H:H, Returns!F:F, $A256, Returns!C:C, $B256, Returns!D:D, $C256, Returns!E:E, $D256), 0)</f>
        <v>0</v>
      </c>
      <c r="H256" s="82">
        <f t="shared" si="1"/>
        <v>0</v>
      </c>
      <c r="I256" s="82">
        <f t="shared" si="2"/>
        <v>0</v>
      </c>
      <c r="J256" s="82">
        <f>IFERROR( SUMIFS('Stock In'!I:I,'Stock In'!B:B,$A256,'Stock In'!C:C,$B256,'Stock In'!D:D,$C256,'Stock In'!E:E,$D256) / SUMIFS('Stock In'!H:H,'Stock In'!B:B,$A256,'Stock In'!C:C,$B256,'Stock In'!D:D,$C256,'Stock In'!E:E,$D256), 0)</f>
        <v>0</v>
      </c>
      <c r="K256" s="82">
        <f t="shared" si="3"/>
        <v>0</v>
      </c>
    </row>
    <row r="257">
      <c r="A257" s="80"/>
      <c r="B257" s="80"/>
      <c r="C257" s="80"/>
      <c r="D257" s="80"/>
      <c r="E257" s="82">
        <f>IFERROR(SUMIFS('Stock In'!F:F,'Stock In'!B:B,$A257,'Stock In'!C:C,$B257,'Stock In'!D:D,$C257,'Stock In'!E:E,$D257),0)</f>
        <v>0</v>
      </c>
      <c r="F257" s="82">
        <f>IFERROR(SUMIFS(Issues!H:H, Issues!F:F, $A257, Issues!C:C, $B257, Issues!D:D, $C257, Issues!E:E, $D257), 0)</f>
        <v>0</v>
      </c>
      <c r="G257" s="82">
        <f>IFERROR(SUMIFS(Returns!H:H, Returns!F:F, $A257, Returns!C:C, $B257, Returns!D:D, $C257, Returns!E:E, $D257), 0)</f>
        <v>0</v>
      </c>
      <c r="H257" s="82">
        <f t="shared" si="1"/>
        <v>0</v>
      </c>
      <c r="I257" s="82">
        <f t="shared" si="2"/>
        <v>0</v>
      </c>
      <c r="J257" s="82">
        <f>IFERROR( SUMIFS('Stock In'!I:I,'Stock In'!B:B,$A257,'Stock In'!C:C,$B257,'Stock In'!D:D,$C257,'Stock In'!E:E,$D257) / SUMIFS('Stock In'!H:H,'Stock In'!B:B,$A257,'Stock In'!C:C,$B257,'Stock In'!D:D,$C257,'Stock In'!E:E,$D257), 0)</f>
        <v>0</v>
      </c>
      <c r="K257" s="82">
        <f t="shared" si="3"/>
        <v>0</v>
      </c>
    </row>
    <row r="258">
      <c r="A258" s="80"/>
      <c r="B258" s="80"/>
      <c r="C258" s="80"/>
      <c r="D258" s="80"/>
      <c r="E258" s="82">
        <f>IFERROR(SUMIFS('Stock In'!F:F,'Stock In'!B:B,$A258,'Stock In'!C:C,$B258,'Stock In'!D:D,$C258,'Stock In'!E:E,$D258),0)</f>
        <v>0</v>
      </c>
      <c r="F258" s="82">
        <f>IFERROR(SUMIFS(Issues!H:H, Issues!F:F, $A258, Issues!C:C, $B258, Issues!D:D, $C258, Issues!E:E, $D258), 0)</f>
        <v>0</v>
      </c>
      <c r="G258" s="82">
        <f>IFERROR(SUMIFS(Returns!H:H, Returns!F:F, $A258, Returns!C:C, $B258, Returns!D:D, $C258, Returns!E:E, $D258), 0)</f>
        <v>0</v>
      </c>
      <c r="H258" s="82">
        <f t="shared" si="1"/>
        <v>0</v>
      </c>
      <c r="I258" s="82">
        <f t="shared" si="2"/>
        <v>0</v>
      </c>
      <c r="J258" s="82">
        <f>IFERROR( SUMIFS('Stock In'!I:I,'Stock In'!B:B,$A258,'Stock In'!C:C,$B258,'Stock In'!D:D,$C258,'Stock In'!E:E,$D258) / SUMIFS('Stock In'!H:H,'Stock In'!B:B,$A258,'Stock In'!C:C,$B258,'Stock In'!D:D,$C258,'Stock In'!E:E,$D258), 0)</f>
        <v>0</v>
      </c>
      <c r="K258" s="82">
        <f t="shared" si="3"/>
        <v>0</v>
      </c>
    </row>
    <row r="259">
      <c r="A259" s="80"/>
      <c r="B259" s="80"/>
      <c r="C259" s="80"/>
      <c r="D259" s="80"/>
      <c r="E259" s="82">
        <f>IFERROR(SUMIFS('Stock In'!F:F,'Stock In'!B:B,$A259,'Stock In'!C:C,$B259,'Stock In'!D:D,$C259,'Stock In'!E:E,$D259),0)</f>
        <v>0</v>
      </c>
      <c r="F259" s="82">
        <f>IFERROR(SUMIFS(Issues!H:H, Issues!F:F, $A259, Issues!C:C, $B259, Issues!D:D, $C259, Issues!E:E, $D259), 0)</f>
        <v>0</v>
      </c>
      <c r="G259" s="82">
        <f>IFERROR(SUMIFS(Returns!H:H, Returns!F:F, $A259, Returns!C:C, $B259, Returns!D:D, $C259, Returns!E:E, $D259), 0)</f>
        <v>0</v>
      </c>
      <c r="H259" s="82">
        <f t="shared" si="1"/>
        <v>0</v>
      </c>
      <c r="I259" s="82">
        <f t="shared" si="2"/>
        <v>0</v>
      </c>
      <c r="J259" s="82">
        <f>IFERROR( SUMIFS('Stock In'!I:I,'Stock In'!B:B,$A259,'Stock In'!C:C,$B259,'Stock In'!D:D,$C259,'Stock In'!E:E,$D259) / SUMIFS('Stock In'!H:H,'Stock In'!B:B,$A259,'Stock In'!C:C,$B259,'Stock In'!D:D,$C259,'Stock In'!E:E,$D259), 0)</f>
        <v>0</v>
      </c>
      <c r="K259" s="82">
        <f t="shared" si="3"/>
        <v>0</v>
      </c>
    </row>
    <row r="260">
      <c r="A260" s="80"/>
      <c r="B260" s="80"/>
      <c r="C260" s="80"/>
      <c r="D260" s="80"/>
      <c r="E260" s="82">
        <f>IFERROR(SUMIFS('Stock In'!F:F,'Stock In'!B:B,$A260,'Stock In'!C:C,$B260,'Stock In'!D:D,$C260,'Stock In'!E:E,$D260),0)</f>
        <v>0</v>
      </c>
      <c r="F260" s="82">
        <f>IFERROR(SUMIFS(Issues!H:H, Issues!F:F, $A260, Issues!C:C, $B260, Issues!D:D, $C260, Issues!E:E, $D260), 0)</f>
        <v>0</v>
      </c>
      <c r="G260" s="82">
        <f>IFERROR(SUMIFS(Returns!H:H, Returns!F:F, $A260, Returns!C:C, $B260, Returns!D:D, $C260, Returns!E:E, $D260), 0)</f>
        <v>0</v>
      </c>
      <c r="H260" s="82">
        <f t="shared" si="1"/>
        <v>0</v>
      </c>
      <c r="I260" s="82">
        <f t="shared" si="2"/>
        <v>0</v>
      </c>
      <c r="J260" s="82">
        <f>IFERROR( SUMIFS('Stock In'!I:I,'Stock In'!B:B,$A260,'Stock In'!C:C,$B260,'Stock In'!D:D,$C260,'Stock In'!E:E,$D260) / SUMIFS('Stock In'!H:H,'Stock In'!B:B,$A260,'Stock In'!C:C,$B260,'Stock In'!D:D,$C260,'Stock In'!E:E,$D260), 0)</f>
        <v>0</v>
      </c>
      <c r="K260" s="82">
        <f t="shared" si="3"/>
        <v>0</v>
      </c>
    </row>
    <row r="261">
      <c r="A261" s="80"/>
      <c r="B261" s="80"/>
      <c r="C261" s="80"/>
      <c r="D261" s="80"/>
      <c r="E261" s="82">
        <f>IFERROR(SUMIFS('Stock In'!F:F,'Stock In'!B:B,$A261,'Stock In'!C:C,$B261,'Stock In'!D:D,$C261,'Stock In'!E:E,$D261),0)</f>
        <v>0</v>
      </c>
      <c r="F261" s="82">
        <f>IFERROR(SUMIFS(Issues!H:H, Issues!F:F, $A261, Issues!C:C, $B261, Issues!D:D, $C261, Issues!E:E, $D261), 0)</f>
        <v>0</v>
      </c>
      <c r="G261" s="82">
        <f>IFERROR(SUMIFS(Returns!H:H, Returns!F:F, $A261, Returns!C:C, $B261, Returns!D:D, $C261, Returns!E:E, $D261), 0)</f>
        <v>0</v>
      </c>
      <c r="H261" s="82">
        <f t="shared" si="1"/>
        <v>0</v>
      </c>
      <c r="I261" s="82">
        <f t="shared" si="2"/>
        <v>0</v>
      </c>
      <c r="J261" s="82">
        <f>IFERROR( SUMIFS('Stock In'!I:I,'Stock In'!B:B,$A261,'Stock In'!C:C,$B261,'Stock In'!D:D,$C261,'Stock In'!E:E,$D261) / SUMIFS('Stock In'!H:H,'Stock In'!B:B,$A261,'Stock In'!C:C,$B261,'Stock In'!D:D,$C261,'Stock In'!E:E,$D261), 0)</f>
        <v>0</v>
      </c>
      <c r="K261" s="82">
        <f t="shared" si="3"/>
        <v>0</v>
      </c>
    </row>
    <row r="262">
      <c r="A262" s="80"/>
      <c r="B262" s="80"/>
      <c r="C262" s="80"/>
      <c r="D262" s="80"/>
      <c r="E262" s="82">
        <f>IFERROR(SUMIFS('Stock In'!F:F,'Stock In'!B:B,$A262,'Stock In'!C:C,$B262,'Stock In'!D:D,$C262,'Stock In'!E:E,$D262),0)</f>
        <v>0</v>
      </c>
      <c r="F262" s="82">
        <f>IFERROR(SUMIFS(Issues!H:H, Issues!F:F, $A262, Issues!C:C, $B262, Issues!D:D, $C262, Issues!E:E, $D262), 0)</f>
        <v>0</v>
      </c>
      <c r="G262" s="82">
        <f>IFERROR(SUMIFS(Returns!H:H, Returns!F:F, $A262, Returns!C:C, $B262, Returns!D:D, $C262, Returns!E:E, $D262), 0)</f>
        <v>0</v>
      </c>
      <c r="H262" s="82">
        <f t="shared" si="1"/>
        <v>0</v>
      </c>
      <c r="I262" s="82">
        <f t="shared" si="2"/>
        <v>0</v>
      </c>
      <c r="J262" s="82">
        <f>IFERROR( SUMIFS('Stock In'!I:I,'Stock In'!B:B,$A262,'Stock In'!C:C,$B262,'Stock In'!D:D,$C262,'Stock In'!E:E,$D262) / SUMIFS('Stock In'!H:H,'Stock In'!B:B,$A262,'Stock In'!C:C,$B262,'Stock In'!D:D,$C262,'Stock In'!E:E,$D262), 0)</f>
        <v>0</v>
      </c>
      <c r="K262" s="82">
        <f t="shared" si="3"/>
        <v>0</v>
      </c>
    </row>
    <row r="263">
      <c r="A263" s="80"/>
      <c r="B263" s="80"/>
      <c r="C263" s="80"/>
      <c r="D263" s="80"/>
      <c r="E263" s="82">
        <f>IFERROR(SUMIFS('Stock In'!F:F,'Stock In'!B:B,$A263,'Stock In'!C:C,$B263,'Stock In'!D:D,$C263,'Stock In'!E:E,$D263),0)</f>
        <v>0</v>
      </c>
      <c r="F263" s="82">
        <f>IFERROR(SUMIFS(Issues!H:H, Issues!F:F, $A263, Issues!C:C, $B263, Issues!D:D, $C263, Issues!E:E, $D263), 0)</f>
        <v>0</v>
      </c>
      <c r="G263" s="82">
        <f>IFERROR(SUMIFS(Returns!H:H, Returns!F:F, $A263, Returns!C:C, $B263, Returns!D:D, $C263, Returns!E:E, $D263), 0)</f>
        <v>0</v>
      </c>
      <c r="H263" s="82">
        <f t="shared" si="1"/>
        <v>0</v>
      </c>
      <c r="I263" s="82">
        <f t="shared" si="2"/>
        <v>0</v>
      </c>
      <c r="J263" s="82">
        <f>IFERROR( SUMIFS('Stock In'!I:I,'Stock In'!B:B,$A263,'Stock In'!C:C,$B263,'Stock In'!D:D,$C263,'Stock In'!E:E,$D263) / SUMIFS('Stock In'!H:H,'Stock In'!B:B,$A263,'Stock In'!C:C,$B263,'Stock In'!D:D,$C263,'Stock In'!E:E,$D263), 0)</f>
        <v>0</v>
      </c>
      <c r="K263" s="82">
        <f t="shared" si="3"/>
        <v>0</v>
      </c>
    </row>
    <row r="264">
      <c r="A264" s="80"/>
      <c r="B264" s="80"/>
      <c r="C264" s="80"/>
      <c r="D264" s="80"/>
      <c r="E264" s="82">
        <f>IFERROR(SUMIFS('Stock In'!F:F,'Stock In'!B:B,$A264,'Stock In'!C:C,$B264,'Stock In'!D:D,$C264,'Stock In'!E:E,$D264),0)</f>
        <v>0</v>
      </c>
      <c r="F264" s="82">
        <f>IFERROR(SUMIFS(Issues!H:H, Issues!F:F, $A264, Issues!C:C, $B264, Issues!D:D, $C264, Issues!E:E, $D264), 0)</f>
        <v>0</v>
      </c>
      <c r="G264" s="82">
        <f>IFERROR(SUMIFS(Returns!H:H, Returns!F:F, $A264, Returns!C:C, $B264, Returns!D:D, $C264, Returns!E:E, $D264), 0)</f>
        <v>0</v>
      </c>
      <c r="H264" s="82">
        <f t="shared" si="1"/>
        <v>0</v>
      </c>
      <c r="I264" s="82">
        <f t="shared" si="2"/>
        <v>0</v>
      </c>
      <c r="J264" s="82">
        <f>IFERROR( SUMIFS('Stock In'!I:I,'Stock In'!B:B,$A264,'Stock In'!C:C,$B264,'Stock In'!D:D,$C264,'Stock In'!E:E,$D264) / SUMIFS('Stock In'!H:H,'Stock In'!B:B,$A264,'Stock In'!C:C,$B264,'Stock In'!D:D,$C264,'Stock In'!E:E,$D264), 0)</f>
        <v>0</v>
      </c>
      <c r="K264" s="82">
        <f t="shared" si="3"/>
        <v>0</v>
      </c>
    </row>
    <row r="265">
      <c r="A265" s="80"/>
      <c r="B265" s="80"/>
      <c r="C265" s="80"/>
      <c r="D265" s="80"/>
      <c r="E265" s="82">
        <f>IFERROR(SUMIFS('Stock In'!F:F,'Stock In'!B:B,$A265,'Stock In'!C:C,$B265,'Stock In'!D:D,$C265,'Stock In'!E:E,$D265),0)</f>
        <v>0</v>
      </c>
      <c r="F265" s="82">
        <f>IFERROR(SUMIFS(Issues!H:H, Issues!F:F, $A265, Issues!C:C, $B265, Issues!D:D, $C265, Issues!E:E, $D265), 0)</f>
        <v>0</v>
      </c>
      <c r="G265" s="82">
        <f>IFERROR(SUMIFS(Returns!H:H, Returns!F:F, $A265, Returns!C:C, $B265, Returns!D:D, $C265, Returns!E:E, $D265), 0)</f>
        <v>0</v>
      </c>
      <c r="H265" s="82">
        <f t="shared" si="1"/>
        <v>0</v>
      </c>
      <c r="I265" s="82">
        <f t="shared" si="2"/>
        <v>0</v>
      </c>
      <c r="J265" s="82">
        <f>IFERROR( SUMIFS('Stock In'!I:I,'Stock In'!B:B,$A265,'Stock In'!C:C,$B265,'Stock In'!D:D,$C265,'Stock In'!E:E,$D265) / SUMIFS('Stock In'!H:H,'Stock In'!B:B,$A265,'Stock In'!C:C,$B265,'Stock In'!D:D,$C265,'Stock In'!E:E,$D265), 0)</f>
        <v>0</v>
      </c>
      <c r="K265" s="82">
        <f t="shared" si="3"/>
        <v>0</v>
      </c>
    </row>
    <row r="266">
      <c r="A266" s="80"/>
      <c r="B266" s="80"/>
      <c r="C266" s="80"/>
      <c r="D266" s="80"/>
      <c r="E266" s="82">
        <f>IFERROR(SUMIFS('Stock In'!F:F,'Stock In'!B:B,$A266,'Stock In'!C:C,$B266,'Stock In'!D:D,$C266,'Stock In'!E:E,$D266),0)</f>
        <v>0</v>
      </c>
      <c r="F266" s="82">
        <f>IFERROR(SUMIFS(Issues!H:H, Issues!F:F, $A266, Issues!C:C, $B266, Issues!D:D, $C266, Issues!E:E, $D266), 0)</f>
        <v>0</v>
      </c>
      <c r="G266" s="82">
        <f>IFERROR(SUMIFS(Returns!H:H, Returns!F:F, $A266, Returns!C:C, $B266, Returns!D:D, $C266, Returns!E:E, $D266), 0)</f>
        <v>0</v>
      </c>
      <c r="H266" s="82">
        <f t="shared" si="1"/>
        <v>0</v>
      </c>
      <c r="I266" s="82">
        <f t="shared" si="2"/>
        <v>0</v>
      </c>
      <c r="J266" s="82">
        <f>IFERROR( SUMIFS('Stock In'!I:I,'Stock In'!B:B,$A266,'Stock In'!C:C,$B266,'Stock In'!D:D,$C266,'Stock In'!E:E,$D266) / SUMIFS('Stock In'!H:H,'Stock In'!B:B,$A266,'Stock In'!C:C,$B266,'Stock In'!D:D,$C266,'Stock In'!E:E,$D266), 0)</f>
        <v>0</v>
      </c>
      <c r="K266" s="82">
        <f t="shared" si="3"/>
        <v>0</v>
      </c>
    </row>
    <row r="267">
      <c r="A267" s="80"/>
      <c r="B267" s="80"/>
      <c r="C267" s="80"/>
      <c r="D267" s="80"/>
      <c r="E267" s="82">
        <f>IFERROR(SUMIFS('Stock In'!F:F,'Stock In'!B:B,$A267,'Stock In'!C:C,$B267,'Stock In'!D:D,$C267,'Stock In'!E:E,$D267),0)</f>
        <v>0</v>
      </c>
      <c r="F267" s="82">
        <f>IFERROR(SUMIFS(Issues!H:H, Issues!F:F, $A267, Issues!C:C, $B267, Issues!D:D, $C267, Issues!E:E, $D267), 0)</f>
        <v>0</v>
      </c>
      <c r="G267" s="82">
        <f>IFERROR(SUMIFS(Returns!H:H, Returns!F:F, $A267, Returns!C:C, $B267, Returns!D:D, $C267, Returns!E:E, $D267), 0)</f>
        <v>0</v>
      </c>
      <c r="H267" s="82">
        <f t="shared" si="1"/>
        <v>0</v>
      </c>
      <c r="I267" s="82">
        <f t="shared" si="2"/>
        <v>0</v>
      </c>
      <c r="J267" s="82">
        <f>IFERROR( SUMIFS('Stock In'!I:I,'Stock In'!B:B,$A267,'Stock In'!C:C,$B267,'Stock In'!D:D,$C267,'Stock In'!E:E,$D267) / SUMIFS('Stock In'!H:H,'Stock In'!B:B,$A267,'Stock In'!C:C,$B267,'Stock In'!D:D,$C267,'Stock In'!E:E,$D267), 0)</f>
        <v>0</v>
      </c>
      <c r="K267" s="82">
        <f t="shared" si="3"/>
        <v>0</v>
      </c>
    </row>
    <row r="268">
      <c r="A268" s="80"/>
      <c r="B268" s="80"/>
      <c r="C268" s="80"/>
      <c r="D268" s="80"/>
      <c r="E268" s="82">
        <f>IFERROR(SUMIFS('Stock In'!F:F,'Stock In'!B:B,$A268,'Stock In'!C:C,$B268,'Stock In'!D:D,$C268,'Stock In'!E:E,$D268),0)</f>
        <v>0</v>
      </c>
      <c r="F268" s="82">
        <f>IFERROR(SUMIFS(Issues!H:H, Issues!F:F, $A268, Issues!C:C, $B268, Issues!D:D, $C268, Issues!E:E, $D268), 0)</f>
        <v>0</v>
      </c>
      <c r="G268" s="82">
        <f>IFERROR(SUMIFS(Returns!H:H, Returns!F:F, $A268, Returns!C:C, $B268, Returns!D:D, $C268, Returns!E:E, $D268), 0)</f>
        <v>0</v>
      </c>
      <c r="H268" s="82">
        <f t="shared" si="1"/>
        <v>0</v>
      </c>
      <c r="I268" s="82">
        <f t="shared" si="2"/>
        <v>0</v>
      </c>
      <c r="J268" s="82">
        <f>IFERROR( SUMIFS('Stock In'!I:I,'Stock In'!B:B,$A268,'Stock In'!C:C,$B268,'Stock In'!D:D,$C268,'Stock In'!E:E,$D268) / SUMIFS('Stock In'!H:H,'Stock In'!B:B,$A268,'Stock In'!C:C,$B268,'Stock In'!D:D,$C268,'Stock In'!E:E,$D268), 0)</f>
        <v>0</v>
      </c>
      <c r="K268" s="82">
        <f t="shared" si="3"/>
        <v>0</v>
      </c>
    </row>
    <row r="269">
      <c r="A269" s="80"/>
      <c r="B269" s="80"/>
      <c r="C269" s="80"/>
      <c r="D269" s="80"/>
      <c r="E269" s="82">
        <f>IFERROR(SUMIFS('Stock In'!F:F,'Stock In'!B:B,$A269,'Stock In'!C:C,$B269,'Stock In'!D:D,$C269,'Stock In'!E:E,$D269),0)</f>
        <v>0</v>
      </c>
      <c r="F269" s="82">
        <f>IFERROR(SUMIFS(Issues!H:H, Issues!F:F, $A269, Issues!C:C, $B269, Issues!D:D, $C269, Issues!E:E, $D269), 0)</f>
        <v>0</v>
      </c>
      <c r="G269" s="82">
        <f>IFERROR(SUMIFS(Returns!H:H, Returns!F:F, $A269, Returns!C:C, $B269, Returns!D:D, $C269, Returns!E:E, $D269), 0)</f>
        <v>0</v>
      </c>
      <c r="H269" s="82">
        <f t="shared" si="1"/>
        <v>0</v>
      </c>
      <c r="I269" s="82">
        <f t="shared" si="2"/>
        <v>0</v>
      </c>
      <c r="J269" s="82">
        <f>IFERROR( SUMIFS('Stock In'!I:I,'Stock In'!B:B,$A269,'Stock In'!C:C,$B269,'Stock In'!D:D,$C269,'Stock In'!E:E,$D269) / SUMIFS('Stock In'!H:H,'Stock In'!B:B,$A269,'Stock In'!C:C,$B269,'Stock In'!D:D,$C269,'Stock In'!E:E,$D269), 0)</f>
        <v>0</v>
      </c>
      <c r="K269" s="82">
        <f t="shared" si="3"/>
        <v>0</v>
      </c>
    </row>
    <row r="270">
      <c r="A270" s="80"/>
      <c r="B270" s="80"/>
      <c r="C270" s="80"/>
      <c r="D270" s="80"/>
      <c r="E270" s="82">
        <f>IFERROR(SUMIFS('Stock In'!F:F,'Stock In'!B:B,$A270,'Stock In'!C:C,$B270,'Stock In'!D:D,$C270,'Stock In'!E:E,$D270),0)</f>
        <v>0</v>
      </c>
      <c r="F270" s="82">
        <f>IFERROR(SUMIFS(Issues!H:H, Issues!F:F, $A270, Issues!C:C, $B270, Issues!D:D, $C270, Issues!E:E, $D270), 0)</f>
        <v>0</v>
      </c>
      <c r="G270" s="82">
        <f>IFERROR(SUMIFS(Returns!H:H, Returns!F:F, $A270, Returns!C:C, $B270, Returns!D:D, $C270, Returns!E:E, $D270), 0)</f>
        <v>0</v>
      </c>
      <c r="H270" s="82">
        <f t="shared" si="1"/>
        <v>0</v>
      </c>
      <c r="I270" s="82">
        <f t="shared" si="2"/>
        <v>0</v>
      </c>
      <c r="J270" s="82">
        <f>IFERROR( SUMIFS('Stock In'!I:I,'Stock In'!B:B,$A270,'Stock In'!C:C,$B270,'Stock In'!D:D,$C270,'Stock In'!E:E,$D270) / SUMIFS('Stock In'!H:H,'Stock In'!B:B,$A270,'Stock In'!C:C,$B270,'Stock In'!D:D,$C270,'Stock In'!E:E,$D270), 0)</f>
        <v>0</v>
      </c>
      <c r="K270" s="82">
        <f t="shared" si="3"/>
        <v>0</v>
      </c>
    </row>
    <row r="271">
      <c r="A271" s="80"/>
      <c r="B271" s="80"/>
      <c r="C271" s="80"/>
      <c r="D271" s="80"/>
      <c r="E271" s="82">
        <f>IFERROR(SUMIFS('Stock In'!F:F,'Stock In'!B:B,$A271,'Stock In'!C:C,$B271,'Stock In'!D:D,$C271,'Stock In'!E:E,$D271),0)</f>
        <v>0</v>
      </c>
      <c r="F271" s="82">
        <f>IFERROR(SUMIFS(Issues!H:H, Issues!F:F, $A271, Issues!C:C, $B271, Issues!D:D, $C271, Issues!E:E, $D271), 0)</f>
        <v>0</v>
      </c>
      <c r="G271" s="82">
        <f>IFERROR(SUMIFS(Returns!H:H, Returns!F:F, $A271, Returns!C:C, $B271, Returns!D:D, $C271, Returns!E:E, $D271), 0)</f>
        <v>0</v>
      </c>
      <c r="H271" s="82">
        <f t="shared" si="1"/>
        <v>0</v>
      </c>
      <c r="I271" s="82">
        <f t="shared" si="2"/>
        <v>0</v>
      </c>
      <c r="J271" s="82">
        <f>IFERROR( SUMIFS('Stock In'!I:I,'Stock In'!B:B,$A271,'Stock In'!C:C,$B271,'Stock In'!D:D,$C271,'Stock In'!E:E,$D271) / SUMIFS('Stock In'!H:H,'Stock In'!B:B,$A271,'Stock In'!C:C,$B271,'Stock In'!D:D,$C271,'Stock In'!E:E,$D271), 0)</f>
        <v>0</v>
      </c>
      <c r="K271" s="82">
        <f t="shared" si="3"/>
        <v>0</v>
      </c>
    </row>
    <row r="272">
      <c r="A272" s="80"/>
      <c r="B272" s="80"/>
      <c r="C272" s="80"/>
      <c r="D272" s="80"/>
      <c r="E272" s="82">
        <f>IFERROR(SUMIFS('Stock In'!F:F,'Stock In'!B:B,$A272,'Stock In'!C:C,$B272,'Stock In'!D:D,$C272,'Stock In'!E:E,$D272),0)</f>
        <v>0</v>
      </c>
      <c r="F272" s="82">
        <f>IFERROR(SUMIFS(Issues!H:H, Issues!F:F, $A272, Issues!C:C, $B272, Issues!D:D, $C272, Issues!E:E, $D272), 0)</f>
        <v>0</v>
      </c>
      <c r="G272" s="82">
        <f>IFERROR(SUMIFS(Returns!H:H, Returns!F:F, $A272, Returns!C:C, $B272, Returns!D:D, $C272, Returns!E:E, $D272), 0)</f>
        <v>0</v>
      </c>
      <c r="H272" s="82">
        <f t="shared" si="1"/>
        <v>0</v>
      </c>
      <c r="I272" s="82">
        <f t="shared" si="2"/>
        <v>0</v>
      </c>
      <c r="J272" s="82">
        <f>IFERROR( SUMIFS('Stock In'!I:I,'Stock In'!B:B,$A272,'Stock In'!C:C,$B272,'Stock In'!D:D,$C272,'Stock In'!E:E,$D272) / SUMIFS('Stock In'!H:H,'Stock In'!B:B,$A272,'Stock In'!C:C,$B272,'Stock In'!D:D,$C272,'Stock In'!E:E,$D272), 0)</f>
        <v>0</v>
      </c>
      <c r="K272" s="82">
        <f t="shared" si="3"/>
        <v>0</v>
      </c>
    </row>
    <row r="273">
      <c r="A273" s="80"/>
      <c r="B273" s="80"/>
      <c r="C273" s="80"/>
      <c r="D273" s="80"/>
      <c r="E273" s="82">
        <f>IFERROR(SUMIFS('Stock In'!F:F,'Stock In'!B:B,$A273,'Stock In'!C:C,$B273,'Stock In'!D:D,$C273,'Stock In'!E:E,$D273),0)</f>
        <v>0</v>
      </c>
      <c r="F273" s="82">
        <f>IFERROR(SUMIFS(Issues!H:H, Issues!F:F, $A273, Issues!C:C, $B273, Issues!D:D, $C273, Issues!E:E, $D273), 0)</f>
        <v>0</v>
      </c>
      <c r="G273" s="82">
        <f>IFERROR(SUMIFS(Returns!H:H, Returns!F:F, $A273, Returns!C:C, $B273, Returns!D:D, $C273, Returns!E:E, $D273), 0)</f>
        <v>0</v>
      </c>
      <c r="H273" s="82">
        <f t="shared" si="1"/>
        <v>0</v>
      </c>
      <c r="I273" s="82">
        <f t="shared" si="2"/>
        <v>0</v>
      </c>
      <c r="J273" s="82">
        <f>IFERROR( SUMIFS('Stock In'!I:I,'Stock In'!B:B,$A273,'Stock In'!C:C,$B273,'Stock In'!D:D,$C273,'Stock In'!E:E,$D273) / SUMIFS('Stock In'!H:H,'Stock In'!B:B,$A273,'Stock In'!C:C,$B273,'Stock In'!D:D,$C273,'Stock In'!E:E,$D273), 0)</f>
        <v>0</v>
      </c>
      <c r="K273" s="82">
        <f t="shared" si="3"/>
        <v>0</v>
      </c>
    </row>
    <row r="274">
      <c r="A274" s="80"/>
      <c r="B274" s="80"/>
      <c r="C274" s="80"/>
      <c r="D274" s="80"/>
      <c r="E274" s="82">
        <f>IFERROR(SUMIFS('Stock In'!F:F,'Stock In'!B:B,$A274,'Stock In'!C:C,$B274,'Stock In'!D:D,$C274,'Stock In'!E:E,$D274),0)</f>
        <v>0</v>
      </c>
      <c r="F274" s="82">
        <f>IFERROR(SUMIFS(Issues!H:H, Issues!F:F, $A274, Issues!C:C, $B274, Issues!D:D, $C274, Issues!E:E, $D274), 0)</f>
        <v>0</v>
      </c>
      <c r="G274" s="82">
        <f>IFERROR(SUMIFS(Returns!H:H, Returns!F:F, $A274, Returns!C:C, $B274, Returns!D:D, $C274, Returns!E:E, $D274), 0)</f>
        <v>0</v>
      </c>
      <c r="H274" s="82">
        <f t="shared" si="1"/>
        <v>0</v>
      </c>
      <c r="I274" s="82">
        <f t="shared" si="2"/>
        <v>0</v>
      </c>
      <c r="J274" s="82">
        <f>IFERROR( SUMIFS('Stock In'!I:I,'Stock In'!B:B,$A274,'Stock In'!C:C,$B274,'Stock In'!D:D,$C274,'Stock In'!E:E,$D274) / SUMIFS('Stock In'!H:H,'Stock In'!B:B,$A274,'Stock In'!C:C,$B274,'Stock In'!D:D,$C274,'Stock In'!E:E,$D274), 0)</f>
        <v>0</v>
      </c>
      <c r="K274" s="82">
        <f t="shared" si="3"/>
        <v>0</v>
      </c>
    </row>
    <row r="275">
      <c r="A275" s="80"/>
      <c r="B275" s="80"/>
      <c r="C275" s="80"/>
      <c r="D275" s="80"/>
      <c r="E275" s="82">
        <f>IFERROR(SUMIFS('Stock In'!F:F,'Stock In'!B:B,$A275,'Stock In'!C:C,$B275,'Stock In'!D:D,$C275,'Stock In'!E:E,$D275),0)</f>
        <v>0</v>
      </c>
      <c r="F275" s="82">
        <f>IFERROR(SUMIFS(Issues!H:H, Issues!F:F, $A275, Issues!C:C, $B275, Issues!D:D, $C275, Issues!E:E, $D275), 0)</f>
        <v>0</v>
      </c>
      <c r="G275" s="82">
        <f>IFERROR(SUMIFS(Returns!H:H, Returns!F:F, $A275, Returns!C:C, $B275, Returns!D:D, $C275, Returns!E:E, $D275), 0)</f>
        <v>0</v>
      </c>
      <c r="H275" s="82">
        <f t="shared" si="1"/>
        <v>0</v>
      </c>
      <c r="I275" s="82">
        <f t="shared" si="2"/>
        <v>0</v>
      </c>
      <c r="J275" s="82">
        <f>IFERROR( SUMIFS('Stock In'!I:I,'Stock In'!B:B,$A275,'Stock In'!C:C,$B275,'Stock In'!D:D,$C275,'Stock In'!E:E,$D275) / SUMIFS('Stock In'!H:H,'Stock In'!B:B,$A275,'Stock In'!C:C,$B275,'Stock In'!D:D,$C275,'Stock In'!E:E,$D275), 0)</f>
        <v>0</v>
      </c>
      <c r="K275" s="82">
        <f t="shared" si="3"/>
        <v>0</v>
      </c>
    </row>
    <row r="276">
      <c r="A276" s="80"/>
      <c r="B276" s="80"/>
      <c r="C276" s="80"/>
      <c r="D276" s="80"/>
      <c r="E276" s="82">
        <f>IFERROR(SUMIFS('Stock In'!F:F,'Stock In'!B:B,$A276,'Stock In'!C:C,$B276,'Stock In'!D:D,$C276,'Stock In'!E:E,$D276),0)</f>
        <v>0</v>
      </c>
      <c r="F276" s="82">
        <f>IFERROR(SUMIFS(Issues!H:H, Issues!F:F, $A276, Issues!C:C, $B276, Issues!D:D, $C276, Issues!E:E, $D276), 0)</f>
        <v>0</v>
      </c>
      <c r="G276" s="82">
        <f>IFERROR(SUMIFS(Returns!H:H, Returns!F:F, $A276, Returns!C:C, $B276, Returns!D:D, $C276, Returns!E:E, $D276), 0)</f>
        <v>0</v>
      </c>
      <c r="H276" s="82">
        <f t="shared" si="1"/>
        <v>0</v>
      </c>
      <c r="I276" s="82">
        <f t="shared" si="2"/>
        <v>0</v>
      </c>
      <c r="J276" s="82">
        <f>IFERROR( SUMIFS('Stock In'!I:I,'Stock In'!B:B,$A276,'Stock In'!C:C,$B276,'Stock In'!D:D,$C276,'Stock In'!E:E,$D276) / SUMIFS('Stock In'!H:H,'Stock In'!B:B,$A276,'Stock In'!C:C,$B276,'Stock In'!D:D,$C276,'Stock In'!E:E,$D276), 0)</f>
        <v>0</v>
      </c>
      <c r="K276" s="82">
        <f t="shared" si="3"/>
        <v>0</v>
      </c>
    </row>
    <row r="277">
      <c r="A277" s="80"/>
      <c r="B277" s="80"/>
      <c r="C277" s="80"/>
      <c r="D277" s="80"/>
      <c r="E277" s="82">
        <f>IFERROR(SUMIFS('Stock In'!F:F,'Stock In'!B:B,$A277,'Stock In'!C:C,$B277,'Stock In'!D:D,$C277,'Stock In'!E:E,$D277),0)</f>
        <v>0</v>
      </c>
      <c r="F277" s="82">
        <f>IFERROR(SUMIFS(Issues!H:H, Issues!F:F, $A277, Issues!C:C, $B277, Issues!D:D, $C277, Issues!E:E, $D277), 0)</f>
        <v>0</v>
      </c>
      <c r="G277" s="82">
        <f>IFERROR(SUMIFS(Returns!H:H, Returns!F:F, $A277, Returns!C:C, $B277, Returns!D:D, $C277, Returns!E:E, $D277), 0)</f>
        <v>0</v>
      </c>
      <c r="H277" s="82">
        <f t="shared" si="1"/>
        <v>0</v>
      </c>
      <c r="I277" s="82">
        <f t="shared" si="2"/>
        <v>0</v>
      </c>
      <c r="J277" s="82">
        <f>IFERROR( SUMIFS('Stock In'!I:I,'Stock In'!B:B,$A277,'Stock In'!C:C,$B277,'Stock In'!D:D,$C277,'Stock In'!E:E,$D277) / SUMIFS('Stock In'!H:H,'Stock In'!B:B,$A277,'Stock In'!C:C,$B277,'Stock In'!D:D,$C277,'Stock In'!E:E,$D277), 0)</f>
        <v>0</v>
      </c>
      <c r="K277" s="82">
        <f t="shared" si="3"/>
        <v>0</v>
      </c>
    </row>
    <row r="278">
      <c r="A278" s="80"/>
      <c r="B278" s="80"/>
      <c r="C278" s="80"/>
      <c r="D278" s="80"/>
      <c r="E278" s="82">
        <f>IFERROR(SUMIFS('Stock In'!F:F,'Stock In'!B:B,$A278,'Stock In'!C:C,$B278,'Stock In'!D:D,$C278,'Stock In'!E:E,$D278),0)</f>
        <v>0</v>
      </c>
      <c r="F278" s="82">
        <f>IFERROR(SUMIFS(Issues!H:H, Issues!F:F, $A278, Issues!C:C, $B278, Issues!D:D, $C278, Issues!E:E, $D278), 0)</f>
        <v>0</v>
      </c>
      <c r="G278" s="82">
        <f>IFERROR(SUMIFS(Returns!H:H, Returns!F:F, $A278, Returns!C:C, $B278, Returns!D:D, $C278, Returns!E:E, $D278), 0)</f>
        <v>0</v>
      </c>
      <c r="H278" s="82">
        <f t="shared" si="1"/>
        <v>0</v>
      </c>
      <c r="I278" s="82">
        <f t="shared" si="2"/>
        <v>0</v>
      </c>
      <c r="J278" s="82">
        <f>IFERROR( SUMIFS('Stock In'!I:I,'Stock In'!B:B,$A278,'Stock In'!C:C,$B278,'Stock In'!D:D,$C278,'Stock In'!E:E,$D278) / SUMIFS('Stock In'!H:H,'Stock In'!B:B,$A278,'Stock In'!C:C,$B278,'Stock In'!D:D,$C278,'Stock In'!E:E,$D278), 0)</f>
        <v>0</v>
      </c>
      <c r="K278" s="82">
        <f t="shared" si="3"/>
        <v>0</v>
      </c>
    </row>
    <row r="279">
      <c r="A279" s="80"/>
      <c r="B279" s="80"/>
      <c r="C279" s="80"/>
      <c r="D279" s="80"/>
      <c r="E279" s="82">
        <f>IFERROR(SUMIFS('Stock In'!F:F,'Stock In'!B:B,$A279,'Stock In'!C:C,$B279,'Stock In'!D:D,$C279,'Stock In'!E:E,$D279),0)</f>
        <v>0</v>
      </c>
      <c r="F279" s="82">
        <f>IFERROR(SUMIFS(Issues!H:H, Issues!F:F, $A279, Issues!C:C, $B279, Issues!D:D, $C279, Issues!E:E, $D279), 0)</f>
        <v>0</v>
      </c>
      <c r="G279" s="82">
        <f>IFERROR(SUMIFS(Returns!H:H, Returns!F:F, $A279, Returns!C:C, $B279, Returns!D:D, $C279, Returns!E:E, $D279), 0)</f>
        <v>0</v>
      </c>
      <c r="H279" s="82">
        <f t="shared" si="1"/>
        <v>0</v>
      </c>
      <c r="I279" s="82">
        <f t="shared" si="2"/>
        <v>0</v>
      </c>
      <c r="J279" s="82">
        <f>IFERROR( SUMIFS('Stock In'!I:I,'Stock In'!B:B,$A279,'Stock In'!C:C,$B279,'Stock In'!D:D,$C279,'Stock In'!E:E,$D279) / SUMIFS('Stock In'!H:H,'Stock In'!B:B,$A279,'Stock In'!C:C,$B279,'Stock In'!D:D,$C279,'Stock In'!E:E,$D279), 0)</f>
        <v>0</v>
      </c>
      <c r="K279" s="82">
        <f t="shared" si="3"/>
        <v>0</v>
      </c>
    </row>
    <row r="280">
      <c r="A280" s="80"/>
      <c r="B280" s="80"/>
      <c r="C280" s="80"/>
      <c r="D280" s="80"/>
      <c r="E280" s="82">
        <f>IFERROR(SUMIFS('Stock In'!F:F,'Stock In'!B:B,$A280,'Stock In'!C:C,$B280,'Stock In'!D:D,$C280,'Stock In'!E:E,$D280),0)</f>
        <v>0</v>
      </c>
      <c r="F280" s="82">
        <f>IFERROR(SUMIFS(Issues!H:H, Issues!F:F, $A280, Issues!C:C, $B280, Issues!D:D, $C280, Issues!E:E, $D280), 0)</f>
        <v>0</v>
      </c>
      <c r="G280" s="82">
        <f>IFERROR(SUMIFS(Returns!H:H, Returns!F:F, $A280, Returns!C:C, $B280, Returns!D:D, $C280, Returns!E:E, $D280), 0)</f>
        <v>0</v>
      </c>
      <c r="H280" s="82">
        <f t="shared" si="1"/>
        <v>0</v>
      </c>
      <c r="I280" s="82">
        <f t="shared" si="2"/>
        <v>0</v>
      </c>
      <c r="J280" s="82">
        <f>IFERROR( SUMIFS('Stock In'!I:I,'Stock In'!B:B,$A280,'Stock In'!C:C,$B280,'Stock In'!D:D,$C280,'Stock In'!E:E,$D280) / SUMIFS('Stock In'!H:H,'Stock In'!B:B,$A280,'Stock In'!C:C,$B280,'Stock In'!D:D,$C280,'Stock In'!E:E,$D280), 0)</f>
        <v>0</v>
      </c>
      <c r="K280" s="82">
        <f t="shared" si="3"/>
        <v>0</v>
      </c>
    </row>
    <row r="281">
      <c r="A281" s="80"/>
      <c r="B281" s="80"/>
      <c r="C281" s="80"/>
      <c r="D281" s="80"/>
      <c r="E281" s="82">
        <f>IFERROR(SUMIFS('Stock In'!F:F,'Stock In'!B:B,$A281,'Stock In'!C:C,$B281,'Stock In'!D:D,$C281,'Stock In'!E:E,$D281),0)</f>
        <v>0</v>
      </c>
      <c r="F281" s="82">
        <f>IFERROR(SUMIFS(Issues!H:H, Issues!F:F, $A281, Issues!C:C, $B281, Issues!D:D, $C281, Issues!E:E, $D281), 0)</f>
        <v>0</v>
      </c>
      <c r="G281" s="82">
        <f>IFERROR(SUMIFS(Returns!H:H, Returns!F:F, $A281, Returns!C:C, $B281, Returns!D:D, $C281, Returns!E:E, $D281), 0)</f>
        <v>0</v>
      </c>
      <c r="H281" s="82">
        <f t="shared" si="1"/>
        <v>0</v>
      </c>
      <c r="I281" s="82">
        <f t="shared" si="2"/>
        <v>0</v>
      </c>
      <c r="J281" s="82">
        <f>IFERROR( SUMIFS('Stock In'!I:I,'Stock In'!B:B,$A281,'Stock In'!C:C,$B281,'Stock In'!D:D,$C281,'Stock In'!E:E,$D281) / SUMIFS('Stock In'!H:H,'Stock In'!B:B,$A281,'Stock In'!C:C,$B281,'Stock In'!D:D,$C281,'Stock In'!E:E,$D281), 0)</f>
        <v>0</v>
      </c>
      <c r="K281" s="82">
        <f t="shared" si="3"/>
        <v>0</v>
      </c>
    </row>
    <row r="282">
      <c r="A282" s="80"/>
      <c r="B282" s="80"/>
      <c r="C282" s="80"/>
      <c r="D282" s="80"/>
      <c r="E282" s="82">
        <f>IFERROR(SUMIFS('Stock In'!F:F,'Stock In'!B:B,$A282,'Stock In'!C:C,$B282,'Stock In'!D:D,$C282,'Stock In'!E:E,$D282),0)</f>
        <v>0</v>
      </c>
      <c r="F282" s="82">
        <f>IFERROR(SUMIFS(Issues!H:H, Issues!F:F, $A282, Issues!C:C, $B282, Issues!D:D, $C282, Issues!E:E, $D282), 0)</f>
        <v>0</v>
      </c>
      <c r="G282" s="82">
        <f>IFERROR(SUMIFS(Returns!H:H, Returns!F:F, $A282, Returns!C:C, $B282, Returns!D:D, $C282, Returns!E:E, $D282), 0)</f>
        <v>0</v>
      </c>
      <c r="H282" s="82">
        <f t="shared" si="1"/>
        <v>0</v>
      </c>
      <c r="I282" s="82">
        <f t="shared" si="2"/>
        <v>0</v>
      </c>
      <c r="J282" s="82">
        <f>IFERROR( SUMIFS('Stock In'!I:I,'Stock In'!B:B,$A282,'Stock In'!C:C,$B282,'Stock In'!D:D,$C282,'Stock In'!E:E,$D282) / SUMIFS('Stock In'!H:H,'Stock In'!B:B,$A282,'Stock In'!C:C,$B282,'Stock In'!D:D,$C282,'Stock In'!E:E,$D282), 0)</f>
        <v>0</v>
      </c>
      <c r="K282" s="82">
        <f t="shared" si="3"/>
        <v>0</v>
      </c>
    </row>
    <row r="283">
      <c r="A283" s="80"/>
      <c r="B283" s="80"/>
      <c r="C283" s="80"/>
      <c r="D283" s="80"/>
      <c r="E283" s="82">
        <f>IFERROR(SUMIFS('Stock In'!F:F,'Stock In'!B:B,$A283,'Stock In'!C:C,$B283,'Stock In'!D:D,$C283,'Stock In'!E:E,$D283),0)</f>
        <v>0</v>
      </c>
      <c r="F283" s="82">
        <f>IFERROR(SUMIFS(Issues!H:H, Issues!F:F, $A283, Issues!C:C, $B283, Issues!D:D, $C283, Issues!E:E, $D283), 0)</f>
        <v>0</v>
      </c>
      <c r="G283" s="82">
        <f>IFERROR(SUMIFS(Returns!H:H, Returns!F:F, $A283, Returns!C:C, $B283, Returns!D:D, $C283, Returns!E:E, $D283), 0)</f>
        <v>0</v>
      </c>
      <c r="H283" s="82">
        <f t="shared" si="1"/>
        <v>0</v>
      </c>
      <c r="I283" s="82">
        <f t="shared" si="2"/>
        <v>0</v>
      </c>
      <c r="J283" s="82">
        <f>IFERROR( SUMIFS('Stock In'!I:I,'Stock In'!B:B,$A283,'Stock In'!C:C,$B283,'Stock In'!D:D,$C283,'Stock In'!E:E,$D283) / SUMIFS('Stock In'!H:H,'Stock In'!B:B,$A283,'Stock In'!C:C,$B283,'Stock In'!D:D,$C283,'Stock In'!E:E,$D283), 0)</f>
        <v>0</v>
      </c>
      <c r="K283" s="82">
        <f t="shared" si="3"/>
        <v>0</v>
      </c>
    </row>
    <row r="284">
      <c r="A284" s="80"/>
      <c r="B284" s="80"/>
      <c r="C284" s="80"/>
      <c r="D284" s="80"/>
      <c r="E284" s="82">
        <f>IFERROR(SUMIFS('Stock In'!F:F,'Stock In'!B:B,$A284,'Stock In'!C:C,$B284,'Stock In'!D:D,$C284,'Stock In'!E:E,$D284),0)</f>
        <v>0</v>
      </c>
      <c r="F284" s="82">
        <f>IFERROR(SUMIFS(Issues!H:H, Issues!F:F, $A284, Issues!C:C, $B284, Issues!D:D, $C284, Issues!E:E, $D284), 0)</f>
        <v>0</v>
      </c>
      <c r="G284" s="82">
        <f>IFERROR(SUMIFS(Returns!H:H, Returns!F:F, $A284, Returns!C:C, $B284, Returns!D:D, $C284, Returns!E:E, $D284), 0)</f>
        <v>0</v>
      </c>
      <c r="H284" s="82">
        <f t="shared" si="1"/>
        <v>0</v>
      </c>
      <c r="I284" s="82">
        <f t="shared" si="2"/>
        <v>0</v>
      </c>
      <c r="J284" s="82">
        <f>IFERROR( SUMIFS('Stock In'!I:I,'Stock In'!B:B,$A284,'Stock In'!C:C,$B284,'Stock In'!D:D,$C284,'Stock In'!E:E,$D284) / SUMIFS('Stock In'!H:H,'Stock In'!B:B,$A284,'Stock In'!C:C,$B284,'Stock In'!D:D,$C284,'Stock In'!E:E,$D284), 0)</f>
        <v>0</v>
      </c>
      <c r="K284" s="82">
        <f t="shared" si="3"/>
        <v>0</v>
      </c>
    </row>
    <row r="285">
      <c r="A285" s="80"/>
      <c r="B285" s="80"/>
      <c r="C285" s="80"/>
      <c r="D285" s="80"/>
      <c r="E285" s="82">
        <f>IFERROR(SUMIFS('Stock In'!F:F,'Stock In'!B:B,$A285,'Stock In'!C:C,$B285,'Stock In'!D:D,$C285,'Stock In'!E:E,$D285),0)</f>
        <v>0</v>
      </c>
      <c r="F285" s="82">
        <f>IFERROR(SUMIFS(Issues!H:H, Issues!F:F, $A285, Issues!C:C, $B285, Issues!D:D, $C285, Issues!E:E, $D285), 0)</f>
        <v>0</v>
      </c>
      <c r="G285" s="82">
        <f>IFERROR(SUMIFS(Returns!H:H, Returns!F:F, $A285, Returns!C:C, $B285, Returns!D:D, $C285, Returns!E:E, $D285), 0)</f>
        <v>0</v>
      </c>
      <c r="H285" s="82">
        <f t="shared" si="1"/>
        <v>0</v>
      </c>
      <c r="I285" s="82">
        <f t="shared" si="2"/>
        <v>0</v>
      </c>
      <c r="J285" s="82">
        <f>IFERROR( SUMIFS('Stock In'!I:I,'Stock In'!B:B,$A285,'Stock In'!C:C,$B285,'Stock In'!D:D,$C285,'Stock In'!E:E,$D285) / SUMIFS('Stock In'!H:H,'Stock In'!B:B,$A285,'Stock In'!C:C,$B285,'Stock In'!D:D,$C285,'Stock In'!E:E,$D285), 0)</f>
        <v>0</v>
      </c>
      <c r="K285" s="82">
        <f t="shared" si="3"/>
        <v>0</v>
      </c>
    </row>
    <row r="286">
      <c r="A286" s="80"/>
      <c r="B286" s="80"/>
      <c r="C286" s="80"/>
      <c r="D286" s="80"/>
      <c r="E286" s="82">
        <f>IFERROR(SUMIFS('Stock In'!F:F,'Stock In'!B:B,$A286,'Stock In'!C:C,$B286,'Stock In'!D:D,$C286,'Stock In'!E:E,$D286),0)</f>
        <v>0</v>
      </c>
      <c r="F286" s="82">
        <f>IFERROR(SUMIFS(Issues!H:H, Issues!F:F, $A286, Issues!C:C, $B286, Issues!D:D, $C286, Issues!E:E, $D286), 0)</f>
        <v>0</v>
      </c>
      <c r="G286" s="82">
        <f>IFERROR(SUMIFS(Returns!H:H, Returns!F:F, $A286, Returns!C:C, $B286, Returns!D:D, $C286, Returns!E:E, $D286), 0)</f>
        <v>0</v>
      </c>
      <c r="H286" s="82">
        <f t="shared" si="1"/>
        <v>0</v>
      </c>
      <c r="I286" s="82">
        <f t="shared" si="2"/>
        <v>0</v>
      </c>
      <c r="J286" s="82">
        <f>IFERROR( SUMIFS('Stock In'!I:I,'Stock In'!B:B,$A286,'Stock In'!C:C,$B286,'Stock In'!D:D,$C286,'Stock In'!E:E,$D286) / SUMIFS('Stock In'!H:H,'Stock In'!B:B,$A286,'Stock In'!C:C,$B286,'Stock In'!D:D,$C286,'Stock In'!E:E,$D286), 0)</f>
        <v>0</v>
      </c>
      <c r="K286" s="82">
        <f t="shared" si="3"/>
        <v>0</v>
      </c>
    </row>
    <row r="287">
      <c r="A287" s="80"/>
      <c r="B287" s="80"/>
      <c r="C287" s="80"/>
      <c r="D287" s="80"/>
      <c r="E287" s="82">
        <f>IFERROR(SUMIFS('Stock In'!F:F,'Stock In'!B:B,$A287,'Stock In'!C:C,$B287,'Stock In'!D:D,$C287,'Stock In'!E:E,$D287),0)</f>
        <v>0</v>
      </c>
      <c r="F287" s="82">
        <f>IFERROR(SUMIFS(Issues!H:H, Issues!F:F, $A287, Issues!C:C, $B287, Issues!D:D, $C287, Issues!E:E, $D287), 0)</f>
        <v>0</v>
      </c>
      <c r="G287" s="82">
        <f>IFERROR(SUMIFS(Returns!H:H, Returns!F:F, $A287, Returns!C:C, $B287, Returns!D:D, $C287, Returns!E:E, $D287), 0)</f>
        <v>0</v>
      </c>
      <c r="H287" s="82">
        <f t="shared" si="1"/>
        <v>0</v>
      </c>
      <c r="I287" s="82">
        <f t="shared" si="2"/>
        <v>0</v>
      </c>
      <c r="J287" s="82">
        <f>IFERROR( SUMIFS('Stock In'!I:I,'Stock In'!B:B,$A287,'Stock In'!C:C,$B287,'Stock In'!D:D,$C287,'Stock In'!E:E,$D287) / SUMIFS('Stock In'!H:H,'Stock In'!B:B,$A287,'Stock In'!C:C,$B287,'Stock In'!D:D,$C287,'Stock In'!E:E,$D287), 0)</f>
        <v>0</v>
      </c>
      <c r="K287" s="82">
        <f t="shared" si="3"/>
        <v>0</v>
      </c>
    </row>
    <row r="288">
      <c r="A288" s="80"/>
      <c r="B288" s="80"/>
      <c r="C288" s="80"/>
      <c r="D288" s="80"/>
      <c r="E288" s="82">
        <f>IFERROR(SUMIFS('Stock In'!F:F,'Stock In'!B:B,$A288,'Stock In'!C:C,$B288,'Stock In'!D:D,$C288,'Stock In'!E:E,$D288),0)</f>
        <v>0</v>
      </c>
      <c r="F288" s="82">
        <f>IFERROR(SUMIFS(Issues!H:H, Issues!F:F, $A288, Issues!C:C, $B288, Issues!D:D, $C288, Issues!E:E, $D288), 0)</f>
        <v>0</v>
      </c>
      <c r="G288" s="82">
        <f>IFERROR(SUMIFS(Returns!H:H, Returns!F:F, $A288, Returns!C:C, $B288, Returns!D:D, $C288, Returns!E:E, $D288), 0)</f>
        <v>0</v>
      </c>
      <c r="H288" s="82">
        <f t="shared" si="1"/>
        <v>0</v>
      </c>
      <c r="I288" s="82">
        <f t="shared" si="2"/>
        <v>0</v>
      </c>
      <c r="J288" s="82">
        <f>IFERROR( SUMIFS('Stock In'!I:I,'Stock In'!B:B,$A288,'Stock In'!C:C,$B288,'Stock In'!D:D,$C288,'Stock In'!E:E,$D288) / SUMIFS('Stock In'!H:H,'Stock In'!B:B,$A288,'Stock In'!C:C,$B288,'Stock In'!D:D,$C288,'Stock In'!E:E,$D288), 0)</f>
        <v>0</v>
      </c>
      <c r="K288" s="82">
        <f t="shared" si="3"/>
        <v>0</v>
      </c>
    </row>
    <row r="289">
      <c r="A289" s="80"/>
      <c r="B289" s="80"/>
      <c r="C289" s="80"/>
      <c r="D289" s="80"/>
      <c r="E289" s="82">
        <f>IFERROR(SUMIFS('Stock In'!F:F,'Stock In'!B:B,$A289,'Stock In'!C:C,$B289,'Stock In'!D:D,$C289,'Stock In'!E:E,$D289),0)</f>
        <v>0</v>
      </c>
      <c r="F289" s="82">
        <f>IFERROR(SUMIFS(Issues!H:H, Issues!F:F, $A289, Issues!C:C, $B289, Issues!D:D, $C289, Issues!E:E, $D289), 0)</f>
        <v>0</v>
      </c>
      <c r="G289" s="82">
        <f>IFERROR(SUMIFS(Returns!H:H, Returns!F:F, $A289, Returns!C:C, $B289, Returns!D:D, $C289, Returns!E:E, $D289), 0)</f>
        <v>0</v>
      </c>
      <c r="H289" s="82">
        <f t="shared" si="1"/>
        <v>0</v>
      </c>
      <c r="I289" s="82">
        <f t="shared" si="2"/>
        <v>0</v>
      </c>
      <c r="J289" s="82">
        <f>IFERROR( SUMIFS('Stock In'!I:I,'Stock In'!B:B,$A289,'Stock In'!C:C,$B289,'Stock In'!D:D,$C289,'Stock In'!E:E,$D289) / SUMIFS('Stock In'!H:H,'Stock In'!B:B,$A289,'Stock In'!C:C,$B289,'Stock In'!D:D,$C289,'Stock In'!E:E,$D289), 0)</f>
        <v>0</v>
      </c>
      <c r="K289" s="82">
        <f t="shared" si="3"/>
        <v>0</v>
      </c>
    </row>
    <row r="290">
      <c r="A290" s="80"/>
      <c r="B290" s="80"/>
      <c r="C290" s="80"/>
      <c r="D290" s="80"/>
      <c r="E290" s="82">
        <f>IFERROR(SUMIFS('Stock In'!F:F,'Stock In'!B:B,$A290,'Stock In'!C:C,$B290,'Stock In'!D:D,$C290,'Stock In'!E:E,$D290),0)</f>
        <v>0</v>
      </c>
      <c r="F290" s="82">
        <f>IFERROR(SUMIFS(Issues!H:H, Issues!F:F, $A290, Issues!C:C, $B290, Issues!D:D, $C290, Issues!E:E, $D290), 0)</f>
        <v>0</v>
      </c>
      <c r="G290" s="82">
        <f>IFERROR(SUMIFS(Returns!H:H, Returns!F:F, $A290, Returns!C:C, $B290, Returns!D:D, $C290, Returns!E:E, $D290), 0)</f>
        <v>0</v>
      </c>
      <c r="H290" s="82">
        <f t="shared" si="1"/>
        <v>0</v>
      </c>
      <c r="I290" s="82">
        <f t="shared" si="2"/>
        <v>0</v>
      </c>
      <c r="J290" s="82">
        <f>IFERROR( SUMIFS('Stock In'!I:I,'Stock In'!B:B,$A290,'Stock In'!C:C,$B290,'Stock In'!D:D,$C290,'Stock In'!E:E,$D290) / SUMIFS('Stock In'!H:H,'Stock In'!B:B,$A290,'Stock In'!C:C,$B290,'Stock In'!D:D,$C290,'Stock In'!E:E,$D290), 0)</f>
        <v>0</v>
      </c>
      <c r="K290" s="82">
        <f t="shared" si="3"/>
        <v>0</v>
      </c>
    </row>
    <row r="291">
      <c r="A291" s="80"/>
      <c r="B291" s="80"/>
      <c r="C291" s="80"/>
      <c r="D291" s="80"/>
      <c r="E291" s="82">
        <f>IFERROR(SUMIFS('Stock In'!F:F,'Stock In'!B:B,$A291,'Stock In'!C:C,$B291,'Stock In'!D:D,$C291,'Stock In'!E:E,$D291),0)</f>
        <v>0</v>
      </c>
      <c r="F291" s="82">
        <f>IFERROR(SUMIFS(Issues!H:H, Issues!F:F, $A291, Issues!C:C, $B291, Issues!D:D, $C291, Issues!E:E, $D291), 0)</f>
        <v>0</v>
      </c>
      <c r="G291" s="82">
        <f>IFERROR(SUMIFS(Returns!H:H, Returns!F:F, $A291, Returns!C:C, $B291, Returns!D:D, $C291, Returns!E:E, $D291), 0)</f>
        <v>0</v>
      </c>
      <c r="H291" s="82">
        <f t="shared" si="1"/>
        <v>0</v>
      </c>
      <c r="I291" s="82">
        <f t="shared" si="2"/>
        <v>0</v>
      </c>
      <c r="J291" s="82">
        <f>IFERROR( SUMIFS('Stock In'!I:I,'Stock In'!B:B,$A291,'Stock In'!C:C,$B291,'Stock In'!D:D,$C291,'Stock In'!E:E,$D291) / SUMIFS('Stock In'!H:H,'Stock In'!B:B,$A291,'Stock In'!C:C,$B291,'Stock In'!D:D,$C291,'Stock In'!E:E,$D291), 0)</f>
        <v>0</v>
      </c>
      <c r="K291" s="82">
        <f t="shared" si="3"/>
        <v>0</v>
      </c>
    </row>
    <row r="292">
      <c r="A292" s="80"/>
      <c r="B292" s="80"/>
      <c r="C292" s="80"/>
      <c r="D292" s="80"/>
      <c r="E292" s="82">
        <f>IFERROR(SUMIFS('Stock In'!F:F,'Stock In'!B:B,$A292,'Stock In'!C:C,$B292,'Stock In'!D:D,$C292,'Stock In'!E:E,$D292),0)</f>
        <v>0</v>
      </c>
      <c r="F292" s="82">
        <f>IFERROR(SUMIFS(Issues!H:H, Issues!F:F, $A292, Issues!C:C, $B292, Issues!D:D, $C292, Issues!E:E, $D292), 0)</f>
        <v>0</v>
      </c>
      <c r="G292" s="82">
        <f>IFERROR(SUMIFS(Returns!H:H, Returns!F:F, $A292, Returns!C:C, $B292, Returns!D:D, $C292, Returns!E:E, $D292), 0)</f>
        <v>0</v>
      </c>
      <c r="H292" s="82">
        <f t="shared" si="1"/>
        <v>0</v>
      </c>
      <c r="I292" s="82">
        <f t="shared" si="2"/>
        <v>0</v>
      </c>
      <c r="J292" s="82">
        <f>IFERROR( SUMIFS('Stock In'!I:I,'Stock In'!B:B,$A292,'Stock In'!C:C,$B292,'Stock In'!D:D,$C292,'Stock In'!E:E,$D292) / SUMIFS('Stock In'!H:H,'Stock In'!B:B,$A292,'Stock In'!C:C,$B292,'Stock In'!D:D,$C292,'Stock In'!E:E,$D292), 0)</f>
        <v>0</v>
      </c>
      <c r="K292" s="82">
        <f t="shared" si="3"/>
        <v>0</v>
      </c>
    </row>
    <row r="293">
      <c r="A293" s="80"/>
      <c r="B293" s="80"/>
      <c r="C293" s="80"/>
      <c r="D293" s="80"/>
      <c r="E293" s="82">
        <f>IFERROR(SUMIFS('Stock In'!F:F,'Stock In'!B:B,$A293,'Stock In'!C:C,$B293,'Stock In'!D:D,$C293,'Stock In'!E:E,$D293),0)</f>
        <v>0</v>
      </c>
      <c r="F293" s="82">
        <f>IFERROR(SUMIFS(Issues!H:H, Issues!F:F, $A293, Issues!C:C, $B293, Issues!D:D, $C293, Issues!E:E, $D293), 0)</f>
        <v>0</v>
      </c>
      <c r="G293" s="82">
        <f>IFERROR(SUMIFS(Returns!H:H, Returns!F:F, $A293, Returns!C:C, $B293, Returns!D:D, $C293, Returns!E:E, $D293), 0)</f>
        <v>0</v>
      </c>
      <c r="H293" s="82">
        <f t="shared" si="1"/>
        <v>0</v>
      </c>
      <c r="I293" s="82">
        <f t="shared" si="2"/>
        <v>0</v>
      </c>
      <c r="J293" s="82">
        <f>IFERROR( SUMIFS('Stock In'!I:I,'Stock In'!B:B,$A293,'Stock In'!C:C,$B293,'Stock In'!D:D,$C293,'Stock In'!E:E,$D293) / SUMIFS('Stock In'!H:H,'Stock In'!B:B,$A293,'Stock In'!C:C,$B293,'Stock In'!D:D,$C293,'Stock In'!E:E,$D293), 0)</f>
        <v>0</v>
      </c>
      <c r="K293" s="82">
        <f t="shared" si="3"/>
        <v>0</v>
      </c>
    </row>
    <row r="294">
      <c r="A294" s="80"/>
      <c r="B294" s="80"/>
      <c r="C294" s="80"/>
      <c r="D294" s="80"/>
      <c r="E294" s="82">
        <f>IFERROR(SUMIFS('Stock In'!F:F,'Stock In'!B:B,$A294,'Stock In'!C:C,$B294,'Stock In'!D:D,$C294,'Stock In'!E:E,$D294),0)</f>
        <v>0</v>
      </c>
      <c r="F294" s="82">
        <f>IFERROR(SUMIFS(Issues!H:H, Issues!F:F, $A294, Issues!C:C, $B294, Issues!D:D, $C294, Issues!E:E, $D294), 0)</f>
        <v>0</v>
      </c>
      <c r="G294" s="82">
        <f>IFERROR(SUMIFS(Returns!H:H, Returns!F:F, $A294, Returns!C:C, $B294, Returns!D:D, $C294, Returns!E:E, $D294), 0)</f>
        <v>0</v>
      </c>
      <c r="H294" s="82">
        <f t="shared" si="1"/>
        <v>0</v>
      </c>
      <c r="I294" s="82">
        <f t="shared" si="2"/>
        <v>0</v>
      </c>
      <c r="J294" s="82">
        <f>IFERROR( SUMIFS('Stock In'!I:I,'Stock In'!B:B,$A294,'Stock In'!C:C,$B294,'Stock In'!D:D,$C294,'Stock In'!E:E,$D294) / SUMIFS('Stock In'!H:H,'Stock In'!B:B,$A294,'Stock In'!C:C,$B294,'Stock In'!D:D,$C294,'Stock In'!E:E,$D294), 0)</f>
        <v>0</v>
      </c>
      <c r="K294" s="82">
        <f t="shared" si="3"/>
        <v>0</v>
      </c>
    </row>
    <row r="295">
      <c r="A295" s="80"/>
      <c r="B295" s="80"/>
      <c r="C295" s="80"/>
      <c r="D295" s="80"/>
      <c r="E295" s="82">
        <f>IFERROR(SUMIFS('Stock In'!F:F,'Stock In'!B:B,$A295,'Stock In'!C:C,$B295,'Stock In'!D:D,$C295,'Stock In'!E:E,$D295),0)</f>
        <v>0</v>
      </c>
      <c r="F295" s="82">
        <f>IFERROR(SUMIFS(Issues!H:H, Issues!F:F, $A295, Issues!C:C, $B295, Issues!D:D, $C295, Issues!E:E, $D295), 0)</f>
        <v>0</v>
      </c>
      <c r="G295" s="82">
        <f>IFERROR(SUMIFS(Returns!H:H, Returns!F:F, $A295, Returns!C:C, $B295, Returns!D:D, $C295, Returns!E:E, $D295), 0)</f>
        <v>0</v>
      </c>
      <c r="H295" s="82">
        <f t="shared" si="1"/>
        <v>0</v>
      </c>
      <c r="I295" s="82">
        <f t="shared" si="2"/>
        <v>0</v>
      </c>
      <c r="J295" s="82">
        <f>IFERROR( SUMIFS('Stock In'!I:I,'Stock In'!B:B,$A295,'Stock In'!C:C,$B295,'Stock In'!D:D,$C295,'Stock In'!E:E,$D295) / SUMIFS('Stock In'!H:H,'Stock In'!B:B,$A295,'Stock In'!C:C,$B295,'Stock In'!D:D,$C295,'Stock In'!E:E,$D295), 0)</f>
        <v>0</v>
      </c>
      <c r="K295" s="82">
        <f t="shared" si="3"/>
        <v>0</v>
      </c>
    </row>
    <row r="296">
      <c r="A296" s="80"/>
      <c r="B296" s="80"/>
      <c r="C296" s="80"/>
      <c r="D296" s="80"/>
      <c r="E296" s="82">
        <f>IFERROR(SUMIFS('Stock In'!F:F,'Stock In'!B:B,$A296,'Stock In'!C:C,$B296,'Stock In'!D:D,$C296,'Stock In'!E:E,$D296),0)</f>
        <v>0</v>
      </c>
      <c r="F296" s="82">
        <f>IFERROR(SUMIFS(Issues!H:H, Issues!F:F, $A296, Issues!C:C, $B296, Issues!D:D, $C296, Issues!E:E, $D296), 0)</f>
        <v>0</v>
      </c>
      <c r="G296" s="82">
        <f>IFERROR(SUMIFS(Returns!H:H, Returns!F:F, $A296, Returns!C:C, $B296, Returns!D:D, $C296, Returns!E:E, $D296), 0)</f>
        <v>0</v>
      </c>
      <c r="H296" s="82">
        <f t="shared" si="1"/>
        <v>0</v>
      </c>
      <c r="I296" s="82">
        <f t="shared" si="2"/>
        <v>0</v>
      </c>
      <c r="J296" s="82">
        <f>IFERROR( SUMIFS('Stock In'!I:I,'Stock In'!B:B,$A296,'Stock In'!C:C,$B296,'Stock In'!D:D,$C296,'Stock In'!E:E,$D296) / SUMIFS('Stock In'!H:H,'Stock In'!B:B,$A296,'Stock In'!C:C,$B296,'Stock In'!D:D,$C296,'Stock In'!E:E,$D296), 0)</f>
        <v>0</v>
      </c>
      <c r="K296" s="82">
        <f t="shared" si="3"/>
        <v>0</v>
      </c>
    </row>
    <row r="297">
      <c r="A297" s="80"/>
      <c r="B297" s="80"/>
      <c r="C297" s="80"/>
      <c r="D297" s="80"/>
      <c r="E297" s="82">
        <f>IFERROR(SUMIFS('Stock In'!F:F,'Stock In'!B:B,$A297,'Stock In'!C:C,$B297,'Stock In'!D:D,$C297,'Stock In'!E:E,$D297),0)</f>
        <v>0</v>
      </c>
      <c r="F297" s="82">
        <f>IFERROR(SUMIFS(Issues!H:H, Issues!F:F, $A297, Issues!C:C, $B297, Issues!D:D, $C297, Issues!E:E, $D297), 0)</f>
        <v>0</v>
      </c>
      <c r="G297" s="82">
        <f>IFERROR(SUMIFS(Returns!H:H, Returns!F:F, $A297, Returns!C:C, $B297, Returns!D:D, $C297, Returns!E:E, $D297), 0)</f>
        <v>0</v>
      </c>
      <c r="H297" s="82">
        <f t="shared" si="1"/>
        <v>0</v>
      </c>
      <c r="I297" s="82">
        <f t="shared" si="2"/>
        <v>0</v>
      </c>
      <c r="J297" s="82">
        <f>IFERROR( SUMIFS('Stock In'!I:I,'Stock In'!B:B,$A297,'Stock In'!C:C,$B297,'Stock In'!D:D,$C297,'Stock In'!E:E,$D297) / SUMIFS('Stock In'!H:H,'Stock In'!B:B,$A297,'Stock In'!C:C,$B297,'Stock In'!D:D,$C297,'Stock In'!E:E,$D297), 0)</f>
        <v>0</v>
      </c>
      <c r="K297" s="82">
        <f t="shared" si="3"/>
        <v>0</v>
      </c>
    </row>
    <row r="298">
      <c r="A298" s="80"/>
      <c r="B298" s="80"/>
      <c r="C298" s="80"/>
      <c r="D298" s="80"/>
      <c r="E298" s="82">
        <f>IFERROR(SUMIFS('Stock In'!F:F,'Stock In'!B:B,$A298,'Stock In'!C:C,$B298,'Stock In'!D:D,$C298,'Stock In'!E:E,$D298),0)</f>
        <v>0</v>
      </c>
      <c r="F298" s="82">
        <f>IFERROR(SUMIFS(Issues!H:H, Issues!F:F, $A298, Issues!C:C, $B298, Issues!D:D, $C298, Issues!E:E, $D298), 0)</f>
        <v>0</v>
      </c>
      <c r="G298" s="82">
        <f>IFERROR(SUMIFS(Returns!H:H, Returns!F:F, $A298, Returns!C:C, $B298, Returns!D:D, $C298, Returns!E:E, $D298), 0)</f>
        <v>0</v>
      </c>
      <c r="H298" s="82">
        <f t="shared" si="1"/>
        <v>0</v>
      </c>
      <c r="I298" s="82">
        <f t="shared" si="2"/>
        <v>0</v>
      </c>
      <c r="J298" s="82">
        <f>IFERROR( SUMIFS('Stock In'!I:I,'Stock In'!B:B,$A298,'Stock In'!C:C,$B298,'Stock In'!D:D,$C298,'Stock In'!E:E,$D298) / SUMIFS('Stock In'!H:H,'Stock In'!B:B,$A298,'Stock In'!C:C,$B298,'Stock In'!D:D,$C298,'Stock In'!E:E,$D298), 0)</f>
        <v>0</v>
      </c>
      <c r="K298" s="82">
        <f t="shared" si="3"/>
        <v>0</v>
      </c>
    </row>
    <row r="299">
      <c r="A299" s="80"/>
      <c r="B299" s="80"/>
      <c r="C299" s="80"/>
      <c r="D299" s="80"/>
      <c r="E299" s="82">
        <f>IFERROR(SUMIFS('Stock In'!F:F,'Stock In'!B:B,$A299,'Stock In'!C:C,$B299,'Stock In'!D:D,$C299,'Stock In'!E:E,$D299),0)</f>
        <v>0</v>
      </c>
      <c r="F299" s="82">
        <f>IFERROR(SUMIFS(Issues!H:H, Issues!F:F, $A299, Issues!C:C, $B299, Issues!D:D, $C299, Issues!E:E, $D299), 0)</f>
        <v>0</v>
      </c>
      <c r="G299" s="82">
        <f>IFERROR(SUMIFS(Returns!H:H, Returns!F:F, $A299, Returns!C:C, $B299, Returns!D:D, $C299, Returns!E:E, $D299), 0)</f>
        <v>0</v>
      </c>
      <c r="H299" s="82">
        <f t="shared" si="1"/>
        <v>0</v>
      </c>
      <c r="I299" s="82">
        <f t="shared" si="2"/>
        <v>0</v>
      </c>
      <c r="J299" s="82">
        <f>IFERROR( SUMIFS('Stock In'!I:I,'Stock In'!B:B,$A299,'Stock In'!C:C,$B299,'Stock In'!D:D,$C299,'Stock In'!E:E,$D299) / SUMIFS('Stock In'!H:H,'Stock In'!B:B,$A299,'Stock In'!C:C,$B299,'Stock In'!D:D,$C299,'Stock In'!E:E,$D299), 0)</f>
        <v>0</v>
      </c>
      <c r="K299" s="82">
        <f t="shared" si="3"/>
        <v>0</v>
      </c>
    </row>
    <row r="300">
      <c r="A300" s="80"/>
      <c r="B300" s="80"/>
      <c r="C300" s="80"/>
      <c r="D300" s="80"/>
      <c r="E300" s="82">
        <f>IFERROR(SUMIFS('Stock In'!F:F,'Stock In'!B:B,$A300,'Stock In'!C:C,$B300,'Stock In'!D:D,$C300,'Stock In'!E:E,$D300),0)</f>
        <v>0</v>
      </c>
      <c r="F300" s="82">
        <f>IFERROR(SUMIFS(Issues!H:H, Issues!F:F, $A300, Issues!C:C, $B300, Issues!D:D, $C300, Issues!E:E, $D300), 0)</f>
        <v>0</v>
      </c>
      <c r="G300" s="82">
        <f>IFERROR(SUMIFS(Returns!H:H, Returns!F:F, $A300, Returns!C:C, $B300, Returns!D:D, $C300, Returns!E:E, $D300), 0)</f>
        <v>0</v>
      </c>
      <c r="H300" s="82">
        <f t="shared" si="1"/>
        <v>0</v>
      </c>
      <c r="I300" s="82">
        <f t="shared" si="2"/>
        <v>0</v>
      </c>
      <c r="J300" s="82">
        <f>IFERROR( SUMIFS('Stock In'!I:I,'Stock In'!B:B,$A300,'Stock In'!C:C,$B300,'Stock In'!D:D,$C300,'Stock In'!E:E,$D300) / SUMIFS('Stock In'!H:H,'Stock In'!B:B,$A300,'Stock In'!C:C,$B300,'Stock In'!D:D,$C300,'Stock In'!E:E,$D300), 0)</f>
        <v>0</v>
      </c>
      <c r="K300" s="82">
        <f t="shared" si="3"/>
        <v>0</v>
      </c>
    </row>
    <row r="301">
      <c r="A301" s="80"/>
      <c r="B301" s="80"/>
      <c r="C301" s="80"/>
      <c r="D301" s="80"/>
      <c r="E301" s="82">
        <f>IFERROR(SUMIFS('Stock In'!F:F,'Stock In'!B:B,$A301,'Stock In'!C:C,$B301,'Stock In'!D:D,$C301,'Stock In'!E:E,$D301),0)</f>
        <v>0</v>
      </c>
      <c r="F301" s="82">
        <f>IFERROR(SUMIFS(Issues!H:H, Issues!F:F, $A301, Issues!C:C, $B301, Issues!D:D, $C301, Issues!E:E, $D301), 0)</f>
        <v>0</v>
      </c>
      <c r="G301" s="82">
        <f>IFERROR(SUMIFS(Returns!H:H, Returns!F:F, $A301, Returns!C:C, $B301, Returns!D:D, $C301, Returns!E:E, $D301), 0)</f>
        <v>0</v>
      </c>
      <c r="H301" s="82">
        <f t="shared" si="1"/>
        <v>0</v>
      </c>
      <c r="I301" s="82">
        <f t="shared" si="2"/>
        <v>0</v>
      </c>
      <c r="J301" s="82">
        <f>IFERROR( SUMIFS('Stock In'!I:I,'Stock In'!B:B,$A301,'Stock In'!C:C,$B301,'Stock In'!D:D,$C301,'Stock In'!E:E,$D301) / SUMIFS('Stock In'!H:H,'Stock In'!B:B,$A301,'Stock In'!C:C,$B301,'Stock In'!D:D,$C301,'Stock In'!E:E,$D301), 0)</f>
        <v>0</v>
      </c>
      <c r="K301" s="82">
        <f t="shared" si="3"/>
        <v>0</v>
      </c>
    </row>
    <row r="302">
      <c r="A302" s="80"/>
      <c r="B302" s="80"/>
      <c r="C302" s="80"/>
      <c r="D302" s="80"/>
      <c r="E302" s="82">
        <f>IFERROR(SUMIFS('Stock In'!F:F,'Stock In'!B:B,$A302,'Stock In'!C:C,$B302,'Stock In'!D:D,$C302,'Stock In'!E:E,$D302),0)</f>
        <v>0</v>
      </c>
      <c r="F302" s="82">
        <f>IFERROR(SUMIFS(Issues!H:H, Issues!F:F, $A302, Issues!C:C, $B302, Issues!D:D, $C302, Issues!E:E, $D302), 0)</f>
        <v>0</v>
      </c>
      <c r="G302" s="82">
        <f>IFERROR(SUMIFS(Returns!H:H, Returns!F:F, $A302, Returns!C:C, $B302, Returns!D:D, $C302, Returns!E:E, $D302), 0)</f>
        <v>0</v>
      </c>
      <c r="H302" s="82">
        <f t="shared" si="1"/>
        <v>0</v>
      </c>
      <c r="I302" s="82">
        <f t="shared" si="2"/>
        <v>0</v>
      </c>
      <c r="J302" s="82">
        <f>IFERROR( SUMIFS('Stock In'!I:I,'Stock In'!B:B,$A302,'Stock In'!C:C,$B302,'Stock In'!D:D,$C302,'Stock In'!E:E,$D302) / SUMIFS('Stock In'!H:H,'Stock In'!B:B,$A302,'Stock In'!C:C,$B302,'Stock In'!D:D,$C302,'Stock In'!E:E,$D302), 0)</f>
        <v>0</v>
      </c>
      <c r="K302" s="82">
        <f t="shared" si="3"/>
        <v>0</v>
      </c>
    </row>
    <row r="303">
      <c r="A303" s="80"/>
      <c r="B303" s="80"/>
      <c r="C303" s="80"/>
      <c r="D303" s="80"/>
      <c r="E303" s="82">
        <f>IFERROR(SUMIFS('Stock In'!F:F,'Stock In'!B:B,$A303,'Stock In'!C:C,$B303,'Stock In'!D:D,$C303,'Stock In'!E:E,$D303),0)</f>
        <v>0</v>
      </c>
      <c r="F303" s="82">
        <f>IFERROR(SUMIFS(Issues!H:H, Issues!F:F, $A303, Issues!C:C, $B303, Issues!D:D, $C303, Issues!E:E, $D303), 0)</f>
        <v>0</v>
      </c>
      <c r="G303" s="82">
        <f>IFERROR(SUMIFS(Returns!H:H, Returns!F:F, $A303, Returns!C:C, $B303, Returns!D:D, $C303, Returns!E:E, $D303), 0)</f>
        <v>0</v>
      </c>
      <c r="H303" s="82">
        <f t="shared" si="1"/>
        <v>0</v>
      </c>
      <c r="I303" s="82">
        <f t="shared" si="2"/>
        <v>0</v>
      </c>
      <c r="J303" s="82">
        <f>IFERROR( SUMIFS('Stock In'!I:I,'Stock In'!B:B,$A303,'Stock In'!C:C,$B303,'Stock In'!D:D,$C303,'Stock In'!E:E,$D303) / SUMIFS('Stock In'!H:H,'Stock In'!B:B,$A303,'Stock In'!C:C,$B303,'Stock In'!D:D,$C303,'Stock In'!E:E,$D303), 0)</f>
        <v>0</v>
      </c>
      <c r="K303" s="82">
        <f t="shared" si="3"/>
        <v>0</v>
      </c>
    </row>
    <row r="304">
      <c r="A304" s="80"/>
      <c r="B304" s="80"/>
      <c r="C304" s="80"/>
      <c r="D304" s="80"/>
      <c r="E304" s="82">
        <f>IFERROR(SUMIFS('Stock In'!F:F,'Stock In'!B:B,$A304,'Stock In'!C:C,$B304,'Stock In'!D:D,$C304,'Stock In'!E:E,$D304),0)</f>
        <v>0</v>
      </c>
      <c r="F304" s="82">
        <f>IFERROR(SUMIFS(Issues!H:H, Issues!F:F, $A304, Issues!C:C, $B304, Issues!D:D, $C304, Issues!E:E, $D304), 0)</f>
        <v>0</v>
      </c>
      <c r="G304" s="82">
        <f>IFERROR(SUMIFS(Returns!H:H, Returns!F:F, $A304, Returns!C:C, $B304, Returns!D:D, $C304, Returns!E:E, $D304), 0)</f>
        <v>0</v>
      </c>
      <c r="H304" s="82">
        <f t="shared" si="1"/>
        <v>0</v>
      </c>
      <c r="I304" s="82">
        <f t="shared" si="2"/>
        <v>0</v>
      </c>
      <c r="J304" s="82">
        <f>IFERROR( SUMIFS('Stock In'!I:I,'Stock In'!B:B,$A304,'Stock In'!C:C,$B304,'Stock In'!D:D,$C304,'Stock In'!E:E,$D304) / SUMIFS('Stock In'!H:H,'Stock In'!B:B,$A304,'Stock In'!C:C,$B304,'Stock In'!D:D,$C304,'Stock In'!E:E,$D304), 0)</f>
        <v>0</v>
      </c>
      <c r="K304" s="82">
        <f t="shared" si="3"/>
        <v>0</v>
      </c>
    </row>
    <row r="305">
      <c r="A305" s="80"/>
      <c r="B305" s="80"/>
      <c r="C305" s="80"/>
      <c r="D305" s="80"/>
      <c r="E305" s="82">
        <f>IFERROR(SUMIFS('Stock In'!F:F,'Stock In'!B:B,$A305,'Stock In'!C:C,$B305,'Stock In'!D:D,$C305,'Stock In'!E:E,$D305),0)</f>
        <v>0</v>
      </c>
      <c r="F305" s="82">
        <f>IFERROR(SUMIFS(Issues!H:H, Issues!F:F, $A305, Issues!C:C, $B305, Issues!D:D, $C305, Issues!E:E, $D305), 0)</f>
        <v>0</v>
      </c>
      <c r="G305" s="82">
        <f>IFERROR(SUMIFS(Returns!H:H, Returns!F:F, $A305, Returns!C:C, $B305, Returns!D:D, $C305, Returns!E:E, $D305), 0)</f>
        <v>0</v>
      </c>
      <c r="H305" s="82">
        <f t="shared" si="1"/>
        <v>0</v>
      </c>
      <c r="I305" s="82">
        <f t="shared" si="2"/>
        <v>0</v>
      </c>
      <c r="J305" s="82">
        <f>IFERROR( SUMIFS('Stock In'!I:I,'Stock In'!B:B,$A305,'Stock In'!C:C,$B305,'Stock In'!D:D,$C305,'Stock In'!E:E,$D305) / SUMIFS('Stock In'!H:H,'Stock In'!B:B,$A305,'Stock In'!C:C,$B305,'Stock In'!D:D,$C305,'Stock In'!E:E,$D305), 0)</f>
        <v>0</v>
      </c>
      <c r="K305" s="82">
        <f t="shared" si="3"/>
        <v>0</v>
      </c>
    </row>
    <row r="306">
      <c r="A306" s="80"/>
      <c r="B306" s="80"/>
      <c r="C306" s="80"/>
      <c r="D306" s="80"/>
      <c r="E306" s="82">
        <f>IFERROR(SUMIFS('Stock In'!F:F,'Stock In'!B:B,$A306,'Stock In'!C:C,$B306,'Stock In'!D:D,$C306,'Stock In'!E:E,$D306),0)</f>
        <v>0</v>
      </c>
      <c r="F306" s="82">
        <f>IFERROR(SUMIFS(Issues!H:H, Issues!F:F, $A306, Issues!C:C, $B306, Issues!D:D, $C306, Issues!E:E, $D306), 0)</f>
        <v>0</v>
      </c>
      <c r="G306" s="82">
        <f>IFERROR(SUMIFS(Returns!H:H, Returns!F:F, $A306, Returns!C:C, $B306, Returns!D:D, $C306, Returns!E:E, $D306), 0)</f>
        <v>0</v>
      </c>
      <c r="H306" s="82">
        <f t="shared" si="1"/>
        <v>0</v>
      </c>
      <c r="I306" s="82">
        <f t="shared" si="2"/>
        <v>0</v>
      </c>
      <c r="J306" s="82">
        <f>IFERROR( SUMIFS('Stock In'!I:I,'Stock In'!B:B,$A306,'Stock In'!C:C,$B306,'Stock In'!D:D,$C306,'Stock In'!E:E,$D306) / SUMIFS('Stock In'!H:H,'Stock In'!B:B,$A306,'Stock In'!C:C,$B306,'Stock In'!D:D,$C306,'Stock In'!E:E,$D306), 0)</f>
        <v>0</v>
      </c>
      <c r="K306" s="82">
        <f t="shared" si="3"/>
        <v>0</v>
      </c>
    </row>
    <row r="307">
      <c r="A307" s="80"/>
      <c r="B307" s="80"/>
      <c r="C307" s="80"/>
      <c r="D307" s="80"/>
      <c r="E307" s="82">
        <f>IFERROR(SUMIFS('Stock In'!F:F,'Stock In'!B:B,$A307,'Stock In'!C:C,$B307,'Stock In'!D:D,$C307,'Stock In'!E:E,$D307),0)</f>
        <v>0</v>
      </c>
      <c r="F307" s="82">
        <f>IFERROR(SUMIFS(Issues!H:H, Issues!F:F, $A307, Issues!C:C, $B307, Issues!D:D, $C307, Issues!E:E, $D307), 0)</f>
        <v>0</v>
      </c>
      <c r="G307" s="82">
        <f>IFERROR(SUMIFS(Returns!H:H, Returns!F:F, $A307, Returns!C:C, $B307, Returns!D:D, $C307, Returns!E:E, $D307), 0)</f>
        <v>0</v>
      </c>
      <c r="H307" s="82">
        <f t="shared" si="1"/>
        <v>0</v>
      </c>
      <c r="I307" s="82">
        <f t="shared" si="2"/>
        <v>0</v>
      </c>
      <c r="J307" s="82">
        <f>IFERROR( SUMIFS('Stock In'!I:I,'Stock In'!B:B,$A307,'Stock In'!C:C,$B307,'Stock In'!D:D,$C307,'Stock In'!E:E,$D307) / SUMIFS('Stock In'!H:H,'Stock In'!B:B,$A307,'Stock In'!C:C,$B307,'Stock In'!D:D,$C307,'Stock In'!E:E,$D307), 0)</f>
        <v>0</v>
      </c>
      <c r="K307" s="82">
        <f t="shared" si="3"/>
        <v>0</v>
      </c>
    </row>
    <row r="308">
      <c r="A308" s="80"/>
      <c r="B308" s="80"/>
      <c r="C308" s="80"/>
      <c r="D308" s="80"/>
      <c r="E308" s="82">
        <f>IFERROR(SUMIFS('Stock In'!F:F,'Stock In'!B:B,$A308,'Stock In'!C:C,$B308,'Stock In'!D:D,$C308,'Stock In'!E:E,$D308),0)</f>
        <v>0</v>
      </c>
      <c r="F308" s="82">
        <f>IFERROR(SUMIFS(Issues!H:H, Issues!F:F, $A308, Issues!C:C, $B308, Issues!D:D, $C308, Issues!E:E, $D308), 0)</f>
        <v>0</v>
      </c>
      <c r="G308" s="82">
        <f>IFERROR(SUMIFS(Returns!H:H, Returns!F:F, $A308, Returns!C:C, $B308, Returns!D:D, $C308, Returns!E:E, $D308), 0)</f>
        <v>0</v>
      </c>
      <c r="H308" s="82">
        <f t="shared" si="1"/>
        <v>0</v>
      </c>
      <c r="I308" s="82">
        <f t="shared" si="2"/>
        <v>0</v>
      </c>
      <c r="J308" s="82">
        <f>IFERROR( SUMIFS('Stock In'!I:I,'Stock In'!B:B,$A308,'Stock In'!C:C,$B308,'Stock In'!D:D,$C308,'Stock In'!E:E,$D308) / SUMIFS('Stock In'!H:H,'Stock In'!B:B,$A308,'Stock In'!C:C,$B308,'Stock In'!D:D,$C308,'Stock In'!E:E,$D308), 0)</f>
        <v>0</v>
      </c>
      <c r="K308" s="82">
        <f t="shared" si="3"/>
        <v>0</v>
      </c>
    </row>
    <row r="309">
      <c r="A309" s="80"/>
      <c r="B309" s="80"/>
      <c r="C309" s="80"/>
      <c r="D309" s="80"/>
      <c r="E309" s="82">
        <f>IFERROR(SUMIFS('Stock In'!F:F,'Stock In'!B:B,$A309,'Stock In'!C:C,$B309,'Stock In'!D:D,$C309,'Stock In'!E:E,$D309),0)</f>
        <v>0</v>
      </c>
      <c r="F309" s="82">
        <f>IFERROR(SUMIFS(Issues!H:H, Issues!F:F, $A309, Issues!C:C, $B309, Issues!D:D, $C309, Issues!E:E, $D309), 0)</f>
        <v>0</v>
      </c>
      <c r="G309" s="82">
        <f>IFERROR(SUMIFS(Returns!H:H, Returns!F:F, $A309, Returns!C:C, $B309, Returns!D:D, $C309, Returns!E:E, $D309), 0)</f>
        <v>0</v>
      </c>
      <c r="H309" s="82">
        <f t="shared" si="1"/>
        <v>0</v>
      </c>
      <c r="I309" s="82">
        <f t="shared" si="2"/>
        <v>0</v>
      </c>
      <c r="J309" s="82">
        <f>IFERROR( SUMIFS('Stock In'!I:I,'Stock In'!B:B,$A309,'Stock In'!C:C,$B309,'Stock In'!D:D,$C309,'Stock In'!E:E,$D309) / SUMIFS('Stock In'!H:H,'Stock In'!B:B,$A309,'Stock In'!C:C,$B309,'Stock In'!D:D,$C309,'Stock In'!E:E,$D309), 0)</f>
        <v>0</v>
      </c>
      <c r="K309" s="82">
        <f t="shared" si="3"/>
        <v>0</v>
      </c>
    </row>
    <row r="310">
      <c r="A310" s="80"/>
      <c r="B310" s="80"/>
      <c r="C310" s="80"/>
      <c r="D310" s="80"/>
      <c r="E310" s="82">
        <f>IFERROR(SUMIFS('Stock In'!F:F,'Stock In'!B:B,$A310,'Stock In'!C:C,$B310,'Stock In'!D:D,$C310,'Stock In'!E:E,$D310),0)</f>
        <v>0</v>
      </c>
      <c r="F310" s="82">
        <f>IFERROR(SUMIFS(Issues!H:H, Issues!F:F, $A310, Issues!C:C, $B310, Issues!D:D, $C310, Issues!E:E, $D310), 0)</f>
        <v>0</v>
      </c>
      <c r="G310" s="82">
        <f>IFERROR(SUMIFS(Returns!H:H, Returns!F:F, $A310, Returns!C:C, $B310, Returns!D:D, $C310, Returns!E:E, $D310), 0)</f>
        <v>0</v>
      </c>
      <c r="H310" s="82">
        <f t="shared" si="1"/>
        <v>0</v>
      </c>
      <c r="I310" s="82">
        <f t="shared" si="2"/>
        <v>0</v>
      </c>
      <c r="J310" s="82">
        <f>IFERROR( SUMIFS('Stock In'!I:I,'Stock In'!B:B,$A310,'Stock In'!C:C,$B310,'Stock In'!D:D,$C310,'Stock In'!E:E,$D310) / SUMIFS('Stock In'!H:H,'Stock In'!B:B,$A310,'Stock In'!C:C,$B310,'Stock In'!D:D,$C310,'Stock In'!E:E,$D310), 0)</f>
        <v>0</v>
      </c>
      <c r="K310" s="82">
        <f t="shared" si="3"/>
        <v>0</v>
      </c>
    </row>
    <row r="311">
      <c r="A311" s="80"/>
      <c r="B311" s="80"/>
      <c r="C311" s="80"/>
      <c r="D311" s="80"/>
      <c r="E311" s="82">
        <f>IFERROR(SUMIFS('Stock In'!F:F,'Stock In'!B:B,$A311,'Stock In'!C:C,$B311,'Stock In'!D:D,$C311,'Stock In'!E:E,$D311),0)</f>
        <v>0</v>
      </c>
      <c r="F311" s="82">
        <f>IFERROR(SUMIFS(Issues!H:H, Issues!F:F, $A311, Issues!C:C, $B311, Issues!D:D, $C311, Issues!E:E, $D311), 0)</f>
        <v>0</v>
      </c>
      <c r="G311" s="82">
        <f>IFERROR(SUMIFS(Returns!H:H, Returns!F:F, $A311, Returns!C:C, $B311, Returns!D:D, $C311, Returns!E:E, $D311), 0)</f>
        <v>0</v>
      </c>
      <c r="H311" s="82">
        <f t="shared" si="1"/>
        <v>0</v>
      </c>
      <c r="I311" s="82">
        <f t="shared" si="2"/>
        <v>0</v>
      </c>
      <c r="J311" s="82">
        <f>IFERROR( SUMIFS('Stock In'!I:I,'Stock In'!B:B,$A311,'Stock In'!C:C,$B311,'Stock In'!D:D,$C311,'Stock In'!E:E,$D311) / SUMIFS('Stock In'!H:H,'Stock In'!B:B,$A311,'Stock In'!C:C,$B311,'Stock In'!D:D,$C311,'Stock In'!E:E,$D311), 0)</f>
        <v>0</v>
      </c>
      <c r="K311" s="82">
        <f t="shared" si="3"/>
        <v>0</v>
      </c>
    </row>
    <row r="312">
      <c r="A312" s="80"/>
      <c r="B312" s="80"/>
      <c r="C312" s="80"/>
      <c r="D312" s="80"/>
      <c r="E312" s="82">
        <f>IFERROR(SUMIFS('Stock In'!F:F,'Stock In'!B:B,$A312,'Stock In'!C:C,$B312,'Stock In'!D:D,$C312,'Stock In'!E:E,$D312),0)</f>
        <v>0</v>
      </c>
      <c r="F312" s="82">
        <f>IFERROR(SUMIFS(Issues!H:H, Issues!F:F, $A312, Issues!C:C, $B312, Issues!D:D, $C312, Issues!E:E, $D312), 0)</f>
        <v>0</v>
      </c>
      <c r="G312" s="82">
        <f>IFERROR(SUMIFS(Returns!H:H, Returns!F:F, $A312, Returns!C:C, $B312, Returns!D:D, $C312, Returns!E:E, $D312), 0)</f>
        <v>0</v>
      </c>
      <c r="H312" s="82">
        <f t="shared" si="1"/>
        <v>0</v>
      </c>
      <c r="I312" s="82">
        <f t="shared" si="2"/>
        <v>0</v>
      </c>
      <c r="J312" s="82">
        <f>IFERROR( SUMIFS('Stock In'!I:I,'Stock In'!B:B,$A312,'Stock In'!C:C,$B312,'Stock In'!D:D,$C312,'Stock In'!E:E,$D312) / SUMIFS('Stock In'!H:H,'Stock In'!B:B,$A312,'Stock In'!C:C,$B312,'Stock In'!D:D,$C312,'Stock In'!E:E,$D312), 0)</f>
        <v>0</v>
      </c>
      <c r="K312" s="82">
        <f t="shared" si="3"/>
        <v>0</v>
      </c>
    </row>
    <row r="313">
      <c r="A313" s="80"/>
      <c r="B313" s="80"/>
      <c r="C313" s="80"/>
      <c r="D313" s="80"/>
      <c r="E313" s="82">
        <f>IFERROR(SUMIFS('Stock In'!F:F,'Stock In'!B:B,$A313,'Stock In'!C:C,$B313,'Stock In'!D:D,$C313,'Stock In'!E:E,$D313),0)</f>
        <v>0</v>
      </c>
      <c r="F313" s="82">
        <f>IFERROR(SUMIFS(Issues!H:H, Issues!F:F, $A313, Issues!C:C, $B313, Issues!D:D, $C313, Issues!E:E, $D313), 0)</f>
        <v>0</v>
      </c>
      <c r="G313" s="82">
        <f>IFERROR(SUMIFS(Returns!H:H, Returns!F:F, $A313, Returns!C:C, $B313, Returns!D:D, $C313, Returns!E:E, $D313), 0)</f>
        <v>0</v>
      </c>
      <c r="H313" s="82">
        <f t="shared" si="1"/>
        <v>0</v>
      </c>
      <c r="I313" s="82">
        <f t="shared" si="2"/>
        <v>0</v>
      </c>
      <c r="J313" s="82">
        <f>IFERROR( SUMIFS('Stock In'!I:I,'Stock In'!B:B,$A313,'Stock In'!C:C,$B313,'Stock In'!D:D,$C313,'Stock In'!E:E,$D313) / SUMIFS('Stock In'!H:H,'Stock In'!B:B,$A313,'Stock In'!C:C,$B313,'Stock In'!D:D,$C313,'Stock In'!E:E,$D313), 0)</f>
        <v>0</v>
      </c>
      <c r="K313" s="82">
        <f t="shared" si="3"/>
        <v>0</v>
      </c>
    </row>
    <row r="314">
      <c r="A314" s="80"/>
      <c r="B314" s="80"/>
      <c r="C314" s="80"/>
      <c r="D314" s="80"/>
      <c r="E314" s="82">
        <f>IFERROR(SUMIFS('Stock In'!F:F,'Stock In'!B:B,$A314,'Stock In'!C:C,$B314,'Stock In'!D:D,$C314,'Stock In'!E:E,$D314),0)</f>
        <v>0</v>
      </c>
      <c r="F314" s="82">
        <f>IFERROR(SUMIFS(Issues!H:H, Issues!F:F, $A314, Issues!C:C, $B314, Issues!D:D, $C314, Issues!E:E, $D314), 0)</f>
        <v>0</v>
      </c>
      <c r="G314" s="82">
        <f>IFERROR(SUMIFS(Returns!H:H, Returns!F:F, $A314, Returns!C:C, $B314, Returns!D:D, $C314, Returns!E:E, $D314), 0)</f>
        <v>0</v>
      </c>
      <c r="H314" s="82">
        <f t="shared" si="1"/>
        <v>0</v>
      </c>
      <c r="I314" s="82">
        <f t="shared" si="2"/>
        <v>0</v>
      </c>
      <c r="J314" s="82">
        <f>IFERROR( SUMIFS('Stock In'!I:I,'Stock In'!B:B,$A314,'Stock In'!C:C,$B314,'Stock In'!D:D,$C314,'Stock In'!E:E,$D314) / SUMIFS('Stock In'!H:H,'Stock In'!B:B,$A314,'Stock In'!C:C,$B314,'Stock In'!D:D,$C314,'Stock In'!E:E,$D314), 0)</f>
        <v>0</v>
      </c>
      <c r="K314" s="82">
        <f t="shared" si="3"/>
        <v>0</v>
      </c>
    </row>
    <row r="315">
      <c r="A315" s="80"/>
      <c r="B315" s="80"/>
      <c r="C315" s="80"/>
      <c r="D315" s="80"/>
      <c r="E315" s="82">
        <f>IFERROR(SUMIFS('Stock In'!F:F,'Stock In'!B:B,$A315,'Stock In'!C:C,$B315,'Stock In'!D:D,$C315,'Stock In'!E:E,$D315),0)</f>
        <v>0</v>
      </c>
      <c r="F315" s="82">
        <f>IFERROR(SUMIFS(Issues!H:H, Issues!F:F, $A315, Issues!C:C, $B315, Issues!D:D, $C315, Issues!E:E, $D315), 0)</f>
        <v>0</v>
      </c>
      <c r="G315" s="82">
        <f>IFERROR(SUMIFS(Returns!H:H, Returns!F:F, $A315, Returns!C:C, $B315, Returns!D:D, $C315, Returns!E:E, $D315), 0)</f>
        <v>0</v>
      </c>
      <c r="H315" s="82">
        <f t="shared" si="1"/>
        <v>0</v>
      </c>
      <c r="I315" s="82">
        <f t="shared" si="2"/>
        <v>0</v>
      </c>
      <c r="J315" s="82">
        <f>IFERROR( SUMIFS('Stock In'!I:I,'Stock In'!B:B,$A315,'Stock In'!C:C,$B315,'Stock In'!D:D,$C315,'Stock In'!E:E,$D315) / SUMIFS('Stock In'!H:H,'Stock In'!B:B,$A315,'Stock In'!C:C,$B315,'Stock In'!D:D,$C315,'Stock In'!E:E,$D315), 0)</f>
        <v>0</v>
      </c>
      <c r="K315" s="82">
        <f t="shared" si="3"/>
        <v>0</v>
      </c>
    </row>
    <row r="316">
      <c r="A316" s="80"/>
      <c r="B316" s="80"/>
      <c r="C316" s="80"/>
      <c r="D316" s="80"/>
      <c r="E316" s="82">
        <f>IFERROR(SUMIFS('Stock In'!F:F,'Stock In'!B:B,$A316,'Stock In'!C:C,$B316,'Stock In'!D:D,$C316,'Stock In'!E:E,$D316),0)</f>
        <v>0</v>
      </c>
      <c r="F316" s="82">
        <f>IFERROR(SUMIFS(Issues!H:H, Issues!F:F, $A316, Issues!C:C, $B316, Issues!D:D, $C316, Issues!E:E, $D316), 0)</f>
        <v>0</v>
      </c>
      <c r="G316" s="82">
        <f>IFERROR(SUMIFS(Returns!H:H, Returns!F:F, $A316, Returns!C:C, $B316, Returns!D:D, $C316, Returns!E:E, $D316), 0)</f>
        <v>0</v>
      </c>
      <c r="H316" s="82">
        <f t="shared" si="1"/>
        <v>0</v>
      </c>
      <c r="I316" s="82">
        <f t="shared" si="2"/>
        <v>0</v>
      </c>
      <c r="J316" s="82">
        <f>IFERROR( SUMIFS('Stock In'!I:I,'Stock In'!B:B,$A316,'Stock In'!C:C,$B316,'Stock In'!D:D,$C316,'Stock In'!E:E,$D316) / SUMIFS('Stock In'!H:H,'Stock In'!B:B,$A316,'Stock In'!C:C,$B316,'Stock In'!D:D,$C316,'Stock In'!E:E,$D316), 0)</f>
        <v>0</v>
      </c>
      <c r="K316" s="82">
        <f t="shared" si="3"/>
        <v>0</v>
      </c>
    </row>
    <row r="317">
      <c r="A317" s="80"/>
      <c r="B317" s="80"/>
      <c r="C317" s="80"/>
      <c r="D317" s="80"/>
      <c r="E317" s="82">
        <f>IFERROR(SUMIFS('Stock In'!F:F,'Stock In'!B:B,$A317,'Stock In'!C:C,$B317,'Stock In'!D:D,$C317,'Stock In'!E:E,$D317),0)</f>
        <v>0</v>
      </c>
      <c r="F317" s="82">
        <f>IFERROR(SUMIFS(Issues!H:H, Issues!F:F, $A317, Issues!C:C, $B317, Issues!D:D, $C317, Issues!E:E, $D317), 0)</f>
        <v>0</v>
      </c>
      <c r="G317" s="82">
        <f>IFERROR(SUMIFS(Returns!H:H, Returns!F:F, $A317, Returns!C:C, $B317, Returns!D:D, $C317, Returns!E:E, $D317), 0)</f>
        <v>0</v>
      </c>
      <c r="H317" s="82">
        <f t="shared" si="1"/>
        <v>0</v>
      </c>
      <c r="I317" s="82">
        <f t="shared" si="2"/>
        <v>0</v>
      </c>
      <c r="J317" s="82">
        <f>IFERROR( SUMIFS('Stock In'!I:I,'Stock In'!B:B,$A317,'Stock In'!C:C,$B317,'Stock In'!D:D,$C317,'Stock In'!E:E,$D317) / SUMIFS('Stock In'!H:H,'Stock In'!B:B,$A317,'Stock In'!C:C,$B317,'Stock In'!D:D,$C317,'Stock In'!E:E,$D317), 0)</f>
        <v>0</v>
      </c>
      <c r="K317" s="82">
        <f t="shared" si="3"/>
        <v>0</v>
      </c>
    </row>
    <row r="318">
      <c r="A318" s="80"/>
      <c r="B318" s="80"/>
      <c r="C318" s="80"/>
      <c r="D318" s="80"/>
      <c r="E318" s="82">
        <f>IFERROR(SUMIFS('Stock In'!F:F,'Stock In'!B:B,$A318,'Stock In'!C:C,$B318,'Stock In'!D:D,$C318,'Stock In'!E:E,$D318),0)</f>
        <v>0</v>
      </c>
      <c r="F318" s="82">
        <f>IFERROR(SUMIFS(Issues!H:H, Issues!F:F, $A318, Issues!C:C, $B318, Issues!D:D, $C318, Issues!E:E, $D318), 0)</f>
        <v>0</v>
      </c>
      <c r="G318" s="82">
        <f>IFERROR(SUMIFS(Returns!H:H, Returns!F:F, $A318, Returns!C:C, $B318, Returns!D:D, $C318, Returns!E:E, $D318), 0)</f>
        <v>0</v>
      </c>
      <c r="H318" s="82">
        <f t="shared" si="1"/>
        <v>0</v>
      </c>
      <c r="I318" s="82">
        <f t="shared" si="2"/>
        <v>0</v>
      </c>
      <c r="J318" s="82">
        <f>IFERROR( SUMIFS('Stock In'!I:I,'Stock In'!B:B,$A318,'Stock In'!C:C,$B318,'Stock In'!D:D,$C318,'Stock In'!E:E,$D318) / SUMIFS('Stock In'!H:H,'Stock In'!B:B,$A318,'Stock In'!C:C,$B318,'Stock In'!D:D,$C318,'Stock In'!E:E,$D318), 0)</f>
        <v>0</v>
      </c>
      <c r="K318" s="82">
        <f t="shared" si="3"/>
        <v>0</v>
      </c>
    </row>
    <row r="319">
      <c r="A319" s="80"/>
      <c r="B319" s="80"/>
      <c r="C319" s="80"/>
      <c r="D319" s="80"/>
      <c r="E319" s="82">
        <f>IFERROR(SUMIFS('Stock In'!F:F,'Stock In'!B:B,$A319,'Stock In'!C:C,$B319,'Stock In'!D:D,$C319,'Stock In'!E:E,$D319),0)</f>
        <v>0</v>
      </c>
      <c r="F319" s="82">
        <f>IFERROR(SUMIFS(Issues!H:H, Issues!F:F, $A319, Issues!C:C, $B319, Issues!D:D, $C319, Issues!E:E, $D319), 0)</f>
        <v>0</v>
      </c>
      <c r="G319" s="82">
        <f>IFERROR(SUMIFS(Returns!H:H, Returns!F:F, $A319, Returns!C:C, $B319, Returns!D:D, $C319, Returns!E:E, $D319), 0)</f>
        <v>0</v>
      </c>
      <c r="H319" s="82">
        <f t="shared" si="1"/>
        <v>0</v>
      </c>
      <c r="I319" s="82">
        <f t="shared" si="2"/>
        <v>0</v>
      </c>
      <c r="J319" s="82">
        <f>IFERROR( SUMIFS('Stock In'!I:I,'Stock In'!B:B,$A319,'Stock In'!C:C,$B319,'Stock In'!D:D,$C319,'Stock In'!E:E,$D319) / SUMIFS('Stock In'!H:H,'Stock In'!B:B,$A319,'Stock In'!C:C,$B319,'Stock In'!D:D,$C319,'Stock In'!E:E,$D319), 0)</f>
        <v>0</v>
      </c>
      <c r="K319" s="82">
        <f t="shared" si="3"/>
        <v>0</v>
      </c>
    </row>
    <row r="320">
      <c r="A320" s="80"/>
      <c r="B320" s="80"/>
      <c r="C320" s="80"/>
      <c r="D320" s="80"/>
      <c r="E320" s="82">
        <f>IFERROR(SUMIFS('Stock In'!F:F,'Stock In'!B:B,$A320,'Stock In'!C:C,$B320,'Stock In'!D:D,$C320,'Stock In'!E:E,$D320),0)</f>
        <v>0</v>
      </c>
      <c r="F320" s="82">
        <f>IFERROR(SUMIFS(Issues!H:H, Issues!F:F, $A320, Issues!C:C, $B320, Issues!D:D, $C320, Issues!E:E, $D320), 0)</f>
        <v>0</v>
      </c>
      <c r="G320" s="82">
        <f>IFERROR(SUMIFS(Returns!H:H, Returns!F:F, $A320, Returns!C:C, $B320, Returns!D:D, $C320, Returns!E:E, $D320), 0)</f>
        <v>0</v>
      </c>
      <c r="H320" s="82">
        <f t="shared" si="1"/>
        <v>0</v>
      </c>
      <c r="I320" s="82">
        <f t="shared" si="2"/>
        <v>0</v>
      </c>
      <c r="J320" s="82">
        <f>IFERROR( SUMIFS('Stock In'!I:I,'Stock In'!B:B,$A320,'Stock In'!C:C,$B320,'Stock In'!D:D,$C320,'Stock In'!E:E,$D320) / SUMIFS('Stock In'!H:H,'Stock In'!B:B,$A320,'Stock In'!C:C,$B320,'Stock In'!D:D,$C320,'Stock In'!E:E,$D320), 0)</f>
        <v>0</v>
      </c>
      <c r="K320" s="82">
        <f t="shared" si="3"/>
        <v>0</v>
      </c>
    </row>
    <row r="321">
      <c r="A321" s="80"/>
      <c r="B321" s="80"/>
      <c r="C321" s="80"/>
      <c r="D321" s="80"/>
      <c r="E321" s="82">
        <f>IFERROR(SUMIFS('Stock In'!F:F,'Stock In'!B:B,$A321,'Stock In'!C:C,$B321,'Stock In'!D:D,$C321,'Stock In'!E:E,$D321),0)</f>
        <v>0</v>
      </c>
      <c r="F321" s="82">
        <f>IFERROR(SUMIFS(Issues!H:H, Issues!F:F, $A321, Issues!C:C, $B321, Issues!D:D, $C321, Issues!E:E, $D321), 0)</f>
        <v>0</v>
      </c>
      <c r="G321" s="82">
        <f>IFERROR(SUMIFS(Returns!H:H, Returns!F:F, $A321, Returns!C:C, $B321, Returns!D:D, $C321, Returns!E:E, $D321), 0)</f>
        <v>0</v>
      </c>
      <c r="H321" s="82">
        <f t="shared" si="1"/>
        <v>0</v>
      </c>
      <c r="I321" s="82">
        <f t="shared" si="2"/>
        <v>0</v>
      </c>
      <c r="J321" s="82">
        <f>IFERROR( SUMIFS('Stock In'!I:I,'Stock In'!B:B,$A321,'Stock In'!C:C,$B321,'Stock In'!D:D,$C321,'Stock In'!E:E,$D321) / SUMIFS('Stock In'!H:H,'Stock In'!B:B,$A321,'Stock In'!C:C,$B321,'Stock In'!D:D,$C321,'Stock In'!E:E,$D321), 0)</f>
        <v>0</v>
      </c>
      <c r="K321" s="82">
        <f t="shared" si="3"/>
        <v>0</v>
      </c>
    </row>
    <row r="322">
      <c r="A322" s="80"/>
      <c r="B322" s="80"/>
      <c r="C322" s="80"/>
      <c r="D322" s="80"/>
      <c r="E322" s="82">
        <f>IFERROR(SUMIFS('Stock In'!F:F,'Stock In'!B:B,$A322,'Stock In'!C:C,$B322,'Stock In'!D:D,$C322,'Stock In'!E:E,$D322),0)</f>
        <v>0</v>
      </c>
      <c r="F322" s="82">
        <f>IFERROR(SUMIFS(Issues!H:H, Issues!F:F, $A322, Issues!C:C, $B322, Issues!D:D, $C322, Issues!E:E, $D322), 0)</f>
        <v>0</v>
      </c>
      <c r="G322" s="82">
        <f>IFERROR(SUMIFS(Returns!H:H, Returns!F:F, $A322, Returns!C:C, $B322, Returns!D:D, $C322, Returns!E:E, $D322), 0)</f>
        <v>0</v>
      </c>
      <c r="H322" s="82">
        <f t="shared" si="1"/>
        <v>0</v>
      </c>
      <c r="I322" s="82">
        <f t="shared" si="2"/>
        <v>0</v>
      </c>
      <c r="J322" s="82">
        <f>IFERROR( SUMIFS('Stock In'!I:I,'Stock In'!B:B,$A322,'Stock In'!C:C,$B322,'Stock In'!D:D,$C322,'Stock In'!E:E,$D322) / SUMIFS('Stock In'!H:H,'Stock In'!B:B,$A322,'Stock In'!C:C,$B322,'Stock In'!D:D,$C322,'Stock In'!E:E,$D322), 0)</f>
        <v>0</v>
      </c>
      <c r="K322" s="82">
        <f t="shared" si="3"/>
        <v>0</v>
      </c>
    </row>
    <row r="323">
      <c r="A323" s="80"/>
      <c r="B323" s="80"/>
      <c r="C323" s="80"/>
      <c r="D323" s="80"/>
      <c r="E323" s="82">
        <f>IFERROR(SUMIFS('Stock In'!F:F,'Stock In'!B:B,$A323,'Stock In'!C:C,$B323,'Stock In'!D:D,$C323,'Stock In'!E:E,$D323),0)</f>
        <v>0</v>
      </c>
      <c r="F323" s="82">
        <f>IFERROR(SUMIFS(Issues!H:H, Issues!F:F, $A323, Issues!C:C, $B323, Issues!D:D, $C323, Issues!E:E, $D323), 0)</f>
        <v>0</v>
      </c>
      <c r="G323" s="82">
        <f>IFERROR(SUMIFS(Returns!H:H, Returns!F:F, $A323, Returns!C:C, $B323, Returns!D:D, $C323, Returns!E:E, $D323), 0)</f>
        <v>0</v>
      </c>
      <c r="H323" s="82">
        <f t="shared" si="1"/>
        <v>0</v>
      </c>
      <c r="I323" s="82">
        <f t="shared" si="2"/>
        <v>0</v>
      </c>
      <c r="J323" s="82">
        <f>IFERROR( SUMIFS('Stock In'!I:I,'Stock In'!B:B,$A323,'Stock In'!C:C,$B323,'Stock In'!D:D,$C323,'Stock In'!E:E,$D323) / SUMIFS('Stock In'!H:H,'Stock In'!B:B,$A323,'Stock In'!C:C,$B323,'Stock In'!D:D,$C323,'Stock In'!E:E,$D323), 0)</f>
        <v>0</v>
      </c>
      <c r="K323" s="82">
        <f t="shared" si="3"/>
        <v>0</v>
      </c>
    </row>
    <row r="324">
      <c r="A324" s="80"/>
      <c r="B324" s="80"/>
      <c r="C324" s="80"/>
      <c r="D324" s="80"/>
      <c r="E324" s="82">
        <f>IFERROR(SUMIFS('Stock In'!F:F,'Stock In'!B:B,$A324,'Stock In'!C:C,$B324,'Stock In'!D:D,$C324,'Stock In'!E:E,$D324),0)</f>
        <v>0</v>
      </c>
      <c r="F324" s="82">
        <f>IFERROR(SUMIFS(Issues!H:H, Issues!F:F, $A324, Issues!C:C, $B324, Issues!D:D, $C324, Issues!E:E, $D324), 0)</f>
        <v>0</v>
      </c>
      <c r="G324" s="82">
        <f>IFERROR(SUMIFS(Returns!H:H, Returns!F:F, $A324, Returns!C:C, $B324, Returns!D:D, $C324, Returns!E:E, $D324), 0)</f>
        <v>0</v>
      </c>
      <c r="H324" s="82">
        <f t="shared" si="1"/>
        <v>0</v>
      </c>
      <c r="I324" s="82">
        <f t="shared" si="2"/>
        <v>0</v>
      </c>
      <c r="J324" s="82">
        <f>IFERROR( SUMIFS('Stock In'!I:I,'Stock In'!B:B,$A324,'Stock In'!C:C,$B324,'Stock In'!D:D,$C324,'Stock In'!E:E,$D324) / SUMIFS('Stock In'!H:H,'Stock In'!B:B,$A324,'Stock In'!C:C,$B324,'Stock In'!D:D,$C324,'Stock In'!E:E,$D324), 0)</f>
        <v>0</v>
      </c>
      <c r="K324" s="82">
        <f t="shared" si="3"/>
        <v>0</v>
      </c>
    </row>
    <row r="325">
      <c r="A325" s="80"/>
      <c r="B325" s="80"/>
      <c r="C325" s="80"/>
      <c r="D325" s="80"/>
      <c r="E325" s="82">
        <f>IFERROR(SUMIFS('Stock In'!F:F,'Stock In'!B:B,$A325,'Stock In'!C:C,$B325,'Stock In'!D:D,$C325,'Stock In'!E:E,$D325),0)</f>
        <v>0</v>
      </c>
      <c r="F325" s="82">
        <f>IFERROR(SUMIFS(Issues!H:H, Issues!F:F, $A325, Issues!C:C, $B325, Issues!D:D, $C325, Issues!E:E, $D325), 0)</f>
        <v>0</v>
      </c>
      <c r="G325" s="82">
        <f>IFERROR(SUMIFS(Returns!H:H, Returns!F:F, $A325, Returns!C:C, $B325, Returns!D:D, $C325, Returns!E:E, $D325), 0)</f>
        <v>0</v>
      </c>
      <c r="H325" s="82">
        <f t="shared" si="1"/>
        <v>0</v>
      </c>
      <c r="I325" s="82">
        <f t="shared" si="2"/>
        <v>0</v>
      </c>
      <c r="J325" s="82">
        <f>IFERROR( SUMIFS('Stock In'!I:I,'Stock In'!B:B,$A325,'Stock In'!C:C,$B325,'Stock In'!D:D,$C325,'Stock In'!E:E,$D325) / SUMIFS('Stock In'!H:H,'Stock In'!B:B,$A325,'Stock In'!C:C,$B325,'Stock In'!D:D,$C325,'Stock In'!E:E,$D325), 0)</f>
        <v>0</v>
      </c>
      <c r="K325" s="82">
        <f t="shared" si="3"/>
        <v>0</v>
      </c>
    </row>
    <row r="326">
      <c r="A326" s="80"/>
      <c r="B326" s="80"/>
      <c r="C326" s="80"/>
      <c r="D326" s="80"/>
      <c r="E326" s="82">
        <f>IFERROR(SUMIFS('Stock In'!F:F,'Stock In'!B:B,$A326,'Stock In'!C:C,$B326,'Stock In'!D:D,$C326,'Stock In'!E:E,$D326),0)</f>
        <v>0</v>
      </c>
      <c r="F326" s="82">
        <f>IFERROR(SUMIFS(Issues!H:H, Issues!F:F, $A326, Issues!C:C, $B326, Issues!D:D, $C326, Issues!E:E, $D326), 0)</f>
        <v>0</v>
      </c>
      <c r="G326" s="82">
        <f>IFERROR(SUMIFS(Returns!H:H, Returns!F:F, $A326, Returns!C:C, $B326, Returns!D:D, $C326, Returns!E:E, $D326), 0)</f>
        <v>0</v>
      </c>
      <c r="H326" s="82">
        <f t="shared" si="1"/>
        <v>0</v>
      </c>
      <c r="I326" s="82">
        <f t="shared" si="2"/>
        <v>0</v>
      </c>
      <c r="J326" s="82">
        <f>IFERROR( SUMIFS('Stock In'!I:I,'Stock In'!B:B,$A326,'Stock In'!C:C,$B326,'Stock In'!D:D,$C326,'Stock In'!E:E,$D326) / SUMIFS('Stock In'!H:H,'Stock In'!B:B,$A326,'Stock In'!C:C,$B326,'Stock In'!D:D,$C326,'Stock In'!E:E,$D326), 0)</f>
        <v>0</v>
      </c>
      <c r="K326" s="82">
        <f t="shared" si="3"/>
        <v>0</v>
      </c>
    </row>
    <row r="327">
      <c r="A327" s="80"/>
      <c r="B327" s="80"/>
      <c r="C327" s="80"/>
      <c r="D327" s="80"/>
      <c r="E327" s="82">
        <f>IFERROR(SUMIFS('Stock In'!F:F,'Stock In'!B:B,$A327,'Stock In'!C:C,$B327,'Stock In'!D:D,$C327,'Stock In'!E:E,$D327),0)</f>
        <v>0</v>
      </c>
      <c r="F327" s="82">
        <f>IFERROR(SUMIFS(Issues!H:H, Issues!F:F, $A327, Issues!C:C, $B327, Issues!D:D, $C327, Issues!E:E, $D327), 0)</f>
        <v>0</v>
      </c>
      <c r="G327" s="82">
        <f>IFERROR(SUMIFS(Returns!H:H, Returns!F:F, $A327, Returns!C:C, $B327, Returns!D:D, $C327, Returns!E:E, $D327), 0)</f>
        <v>0</v>
      </c>
      <c r="H327" s="82">
        <f t="shared" si="1"/>
        <v>0</v>
      </c>
      <c r="I327" s="82">
        <f t="shared" si="2"/>
        <v>0</v>
      </c>
      <c r="J327" s="82">
        <f>IFERROR( SUMIFS('Stock In'!I:I,'Stock In'!B:B,$A327,'Stock In'!C:C,$B327,'Stock In'!D:D,$C327,'Stock In'!E:E,$D327) / SUMIFS('Stock In'!H:H,'Stock In'!B:B,$A327,'Stock In'!C:C,$B327,'Stock In'!D:D,$C327,'Stock In'!E:E,$D327), 0)</f>
        <v>0</v>
      </c>
      <c r="K327" s="82">
        <f t="shared" si="3"/>
        <v>0</v>
      </c>
    </row>
    <row r="328">
      <c r="A328" s="80"/>
      <c r="B328" s="80"/>
      <c r="C328" s="80"/>
      <c r="D328" s="80"/>
      <c r="E328" s="82">
        <f>IFERROR(SUMIFS('Stock In'!F:F,'Stock In'!B:B,$A328,'Stock In'!C:C,$B328,'Stock In'!D:D,$C328,'Stock In'!E:E,$D328),0)</f>
        <v>0</v>
      </c>
      <c r="F328" s="82">
        <f>IFERROR(SUMIFS(Issues!H:H, Issues!F:F, $A328, Issues!C:C, $B328, Issues!D:D, $C328, Issues!E:E, $D328), 0)</f>
        <v>0</v>
      </c>
      <c r="G328" s="82">
        <f>IFERROR(SUMIFS(Returns!H:H, Returns!F:F, $A328, Returns!C:C, $B328, Returns!D:D, $C328, Returns!E:E, $D328), 0)</f>
        <v>0</v>
      </c>
      <c r="H328" s="82">
        <f t="shared" si="1"/>
        <v>0</v>
      </c>
      <c r="I328" s="82">
        <f t="shared" si="2"/>
        <v>0</v>
      </c>
      <c r="J328" s="82">
        <f>IFERROR( SUMIFS('Stock In'!I:I,'Stock In'!B:B,$A328,'Stock In'!C:C,$B328,'Stock In'!D:D,$C328,'Stock In'!E:E,$D328) / SUMIFS('Stock In'!H:H,'Stock In'!B:B,$A328,'Stock In'!C:C,$B328,'Stock In'!D:D,$C328,'Stock In'!E:E,$D328), 0)</f>
        <v>0</v>
      </c>
      <c r="K328" s="82">
        <f t="shared" si="3"/>
        <v>0</v>
      </c>
    </row>
    <row r="329">
      <c r="A329" s="80"/>
      <c r="B329" s="80"/>
      <c r="C329" s="80"/>
      <c r="D329" s="80"/>
      <c r="E329" s="82">
        <f>IFERROR(SUMIFS('Stock In'!F:F,'Stock In'!B:B,$A329,'Stock In'!C:C,$B329,'Stock In'!D:D,$C329,'Stock In'!E:E,$D329),0)</f>
        <v>0</v>
      </c>
      <c r="F329" s="82">
        <f>IFERROR(SUMIFS(Issues!H:H, Issues!F:F, $A329, Issues!C:C, $B329, Issues!D:D, $C329, Issues!E:E, $D329), 0)</f>
        <v>0</v>
      </c>
      <c r="G329" s="82">
        <f>IFERROR(SUMIFS(Returns!H:H, Returns!F:F, $A329, Returns!C:C, $B329, Returns!D:D, $C329, Returns!E:E, $D329), 0)</f>
        <v>0</v>
      </c>
      <c r="H329" s="82">
        <f t="shared" si="1"/>
        <v>0</v>
      </c>
      <c r="I329" s="82">
        <f t="shared" si="2"/>
        <v>0</v>
      </c>
      <c r="J329" s="82">
        <f>IFERROR( SUMIFS('Stock In'!I:I,'Stock In'!B:B,$A329,'Stock In'!C:C,$B329,'Stock In'!D:D,$C329,'Stock In'!E:E,$D329) / SUMIFS('Stock In'!H:H,'Stock In'!B:B,$A329,'Stock In'!C:C,$B329,'Stock In'!D:D,$C329,'Stock In'!E:E,$D329), 0)</f>
        <v>0</v>
      </c>
      <c r="K329" s="82">
        <f t="shared" si="3"/>
        <v>0</v>
      </c>
    </row>
    <row r="330">
      <c r="A330" s="80"/>
      <c r="B330" s="80"/>
      <c r="C330" s="80"/>
      <c r="D330" s="80"/>
      <c r="E330" s="82">
        <f>IFERROR(SUMIFS('Stock In'!F:F,'Stock In'!B:B,$A330,'Stock In'!C:C,$B330,'Stock In'!D:D,$C330,'Stock In'!E:E,$D330),0)</f>
        <v>0</v>
      </c>
      <c r="F330" s="82">
        <f>IFERROR(SUMIFS(Issues!H:H, Issues!F:F, $A330, Issues!C:C, $B330, Issues!D:D, $C330, Issues!E:E, $D330), 0)</f>
        <v>0</v>
      </c>
      <c r="G330" s="82">
        <f>IFERROR(SUMIFS(Returns!H:H, Returns!F:F, $A330, Returns!C:C, $B330, Returns!D:D, $C330, Returns!E:E, $D330), 0)</f>
        <v>0</v>
      </c>
      <c r="H330" s="82">
        <f t="shared" si="1"/>
        <v>0</v>
      </c>
      <c r="I330" s="82">
        <f t="shared" si="2"/>
        <v>0</v>
      </c>
      <c r="J330" s="82">
        <f>IFERROR( SUMIFS('Stock In'!I:I,'Stock In'!B:B,$A330,'Stock In'!C:C,$B330,'Stock In'!D:D,$C330,'Stock In'!E:E,$D330) / SUMIFS('Stock In'!H:H,'Stock In'!B:B,$A330,'Stock In'!C:C,$B330,'Stock In'!D:D,$C330,'Stock In'!E:E,$D330), 0)</f>
        <v>0</v>
      </c>
      <c r="K330" s="82">
        <f t="shared" si="3"/>
        <v>0</v>
      </c>
    </row>
    <row r="331">
      <c r="A331" s="80"/>
      <c r="B331" s="80"/>
      <c r="C331" s="80"/>
      <c r="D331" s="80"/>
      <c r="E331" s="82">
        <f>IFERROR(SUMIFS('Stock In'!F:F,'Stock In'!B:B,$A331,'Stock In'!C:C,$B331,'Stock In'!D:D,$C331,'Stock In'!E:E,$D331),0)</f>
        <v>0</v>
      </c>
      <c r="F331" s="82">
        <f>IFERROR(SUMIFS(Issues!H:H, Issues!F:F, $A331, Issues!C:C, $B331, Issues!D:D, $C331, Issues!E:E, $D331), 0)</f>
        <v>0</v>
      </c>
      <c r="G331" s="82">
        <f>IFERROR(SUMIFS(Returns!H:H, Returns!F:F, $A331, Returns!C:C, $B331, Returns!D:D, $C331, Returns!E:E, $D331), 0)</f>
        <v>0</v>
      </c>
      <c r="H331" s="82">
        <f t="shared" si="1"/>
        <v>0</v>
      </c>
      <c r="I331" s="82">
        <f t="shared" si="2"/>
        <v>0</v>
      </c>
      <c r="J331" s="82">
        <f>IFERROR( SUMIFS('Stock In'!I:I,'Stock In'!B:B,$A331,'Stock In'!C:C,$B331,'Stock In'!D:D,$C331,'Stock In'!E:E,$D331) / SUMIFS('Stock In'!H:H,'Stock In'!B:B,$A331,'Stock In'!C:C,$B331,'Stock In'!D:D,$C331,'Stock In'!E:E,$D331), 0)</f>
        <v>0</v>
      </c>
      <c r="K331" s="82">
        <f t="shared" si="3"/>
        <v>0</v>
      </c>
    </row>
    <row r="332">
      <c r="A332" s="80"/>
      <c r="B332" s="80"/>
      <c r="C332" s="80"/>
      <c r="D332" s="80"/>
      <c r="E332" s="82">
        <f>IFERROR(SUMIFS('Stock In'!F:F,'Stock In'!B:B,$A332,'Stock In'!C:C,$B332,'Stock In'!D:D,$C332,'Stock In'!E:E,$D332),0)</f>
        <v>0</v>
      </c>
      <c r="F332" s="82">
        <f>IFERROR(SUMIFS(Issues!H:H, Issues!F:F, $A332, Issues!C:C, $B332, Issues!D:D, $C332, Issues!E:E, $D332), 0)</f>
        <v>0</v>
      </c>
      <c r="G332" s="82">
        <f>IFERROR(SUMIFS(Returns!H:H, Returns!F:F, $A332, Returns!C:C, $B332, Returns!D:D, $C332, Returns!E:E, $D332), 0)</f>
        <v>0</v>
      </c>
      <c r="H332" s="82">
        <f t="shared" si="1"/>
        <v>0</v>
      </c>
      <c r="I332" s="82">
        <f t="shared" si="2"/>
        <v>0</v>
      </c>
      <c r="J332" s="82">
        <f>IFERROR( SUMIFS('Stock In'!I:I,'Stock In'!B:B,$A332,'Stock In'!C:C,$B332,'Stock In'!D:D,$C332,'Stock In'!E:E,$D332) / SUMIFS('Stock In'!H:H,'Stock In'!B:B,$A332,'Stock In'!C:C,$B332,'Stock In'!D:D,$C332,'Stock In'!E:E,$D332), 0)</f>
        <v>0</v>
      </c>
      <c r="K332" s="82">
        <f t="shared" si="3"/>
        <v>0</v>
      </c>
    </row>
    <row r="333">
      <c r="A333" s="80"/>
      <c r="B333" s="80"/>
      <c r="C333" s="80"/>
      <c r="D333" s="80"/>
      <c r="E333" s="82">
        <f>IFERROR(SUMIFS('Stock In'!F:F,'Stock In'!B:B,$A333,'Stock In'!C:C,$B333,'Stock In'!D:D,$C333,'Stock In'!E:E,$D333),0)</f>
        <v>0</v>
      </c>
      <c r="F333" s="82">
        <f>IFERROR(SUMIFS(Issues!H:H, Issues!F:F, $A333, Issues!C:C, $B333, Issues!D:D, $C333, Issues!E:E, $D333), 0)</f>
        <v>0</v>
      </c>
      <c r="G333" s="82">
        <f>IFERROR(SUMIFS(Returns!H:H, Returns!F:F, $A333, Returns!C:C, $B333, Returns!D:D, $C333, Returns!E:E, $D333), 0)</f>
        <v>0</v>
      </c>
      <c r="H333" s="82">
        <f t="shared" si="1"/>
        <v>0</v>
      </c>
      <c r="I333" s="82">
        <f t="shared" si="2"/>
        <v>0</v>
      </c>
      <c r="J333" s="82">
        <f>IFERROR( SUMIFS('Stock In'!I:I,'Stock In'!B:B,$A333,'Stock In'!C:C,$B333,'Stock In'!D:D,$C333,'Stock In'!E:E,$D333) / SUMIFS('Stock In'!H:H,'Stock In'!B:B,$A333,'Stock In'!C:C,$B333,'Stock In'!D:D,$C333,'Stock In'!E:E,$D333), 0)</f>
        <v>0</v>
      </c>
      <c r="K333" s="82">
        <f t="shared" si="3"/>
        <v>0</v>
      </c>
    </row>
    <row r="334">
      <c r="A334" s="80"/>
      <c r="B334" s="80"/>
      <c r="C334" s="80"/>
      <c r="D334" s="80"/>
      <c r="E334" s="82">
        <f>IFERROR(SUMIFS('Stock In'!F:F,'Stock In'!B:B,$A334,'Stock In'!C:C,$B334,'Stock In'!D:D,$C334,'Stock In'!E:E,$D334),0)</f>
        <v>0</v>
      </c>
      <c r="F334" s="82">
        <f>IFERROR(SUMIFS(Issues!H:H, Issues!F:F, $A334, Issues!C:C, $B334, Issues!D:D, $C334, Issues!E:E, $D334), 0)</f>
        <v>0</v>
      </c>
      <c r="G334" s="82">
        <f>IFERROR(SUMIFS(Returns!H:H, Returns!F:F, $A334, Returns!C:C, $B334, Returns!D:D, $C334, Returns!E:E, $D334), 0)</f>
        <v>0</v>
      </c>
      <c r="H334" s="82">
        <f t="shared" si="1"/>
        <v>0</v>
      </c>
      <c r="I334" s="82">
        <f t="shared" si="2"/>
        <v>0</v>
      </c>
      <c r="J334" s="82">
        <f>IFERROR( SUMIFS('Stock In'!I:I,'Stock In'!B:B,$A334,'Stock In'!C:C,$B334,'Stock In'!D:D,$C334,'Stock In'!E:E,$D334) / SUMIFS('Stock In'!H:H,'Stock In'!B:B,$A334,'Stock In'!C:C,$B334,'Stock In'!D:D,$C334,'Stock In'!E:E,$D334), 0)</f>
        <v>0</v>
      </c>
      <c r="K334" s="82">
        <f t="shared" si="3"/>
        <v>0</v>
      </c>
    </row>
    <row r="335">
      <c r="A335" s="80"/>
      <c r="B335" s="80"/>
      <c r="C335" s="80"/>
      <c r="D335" s="80"/>
      <c r="E335" s="82">
        <f>IFERROR(SUMIFS('Stock In'!F:F,'Stock In'!B:B,$A335,'Stock In'!C:C,$B335,'Stock In'!D:D,$C335,'Stock In'!E:E,$D335),0)</f>
        <v>0</v>
      </c>
      <c r="F335" s="82">
        <f>IFERROR(SUMIFS(Issues!H:H, Issues!F:F, $A335, Issues!C:C, $B335, Issues!D:D, $C335, Issues!E:E, $D335), 0)</f>
        <v>0</v>
      </c>
      <c r="G335" s="82">
        <f>IFERROR(SUMIFS(Returns!H:H, Returns!F:F, $A335, Returns!C:C, $B335, Returns!D:D, $C335, Returns!E:E, $D335), 0)</f>
        <v>0</v>
      </c>
      <c r="H335" s="82">
        <f t="shared" si="1"/>
        <v>0</v>
      </c>
      <c r="I335" s="82">
        <f t="shared" si="2"/>
        <v>0</v>
      </c>
      <c r="J335" s="82">
        <f>IFERROR( SUMIFS('Stock In'!I:I,'Stock In'!B:B,$A335,'Stock In'!C:C,$B335,'Stock In'!D:D,$C335,'Stock In'!E:E,$D335) / SUMIFS('Stock In'!H:H,'Stock In'!B:B,$A335,'Stock In'!C:C,$B335,'Stock In'!D:D,$C335,'Stock In'!E:E,$D335), 0)</f>
        <v>0</v>
      </c>
      <c r="K335" s="82">
        <f t="shared" si="3"/>
        <v>0</v>
      </c>
    </row>
    <row r="336">
      <c r="A336" s="80"/>
      <c r="B336" s="80"/>
      <c r="C336" s="80"/>
      <c r="D336" s="80"/>
      <c r="E336" s="82">
        <f>IFERROR(SUMIFS('Stock In'!F:F,'Stock In'!B:B,$A336,'Stock In'!C:C,$B336,'Stock In'!D:D,$C336,'Stock In'!E:E,$D336),0)</f>
        <v>0</v>
      </c>
      <c r="F336" s="82">
        <f>IFERROR(SUMIFS(Issues!H:H, Issues!F:F, $A336, Issues!C:C, $B336, Issues!D:D, $C336, Issues!E:E, $D336), 0)</f>
        <v>0</v>
      </c>
      <c r="G336" s="82">
        <f>IFERROR(SUMIFS(Returns!H:H, Returns!F:F, $A336, Returns!C:C, $B336, Returns!D:D, $C336, Returns!E:E, $D336), 0)</f>
        <v>0</v>
      </c>
      <c r="H336" s="82">
        <f t="shared" si="1"/>
        <v>0</v>
      </c>
      <c r="I336" s="82">
        <f t="shared" si="2"/>
        <v>0</v>
      </c>
      <c r="J336" s="82">
        <f>IFERROR( SUMIFS('Stock In'!I:I,'Stock In'!B:B,$A336,'Stock In'!C:C,$B336,'Stock In'!D:D,$C336,'Stock In'!E:E,$D336) / SUMIFS('Stock In'!H:H,'Stock In'!B:B,$A336,'Stock In'!C:C,$B336,'Stock In'!D:D,$C336,'Stock In'!E:E,$D336), 0)</f>
        <v>0</v>
      </c>
      <c r="K336" s="82">
        <f t="shared" si="3"/>
        <v>0</v>
      </c>
    </row>
    <row r="337">
      <c r="A337" s="80"/>
      <c r="B337" s="80"/>
      <c r="C337" s="80"/>
      <c r="D337" s="80"/>
      <c r="E337" s="82">
        <f>IFERROR(SUMIFS('Stock In'!F:F,'Stock In'!B:B,$A337,'Stock In'!C:C,$B337,'Stock In'!D:D,$C337,'Stock In'!E:E,$D337),0)</f>
        <v>0</v>
      </c>
      <c r="F337" s="82">
        <f>IFERROR(SUMIFS(Issues!H:H, Issues!F:F, $A337, Issues!C:C, $B337, Issues!D:D, $C337, Issues!E:E, $D337), 0)</f>
        <v>0</v>
      </c>
      <c r="G337" s="82">
        <f>IFERROR(SUMIFS(Returns!H:H, Returns!F:F, $A337, Returns!C:C, $B337, Returns!D:D, $C337, Returns!E:E, $D337), 0)</f>
        <v>0</v>
      </c>
      <c r="H337" s="82">
        <f t="shared" si="1"/>
        <v>0</v>
      </c>
      <c r="I337" s="82">
        <f t="shared" si="2"/>
        <v>0</v>
      </c>
      <c r="J337" s="82">
        <f>IFERROR( SUMIFS('Stock In'!I:I,'Stock In'!B:B,$A337,'Stock In'!C:C,$B337,'Stock In'!D:D,$C337,'Stock In'!E:E,$D337) / SUMIFS('Stock In'!H:H,'Stock In'!B:B,$A337,'Stock In'!C:C,$B337,'Stock In'!D:D,$C337,'Stock In'!E:E,$D337), 0)</f>
        <v>0</v>
      </c>
      <c r="K337" s="82">
        <f t="shared" si="3"/>
        <v>0</v>
      </c>
    </row>
    <row r="338">
      <c r="A338" s="80"/>
      <c r="B338" s="80"/>
      <c r="C338" s="80"/>
      <c r="D338" s="80"/>
      <c r="E338" s="82">
        <f>IFERROR(SUMIFS('Stock In'!F:F,'Stock In'!B:B,$A338,'Stock In'!C:C,$B338,'Stock In'!D:D,$C338,'Stock In'!E:E,$D338),0)</f>
        <v>0</v>
      </c>
      <c r="F338" s="82">
        <f>IFERROR(SUMIFS(Issues!H:H, Issues!F:F, $A338, Issues!C:C, $B338, Issues!D:D, $C338, Issues!E:E, $D338), 0)</f>
        <v>0</v>
      </c>
      <c r="G338" s="82">
        <f>IFERROR(SUMIFS(Returns!H:H, Returns!F:F, $A338, Returns!C:C, $B338, Returns!D:D, $C338, Returns!E:E, $D338), 0)</f>
        <v>0</v>
      </c>
      <c r="H338" s="82">
        <f t="shared" si="1"/>
        <v>0</v>
      </c>
      <c r="I338" s="82">
        <f t="shared" si="2"/>
        <v>0</v>
      </c>
      <c r="J338" s="82">
        <f>IFERROR( SUMIFS('Stock In'!I:I,'Stock In'!B:B,$A338,'Stock In'!C:C,$B338,'Stock In'!D:D,$C338,'Stock In'!E:E,$D338) / SUMIFS('Stock In'!H:H,'Stock In'!B:B,$A338,'Stock In'!C:C,$B338,'Stock In'!D:D,$C338,'Stock In'!E:E,$D338), 0)</f>
        <v>0</v>
      </c>
      <c r="K338" s="82">
        <f t="shared" si="3"/>
        <v>0</v>
      </c>
    </row>
    <row r="339">
      <c r="A339" s="80"/>
      <c r="B339" s="80"/>
      <c r="C339" s="80"/>
      <c r="D339" s="80"/>
      <c r="E339" s="82">
        <f>IFERROR(SUMIFS('Stock In'!F:F,'Stock In'!B:B,$A339,'Stock In'!C:C,$B339,'Stock In'!D:D,$C339,'Stock In'!E:E,$D339),0)</f>
        <v>0</v>
      </c>
      <c r="F339" s="82">
        <f>IFERROR(SUMIFS(Issues!H:H, Issues!F:F, $A339, Issues!C:C, $B339, Issues!D:D, $C339, Issues!E:E, $D339), 0)</f>
        <v>0</v>
      </c>
      <c r="G339" s="82">
        <f>IFERROR(SUMIFS(Returns!H:H, Returns!F:F, $A339, Returns!C:C, $B339, Returns!D:D, $C339, Returns!E:E, $D339), 0)</f>
        <v>0</v>
      </c>
      <c r="H339" s="82">
        <f t="shared" si="1"/>
        <v>0</v>
      </c>
      <c r="I339" s="82">
        <f t="shared" si="2"/>
        <v>0</v>
      </c>
      <c r="J339" s="82">
        <f>IFERROR( SUMIFS('Stock In'!I:I,'Stock In'!B:B,$A339,'Stock In'!C:C,$B339,'Stock In'!D:D,$C339,'Stock In'!E:E,$D339) / SUMIFS('Stock In'!H:H,'Stock In'!B:B,$A339,'Stock In'!C:C,$B339,'Stock In'!D:D,$C339,'Stock In'!E:E,$D339), 0)</f>
        <v>0</v>
      </c>
      <c r="K339" s="82">
        <f t="shared" si="3"/>
        <v>0</v>
      </c>
    </row>
    <row r="340">
      <c r="A340" s="80"/>
      <c r="B340" s="80"/>
      <c r="C340" s="80"/>
      <c r="D340" s="80"/>
      <c r="E340" s="82">
        <f>IFERROR(SUMIFS('Stock In'!F:F,'Stock In'!B:B,$A340,'Stock In'!C:C,$B340,'Stock In'!D:D,$C340,'Stock In'!E:E,$D340),0)</f>
        <v>0</v>
      </c>
      <c r="F340" s="82">
        <f>IFERROR(SUMIFS(Issues!H:H, Issues!F:F, $A340, Issues!C:C, $B340, Issues!D:D, $C340, Issues!E:E, $D340), 0)</f>
        <v>0</v>
      </c>
      <c r="G340" s="82">
        <f>IFERROR(SUMIFS(Returns!H:H, Returns!F:F, $A340, Returns!C:C, $B340, Returns!D:D, $C340, Returns!E:E, $D340), 0)</f>
        <v>0</v>
      </c>
      <c r="H340" s="82">
        <f t="shared" si="1"/>
        <v>0</v>
      </c>
      <c r="I340" s="82">
        <f t="shared" si="2"/>
        <v>0</v>
      </c>
      <c r="J340" s="82">
        <f>IFERROR( SUMIFS('Stock In'!I:I,'Stock In'!B:B,$A340,'Stock In'!C:C,$B340,'Stock In'!D:D,$C340,'Stock In'!E:E,$D340) / SUMIFS('Stock In'!H:H,'Stock In'!B:B,$A340,'Stock In'!C:C,$B340,'Stock In'!D:D,$C340,'Stock In'!E:E,$D340), 0)</f>
        <v>0</v>
      </c>
      <c r="K340" s="82">
        <f t="shared" si="3"/>
        <v>0</v>
      </c>
    </row>
    <row r="341">
      <c r="A341" s="80"/>
      <c r="B341" s="80"/>
      <c r="C341" s="80"/>
      <c r="D341" s="80"/>
      <c r="E341" s="82">
        <f>IFERROR(SUMIFS('Stock In'!F:F,'Stock In'!B:B,$A341,'Stock In'!C:C,$B341,'Stock In'!D:D,$C341,'Stock In'!E:E,$D341),0)</f>
        <v>0</v>
      </c>
      <c r="F341" s="82">
        <f>IFERROR(SUMIFS(Issues!H:H, Issues!F:F, $A341, Issues!C:C, $B341, Issues!D:D, $C341, Issues!E:E, $D341), 0)</f>
        <v>0</v>
      </c>
      <c r="G341" s="82">
        <f>IFERROR(SUMIFS(Returns!H:H, Returns!F:F, $A341, Returns!C:C, $B341, Returns!D:D, $C341, Returns!E:E, $D341), 0)</f>
        <v>0</v>
      </c>
      <c r="H341" s="82">
        <f t="shared" si="1"/>
        <v>0</v>
      </c>
      <c r="I341" s="82">
        <f t="shared" si="2"/>
        <v>0</v>
      </c>
      <c r="J341" s="82">
        <f>IFERROR( SUMIFS('Stock In'!I:I,'Stock In'!B:B,$A341,'Stock In'!C:C,$B341,'Stock In'!D:D,$C341,'Stock In'!E:E,$D341) / SUMIFS('Stock In'!H:H,'Stock In'!B:B,$A341,'Stock In'!C:C,$B341,'Stock In'!D:D,$C341,'Stock In'!E:E,$D341), 0)</f>
        <v>0</v>
      </c>
      <c r="K341" s="82">
        <f t="shared" si="3"/>
        <v>0</v>
      </c>
    </row>
    <row r="342">
      <c r="A342" s="80"/>
      <c r="B342" s="80"/>
      <c r="C342" s="80"/>
      <c r="D342" s="80"/>
      <c r="E342" s="82">
        <f>IFERROR(SUMIFS('Stock In'!F:F,'Stock In'!B:B,$A342,'Stock In'!C:C,$B342,'Stock In'!D:D,$C342,'Stock In'!E:E,$D342),0)</f>
        <v>0</v>
      </c>
      <c r="F342" s="82">
        <f>IFERROR(SUMIFS(Issues!H:H, Issues!F:F, $A342, Issues!C:C, $B342, Issues!D:D, $C342, Issues!E:E, $D342), 0)</f>
        <v>0</v>
      </c>
      <c r="G342" s="82">
        <f>IFERROR(SUMIFS(Returns!H:H, Returns!F:F, $A342, Returns!C:C, $B342, Returns!D:D, $C342, Returns!E:E, $D342), 0)</f>
        <v>0</v>
      </c>
      <c r="H342" s="82">
        <f t="shared" si="1"/>
        <v>0</v>
      </c>
      <c r="I342" s="82">
        <f t="shared" si="2"/>
        <v>0</v>
      </c>
      <c r="J342" s="82">
        <f>IFERROR( SUMIFS('Stock In'!I:I,'Stock In'!B:B,$A342,'Stock In'!C:C,$B342,'Stock In'!D:D,$C342,'Stock In'!E:E,$D342) / SUMIFS('Stock In'!H:H,'Stock In'!B:B,$A342,'Stock In'!C:C,$B342,'Stock In'!D:D,$C342,'Stock In'!E:E,$D342), 0)</f>
        <v>0</v>
      </c>
      <c r="K342" s="82">
        <f t="shared" si="3"/>
        <v>0</v>
      </c>
    </row>
    <row r="343">
      <c r="A343" s="80"/>
      <c r="B343" s="80"/>
      <c r="C343" s="80"/>
      <c r="D343" s="80"/>
      <c r="E343" s="82">
        <f>IFERROR(SUMIFS('Stock In'!F:F,'Stock In'!B:B,$A343,'Stock In'!C:C,$B343,'Stock In'!D:D,$C343,'Stock In'!E:E,$D343),0)</f>
        <v>0</v>
      </c>
      <c r="F343" s="82">
        <f>IFERROR(SUMIFS(Issues!H:H, Issues!F:F, $A343, Issues!C:C, $B343, Issues!D:D, $C343, Issues!E:E, $D343), 0)</f>
        <v>0</v>
      </c>
      <c r="G343" s="82">
        <f>IFERROR(SUMIFS(Returns!H:H, Returns!F:F, $A343, Returns!C:C, $B343, Returns!D:D, $C343, Returns!E:E, $D343), 0)</f>
        <v>0</v>
      </c>
      <c r="H343" s="82">
        <f t="shared" si="1"/>
        <v>0</v>
      </c>
      <c r="I343" s="82">
        <f t="shared" si="2"/>
        <v>0</v>
      </c>
      <c r="J343" s="82">
        <f>IFERROR( SUMIFS('Stock In'!I:I,'Stock In'!B:B,$A343,'Stock In'!C:C,$B343,'Stock In'!D:D,$C343,'Stock In'!E:E,$D343) / SUMIFS('Stock In'!H:H,'Stock In'!B:B,$A343,'Stock In'!C:C,$B343,'Stock In'!D:D,$C343,'Stock In'!E:E,$D343), 0)</f>
        <v>0</v>
      </c>
      <c r="K343" s="82">
        <f t="shared" si="3"/>
        <v>0</v>
      </c>
    </row>
    <row r="344">
      <c r="A344" s="80"/>
      <c r="B344" s="80"/>
      <c r="C344" s="80"/>
      <c r="D344" s="80"/>
      <c r="E344" s="82">
        <f>IFERROR(SUMIFS('Stock In'!F:F,'Stock In'!B:B,$A344,'Stock In'!C:C,$B344,'Stock In'!D:D,$C344,'Stock In'!E:E,$D344),0)</f>
        <v>0</v>
      </c>
      <c r="F344" s="82">
        <f>IFERROR(SUMIFS(Issues!H:H, Issues!F:F, $A344, Issues!C:C, $B344, Issues!D:D, $C344, Issues!E:E, $D344), 0)</f>
        <v>0</v>
      </c>
      <c r="G344" s="82">
        <f>IFERROR(SUMIFS(Returns!H:H, Returns!F:F, $A344, Returns!C:C, $B344, Returns!D:D, $C344, Returns!E:E, $D344), 0)</f>
        <v>0</v>
      </c>
      <c r="H344" s="82">
        <f t="shared" si="1"/>
        <v>0</v>
      </c>
      <c r="I344" s="82">
        <f t="shared" si="2"/>
        <v>0</v>
      </c>
      <c r="J344" s="82">
        <f>IFERROR( SUMIFS('Stock In'!I:I,'Stock In'!B:B,$A344,'Stock In'!C:C,$B344,'Stock In'!D:D,$C344,'Stock In'!E:E,$D344) / SUMIFS('Stock In'!H:H,'Stock In'!B:B,$A344,'Stock In'!C:C,$B344,'Stock In'!D:D,$C344,'Stock In'!E:E,$D344), 0)</f>
        <v>0</v>
      </c>
      <c r="K344" s="82">
        <f t="shared" si="3"/>
        <v>0</v>
      </c>
    </row>
    <row r="345">
      <c r="A345" s="80"/>
      <c r="B345" s="80"/>
      <c r="C345" s="80"/>
      <c r="D345" s="80"/>
      <c r="E345" s="82">
        <f>IFERROR(SUMIFS('Stock In'!F:F,'Stock In'!B:B,$A345,'Stock In'!C:C,$B345,'Stock In'!D:D,$C345,'Stock In'!E:E,$D345),0)</f>
        <v>0</v>
      </c>
      <c r="F345" s="82">
        <f>IFERROR(SUMIFS(Issues!H:H, Issues!F:F, $A345, Issues!C:C, $B345, Issues!D:D, $C345, Issues!E:E, $D345), 0)</f>
        <v>0</v>
      </c>
      <c r="G345" s="82">
        <f>IFERROR(SUMIFS(Returns!H:H, Returns!F:F, $A345, Returns!C:C, $B345, Returns!D:D, $C345, Returns!E:E, $D345), 0)</f>
        <v>0</v>
      </c>
      <c r="H345" s="82">
        <f t="shared" si="1"/>
        <v>0</v>
      </c>
      <c r="I345" s="82">
        <f t="shared" si="2"/>
        <v>0</v>
      </c>
      <c r="J345" s="82">
        <f>IFERROR( SUMIFS('Stock In'!I:I,'Stock In'!B:B,$A345,'Stock In'!C:C,$B345,'Stock In'!D:D,$C345,'Stock In'!E:E,$D345) / SUMIFS('Stock In'!H:H,'Stock In'!B:B,$A345,'Stock In'!C:C,$B345,'Stock In'!D:D,$C345,'Stock In'!E:E,$D345), 0)</f>
        <v>0</v>
      </c>
      <c r="K345" s="82">
        <f t="shared" si="3"/>
        <v>0</v>
      </c>
    </row>
    <row r="346">
      <c r="A346" s="80"/>
      <c r="B346" s="80"/>
      <c r="C346" s="80"/>
      <c r="D346" s="80"/>
      <c r="E346" s="82">
        <f>IFERROR(SUMIFS('Stock In'!F:F,'Stock In'!B:B,$A346,'Stock In'!C:C,$B346,'Stock In'!D:D,$C346,'Stock In'!E:E,$D346),0)</f>
        <v>0</v>
      </c>
      <c r="F346" s="82">
        <f>IFERROR(SUMIFS(Issues!H:H, Issues!F:F, $A346, Issues!C:C, $B346, Issues!D:D, $C346, Issues!E:E, $D346), 0)</f>
        <v>0</v>
      </c>
      <c r="G346" s="82">
        <f>IFERROR(SUMIFS(Returns!H:H, Returns!F:F, $A346, Returns!C:C, $B346, Returns!D:D, $C346, Returns!E:E, $D346), 0)</f>
        <v>0</v>
      </c>
      <c r="H346" s="82">
        <f t="shared" si="1"/>
        <v>0</v>
      </c>
      <c r="I346" s="82">
        <f t="shared" si="2"/>
        <v>0</v>
      </c>
      <c r="J346" s="82">
        <f>IFERROR( SUMIFS('Stock In'!I:I,'Stock In'!B:B,$A346,'Stock In'!C:C,$B346,'Stock In'!D:D,$C346,'Stock In'!E:E,$D346) / SUMIFS('Stock In'!H:H,'Stock In'!B:B,$A346,'Stock In'!C:C,$B346,'Stock In'!D:D,$C346,'Stock In'!E:E,$D346), 0)</f>
        <v>0</v>
      </c>
      <c r="K346" s="82">
        <f t="shared" si="3"/>
        <v>0</v>
      </c>
    </row>
    <row r="347">
      <c r="A347" s="80"/>
      <c r="B347" s="80"/>
      <c r="C347" s="80"/>
      <c r="D347" s="80"/>
      <c r="E347" s="82">
        <f>IFERROR(SUMIFS('Stock In'!F:F,'Stock In'!B:B,$A347,'Stock In'!C:C,$B347,'Stock In'!D:D,$C347,'Stock In'!E:E,$D347),0)</f>
        <v>0</v>
      </c>
      <c r="F347" s="82">
        <f>IFERROR(SUMIFS(Issues!H:H, Issues!F:F, $A347, Issues!C:C, $B347, Issues!D:D, $C347, Issues!E:E, $D347), 0)</f>
        <v>0</v>
      </c>
      <c r="G347" s="82">
        <f>IFERROR(SUMIFS(Returns!H:H, Returns!F:F, $A347, Returns!C:C, $B347, Returns!D:D, $C347, Returns!E:E, $D347), 0)</f>
        <v>0</v>
      </c>
      <c r="H347" s="82">
        <f t="shared" si="1"/>
        <v>0</v>
      </c>
      <c r="I347" s="82">
        <f t="shared" si="2"/>
        <v>0</v>
      </c>
      <c r="J347" s="82">
        <f>IFERROR( SUMIFS('Stock In'!I:I,'Stock In'!B:B,$A347,'Stock In'!C:C,$B347,'Stock In'!D:D,$C347,'Stock In'!E:E,$D347) / SUMIFS('Stock In'!H:H,'Stock In'!B:B,$A347,'Stock In'!C:C,$B347,'Stock In'!D:D,$C347,'Stock In'!E:E,$D347), 0)</f>
        <v>0</v>
      </c>
      <c r="K347" s="82">
        <f t="shared" si="3"/>
        <v>0</v>
      </c>
    </row>
    <row r="348">
      <c r="A348" s="80"/>
      <c r="B348" s="80"/>
      <c r="C348" s="80"/>
      <c r="D348" s="80"/>
      <c r="E348" s="82">
        <f>IFERROR(SUMIFS('Stock In'!F:F,'Stock In'!B:B,$A348,'Stock In'!C:C,$B348,'Stock In'!D:D,$C348,'Stock In'!E:E,$D348),0)</f>
        <v>0</v>
      </c>
      <c r="F348" s="82">
        <f>IFERROR(SUMIFS(Issues!H:H, Issues!F:F, $A348, Issues!C:C, $B348, Issues!D:D, $C348, Issues!E:E, $D348), 0)</f>
        <v>0</v>
      </c>
      <c r="G348" s="82">
        <f>IFERROR(SUMIFS(Returns!H:H, Returns!F:F, $A348, Returns!C:C, $B348, Returns!D:D, $C348, Returns!E:E, $D348), 0)</f>
        <v>0</v>
      </c>
      <c r="H348" s="82">
        <f t="shared" si="1"/>
        <v>0</v>
      </c>
      <c r="I348" s="82">
        <f t="shared" si="2"/>
        <v>0</v>
      </c>
      <c r="J348" s="82">
        <f>IFERROR( SUMIFS('Stock In'!I:I,'Stock In'!B:B,$A348,'Stock In'!C:C,$B348,'Stock In'!D:D,$C348,'Stock In'!E:E,$D348) / SUMIFS('Stock In'!H:H,'Stock In'!B:B,$A348,'Stock In'!C:C,$B348,'Stock In'!D:D,$C348,'Stock In'!E:E,$D348), 0)</f>
        <v>0</v>
      </c>
      <c r="K348" s="82">
        <f t="shared" si="3"/>
        <v>0</v>
      </c>
    </row>
    <row r="349">
      <c r="A349" s="80"/>
      <c r="B349" s="80"/>
      <c r="C349" s="80"/>
      <c r="D349" s="80"/>
      <c r="E349" s="82">
        <f>IFERROR(SUMIFS('Stock In'!F:F,'Stock In'!B:B,$A349,'Stock In'!C:C,$B349,'Stock In'!D:D,$C349,'Stock In'!E:E,$D349),0)</f>
        <v>0</v>
      </c>
      <c r="F349" s="82">
        <f>IFERROR(SUMIFS(Issues!H:H, Issues!F:F, $A349, Issues!C:C, $B349, Issues!D:D, $C349, Issues!E:E, $D349), 0)</f>
        <v>0</v>
      </c>
      <c r="G349" s="82">
        <f>IFERROR(SUMIFS(Returns!H:H, Returns!F:F, $A349, Returns!C:C, $B349, Returns!D:D, $C349, Returns!E:E, $D349), 0)</f>
        <v>0</v>
      </c>
      <c r="H349" s="82">
        <f t="shared" si="1"/>
        <v>0</v>
      </c>
      <c r="I349" s="82">
        <f t="shared" si="2"/>
        <v>0</v>
      </c>
      <c r="J349" s="82">
        <f>IFERROR( SUMIFS('Stock In'!I:I,'Stock In'!B:B,$A349,'Stock In'!C:C,$B349,'Stock In'!D:D,$C349,'Stock In'!E:E,$D349) / SUMIFS('Stock In'!H:H,'Stock In'!B:B,$A349,'Stock In'!C:C,$B349,'Stock In'!D:D,$C349,'Stock In'!E:E,$D349), 0)</f>
        <v>0</v>
      </c>
      <c r="K349" s="82">
        <f t="shared" si="3"/>
        <v>0</v>
      </c>
    </row>
    <row r="350">
      <c r="A350" s="80"/>
      <c r="B350" s="80"/>
      <c r="C350" s="80"/>
      <c r="D350" s="80"/>
      <c r="E350" s="82">
        <f>IFERROR(SUMIFS('Stock In'!F:F,'Stock In'!B:B,$A350,'Stock In'!C:C,$B350,'Stock In'!D:D,$C350,'Stock In'!E:E,$D350),0)</f>
        <v>0</v>
      </c>
      <c r="F350" s="82">
        <f>IFERROR(SUMIFS(Issues!H:H, Issues!F:F, $A350, Issues!C:C, $B350, Issues!D:D, $C350, Issues!E:E, $D350), 0)</f>
        <v>0</v>
      </c>
      <c r="G350" s="82">
        <f>IFERROR(SUMIFS(Returns!H:H, Returns!F:F, $A350, Returns!C:C, $B350, Returns!D:D, $C350, Returns!E:E, $D350), 0)</f>
        <v>0</v>
      </c>
      <c r="H350" s="82">
        <f t="shared" si="1"/>
        <v>0</v>
      </c>
      <c r="I350" s="82">
        <f t="shared" si="2"/>
        <v>0</v>
      </c>
      <c r="J350" s="82">
        <f>IFERROR( SUMIFS('Stock In'!I:I,'Stock In'!B:B,$A350,'Stock In'!C:C,$B350,'Stock In'!D:D,$C350,'Stock In'!E:E,$D350) / SUMIFS('Stock In'!H:H,'Stock In'!B:B,$A350,'Stock In'!C:C,$B350,'Stock In'!D:D,$C350,'Stock In'!E:E,$D350), 0)</f>
        <v>0</v>
      </c>
      <c r="K350" s="82">
        <f t="shared" si="3"/>
        <v>0</v>
      </c>
    </row>
    <row r="351">
      <c r="A351" s="80"/>
      <c r="B351" s="80"/>
      <c r="C351" s="80"/>
      <c r="D351" s="80"/>
      <c r="E351" s="82">
        <f>IFERROR(SUMIFS('Stock In'!F:F,'Stock In'!B:B,$A351,'Stock In'!C:C,$B351,'Stock In'!D:D,$C351,'Stock In'!E:E,$D351),0)</f>
        <v>0</v>
      </c>
      <c r="F351" s="82">
        <f>IFERROR(SUMIFS(Issues!H:H, Issues!F:F, $A351, Issues!C:C, $B351, Issues!D:D, $C351, Issues!E:E, $D351), 0)</f>
        <v>0</v>
      </c>
      <c r="G351" s="82">
        <f>IFERROR(SUMIFS(Returns!H:H, Returns!F:F, $A351, Returns!C:C, $B351, Returns!D:D, $C351, Returns!E:E, $D351), 0)</f>
        <v>0</v>
      </c>
      <c r="H351" s="82">
        <f t="shared" si="1"/>
        <v>0</v>
      </c>
      <c r="I351" s="82">
        <f t="shared" si="2"/>
        <v>0</v>
      </c>
      <c r="J351" s="82">
        <f>IFERROR( SUMIFS('Stock In'!I:I,'Stock In'!B:B,$A351,'Stock In'!C:C,$B351,'Stock In'!D:D,$C351,'Stock In'!E:E,$D351) / SUMIFS('Stock In'!H:H,'Stock In'!B:B,$A351,'Stock In'!C:C,$B351,'Stock In'!D:D,$C351,'Stock In'!E:E,$D351), 0)</f>
        <v>0</v>
      </c>
      <c r="K351" s="82">
        <f t="shared" si="3"/>
        <v>0</v>
      </c>
    </row>
    <row r="352">
      <c r="A352" s="80"/>
      <c r="B352" s="80"/>
      <c r="C352" s="80"/>
      <c r="D352" s="80"/>
      <c r="E352" s="82">
        <f>IFERROR(SUMIFS('Stock In'!F:F,'Stock In'!B:B,$A352,'Stock In'!C:C,$B352,'Stock In'!D:D,$C352,'Stock In'!E:E,$D352),0)</f>
        <v>0</v>
      </c>
      <c r="F352" s="82">
        <f>IFERROR(SUMIFS(Issues!H:H, Issues!F:F, $A352, Issues!C:C, $B352, Issues!D:D, $C352, Issues!E:E, $D352), 0)</f>
        <v>0</v>
      </c>
      <c r="G352" s="82">
        <f>IFERROR(SUMIFS(Returns!H:H, Returns!F:F, $A352, Returns!C:C, $B352, Returns!D:D, $C352, Returns!E:E, $D352), 0)</f>
        <v>0</v>
      </c>
      <c r="H352" s="82">
        <f t="shared" si="1"/>
        <v>0</v>
      </c>
      <c r="I352" s="82">
        <f t="shared" si="2"/>
        <v>0</v>
      </c>
      <c r="J352" s="82">
        <f>IFERROR( SUMIFS('Stock In'!I:I,'Stock In'!B:B,$A352,'Stock In'!C:C,$B352,'Stock In'!D:D,$C352,'Stock In'!E:E,$D352) / SUMIFS('Stock In'!H:H,'Stock In'!B:B,$A352,'Stock In'!C:C,$B352,'Stock In'!D:D,$C352,'Stock In'!E:E,$D352), 0)</f>
        <v>0</v>
      </c>
      <c r="K352" s="82">
        <f t="shared" si="3"/>
        <v>0</v>
      </c>
    </row>
    <row r="353">
      <c r="A353" s="80"/>
      <c r="B353" s="80"/>
      <c r="C353" s="80"/>
      <c r="D353" s="80"/>
      <c r="E353" s="82">
        <f>IFERROR(SUMIFS('Stock In'!F:F,'Stock In'!B:B,$A353,'Stock In'!C:C,$B353,'Stock In'!D:D,$C353,'Stock In'!E:E,$D353),0)</f>
        <v>0</v>
      </c>
      <c r="F353" s="82">
        <f>IFERROR(SUMIFS(Issues!H:H, Issues!F:F, $A353, Issues!C:C, $B353, Issues!D:D, $C353, Issues!E:E, $D353), 0)</f>
        <v>0</v>
      </c>
      <c r="G353" s="82">
        <f>IFERROR(SUMIFS(Returns!H:H, Returns!F:F, $A353, Returns!C:C, $B353, Returns!D:D, $C353, Returns!E:E, $D353), 0)</f>
        <v>0</v>
      </c>
      <c r="H353" s="82">
        <f t="shared" si="1"/>
        <v>0</v>
      </c>
      <c r="I353" s="82">
        <f t="shared" si="2"/>
        <v>0</v>
      </c>
      <c r="J353" s="82">
        <f>IFERROR( SUMIFS('Stock In'!I:I,'Stock In'!B:B,$A353,'Stock In'!C:C,$B353,'Stock In'!D:D,$C353,'Stock In'!E:E,$D353) / SUMIFS('Stock In'!H:H,'Stock In'!B:B,$A353,'Stock In'!C:C,$B353,'Stock In'!D:D,$C353,'Stock In'!E:E,$D353), 0)</f>
        <v>0</v>
      </c>
      <c r="K353" s="82">
        <f t="shared" si="3"/>
        <v>0</v>
      </c>
    </row>
    <row r="354">
      <c r="A354" s="80"/>
      <c r="B354" s="80"/>
      <c r="C354" s="80"/>
      <c r="D354" s="80"/>
      <c r="E354" s="82">
        <f>IFERROR(SUMIFS('Stock In'!F:F,'Stock In'!B:B,$A354,'Stock In'!C:C,$B354,'Stock In'!D:D,$C354,'Stock In'!E:E,$D354),0)</f>
        <v>0</v>
      </c>
      <c r="F354" s="82">
        <f>IFERROR(SUMIFS(Issues!H:H, Issues!F:F, $A354, Issues!C:C, $B354, Issues!D:D, $C354, Issues!E:E, $D354), 0)</f>
        <v>0</v>
      </c>
      <c r="G354" s="82">
        <f>IFERROR(SUMIFS(Returns!H:H, Returns!F:F, $A354, Returns!C:C, $B354, Returns!D:D, $C354, Returns!E:E, $D354), 0)</f>
        <v>0</v>
      </c>
      <c r="H354" s="82">
        <f t="shared" si="1"/>
        <v>0</v>
      </c>
      <c r="I354" s="82">
        <f t="shared" si="2"/>
        <v>0</v>
      </c>
      <c r="J354" s="82">
        <f>IFERROR( SUMIFS('Stock In'!I:I,'Stock In'!B:B,$A354,'Stock In'!C:C,$B354,'Stock In'!D:D,$C354,'Stock In'!E:E,$D354) / SUMIFS('Stock In'!H:H,'Stock In'!B:B,$A354,'Stock In'!C:C,$B354,'Stock In'!D:D,$C354,'Stock In'!E:E,$D354), 0)</f>
        <v>0</v>
      </c>
      <c r="K354" s="82">
        <f t="shared" si="3"/>
        <v>0</v>
      </c>
    </row>
    <row r="355">
      <c r="A355" s="80"/>
      <c r="B355" s="80"/>
      <c r="C355" s="80"/>
      <c r="D355" s="80"/>
      <c r="E355" s="82">
        <f>IFERROR(SUMIFS('Stock In'!F:F,'Stock In'!B:B,$A355,'Stock In'!C:C,$B355,'Stock In'!D:D,$C355,'Stock In'!E:E,$D355),0)</f>
        <v>0</v>
      </c>
      <c r="F355" s="82">
        <f>IFERROR(SUMIFS(Issues!H:H, Issues!F:F, $A355, Issues!C:C, $B355, Issues!D:D, $C355, Issues!E:E, $D355), 0)</f>
        <v>0</v>
      </c>
      <c r="G355" s="82">
        <f>IFERROR(SUMIFS(Returns!H:H, Returns!F:F, $A355, Returns!C:C, $B355, Returns!D:D, $C355, Returns!E:E, $D355), 0)</f>
        <v>0</v>
      </c>
      <c r="H355" s="82">
        <f t="shared" si="1"/>
        <v>0</v>
      </c>
      <c r="I355" s="82">
        <f t="shared" si="2"/>
        <v>0</v>
      </c>
      <c r="J355" s="82">
        <f>IFERROR( SUMIFS('Stock In'!I:I,'Stock In'!B:B,$A355,'Stock In'!C:C,$B355,'Stock In'!D:D,$C355,'Stock In'!E:E,$D355) / SUMIFS('Stock In'!H:H,'Stock In'!B:B,$A355,'Stock In'!C:C,$B355,'Stock In'!D:D,$C355,'Stock In'!E:E,$D355), 0)</f>
        <v>0</v>
      </c>
      <c r="K355" s="82">
        <f t="shared" si="3"/>
        <v>0</v>
      </c>
    </row>
    <row r="356">
      <c r="A356" s="80"/>
      <c r="B356" s="80"/>
      <c r="C356" s="80"/>
      <c r="D356" s="80"/>
      <c r="E356" s="82">
        <f>IFERROR(SUMIFS('Stock In'!F:F,'Stock In'!B:B,$A356,'Stock In'!C:C,$B356,'Stock In'!D:D,$C356,'Stock In'!E:E,$D356),0)</f>
        <v>0</v>
      </c>
      <c r="F356" s="82">
        <f>IFERROR(SUMIFS(Issues!H:H, Issues!F:F, $A356, Issues!C:C, $B356, Issues!D:D, $C356, Issues!E:E, $D356), 0)</f>
        <v>0</v>
      </c>
      <c r="G356" s="82">
        <f>IFERROR(SUMIFS(Returns!H:H, Returns!F:F, $A356, Returns!C:C, $B356, Returns!D:D, $C356, Returns!E:E, $D356), 0)</f>
        <v>0</v>
      </c>
      <c r="H356" s="82">
        <f t="shared" si="1"/>
        <v>0</v>
      </c>
      <c r="I356" s="82">
        <f t="shared" si="2"/>
        <v>0</v>
      </c>
      <c r="J356" s="82">
        <f>IFERROR( SUMIFS('Stock In'!I:I,'Stock In'!B:B,$A356,'Stock In'!C:C,$B356,'Stock In'!D:D,$C356,'Stock In'!E:E,$D356) / SUMIFS('Stock In'!H:H,'Stock In'!B:B,$A356,'Stock In'!C:C,$B356,'Stock In'!D:D,$C356,'Stock In'!E:E,$D356), 0)</f>
        <v>0</v>
      </c>
      <c r="K356" s="82">
        <f t="shared" si="3"/>
        <v>0</v>
      </c>
    </row>
    <row r="357">
      <c r="A357" s="80"/>
      <c r="B357" s="80"/>
      <c r="C357" s="80"/>
      <c r="D357" s="80"/>
      <c r="E357" s="82">
        <f>IFERROR(SUMIFS('Stock In'!F:F,'Stock In'!B:B,$A357,'Stock In'!C:C,$B357,'Stock In'!D:D,$C357,'Stock In'!E:E,$D357),0)</f>
        <v>0</v>
      </c>
      <c r="F357" s="82">
        <f>IFERROR(SUMIFS(Issues!H:H, Issues!F:F, $A357, Issues!C:C, $B357, Issues!D:D, $C357, Issues!E:E, $D357), 0)</f>
        <v>0</v>
      </c>
      <c r="G357" s="82">
        <f>IFERROR(SUMIFS(Returns!H:H, Returns!F:F, $A357, Returns!C:C, $B357, Returns!D:D, $C357, Returns!E:E, $D357), 0)</f>
        <v>0</v>
      </c>
      <c r="H357" s="82">
        <f t="shared" si="1"/>
        <v>0</v>
      </c>
      <c r="I357" s="82">
        <f t="shared" si="2"/>
        <v>0</v>
      </c>
      <c r="J357" s="82">
        <f>IFERROR( SUMIFS('Stock In'!I:I,'Stock In'!B:B,$A357,'Stock In'!C:C,$B357,'Stock In'!D:D,$C357,'Stock In'!E:E,$D357) / SUMIFS('Stock In'!H:H,'Stock In'!B:B,$A357,'Stock In'!C:C,$B357,'Stock In'!D:D,$C357,'Stock In'!E:E,$D357), 0)</f>
        <v>0</v>
      </c>
      <c r="K357" s="82">
        <f t="shared" si="3"/>
        <v>0</v>
      </c>
    </row>
    <row r="358">
      <c r="A358" s="80"/>
      <c r="B358" s="80"/>
      <c r="C358" s="80"/>
      <c r="D358" s="80"/>
      <c r="E358" s="82">
        <f>IFERROR(SUMIFS('Stock In'!F:F,'Stock In'!B:B,$A358,'Stock In'!C:C,$B358,'Stock In'!D:D,$C358,'Stock In'!E:E,$D358),0)</f>
        <v>0</v>
      </c>
      <c r="F358" s="82">
        <f>IFERROR(SUMIFS(Issues!H:H, Issues!F:F, $A358, Issues!C:C, $B358, Issues!D:D, $C358, Issues!E:E, $D358), 0)</f>
        <v>0</v>
      </c>
      <c r="G358" s="82">
        <f>IFERROR(SUMIFS(Returns!H:H, Returns!F:F, $A358, Returns!C:C, $B358, Returns!D:D, $C358, Returns!E:E, $D358), 0)</f>
        <v>0</v>
      </c>
      <c r="H358" s="82">
        <f t="shared" si="1"/>
        <v>0</v>
      </c>
      <c r="I358" s="82">
        <f t="shared" si="2"/>
        <v>0</v>
      </c>
      <c r="J358" s="82">
        <f>IFERROR( SUMIFS('Stock In'!I:I,'Stock In'!B:B,$A358,'Stock In'!C:C,$B358,'Stock In'!D:D,$C358,'Stock In'!E:E,$D358) / SUMIFS('Stock In'!H:H,'Stock In'!B:B,$A358,'Stock In'!C:C,$B358,'Stock In'!D:D,$C358,'Stock In'!E:E,$D358), 0)</f>
        <v>0</v>
      </c>
      <c r="K358" s="82">
        <f t="shared" si="3"/>
        <v>0</v>
      </c>
    </row>
    <row r="359">
      <c r="A359" s="80"/>
      <c r="B359" s="80"/>
      <c r="C359" s="80"/>
      <c r="D359" s="80"/>
      <c r="E359" s="82">
        <f>IFERROR(SUMIFS('Stock In'!F:F,'Stock In'!B:B,$A359,'Stock In'!C:C,$B359,'Stock In'!D:D,$C359,'Stock In'!E:E,$D359),0)</f>
        <v>0</v>
      </c>
      <c r="F359" s="82">
        <f>IFERROR(SUMIFS(Issues!H:H, Issues!F:F, $A359, Issues!C:C, $B359, Issues!D:D, $C359, Issues!E:E, $D359), 0)</f>
        <v>0</v>
      </c>
      <c r="G359" s="82">
        <f>IFERROR(SUMIFS(Returns!H:H, Returns!F:F, $A359, Returns!C:C, $B359, Returns!D:D, $C359, Returns!E:E, $D359), 0)</f>
        <v>0</v>
      </c>
      <c r="H359" s="82">
        <f t="shared" si="1"/>
        <v>0</v>
      </c>
      <c r="I359" s="82">
        <f t="shared" si="2"/>
        <v>0</v>
      </c>
      <c r="J359" s="82">
        <f>IFERROR( SUMIFS('Stock In'!I:I,'Stock In'!B:B,$A359,'Stock In'!C:C,$B359,'Stock In'!D:D,$C359,'Stock In'!E:E,$D359) / SUMIFS('Stock In'!H:H,'Stock In'!B:B,$A359,'Stock In'!C:C,$B359,'Stock In'!D:D,$C359,'Stock In'!E:E,$D359), 0)</f>
        <v>0</v>
      </c>
      <c r="K359" s="82">
        <f t="shared" si="3"/>
        <v>0</v>
      </c>
    </row>
    <row r="360">
      <c r="A360" s="80"/>
      <c r="B360" s="80"/>
      <c r="C360" s="80"/>
      <c r="D360" s="80"/>
      <c r="E360" s="82">
        <f>IFERROR(SUMIFS('Stock In'!F:F,'Stock In'!B:B,$A360,'Stock In'!C:C,$B360,'Stock In'!D:D,$C360,'Stock In'!E:E,$D360),0)</f>
        <v>0</v>
      </c>
      <c r="F360" s="82">
        <f>IFERROR(SUMIFS(Issues!H:H, Issues!F:F, $A360, Issues!C:C, $B360, Issues!D:D, $C360, Issues!E:E, $D360), 0)</f>
        <v>0</v>
      </c>
      <c r="G360" s="82">
        <f>IFERROR(SUMIFS(Returns!H:H, Returns!F:F, $A360, Returns!C:C, $B360, Returns!D:D, $C360, Returns!E:E, $D360), 0)</f>
        <v>0</v>
      </c>
      <c r="H360" s="82">
        <f t="shared" si="1"/>
        <v>0</v>
      </c>
      <c r="I360" s="82">
        <f t="shared" si="2"/>
        <v>0</v>
      </c>
      <c r="J360" s="82">
        <f>IFERROR( SUMIFS('Stock In'!I:I,'Stock In'!B:B,$A360,'Stock In'!C:C,$B360,'Stock In'!D:D,$C360,'Stock In'!E:E,$D360) / SUMIFS('Stock In'!H:H,'Stock In'!B:B,$A360,'Stock In'!C:C,$B360,'Stock In'!D:D,$C360,'Stock In'!E:E,$D360), 0)</f>
        <v>0</v>
      </c>
      <c r="K360" s="82">
        <f t="shared" si="3"/>
        <v>0</v>
      </c>
    </row>
    <row r="361">
      <c r="A361" s="80"/>
      <c r="B361" s="80"/>
      <c r="C361" s="80"/>
      <c r="D361" s="80"/>
      <c r="E361" s="82">
        <f>IFERROR(SUMIFS('Stock In'!F:F,'Stock In'!B:B,$A361,'Stock In'!C:C,$B361,'Stock In'!D:D,$C361,'Stock In'!E:E,$D361),0)</f>
        <v>0</v>
      </c>
      <c r="F361" s="82">
        <f>IFERROR(SUMIFS(Issues!H:H, Issues!F:F, $A361, Issues!C:C, $B361, Issues!D:D, $C361, Issues!E:E, $D361), 0)</f>
        <v>0</v>
      </c>
      <c r="G361" s="82">
        <f>IFERROR(SUMIFS(Returns!H:H, Returns!F:F, $A361, Returns!C:C, $B361, Returns!D:D, $C361, Returns!E:E, $D361), 0)</f>
        <v>0</v>
      </c>
      <c r="H361" s="82">
        <f t="shared" si="1"/>
        <v>0</v>
      </c>
      <c r="I361" s="82">
        <f t="shared" si="2"/>
        <v>0</v>
      </c>
      <c r="J361" s="82">
        <f>IFERROR( SUMIFS('Stock In'!I:I,'Stock In'!B:B,$A361,'Stock In'!C:C,$B361,'Stock In'!D:D,$C361,'Stock In'!E:E,$D361) / SUMIFS('Stock In'!H:H,'Stock In'!B:B,$A361,'Stock In'!C:C,$B361,'Stock In'!D:D,$C361,'Stock In'!E:E,$D361), 0)</f>
        <v>0</v>
      </c>
      <c r="K361" s="82">
        <f t="shared" si="3"/>
        <v>0</v>
      </c>
    </row>
    <row r="362">
      <c r="A362" s="80"/>
      <c r="B362" s="80"/>
      <c r="C362" s="80"/>
      <c r="D362" s="80"/>
      <c r="E362" s="82">
        <f>IFERROR(SUMIFS('Stock In'!F:F,'Stock In'!B:B,$A362,'Stock In'!C:C,$B362,'Stock In'!D:D,$C362,'Stock In'!E:E,$D362),0)</f>
        <v>0</v>
      </c>
      <c r="F362" s="82">
        <f>IFERROR(SUMIFS(Issues!H:H, Issues!F:F, $A362, Issues!C:C, $B362, Issues!D:D, $C362, Issues!E:E, $D362), 0)</f>
        <v>0</v>
      </c>
      <c r="G362" s="82">
        <f>IFERROR(SUMIFS(Returns!H:H, Returns!F:F, $A362, Returns!C:C, $B362, Returns!D:D, $C362, Returns!E:E, $D362), 0)</f>
        <v>0</v>
      </c>
      <c r="H362" s="82">
        <f t="shared" si="1"/>
        <v>0</v>
      </c>
      <c r="I362" s="82">
        <f t="shared" si="2"/>
        <v>0</v>
      </c>
      <c r="J362" s="82">
        <f>IFERROR( SUMIFS('Stock In'!I:I,'Stock In'!B:B,$A362,'Stock In'!C:C,$B362,'Stock In'!D:D,$C362,'Stock In'!E:E,$D362) / SUMIFS('Stock In'!H:H,'Stock In'!B:B,$A362,'Stock In'!C:C,$B362,'Stock In'!D:D,$C362,'Stock In'!E:E,$D362), 0)</f>
        <v>0</v>
      </c>
      <c r="K362" s="82">
        <f t="shared" si="3"/>
        <v>0</v>
      </c>
    </row>
    <row r="363">
      <c r="A363" s="80"/>
      <c r="B363" s="80"/>
      <c r="C363" s="80"/>
      <c r="D363" s="80"/>
      <c r="E363" s="82">
        <f>IFERROR(SUMIFS('Stock In'!F:F,'Stock In'!B:B,$A363,'Stock In'!C:C,$B363,'Stock In'!D:D,$C363,'Stock In'!E:E,$D363),0)</f>
        <v>0</v>
      </c>
      <c r="F363" s="82">
        <f>IFERROR(SUMIFS(Issues!H:H, Issues!F:F, $A363, Issues!C:C, $B363, Issues!D:D, $C363, Issues!E:E, $D363), 0)</f>
        <v>0</v>
      </c>
      <c r="G363" s="82">
        <f>IFERROR(SUMIFS(Returns!H:H, Returns!F:F, $A363, Returns!C:C, $B363, Returns!D:D, $C363, Returns!E:E, $D363), 0)</f>
        <v>0</v>
      </c>
      <c r="H363" s="82">
        <f t="shared" si="1"/>
        <v>0</v>
      </c>
      <c r="I363" s="82">
        <f t="shared" si="2"/>
        <v>0</v>
      </c>
      <c r="J363" s="82">
        <f>IFERROR( SUMIFS('Stock In'!I:I,'Stock In'!B:B,$A363,'Stock In'!C:C,$B363,'Stock In'!D:D,$C363,'Stock In'!E:E,$D363) / SUMIFS('Stock In'!H:H,'Stock In'!B:B,$A363,'Stock In'!C:C,$B363,'Stock In'!D:D,$C363,'Stock In'!E:E,$D363), 0)</f>
        <v>0</v>
      </c>
      <c r="K363" s="82">
        <f t="shared" si="3"/>
        <v>0</v>
      </c>
    </row>
    <row r="364">
      <c r="A364" s="80"/>
      <c r="B364" s="80"/>
      <c r="C364" s="80"/>
      <c r="D364" s="80"/>
      <c r="E364" s="82">
        <f>IFERROR(SUMIFS('Stock In'!F:F,'Stock In'!B:B,$A364,'Stock In'!C:C,$B364,'Stock In'!D:D,$C364,'Stock In'!E:E,$D364),0)</f>
        <v>0</v>
      </c>
      <c r="F364" s="82">
        <f>IFERROR(SUMIFS(Issues!H:H, Issues!F:F, $A364, Issues!C:C, $B364, Issues!D:D, $C364, Issues!E:E, $D364), 0)</f>
        <v>0</v>
      </c>
      <c r="G364" s="82">
        <f>IFERROR(SUMIFS(Returns!H:H, Returns!F:F, $A364, Returns!C:C, $B364, Returns!D:D, $C364, Returns!E:E, $D364), 0)</f>
        <v>0</v>
      </c>
      <c r="H364" s="82">
        <f t="shared" si="1"/>
        <v>0</v>
      </c>
      <c r="I364" s="82">
        <f t="shared" si="2"/>
        <v>0</v>
      </c>
      <c r="J364" s="82">
        <f>IFERROR( SUMIFS('Stock In'!I:I,'Stock In'!B:B,$A364,'Stock In'!C:C,$B364,'Stock In'!D:D,$C364,'Stock In'!E:E,$D364) / SUMIFS('Stock In'!H:H,'Stock In'!B:B,$A364,'Stock In'!C:C,$B364,'Stock In'!D:D,$C364,'Stock In'!E:E,$D364), 0)</f>
        <v>0</v>
      </c>
      <c r="K364" s="82">
        <f t="shared" si="3"/>
        <v>0</v>
      </c>
    </row>
    <row r="365">
      <c r="A365" s="80"/>
      <c r="B365" s="80"/>
      <c r="C365" s="80"/>
      <c r="D365" s="80"/>
      <c r="E365" s="82">
        <f>IFERROR(SUMIFS('Stock In'!F:F,'Stock In'!B:B,$A365,'Stock In'!C:C,$B365,'Stock In'!D:D,$C365,'Stock In'!E:E,$D365),0)</f>
        <v>0</v>
      </c>
      <c r="F365" s="82">
        <f>IFERROR(SUMIFS(Issues!H:H, Issues!F:F, $A365, Issues!C:C, $B365, Issues!D:D, $C365, Issues!E:E, $D365), 0)</f>
        <v>0</v>
      </c>
      <c r="G365" s="82">
        <f>IFERROR(SUMIFS(Returns!H:H, Returns!F:F, $A365, Returns!C:C, $B365, Returns!D:D, $C365, Returns!E:E, $D365), 0)</f>
        <v>0</v>
      </c>
      <c r="H365" s="82">
        <f t="shared" si="1"/>
        <v>0</v>
      </c>
      <c r="I365" s="82">
        <f t="shared" si="2"/>
        <v>0</v>
      </c>
      <c r="J365" s="82">
        <f>IFERROR( SUMIFS('Stock In'!I:I,'Stock In'!B:B,$A365,'Stock In'!C:C,$B365,'Stock In'!D:D,$C365,'Stock In'!E:E,$D365) / SUMIFS('Stock In'!H:H,'Stock In'!B:B,$A365,'Stock In'!C:C,$B365,'Stock In'!D:D,$C365,'Stock In'!E:E,$D365), 0)</f>
        <v>0</v>
      </c>
      <c r="K365" s="82">
        <f t="shared" si="3"/>
        <v>0</v>
      </c>
    </row>
    <row r="366">
      <c r="A366" s="80"/>
      <c r="B366" s="80"/>
      <c r="C366" s="80"/>
      <c r="D366" s="80"/>
      <c r="E366" s="82">
        <f>IFERROR(SUMIFS('Stock In'!F:F,'Stock In'!B:B,$A366,'Stock In'!C:C,$B366,'Stock In'!D:D,$C366,'Stock In'!E:E,$D366),0)</f>
        <v>0</v>
      </c>
      <c r="F366" s="82">
        <f>IFERROR(SUMIFS(Issues!H:H, Issues!F:F, $A366, Issues!C:C, $B366, Issues!D:D, $C366, Issues!E:E, $D366), 0)</f>
        <v>0</v>
      </c>
      <c r="G366" s="82">
        <f>IFERROR(SUMIFS(Returns!H:H, Returns!F:F, $A366, Returns!C:C, $B366, Returns!D:D, $C366, Returns!E:E, $D366), 0)</f>
        <v>0</v>
      </c>
      <c r="H366" s="82">
        <f t="shared" si="1"/>
        <v>0</v>
      </c>
      <c r="I366" s="82">
        <f t="shared" si="2"/>
        <v>0</v>
      </c>
      <c r="J366" s="82">
        <f>IFERROR( SUMIFS('Stock In'!I:I,'Stock In'!B:B,$A366,'Stock In'!C:C,$B366,'Stock In'!D:D,$C366,'Stock In'!E:E,$D366) / SUMIFS('Stock In'!H:H,'Stock In'!B:B,$A366,'Stock In'!C:C,$B366,'Stock In'!D:D,$C366,'Stock In'!E:E,$D366), 0)</f>
        <v>0</v>
      </c>
      <c r="K366" s="82">
        <f t="shared" si="3"/>
        <v>0</v>
      </c>
    </row>
    <row r="367">
      <c r="A367" s="80"/>
      <c r="B367" s="80"/>
      <c r="C367" s="80"/>
      <c r="D367" s="80"/>
      <c r="E367" s="82">
        <f>IFERROR(SUMIFS('Stock In'!F:F,'Stock In'!B:B,$A367,'Stock In'!C:C,$B367,'Stock In'!D:D,$C367,'Stock In'!E:E,$D367),0)</f>
        <v>0</v>
      </c>
      <c r="F367" s="82">
        <f>IFERROR(SUMIFS(Issues!H:H, Issues!F:F, $A367, Issues!C:C, $B367, Issues!D:D, $C367, Issues!E:E, $D367), 0)</f>
        <v>0</v>
      </c>
      <c r="G367" s="82">
        <f>IFERROR(SUMIFS(Returns!H:H, Returns!F:F, $A367, Returns!C:C, $B367, Returns!D:D, $C367, Returns!E:E, $D367), 0)</f>
        <v>0</v>
      </c>
      <c r="H367" s="82">
        <f t="shared" si="1"/>
        <v>0</v>
      </c>
      <c r="I367" s="82">
        <f t="shared" si="2"/>
        <v>0</v>
      </c>
      <c r="J367" s="82">
        <f>IFERROR( SUMIFS('Stock In'!I:I,'Stock In'!B:B,$A367,'Stock In'!C:C,$B367,'Stock In'!D:D,$C367,'Stock In'!E:E,$D367) / SUMIFS('Stock In'!H:H,'Stock In'!B:B,$A367,'Stock In'!C:C,$B367,'Stock In'!D:D,$C367,'Stock In'!E:E,$D367), 0)</f>
        <v>0</v>
      </c>
      <c r="K367" s="82">
        <f t="shared" si="3"/>
        <v>0</v>
      </c>
    </row>
    <row r="368">
      <c r="A368" s="80"/>
      <c r="B368" s="80"/>
      <c r="C368" s="80"/>
      <c r="D368" s="80"/>
      <c r="E368" s="82">
        <f>IFERROR(SUMIFS('Stock In'!F:F,'Stock In'!B:B,$A368,'Stock In'!C:C,$B368,'Stock In'!D:D,$C368,'Stock In'!E:E,$D368),0)</f>
        <v>0</v>
      </c>
      <c r="F368" s="82">
        <f>IFERROR(SUMIFS(Issues!H:H, Issues!F:F, $A368, Issues!C:C, $B368, Issues!D:D, $C368, Issues!E:E, $D368), 0)</f>
        <v>0</v>
      </c>
      <c r="G368" s="82">
        <f>IFERROR(SUMIFS(Returns!H:H, Returns!F:F, $A368, Returns!C:C, $B368, Returns!D:D, $C368, Returns!E:E, $D368), 0)</f>
        <v>0</v>
      </c>
      <c r="H368" s="82">
        <f t="shared" si="1"/>
        <v>0</v>
      </c>
      <c r="I368" s="82">
        <f t="shared" si="2"/>
        <v>0</v>
      </c>
      <c r="J368" s="82">
        <f>IFERROR( SUMIFS('Stock In'!I:I,'Stock In'!B:B,$A368,'Stock In'!C:C,$B368,'Stock In'!D:D,$C368,'Stock In'!E:E,$D368) / SUMIFS('Stock In'!H:H,'Stock In'!B:B,$A368,'Stock In'!C:C,$B368,'Stock In'!D:D,$C368,'Stock In'!E:E,$D368), 0)</f>
        <v>0</v>
      </c>
      <c r="K368" s="82">
        <f t="shared" si="3"/>
        <v>0</v>
      </c>
    </row>
    <row r="369">
      <c r="A369" s="80"/>
      <c r="B369" s="80"/>
      <c r="C369" s="80"/>
      <c r="D369" s="80"/>
      <c r="E369" s="82">
        <f>IFERROR(SUMIFS('Stock In'!F:F,'Stock In'!B:B,$A369,'Stock In'!C:C,$B369,'Stock In'!D:D,$C369,'Stock In'!E:E,$D369),0)</f>
        <v>0</v>
      </c>
      <c r="F369" s="82">
        <f>IFERROR(SUMIFS(Issues!H:H, Issues!F:F, $A369, Issues!C:C, $B369, Issues!D:D, $C369, Issues!E:E, $D369), 0)</f>
        <v>0</v>
      </c>
      <c r="G369" s="82">
        <f>IFERROR(SUMIFS(Returns!H:H, Returns!F:F, $A369, Returns!C:C, $B369, Returns!D:D, $C369, Returns!E:E, $D369), 0)</f>
        <v>0</v>
      </c>
      <c r="H369" s="82">
        <f t="shared" si="1"/>
        <v>0</v>
      </c>
      <c r="I369" s="82">
        <f t="shared" si="2"/>
        <v>0</v>
      </c>
      <c r="J369" s="82">
        <f>IFERROR( SUMIFS('Stock In'!I:I,'Stock In'!B:B,$A369,'Stock In'!C:C,$B369,'Stock In'!D:D,$C369,'Stock In'!E:E,$D369) / SUMIFS('Stock In'!H:H,'Stock In'!B:B,$A369,'Stock In'!C:C,$B369,'Stock In'!D:D,$C369,'Stock In'!E:E,$D369), 0)</f>
        <v>0</v>
      </c>
      <c r="K369" s="82">
        <f t="shared" si="3"/>
        <v>0</v>
      </c>
    </row>
    <row r="370">
      <c r="A370" s="80"/>
      <c r="B370" s="80"/>
      <c r="C370" s="80"/>
      <c r="D370" s="80"/>
      <c r="E370" s="82">
        <f>IFERROR(SUMIFS('Stock In'!F:F,'Stock In'!B:B,$A370,'Stock In'!C:C,$B370,'Stock In'!D:D,$C370,'Stock In'!E:E,$D370),0)</f>
        <v>0</v>
      </c>
      <c r="F370" s="82">
        <f>IFERROR(SUMIFS(Issues!H:H, Issues!F:F, $A370, Issues!C:C, $B370, Issues!D:D, $C370, Issues!E:E, $D370), 0)</f>
        <v>0</v>
      </c>
      <c r="G370" s="82">
        <f>IFERROR(SUMIFS(Returns!H:H, Returns!F:F, $A370, Returns!C:C, $B370, Returns!D:D, $C370, Returns!E:E, $D370), 0)</f>
        <v>0</v>
      </c>
      <c r="H370" s="82">
        <f t="shared" si="1"/>
        <v>0</v>
      </c>
      <c r="I370" s="82">
        <f t="shared" si="2"/>
        <v>0</v>
      </c>
      <c r="J370" s="82">
        <f>IFERROR( SUMIFS('Stock In'!I:I,'Stock In'!B:B,$A370,'Stock In'!C:C,$B370,'Stock In'!D:D,$C370,'Stock In'!E:E,$D370) / SUMIFS('Stock In'!H:H,'Stock In'!B:B,$A370,'Stock In'!C:C,$B370,'Stock In'!D:D,$C370,'Stock In'!E:E,$D370), 0)</f>
        <v>0</v>
      </c>
      <c r="K370" s="82">
        <f t="shared" si="3"/>
        <v>0</v>
      </c>
    </row>
    <row r="371">
      <c r="A371" s="80"/>
      <c r="B371" s="80"/>
      <c r="C371" s="80"/>
      <c r="D371" s="80"/>
      <c r="E371" s="82">
        <f>IFERROR(SUMIFS('Stock In'!F:F,'Stock In'!B:B,$A371,'Stock In'!C:C,$B371,'Stock In'!D:D,$C371,'Stock In'!E:E,$D371),0)</f>
        <v>0</v>
      </c>
      <c r="F371" s="82">
        <f>IFERROR(SUMIFS(Issues!H:H, Issues!F:F, $A371, Issues!C:C, $B371, Issues!D:D, $C371, Issues!E:E, $D371), 0)</f>
        <v>0</v>
      </c>
      <c r="G371" s="82">
        <f>IFERROR(SUMIFS(Returns!H:H, Returns!F:F, $A371, Returns!C:C, $B371, Returns!D:D, $C371, Returns!E:E, $D371), 0)</f>
        <v>0</v>
      </c>
      <c r="H371" s="82">
        <f t="shared" si="1"/>
        <v>0</v>
      </c>
      <c r="I371" s="82">
        <f t="shared" si="2"/>
        <v>0</v>
      </c>
      <c r="J371" s="82">
        <f>IFERROR( SUMIFS('Stock In'!I:I,'Stock In'!B:B,$A371,'Stock In'!C:C,$B371,'Stock In'!D:D,$C371,'Stock In'!E:E,$D371) / SUMIFS('Stock In'!H:H,'Stock In'!B:B,$A371,'Stock In'!C:C,$B371,'Stock In'!D:D,$C371,'Stock In'!E:E,$D371), 0)</f>
        <v>0</v>
      </c>
      <c r="K371" s="82">
        <f t="shared" si="3"/>
        <v>0</v>
      </c>
    </row>
    <row r="372">
      <c r="A372" s="80"/>
      <c r="B372" s="80"/>
      <c r="C372" s="80"/>
      <c r="D372" s="80"/>
      <c r="E372" s="82">
        <f>IFERROR(SUMIFS('Stock In'!F:F,'Stock In'!B:B,$A372,'Stock In'!C:C,$B372,'Stock In'!D:D,$C372,'Stock In'!E:E,$D372),0)</f>
        <v>0</v>
      </c>
      <c r="F372" s="82">
        <f>IFERROR(SUMIFS(Issues!H:H, Issues!F:F, $A372, Issues!C:C, $B372, Issues!D:D, $C372, Issues!E:E, $D372), 0)</f>
        <v>0</v>
      </c>
      <c r="G372" s="82">
        <f>IFERROR(SUMIFS(Returns!H:H, Returns!F:F, $A372, Returns!C:C, $B372, Returns!D:D, $C372, Returns!E:E, $D372), 0)</f>
        <v>0</v>
      </c>
      <c r="H372" s="82">
        <f t="shared" si="1"/>
        <v>0</v>
      </c>
      <c r="I372" s="82">
        <f t="shared" si="2"/>
        <v>0</v>
      </c>
      <c r="J372" s="82">
        <f>IFERROR( SUMIFS('Stock In'!I:I,'Stock In'!B:B,$A372,'Stock In'!C:C,$B372,'Stock In'!D:D,$C372,'Stock In'!E:E,$D372) / SUMIFS('Stock In'!H:H,'Stock In'!B:B,$A372,'Stock In'!C:C,$B372,'Stock In'!D:D,$C372,'Stock In'!E:E,$D372), 0)</f>
        <v>0</v>
      </c>
      <c r="K372" s="82">
        <f t="shared" si="3"/>
        <v>0</v>
      </c>
    </row>
    <row r="373">
      <c r="A373" s="80"/>
      <c r="B373" s="80"/>
      <c r="C373" s="80"/>
      <c r="D373" s="80"/>
      <c r="E373" s="82">
        <f>IFERROR(SUMIFS('Stock In'!F:F,'Stock In'!B:B,$A373,'Stock In'!C:C,$B373,'Stock In'!D:D,$C373,'Stock In'!E:E,$D373),0)</f>
        <v>0</v>
      </c>
      <c r="F373" s="82">
        <f>IFERROR(SUMIFS(Issues!H:H, Issues!F:F, $A373, Issues!C:C, $B373, Issues!D:D, $C373, Issues!E:E, $D373), 0)</f>
        <v>0</v>
      </c>
      <c r="G373" s="82">
        <f>IFERROR(SUMIFS(Returns!H:H, Returns!F:F, $A373, Returns!C:C, $B373, Returns!D:D, $C373, Returns!E:E, $D373), 0)</f>
        <v>0</v>
      </c>
      <c r="H373" s="82">
        <f t="shared" si="1"/>
        <v>0</v>
      </c>
      <c r="I373" s="82">
        <f t="shared" si="2"/>
        <v>0</v>
      </c>
      <c r="J373" s="82">
        <f>IFERROR( SUMIFS('Stock In'!I:I,'Stock In'!B:B,$A373,'Stock In'!C:C,$B373,'Stock In'!D:D,$C373,'Stock In'!E:E,$D373) / SUMIFS('Stock In'!H:H,'Stock In'!B:B,$A373,'Stock In'!C:C,$B373,'Stock In'!D:D,$C373,'Stock In'!E:E,$D373), 0)</f>
        <v>0</v>
      </c>
      <c r="K373" s="82">
        <f t="shared" si="3"/>
        <v>0</v>
      </c>
    </row>
    <row r="374">
      <c r="A374" s="80"/>
      <c r="B374" s="80"/>
      <c r="C374" s="80"/>
      <c r="D374" s="80"/>
      <c r="E374" s="82">
        <f>IFERROR(SUMIFS('Stock In'!F:F,'Stock In'!B:B,$A374,'Stock In'!C:C,$B374,'Stock In'!D:D,$C374,'Stock In'!E:E,$D374),0)</f>
        <v>0</v>
      </c>
      <c r="F374" s="82">
        <f>IFERROR(SUMIFS(Issues!H:H, Issues!F:F, $A374, Issues!C:C, $B374, Issues!D:D, $C374, Issues!E:E, $D374), 0)</f>
        <v>0</v>
      </c>
      <c r="G374" s="82">
        <f>IFERROR(SUMIFS(Returns!H:H, Returns!F:F, $A374, Returns!C:C, $B374, Returns!D:D, $C374, Returns!E:E, $D374), 0)</f>
        <v>0</v>
      </c>
      <c r="H374" s="82">
        <f t="shared" si="1"/>
        <v>0</v>
      </c>
      <c r="I374" s="82">
        <f t="shared" si="2"/>
        <v>0</v>
      </c>
      <c r="J374" s="82">
        <f>IFERROR( SUMIFS('Stock In'!I:I,'Stock In'!B:B,$A374,'Stock In'!C:C,$B374,'Stock In'!D:D,$C374,'Stock In'!E:E,$D374) / SUMIFS('Stock In'!H:H,'Stock In'!B:B,$A374,'Stock In'!C:C,$B374,'Stock In'!D:D,$C374,'Stock In'!E:E,$D374), 0)</f>
        <v>0</v>
      </c>
      <c r="K374" s="82">
        <f t="shared" si="3"/>
        <v>0</v>
      </c>
    </row>
    <row r="375">
      <c r="A375" s="80"/>
      <c r="B375" s="80"/>
      <c r="C375" s="80"/>
      <c r="D375" s="80"/>
      <c r="E375" s="82">
        <f>IFERROR(SUMIFS('Stock In'!F:F,'Stock In'!B:B,$A375,'Stock In'!C:C,$B375,'Stock In'!D:D,$C375,'Stock In'!E:E,$D375),0)</f>
        <v>0</v>
      </c>
      <c r="F375" s="82">
        <f>IFERROR(SUMIFS(Issues!H:H, Issues!F:F, $A375, Issues!C:C, $B375, Issues!D:D, $C375, Issues!E:E, $D375), 0)</f>
        <v>0</v>
      </c>
      <c r="G375" s="82">
        <f>IFERROR(SUMIFS(Returns!H:H, Returns!F:F, $A375, Returns!C:C, $B375, Returns!D:D, $C375, Returns!E:E, $D375), 0)</f>
        <v>0</v>
      </c>
      <c r="H375" s="82">
        <f t="shared" si="1"/>
        <v>0</v>
      </c>
      <c r="I375" s="82">
        <f t="shared" si="2"/>
        <v>0</v>
      </c>
      <c r="J375" s="82">
        <f>IFERROR( SUMIFS('Stock In'!I:I,'Stock In'!B:B,$A375,'Stock In'!C:C,$B375,'Stock In'!D:D,$C375,'Stock In'!E:E,$D375) / SUMIFS('Stock In'!H:H,'Stock In'!B:B,$A375,'Stock In'!C:C,$B375,'Stock In'!D:D,$C375,'Stock In'!E:E,$D375), 0)</f>
        <v>0</v>
      </c>
      <c r="K375" s="82">
        <f t="shared" si="3"/>
        <v>0</v>
      </c>
    </row>
    <row r="376">
      <c r="A376" s="80"/>
      <c r="B376" s="80"/>
      <c r="C376" s="80"/>
      <c r="D376" s="80"/>
      <c r="E376" s="82">
        <f>IFERROR(SUMIFS('Stock In'!F:F,'Stock In'!B:B,$A376,'Stock In'!C:C,$B376,'Stock In'!D:D,$C376,'Stock In'!E:E,$D376),0)</f>
        <v>0</v>
      </c>
      <c r="F376" s="82">
        <f>IFERROR(SUMIFS(Issues!H:H, Issues!F:F, $A376, Issues!C:C, $B376, Issues!D:D, $C376, Issues!E:E, $D376), 0)</f>
        <v>0</v>
      </c>
      <c r="G376" s="82">
        <f>IFERROR(SUMIFS(Returns!H:H, Returns!F:F, $A376, Returns!C:C, $B376, Returns!D:D, $C376, Returns!E:E, $D376), 0)</f>
        <v>0</v>
      </c>
      <c r="H376" s="82">
        <f t="shared" si="1"/>
        <v>0</v>
      </c>
      <c r="I376" s="82">
        <f t="shared" si="2"/>
        <v>0</v>
      </c>
      <c r="J376" s="82">
        <f>IFERROR( SUMIFS('Stock In'!I:I,'Stock In'!B:B,$A376,'Stock In'!C:C,$B376,'Stock In'!D:D,$C376,'Stock In'!E:E,$D376) / SUMIFS('Stock In'!H:H,'Stock In'!B:B,$A376,'Stock In'!C:C,$B376,'Stock In'!D:D,$C376,'Stock In'!E:E,$D376), 0)</f>
        <v>0</v>
      </c>
      <c r="K376" s="82">
        <f t="shared" si="3"/>
        <v>0</v>
      </c>
    </row>
    <row r="377">
      <c r="A377" s="80"/>
      <c r="B377" s="80"/>
      <c r="C377" s="80"/>
      <c r="D377" s="80"/>
      <c r="E377" s="82">
        <f>IFERROR(SUMIFS('Stock In'!F:F,'Stock In'!B:B,$A377,'Stock In'!C:C,$B377,'Stock In'!D:D,$C377,'Stock In'!E:E,$D377),0)</f>
        <v>0</v>
      </c>
      <c r="F377" s="82">
        <f>IFERROR(SUMIFS(Issues!H:H, Issues!F:F, $A377, Issues!C:C, $B377, Issues!D:D, $C377, Issues!E:E, $D377), 0)</f>
        <v>0</v>
      </c>
      <c r="G377" s="82">
        <f>IFERROR(SUMIFS(Returns!H:H, Returns!F:F, $A377, Returns!C:C, $B377, Returns!D:D, $C377, Returns!E:E, $D377), 0)</f>
        <v>0</v>
      </c>
      <c r="H377" s="82">
        <f t="shared" si="1"/>
        <v>0</v>
      </c>
      <c r="I377" s="82">
        <f t="shared" si="2"/>
        <v>0</v>
      </c>
      <c r="J377" s="82">
        <f>IFERROR( SUMIFS('Stock In'!I:I,'Stock In'!B:B,$A377,'Stock In'!C:C,$B377,'Stock In'!D:D,$C377,'Stock In'!E:E,$D377) / SUMIFS('Stock In'!H:H,'Stock In'!B:B,$A377,'Stock In'!C:C,$B377,'Stock In'!D:D,$C377,'Stock In'!E:E,$D377), 0)</f>
        <v>0</v>
      </c>
      <c r="K377" s="82">
        <f t="shared" si="3"/>
        <v>0</v>
      </c>
    </row>
    <row r="378">
      <c r="A378" s="80"/>
      <c r="B378" s="80"/>
      <c r="C378" s="80"/>
      <c r="D378" s="80"/>
      <c r="E378" s="82">
        <f>IFERROR(SUMIFS('Stock In'!F:F,'Stock In'!B:B,$A378,'Stock In'!C:C,$B378,'Stock In'!D:D,$C378,'Stock In'!E:E,$D378),0)</f>
        <v>0</v>
      </c>
      <c r="F378" s="82">
        <f>IFERROR(SUMIFS(Issues!H:H, Issues!F:F, $A378, Issues!C:C, $B378, Issues!D:D, $C378, Issues!E:E, $D378), 0)</f>
        <v>0</v>
      </c>
      <c r="G378" s="82">
        <f>IFERROR(SUMIFS(Returns!H:H, Returns!F:F, $A378, Returns!C:C, $B378, Returns!D:D, $C378, Returns!E:E, $D378), 0)</f>
        <v>0</v>
      </c>
      <c r="H378" s="82">
        <f t="shared" si="1"/>
        <v>0</v>
      </c>
      <c r="I378" s="82">
        <f t="shared" si="2"/>
        <v>0</v>
      </c>
      <c r="J378" s="82">
        <f>IFERROR( SUMIFS('Stock In'!I:I,'Stock In'!B:B,$A378,'Stock In'!C:C,$B378,'Stock In'!D:D,$C378,'Stock In'!E:E,$D378) / SUMIFS('Stock In'!H:H,'Stock In'!B:B,$A378,'Stock In'!C:C,$B378,'Stock In'!D:D,$C378,'Stock In'!E:E,$D378), 0)</f>
        <v>0</v>
      </c>
      <c r="K378" s="82">
        <f t="shared" si="3"/>
        <v>0</v>
      </c>
    </row>
    <row r="379">
      <c r="A379" s="80"/>
      <c r="B379" s="80"/>
      <c r="C379" s="80"/>
      <c r="D379" s="80"/>
      <c r="E379" s="82">
        <f>IFERROR(SUMIFS('Stock In'!F:F,'Stock In'!B:B,$A379,'Stock In'!C:C,$B379,'Stock In'!D:D,$C379,'Stock In'!E:E,$D379),0)</f>
        <v>0</v>
      </c>
      <c r="F379" s="82">
        <f>IFERROR(SUMIFS(Issues!H:H, Issues!F:F, $A379, Issues!C:C, $B379, Issues!D:D, $C379, Issues!E:E, $D379), 0)</f>
        <v>0</v>
      </c>
      <c r="G379" s="82">
        <f>IFERROR(SUMIFS(Returns!H:H, Returns!F:F, $A379, Returns!C:C, $B379, Returns!D:D, $C379, Returns!E:E, $D379), 0)</f>
        <v>0</v>
      </c>
      <c r="H379" s="82">
        <f t="shared" si="1"/>
        <v>0</v>
      </c>
      <c r="I379" s="82">
        <f t="shared" si="2"/>
        <v>0</v>
      </c>
      <c r="J379" s="82">
        <f>IFERROR( SUMIFS('Stock In'!I:I,'Stock In'!B:B,$A379,'Stock In'!C:C,$B379,'Stock In'!D:D,$C379,'Stock In'!E:E,$D379) / SUMIFS('Stock In'!H:H,'Stock In'!B:B,$A379,'Stock In'!C:C,$B379,'Stock In'!D:D,$C379,'Stock In'!E:E,$D379), 0)</f>
        <v>0</v>
      </c>
      <c r="K379" s="82">
        <f t="shared" si="3"/>
        <v>0</v>
      </c>
    </row>
    <row r="380">
      <c r="A380" s="80"/>
      <c r="B380" s="80"/>
      <c r="C380" s="80"/>
      <c r="D380" s="80"/>
      <c r="E380" s="82">
        <f>IFERROR(SUMIFS('Stock In'!F:F,'Stock In'!B:B,$A380,'Stock In'!C:C,$B380,'Stock In'!D:D,$C380,'Stock In'!E:E,$D380),0)</f>
        <v>0</v>
      </c>
      <c r="F380" s="82">
        <f>IFERROR(SUMIFS(Issues!H:H, Issues!F:F, $A380, Issues!C:C, $B380, Issues!D:D, $C380, Issues!E:E, $D380), 0)</f>
        <v>0</v>
      </c>
      <c r="G380" s="82">
        <f>IFERROR(SUMIFS(Returns!H:H, Returns!F:F, $A380, Returns!C:C, $B380, Returns!D:D, $C380, Returns!E:E, $D380), 0)</f>
        <v>0</v>
      </c>
      <c r="H380" s="82">
        <f t="shared" si="1"/>
        <v>0</v>
      </c>
      <c r="I380" s="82">
        <f t="shared" si="2"/>
        <v>0</v>
      </c>
      <c r="J380" s="82">
        <f>IFERROR( SUMIFS('Stock In'!I:I,'Stock In'!B:B,$A380,'Stock In'!C:C,$B380,'Stock In'!D:D,$C380,'Stock In'!E:E,$D380) / SUMIFS('Stock In'!H:H,'Stock In'!B:B,$A380,'Stock In'!C:C,$B380,'Stock In'!D:D,$C380,'Stock In'!E:E,$D380), 0)</f>
        <v>0</v>
      </c>
      <c r="K380" s="82">
        <f t="shared" si="3"/>
        <v>0</v>
      </c>
    </row>
    <row r="381">
      <c r="A381" s="80"/>
      <c r="B381" s="80"/>
      <c r="C381" s="80"/>
      <c r="D381" s="80"/>
      <c r="E381" s="82">
        <f>IFERROR(SUMIFS('Stock In'!F:F,'Stock In'!B:B,$A381,'Stock In'!C:C,$B381,'Stock In'!D:D,$C381,'Stock In'!E:E,$D381),0)</f>
        <v>0</v>
      </c>
      <c r="F381" s="82">
        <f>IFERROR(SUMIFS(Issues!H:H, Issues!F:F, $A381, Issues!C:C, $B381, Issues!D:D, $C381, Issues!E:E, $D381), 0)</f>
        <v>0</v>
      </c>
      <c r="G381" s="82">
        <f>IFERROR(SUMIFS(Returns!H:H, Returns!F:F, $A381, Returns!C:C, $B381, Returns!D:D, $C381, Returns!E:E, $D381), 0)</f>
        <v>0</v>
      </c>
      <c r="H381" s="82">
        <f t="shared" si="1"/>
        <v>0</v>
      </c>
      <c r="I381" s="82">
        <f t="shared" si="2"/>
        <v>0</v>
      </c>
      <c r="J381" s="82">
        <f>IFERROR( SUMIFS('Stock In'!I:I,'Stock In'!B:B,$A381,'Stock In'!C:C,$B381,'Stock In'!D:D,$C381,'Stock In'!E:E,$D381) / SUMIFS('Stock In'!H:H,'Stock In'!B:B,$A381,'Stock In'!C:C,$B381,'Stock In'!D:D,$C381,'Stock In'!E:E,$D381), 0)</f>
        <v>0</v>
      </c>
      <c r="K381" s="82">
        <f t="shared" si="3"/>
        <v>0</v>
      </c>
    </row>
    <row r="382">
      <c r="A382" s="80"/>
      <c r="B382" s="80"/>
      <c r="C382" s="80"/>
      <c r="D382" s="80"/>
      <c r="E382" s="82">
        <f>IFERROR(SUMIFS('Stock In'!F:F,'Stock In'!B:B,$A382,'Stock In'!C:C,$B382,'Stock In'!D:D,$C382,'Stock In'!E:E,$D382),0)</f>
        <v>0</v>
      </c>
      <c r="F382" s="82">
        <f>IFERROR(SUMIFS(Issues!H:H, Issues!F:F, $A382, Issues!C:C, $B382, Issues!D:D, $C382, Issues!E:E, $D382), 0)</f>
        <v>0</v>
      </c>
      <c r="G382" s="82">
        <f>IFERROR(SUMIFS(Returns!H:H, Returns!F:F, $A382, Returns!C:C, $B382, Returns!D:D, $C382, Returns!E:E, $D382), 0)</f>
        <v>0</v>
      </c>
      <c r="H382" s="82">
        <f t="shared" si="1"/>
        <v>0</v>
      </c>
      <c r="I382" s="82">
        <f t="shared" si="2"/>
        <v>0</v>
      </c>
      <c r="J382" s="82">
        <f>IFERROR( SUMIFS('Stock In'!I:I,'Stock In'!B:B,$A382,'Stock In'!C:C,$B382,'Stock In'!D:D,$C382,'Stock In'!E:E,$D382) / SUMIFS('Stock In'!H:H,'Stock In'!B:B,$A382,'Stock In'!C:C,$B382,'Stock In'!D:D,$C382,'Stock In'!E:E,$D382), 0)</f>
        <v>0</v>
      </c>
      <c r="K382" s="82">
        <f t="shared" si="3"/>
        <v>0</v>
      </c>
    </row>
    <row r="383">
      <c r="A383" s="80"/>
      <c r="B383" s="80"/>
      <c r="C383" s="80"/>
      <c r="D383" s="80"/>
      <c r="E383" s="82">
        <f>IFERROR(SUMIFS('Stock In'!F:F,'Stock In'!B:B,$A383,'Stock In'!C:C,$B383,'Stock In'!D:D,$C383,'Stock In'!E:E,$D383),0)</f>
        <v>0</v>
      </c>
      <c r="F383" s="82">
        <f>IFERROR(SUMIFS(Issues!H:H, Issues!F:F, $A383, Issues!C:C, $B383, Issues!D:D, $C383, Issues!E:E, $D383), 0)</f>
        <v>0</v>
      </c>
      <c r="G383" s="82">
        <f>IFERROR(SUMIFS(Returns!H:H, Returns!F:F, $A383, Returns!C:C, $B383, Returns!D:D, $C383, Returns!E:E, $D383), 0)</f>
        <v>0</v>
      </c>
      <c r="H383" s="82">
        <f t="shared" si="1"/>
        <v>0</v>
      </c>
      <c r="I383" s="82">
        <f t="shared" si="2"/>
        <v>0</v>
      </c>
      <c r="J383" s="82">
        <f>IFERROR( SUMIFS('Stock In'!I:I,'Stock In'!B:B,$A383,'Stock In'!C:C,$B383,'Stock In'!D:D,$C383,'Stock In'!E:E,$D383) / SUMIFS('Stock In'!H:H,'Stock In'!B:B,$A383,'Stock In'!C:C,$B383,'Stock In'!D:D,$C383,'Stock In'!E:E,$D383), 0)</f>
        <v>0</v>
      </c>
      <c r="K383" s="82">
        <f t="shared" si="3"/>
        <v>0</v>
      </c>
    </row>
    <row r="384">
      <c r="A384" s="80"/>
      <c r="B384" s="80"/>
      <c r="C384" s="80"/>
      <c r="D384" s="80"/>
      <c r="E384" s="82">
        <f>IFERROR(SUMIFS('Stock In'!F:F,'Stock In'!B:B,$A384,'Stock In'!C:C,$B384,'Stock In'!D:D,$C384,'Stock In'!E:E,$D384),0)</f>
        <v>0</v>
      </c>
      <c r="F384" s="82">
        <f>IFERROR(SUMIFS(Issues!H:H, Issues!F:F, $A384, Issues!C:C, $B384, Issues!D:D, $C384, Issues!E:E, $D384), 0)</f>
        <v>0</v>
      </c>
      <c r="G384" s="82">
        <f>IFERROR(SUMIFS(Returns!H:H, Returns!F:F, $A384, Returns!C:C, $B384, Returns!D:D, $C384, Returns!E:E, $D384), 0)</f>
        <v>0</v>
      </c>
      <c r="H384" s="82">
        <f t="shared" si="1"/>
        <v>0</v>
      </c>
      <c r="I384" s="82">
        <f t="shared" si="2"/>
        <v>0</v>
      </c>
      <c r="J384" s="82">
        <f>IFERROR( SUMIFS('Stock In'!I:I,'Stock In'!B:B,$A384,'Stock In'!C:C,$B384,'Stock In'!D:D,$C384,'Stock In'!E:E,$D384) / SUMIFS('Stock In'!H:H,'Stock In'!B:B,$A384,'Stock In'!C:C,$B384,'Stock In'!D:D,$C384,'Stock In'!E:E,$D384), 0)</f>
        <v>0</v>
      </c>
      <c r="K384" s="82">
        <f t="shared" si="3"/>
        <v>0</v>
      </c>
    </row>
    <row r="385">
      <c r="A385" s="80"/>
      <c r="B385" s="80"/>
      <c r="C385" s="80"/>
      <c r="D385" s="80"/>
      <c r="E385" s="82">
        <f>IFERROR(SUMIFS('Stock In'!F:F,'Stock In'!B:B,$A385,'Stock In'!C:C,$B385,'Stock In'!D:D,$C385,'Stock In'!E:E,$D385),0)</f>
        <v>0</v>
      </c>
      <c r="F385" s="82">
        <f>IFERROR(SUMIFS(Issues!H:H, Issues!F:F, $A385, Issues!C:C, $B385, Issues!D:D, $C385, Issues!E:E, $D385), 0)</f>
        <v>0</v>
      </c>
      <c r="G385" s="82">
        <f>IFERROR(SUMIFS(Returns!H:H, Returns!F:F, $A385, Returns!C:C, $B385, Returns!D:D, $C385, Returns!E:E, $D385), 0)</f>
        <v>0</v>
      </c>
      <c r="H385" s="82">
        <f t="shared" si="1"/>
        <v>0</v>
      </c>
      <c r="I385" s="82">
        <f t="shared" si="2"/>
        <v>0</v>
      </c>
      <c r="J385" s="82">
        <f>IFERROR( SUMIFS('Stock In'!I:I,'Stock In'!B:B,$A385,'Stock In'!C:C,$B385,'Stock In'!D:D,$C385,'Stock In'!E:E,$D385) / SUMIFS('Stock In'!H:H,'Stock In'!B:B,$A385,'Stock In'!C:C,$B385,'Stock In'!D:D,$C385,'Stock In'!E:E,$D385), 0)</f>
        <v>0</v>
      </c>
      <c r="K385" s="82">
        <f t="shared" si="3"/>
        <v>0</v>
      </c>
    </row>
    <row r="386">
      <c r="A386" s="80"/>
      <c r="B386" s="80"/>
      <c r="C386" s="80"/>
      <c r="D386" s="80"/>
      <c r="E386" s="82">
        <f>IFERROR(SUMIFS('Stock In'!F:F,'Stock In'!B:B,$A386,'Stock In'!C:C,$B386,'Stock In'!D:D,$C386,'Stock In'!E:E,$D386),0)</f>
        <v>0</v>
      </c>
      <c r="F386" s="82">
        <f>IFERROR(SUMIFS(Issues!H:H, Issues!F:F, $A386, Issues!C:C, $B386, Issues!D:D, $C386, Issues!E:E, $D386), 0)</f>
        <v>0</v>
      </c>
      <c r="G386" s="82">
        <f>IFERROR(SUMIFS(Returns!H:H, Returns!F:F, $A386, Returns!C:C, $B386, Returns!D:D, $C386, Returns!E:E, $D386), 0)</f>
        <v>0</v>
      </c>
      <c r="H386" s="82">
        <f t="shared" si="1"/>
        <v>0</v>
      </c>
      <c r="I386" s="82">
        <f t="shared" si="2"/>
        <v>0</v>
      </c>
      <c r="J386" s="82">
        <f>IFERROR( SUMIFS('Stock In'!I:I,'Stock In'!B:B,$A386,'Stock In'!C:C,$B386,'Stock In'!D:D,$C386,'Stock In'!E:E,$D386) / SUMIFS('Stock In'!H:H,'Stock In'!B:B,$A386,'Stock In'!C:C,$B386,'Stock In'!D:D,$C386,'Stock In'!E:E,$D386), 0)</f>
        <v>0</v>
      </c>
      <c r="K386" s="82">
        <f t="shared" si="3"/>
        <v>0</v>
      </c>
    </row>
    <row r="387">
      <c r="A387" s="80"/>
      <c r="B387" s="80"/>
      <c r="C387" s="80"/>
      <c r="D387" s="80"/>
      <c r="E387" s="82">
        <f>IFERROR(SUMIFS('Stock In'!F:F,'Stock In'!B:B,$A387,'Stock In'!C:C,$B387,'Stock In'!D:D,$C387,'Stock In'!E:E,$D387),0)</f>
        <v>0</v>
      </c>
      <c r="F387" s="82">
        <f>IFERROR(SUMIFS(Issues!H:H, Issues!F:F, $A387, Issues!C:C, $B387, Issues!D:D, $C387, Issues!E:E, $D387), 0)</f>
        <v>0</v>
      </c>
      <c r="G387" s="82">
        <f>IFERROR(SUMIFS(Returns!H:H, Returns!F:F, $A387, Returns!C:C, $B387, Returns!D:D, $C387, Returns!E:E, $D387), 0)</f>
        <v>0</v>
      </c>
      <c r="H387" s="82">
        <f t="shared" si="1"/>
        <v>0</v>
      </c>
      <c r="I387" s="82">
        <f t="shared" si="2"/>
        <v>0</v>
      </c>
      <c r="J387" s="82">
        <f>IFERROR( SUMIFS('Stock In'!I:I,'Stock In'!B:B,$A387,'Stock In'!C:C,$B387,'Stock In'!D:D,$C387,'Stock In'!E:E,$D387) / SUMIFS('Stock In'!H:H,'Stock In'!B:B,$A387,'Stock In'!C:C,$B387,'Stock In'!D:D,$C387,'Stock In'!E:E,$D387), 0)</f>
        <v>0</v>
      </c>
      <c r="K387" s="82">
        <f t="shared" si="3"/>
        <v>0</v>
      </c>
    </row>
    <row r="388">
      <c r="A388" s="80"/>
      <c r="B388" s="80"/>
      <c r="C388" s="80"/>
      <c r="D388" s="80"/>
      <c r="E388" s="82">
        <f>IFERROR(SUMIFS('Stock In'!F:F,'Stock In'!B:B,$A388,'Stock In'!C:C,$B388,'Stock In'!D:D,$C388,'Stock In'!E:E,$D388),0)</f>
        <v>0</v>
      </c>
      <c r="F388" s="82">
        <f>IFERROR(SUMIFS(Issues!H:H, Issues!F:F, $A388, Issues!C:C, $B388, Issues!D:D, $C388, Issues!E:E, $D388), 0)</f>
        <v>0</v>
      </c>
      <c r="G388" s="82">
        <f>IFERROR(SUMIFS(Returns!H:H, Returns!F:F, $A388, Returns!C:C, $B388, Returns!D:D, $C388, Returns!E:E, $D388), 0)</f>
        <v>0</v>
      </c>
      <c r="H388" s="82">
        <f t="shared" si="1"/>
        <v>0</v>
      </c>
      <c r="I388" s="82">
        <f t="shared" si="2"/>
        <v>0</v>
      </c>
      <c r="J388" s="82">
        <f>IFERROR( SUMIFS('Stock In'!I:I,'Stock In'!B:B,$A388,'Stock In'!C:C,$B388,'Stock In'!D:D,$C388,'Stock In'!E:E,$D388) / SUMIFS('Stock In'!H:H,'Stock In'!B:B,$A388,'Stock In'!C:C,$B388,'Stock In'!D:D,$C388,'Stock In'!E:E,$D388), 0)</f>
        <v>0</v>
      </c>
      <c r="K388" s="82">
        <f t="shared" si="3"/>
        <v>0</v>
      </c>
    </row>
    <row r="389">
      <c r="A389" s="80"/>
      <c r="B389" s="80"/>
      <c r="C389" s="80"/>
      <c r="D389" s="80"/>
      <c r="E389" s="82">
        <f>IFERROR(SUMIFS('Stock In'!F:F,'Stock In'!B:B,$A389,'Stock In'!C:C,$B389,'Stock In'!D:D,$C389,'Stock In'!E:E,$D389),0)</f>
        <v>0</v>
      </c>
      <c r="F389" s="82">
        <f>IFERROR(SUMIFS(Issues!H:H, Issues!F:F, $A389, Issues!C:C, $B389, Issues!D:D, $C389, Issues!E:E, $D389), 0)</f>
        <v>0</v>
      </c>
      <c r="G389" s="82">
        <f>IFERROR(SUMIFS(Returns!H:H, Returns!F:F, $A389, Returns!C:C, $B389, Returns!D:D, $C389, Returns!E:E, $D389), 0)</f>
        <v>0</v>
      </c>
      <c r="H389" s="82">
        <f t="shared" si="1"/>
        <v>0</v>
      </c>
      <c r="I389" s="82">
        <f t="shared" si="2"/>
        <v>0</v>
      </c>
      <c r="J389" s="82">
        <f>IFERROR( SUMIFS('Stock In'!I:I,'Stock In'!B:B,$A389,'Stock In'!C:C,$B389,'Stock In'!D:D,$C389,'Stock In'!E:E,$D389) / SUMIFS('Stock In'!H:H,'Stock In'!B:B,$A389,'Stock In'!C:C,$B389,'Stock In'!D:D,$C389,'Stock In'!E:E,$D389), 0)</f>
        <v>0</v>
      </c>
      <c r="K389" s="82">
        <f t="shared" si="3"/>
        <v>0</v>
      </c>
    </row>
    <row r="390">
      <c r="A390" s="80"/>
      <c r="B390" s="80"/>
      <c r="C390" s="80"/>
      <c r="D390" s="80"/>
      <c r="E390" s="82">
        <f>IFERROR(SUMIFS('Stock In'!F:F,'Stock In'!B:B,$A390,'Stock In'!C:C,$B390,'Stock In'!D:D,$C390,'Stock In'!E:E,$D390),0)</f>
        <v>0</v>
      </c>
      <c r="F390" s="82">
        <f>IFERROR(SUMIFS(Issues!H:H, Issues!F:F, $A390, Issues!C:C, $B390, Issues!D:D, $C390, Issues!E:E, $D390), 0)</f>
        <v>0</v>
      </c>
      <c r="G390" s="82">
        <f>IFERROR(SUMIFS(Returns!H:H, Returns!F:F, $A390, Returns!C:C, $B390, Returns!D:D, $C390, Returns!E:E, $D390), 0)</f>
        <v>0</v>
      </c>
      <c r="H390" s="82">
        <f t="shared" si="1"/>
        <v>0</v>
      </c>
      <c r="I390" s="82">
        <f t="shared" si="2"/>
        <v>0</v>
      </c>
      <c r="J390" s="82">
        <f>IFERROR( SUMIFS('Stock In'!I:I,'Stock In'!B:B,$A390,'Stock In'!C:C,$B390,'Stock In'!D:D,$C390,'Stock In'!E:E,$D390) / SUMIFS('Stock In'!H:H,'Stock In'!B:B,$A390,'Stock In'!C:C,$B390,'Stock In'!D:D,$C390,'Stock In'!E:E,$D390), 0)</f>
        <v>0</v>
      </c>
      <c r="K390" s="82">
        <f t="shared" si="3"/>
        <v>0</v>
      </c>
    </row>
    <row r="391">
      <c r="A391" s="80"/>
      <c r="B391" s="80"/>
      <c r="C391" s="80"/>
      <c r="D391" s="80"/>
      <c r="E391" s="82">
        <f>IFERROR(SUMIFS('Stock In'!F:F,'Stock In'!B:B,$A391,'Stock In'!C:C,$B391,'Stock In'!D:D,$C391,'Stock In'!E:E,$D391),0)</f>
        <v>0</v>
      </c>
      <c r="F391" s="82">
        <f>IFERROR(SUMIFS(Issues!H:H, Issues!F:F, $A391, Issues!C:C, $B391, Issues!D:D, $C391, Issues!E:E, $D391), 0)</f>
        <v>0</v>
      </c>
      <c r="G391" s="82">
        <f>IFERROR(SUMIFS(Returns!H:H, Returns!F:F, $A391, Returns!C:C, $B391, Returns!D:D, $C391, Returns!E:E, $D391), 0)</f>
        <v>0</v>
      </c>
      <c r="H391" s="82">
        <f t="shared" si="1"/>
        <v>0</v>
      </c>
      <c r="I391" s="82">
        <f t="shared" si="2"/>
        <v>0</v>
      </c>
      <c r="J391" s="82">
        <f>IFERROR( SUMIFS('Stock In'!I:I,'Stock In'!B:B,$A391,'Stock In'!C:C,$B391,'Stock In'!D:D,$C391,'Stock In'!E:E,$D391) / SUMIFS('Stock In'!H:H,'Stock In'!B:B,$A391,'Stock In'!C:C,$B391,'Stock In'!D:D,$C391,'Stock In'!E:E,$D391), 0)</f>
        <v>0</v>
      </c>
      <c r="K391" s="82">
        <f t="shared" si="3"/>
        <v>0</v>
      </c>
    </row>
    <row r="392">
      <c r="A392" s="80"/>
      <c r="B392" s="80"/>
      <c r="C392" s="80"/>
      <c r="D392" s="80"/>
      <c r="E392" s="82">
        <f>IFERROR(SUMIFS('Stock In'!F:F,'Stock In'!B:B,$A392,'Stock In'!C:C,$B392,'Stock In'!D:D,$C392,'Stock In'!E:E,$D392),0)</f>
        <v>0</v>
      </c>
      <c r="F392" s="82">
        <f>IFERROR(SUMIFS(Issues!H:H, Issues!F:F, $A392, Issues!C:C, $B392, Issues!D:D, $C392, Issues!E:E, $D392), 0)</f>
        <v>0</v>
      </c>
      <c r="G392" s="82">
        <f>IFERROR(SUMIFS(Returns!H:H, Returns!F:F, $A392, Returns!C:C, $B392, Returns!D:D, $C392, Returns!E:E, $D392), 0)</f>
        <v>0</v>
      </c>
      <c r="H392" s="82">
        <f t="shared" si="1"/>
        <v>0</v>
      </c>
      <c r="I392" s="82">
        <f t="shared" si="2"/>
        <v>0</v>
      </c>
      <c r="J392" s="82">
        <f>IFERROR( SUMIFS('Stock In'!I:I,'Stock In'!B:B,$A392,'Stock In'!C:C,$B392,'Stock In'!D:D,$C392,'Stock In'!E:E,$D392) / SUMIFS('Stock In'!H:H,'Stock In'!B:B,$A392,'Stock In'!C:C,$B392,'Stock In'!D:D,$C392,'Stock In'!E:E,$D392), 0)</f>
        <v>0</v>
      </c>
      <c r="K392" s="82">
        <f t="shared" si="3"/>
        <v>0</v>
      </c>
    </row>
    <row r="393">
      <c r="A393" s="80"/>
      <c r="B393" s="80"/>
      <c r="C393" s="80"/>
      <c r="D393" s="80"/>
      <c r="E393" s="82">
        <f>IFERROR(SUMIFS('Stock In'!F:F,'Stock In'!B:B,$A393,'Stock In'!C:C,$B393,'Stock In'!D:D,$C393,'Stock In'!E:E,$D393),0)</f>
        <v>0</v>
      </c>
      <c r="F393" s="82">
        <f>IFERROR(SUMIFS(Issues!H:H, Issues!F:F, $A393, Issues!C:C, $B393, Issues!D:D, $C393, Issues!E:E, $D393), 0)</f>
        <v>0</v>
      </c>
      <c r="G393" s="82">
        <f>IFERROR(SUMIFS(Returns!H:H, Returns!F:F, $A393, Returns!C:C, $B393, Returns!D:D, $C393, Returns!E:E, $D393), 0)</f>
        <v>0</v>
      </c>
      <c r="H393" s="82">
        <f t="shared" si="1"/>
        <v>0</v>
      </c>
      <c r="I393" s="82">
        <f t="shared" si="2"/>
        <v>0</v>
      </c>
      <c r="J393" s="82">
        <f>IFERROR( SUMIFS('Stock In'!I:I,'Stock In'!B:B,$A393,'Stock In'!C:C,$B393,'Stock In'!D:D,$C393,'Stock In'!E:E,$D393) / SUMIFS('Stock In'!H:H,'Stock In'!B:B,$A393,'Stock In'!C:C,$B393,'Stock In'!D:D,$C393,'Stock In'!E:E,$D393), 0)</f>
        <v>0</v>
      </c>
      <c r="K393" s="82">
        <f t="shared" si="3"/>
        <v>0</v>
      </c>
    </row>
    <row r="394">
      <c r="A394" s="80"/>
      <c r="B394" s="80"/>
      <c r="C394" s="80"/>
      <c r="D394" s="80"/>
      <c r="E394" s="82">
        <f>IFERROR(SUMIFS('Stock In'!F:F,'Stock In'!B:B,$A394,'Stock In'!C:C,$B394,'Stock In'!D:D,$C394,'Stock In'!E:E,$D394),0)</f>
        <v>0</v>
      </c>
      <c r="F394" s="82">
        <f>IFERROR(SUMIFS(Issues!H:H, Issues!F:F, $A394, Issues!C:C, $B394, Issues!D:D, $C394, Issues!E:E, $D394), 0)</f>
        <v>0</v>
      </c>
      <c r="G394" s="82">
        <f>IFERROR(SUMIFS(Returns!H:H, Returns!F:F, $A394, Returns!C:C, $B394, Returns!D:D, $C394, Returns!E:E, $D394), 0)</f>
        <v>0</v>
      </c>
      <c r="H394" s="82">
        <f t="shared" si="1"/>
        <v>0</v>
      </c>
      <c r="I394" s="82">
        <f t="shared" si="2"/>
        <v>0</v>
      </c>
      <c r="J394" s="82">
        <f>IFERROR( SUMIFS('Stock In'!I:I,'Stock In'!B:B,$A394,'Stock In'!C:C,$B394,'Stock In'!D:D,$C394,'Stock In'!E:E,$D394) / SUMIFS('Stock In'!H:H,'Stock In'!B:B,$A394,'Stock In'!C:C,$B394,'Stock In'!D:D,$C394,'Stock In'!E:E,$D394), 0)</f>
        <v>0</v>
      </c>
      <c r="K394" s="82">
        <f t="shared" si="3"/>
        <v>0</v>
      </c>
    </row>
    <row r="395">
      <c r="A395" s="80"/>
      <c r="B395" s="80"/>
      <c r="C395" s="80"/>
      <c r="D395" s="80"/>
      <c r="E395" s="82">
        <f>IFERROR(SUMIFS('Stock In'!F:F,'Stock In'!B:B,$A395,'Stock In'!C:C,$B395,'Stock In'!D:D,$C395,'Stock In'!E:E,$D395),0)</f>
        <v>0</v>
      </c>
      <c r="F395" s="82">
        <f>IFERROR(SUMIFS(Issues!H:H, Issues!F:F, $A395, Issues!C:C, $B395, Issues!D:D, $C395, Issues!E:E, $D395), 0)</f>
        <v>0</v>
      </c>
      <c r="G395" s="82">
        <f>IFERROR(SUMIFS(Returns!H:H, Returns!F:F, $A395, Returns!C:C, $B395, Returns!D:D, $C395, Returns!E:E, $D395), 0)</f>
        <v>0</v>
      </c>
      <c r="H395" s="82">
        <f t="shared" si="1"/>
        <v>0</v>
      </c>
      <c r="I395" s="82">
        <f t="shared" si="2"/>
        <v>0</v>
      </c>
      <c r="J395" s="82">
        <f>IFERROR( SUMIFS('Stock In'!I:I,'Stock In'!B:B,$A395,'Stock In'!C:C,$B395,'Stock In'!D:D,$C395,'Stock In'!E:E,$D395) / SUMIFS('Stock In'!H:H,'Stock In'!B:B,$A395,'Stock In'!C:C,$B395,'Stock In'!D:D,$C395,'Stock In'!E:E,$D395), 0)</f>
        <v>0</v>
      </c>
      <c r="K395" s="82">
        <f t="shared" si="3"/>
        <v>0</v>
      </c>
    </row>
    <row r="396">
      <c r="A396" s="80"/>
      <c r="B396" s="80"/>
      <c r="C396" s="80"/>
      <c r="D396" s="80"/>
      <c r="E396" s="82">
        <f>IFERROR(SUMIFS('Stock In'!F:F,'Stock In'!B:B,$A396,'Stock In'!C:C,$B396,'Stock In'!D:D,$C396,'Stock In'!E:E,$D396),0)</f>
        <v>0</v>
      </c>
      <c r="F396" s="82">
        <f>IFERROR(SUMIFS(Issues!H:H, Issues!F:F, $A396, Issues!C:C, $B396, Issues!D:D, $C396, Issues!E:E, $D396), 0)</f>
        <v>0</v>
      </c>
      <c r="G396" s="82">
        <f>IFERROR(SUMIFS(Returns!H:H, Returns!F:F, $A396, Returns!C:C, $B396, Returns!D:D, $C396, Returns!E:E, $D396), 0)</f>
        <v>0</v>
      </c>
      <c r="H396" s="82">
        <f t="shared" si="1"/>
        <v>0</v>
      </c>
      <c r="I396" s="82">
        <f t="shared" si="2"/>
        <v>0</v>
      </c>
      <c r="J396" s="82">
        <f>IFERROR( SUMIFS('Stock In'!I:I,'Stock In'!B:B,$A396,'Stock In'!C:C,$B396,'Stock In'!D:D,$C396,'Stock In'!E:E,$D396) / SUMIFS('Stock In'!H:H,'Stock In'!B:B,$A396,'Stock In'!C:C,$B396,'Stock In'!D:D,$C396,'Stock In'!E:E,$D396), 0)</f>
        <v>0</v>
      </c>
      <c r="K396" s="82">
        <f t="shared" si="3"/>
        <v>0</v>
      </c>
    </row>
    <row r="397">
      <c r="A397" s="80"/>
      <c r="B397" s="80"/>
      <c r="C397" s="80"/>
      <c r="D397" s="80"/>
      <c r="E397" s="82">
        <f>IFERROR(SUMIFS('Stock In'!F:F,'Stock In'!B:B,$A397,'Stock In'!C:C,$B397,'Stock In'!D:D,$C397,'Stock In'!E:E,$D397),0)</f>
        <v>0</v>
      </c>
      <c r="F397" s="82">
        <f>IFERROR(SUMIFS(Issues!H:H, Issues!F:F, $A397, Issues!C:C, $B397, Issues!D:D, $C397, Issues!E:E, $D397), 0)</f>
        <v>0</v>
      </c>
      <c r="G397" s="82">
        <f>IFERROR(SUMIFS(Returns!H:H, Returns!F:F, $A397, Returns!C:C, $B397, Returns!D:D, $C397, Returns!E:E, $D397), 0)</f>
        <v>0</v>
      </c>
      <c r="H397" s="82">
        <f t="shared" si="1"/>
        <v>0</v>
      </c>
      <c r="I397" s="82">
        <f t="shared" si="2"/>
        <v>0</v>
      </c>
      <c r="J397" s="82">
        <f>IFERROR( SUMIFS('Stock In'!I:I,'Stock In'!B:B,$A397,'Stock In'!C:C,$B397,'Stock In'!D:D,$C397,'Stock In'!E:E,$D397) / SUMIFS('Stock In'!H:H,'Stock In'!B:B,$A397,'Stock In'!C:C,$B397,'Stock In'!D:D,$C397,'Stock In'!E:E,$D397), 0)</f>
        <v>0</v>
      </c>
      <c r="K397" s="82">
        <f t="shared" si="3"/>
        <v>0</v>
      </c>
    </row>
    <row r="398">
      <c r="A398" s="80"/>
      <c r="B398" s="80"/>
      <c r="C398" s="80"/>
      <c r="D398" s="80"/>
      <c r="E398" s="82">
        <f>IFERROR(SUMIFS('Stock In'!F:F,'Stock In'!B:B,$A398,'Stock In'!C:C,$B398,'Stock In'!D:D,$C398,'Stock In'!E:E,$D398),0)</f>
        <v>0</v>
      </c>
      <c r="F398" s="82">
        <f>IFERROR(SUMIFS(Issues!H:H, Issues!F:F, $A398, Issues!C:C, $B398, Issues!D:D, $C398, Issues!E:E, $D398), 0)</f>
        <v>0</v>
      </c>
      <c r="G398" s="82">
        <f>IFERROR(SUMIFS(Returns!H:H, Returns!F:F, $A398, Returns!C:C, $B398, Returns!D:D, $C398, Returns!E:E, $D398), 0)</f>
        <v>0</v>
      </c>
      <c r="H398" s="82">
        <f t="shared" si="1"/>
        <v>0</v>
      </c>
      <c r="I398" s="82">
        <f t="shared" si="2"/>
        <v>0</v>
      </c>
      <c r="J398" s="82">
        <f>IFERROR( SUMIFS('Stock In'!I:I,'Stock In'!B:B,$A398,'Stock In'!C:C,$B398,'Stock In'!D:D,$C398,'Stock In'!E:E,$D398) / SUMIFS('Stock In'!H:H,'Stock In'!B:B,$A398,'Stock In'!C:C,$B398,'Stock In'!D:D,$C398,'Stock In'!E:E,$D398), 0)</f>
        <v>0</v>
      </c>
      <c r="K398" s="82">
        <f t="shared" si="3"/>
        <v>0</v>
      </c>
    </row>
    <row r="399">
      <c r="A399" s="80"/>
      <c r="B399" s="80"/>
      <c r="C399" s="80"/>
      <c r="D399" s="80"/>
      <c r="E399" s="82">
        <f>IFERROR(SUMIFS('Stock In'!F:F,'Stock In'!B:B,$A399,'Stock In'!C:C,$B399,'Stock In'!D:D,$C399,'Stock In'!E:E,$D399),0)</f>
        <v>0</v>
      </c>
      <c r="F399" s="82">
        <f>IFERROR(SUMIFS(Issues!H:H, Issues!F:F, $A399, Issues!C:C, $B399, Issues!D:D, $C399, Issues!E:E, $D399), 0)</f>
        <v>0</v>
      </c>
      <c r="G399" s="82">
        <f>IFERROR(SUMIFS(Returns!H:H, Returns!F:F, $A399, Returns!C:C, $B399, Returns!D:D, $C399, Returns!E:E, $D399), 0)</f>
        <v>0</v>
      </c>
      <c r="H399" s="82">
        <f t="shared" si="1"/>
        <v>0</v>
      </c>
      <c r="I399" s="82">
        <f t="shared" si="2"/>
        <v>0</v>
      </c>
      <c r="J399" s="82">
        <f>IFERROR( SUMIFS('Stock In'!I:I,'Stock In'!B:B,$A399,'Stock In'!C:C,$B399,'Stock In'!D:D,$C399,'Stock In'!E:E,$D399) / SUMIFS('Stock In'!H:H,'Stock In'!B:B,$A399,'Stock In'!C:C,$B399,'Stock In'!D:D,$C399,'Stock In'!E:E,$D399), 0)</f>
        <v>0</v>
      </c>
      <c r="K399" s="82">
        <f t="shared" si="3"/>
        <v>0</v>
      </c>
    </row>
    <row r="400">
      <c r="A400" s="80"/>
      <c r="B400" s="80"/>
      <c r="C400" s="80"/>
      <c r="D400" s="80"/>
      <c r="E400" s="82">
        <f>IFERROR(SUMIFS('Stock In'!F:F,'Stock In'!B:B,$A400,'Stock In'!C:C,$B400,'Stock In'!D:D,$C400,'Stock In'!E:E,$D400),0)</f>
        <v>0</v>
      </c>
      <c r="F400" s="82">
        <f>IFERROR(SUMIFS(Issues!H:H, Issues!F:F, $A400, Issues!C:C, $B400, Issues!D:D, $C400, Issues!E:E, $D400), 0)</f>
        <v>0</v>
      </c>
      <c r="G400" s="82">
        <f>IFERROR(SUMIFS(Returns!H:H, Returns!F:F, $A400, Returns!C:C, $B400, Returns!D:D, $C400, Returns!E:E, $D400), 0)</f>
        <v>0</v>
      </c>
      <c r="H400" s="82">
        <f t="shared" si="1"/>
        <v>0</v>
      </c>
      <c r="I400" s="82">
        <f t="shared" si="2"/>
        <v>0</v>
      </c>
      <c r="J400" s="82">
        <f>IFERROR( SUMIFS('Stock In'!I:I,'Stock In'!B:B,$A400,'Stock In'!C:C,$B400,'Stock In'!D:D,$C400,'Stock In'!E:E,$D400) / SUMIFS('Stock In'!H:H,'Stock In'!B:B,$A400,'Stock In'!C:C,$B400,'Stock In'!D:D,$C400,'Stock In'!E:E,$D400), 0)</f>
        <v>0</v>
      </c>
      <c r="K400" s="82">
        <f t="shared" si="3"/>
        <v>0</v>
      </c>
    </row>
    <row r="401">
      <c r="A401" s="80"/>
      <c r="B401" s="80"/>
      <c r="C401" s="80"/>
      <c r="D401" s="80"/>
      <c r="E401" s="82">
        <f>IFERROR(SUMIFS('Stock In'!F:F,'Stock In'!B:B,$A401,'Stock In'!C:C,$B401,'Stock In'!D:D,$C401,'Stock In'!E:E,$D401),0)</f>
        <v>0</v>
      </c>
      <c r="F401" s="82">
        <f>IFERROR(SUMIFS(Issues!H:H, Issues!F:F, $A401, Issues!C:C, $B401, Issues!D:D, $C401, Issues!E:E, $D401), 0)</f>
        <v>0</v>
      </c>
      <c r="G401" s="82">
        <f>IFERROR(SUMIFS(Returns!H:H, Returns!F:F, $A401, Returns!C:C, $B401, Returns!D:D, $C401, Returns!E:E, $D401), 0)</f>
        <v>0</v>
      </c>
      <c r="H401" s="82">
        <f t="shared" si="1"/>
        <v>0</v>
      </c>
      <c r="I401" s="82">
        <f t="shared" si="2"/>
        <v>0</v>
      </c>
      <c r="J401" s="82">
        <f>IFERROR( SUMIFS('Stock In'!I:I,'Stock In'!B:B,$A401,'Stock In'!C:C,$B401,'Stock In'!D:D,$C401,'Stock In'!E:E,$D401) / SUMIFS('Stock In'!H:H,'Stock In'!B:B,$A401,'Stock In'!C:C,$B401,'Stock In'!D:D,$C401,'Stock In'!E:E,$D401), 0)</f>
        <v>0</v>
      </c>
      <c r="K401" s="82">
        <f t="shared" si="3"/>
        <v>0</v>
      </c>
    </row>
    <row r="402">
      <c r="A402" s="80"/>
      <c r="B402" s="80"/>
      <c r="C402" s="80"/>
      <c r="D402" s="80"/>
      <c r="E402" s="82">
        <f>IFERROR(SUMIFS('Stock In'!F:F,'Stock In'!B:B,$A402,'Stock In'!C:C,$B402,'Stock In'!D:D,$C402,'Stock In'!E:E,$D402),0)</f>
        <v>0</v>
      </c>
      <c r="F402" s="82">
        <f>IFERROR(SUMIFS(Issues!H:H, Issues!F:F, $A402, Issues!C:C, $B402, Issues!D:D, $C402, Issues!E:E, $D402), 0)</f>
        <v>0</v>
      </c>
      <c r="G402" s="82">
        <f>IFERROR(SUMIFS(Returns!H:H, Returns!F:F, $A402, Returns!C:C, $B402, Returns!D:D, $C402, Returns!E:E, $D402), 0)</f>
        <v>0</v>
      </c>
      <c r="H402" s="82">
        <f t="shared" si="1"/>
        <v>0</v>
      </c>
      <c r="I402" s="82">
        <f t="shared" si="2"/>
        <v>0</v>
      </c>
      <c r="J402" s="82">
        <f>IFERROR( SUMIFS('Stock In'!I:I,'Stock In'!B:B,$A402,'Stock In'!C:C,$B402,'Stock In'!D:D,$C402,'Stock In'!E:E,$D402) / SUMIFS('Stock In'!H:H,'Stock In'!B:B,$A402,'Stock In'!C:C,$B402,'Stock In'!D:D,$C402,'Stock In'!E:E,$D402), 0)</f>
        <v>0</v>
      </c>
      <c r="K402" s="82">
        <f t="shared" si="3"/>
        <v>0</v>
      </c>
    </row>
    <row r="403">
      <c r="A403" s="80"/>
      <c r="B403" s="80"/>
      <c r="C403" s="80"/>
      <c r="D403" s="80"/>
      <c r="E403" s="82">
        <f>IFERROR(SUMIFS('Stock In'!F:F,'Stock In'!B:B,$A403,'Stock In'!C:C,$B403,'Stock In'!D:D,$C403,'Stock In'!E:E,$D403),0)</f>
        <v>0</v>
      </c>
      <c r="F403" s="82">
        <f>IFERROR(SUMIFS(Issues!H:H, Issues!F:F, $A403, Issues!C:C, $B403, Issues!D:D, $C403, Issues!E:E, $D403), 0)</f>
        <v>0</v>
      </c>
      <c r="G403" s="82">
        <f>IFERROR(SUMIFS(Returns!H:H, Returns!F:F, $A403, Returns!C:C, $B403, Returns!D:D, $C403, Returns!E:E, $D403), 0)</f>
        <v>0</v>
      </c>
      <c r="H403" s="82">
        <f t="shared" si="1"/>
        <v>0</v>
      </c>
      <c r="I403" s="82">
        <f t="shared" si="2"/>
        <v>0</v>
      </c>
      <c r="J403" s="82">
        <f>IFERROR( SUMIFS('Stock In'!I:I,'Stock In'!B:B,$A403,'Stock In'!C:C,$B403,'Stock In'!D:D,$C403,'Stock In'!E:E,$D403) / SUMIFS('Stock In'!H:H,'Stock In'!B:B,$A403,'Stock In'!C:C,$B403,'Stock In'!D:D,$C403,'Stock In'!E:E,$D403), 0)</f>
        <v>0</v>
      </c>
      <c r="K403" s="82">
        <f t="shared" si="3"/>
        <v>0</v>
      </c>
    </row>
    <row r="404">
      <c r="A404" s="80"/>
      <c r="B404" s="80"/>
      <c r="C404" s="80"/>
      <c r="D404" s="80"/>
      <c r="E404" s="82">
        <f>IFERROR(SUMIFS('Stock In'!F:F,'Stock In'!B:B,$A404,'Stock In'!C:C,$B404,'Stock In'!D:D,$C404,'Stock In'!E:E,$D404),0)</f>
        <v>0</v>
      </c>
      <c r="F404" s="82">
        <f>IFERROR(SUMIFS(Issues!H:H, Issues!F:F, $A404, Issues!C:C, $B404, Issues!D:D, $C404, Issues!E:E, $D404), 0)</f>
        <v>0</v>
      </c>
      <c r="G404" s="82">
        <f>IFERROR(SUMIFS(Returns!H:H, Returns!F:F, $A404, Returns!C:C, $B404, Returns!D:D, $C404, Returns!E:E, $D404), 0)</f>
        <v>0</v>
      </c>
      <c r="H404" s="82">
        <f t="shared" si="1"/>
        <v>0</v>
      </c>
      <c r="I404" s="82">
        <f t="shared" si="2"/>
        <v>0</v>
      </c>
      <c r="J404" s="82">
        <f>IFERROR( SUMIFS('Stock In'!I:I,'Stock In'!B:B,$A404,'Stock In'!C:C,$B404,'Stock In'!D:D,$C404,'Stock In'!E:E,$D404) / SUMIFS('Stock In'!H:H,'Stock In'!B:B,$A404,'Stock In'!C:C,$B404,'Stock In'!D:D,$C404,'Stock In'!E:E,$D404), 0)</f>
        <v>0</v>
      </c>
      <c r="K404" s="82">
        <f t="shared" si="3"/>
        <v>0</v>
      </c>
    </row>
    <row r="405">
      <c r="A405" s="80"/>
      <c r="B405" s="80"/>
      <c r="C405" s="80"/>
      <c r="D405" s="80"/>
      <c r="E405" s="82">
        <f>IFERROR(SUMIFS('Stock In'!F:F,'Stock In'!B:B,$A405,'Stock In'!C:C,$B405,'Stock In'!D:D,$C405,'Stock In'!E:E,$D405),0)</f>
        <v>0</v>
      </c>
      <c r="F405" s="82">
        <f>IFERROR(SUMIFS(Issues!H:H, Issues!F:F, $A405, Issues!C:C, $B405, Issues!D:D, $C405, Issues!E:E, $D405), 0)</f>
        <v>0</v>
      </c>
      <c r="G405" s="82">
        <f>IFERROR(SUMIFS(Returns!H:H, Returns!F:F, $A405, Returns!C:C, $B405, Returns!D:D, $C405, Returns!E:E, $D405), 0)</f>
        <v>0</v>
      </c>
      <c r="H405" s="82">
        <f t="shared" si="1"/>
        <v>0</v>
      </c>
      <c r="I405" s="82">
        <f t="shared" si="2"/>
        <v>0</v>
      </c>
      <c r="J405" s="82">
        <f>IFERROR( SUMIFS('Stock In'!I:I,'Stock In'!B:B,$A405,'Stock In'!C:C,$B405,'Stock In'!D:D,$C405,'Stock In'!E:E,$D405) / SUMIFS('Stock In'!H:H,'Stock In'!B:B,$A405,'Stock In'!C:C,$B405,'Stock In'!D:D,$C405,'Stock In'!E:E,$D405), 0)</f>
        <v>0</v>
      </c>
      <c r="K405" s="82">
        <f t="shared" si="3"/>
        <v>0</v>
      </c>
    </row>
    <row r="406">
      <c r="A406" s="80"/>
      <c r="B406" s="80"/>
      <c r="C406" s="80"/>
      <c r="D406" s="80"/>
      <c r="E406" s="82">
        <f>IFERROR(SUMIFS('Stock In'!F:F,'Stock In'!B:B,$A406,'Stock In'!C:C,$B406,'Stock In'!D:D,$C406,'Stock In'!E:E,$D406),0)</f>
        <v>0</v>
      </c>
      <c r="F406" s="82">
        <f>IFERROR(SUMIFS(Issues!H:H, Issues!F:F, $A406, Issues!C:C, $B406, Issues!D:D, $C406, Issues!E:E, $D406), 0)</f>
        <v>0</v>
      </c>
      <c r="G406" s="82">
        <f>IFERROR(SUMIFS(Returns!H:H, Returns!F:F, $A406, Returns!C:C, $B406, Returns!D:D, $C406, Returns!E:E, $D406), 0)</f>
        <v>0</v>
      </c>
      <c r="H406" s="82">
        <f t="shared" si="1"/>
        <v>0</v>
      </c>
      <c r="I406" s="82">
        <f t="shared" si="2"/>
        <v>0</v>
      </c>
      <c r="J406" s="82">
        <f>IFERROR( SUMIFS('Stock In'!I:I,'Stock In'!B:B,$A406,'Stock In'!C:C,$B406,'Stock In'!D:D,$C406,'Stock In'!E:E,$D406) / SUMIFS('Stock In'!H:H,'Stock In'!B:B,$A406,'Stock In'!C:C,$B406,'Stock In'!D:D,$C406,'Stock In'!E:E,$D406), 0)</f>
        <v>0</v>
      </c>
      <c r="K406" s="82">
        <f t="shared" si="3"/>
        <v>0</v>
      </c>
    </row>
    <row r="407">
      <c r="A407" s="80"/>
      <c r="B407" s="80"/>
      <c r="C407" s="80"/>
      <c r="D407" s="80"/>
      <c r="E407" s="82">
        <f>IFERROR(SUMIFS('Stock In'!F:F,'Stock In'!B:B,$A407,'Stock In'!C:C,$B407,'Stock In'!D:D,$C407,'Stock In'!E:E,$D407),0)</f>
        <v>0</v>
      </c>
      <c r="F407" s="82">
        <f>IFERROR(SUMIFS(Issues!H:H, Issues!F:F, $A407, Issues!C:C, $B407, Issues!D:D, $C407, Issues!E:E, $D407), 0)</f>
        <v>0</v>
      </c>
      <c r="G407" s="82">
        <f>IFERROR(SUMIFS(Returns!H:H, Returns!F:F, $A407, Returns!C:C, $B407, Returns!D:D, $C407, Returns!E:E, $D407), 0)</f>
        <v>0</v>
      </c>
      <c r="H407" s="82">
        <f t="shared" si="1"/>
        <v>0</v>
      </c>
      <c r="I407" s="82">
        <f t="shared" si="2"/>
        <v>0</v>
      </c>
      <c r="J407" s="82">
        <f>IFERROR( SUMIFS('Stock In'!I:I,'Stock In'!B:B,$A407,'Stock In'!C:C,$B407,'Stock In'!D:D,$C407,'Stock In'!E:E,$D407) / SUMIFS('Stock In'!H:H,'Stock In'!B:B,$A407,'Stock In'!C:C,$B407,'Stock In'!D:D,$C407,'Stock In'!E:E,$D407), 0)</f>
        <v>0</v>
      </c>
      <c r="K407" s="82">
        <f t="shared" si="3"/>
        <v>0</v>
      </c>
    </row>
    <row r="408">
      <c r="A408" s="80"/>
      <c r="B408" s="80"/>
      <c r="C408" s="80"/>
      <c r="D408" s="80"/>
      <c r="E408" s="82">
        <f>IFERROR(SUMIFS('Stock In'!F:F,'Stock In'!B:B,$A408,'Stock In'!C:C,$B408,'Stock In'!D:D,$C408,'Stock In'!E:E,$D408),0)</f>
        <v>0</v>
      </c>
      <c r="F408" s="82">
        <f>IFERROR(SUMIFS(Issues!H:H, Issues!F:F, $A408, Issues!C:C, $B408, Issues!D:D, $C408, Issues!E:E, $D408), 0)</f>
        <v>0</v>
      </c>
      <c r="G408" s="82">
        <f>IFERROR(SUMIFS(Returns!H:H, Returns!F:F, $A408, Returns!C:C, $B408, Returns!D:D, $C408, Returns!E:E, $D408), 0)</f>
        <v>0</v>
      </c>
      <c r="H408" s="82">
        <f t="shared" si="1"/>
        <v>0</v>
      </c>
      <c r="I408" s="82">
        <f t="shared" si="2"/>
        <v>0</v>
      </c>
      <c r="J408" s="82">
        <f>IFERROR( SUMIFS('Stock In'!I:I,'Stock In'!B:B,$A408,'Stock In'!C:C,$B408,'Stock In'!D:D,$C408,'Stock In'!E:E,$D408) / SUMIFS('Stock In'!H:H,'Stock In'!B:B,$A408,'Stock In'!C:C,$B408,'Stock In'!D:D,$C408,'Stock In'!E:E,$D408), 0)</f>
        <v>0</v>
      </c>
      <c r="K408" s="82">
        <f t="shared" si="3"/>
        <v>0</v>
      </c>
    </row>
    <row r="409">
      <c r="A409" s="80"/>
      <c r="B409" s="80"/>
      <c r="C409" s="80"/>
      <c r="D409" s="80"/>
      <c r="E409" s="82">
        <f>IFERROR(SUMIFS('Stock In'!F:F,'Stock In'!B:B,$A409,'Stock In'!C:C,$B409,'Stock In'!D:D,$C409,'Stock In'!E:E,$D409),0)</f>
        <v>0</v>
      </c>
      <c r="F409" s="82">
        <f>IFERROR(SUMIFS(Issues!H:H, Issues!F:F, $A409, Issues!C:C, $B409, Issues!D:D, $C409, Issues!E:E, $D409), 0)</f>
        <v>0</v>
      </c>
      <c r="G409" s="82">
        <f>IFERROR(SUMIFS(Returns!H:H, Returns!F:F, $A409, Returns!C:C, $B409, Returns!D:D, $C409, Returns!E:E, $D409), 0)</f>
        <v>0</v>
      </c>
      <c r="H409" s="82">
        <f t="shared" si="1"/>
        <v>0</v>
      </c>
      <c r="I409" s="82">
        <f t="shared" si="2"/>
        <v>0</v>
      </c>
      <c r="J409" s="82">
        <f>IFERROR( SUMIFS('Stock In'!I:I,'Stock In'!B:B,$A409,'Stock In'!C:C,$B409,'Stock In'!D:D,$C409,'Stock In'!E:E,$D409) / SUMIFS('Stock In'!H:H,'Stock In'!B:B,$A409,'Stock In'!C:C,$B409,'Stock In'!D:D,$C409,'Stock In'!E:E,$D409), 0)</f>
        <v>0</v>
      </c>
      <c r="K409" s="82">
        <f t="shared" si="3"/>
        <v>0</v>
      </c>
    </row>
    <row r="410">
      <c r="A410" s="80"/>
      <c r="B410" s="80"/>
      <c r="C410" s="80"/>
      <c r="D410" s="80"/>
      <c r="E410" s="82">
        <f>IFERROR(SUMIFS('Stock In'!F:F,'Stock In'!B:B,$A410,'Stock In'!C:C,$B410,'Stock In'!D:D,$C410,'Stock In'!E:E,$D410),0)</f>
        <v>0</v>
      </c>
      <c r="F410" s="82">
        <f>IFERROR(SUMIFS(Issues!H:H, Issues!F:F, $A410, Issues!C:C, $B410, Issues!D:D, $C410, Issues!E:E, $D410), 0)</f>
        <v>0</v>
      </c>
      <c r="G410" s="82">
        <f>IFERROR(SUMIFS(Returns!H:H, Returns!F:F, $A410, Returns!C:C, $B410, Returns!D:D, $C410, Returns!E:E, $D410), 0)</f>
        <v>0</v>
      </c>
      <c r="H410" s="82">
        <f t="shared" si="1"/>
        <v>0</v>
      </c>
      <c r="I410" s="82">
        <f t="shared" si="2"/>
        <v>0</v>
      </c>
      <c r="J410" s="82">
        <f>IFERROR( SUMIFS('Stock In'!I:I,'Stock In'!B:B,$A410,'Stock In'!C:C,$B410,'Stock In'!D:D,$C410,'Stock In'!E:E,$D410) / SUMIFS('Stock In'!H:H,'Stock In'!B:B,$A410,'Stock In'!C:C,$B410,'Stock In'!D:D,$C410,'Stock In'!E:E,$D410), 0)</f>
        <v>0</v>
      </c>
      <c r="K410" s="82">
        <f t="shared" si="3"/>
        <v>0</v>
      </c>
    </row>
    <row r="411">
      <c r="A411" s="80"/>
      <c r="B411" s="80"/>
      <c r="C411" s="80"/>
      <c r="D411" s="80"/>
      <c r="E411" s="82">
        <f>IFERROR(SUMIFS('Stock In'!F:F,'Stock In'!B:B,$A411,'Stock In'!C:C,$B411,'Stock In'!D:D,$C411,'Stock In'!E:E,$D411),0)</f>
        <v>0</v>
      </c>
      <c r="F411" s="82">
        <f>IFERROR(SUMIFS(Issues!H:H, Issues!F:F, $A411, Issues!C:C, $B411, Issues!D:D, $C411, Issues!E:E, $D411), 0)</f>
        <v>0</v>
      </c>
      <c r="G411" s="82">
        <f>IFERROR(SUMIFS(Returns!H:H, Returns!F:F, $A411, Returns!C:C, $B411, Returns!D:D, $C411, Returns!E:E, $D411), 0)</f>
        <v>0</v>
      </c>
      <c r="H411" s="82">
        <f t="shared" si="1"/>
        <v>0</v>
      </c>
      <c r="I411" s="82">
        <f t="shared" si="2"/>
        <v>0</v>
      </c>
      <c r="J411" s="82">
        <f>IFERROR( SUMIFS('Stock In'!I:I,'Stock In'!B:B,$A411,'Stock In'!C:C,$B411,'Stock In'!D:D,$C411,'Stock In'!E:E,$D411) / SUMIFS('Stock In'!H:H,'Stock In'!B:B,$A411,'Stock In'!C:C,$B411,'Stock In'!D:D,$C411,'Stock In'!E:E,$D411), 0)</f>
        <v>0</v>
      </c>
      <c r="K411" s="82">
        <f t="shared" si="3"/>
        <v>0</v>
      </c>
    </row>
    <row r="412">
      <c r="A412" s="80"/>
      <c r="B412" s="80"/>
      <c r="C412" s="80"/>
      <c r="D412" s="80"/>
      <c r="E412" s="82">
        <f>IFERROR(SUMIFS('Stock In'!F:F,'Stock In'!B:B,$A412,'Stock In'!C:C,$B412,'Stock In'!D:D,$C412,'Stock In'!E:E,$D412),0)</f>
        <v>0</v>
      </c>
      <c r="F412" s="82">
        <f>IFERROR(SUMIFS(Issues!H:H, Issues!F:F, $A412, Issues!C:C, $B412, Issues!D:D, $C412, Issues!E:E, $D412), 0)</f>
        <v>0</v>
      </c>
      <c r="G412" s="82">
        <f>IFERROR(SUMIFS(Returns!H:H, Returns!F:F, $A412, Returns!C:C, $B412, Returns!D:D, $C412, Returns!E:E, $D412), 0)</f>
        <v>0</v>
      </c>
      <c r="H412" s="82">
        <f t="shared" si="1"/>
        <v>0</v>
      </c>
      <c r="I412" s="82">
        <f t="shared" si="2"/>
        <v>0</v>
      </c>
      <c r="J412" s="82">
        <f>IFERROR( SUMIFS('Stock In'!I:I,'Stock In'!B:B,$A412,'Stock In'!C:C,$B412,'Stock In'!D:D,$C412,'Stock In'!E:E,$D412) / SUMIFS('Stock In'!H:H,'Stock In'!B:B,$A412,'Stock In'!C:C,$B412,'Stock In'!D:D,$C412,'Stock In'!E:E,$D412), 0)</f>
        <v>0</v>
      </c>
      <c r="K412" s="82">
        <f t="shared" si="3"/>
        <v>0</v>
      </c>
    </row>
    <row r="413">
      <c r="A413" s="80"/>
      <c r="B413" s="80"/>
      <c r="C413" s="80"/>
      <c r="D413" s="80"/>
      <c r="E413" s="82">
        <f>IFERROR(SUMIFS('Stock In'!F:F,'Stock In'!B:B,$A413,'Stock In'!C:C,$B413,'Stock In'!D:D,$C413,'Stock In'!E:E,$D413),0)</f>
        <v>0</v>
      </c>
      <c r="F413" s="82">
        <f>IFERROR(SUMIFS(Issues!H:H, Issues!F:F, $A413, Issues!C:C, $B413, Issues!D:D, $C413, Issues!E:E, $D413), 0)</f>
        <v>0</v>
      </c>
      <c r="G413" s="82">
        <f>IFERROR(SUMIFS(Returns!H:H, Returns!F:F, $A413, Returns!C:C, $B413, Returns!D:D, $C413, Returns!E:E, $D413), 0)</f>
        <v>0</v>
      </c>
      <c r="H413" s="82">
        <f t="shared" si="1"/>
        <v>0</v>
      </c>
      <c r="I413" s="82">
        <f t="shared" si="2"/>
        <v>0</v>
      </c>
      <c r="J413" s="82">
        <f>IFERROR( SUMIFS('Stock In'!I:I,'Stock In'!B:B,$A413,'Stock In'!C:C,$B413,'Stock In'!D:D,$C413,'Stock In'!E:E,$D413) / SUMIFS('Stock In'!H:H,'Stock In'!B:B,$A413,'Stock In'!C:C,$B413,'Stock In'!D:D,$C413,'Stock In'!E:E,$D413), 0)</f>
        <v>0</v>
      </c>
      <c r="K413" s="82">
        <f t="shared" si="3"/>
        <v>0</v>
      </c>
    </row>
    <row r="414">
      <c r="A414" s="80"/>
      <c r="B414" s="80"/>
      <c r="C414" s="80"/>
      <c r="D414" s="80"/>
      <c r="E414" s="82">
        <f>IFERROR(SUMIFS('Stock In'!F:F,'Stock In'!B:B,$A414,'Stock In'!C:C,$B414,'Stock In'!D:D,$C414,'Stock In'!E:E,$D414),0)</f>
        <v>0</v>
      </c>
      <c r="F414" s="82">
        <f>IFERROR(SUMIFS(Issues!H:H, Issues!F:F, $A414, Issues!C:C, $B414, Issues!D:D, $C414, Issues!E:E, $D414), 0)</f>
        <v>0</v>
      </c>
      <c r="G414" s="82">
        <f>IFERROR(SUMIFS(Returns!H:H, Returns!F:F, $A414, Returns!C:C, $B414, Returns!D:D, $C414, Returns!E:E, $D414), 0)</f>
        <v>0</v>
      </c>
      <c r="H414" s="82">
        <f t="shared" si="1"/>
        <v>0</v>
      </c>
      <c r="I414" s="82">
        <f t="shared" si="2"/>
        <v>0</v>
      </c>
      <c r="J414" s="82">
        <f>IFERROR( SUMIFS('Stock In'!I:I,'Stock In'!B:B,$A414,'Stock In'!C:C,$B414,'Stock In'!D:D,$C414,'Stock In'!E:E,$D414) / SUMIFS('Stock In'!H:H,'Stock In'!B:B,$A414,'Stock In'!C:C,$B414,'Stock In'!D:D,$C414,'Stock In'!E:E,$D414), 0)</f>
        <v>0</v>
      </c>
      <c r="K414" s="82">
        <f t="shared" si="3"/>
        <v>0</v>
      </c>
    </row>
    <row r="415">
      <c r="A415" s="80"/>
      <c r="B415" s="80"/>
      <c r="C415" s="80"/>
      <c r="D415" s="80"/>
      <c r="E415" s="82">
        <f>IFERROR(SUMIFS('Stock In'!F:F,'Stock In'!B:B,$A415,'Stock In'!C:C,$B415,'Stock In'!D:D,$C415,'Stock In'!E:E,$D415),0)</f>
        <v>0</v>
      </c>
      <c r="F415" s="82">
        <f>IFERROR(SUMIFS(Issues!H:H, Issues!F:F, $A415, Issues!C:C, $B415, Issues!D:D, $C415, Issues!E:E, $D415), 0)</f>
        <v>0</v>
      </c>
      <c r="G415" s="82">
        <f>IFERROR(SUMIFS(Returns!H:H, Returns!F:F, $A415, Returns!C:C, $B415, Returns!D:D, $C415, Returns!E:E, $D415), 0)</f>
        <v>0</v>
      </c>
      <c r="H415" s="82">
        <f t="shared" si="1"/>
        <v>0</v>
      </c>
      <c r="I415" s="82">
        <f t="shared" si="2"/>
        <v>0</v>
      </c>
      <c r="J415" s="82">
        <f>IFERROR( SUMIFS('Stock In'!I:I,'Stock In'!B:B,$A415,'Stock In'!C:C,$B415,'Stock In'!D:D,$C415,'Stock In'!E:E,$D415) / SUMIFS('Stock In'!H:H,'Stock In'!B:B,$A415,'Stock In'!C:C,$B415,'Stock In'!D:D,$C415,'Stock In'!E:E,$D415), 0)</f>
        <v>0</v>
      </c>
      <c r="K415" s="82">
        <f t="shared" si="3"/>
        <v>0</v>
      </c>
    </row>
    <row r="416">
      <c r="A416" s="80"/>
      <c r="B416" s="80"/>
      <c r="C416" s="80"/>
      <c r="D416" s="80"/>
      <c r="E416" s="82">
        <f>IFERROR(SUMIFS('Stock In'!F:F,'Stock In'!B:B,$A416,'Stock In'!C:C,$B416,'Stock In'!D:D,$C416,'Stock In'!E:E,$D416),0)</f>
        <v>0</v>
      </c>
      <c r="F416" s="82">
        <f>IFERROR(SUMIFS(Issues!H:H, Issues!F:F, $A416, Issues!C:C, $B416, Issues!D:D, $C416, Issues!E:E, $D416), 0)</f>
        <v>0</v>
      </c>
      <c r="G416" s="82">
        <f>IFERROR(SUMIFS(Returns!H:H, Returns!F:F, $A416, Returns!C:C, $B416, Returns!D:D, $C416, Returns!E:E, $D416), 0)</f>
        <v>0</v>
      </c>
      <c r="H416" s="82">
        <f t="shared" si="1"/>
        <v>0</v>
      </c>
      <c r="I416" s="82">
        <f t="shared" si="2"/>
        <v>0</v>
      </c>
      <c r="J416" s="82">
        <f>IFERROR( SUMIFS('Stock In'!I:I,'Stock In'!B:B,$A416,'Stock In'!C:C,$B416,'Stock In'!D:D,$C416,'Stock In'!E:E,$D416) / SUMIFS('Stock In'!H:H,'Stock In'!B:B,$A416,'Stock In'!C:C,$B416,'Stock In'!D:D,$C416,'Stock In'!E:E,$D416), 0)</f>
        <v>0</v>
      </c>
      <c r="K416" s="82">
        <f t="shared" si="3"/>
        <v>0</v>
      </c>
    </row>
    <row r="417">
      <c r="A417" s="80"/>
      <c r="B417" s="80"/>
      <c r="C417" s="80"/>
      <c r="D417" s="80"/>
      <c r="E417" s="82">
        <f>IFERROR(SUMIFS('Stock In'!F:F,'Stock In'!B:B,$A417,'Stock In'!C:C,$B417,'Stock In'!D:D,$C417,'Stock In'!E:E,$D417),0)</f>
        <v>0</v>
      </c>
      <c r="F417" s="82">
        <f>IFERROR(SUMIFS(Issues!H:H, Issues!F:F, $A417, Issues!C:C, $B417, Issues!D:D, $C417, Issues!E:E, $D417), 0)</f>
        <v>0</v>
      </c>
      <c r="G417" s="82">
        <f>IFERROR(SUMIFS(Returns!H:H, Returns!F:F, $A417, Returns!C:C, $B417, Returns!D:D, $C417, Returns!E:E, $D417), 0)</f>
        <v>0</v>
      </c>
      <c r="H417" s="82">
        <f t="shared" si="1"/>
        <v>0</v>
      </c>
      <c r="I417" s="82">
        <f t="shared" si="2"/>
        <v>0</v>
      </c>
      <c r="J417" s="82">
        <f>IFERROR( SUMIFS('Stock In'!I:I,'Stock In'!B:B,$A417,'Stock In'!C:C,$B417,'Stock In'!D:D,$C417,'Stock In'!E:E,$D417) / SUMIFS('Stock In'!H:H,'Stock In'!B:B,$A417,'Stock In'!C:C,$B417,'Stock In'!D:D,$C417,'Stock In'!E:E,$D417), 0)</f>
        <v>0</v>
      </c>
      <c r="K417" s="82">
        <f t="shared" si="3"/>
        <v>0</v>
      </c>
    </row>
    <row r="418">
      <c r="A418" s="80"/>
      <c r="B418" s="80"/>
      <c r="C418" s="80"/>
      <c r="D418" s="80"/>
      <c r="E418" s="82">
        <f>IFERROR(SUMIFS('Stock In'!F:F,'Stock In'!B:B,$A418,'Stock In'!C:C,$B418,'Stock In'!D:D,$C418,'Stock In'!E:E,$D418),0)</f>
        <v>0</v>
      </c>
      <c r="F418" s="82">
        <f>IFERROR(SUMIFS(Issues!H:H, Issues!F:F, $A418, Issues!C:C, $B418, Issues!D:D, $C418, Issues!E:E, $D418), 0)</f>
        <v>0</v>
      </c>
      <c r="G418" s="82">
        <f>IFERROR(SUMIFS(Returns!H:H, Returns!F:F, $A418, Returns!C:C, $B418, Returns!D:D, $C418, Returns!E:E, $D418), 0)</f>
        <v>0</v>
      </c>
      <c r="H418" s="82">
        <f t="shared" si="1"/>
        <v>0</v>
      </c>
      <c r="I418" s="82">
        <f t="shared" si="2"/>
        <v>0</v>
      </c>
      <c r="J418" s="82">
        <f>IFERROR( SUMIFS('Stock In'!I:I,'Stock In'!B:B,$A418,'Stock In'!C:C,$B418,'Stock In'!D:D,$C418,'Stock In'!E:E,$D418) / SUMIFS('Stock In'!H:H,'Stock In'!B:B,$A418,'Stock In'!C:C,$B418,'Stock In'!D:D,$C418,'Stock In'!E:E,$D418), 0)</f>
        <v>0</v>
      </c>
      <c r="K418" s="82">
        <f t="shared" si="3"/>
        <v>0</v>
      </c>
    </row>
    <row r="419">
      <c r="A419" s="80"/>
      <c r="B419" s="80"/>
      <c r="C419" s="80"/>
      <c r="D419" s="80"/>
      <c r="E419" s="82">
        <f>IFERROR(SUMIFS('Stock In'!F:F,'Stock In'!B:B,$A419,'Stock In'!C:C,$B419,'Stock In'!D:D,$C419,'Stock In'!E:E,$D419),0)</f>
        <v>0</v>
      </c>
      <c r="F419" s="82">
        <f>IFERROR(SUMIFS(Issues!H:H, Issues!F:F, $A419, Issues!C:C, $B419, Issues!D:D, $C419, Issues!E:E, $D419), 0)</f>
        <v>0</v>
      </c>
      <c r="G419" s="82">
        <f>IFERROR(SUMIFS(Returns!H:H, Returns!F:F, $A419, Returns!C:C, $B419, Returns!D:D, $C419, Returns!E:E, $D419), 0)</f>
        <v>0</v>
      </c>
      <c r="H419" s="82">
        <f t="shared" si="1"/>
        <v>0</v>
      </c>
      <c r="I419" s="82">
        <f t="shared" si="2"/>
        <v>0</v>
      </c>
      <c r="J419" s="82">
        <f>IFERROR( SUMIFS('Stock In'!I:I,'Stock In'!B:B,$A419,'Stock In'!C:C,$B419,'Stock In'!D:D,$C419,'Stock In'!E:E,$D419) / SUMIFS('Stock In'!H:H,'Stock In'!B:B,$A419,'Stock In'!C:C,$B419,'Stock In'!D:D,$C419,'Stock In'!E:E,$D419), 0)</f>
        <v>0</v>
      </c>
      <c r="K419" s="82">
        <f t="shared" si="3"/>
        <v>0</v>
      </c>
    </row>
    <row r="420">
      <c r="A420" s="80"/>
      <c r="B420" s="80"/>
      <c r="C420" s="80"/>
      <c r="D420" s="80"/>
      <c r="E420" s="82">
        <f>IFERROR(SUMIFS('Stock In'!F:F,'Stock In'!B:B,$A420,'Stock In'!C:C,$B420,'Stock In'!D:D,$C420,'Stock In'!E:E,$D420),0)</f>
        <v>0</v>
      </c>
      <c r="F420" s="82">
        <f>IFERROR(SUMIFS(Issues!H:H, Issues!F:F, $A420, Issues!C:C, $B420, Issues!D:D, $C420, Issues!E:E, $D420), 0)</f>
        <v>0</v>
      </c>
      <c r="G420" s="82">
        <f>IFERROR(SUMIFS(Returns!H:H, Returns!F:F, $A420, Returns!C:C, $B420, Returns!D:D, $C420, Returns!E:E, $D420), 0)</f>
        <v>0</v>
      </c>
      <c r="H420" s="82">
        <f t="shared" si="1"/>
        <v>0</v>
      </c>
      <c r="I420" s="82">
        <f t="shared" si="2"/>
        <v>0</v>
      </c>
      <c r="J420" s="82">
        <f>IFERROR( SUMIFS('Stock In'!I:I,'Stock In'!B:B,$A420,'Stock In'!C:C,$B420,'Stock In'!D:D,$C420,'Stock In'!E:E,$D420) / SUMIFS('Stock In'!H:H,'Stock In'!B:B,$A420,'Stock In'!C:C,$B420,'Stock In'!D:D,$C420,'Stock In'!E:E,$D420), 0)</f>
        <v>0</v>
      </c>
      <c r="K420" s="82">
        <f t="shared" si="3"/>
        <v>0</v>
      </c>
    </row>
    <row r="421">
      <c r="A421" s="80"/>
      <c r="B421" s="80"/>
      <c r="C421" s="80"/>
      <c r="D421" s="80"/>
      <c r="E421" s="82">
        <f>IFERROR(SUMIFS('Stock In'!F:F,'Stock In'!B:B,$A421,'Stock In'!C:C,$B421,'Stock In'!D:D,$C421,'Stock In'!E:E,$D421),0)</f>
        <v>0</v>
      </c>
      <c r="F421" s="82">
        <f>IFERROR(SUMIFS(Issues!H:H, Issues!F:F, $A421, Issues!C:C, $B421, Issues!D:D, $C421, Issues!E:E, $D421), 0)</f>
        <v>0</v>
      </c>
      <c r="G421" s="82">
        <f>IFERROR(SUMIFS(Returns!H:H, Returns!F:F, $A421, Returns!C:C, $B421, Returns!D:D, $C421, Returns!E:E, $D421), 0)</f>
        <v>0</v>
      </c>
      <c r="H421" s="82">
        <f t="shared" si="1"/>
        <v>0</v>
      </c>
      <c r="I421" s="82">
        <f t="shared" si="2"/>
        <v>0</v>
      </c>
      <c r="J421" s="82">
        <f>IFERROR( SUMIFS('Stock In'!I:I,'Stock In'!B:B,$A421,'Stock In'!C:C,$B421,'Stock In'!D:D,$C421,'Stock In'!E:E,$D421) / SUMIFS('Stock In'!H:H,'Stock In'!B:B,$A421,'Stock In'!C:C,$B421,'Stock In'!D:D,$C421,'Stock In'!E:E,$D421), 0)</f>
        <v>0</v>
      </c>
      <c r="K421" s="82">
        <f t="shared" si="3"/>
        <v>0</v>
      </c>
    </row>
    <row r="422">
      <c r="A422" s="80"/>
      <c r="B422" s="80"/>
      <c r="C422" s="80"/>
      <c r="D422" s="80"/>
      <c r="E422" s="82">
        <f>IFERROR(SUMIFS('Stock In'!F:F,'Stock In'!B:B,$A422,'Stock In'!C:C,$B422,'Stock In'!D:D,$C422,'Stock In'!E:E,$D422),0)</f>
        <v>0</v>
      </c>
      <c r="F422" s="82">
        <f>IFERROR(SUMIFS(Issues!H:H, Issues!F:F, $A422, Issues!C:C, $B422, Issues!D:D, $C422, Issues!E:E, $D422), 0)</f>
        <v>0</v>
      </c>
      <c r="G422" s="82">
        <f>IFERROR(SUMIFS(Returns!H:H, Returns!F:F, $A422, Returns!C:C, $B422, Returns!D:D, $C422, Returns!E:E, $D422), 0)</f>
        <v>0</v>
      </c>
      <c r="H422" s="82">
        <f t="shared" si="1"/>
        <v>0</v>
      </c>
      <c r="I422" s="82">
        <f t="shared" si="2"/>
        <v>0</v>
      </c>
      <c r="J422" s="82">
        <f>IFERROR( SUMIFS('Stock In'!I:I,'Stock In'!B:B,$A422,'Stock In'!C:C,$B422,'Stock In'!D:D,$C422,'Stock In'!E:E,$D422) / SUMIFS('Stock In'!H:H,'Stock In'!B:B,$A422,'Stock In'!C:C,$B422,'Stock In'!D:D,$C422,'Stock In'!E:E,$D422), 0)</f>
        <v>0</v>
      </c>
      <c r="K422" s="82">
        <f t="shared" si="3"/>
        <v>0</v>
      </c>
    </row>
    <row r="423">
      <c r="A423" s="80"/>
      <c r="B423" s="80"/>
      <c r="C423" s="80"/>
      <c r="D423" s="80"/>
      <c r="E423" s="82">
        <f>IFERROR(SUMIFS('Stock In'!F:F,'Stock In'!B:B,$A423,'Stock In'!C:C,$B423,'Stock In'!D:D,$C423,'Stock In'!E:E,$D423),0)</f>
        <v>0</v>
      </c>
      <c r="F423" s="82">
        <f>IFERROR(SUMIFS(Issues!H:H, Issues!F:F, $A423, Issues!C:C, $B423, Issues!D:D, $C423, Issues!E:E, $D423), 0)</f>
        <v>0</v>
      </c>
      <c r="G423" s="82">
        <f>IFERROR(SUMIFS(Returns!H:H, Returns!F:F, $A423, Returns!C:C, $B423, Returns!D:D, $C423, Returns!E:E, $D423), 0)</f>
        <v>0</v>
      </c>
      <c r="H423" s="82">
        <f t="shared" si="1"/>
        <v>0</v>
      </c>
      <c r="I423" s="82">
        <f t="shared" si="2"/>
        <v>0</v>
      </c>
      <c r="J423" s="82">
        <f>IFERROR( SUMIFS('Stock In'!I:I,'Stock In'!B:B,$A423,'Stock In'!C:C,$B423,'Stock In'!D:D,$C423,'Stock In'!E:E,$D423) / SUMIFS('Stock In'!H:H,'Stock In'!B:B,$A423,'Stock In'!C:C,$B423,'Stock In'!D:D,$C423,'Stock In'!E:E,$D423), 0)</f>
        <v>0</v>
      </c>
      <c r="K423" s="82">
        <f t="shared" si="3"/>
        <v>0</v>
      </c>
    </row>
    <row r="424">
      <c r="A424" s="80"/>
      <c r="B424" s="80"/>
      <c r="C424" s="80"/>
      <c r="D424" s="80"/>
      <c r="E424" s="82">
        <f>IFERROR(SUMIFS('Stock In'!F:F,'Stock In'!B:B,$A424,'Stock In'!C:C,$B424,'Stock In'!D:D,$C424,'Stock In'!E:E,$D424),0)</f>
        <v>0</v>
      </c>
      <c r="F424" s="82">
        <f>IFERROR(SUMIFS(Issues!H:H, Issues!F:F, $A424, Issues!C:C, $B424, Issues!D:D, $C424, Issues!E:E, $D424), 0)</f>
        <v>0</v>
      </c>
      <c r="G424" s="82">
        <f>IFERROR(SUMIFS(Returns!H:H, Returns!F:F, $A424, Returns!C:C, $B424, Returns!D:D, $C424, Returns!E:E, $D424), 0)</f>
        <v>0</v>
      </c>
      <c r="H424" s="82">
        <f t="shared" si="1"/>
        <v>0</v>
      </c>
      <c r="I424" s="82">
        <f t="shared" si="2"/>
        <v>0</v>
      </c>
      <c r="J424" s="82">
        <f>IFERROR( SUMIFS('Stock In'!I:I,'Stock In'!B:B,$A424,'Stock In'!C:C,$B424,'Stock In'!D:D,$C424,'Stock In'!E:E,$D424) / SUMIFS('Stock In'!H:H,'Stock In'!B:B,$A424,'Stock In'!C:C,$B424,'Stock In'!D:D,$C424,'Stock In'!E:E,$D424), 0)</f>
        <v>0</v>
      </c>
      <c r="K424" s="82">
        <f t="shared" si="3"/>
        <v>0</v>
      </c>
    </row>
    <row r="425">
      <c r="A425" s="80"/>
      <c r="B425" s="80"/>
      <c r="C425" s="80"/>
      <c r="D425" s="80"/>
      <c r="E425" s="82">
        <f>IFERROR(SUMIFS('Stock In'!F:F,'Stock In'!B:B,$A425,'Stock In'!C:C,$B425,'Stock In'!D:D,$C425,'Stock In'!E:E,$D425),0)</f>
        <v>0</v>
      </c>
      <c r="F425" s="82">
        <f>IFERROR(SUMIFS(Issues!H:H, Issues!F:F, $A425, Issues!C:C, $B425, Issues!D:D, $C425, Issues!E:E, $D425), 0)</f>
        <v>0</v>
      </c>
      <c r="G425" s="82">
        <f>IFERROR(SUMIFS(Returns!H:H, Returns!F:F, $A425, Returns!C:C, $B425, Returns!D:D, $C425, Returns!E:E, $D425), 0)</f>
        <v>0</v>
      </c>
      <c r="H425" s="82">
        <f t="shared" si="1"/>
        <v>0</v>
      </c>
      <c r="I425" s="82">
        <f t="shared" si="2"/>
        <v>0</v>
      </c>
      <c r="J425" s="82">
        <f>IFERROR( SUMIFS('Stock In'!I:I,'Stock In'!B:B,$A425,'Stock In'!C:C,$B425,'Stock In'!D:D,$C425,'Stock In'!E:E,$D425) / SUMIFS('Stock In'!H:H,'Stock In'!B:B,$A425,'Stock In'!C:C,$B425,'Stock In'!D:D,$C425,'Stock In'!E:E,$D425), 0)</f>
        <v>0</v>
      </c>
      <c r="K425" s="82">
        <f t="shared" si="3"/>
        <v>0</v>
      </c>
    </row>
    <row r="426">
      <c r="A426" s="80"/>
      <c r="B426" s="80"/>
      <c r="C426" s="80"/>
      <c r="D426" s="80"/>
      <c r="E426" s="82">
        <f>IFERROR(SUMIFS('Stock In'!F:F,'Stock In'!B:B,$A426,'Stock In'!C:C,$B426,'Stock In'!D:D,$C426,'Stock In'!E:E,$D426),0)</f>
        <v>0</v>
      </c>
      <c r="F426" s="82">
        <f>IFERROR(SUMIFS(Issues!H:H, Issues!F:F, $A426, Issues!C:C, $B426, Issues!D:D, $C426, Issues!E:E, $D426), 0)</f>
        <v>0</v>
      </c>
      <c r="G426" s="82">
        <f>IFERROR(SUMIFS(Returns!H:H, Returns!F:F, $A426, Returns!C:C, $B426, Returns!D:D, $C426, Returns!E:E, $D426), 0)</f>
        <v>0</v>
      </c>
      <c r="H426" s="82">
        <f t="shared" si="1"/>
        <v>0</v>
      </c>
      <c r="I426" s="82">
        <f t="shared" si="2"/>
        <v>0</v>
      </c>
      <c r="J426" s="82">
        <f>IFERROR( SUMIFS('Stock In'!I:I,'Stock In'!B:B,$A426,'Stock In'!C:C,$B426,'Stock In'!D:D,$C426,'Stock In'!E:E,$D426) / SUMIFS('Stock In'!H:H,'Stock In'!B:B,$A426,'Stock In'!C:C,$B426,'Stock In'!D:D,$C426,'Stock In'!E:E,$D426), 0)</f>
        <v>0</v>
      </c>
      <c r="K426" s="82">
        <f t="shared" si="3"/>
        <v>0</v>
      </c>
    </row>
    <row r="427">
      <c r="A427" s="80"/>
      <c r="B427" s="80"/>
      <c r="C427" s="80"/>
      <c r="D427" s="80"/>
      <c r="E427" s="82">
        <f>IFERROR(SUMIFS('Stock In'!F:F,'Stock In'!B:B,$A427,'Stock In'!C:C,$B427,'Stock In'!D:D,$C427,'Stock In'!E:E,$D427),0)</f>
        <v>0</v>
      </c>
      <c r="F427" s="82">
        <f>IFERROR(SUMIFS(Issues!H:H, Issues!F:F, $A427, Issues!C:C, $B427, Issues!D:D, $C427, Issues!E:E, $D427), 0)</f>
        <v>0</v>
      </c>
      <c r="G427" s="82">
        <f>IFERROR(SUMIFS(Returns!H:H, Returns!F:F, $A427, Returns!C:C, $B427, Returns!D:D, $C427, Returns!E:E, $D427), 0)</f>
        <v>0</v>
      </c>
      <c r="H427" s="82">
        <f t="shared" si="1"/>
        <v>0</v>
      </c>
      <c r="I427" s="82">
        <f t="shared" si="2"/>
        <v>0</v>
      </c>
      <c r="J427" s="82">
        <f>IFERROR( SUMIFS('Stock In'!I:I,'Stock In'!B:B,$A427,'Stock In'!C:C,$B427,'Stock In'!D:D,$C427,'Stock In'!E:E,$D427) / SUMIFS('Stock In'!H:H,'Stock In'!B:B,$A427,'Stock In'!C:C,$B427,'Stock In'!D:D,$C427,'Stock In'!E:E,$D427), 0)</f>
        <v>0</v>
      </c>
      <c r="K427" s="82">
        <f t="shared" si="3"/>
        <v>0</v>
      </c>
    </row>
    <row r="428">
      <c r="A428" s="80"/>
      <c r="B428" s="80"/>
      <c r="C428" s="80"/>
      <c r="D428" s="80"/>
      <c r="E428" s="82">
        <f>IFERROR(SUMIFS('Stock In'!F:F,'Stock In'!B:B,$A428,'Stock In'!C:C,$B428,'Stock In'!D:D,$C428,'Stock In'!E:E,$D428),0)</f>
        <v>0</v>
      </c>
      <c r="F428" s="82">
        <f>IFERROR(SUMIFS(Issues!H:H, Issues!F:F, $A428, Issues!C:C, $B428, Issues!D:D, $C428, Issues!E:E, $D428), 0)</f>
        <v>0</v>
      </c>
      <c r="G428" s="82">
        <f>IFERROR(SUMIFS(Returns!H:H, Returns!F:F, $A428, Returns!C:C, $B428, Returns!D:D, $C428, Returns!E:E, $D428), 0)</f>
        <v>0</v>
      </c>
      <c r="H428" s="82">
        <f t="shared" si="1"/>
        <v>0</v>
      </c>
      <c r="I428" s="82">
        <f t="shared" si="2"/>
        <v>0</v>
      </c>
      <c r="J428" s="82">
        <f>IFERROR( SUMIFS('Stock In'!I:I,'Stock In'!B:B,$A428,'Stock In'!C:C,$B428,'Stock In'!D:D,$C428,'Stock In'!E:E,$D428) / SUMIFS('Stock In'!H:H,'Stock In'!B:B,$A428,'Stock In'!C:C,$B428,'Stock In'!D:D,$C428,'Stock In'!E:E,$D428), 0)</f>
        <v>0</v>
      </c>
      <c r="K428" s="82">
        <f t="shared" si="3"/>
        <v>0</v>
      </c>
    </row>
    <row r="429">
      <c r="A429" s="80"/>
      <c r="B429" s="80"/>
      <c r="C429" s="80"/>
      <c r="D429" s="80"/>
      <c r="E429" s="82">
        <f>IFERROR(SUMIFS('Stock In'!F:F,'Stock In'!B:B,$A429,'Stock In'!C:C,$B429,'Stock In'!D:D,$C429,'Stock In'!E:E,$D429),0)</f>
        <v>0</v>
      </c>
      <c r="F429" s="82">
        <f>IFERROR(SUMIFS(Issues!H:H, Issues!F:F, $A429, Issues!C:C, $B429, Issues!D:D, $C429, Issues!E:E, $D429), 0)</f>
        <v>0</v>
      </c>
      <c r="G429" s="82">
        <f>IFERROR(SUMIFS(Returns!H:H, Returns!F:F, $A429, Returns!C:C, $B429, Returns!D:D, $C429, Returns!E:E, $D429), 0)</f>
        <v>0</v>
      </c>
      <c r="H429" s="82">
        <f t="shared" si="1"/>
        <v>0</v>
      </c>
      <c r="I429" s="82">
        <f t="shared" si="2"/>
        <v>0</v>
      </c>
      <c r="J429" s="82">
        <f>IFERROR( SUMIFS('Stock In'!I:I,'Stock In'!B:B,$A429,'Stock In'!C:C,$B429,'Stock In'!D:D,$C429,'Stock In'!E:E,$D429) / SUMIFS('Stock In'!H:H,'Stock In'!B:B,$A429,'Stock In'!C:C,$B429,'Stock In'!D:D,$C429,'Stock In'!E:E,$D429), 0)</f>
        <v>0</v>
      </c>
      <c r="K429" s="82">
        <f t="shared" si="3"/>
        <v>0</v>
      </c>
    </row>
    <row r="430">
      <c r="A430" s="80"/>
      <c r="B430" s="80"/>
      <c r="C430" s="80"/>
      <c r="D430" s="80"/>
      <c r="E430" s="82">
        <f>IFERROR(SUMIFS('Stock In'!F:F,'Stock In'!B:B,$A430,'Stock In'!C:C,$B430,'Stock In'!D:D,$C430,'Stock In'!E:E,$D430),0)</f>
        <v>0</v>
      </c>
      <c r="F430" s="82">
        <f>IFERROR(SUMIFS(Issues!H:H, Issues!F:F, $A430, Issues!C:C, $B430, Issues!D:D, $C430, Issues!E:E, $D430), 0)</f>
        <v>0</v>
      </c>
      <c r="G430" s="82">
        <f>IFERROR(SUMIFS(Returns!H:H, Returns!F:F, $A430, Returns!C:C, $B430, Returns!D:D, $C430, Returns!E:E, $D430), 0)</f>
        <v>0</v>
      </c>
      <c r="H430" s="82">
        <f t="shared" si="1"/>
        <v>0</v>
      </c>
      <c r="I430" s="82">
        <f t="shared" si="2"/>
        <v>0</v>
      </c>
      <c r="J430" s="82">
        <f>IFERROR( SUMIFS('Stock In'!I:I,'Stock In'!B:B,$A430,'Stock In'!C:C,$B430,'Stock In'!D:D,$C430,'Stock In'!E:E,$D430) / SUMIFS('Stock In'!H:H,'Stock In'!B:B,$A430,'Stock In'!C:C,$B430,'Stock In'!D:D,$C430,'Stock In'!E:E,$D430), 0)</f>
        <v>0</v>
      </c>
      <c r="K430" s="82">
        <f t="shared" si="3"/>
        <v>0</v>
      </c>
    </row>
    <row r="431">
      <c r="A431" s="80"/>
      <c r="B431" s="80"/>
      <c r="C431" s="80"/>
      <c r="D431" s="80"/>
      <c r="E431" s="82">
        <f>IFERROR(SUMIFS('Stock In'!F:F,'Stock In'!B:B,$A431,'Stock In'!C:C,$B431,'Stock In'!D:D,$C431,'Stock In'!E:E,$D431),0)</f>
        <v>0</v>
      </c>
      <c r="F431" s="82">
        <f>IFERROR(SUMIFS(Issues!H:H, Issues!F:F, $A431, Issues!C:C, $B431, Issues!D:D, $C431, Issues!E:E, $D431), 0)</f>
        <v>0</v>
      </c>
      <c r="G431" s="82">
        <f>IFERROR(SUMIFS(Returns!H:H, Returns!F:F, $A431, Returns!C:C, $B431, Returns!D:D, $C431, Returns!E:E, $D431), 0)</f>
        <v>0</v>
      </c>
      <c r="H431" s="82">
        <f t="shared" si="1"/>
        <v>0</v>
      </c>
      <c r="I431" s="82">
        <f t="shared" si="2"/>
        <v>0</v>
      </c>
      <c r="J431" s="82">
        <f>IFERROR( SUMIFS('Stock In'!I:I,'Stock In'!B:B,$A431,'Stock In'!C:C,$B431,'Stock In'!D:D,$C431,'Stock In'!E:E,$D431) / SUMIFS('Stock In'!H:H,'Stock In'!B:B,$A431,'Stock In'!C:C,$B431,'Stock In'!D:D,$C431,'Stock In'!E:E,$D431), 0)</f>
        <v>0</v>
      </c>
      <c r="K431" s="82">
        <f t="shared" si="3"/>
        <v>0</v>
      </c>
    </row>
    <row r="432">
      <c r="A432" s="80"/>
      <c r="B432" s="80"/>
      <c r="C432" s="80"/>
      <c r="D432" s="80"/>
      <c r="E432" s="82">
        <f>IFERROR(SUMIFS('Stock In'!F:F,'Stock In'!B:B,$A432,'Stock In'!C:C,$B432,'Stock In'!D:D,$C432,'Stock In'!E:E,$D432),0)</f>
        <v>0</v>
      </c>
      <c r="F432" s="82">
        <f>IFERROR(SUMIFS(Issues!H:H, Issues!F:F, $A432, Issues!C:C, $B432, Issues!D:D, $C432, Issues!E:E, $D432), 0)</f>
        <v>0</v>
      </c>
      <c r="G432" s="82">
        <f>IFERROR(SUMIFS(Returns!H:H, Returns!F:F, $A432, Returns!C:C, $B432, Returns!D:D, $C432, Returns!E:E, $D432), 0)</f>
        <v>0</v>
      </c>
      <c r="H432" s="82">
        <f t="shared" si="1"/>
        <v>0</v>
      </c>
      <c r="I432" s="82">
        <f t="shared" si="2"/>
        <v>0</v>
      </c>
      <c r="J432" s="82">
        <f>IFERROR( SUMIFS('Stock In'!I:I,'Stock In'!B:B,$A432,'Stock In'!C:C,$B432,'Stock In'!D:D,$C432,'Stock In'!E:E,$D432) / SUMIFS('Stock In'!H:H,'Stock In'!B:B,$A432,'Stock In'!C:C,$B432,'Stock In'!D:D,$C432,'Stock In'!E:E,$D432), 0)</f>
        <v>0</v>
      </c>
      <c r="K432" s="82">
        <f t="shared" si="3"/>
        <v>0</v>
      </c>
    </row>
    <row r="433">
      <c r="A433" s="80"/>
      <c r="B433" s="80"/>
      <c r="C433" s="80"/>
      <c r="D433" s="80"/>
      <c r="E433" s="82">
        <f>IFERROR(SUMIFS('Stock In'!F:F,'Stock In'!B:B,$A433,'Stock In'!C:C,$B433,'Stock In'!D:D,$C433,'Stock In'!E:E,$D433),0)</f>
        <v>0</v>
      </c>
      <c r="F433" s="82">
        <f>IFERROR(SUMIFS(Issues!H:H, Issues!F:F, $A433, Issues!C:C, $B433, Issues!D:D, $C433, Issues!E:E, $D433), 0)</f>
        <v>0</v>
      </c>
      <c r="G433" s="82">
        <f>IFERROR(SUMIFS(Returns!H:H, Returns!F:F, $A433, Returns!C:C, $B433, Returns!D:D, $C433, Returns!E:E, $D433), 0)</f>
        <v>0</v>
      </c>
      <c r="H433" s="82">
        <f t="shared" si="1"/>
        <v>0</v>
      </c>
      <c r="I433" s="82">
        <f t="shared" si="2"/>
        <v>0</v>
      </c>
      <c r="J433" s="82">
        <f>IFERROR( SUMIFS('Stock In'!I:I,'Stock In'!B:B,$A433,'Stock In'!C:C,$B433,'Stock In'!D:D,$C433,'Stock In'!E:E,$D433) / SUMIFS('Stock In'!H:H,'Stock In'!B:B,$A433,'Stock In'!C:C,$B433,'Stock In'!D:D,$C433,'Stock In'!E:E,$D433), 0)</f>
        <v>0</v>
      </c>
      <c r="K433" s="82">
        <f t="shared" si="3"/>
        <v>0</v>
      </c>
    </row>
    <row r="434">
      <c r="A434" s="80"/>
      <c r="B434" s="80"/>
      <c r="C434" s="80"/>
      <c r="D434" s="80"/>
      <c r="E434" s="82">
        <f>IFERROR(SUMIFS('Stock In'!F:F,'Stock In'!B:B,$A434,'Stock In'!C:C,$B434,'Stock In'!D:D,$C434,'Stock In'!E:E,$D434),0)</f>
        <v>0</v>
      </c>
      <c r="F434" s="82">
        <f>IFERROR(SUMIFS(Issues!H:H, Issues!F:F, $A434, Issues!C:C, $B434, Issues!D:D, $C434, Issues!E:E, $D434), 0)</f>
        <v>0</v>
      </c>
      <c r="G434" s="82">
        <f>IFERROR(SUMIFS(Returns!H:H, Returns!F:F, $A434, Returns!C:C, $B434, Returns!D:D, $C434, Returns!E:E, $D434), 0)</f>
        <v>0</v>
      </c>
      <c r="H434" s="82">
        <f t="shared" si="1"/>
        <v>0</v>
      </c>
      <c r="I434" s="82">
        <f t="shared" si="2"/>
        <v>0</v>
      </c>
      <c r="J434" s="82">
        <f>IFERROR( SUMIFS('Stock In'!I:I,'Stock In'!B:B,$A434,'Stock In'!C:C,$B434,'Stock In'!D:D,$C434,'Stock In'!E:E,$D434) / SUMIFS('Stock In'!H:H,'Stock In'!B:B,$A434,'Stock In'!C:C,$B434,'Stock In'!D:D,$C434,'Stock In'!E:E,$D434), 0)</f>
        <v>0</v>
      </c>
      <c r="K434" s="82">
        <f t="shared" si="3"/>
        <v>0</v>
      </c>
    </row>
    <row r="435">
      <c r="A435" s="80"/>
      <c r="B435" s="80"/>
      <c r="C435" s="80"/>
      <c r="D435" s="80"/>
      <c r="E435" s="82">
        <f>IFERROR(SUMIFS('Stock In'!F:F,'Stock In'!B:B,$A435,'Stock In'!C:C,$B435,'Stock In'!D:D,$C435,'Stock In'!E:E,$D435),0)</f>
        <v>0</v>
      </c>
      <c r="F435" s="82">
        <f>IFERROR(SUMIFS(Issues!H:H, Issues!F:F, $A435, Issues!C:C, $B435, Issues!D:D, $C435, Issues!E:E, $D435), 0)</f>
        <v>0</v>
      </c>
      <c r="G435" s="82">
        <f>IFERROR(SUMIFS(Returns!H:H, Returns!F:F, $A435, Returns!C:C, $B435, Returns!D:D, $C435, Returns!E:E, $D435), 0)</f>
        <v>0</v>
      </c>
      <c r="H435" s="82">
        <f t="shared" si="1"/>
        <v>0</v>
      </c>
      <c r="I435" s="82">
        <f t="shared" si="2"/>
        <v>0</v>
      </c>
      <c r="J435" s="82">
        <f>IFERROR( SUMIFS('Stock In'!I:I,'Stock In'!B:B,$A435,'Stock In'!C:C,$B435,'Stock In'!D:D,$C435,'Stock In'!E:E,$D435) / SUMIFS('Stock In'!H:H,'Stock In'!B:B,$A435,'Stock In'!C:C,$B435,'Stock In'!D:D,$C435,'Stock In'!E:E,$D435), 0)</f>
        <v>0</v>
      </c>
      <c r="K435" s="82">
        <f t="shared" si="3"/>
        <v>0</v>
      </c>
    </row>
    <row r="436">
      <c r="A436" s="80"/>
      <c r="B436" s="80"/>
      <c r="C436" s="80"/>
      <c r="D436" s="80"/>
      <c r="E436" s="82">
        <f>IFERROR(SUMIFS('Stock In'!F:F,'Stock In'!B:B,$A436,'Stock In'!C:C,$B436,'Stock In'!D:D,$C436,'Stock In'!E:E,$D436),0)</f>
        <v>0</v>
      </c>
      <c r="F436" s="82">
        <f>IFERROR(SUMIFS(Issues!H:H, Issues!F:F, $A436, Issues!C:C, $B436, Issues!D:D, $C436, Issues!E:E, $D436), 0)</f>
        <v>0</v>
      </c>
      <c r="G436" s="82">
        <f>IFERROR(SUMIFS(Returns!H:H, Returns!F:F, $A436, Returns!C:C, $B436, Returns!D:D, $C436, Returns!E:E, $D436), 0)</f>
        <v>0</v>
      </c>
      <c r="H436" s="82">
        <f t="shared" si="1"/>
        <v>0</v>
      </c>
      <c r="I436" s="82">
        <f t="shared" si="2"/>
        <v>0</v>
      </c>
      <c r="J436" s="82">
        <f>IFERROR( SUMIFS('Stock In'!I:I,'Stock In'!B:B,$A436,'Stock In'!C:C,$B436,'Stock In'!D:D,$C436,'Stock In'!E:E,$D436) / SUMIFS('Stock In'!H:H,'Stock In'!B:B,$A436,'Stock In'!C:C,$B436,'Stock In'!D:D,$C436,'Stock In'!E:E,$D436), 0)</f>
        <v>0</v>
      </c>
      <c r="K436" s="82">
        <f t="shared" si="3"/>
        <v>0</v>
      </c>
    </row>
    <row r="437">
      <c r="A437" s="80"/>
      <c r="B437" s="80"/>
      <c r="C437" s="80"/>
      <c r="D437" s="80"/>
      <c r="E437" s="82">
        <f>IFERROR(SUMIFS('Stock In'!F:F,'Stock In'!B:B,$A437,'Stock In'!C:C,$B437,'Stock In'!D:D,$C437,'Stock In'!E:E,$D437),0)</f>
        <v>0</v>
      </c>
      <c r="F437" s="82">
        <f>IFERROR(SUMIFS(Issues!H:H, Issues!F:F, $A437, Issues!C:C, $B437, Issues!D:D, $C437, Issues!E:E, $D437), 0)</f>
        <v>0</v>
      </c>
      <c r="G437" s="82">
        <f>IFERROR(SUMIFS(Returns!H:H, Returns!F:F, $A437, Returns!C:C, $B437, Returns!D:D, $C437, Returns!E:E, $D437), 0)</f>
        <v>0</v>
      </c>
      <c r="H437" s="82">
        <f t="shared" si="1"/>
        <v>0</v>
      </c>
      <c r="I437" s="82">
        <f t="shared" si="2"/>
        <v>0</v>
      </c>
      <c r="J437" s="82">
        <f>IFERROR( SUMIFS('Stock In'!I:I,'Stock In'!B:B,$A437,'Stock In'!C:C,$B437,'Stock In'!D:D,$C437,'Stock In'!E:E,$D437) / SUMIFS('Stock In'!H:H,'Stock In'!B:B,$A437,'Stock In'!C:C,$B437,'Stock In'!D:D,$C437,'Stock In'!E:E,$D437), 0)</f>
        <v>0</v>
      </c>
      <c r="K437" s="82">
        <f t="shared" si="3"/>
        <v>0</v>
      </c>
    </row>
    <row r="438">
      <c r="A438" s="80"/>
      <c r="B438" s="80"/>
      <c r="C438" s="80"/>
      <c r="D438" s="80"/>
      <c r="E438" s="82">
        <f>IFERROR(SUMIFS('Stock In'!F:F,'Stock In'!B:B,$A438,'Stock In'!C:C,$B438,'Stock In'!D:D,$C438,'Stock In'!E:E,$D438),0)</f>
        <v>0</v>
      </c>
      <c r="F438" s="82">
        <f>IFERROR(SUMIFS(Issues!H:H, Issues!F:F, $A438, Issues!C:C, $B438, Issues!D:D, $C438, Issues!E:E, $D438), 0)</f>
        <v>0</v>
      </c>
      <c r="G438" s="82">
        <f>IFERROR(SUMIFS(Returns!H:H, Returns!F:F, $A438, Returns!C:C, $B438, Returns!D:D, $C438, Returns!E:E, $D438), 0)</f>
        <v>0</v>
      </c>
      <c r="H438" s="82">
        <f t="shared" si="1"/>
        <v>0</v>
      </c>
      <c r="I438" s="82">
        <f t="shared" si="2"/>
        <v>0</v>
      </c>
      <c r="J438" s="82">
        <f>IFERROR( SUMIFS('Stock In'!I:I,'Stock In'!B:B,$A438,'Stock In'!C:C,$B438,'Stock In'!D:D,$C438,'Stock In'!E:E,$D438) / SUMIFS('Stock In'!H:H,'Stock In'!B:B,$A438,'Stock In'!C:C,$B438,'Stock In'!D:D,$C438,'Stock In'!E:E,$D438), 0)</f>
        <v>0</v>
      </c>
      <c r="K438" s="82">
        <f t="shared" si="3"/>
        <v>0</v>
      </c>
    </row>
    <row r="439">
      <c r="A439" s="80"/>
      <c r="B439" s="80"/>
      <c r="C439" s="80"/>
      <c r="D439" s="80"/>
      <c r="E439" s="82">
        <f>IFERROR(SUMIFS('Stock In'!F:F,'Stock In'!B:B,$A439,'Stock In'!C:C,$B439,'Stock In'!D:D,$C439,'Stock In'!E:E,$D439),0)</f>
        <v>0</v>
      </c>
      <c r="F439" s="82">
        <f>IFERROR(SUMIFS(Issues!H:H, Issues!F:F, $A439, Issues!C:C, $B439, Issues!D:D, $C439, Issues!E:E, $D439), 0)</f>
        <v>0</v>
      </c>
      <c r="G439" s="82">
        <f>IFERROR(SUMIFS(Returns!H:H, Returns!F:F, $A439, Returns!C:C, $B439, Returns!D:D, $C439, Returns!E:E, $D439), 0)</f>
        <v>0</v>
      </c>
      <c r="H439" s="82">
        <f t="shared" si="1"/>
        <v>0</v>
      </c>
      <c r="I439" s="82">
        <f t="shared" si="2"/>
        <v>0</v>
      </c>
      <c r="J439" s="82">
        <f>IFERROR( SUMIFS('Stock In'!I:I,'Stock In'!B:B,$A439,'Stock In'!C:C,$B439,'Stock In'!D:D,$C439,'Stock In'!E:E,$D439) / SUMIFS('Stock In'!H:H,'Stock In'!B:B,$A439,'Stock In'!C:C,$B439,'Stock In'!D:D,$C439,'Stock In'!E:E,$D439), 0)</f>
        <v>0</v>
      </c>
      <c r="K439" s="82">
        <f t="shared" si="3"/>
        <v>0</v>
      </c>
    </row>
    <row r="440">
      <c r="A440" s="80"/>
      <c r="B440" s="80"/>
      <c r="C440" s="80"/>
      <c r="D440" s="80"/>
      <c r="E440" s="82">
        <f>IFERROR(SUMIFS('Stock In'!F:F,'Stock In'!B:B,$A440,'Stock In'!C:C,$B440,'Stock In'!D:D,$C440,'Stock In'!E:E,$D440),0)</f>
        <v>0</v>
      </c>
      <c r="F440" s="82">
        <f>IFERROR(SUMIFS(Issues!H:H, Issues!F:F, $A440, Issues!C:C, $B440, Issues!D:D, $C440, Issues!E:E, $D440), 0)</f>
        <v>0</v>
      </c>
      <c r="G440" s="82">
        <f>IFERROR(SUMIFS(Returns!H:H, Returns!F:F, $A440, Returns!C:C, $B440, Returns!D:D, $C440, Returns!E:E, $D440), 0)</f>
        <v>0</v>
      </c>
      <c r="H440" s="82">
        <f t="shared" si="1"/>
        <v>0</v>
      </c>
      <c r="I440" s="82">
        <f t="shared" si="2"/>
        <v>0</v>
      </c>
      <c r="J440" s="82">
        <f>IFERROR( SUMIFS('Stock In'!I:I,'Stock In'!B:B,$A440,'Stock In'!C:C,$B440,'Stock In'!D:D,$C440,'Stock In'!E:E,$D440) / SUMIFS('Stock In'!H:H,'Stock In'!B:B,$A440,'Stock In'!C:C,$B440,'Stock In'!D:D,$C440,'Stock In'!E:E,$D440), 0)</f>
        <v>0</v>
      </c>
      <c r="K440" s="82">
        <f t="shared" si="3"/>
        <v>0</v>
      </c>
    </row>
    <row r="441">
      <c r="A441" s="80"/>
      <c r="B441" s="80"/>
      <c r="C441" s="80"/>
      <c r="D441" s="80"/>
      <c r="E441" s="82">
        <f>IFERROR(SUMIFS('Stock In'!F:F,'Stock In'!B:B,$A441,'Stock In'!C:C,$B441,'Stock In'!D:D,$C441,'Stock In'!E:E,$D441),0)</f>
        <v>0</v>
      </c>
      <c r="F441" s="82">
        <f>IFERROR(SUMIFS(Issues!H:H, Issues!F:F, $A441, Issues!C:C, $B441, Issues!D:D, $C441, Issues!E:E, $D441), 0)</f>
        <v>0</v>
      </c>
      <c r="G441" s="82">
        <f>IFERROR(SUMIFS(Returns!H:H, Returns!F:F, $A441, Returns!C:C, $B441, Returns!D:D, $C441, Returns!E:E, $D441), 0)</f>
        <v>0</v>
      </c>
      <c r="H441" s="82">
        <f t="shared" si="1"/>
        <v>0</v>
      </c>
      <c r="I441" s="82">
        <f t="shared" si="2"/>
        <v>0</v>
      </c>
      <c r="J441" s="82">
        <f>IFERROR( SUMIFS('Stock In'!I:I,'Stock In'!B:B,$A441,'Stock In'!C:C,$B441,'Stock In'!D:D,$C441,'Stock In'!E:E,$D441) / SUMIFS('Stock In'!H:H,'Stock In'!B:B,$A441,'Stock In'!C:C,$B441,'Stock In'!D:D,$C441,'Stock In'!E:E,$D441), 0)</f>
        <v>0</v>
      </c>
      <c r="K441" s="82">
        <f t="shared" si="3"/>
        <v>0</v>
      </c>
    </row>
    <row r="442">
      <c r="A442" s="80"/>
      <c r="B442" s="80"/>
      <c r="C442" s="80"/>
      <c r="D442" s="80"/>
      <c r="E442" s="82">
        <f>IFERROR(SUMIFS('Stock In'!F:F,'Stock In'!B:B,$A442,'Stock In'!C:C,$B442,'Stock In'!D:D,$C442,'Stock In'!E:E,$D442),0)</f>
        <v>0</v>
      </c>
      <c r="F442" s="82">
        <f>IFERROR(SUMIFS(Issues!H:H, Issues!F:F, $A442, Issues!C:C, $B442, Issues!D:D, $C442, Issues!E:E, $D442), 0)</f>
        <v>0</v>
      </c>
      <c r="G442" s="82">
        <f>IFERROR(SUMIFS(Returns!H:H, Returns!F:F, $A442, Returns!C:C, $B442, Returns!D:D, $C442, Returns!E:E, $D442), 0)</f>
        <v>0</v>
      </c>
      <c r="H442" s="82">
        <f t="shared" si="1"/>
        <v>0</v>
      </c>
      <c r="I442" s="82">
        <f t="shared" si="2"/>
        <v>0</v>
      </c>
      <c r="J442" s="82">
        <f>IFERROR( SUMIFS('Stock In'!I:I,'Stock In'!B:B,$A442,'Stock In'!C:C,$B442,'Stock In'!D:D,$C442,'Stock In'!E:E,$D442) / SUMIFS('Stock In'!H:H,'Stock In'!B:B,$A442,'Stock In'!C:C,$B442,'Stock In'!D:D,$C442,'Stock In'!E:E,$D442), 0)</f>
        <v>0</v>
      </c>
      <c r="K442" s="82">
        <f t="shared" si="3"/>
        <v>0</v>
      </c>
    </row>
    <row r="443">
      <c r="A443" s="80"/>
      <c r="B443" s="80"/>
      <c r="C443" s="80"/>
      <c r="D443" s="80"/>
      <c r="E443" s="82">
        <f>IFERROR(SUMIFS('Stock In'!F:F,'Stock In'!B:B,$A443,'Stock In'!C:C,$B443,'Stock In'!D:D,$C443,'Stock In'!E:E,$D443),0)</f>
        <v>0</v>
      </c>
      <c r="F443" s="82">
        <f>IFERROR(SUMIFS(Issues!H:H, Issues!F:F, $A443, Issues!C:C, $B443, Issues!D:D, $C443, Issues!E:E, $D443), 0)</f>
        <v>0</v>
      </c>
      <c r="G443" s="82">
        <f>IFERROR(SUMIFS(Returns!H:H, Returns!F:F, $A443, Returns!C:C, $B443, Returns!D:D, $C443, Returns!E:E, $D443), 0)</f>
        <v>0</v>
      </c>
      <c r="H443" s="82">
        <f t="shared" si="1"/>
        <v>0</v>
      </c>
      <c r="I443" s="82">
        <f t="shared" si="2"/>
        <v>0</v>
      </c>
      <c r="J443" s="82">
        <f>IFERROR( SUMIFS('Stock In'!I:I,'Stock In'!B:B,$A443,'Stock In'!C:C,$B443,'Stock In'!D:D,$C443,'Stock In'!E:E,$D443) / SUMIFS('Stock In'!H:H,'Stock In'!B:B,$A443,'Stock In'!C:C,$B443,'Stock In'!D:D,$C443,'Stock In'!E:E,$D443), 0)</f>
        <v>0</v>
      </c>
      <c r="K443" s="82">
        <f t="shared" si="3"/>
        <v>0</v>
      </c>
    </row>
    <row r="444">
      <c r="A444" s="80"/>
      <c r="B444" s="80"/>
      <c r="C444" s="80"/>
      <c r="D444" s="80"/>
      <c r="E444" s="82">
        <f>IFERROR(SUMIFS('Stock In'!F:F,'Stock In'!B:B,$A444,'Stock In'!C:C,$B444,'Stock In'!D:D,$C444,'Stock In'!E:E,$D444),0)</f>
        <v>0</v>
      </c>
      <c r="F444" s="82">
        <f>IFERROR(SUMIFS(Issues!H:H, Issues!F:F, $A444, Issues!C:C, $B444, Issues!D:D, $C444, Issues!E:E, $D444), 0)</f>
        <v>0</v>
      </c>
      <c r="G444" s="82">
        <f>IFERROR(SUMIFS(Returns!H:H, Returns!F:F, $A444, Returns!C:C, $B444, Returns!D:D, $C444, Returns!E:E, $D444), 0)</f>
        <v>0</v>
      </c>
      <c r="H444" s="82">
        <f t="shared" si="1"/>
        <v>0</v>
      </c>
      <c r="I444" s="82">
        <f t="shared" si="2"/>
        <v>0</v>
      </c>
      <c r="J444" s="82">
        <f>IFERROR( SUMIFS('Stock In'!I:I,'Stock In'!B:B,$A444,'Stock In'!C:C,$B444,'Stock In'!D:D,$C444,'Stock In'!E:E,$D444) / SUMIFS('Stock In'!H:H,'Stock In'!B:B,$A444,'Stock In'!C:C,$B444,'Stock In'!D:D,$C444,'Stock In'!E:E,$D444), 0)</f>
        <v>0</v>
      </c>
      <c r="K444" s="82">
        <f t="shared" si="3"/>
        <v>0</v>
      </c>
    </row>
    <row r="445">
      <c r="A445" s="80"/>
      <c r="B445" s="80"/>
      <c r="C445" s="80"/>
      <c r="D445" s="80"/>
      <c r="E445" s="82">
        <f>IFERROR(SUMIFS('Stock In'!F:F,'Stock In'!B:B,$A445,'Stock In'!C:C,$B445,'Stock In'!D:D,$C445,'Stock In'!E:E,$D445),0)</f>
        <v>0</v>
      </c>
      <c r="F445" s="82">
        <f>IFERROR(SUMIFS(Issues!H:H, Issues!F:F, $A445, Issues!C:C, $B445, Issues!D:D, $C445, Issues!E:E, $D445), 0)</f>
        <v>0</v>
      </c>
      <c r="G445" s="82">
        <f>IFERROR(SUMIFS(Returns!H:H, Returns!F:F, $A445, Returns!C:C, $B445, Returns!D:D, $C445, Returns!E:E, $D445), 0)</f>
        <v>0</v>
      </c>
      <c r="H445" s="82">
        <f t="shared" si="1"/>
        <v>0</v>
      </c>
      <c r="I445" s="82">
        <f t="shared" si="2"/>
        <v>0</v>
      </c>
      <c r="J445" s="82">
        <f>IFERROR( SUMIFS('Stock In'!I:I,'Stock In'!B:B,$A445,'Stock In'!C:C,$B445,'Stock In'!D:D,$C445,'Stock In'!E:E,$D445) / SUMIFS('Stock In'!H:H,'Stock In'!B:B,$A445,'Stock In'!C:C,$B445,'Stock In'!D:D,$C445,'Stock In'!E:E,$D445), 0)</f>
        <v>0</v>
      </c>
      <c r="K445" s="82">
        <f t="shared" si="3"/>
        <v>0</v>
      </c>
    </row>
    <row r="446">
      <c r="A446" s="80"/>
      <c r="B446" s="80"/>
      <c r="C446" s="80"/>
      <c r="D446" s="80"/>
      <c r="E446" s="82">
        <f>IFERROR(SUMIFS('Stock In'!F:F,'Stock In'!B:B,$A446,'Stock In'!C:C,$B446,'Stock In'!D:D,$C446,'Stock In'!E:E,$D446),0)</f>
        <v>0</v>
      </c>
      <c r="F446" s="82">
        <f>IFERROR(SUMIFS(Issues!H:H, Issues!F:F, $A446, Issues!C:C, $B446, Issues!D:D, $C446, Issues!E:E, $D446), 0)</f>
        <v>0</v>
      </c>
      <c r="G446" s="82">
        <f>IFERROR(SUMIFS(Returns!H:H, Returns!F:F, $A446, Returns!C:C, $B446, Returns!D:D, $C446, Returns!E:E, $D446), 0)</f>
        <v>0</v>
      </c>
      <c r="H446" s="82">
        <f t="shared" si="1"/>
        <v>0</v>
      </c>
      <c r="I446" s="82">
        <f t="shared" si="2"/>
        <v>0</v>
      </c>
      <c r="J446" s="82">
        <f>IFERROR( SUMIFS('Stock In'!I:I,'Stock In'!B:B,$A446,'Stock In'!C:C,$B446,'Stock In'!D:D,$C446,'Stock In'!E:E,$D446) / SUMIFS('Stock In'!H:H,'Stock In'!B:B,$A446,'Stock In'!C:C,$B446,'Stock In'!D:D,$C446,'Stock In'!E:E,$D446), 0)</f>
        <v>0</v>
      </c>
      <c r="K446" s="82">
        <f t="shared" si="3"/>
        <v>0</v>
      </c>
    </row>
    <row r="447">
      <c r="A447" s="80"/>
      <c r="B447" s="80"/>
      <c r="C447" s="80"/>
      <c r="D447" s="80"/>
      <c r="E447" s="82">
        <f>IFERROR(SUMIFS('Stock In'!F:F,'Stock In'!B:B,$A447,'Stock In'!C:C,$B447,'Stock In'!D:D,$C447,'Stock In'!E:E,$D447),0)</f>
        <v>0</v>
      </c>
      <c r="F447" s="82">
        <f>IFERROR(SUMIFS(Issues!H:H, Issues!F:F, $A447, Issues!C:C, $B447, Issues!D:D, $C447, Issues!E:E, $D447), 0)</f>
        <v>0</v>
      </c>
      <c r="G447" s="82">
        <f>IFERROR(SUMIFS(Returns!H:H, Returns!F:F, $A447, Returns!C:C, $B447, Returns!D:D, $C447, Returns!E:E, $D447), 0)</f>
        <v>0</v>
      </c>
      <c r="H447" s="82">
        <f t="shared" si="1"/>
        <v>0</v>
      </c>
      <c r="I447" s="82">
        <f t="shared" si="2"/>
        <v>0</v>
      </c>
      <c r="J447" s="82">
        <f>IFERROR( SUMIFS('Stock In'!I:I,'Stock In'!B:B,$A447,'Stock In'!C:C,$B447,'Stock In'!D:D,$C447,'Stock In'!E:E,$D447) / SUMIFS('Stock In'!H:H,'Stock In'!B:B,$A447,'Stock In'!C:C,$B447,'Stock In'!D:D,$C447,'Stock In'!E:E,$D447), 0)</f>
        <v>0</v>
      </c>
      <c r="K447" s="82">
        <f t="shared" si="3"/>
        <v>0</v>
      </c>
    </row>
    <row r="448">
      <c r="A448" s="80"/>
      <c r="B448" s="80"/>
      <c r="C448" s="80"/>
      <c r="D448" s="80"/>
      <c r="E448" s="82">
        <f>IFERROR(SUMIFS('Stock In'!F:F,'Stock In'!B:B,$A448,'Stock In'!C:C,$B448,'Stock In'!D:D,$C448,'Stock In'!E:E,$D448),0)</f>
        <v>0</v>
      </c>
      <c r="F448" s="82">
        <f>IFERROR(SUMIFS(Issues!H:H, Issues!F:F, $A448, Issues!C:C, $B448, Issues!D:D, $C448, Issues!E:E, $D448), 0)</f>
        <v>0</v>
      </c>
      <c r="G448" s="82">
        <f>IFERROR(SUMIFS(Returns!H:H, Returns!F:F, $A448, Returns!C:C, $B448, Returns!D:D, $C448, Returns!E:E, $D448), 0)</f>
        <v>0</v>
      </c>
      <c r="H448" s="82">
        <f t="shared" si="1"/>
        <v>0</v>
      </c>
      <c r="I448" s="82">
        <f t="shared" si="2"/>
        <v>0</v>
      </c>
      <c r="J448" s="82">
        <f>IFERROR( SUMIFS('Stock In'!I:I,'Stock In'!B:B,$A448,'Stock In'!C:C,$B448,'Stock In'!D:D,$C448,'Stock In'!E:E,$D448) / SUMIFS('Stock In'!H:H,'Stock In'!B:B,$A448,'Stock In'!C:C,$B448,'Stock In'!D:D,$C448,'Stock In'!E:E,$D448), 0)</f>
        <v>0</v>
      </c>
      <c r="K448" s="82">
        <f t="shared" si="3"/>
        <v>0</v>
      </c>
    </row>
    <row r="449">
      <c r="A449" s="80"/>
      <c r="B449" s="80"/>
      <c r="C449" s="80"/>
      <c r="D449" s="80"/>
      <c r="E449" s="82">
        <f>IFERROR(SUMIFS('Stock In'!F:F,'Stock In'!B:B,$A449,'Stock In'!C:C,$B449,'Stock In'!D:D,$C449,'Stock In'!E:E,$D449),0)</f>
        <v>0</v>
      </c>
      <c r="F449" s="82">
        <f>IFERROR(SUMIFS(Issues!H:H, Issues!F:F, $A449, Issues!C:C, $B449, Issues!D:D, $C449, Issues!E:E, $D449), 0)</f>
        <v>0</v>
      </c>
      <c r="G449" s="82">
        <f>IFERROR(SUMIFS(Returns!H:H, Returns!F:F, $A449, Returns!C:C, $B449, Returns!D:D, $C449, Returns!E:E, $D449), 0)</f>
        <v>0</v>
      </c>
      <c r="H449" s="82">
        <f t="shared" si="1"/>
        <v>0</v>
      </c>
      <c r="I449" s="82">
        <f t="shared" si="2"/>
        <v>0</v>
      </c>
      <c r="J449" s="82">
        <f>IFERROR( SUMIFS('Stock In'!I:I,'Stock In'!B:B,$A449,'Stock In'!C:C,$B449,'Stock In'!D:D,$C449,'Stock In'!E:E,$D449) / SUMIFS('Stock In'!H:H,'Stock In'!B:B,$A449,'Stock In'!C:C,$B449,'Stock In'!D:D,$C449,'Stock In'!E:E,$D449), 0)</f>
        <v>0</v>
      </c>
      <c r="K449" s="82">
        <f t="shared" si="3"/>
        <v>0</v>
      </c>
    </row>
    <row r="450">
      <c r="A450" s="80"/>
      <c r="B450" s="80"/>
      <c r="C450" s="80"/>
      <c r="D450" s="80"/>
      <c r="E450" s="82">
        <f>IFERROR(SUMIFS('Stock In'!F:F,'Stock In'!B:B,$A450,'Stock In'!C:C,$B450,'Stock In'!D:D,$C450,'Stock In'!E:E,$D450),0)</f>
        <v>0</v>
      </c>
      <c r="F450" s="82">
        <f>IFERROR(SUMIFS(Issues!H:H, Issues!F:F, $A450, Issues!C:C, $B450, Issues!D:D, $C450, Issues!E:E, $D450), 0)</f>
        <v>0</v>
      </c>
      <c r="G450" s="82">
        <f>IFERROR(SUMIFS(Returns!H:H, Returns!F:F, $A450, Returns!C:C, $B450, Returns!D:D, $C450, Returns!E:E, $D450), 0)</f>
        <v>0</v>
      </c>
      <c r="H450" s="82">
        <f t="shared" si="1"/>
        <v>0</v>
      </c>
      <c r="I450" s="82">
        <f t="shared" si="2"/>
        <v>0</v>
      </c>
      <c r="J450" s="82">
        <f>IFERROR( SUMIFS('Stock In'!I:I,'Stock In'!B:B,$A450,'Stock In'!C:C,$B450,'Stock In'!D:D,$C450,'Stock In'!E:E,$D450) / SUMIFS('Stock In'!H:H,'Stock In'!B:B,$A450,'Stock In'!C:C,$B450,'Stock In'!D:D,$C450,'Stock In'!E:E,$D450), 0)</f>
        <v>0</v>
      </c>
      <c r="K450" s="82">
        <f t="shared" si="3"/>
        <v>0</v>
      </c>
    </row>
    <row r="451">
      <c r="A451" s="80"/>
      <c r="B451" s="80"/>
      <c r="C451" s="80"/>
      <c r="D451" s="80"/>
      <c r="E451" s="82">
        <f>IFERROR(SUMIFS('Stock In'!F:F,'Stock In'!B:B,$A451,'Stock In'!C:C,$B451,'Stock In'!D:D,$C451,'Stock In'!E:E,$D451),0)</f>
        <v>0</v>
      </c>
      <c r="F451" s="82">
        <f>IFERROR(SUMIFS(Issues!H:H, Issues!F:F, $A451, Issues!C:C, $B451, Issues!D:D, $C451, Issues!E:E, $D451), 0)</f>
        <v>0</v>
      </c>
      <c r="G451" s="82">
        <f>IFERROR(SUMIFS(Returns!H:H, Returns!F:F, $A451, Returns!C:C, $B451, Returns!D:D, $C451, Returns!E:E, $D451), 0)</f>
        <v>0</v>
      </c>
      <c r="H451" s="82">
        <f t="shared" si="1"/>
        <v>0</v>
      </c>
      <c r="I451" s="82">
        <f t="shared" si="2"/>
        <v>0</v>
      </c>
      <c r="J451" s="82">
        <f>IFERROR( SUMIFS('Stock In'!I:I,'Stock In'!B:B,$A451,'Stock In'!C:C,$B451,'Stock In'!D:D,$C451,'Stock In'!E:E,$D451) / SUMIFS('Stock In'!H:H,'Stock In'!B:B,$A451,'Stock In'!C:C,$B451,'Stock In'!D:D,$C451,'Stock In'!E:E,$D451), 0)</f>
        <v>0</v>
      </c>
      <c r="K451" s="82">
        <f t="shared" si="3"/>
        <v>0</v>
      </c>
    </row>
    <row r="452">
      <c r="A452" s="80"/>
      <c r="B452" s="80"/>
      <c r="C452" s="80"/>
      <c r="D452" s="80"/>
      <c r="E452" s="82">
        <f>IFERROR(SUMIFS('Stock In'!F:F,'Stock In'!B:B,$A452,'Stock In'!C:C,$B452,'Stock In'!D:D,$C452,'Stock In'!E:E,$D452),0)</f>
        <v>0</v>
      </c>
      <c r="F452" s="82">
        <f>IFERROR(SUMIFS(Issues!H:H, Issues!F:F, $A452, Issues!C:C, $B452, Issues!D:D, $C452, Issues!E:E, $D452), 0)</f>
        <v>0</v>
      </c>
      <c r="G452" s="82">
        <f>IFERROR(SUMIFS(Returns!H:H, Returns!F:F, $A452, Returns!C:C, $B452, Returns!D:D, $C452, Returns!E:E, $D452), 0)</f>
        <v>0</v>
      </c>
      <c r="H452" s="82">
        <f t="shared" si="1"/>
        <v>0</v>
      </c>
      <c r="I452" s="82">
        <f t="shared" si="2"/>
        <v>0</v>
      </c>
      <c r="J452" s="82">
        <f>IFERROR( SUMIFS('Stock In'!I:I,'Stock In'!B:B,$A452,'Stock In'!C:C,$B452,'Stock In'!D:D,$C452,'Stock In'!E:E,$D452) / SUMIFS('Stock In'!H:H,'Stock In'!B:B,$A452,'Stock In'!C:C,$B452,'Stock In'!D:D,$C452,'Stock In'!E:E,$D452), 0)</f>
        <v>0</v>
      </c>
      <c r="K452" s="82">
        <f t="shared" si="3"/>
        <v>0</v>
      </c>
    </row>
    <row r="453">
      <c r="A453" s="80"/>
      <c r="B453" s="80"/>
      <c r="C453" s="80"/>
      <c r="D453" s="80"/>
      <c r="E453" s="82">
        <f>IFERROR(SUMIFS('Stock In'!F:F,'Stock In'!B:B,$A453,'Stock In'!C:C,$B453,'Stock In'!D:D,$C453,'Stock In'!E:E,$D453),0)</f>
        <v>0</v>
      </c>
      <c r="F453" s="82">
        <f>IFERROR(SUMIFS(Issues!H:H, Issues!F:F, $A453, Issues!C:C, $B453, Issues!D:D, $C453, Issues!E:E, $D453), 0)</f>
        <v>0</v>
      </c>
      <c r="G453" s="82">
        <f>IFERROR(SUMIFS(Returns!H:H, Returns!F:F, $A453, Returns!C:C, $B453, Returns!D:D, $C453, Returns!E:E, $D453), 0)</f>
        <v>0</v>
      </c>
      <c r="H453" s="82">
        <f t="shared" si="1"/>
        <v>0</v>
      </c>
      <c r="I453" s="82">
        <f t="shared" si="2"/>
        <v>0</v>
      </c>
      <c r="J453" s="82">
        <f>IFERROR( SUMIFS('Stock In'!I:I,'Stock In'!B:B,$A453,'Stock In'!C:C,$B453,'Stock In'!D:D,$C453,'Stock In'!E:E,$D453) / SUMIFS('Stock In'!H:H,'Stock In'!B:B,$A453,'Stock In'!C:C,$B453,'Stock In'!D:D,$C453,'Stock In'!E:E,$D453), 0)</f>
        <v>0</v>
      </c>
      <c r="K453" s="82">
        <f t="shared" si="3"/>
        <v>0</v>
      </c>
    </row>
    <row r="454">
      <c r="A454" s="80"/>
      <c r="B454" s="80"/>
      <c r="C454" s="80"/>
      <c r="D454" s="80"/>
      <c r="E454" s="82">
        <f>IFERROR(SUMIFS('Stock In'!F:F,'Stock In'!B:B,$A454,'Stock In'!C:C,$B454,'Stock In'!D:D,$C454,'Stock In'!E:E,$D454),0)</f>
        <v>0</v>
      </c>
      <c r="F454" s="82">
        <f>IFERROR(SUMIFS(Issues!H:H, Issues!F:F, $A454, Issues!C:C, $B454, Issues!D:D, $C454, Issues!E:E, $D454), 0)</f>
        <v>0</v>
      </c>
      <c r="G454" s="82">
        <f>IFERROR(SUMIFS(Returns!H:H, Returns!F:F, $A454, Returns!C:C, $B454, Returns!D:D, $C454, Returns!E:E, $D454), 0)</f>
        <v>0</v>
      </c>
      <c r="H454" s="82">
        <f t="shared" si="1"/>
        <v>0</v>
      </c>
      <c r="I454" s="82">
        <f t="shared" si="2"/>
        <v>0</v>
      </c>
      <c r="J454" s="82">
        <f>IFERROR( SUMIFS('Stock In'!I:I,'Stock In'!B:B,$A454,'Stock In'!C:C,$B454,'Stock In'!D:D,$C454,'Stock In'!E:E,$D454) / SUMIFS('Stock In'!H:H,'Stock In'!B:B,$A454,'Stock In'!C:C,$B454,'Stock In'!D:D,$C454,'Stock In'!E:E,$D454), 0)</f>
        <v>0</v>
      </c>
      <c r="K454" s="82">
        <f t="shared" si="3"/>
        <v>0</v>
      </c>
    </row>
    <row r="455">
      <c r="A455" s="80"/>
      <c r="B455" s="80"/>
      <c r="C455" s="80"/>
      <c r="D455" s="80"/>
      <c r="E455" s="82">
        <f>IFERROR(SUMIFS('Stock In'!F:F,'Stock In'!B:B,$A455,'Stock In'!C:C,$B455,'Stock In'!D:D,$C455,'Stock In'!E:E,$D455),0)</f>
        <v>0</v>
      </c>
      <c r="F455" s="82">
        <f>IFERROR(SUMIFS(Issues!H:H, Issues!F:F, $A455, Issues!C:C, $B455, Issues!D:D, $C455, Issues!E:E, $D455), 0)</f>
        <v>0</v>
      </c>
      <c r="G455" s="82">
        <f>IFERROR(SUMIFS(Returns!H:H, Returns!F:F, $A455, Returns!C:C, $B455, Returns!D:D, $C455, Returns!E:E, $D455), 0)</f>
        <v>0</v>
      </c>
      <c r="H455" s="82">
        <f t="shared" si="1"/>
        <v>0</v>
      </c>
      <c r="I455" s="82">
        <f t="shared" si="2"/>
        <v>0</v>
      </c>
      <c r="J455" s="82">
        <f>IFERROR( SUMIFS('Stock In'!I:I,'Stock In'!B:B,$A455,'Stock In'!C:C,$B455,'Stock In'!D:D,$C455,'Stock In'!E:E,$D455) / SUMIFS('Stock In'!H:H,'Stock In'!B:B,$A455,'Stock In'!C:C,$B455,'Stock In'!D:D,$C455,'Stock In'!E:E,$D455), 0)</f>
        <v>0</v>
      </c>
      <c r="K455" s="82">
        <f t="shared" si="3"/>
        <v>0</v>
      </c>
    </row>
    <row r="456">
      <c r="A456" s="80"/>
      <c r="B456" s="80"/>
      <c r="C456" s="80"/>
      <c r="D456" s="80"/>
      <c r="E456" s="82">
        <f>IFERROR(SUMIFS('Stock In'!F:F,'Stock In'!B:B,$A456,'Stock In'!C:C,$B456,'Stock In'!D:D,$C456,'Stock In'!E:E,$D456),0)</f>
        <v>0</v>
      </c>
      <c r="F456" s="82">
        <f>IFERROR(SUMIFS(Issues!H:H, Issues!F:F, $A456, Issues!C:C, $B456, Issues!D:D, $C456, Issues!E:E, $D456), 0)</f>
        <v>0</v>
      </c>
      <c r="G456" s="82">
        <f>IFERROR(SUMIFS(Returns!H:H, Returns!F:F, $A456, Returns!C:C, $B456, Returns!D:D, $C456, Returns!E:E, $D456), 0)</f>
        <v>0</v>
      </c>
      <c r="H456" s="82">
        <f t="shared" si="1"/>
        <v>0</v>
      </c>
      <c r="I456" s="82">
        <f t="shared" si="2"/>
        <v>0</v>
      </c>
      <c r="J456" s="82">
        <f>IFERROR( SUMIFS('Stock In'!I:I,'Stock In'!B:B,$A456,'Stock In'!C:C,$B456,'Stock In'!D:D,$C456,'Stock In'!E:E,$D456) / SUMIFS('Stock In'!H:H,'Stock In'!B:B,$A456,'Stock In'!C:C,$B456,'Stock In'!D:D,$C456,'Stock In'!E:E,$D456), 0)</f>
        <v>0</v>
      </c>
      <c r="K456" s="82">
        <f t="shared" si="3"/>
        <v>0</v>
      </c>
    </row>
    <row r="457">
      <c r="A457" s="80"/>
      <c r="B457" s="80"/>
      <c r="C457" s="80"/>
      <c r="D457" s="80"/>
      <c r="E457" s="82">
        <f>IFERROR(SUMIFS('Stock In'!F:F,'Stock In'!B:B,$A457,'Stock In'!C:C,$B457,'Stock In'!D:D,$C457,'Stock In'!E:E,$D457),0)</f>
        <v>0</v>
      </c>
      <c r="F457" s="82">
        <f>IFERROR(SUMIFS(Issues!H:H, Issues!F:F, $A457, Issues!C:C, $B457, Issues!D:D, $C457, Issues!E:E, $D457), 0)</f>
        <v>0</v>
      </c>
      <c r="G457" s="82">
        <f>IFERROR(SUMIFS(Returns!H:H, Returns!F:F, $A457, Returns!C:C, $B457, Returns!D:D, $C457, Returns!E:E, $D457), 0)</f>
        <v>0</v>
      </c>
      <c r="H457" s="82">
        <f t="shared" si="1"/>
        <v>0</v>
      </c>
      <c r="I457" s="82">
        <f t="shared" si="2"/>
        <v>0</v>
      </c>
      <c r="J457" s="82">
        <f>IFERROR( SUMIFS('Stock In'!I:I,'Stock In'!B:B,$A457,'Stock In'!C:C,$B457,'Stock In'!D:D,$C457,'Stock In'!E:E,$D457) / SUMIFS('Stock In'!H:H,'Stock In'!B:B,$A457,'Stock In'!C:C,$B457,'Stock In'!D:D,$C457,'Stock In'!E:E,$D457), 0)</f>
        <v>0</v>
      </c>
      <c r="K457" s="82">
        <f t="shared" si="3"/>
        <v>0</v>
      </c>
    </row>
    <row r="458">
      <c r="A458" s="80"/>
      <c r="B458" s="80"/>
      <c r="C458" s="80"/>
      <c r="D458" s="80"/>
      <c r="E458" s="82">
        <f>IFERROR(SUMIFS('Stock In'!F:F,'Stock In'!B:B,$A458,'Stock In'!C:C,$B458,'Stock In'!D:D,$C458,'Stock In'!E:E,$D458),0)</f>
        <v>0</v>
      </c>
      <c r="F458" s="82">
        <f>IFERROR(SUMIFS(Issues!H:H, Issues!F:F, $A458, Issues!C:C, $B458, Issues!D:D, $C458, Issues!E:E, $D458), 0)</f>
        <v>0</v>
      </c>
      <c r="G458" s="82">
        <f>IFERROR(SUMIFS(Returns!H:H, Returns!F:F, $A458, Returns!C:C, $B458, Returns!D:D, $C458, Returns!E:E, $D458), 0)</f>
        <v>0</v>
      </c>
      <c r="H458" s="82">
        <f t="shared" si="1"/>
        <v>0</v>
      </c>
      <c r="I458" s="82">
        <f t="shared" si="2"/>
        <v>0</v>
      </c>
      <c r="J458" s="82">
        <f>IFERROR( SUMIFS('Stock In'!I:I,'Stock In'!B:B,$A458,'Stock In'!C:C,$B458,'Stock In'!D:D,$C458,'Stock In'!E:E,$D458) / SUMIFS('Stock In'!H:H,'Stock In'!B:B,$A458,'Stock In'!C:C,$B458,'Stock In'!D:D,$C458,'Stock In'!E:E,$D458), 0)</f>
        <v>0</v>
      </c>
      <c r="K458" s="82">
        <f t="shared" si="3"/>
        <v>0</v>
      </c>
    </row>
    <row r="459">
      <c r="A459" s="80"/>
      <c r="B459" s="80"/>
      <c r="C459" s="80"/>
      <c r="D459" s="80"/>
      <c r="E459" s="82">
        <f>IFERROR(SUMIFS('Stock In'!F:F,'Stock In'!B:B,$A459,'Stock In'!C:C,$B459,'Stock In'!D:D,$C459,'Stock In'!E:E,$D459),0)</f>
        <v>0</v>
      </c>
      <c r="F459" s="82">
        <f>IFERROR(SUMIFS(Issues!H:H, Issues!F:F, $A459, Issues!C:C, $B459, Issues!D:D, $C459, Issues!E:E, $D459), 0)</f>
        <v>0</v>
      </c>
      <c r="G459" s="82">
        <f>IFERROR(SUMIFS(Returns!H:H, Returns!F:F, $A459, Returns!C:C, $B459, Returns!D:D, $C459, Returns!E:E, $D459), 0)</f>
        <v>0</v>
      </c>
      <c r="H459" s="82">
        <f t="shared" si="1"/>
        <v>0</v>
      </c>
      <c r="I459" s="82">
        <f t="shared" si="2"/>
        <v>0</v>
      </c>
      <c r="J459" s="82">
        <f>IFERROR( SUMIFS('Stock In'!I:I,'Stock In'!B:B,$A459,'Stock In'!C:C,$B459,'Stock In'!D:D,$C459,'Stock In'!E:E,$D459) / SUMIFS('Stock In'!H:H,'Stock In'!B:B,$A459,'Stock In'!C:C,$B459,'Stock In'!D:D,$C459,'Stock In'!E:E,$D459), 0)</f>
        <v>0</v>
      </c>
      <c r="K459" s="82">
        <f t="shared" si="3"/>
        <v>0</v>
      </c>
    </row>
    <row r="460">
      <c r="A460" s="80"/>
      <c r="B460" s="80"/>
      <c r="C460" s="80"/>
      <c r="D460" s="80"/>
      <c r="E460" s="82">
        <f>IFERROR(SUMIFS('Stock In'!F:F,'Stock In'!B:B,$A460,'Stock In'!C:C,$B460,'Stock In'!D:D,$C460,'Stock In'!E:E,$D460),0)</f>
        <v>0</v>
      </c>
      <c r="F460" s="82">
        <f>IFERROR(SUMIFS(Issues!H:H, Issues!F:F, $A460, Issues!C:C, $B460, Issues!D:D, $C460, Issues!E:E, $D460), 0)</f>
        <v>0</v>
      </c>
      <c r="G460" s="82">
        <f>IFERROR(SUMIFS(Returns!H:H, Returns!F:F, $A460, Returns!C:C, $B460, Returns!D:D, $C460, Returns!E:E, $D460), 0)</f>
        <v>0</v>
      </c>
      <c r="H460" s="82">
        <f t="shared" si="1"/>
        <v>0</v>
      </c>
      <c r="I460" s="82">
        <f t="shared" si="2"/>
        <v>0</v>
      </c>
      <c r="J460" s="82">
        <f>IFERROR( SUMIFS('Stock In'!I:I,'Stock In'!B:B,$A460,'Stock In'!C:C,$B460,'Stock In'!D:D,$C460,'Stock In'!E:E,$D460) / SUMIFS('Stock In'!H:H,'Stock In'!B:B,$A460,'Stock In'!C:C,$B460,'Stock In'!D:D,$C460,'Stock In'!E:E,$D460), 0)</f>
        <v>0</v>
      </c>
      <c r="K460" s="82">
        <f t="shared" si="3"/>
        <v>0</v>
      </c>
    </row>
    <row r="461">
      <c r="A461" s="80"/>
      <c r="B461" s="80"/>
      <c r="C461" s="80"/>
      <c r="D461" s="80"/>
      <c r="E461" s="82">
        <f>IFERROR(SUMIFS('Stock In'!F:F,'Stock In'!B:B,$A461,'Stock In'!C:C,$B461,'Stock In'!D:D,$C461,'Stock In'!E:E,$D461),0)</f>
        <v>0</v>
      </c>
      <c r="F461" s="82">
        <f>IFERROR(SUMIFS(Issues!H:H, Issues!F:F, $A461, Issues!C:C, $B461, Issues!D:D, $C461, Issues!E:E, $D461), 0)</f>
        <v>0</v>
      </c>
      <c r="G461" s="82">
        <f>IFERROR(SUMIFS(Returns!H:H, Returns!F:F, $A461, Returns!C:C, $B461, Returns!D:D, $C461, Returns!E:E, $D461), 0)</f>
        <v>0</v>
      </c>
      <c r="H461" s="82">
        <f t="shared" si="1"/>
        <v>0</v>
      </c>
      <c r="I461" s="82">
        <f t="shared" si="2"/>
        <v>0</v>
      </c>
      <c r="J461" s="82">
        <f>IFERROR( SUMIFS('Stock In'!I:I,'Stock In'!B:B,$A461,'Stock In'!C:C,$B461,'Stock In'!D:D,$C461,'Stock In'!E:E,$D461) / SUMIFS('Stock In'!H:H,'Stock In'!B:B,$A461,'Stock In'!C:C,$B461,'Stock In'!D:D,$C461,'Stock In'!E:E,$D461), 0)</f>
        <v>0</v>
      </c>
      <c r="K461" s="82">
        <f t="shared" si="3"/>
        <v>0</v>
      </c>
    </row>
    <row r="462">
      <c r="A462" s="80"/>
      <c r="B462" s="80"/>
      <c r="C462" s="80"/>
      <c r="D462" s="80"/>
      <c r="E462" s="82">
        <f>IFERROR(SUMIFS('Stock In'!F:F,'Stock In'!B:B,$A462,'Stock In'!C:C,$B462,'Stock In'!D:D,$C462,'Stock In'!E:E,$D462),0)</f>
        <v>0</v>
      </c>
      <c r="F462" s="82">
        <f>IFERROR(SUMIFS(Issues!H:H, Issues!F:F, $A462, Issues!C:C, $B462, Issues!D:D, $C462, Issues!E:E, $D462), 0)</f>
        <v>0</v>
      </c>
      <c r="G462" s="82">
        <f>IFERROR(SUMIFS(Returns!H:H, Returns!F:F, $A462, Returns!C:C, $B462, Returns!D:D, $C462, Returns!E:E, $D462), 0)</f>
        <v>0</v>
      </c>
      <c r="H462" s="82">
        <f t="shared" si="1"/>
        <v>0</v>
      </c>
      <c r="I462" s="82">
        <f t="shared" si="2"/>
        <v>0</v>
      </c>
      <c r="J462" s="82">
        <f>IFERROR( SUMIFS('Stock In'!I:I,'Stock In'!B:B,$A462,'Stock In'!C:C,$B462,'Stock In'!D:D,$C462,'Stock In'!E:E,$D462) / SUMIFS('Stock In'!H:H,'Stock In'!B:B,$A462,'Stock In'!C:C,$B462,'Stock In'!D:D,$C462,'Stock In'!E:E,$D462), 0)</f>
        <v>0</v>
      </c>
      <c r="K462" s="82">
        <f t="shared" si="3"/>
        <v>0</v>
      </c>
    </row>
    <row r="463">
      <c r="A463" s="80"/>
      <c r="B463" s="80"/>
      <c r="C463" s="80"/>
      <c r="D463" s="80"/>
      <c r="E463" s="82">
        <f>IFERROR(SUMIFS('Stock In'!F:F,'Stock In'!B:B,$A463,'Stock In'!C:C,$B463,'Stock In'!D:D,$C463,'Stock In'!E:E,$D463),0)</f>
        <v>0</v>
      </c>
      <c r="F463" s="82">
        <f>IFERROR(SUMIFS(Issues!H:H, Issues!F:F, $A463, Issues!C:C, $B463, Issues!D:D, $C463, Issues!E:E, $D463), 0)</f>
        <v>0</v>
      </c>
      <c r="G463" s="82">
        <f>IFERROR(SUMIFS(Returns!H:H, Returns!F:F, $A463, Returns!C:C, $B463, Returns!D:D, $C463, Returns!E:E, $D463), 0)</f>
        <v>0</v>
      </c>
      <c r="H463" s="82">
        <f t="shared" si="1"/>
        <v>0</v>
      </c>
      <c r="I463" s="82">
        <f t="shared" si="2"/>
        <v>0</v>
      </c>
      <c r="J463" s="82">
        <f>IFERROR( SUMIFS('Stock In'!I:I,'Stock In'!B:B,$A463,'Stock In'!C:C,$B463,'Stock In'!D:D,$C463,'Stock In'!E:E,$D463) / SUMIFS('Stock In'!H:H,'Stock In'!B:B,$A463,'Stock In'!C:C,$B463,'Stock In'!D:D,$C463,'Stock In'!E:E,$D463), 0)</f>
        <v>0</v>
      </c>
      <c r="K463" s="82">
        <f t="shared" si="3"/>
        <v>0</v>
      </c>
    </row>
    <row r="464">
      <c r="A464" s="80"/>
      <c r="B464" s="80"/>
      <c r="C464" s="80"/>
      <c r="D464" s="80"/>
      <c r="E464" s="82">
        <f>IFERROR(SUMIFS('Stock In'!F:F,'Stock In'!B:B,$A464,'Stock In'!C:C,$B464,'Stock In'!D:D,$C464,'Stock In'!E:E,$D464),0)</f>
        <v>0</v>
      </c>
      <c r="F464" s="82">
        <f>IFERROR(SUMIFS(Issues!H:H, Issues!F:F, $A464, Issues!C:C, $B464, Issues!D:D, $C464, Issues!E:E, $D464), 0)</f>
        <v>0</v>
      </c>
      <c r="G464" s="82">
        <f>IFERROR(SUMIFS(Returns!H:H, Returns!F:F, $A464, Returns!C:C, $B464, Returns!D:D, $C464, Returns!E:E, $D464), 0)</f>
        <v>0</v>
      </c>
      <c r="H464" s="82">
        <f t="shared" si="1"/>
        <v>0</v>
      </c>
      <c r="I464" s="82">
        <f t="shared" si="2"/>
        <v>0</v>
      </c>
      <c r="J464" s="82">
        <f>IFERROR( SUMIFS('Stock In'!I:I,'Stock In'!B:B,$A464,'Stock In'!C:C,$B464,'Stock In'!D:D,$C464,'Stock In'!E:E,$D464) / SUMIFS('Stock In'!H:H,'Stock In'!B:B,$A464,'Stock In'!C:C,$B464,'Stock In'!D:D,$C464,'Stock In'!E:E,$D464), 0)</f>
        <v>0</v>
      </c>
      <c r="K464" s="82">
        <f t="shared" si="3"/>
        <v>0</v>
      </c>
    </row>
    <row r="465">
      <c r="A465" s="80"/>
      <c r="B465" s="80"/>
      <c r="C465" s="80"/>
      <c r="D465" s="80"/>
      <c r="E465" s="82">
        <f>IFERROR(SUMIFS('Stock In'!F:F,'Stock In'!B:B,$A465,'Stock In'!C:C,$B465,'Stock In'!D:D,$C465,'Stock In'!E:E,$D465),0)</f>
        <v>0</v>
      </c>
      <c r="F465" s="82">
        <f>IFERROR(SUMIFS(Issues!H:H, Issues!F:F, $A465, Issues!C:C, $B465, Issues!D:D, $C465, Issues!E:E, $D465), 0)</f>
        <v>0</v>
      </c>
      <c r="G465" s="82">
        <f>IFERROR(SUMIFS(Returns!H:H, Returns!F:F, $A465, Returns!C:C, $B465, Returns!D:D, $C465, Returns!E:E, $D465), 0)</f>
        <v>0</v>
      </c>
      <c r="H465" s="82">
        <f t="shared" si="1"/>
        <v>0</v>
      </c>
      <c r="I465" s="82">
        <f t="shared" si="2"/>
        <v>0</v>
      </c>
      <c r="J465" s="82">
        <f>IFERROR( SUMIFS('Stock In'!I:I,'Stock In'!B:B,$A465,'Stock In'!C:C,$B465,'Stock In'!D:D,$C465,'Stock In'!E:E,$D465) / SUMIFS('Stock In'!H:H,'Stock In'!B:B,$A465,'Stock In'!C:C,$B465,'Stock In'!D:D,$C465,'Stock In'!E:E,$D465), 0)</f>
        <v>0</v>
      </c>
      <c r="K465" s="82">
        <f t="shared" si="3"/>
        <v>0</v>
      </c>
    </row>
    <row r="466">
      <c r="A466" s="80"/>
      <c r="B466" s="80"/>
      <c r="C466" s="80"/>
      <c r="D466" s="80"/>
      <c r="E466" s="82">
        <f>IFERROR(SUMIFS('Stock In'!F:F,'Stock In'!B:B,$A466,'Stock In'!C:C,$B466,'Stock In'!D:D,$C466,'Stock In'!E:E,$D466),0)</f>
        <v>0</v>
      </c>
      <c r="F466" s="82">
        <f>IFERROR(SUMIFS(Issues!H:H, Issues!F:F, $A466, Issues!C:C, $B466, Issues!D:D, $C466, Issues!E:E, $D466), 0)</f>
        <v>0</v>
      </c>
      <c r="G466" s="82">
        <f>IFERROR(SUMIFS(Returns!H:H, Returns!F:F, $A466, Returns!C:C, $B466, Returns!D:D, $C466, Returns!E:E, $D466), 0)</f>
        <v>0</v>
      </c>
      <c r="H466" s="82">
        <f t="shared" si="1"/>
        <v>0</v>
      </c>
      <c r="I466" s="82">
        <f t="shared" si="2"/>
        <v>0</v>
      </c>
      <c r="J466" s="82">
        <f>IFERROR( SUMIFS('Stock In'!I:I,'Stock In'!B:B,$A466,'Stock In'!C:C,$B466,'Stock In'!D:D,$C466,'Stock In'!E:E,$D466) / SUMIFS('Stock In'!H:H,'Stock In'!B:B,$A466,'Stock In'!C:C,$B466,'Stock In'!D:D,$C466,'Stock In'!E:E,$D466), 0)</f>
        <v>0</v>
      </c>
      <c r="K466" s="82">
        <f t="shared" si="3"/>
        <v>0</v>
      </c>
    </row>
    <row r="467">
      <c r="A467" s="80"/>
      <c r="B467" s="80"/>
      <c r="C467" s="80"/>
      <c r="D467" s="80"/>
      <c r="E467" s="82">
        <f>IFERROR(SUMIFS('Stock In'!F:F,'Stock In'!B:B,$A467,'Stock In'!C:C,$B467,'Stock In'!D:D,$C467,'Stock In'!E:E,$D467),0)</f>
        <v>0</v>
      </c>
      <c r="F467" s="82">
        <f>IFERROR(SUMIFS(Issues!H:H, Issues!F:F, $A467, Issues!C:C, $B467, Issues!D:D, $C467, Issues!E:E, $D467), 0)</f>
        <v>0</v>
      </c>
      <c r="G467" s="82">
        <f>IFERROR(SUMIFS(Returns!H:H, Returns!F:F, $A467, Returns!C:C, $B467, Returns!D:D, $C467, Returns!E:E, $D467), 0)</f>
        <v>0</v>
      </c>
      <c r="H467" s="82">
        <f t="shared" si="1"/>
        <v>0</v>
      </c>
      <c r="I467" s="82">
        <f t="shared" si="2"/>
        <v>0</v>
      </c>
      <c r="J467" s="82">
        <f>IFERROR( SUMIFS('Stock In'!I:I,'Stock In'!B:B,$A467,'Stock In'!C:C,$B467,'Stock In'!D:D,$C467,'Stock In'!E:E,$D467) / SUMIFS('Stock In'!H:H,'Stock In'!B:B,$A467,'Stock In'!C:C,$B467,'Stock In'!D:D,$C467,'Stock In'!E:E,$D467), 0)</f>
        <v>0</v>
      </c>
      <c r="K467" s="82">
        <f t="shared" si="3"/>
        <v>0</v>
      </c>
    </row>
    <row r="468">
      <c r="A468" s="80"/>
      <c r="B468" s="80"/>
      <c r="C468" s="80"/>
      <c r="D468" s="80"/>
      <c r="E468" s="82">
        <f>IFERROR(SUMIFS('Stock In'!F:F,'Stock In'!B:B,$A468,'Stock In'!C:C,$B468,'Stock In'!D:D,$C468,'Stock In'!E:E,$D468),0)</f>
        <v>0</v>
      </c>
      <c r="F468" s="82">
        <f>IFERROR(SUMIFS(Issues!H:H, Issues!F:F, $A468, Issues!C:C, $B468, Issues!D:D, $C468, Issues!E:E, $D468), 0)</f>
        <v>0</v>
      </c>
      <c r="G468" s="82">
        <f>IFERROR(SUMIFS(Returns!H:H, Returns!F:F, $A468, Returns!C:C, $B468, Returns!D:D, $C468, Returns!E:E, $D468), 0)</f>
        <v>0</v>
      </c>
      <c r="H468" s="82">
        <f t="shared" si="1"/>
        <v>0</v>
      </c>
      <c r="I468" s="82">
        <f t="shared" si="2"/>
        <v>0</v>
      </c>
      <c r="J468" s="82">
        <f>IFERROR( SUMIFS('Stock In'!I:I,'Stock In'!B:B,$A468,'Stock In'!C:C,$B468,'Stock In'!D:D,$C468,'Stock In'!E:E,$D468) / SUMIFS('Stock In'!H:H,'Stock In'!B:B,$A468,'Stock In'!C:C,$B468,'Stock In'!D:D,$C468,'Stock In'!E:E,$D468), 0)</f>
        <v>0</v>
      </c>
      <c r="K468" s="82">
        <f t="shared" si="3"/>
        <v>0</v>
      </c>
    </row>
    <row r="469">
      <c r="A469" s="80"/>
      <c r="B469" s="80"/>
      <c r="C469" s="80"/>
      <c r="D469" s="80"/>
      <c r="E469" s="82">
        <f>IFERROR(SUMIFS('Stock In'!F:F,'Stock In'!B:B,$A469,'Stock In'!C:C,$B469,'Stock In'!D:D,$C469,'Stock In'!E:E,$D469),0)</f>
        <v>0</v>
      </c>
      <c r="F469" s="82">
        <f>IFERROR(SUMIFS(Issues!H:H, Issues!F:F, $A469, Issues!C:C, $B469, Issues!D:D, $C469, Issues!E:E, $D469), 0)</f>
        <v>0</v>
      </c>
      <c r="G469" s="82">
        <f>IFERROR(SUMIFS(Returns!H:H, Returns!F:F, $A469, Returns!C:C, $B469, Returns!D:D, $C469, Returns!E:E, $D469), 0)</f>
        <v>0</v>
      </c>
      <c r="H469" s="82">
        <f t="shared" si="1"/>
        <v>0</v>
      </c>
      <c r="I469" s="82">
        <f t="shared" si="2"/>
        <v>0</v>
      </c>
      <c r="J469" s="82">
        <f>IFERROR( SUMIFS('Stock In'!I:I,'Stock In'!B:B,$A469,'Stock In'!C:C,$B469,'Stock In'!D:D,$C469,'Stock In'!E:E,$D469) / SUMIFS('Stock In'!H:H,'Stock In'!B:B,$A469,'Stock In'!C:C,$B469,'Stock In'!D:D,$C469,'Stock In'!E:E,$D469), 0)</f>
        <v>0</v>
      </c>
      <c r="K469" s="82">
        <f t="shared" si="3"/>
        <v>0</v>
      </c>
    </row>
    <row r="470">
      <c r="A470" s="80"/>
      <c r="B470" s="80"/>
      <c r="C470" s="80"/>
      <c r="D470" s="80"/>
      <c r="E470" s="82">
        <f>IFERROR(SUMIFS('Stock In'!F:F,'Stock In'!B:B,$A470,'Stock In'!C:C,$B470,'Stock In'!D:D,$C470,'Stock In'!E:E,$D470),0)</f>
        <v>0</v>
      </c>
      <c r="F470" s="82">
        <f>IFERROR(SUMIFS(Issues!H:H, Issues!F:F, $A470, Issues!C:C, $B470, Issues!D:D, $C470, Issues!E:E, $D470), 0)</f>
        <v>0</v>
      </c>
      <c r="G470" s="82">
        <f>IFERROR(SUMIFS(Returns!H:H, Returns!F:F, $A470, Returns!C:C, $B470, Returns!D:D, $C470, Returns!E:E, $D470), 0)</f>
        <v>0</v>
      </c>
      <c r="H470" s="82">
        <f t="shared" si="1"/>
        <v>0</v>
      </c>
      <c r="I470" s="82">
        <f t="shared" si="2"/>
        <v>0</v>
      </c>
      <c r="J470" s="82">
        <f>IFERROR( SUMIFS('Stock In'!I:I,'Stock In'!B:B,$A470,'Stock In'!C:C,$B470,'Stock In'!D:D,$C470,'Stock In'!E:E,$D470) / SUMIFS('Stock In'!H:H,'Stock In'!B:B,$A470,'Stock In'!C:C,$B470,'Stock In'!D:D,$C470,'Stock In'!E:E,$D470), 0)</f>
        <v>0</v>
      </c>
      <c r="K470" s="82">
        <f t="shared" si="3"/>
        <v>0</v>
      </c>
    </row>
    <row r="471">
      <c r="A471" s="80"/>
      <c r="B471" s="80"/>
      <c r="C471" s="80"/>
      <c r="D471" s="80"/>
      <c r="E471" s="82">
        <f>IFERROR(SUMIFS('Stock In'!F:F,'Stock In'!B:B,$A471,'Stock In'!C:C,$B471,'Stock In'!D:D,$C471,'Stock In'!E:E,$D471),0)</f>
        <v>0</v>
      </c>
      <c r="F471" s="82">
        <f>IFERROR(SUMIFS(Issues!H:H, Issues!F:F, $A471, Issues!C:C, $B471, Issues!D:D, $C471, Issues!E:E, $D471), 0)</f>
        <v>0</v>
      </c>
      <c r="G471" s="82">
        <f>IFERROR(SUMIFS(Returns!H:H, Returns!F:F, $A471, Returns!C:C, $B471, Returns!D:D, $C471, Returns!E:E, $D471), 0)</f>
        <v>0</v>
      </c>
      <c r="H471" s="82">
        <f t="shared" si="1"/>
        <v>0</v>
      </c>
      <c r="I471" s="82">
        <f t="shared" si="2"/>
        <v>0</v>
      </c>
      <c r="J471" s="82">
        <f>IFERROR( SUMIFS('Stock In'!I:I,'Stock In'!B:B,$A471,'Stock In'!C:C,$B471,'Stock In'!D:D,$C471,'Stock In'!E:E,$D471) / SUMIFS('Stock In'!H:H,'Stock In'!B:B,$A471,'Stock In'!C:C,$B471,'Stock In'!D:D,$C471,'Stock In'!E:E,$D471), 0)</f>
        <v>0</v>
      </c>
      <c r="K471" s="82">
        <f t="shared" si="3"/>
        <v>0</v>
      </c>
    </row>
    <row r="472">
      <c r="A472" s="80"/>
      <c r="B472" s="80"/>
      <c r="C472" s="80"/>
      <c r="D472" s="80"/>
      <c r="E472" s="82">
        <f>IFERROR(SUMIFS('Stock In'!F:F,'Stock In'!B:B,$A472,'Stock In'!C:C,$B472,'Stock In'!D:D,$C472,'Stock In'!E:E,$D472),0)</f>
        <v>0</v>
      </c>
      <c r="F472" s="82">
        <f>IFERROR(SUMIFS(Issues!H:H, Issues!F:F, $A472, Issues!C:C, $B472, Issues!D:D, $C472, Issues!E:E, $D472), 0)</f>
        <v>0</v>
      </c>
      <c r="G472" s="82">
        <f>IFERROR(SUMIFS(Returns!H:H, Returns!F:F, $A472, Returns!C:C, $B472, Returns!D:D, $C472, Returns!E:E, $D472), 0)</f>
        <v>0</v>
      </c>
      <c r="H472" s="82">
        <f t="shared" si="1"/>
        <v>0</v>
      </c>
      <c r="I472" s="82">
        <f t="shared" si="2"/>
        <v>0</v>
      </c>
      <c r="J472" s="82">
        <f>IFERROR( SUMIFS('Stock In'!I:I,'Stock In'!B:B,$A472,'Stock In'!C:C,$B472,'Stock In'!D:D,$C472,'Stock In'!E:E,$D472) / SUMIFS('Stock In'!H:H,'Stock In'!B:B,$A472,'Stock In'!C:C,$B472,'Stock In'!D:D,$C472,'Stock In'!E:E,$D472), 0)</f>
        <v>0</v>
      </c>
      <c r="K472" s="82">
        <f t="shared" si="3"/>
        <v>0</v>
      </c>
    </row>
    <row r="473">
      <c r="A473" s="80"/>
      <c r="B473" s="80"/>
      <c r="C473" s="80"/>
      <c r="D473" s="80"/>
      <c r="E473" s="82">
        <f>IFERROR(SUMIFS('Stock In'!F:F,'Stock In'!B:B,$A473,'Stock In'!C:C,$B473,'Stock In'!D:D,$C473,'Stock In'!E:E,$D473),0)</f>
        <v>0</v>
      </c>
      <c r="F473" s="82">
        <f>IFERROR(SUMIFS(Issues!H:H, Issues!F:F, $A473, Issues!C:C, $B473, Issues!D:D, $C473, Issues!E:E, $D473), 0)</f>
        <v>0</v>
      </c>
      <c r="G473" s="82">
        <f>IFERROR(SUMIFS(Returns!H:H, Returns!F:F, $A473, Returns!C:C, $B473, Returns!D:D, $C473, Returns!E:E, $D473), 0)</f>
        <v>0</v>
      </c>
      <c r="H473" s="82">
        <f t="shared" si="1"/>
        <v>0</v>
      </c>
      <c r="I473" s="82">
        <f t="shared" si="2"/>
        <v>0</v>
      </c>
      <c r="J473" s="82">
        <f>IFERROR( SUMIFS('Stock In'!I:I,'Stock In'!B:B,$A473,'Stock In'!C:C,$B473,'Stock In'!D:D,$C473,'Stock In'!E:E,$D473) / SUMIFS('Stock In'!H:H,'Stock In'!B:B,$A473,'Stock In'!C:C,$B473,'Stock In'!D:D,$C473,'Stock In'!E:E,$D473), 0)</f>
        <v>0</v>
      </c>
      <c r="K473" s="82">
        <f t="shared" si="3"/>
        <v>0</v>
      </c>
    </row>
    <row r="474">
      <c r="A474" s="80"/>
      <c r="B474" s="80"/>
      <c r="C474" s="80"/>
      <c r="D474" s="80"/>
      <c r="E474" s="82">
        <f>IFERROR(SUMIFS('Stock In'!F:F,'Stock In'!B:B,$A474,'Stock In'!C:C,$B474,'Stock In'!D:D,$C474,'Stock In'!E:E,$D474),0)</f>
        <v>0</v>
      </c>
      <c r="F474" s="82">
        <f>IFERROR(SUMIFS(Issues!H:H, Issues!F:F, $A474, Issues!C:C, $B474, Issues!D:D, $C474, Issues!E:E, $D474), 0)</f>
        <v>0</v>
      </c>
      <c r="G474" s="82">
        <f>IFERROR(SUMIFS(Returns!H:H, Returns!F:F, $A474, Returns!C:C, $B474, Returns!D:D, $C474, Returns!E:E, $D474), 0)</f>
        <v>0</v>
      </c>
      <c r="H474" s="82">
        <f t="shared" si="1"/>
        <v>0</v>
      </c>
      <c r="I474" s="82">
        <f t="shared" si="2"/>
        <v>0</v>
      </c>
      <c r="J474" s="82">
        <f>IFERROR( SUMIFS('Stock In'!I:I,'Stock In'!B:B,$A474,'Stock In'!C:C,$B474,'Stock In'!D:D,$C474,'Stock In'!E:E,$D474) / SUMIFS('Stock In'!H:H,'Stock In'!B:B,$A474,'Stock In'!C:C,$B474,'Stock In'!D:D,$C474,'Stock In'!E:E,$D474), 0)</f>
        <v>0</v>
      </c>
      <c r="K474" s="82">
        <f t="shared" si="3"/>
        <v>0</v>
      </c>
    </row>
    <row r="475">
      <c r="A475" s="80"/>
      <c r="B475" s="80"/>
      <c r="C475" s="80"/>
      <c r="D475" s="80"/>
      <c r="E475" s="82">
        <f>IFERROR(SUMIFS('Stock In'!F:F,'Stock In'!B:B,$A475,'Stock In'!C:C,$B475,'Stock In'!D:D,$C475,'Stock In'!E:E,$D475),0)</f>
        <v>0</v>
      </c>
      <c r="F475" s="82">
        <f>IFERROR(SUMIFS(Issues!H:H, Issues!F:F, $A475, Issues!C:C, $B475, Issues!D:D, $C475, Issues!E:E, $D475), 0)</f>
        <v>0</v>
      </c>
      <c r="G475" s="82">
        <f>IFERROR(SUMIFS(Returns!H:H, Returns!F:F, $A475, Returns!C:C, $B475, Returns!D:D, $C475, Returns!E:E, $D475), 0)</f>
        <v>0</v>
      </c>
      <c r="H475" s="82">
        <f t="shared" si="1"/>
        <v>0</v>
      </c>
      <c r="I475" s="82">
        <f t="shared" si="2"/>
        <v>0</v>
      </c>
      <c r="J475" s="82">
        <f>IFERROR( SUMIFS('Stock In'!I:I,'Stock In'!B:B,$A475,'Stock In'!C:C,$B475,'Stock In'!D:D,$C475,'Stock In'!E:E,$D475) / SUMIFS('Stock In'!H:H,'Stock In'!B:B,$A475,'Stock In'!C:C,$B475,'Stock In'!D:D,$C475,'Stock In'!E:E,$D475), 0)</f>
        <v>0</v>
      </c>
      <c r="K475" s="82">
        <f t="shared" si="3"/>
        <v>0</v>
      </c>
    </row>
    <row r="476">
      <c r="A476" s="80"/>
      <c r="B476" s="80"/>
      <c r="C476" s="80"/>
      <c r="D476" s="80"/>
      <c r="E476" s="82">
        <f>IFERROR(SUMIFS('Stock In'!F:F,'Stock In'!B:B,$A476,'Stock In'!C:C,$B476,'Stock In'!D:D,$C476,'Stock In'!E:E,$D476),0)</f>
        <v>0</v>
      </c>
      <c r="F476" s="82">
        <f>IFERROR(SUMIFS(Issues!H:H, Issues!F:F, $A476, Issues!C:C, $B476, Issues!D:D, $C476, Issues!E:E, $D476), 0)</f>
        <v>0</v>
      </c>
      <c r="G476" s="82">
        <f>IFERROR(SUMIFS(Returns!H:H, Returns!F:F, $A476, Returns!C:C, $B476, Returns!D:D, $C476, Returns!E:E, $D476), 0)</f>
        <v>0</v>
      </c>
      <c r="H476" s="82">
        <f t="shared" si="1"/>
        <v>0</v>
      </c>
      <c r="I476" s="82">
        <f t="shared" si="2"/>
        <v>0</v>
      </c>
      <c r="J476" s="82">
        <f>IFERROR( SUMIFS('Stock In'!I:I,'Stock In'!B:B,$A476,'Stock In'!C:C,$B476,'Stock In'!D:D,$C476,'Stock In'!E:E,$D476) / SUMIFS('Stock In'!H:H,'Stock In'!B:B,$A476,'Stock In'!C:C,$B476,'Stock In'!D:D,$C476,'Stock In'!E:E,$D476), 0)</f>
        <v>0</v>
      </c>
      <c r="K476" s="82">
        <f t="shared" si="3"/>
        <v>0</v>
      </c>
    </row>
    <row r="477">
      <c r="A477" s="80"/>
      <c r="B477" s="80"/>
      <c r="C477" s="80"/>
      <c r="D477" s="80"/>
      <c r="E477" s="82">
        <f>IFERROR(SUMIFS('Stock In'!F:F,'Stock In'!B:B,$A477,'Stock In'!C:C,$B477,'Stock In'!D:D,$C477,'Stock In'!E:E,$D477),0)</f>
        <v>0</v>
      </c>
      <c r="F477" s="82">
        <f>IFERROR(SUMIFS(Issues!H:H, Issues!F:F, $A477, Issues!C:C, $B477, Issues!D:D, $C477, Issues!E:E, $D477), 0)</f>
        <v>0</v>
      </c>
      <c r="G477" s="82">
        <f>IFERROR(SUMIFS(Returns!H:H, Returns!F:F, $A477, Returns!C:C, $B477, Returns!D:D, $C477, Returns!E:E, $D477), 0)</f>
        <v>0</v>
      </c>
      <c r="H477" s="82">
        <f t="shared" si="1"/>
        <v>0</v>
      </c>
      <c r="I477" s="82">
        <f t="shared" si="2"/>
        <v>0</v>
      </c>
      <c r="J477" s="82">
        <f>IFERROR( SUMIFS('Stock In'!I:I,'Stock In'!B:B,$A477,'Stock In'!C:C,$B477,'Stock In'!D:D,$C477,'Stock In'!E:E,$D477) / SUMIFS('Stock In'!H:H,'Stock In'!B:B,$A477,'Stock In'!C:C,$B477,'Stock In'!D:D,$C477,'Stock In'!E:E,$D477), 0)</f>
        <v>0</v>
      </c>
      <c r="K477" s="82">
        <f t="shared" si="3"/>
        <v>0</v>
      </c>
    </row>
    <row r="478">
      <c r="A478" s="80"/>
      <c r="B478" s="80"/>
      <c r="C478" s="80"/>
      <c r="D478" s="80"/>
      <c r="E478" s="82">
        <f>IFERROR(SUMIFS('Stock In'!F:F,'Stock In'!B:B,$A478,'Stock In'!C:C,$B478,'Stock In'!D:D,$C478,'Stock In'!E:E,$D478),0)</f>
        <v>0</v>
      </c>
      <c r="F478" s="82">
        <f>IFERROR(SUMIFS(Issues!H:H, Issues!F:F, $A478, Issues!C:C, $B478, Issues!D:D, $C478, Issues!E:E, $D478), 0)</f>
        <v>0</v>
      </c>
      <c r="G478" s="82">
        <f>IFERROR(SUMIFS(Returns!H:H, Returns!F:F, $A478, Returns!C:C, $B478, Returns!D:D, $C478, Returns!E:E, $D478), 0)</f>
        <v>0</v>
      </c>
      <c r="H478" s="82">
        <f t="shared" si="1"/>
        <v>0</v>
      </c>
      <c r="I478" s="82">
        <f t="shared" si="2"/>
        <v>0</v>
      </c>
      <c r="J478" s="82">
        <f>IFERROR( SUMIFS('Stock In'!I:I,'Stock In'!B:B,$A478,'Stock In'!C:C,$B478,'Stock In'!D:D,$C478,'Stock In'!E:E,$D478) / SUMIFS('Stock In'!H:H,'Stock In'!B:B,$A478,'Stock In'!C:C,$B478,'Stock In'!D:D,$C478,'Stock In'!E:E,$D478), 0)</f>
        <v>0</v>
      </c>
      <c r="K478" s="82">
        <f t="shared" si="3"/>
        <v>0</v>
      </c>
    </row>
    <row r="479">
      <c r="A479" s="80"/>
      <c r="B479" s="80"/>
      <c r="C479" s="80"/>
      <c r="D479" s="80"/>
      <c r="E479" s="82">
        <f>IFERROR(SUMIFS('Stock In'!F:F,'Stock In'!B:B,$A479,'Stock In'!C:C,$B479,'Stock In'!D:D,$C479,'Stock In'!E:E,$D479),0)</f>
        <v>0</v>
      </c>
      <c r="F479" s="82">
        <f>IFERROR(SUMIFS(Issues!H:H, Issues!F:F, $A479, Issues!C:C, $B479, Issues!D:D, $C479, Issues!E:E, $D479), 0)</f>
        <v>0</v>
      </c>
      <c r="G479" s="82">
        <f>IFERROR(SUMIFS(Returns!H:H, Returns!F:F, $A479, Returns!C:C, $B479, Returns!D:D, $C479, Returns!E:E, $D479), 0)</f>
        <v>0</v>
      </c>
      <c r="H479" s="82">
        <f t="shared" si="1"/>
        <v>0</v>
      </c>
      <c r="I479" s="82">
        <f t="shared" si="2"/>
        <v>0</v>
      </c>
      <c r="J479" s="82">
        <f>IFERROR( SUMIFS('Stock In'!I:I,'Stock In'!B:B,$A479,'Stock In'!C:C,$B479,'Stock In'!D:D,$C479,'Stock In'!E:E,$D479) / SUMIFS('Stock In'!H:H,'Stock In'!B:B,$A479,'Stock In'!C:C,$B479,'Stock In'!D:D,$C479,'Stock In'!E:E,$D479), 0)</f>
        <v>0</v>
      </c>
      <c r="K479" s="82">
        <f t="shared" si="3"/>
        <v>0</v>
      </c>
    </row>
    <row r="480">
      <c r="A480" s="80"/>
      <c r="B480" s="80"/>
      <c r="C480" s="80"/>
      <c r="D480" s="80"/>
      <c r="E480" s="82">
        <f>IFERROR(SUMIFS('Stock In'!F:F,'Stock In'!B:B,$A480,'Stock In'!C:C,$B480,'Stock In'!D:D,$C480,'Stock In'!E:E,$D480),0)</f>
        <v>0</v>
      </c>
      <c r="F480" s="82">
        <f>IFERROR(SUMIFS(Issues!H:H, Issues!F:F, $A480, Issues!C:C, $B480, Issues!D:D, $C480, Issues!E:E, $D480), 0)</f>
        <v>0</v>
      </c>
      <c r="G480" s="82">
        <f>IFERROR(SUMIFS(Returns!H:H, Returns!F:F, $A480, Returns!C:C, $B480, Returns!D:D, $C480, Returns!E:E, $D480), 0)</f>
        <v>0</v>
      </c>
      <c r="H480" s="82">
        <f t="shared" si="1"/>
        <v>0</v>
      </c>
      <c r="I480" s="82">
        <f t="shared" si="2"/>
        <v>0</v>
      </c>
      <c r="J480" s="82">
        <f>IFERROR( SUMIFS('Stock In'!I:I,'Stock In'!B:B,$A480,'Stock In'!C:C,$B480,'Stock In'!D:D,$C480,'Stock In'!E:E,$D480) / SUMIFS('Stock In'!H:H,'Stock In'!B:B,$A480,'Stock In'!C:C,$B480,'Stock In'!D:D,$C480,'Stock In'!E:E,$D480), 0)</f>
        <v>0</v>
      </c>
      <c r="K480" s="82">
        <f t="shared" si="3"/>
        <v>0</v>
      </c>
    </row>
    <row r="481">
      <c r="A481" s="80"/>
      <c r="B481" s="80"/>
      <c r="C481" s="80"/>
      <c r="D481" s="80"/>
      <c r="E481" s="82">
        <f>IFERROR(SUMIFS('Stock In'!F:F,'Stock In'!B:B,$A481,'Stock In'!C:C,$B481,'Stock In'!D:D,$C481,'Stock In'!E:E,$D481),0)</f>
        <v>0</v>
      </c>
      <c r="F481" s="82">
        <f>IFERROR(SUMIFS(Issues!H:H, Issues!F:F, $A481, Issues!C:C, $B481, Issues!D:D, $C481, Issues!E:E, $D481), 0)</f>
        <v>0</v>
      </c>
      <c r="G481" s="82">
        <f>IFERROR(SUMIFS(Returns!H:H, Returns!F:F, $A481, Returns!C:C, $B481, Returns!D:D, $C481, Returns!E:E, $D481), 0)</f>
        <v>0</v>
      </c>
      <c r="H481" s="82">
        <f t="shared" si="1"/>
        <v>0</v>
      </c>
      <c r="I481" s="82">
        <f t="shared" si="2"/>
        <v>0</v>
      </c>
      <c r="J481" s="82">
        <f>IFERROR( SUMIFS('Stock In'!I:I,'Stock In'!B:B,$A481,'Stock In'!C:C,$B481,'Stock In'!D:D,$C481,'Stock In'!E:E,$D481) / SUMIFS('Stock In'!H:H,'Stock In'!B:B,$A481,'Stock In'!C:C,$B481,'Stock In'!D:D,$C481,'Stock In'!E:E,$D481), 0)</f>
        <v>0</v>
      </c>
      <c r="K481" s="82">
        <f t="shared" si="3"/>
        <v>0</v>
      </c>
    </row>
    <row r="482">
      <c r="A482" s="80"/>
      <c r="B482" s="80"/>
      <c r="C482" s="80"/>
      <c r="D482" s="80"/>
      <c r="E482" s="82">
        <f>IFERROR(SUMIFS('Stock In'!F:F,'Stock In'!B:B,$A482,'Stock In'!C:C,$B482,'Stock In'!D:D,$C482,'Stock In'!E:E,$D482),0)</f>
        <v>0</v>
      </c>
      <c r="F482" s="82">
        <f>IFERROR(SUMIFS(Issues!H:H, Issues!F:F, $A482, Issues!C:C, $B482, Issues!D:D, $C482, Issues!E:E, $D482), 0)</f>
        <v>0</v>
      </c>
      <c r="G482" s="82">
        <f>IFERROR(SUMIFS(Returns!H:H, Returns!F:F, $A482, Returns!C:C, $B482, Returns!D:D, $C482, Returns!E:E, $D482), 0)</f>
        <v>0</v>
      </c>
      <c r="H482" s="82">
        <f t="shared" si="1"/>
        <v>0</v>
      </c>
      <c r="I482" s="82">
        <f t="shared" si="2"/>
        <v>0</v>
      </c>
      <c r="J482" s="82">
        <f>IFERROR( SUMIFS('Stock In'!I:I,'Stock In'!B:B,$A482,'Stock In'!C:C,$B482,'Stock In'!D:D,$C482,'Stock In'!E:E,$D482) / SUMIFS('Stock In'!H:H,'Stock In'!B:B,$A482,'Stock In'!C:C,$B482,'Stock In'!D:D,$C482,'Stock In'!E:E,$D482), 0)</f>
        <v>0</v>
      </c>
      <c r="K482" s="82">
        <f t="shared" si="3"/>
        <v>0</v>
      </c>
    </row>
    <row r="483">
      <c r="A483" s="80"/>
      <c r="B483" s="80"/>
      <c r="C483" s="80"/>
      <c r="D483" s="80"/>
      <c r="E483" s="82">
        <f>IFERROR(SUMIFS('Stock In'!F:F,'Stock In'!B:B,$A483,'Stock In'!C:C,$B483,'Stock In'!D:D,$C483,'Stock In'!E:E,$D483),0)</f>
        <v>0</v>
      </c>
      <c r="F483" s="82">
        <f>IFERROR(SUMIFS(Issues!H:H, Issues!F:F, $A483, Issues!C:C, $B483, Issues!D:D, $C483, Issues!E:E, $D483), 0)</f>
        <v>0</v>
      </c>
      <c r="G483" s="82">
        <f>IFERROR(SUMIFS(Returns!H:H, Returns!F:F, $A483, Returns!C:C, $B483, Returns!D:D, $C483, Returns!E:E, $D483), 0)</f>
        <v>0</v>
      </c>
      <c r="H483" s="82">
        <f t="shared" si="1"/>
        <v>0</v>
      </c>
      <c r="I483" s="82">
        <f t="shared" si="2"/>
        <v>0</v>
      </c>
      <c r="J483" s="82">
        <f>IFERROR( SUMIFS('Stock In'!I:I,'Stock In'!B:B,$A483,'Stock In'!C:C,$B483,'Stock In'!D:D,$C483,'Stock In'!E:E,$D483) / SUMIFS('Stock In'!H:H,'Stock In'!B:B,$A483,'Stock In'!C:C,$B483,'Stock In'!D:D,$C483,'Stock In'!E:E,$D483), 0)</f>
        <v>0</v>
      </c>
      <c r="K483" s="82">
        <f t="shared" si="3"/>
        <v>0</v>
      </c>
    </row>
    <row r="484">
      <c r="A484" s="80"/>
      <c r="B484" s="80"/>
      <c r="C484" s="80"/>
      <c r="D484" s="80"/>
      <c r="E484" s="82">
        <f>IFERROR(SUMIFS('Stock In'!F:F,'Stock In'!B:B,$A484,'Stock In'!C:C,$B484,'Stock In'!D:D,$C484,'Stock In'!E:E,$D484),0)</f>
        <v>0</v>
      </c>
      <c r="F484" s="82">
        <f>IFERROR(SUMIFS(Issues!H:H, Issues!F:F, $A484, Issues!C:C, $B484, Issues!D:D, $C484, Issues!E:E, $D484), 0)</f>
        <v>0</v>
      </c>
      <c r="G484" s="82">
        <f>IFERROR(SUMIFS(Returns!H:H, Returns!F:F, $A484, Returns!C:C, $B484, Returns!D:D, $C484, Returns!E:E, $D484), 0)</f>
        <v>0</v>
      </c>
      <c r="H484" s="82">
        <f t="shared" si="1"/>
        <v>0</v>
      </c>
      <c r="I484" s="82">
        <f t="shared" si="2"/>
        <v>0</v>
      </c>
      <c r="J484" s="82">
        <f>IFERROR( SUMIFS('Stock In'!I:I,'Stock In'!B:B,$A484,'Stock In'!C:C,$B484,'Stock In'!D:D,$C484,'Stock In'!E:E,$D484) / SUMIFS('Stock In'!H:H,'Stock In'!B:B,$A484,'Stock In'!C:C,$B484,'Stock In'!D:D,$C484,'Stock In'!E:E,$D484), 0)</f>
        <v>0</v>
      </c>
      <c r="K484" s="82">
        <f t="shared" si="3"/>
        <v>0</v>
      </c>
    </row>
    <row r="485">
      <c r="A485" s="80"/>
      <c r="B485" s="80"/>
      <c r="C485" s="80"/>
      <c r="D485" s="80"/>
      <c r="E485" s="82">
        <f>IFERROR(SUMIFS('Stock In'!F:F,'Stock In'!B:B,$A485,'Stock In'!C:C,$B485,'Stock In'!D:D,$C485,'Stock In'!E:E,$D485),0)</f>
        <v>0</v>
      </c>
      <c r="F485" s="82">
        <f>IFERROR(SUMIFS(Issues!H:H, Issues!F:F, $A485, Issues!C:C, $B485, Issues!D:D, $C485, Issues!E:E, $D485), 0)</f>
        <v>0</v>
      </c>
      <c r="G485" s="82">
        <f>IFERROR(SUMIFS(Returns!H:H, Returns!F:F, $A485, Returns!C:C, $B485, Returns!D:D, $C485, Returns!E:E, $D485), 0)</f>
        <v>0</v>
      </c>
      <c r="H485" s="82">
        <f t="shared" si="1"/>
        <v>0</v>
      </c>
      <c r="I485" s="82">
        <f t="shared" si="2"/>
        <v>0</v>
      </c>
      <c r="J485" s="82">
        <f>IFERROR( SUMIFS('Stock In'!I:I,'Stock In'!B:B,$A485,'Stock In'!C:C,$B485,'Stock In'!D:D,$C485,'Stock In'!E:E,$D485) / SUMIFS('Stock In'!H:H,'Stock In'!B:B,$A485,'Stock In'!C:C,$B485,'Stock In'!D:D,$C485,'Stock In'!E:E,$D485), 0)</f>
        <v>0</v>
      </c>
      <c r="K485" s="82">
        <f t="shared" si="3"/>
        <v>0</v>
      </c>
    </row>
    <row r="486">
      <c r="A486" s="80"/>
      <c r="B486" s="80"/>
      <c r="C486" s="80"/>
      <c r="D486" s="80"/>
      <c r="E486" s="82">
        <f>IFERROR(SUMIFS('Stock In'!F:F,'Stock In'!B:B,$A486,'Stock In'!C:C,$B486,'Stock In'!D:D,$C486,'Stock In'!E:E,$D486),0)</f>
        <v>0</v>
      </c>
      <c r="F486" s="82">
        <f>IFERROR(SUMIFS(Issues!H:H, Issues!F:F, $A486, Issues!C:C, $B486, Issues!D:D, $C486, Issues!E:E, $D486), 0)</f>
        <v>0</v>
      </c>
      <c r="G486" s="82">
        <f>IFERROR(SUMIFS(Returns!H:H, Returns!F:F, $A486, Returns!C:C, $B486, Returns!D:D, $C486, Returns!E:E, $D486), 0)</f>
        <v>0</v>
      </c>
      <c r="H486" s="82">
        <f t="shared" si="1"/>
        <v>0</v>
      </c>
      <c r="I486" s="82">
        <f t="shared" si="2"/>
        <v>0</v>
      </c>
      <c r="J486" s="82">
        <f>IFERROR( SUMIFS('Stock In'!I:I,'Stock In'!B:B,$A486,'Stock In'!C:C,$B486,'Stock In'!D:D,$C486,'Stock In'!E:E,$D486) / SUMIFS('Stock In'!H:H,'Stock In'!B:B,$A486,'Stock In'!C:C,$B486,'Stock In'!D:D,$C486,'Stock In'!E:E,$D486), 0)</f>
        <v>0</v>
      </c>
      <c r="K486" s="82">
        <f t="shared" si="3"/>
        <v>0</v>
      </c>
    </row>
    <row r="487">
      <c r="A487" s="80"/>
      <c r="B487" s="80"/>
      <c r="C487" s="80"/>
      <c r="D487" s="80"/>
      <c r="E487" s="82">
        <f>IFERROR(SUMIFS('Stock In'!F:F,'Stock In'!B:B,$A487,'Stock In'!C:C,$B487,'Stock In'!D:D,$C487,'Stock In'!E:E,$D487),0)</f>
        <v>0</v>
      </c>
      <c r="F487" s="82">
        <f>IFERROR(SUMIFS(Issues!H:H, Issues!F:F, $A487, Issues!C:C, $B487, Issues!D:D, $C487, Issues!E:E, $D487), 0)</f>
        <v>0</v>
      </c>
      <c r="G487" s="82">
        <f>IFERROR(SUMIFS(Returns!H:H, Returns!F:F, $A487, Returns!C:C, $B487, Returns!D:D, $C487, Returns!E:E, $D487), 0)</f>
        <v>0</v>
      </c>
      <c r="H487" s="82">
        <f t="shared" si="1"/>
        <v>0</v>
      </c>
      <c r="I487" s="82">
        <f t="shared" si="2"/>
        <v>0</v>
      </c>
      <c r="J487" s="82">
        <f>IFERROR( SUMIFS('Stock In'!I:I,'Stock In'!B:B,$A487,'Stock In'!C:C,$B487,'Stock In'!D:D,$C487,'Stock In'!E:E,$D487) / SUMIFS('Stock In'!H:H,'Stock In'!B:B,$A487,'Stock In'!C:C,$B487,'Stock In'!D:D,$C487,'Stock In'!E:E,$D487), 0)</f>
        <v>0</v>
      </c>
      <c r="K487" s="82">
        <f t="shared" si="3"/>
        <v>0</v>
      </c>
    </row>
    <row r="488">
      <c r="A488" s="80"/>
      <c r="B488" s="80"/>
      <c r="C488" s="80"/>
      <c r="D488" s="80"/>
      <c r="E488" s="82">
        <f>IFERROR(SUMIFS('Stock In'!F:F,'Stock In'!B:B,$A488,'Stock In'!C:C,$B488,'Stock In'!D:D,$C488,'Stock In'!E:E,$D488),0)</f>
        <v>0</v>
      </c>
      <c r="F488" s="82">
        <f>IFERROR(SUMIFS(Issues!H:H, Issues!F:F, $A488, Issues!C:C, $B488, Issues!D:D, $C488, Issues!E:E, $D488), 0)</f>
        <v>0</v>
      </c>
      <c r="G488" s="82">
        <f>IFERROR(SUMIFS(Returns!H:H, Returns!F:F, $A488, Returns!C:C, $B488, Returns!D:D, $C488, Returns!E:E, $D488), 0)</f>
        <v>0</v>
      </c>
      <c r="H488" s="82">
        <f t="shared" si="1"/>
        <v>0</v>
      </c>
      <c r="I488" s="82">
        <f t="shared" si="2"/>
        <v>0</v>
      </c>
      <c r="J488" s="82">
        <f>IFERROR( SUMIFS('Stock In'!I:I,'Stock In'!B:B,$A488,'Stock In'!C:C,$B488,'Stock In'!D:D,$C488,'Stock In'!E:E,$D488) / SUMIFS('Stock In'!H:H,'Stock In'!B:B,$A488,'Stock In'!C:C,$B488,'Stock In'!D:D,$C488,'Stock In'!E:E,$D488), 0)</f>
        <v>0</v>
      </c>
      <c r="K488" s="82">
        <f t="shared" si="3"/>
        <v>0</v>
      </c>
    </row>
    <row r="489">
      <c r="A489" s="80"/>
      <c r="B489" s="80"/>
      <c r="C489" s="80"/>
      <c r="D489" s="80"/>
      <c r="E489" s="82">
        <f>IFERROR(SUMIFS('Stock In'!F:F,'Stock In'!B:B,$A489,'Stock In'!C:C,$B489,'Stock In'!D:D,$C489,'Stock In'!E:E,$D489),0)</f>
        <v>0</v>
      </c>
      <c r="F489" s="82">
        <f>IFERROR(SUMIFS(Issues!H:H, Issues!F:F, $A489, Issues!C:C, $B489, Issues!D:D, $C489, Issues!E:E, $D489), 0)</f>
        <v>0</v>
      </c>
      <c r="G489" s="82">
        <f>IFERROR(SUMIFS(Returns!H:H, Returns!F:F, $A489, Returns!C:C, $B489, Returns!D:D, $C489, Returns!E:E, $D489), 0)</f>
        <v>0</v>
      </c>
      <c r="H489" s="82">
        <f t="shared" si="1"/>
        <v>0</v>
      </c>
      <c r="I489" s="82">
        <f t="shared" si="2"/>
        <v>0</v>
      </c>
      <c r="J489" s="82">
        <f>IFERROR( SUMIFS('Stock In'!I:I,'Stock In'!B:B,$A489,'Stock In'!C:C,$B489,'Stock In'!D:D,$C489,'Stock In'!E:E,$D489) / SUMIFS('Stock In'!H:H,'Stock In'!B:B,$A489,'Stock In'!C:C,$B489,'Stock In'!D:D,$C489,'Stock In'!E:E,$D489), 0)</f>
        <v>0</v>
      </c>
      <c r="K489" s="82">
        <f t="shared" si="3"/>
        <v>0</v>
      </c>
    </row>
    <row r="490">
      <c r="A490" s="80"/>
      <c r="B490" s="80"/>
      <c r="C490" s="80"/>
      <c r="D490" s="80"/>
      <c r="E490" s="82">
        <f>IFERROR(SUMIFS('Stock In'!F:F,'Stock In'!B:B,$A490,'Stock In'!C:C,$B490,'Stock In'!D:D,$C490,'Stock In'!E:E,$D490),0)</f>
        <v>0</v>
      </c>
      <c r="F490" s="82">
        <f>IFERROR(SUMIFS(Issues!H:H, Issues!F:F, $A490, Issues!C:C, $B490, Issues!D:D, $C490, Issues!E:E, $D490), 0)</f>
        <v>0</v>
      </c>
      <c r="G490" s="82">
        <f>IFERROR(SUMIFS(Returns!H:H, Returns!F:F, $A490, Returns!C:C, $B490, Returns!D:D, $C490, Returns!E:E, $D490), 0)</f>
        <v>0</v>
      </c>
      <c r="H490" s="82">
        <f t="shared" si="1"/>
        <v>0</v>
      </c>
      <c r="I490" s="82">
        <f t="shared" si="2"/>
        <v>0</v>
      </c>
      <c r="J490" s="82">
        <f>IFERROR( SUMIFS('Stock In'!I:I,'Stock In'!B:B,$A490,'Stock In'!C:C,$B490,'Stock In'!D:D,$C490,'Stock In'!E:E,$D490) / SUMIFS('Stock In'!H:H,'Stock In'!B:B,$A490,'Stock In'!C:C,$B490,'Stock In'!D:D,$C490,'Stock In'!E:E,$D490), 0)</f>
        <v>0</v>
      </c>
      <c r="K490" s="82">
        <f t="shared" si="3"/>
        <v>0</v>
      </c>
    </row>
    <row r="491">
      <c r="A491" s="80"/>
      <c r="B491" s="80"/>
      <c r="C491" s="80"/>
      <c r="D491" s="80"/>
      <c r="E491" s="82">
        <f>IFERROR(SUMIFS('Stock In'!F:F,'Stock In'!B:B,$A491,'Stock In'!C:C,$B491,'Stock In'!D:D,$C491,'Stock In'!E:E,$D491),0)</f>
        <v>0</v>
      </c>
      <c r="F491" s="82">
        <f>IFERROR(SUMIFS(Issues!H:H, Issues!F:F, $A491, Issues!C:C, $B491, Issues!D:D, $C491, Issues!E:E, $D491), 0)</f>
        <v>0</v>
      </c>
      <c r="G491" s="82">
        <f>IFERROR(SUMIFS(Returns!H:H, Returns!F:F, $A491, Returns!C:C, $B491, Returns!D:D, $C491, Returns!E:E, $D491), 0)</f>
        <v>0</v>
      </c>
      <c r="H491" s="82">
        <f t="shared" si="1"/>
        <v>0</v>
      </c>
      <c r="I491" s="82">
        <f t="shared" si="2"/>
        <v>0</v>
      </c>
      <c r="J491" s="82">
        <f>IFERROR( SUMIFS('Stock In'!I:I,'Stock In'!B:B,$A491,'Stock In'!C:C,$B491,'Stock In'!D:D,$C491,'Stock In'!E:E,$D491) / SUMIFS('Stock In'!H:H,'Stock In'!B:B,$A491,'Stock In'!C:C,$B491,'Stock In'!D:D,$C491,'Stock In'!E:E,$D491), 0)</f>
        <v>0</v>
      </c>
      <c r="K491" s="82">
        <f t="shared" si="3"/>
        <v>0</v>
      </c>
    </row>
    <row r="492">
      <c r="A492" s="80"/>
      <c r="B492" s="80"/>
      <c r="C492" s="80"/>
      <c r="D492" s="80"/>
      <c r="E492" s="82">
        <f>IFERROR(SUMIFS('Stock In'!F:F,'Stock In'!B:B,$A492,'Stock In'!C:C,$B492,'Stock In'!D:D,$C492,'Stock In'!E:E,$D492),0)</f>
        <v>0</v>
      </c>
      <c r="F492" s="82">
        <f>IFERROR(SUMIFS(Issues!H:H, Issues!F:F, $A492, Issues!C:C, $B492, Issues!D:D, $C492, Issues!E:E, $D492), 0)</f>
        <v>0</v>
      </c>
      <c r="G492" s="82">
        <f>IFERROR(SUMIFS(Returns!H:H, Returns!F:F, $A492, Returns!C:C, $B492, Returns!D:D, $C492, Returns!E:E, $D492), 0)</f>
        <v>0</v>
      </c>
      <c r="H492" s="82">
        <f t="shared" si="1"/>
        <v>0</v>
      </c>
      <c r="I492" s="82">
        <f t="shared" si="2"/>
        <v>0</v>
      </c>
      <c r="J492" s="82">
        <f>IFERROR( SUMIFS('Stock In'!I:I,'Stock In'!B:B,$A492,'Stock In'!C:C,$B492,'Stock In'!D:D,$C492,'Stock In'!E:E,$D492) / SUMIFS('Stock In'!H:H,'Stock In'!B:B,$A492,'Stock In'!C:C,$B492,'Stock In'!D:D,$C492,'Stock In'!E:E,$D492), 0)</f>
        <v>0</v>
      </c>
      <c r="K492" s="82">
        <f t="shared" si="3"/>
        <v>0</v>
      </c>
    </row>
    <row r="493">
      <c r="A493" s="80"/>
      <c r="B493" s="80"/>
      <c r="C493" s="80"/>
      <c r="D493" s="80"/>
      <c r="E493" s="82">
        <f>IFERROR(SUMIFS('Stock In'!F:F,'Stock In'!B:B,$A493,'Stock In'!C:C,$B493,'Stock In'!D:D,$C493,'Stock In'!E:E,$D493),0)</f>
        <v>0</v>
      </c>
      <c r="F493" s="82">
        <f>IFERROR(SUMIFS(Issues!H:H, Issues!F:F, $A493, Issues!C:C, $B493, Issues!D:D, $C493, Issues!E:E, $D493), 0)</f>
        <v>0</v>
      </c>
      <c r="G493" s="82">
        <f>IFERROR(SUMIFS(Returns!H:H, Returns!F:F, $A493, Returns!C:C, $B493, Returns!D:D, $C493, Returns!E:E, $D493), 0)</f>
        <v>0</v>
      </c>
      <c r="H493" s="82">
        <f t="shared" si="1"/>
        <v>0</v>
      </c>
      <c r="I493" s="82">
        <f t="shared" si="2"/>
        <v>0</v>
      </c>
      <c r="J493" s="82">
        <f>IFERROR( SUMIFS('Stock In'!I:I,'Stock In'!B:B,$A493,'Stock In'!C:C,$B493,'Stock In'!D:D,$C493,'Stock In'!E:E,$D493) / SUMIFS('Stock In'!H:H,'Stock In'!B:B,$A493,'Stock In'!C:C,$B493,'Stock In'!D:D,$C493,'Stock In'!E:E,$D493), 0)</f>
        <v>0</v>
      </c>
      <c r="K493" s="82">
        <f t="shared" si="3"/>
        <v>0</v>
      </c>
    </row>
    <row r="494">
      <c r="A494" s="80"/>
      <c r="B494" s="80"/>
      <c r="C494" s="80"/>
      <c r="D494" s="80"/>
      <c r="E494" s="82">
        <f>IFERROR(SUMIFS('Stock In'!F:F,'Stock In'!B:B,$A494,'Stock In'!C:C,$B494,'Stock In'!D:D,$C494,'Stock In'!E:E,$D494),0)</f>
        <v>0</v>
      </c>
      <c r="F494" s="82">
        <f>IFERROR(SUMIFS(Issues!H:H, Issues!F:F, $A494, Issues!C:C, $B494, Issues!D:D, $C494, Issues!E:E, $D494), 0)</f>
        <v>0</v>
      </c>
      <c r="G494" s="82">
        <f>IFERROR(SUMIFS(Returns!H:H, Returns!F:F, $A494, Returns!C:C, $B494, Returns!D:D, $C494, Returns!E:E, $D494), 0)</f>
        <v>0</v>
      </c>
      <c r="H494" s="82">
        <f t="shared" si="1"/>
        <v>0</v>
      </c>
      <c r="I494" s="82">
        <f t="shared" si="2"/>
        <v>0</v>
      </c>
      <c r="J494" s="82">
        <f>IFERROR( SUMIFS('Stock In'!I:I,'Stock In'!B:B,$A494,'Stock In'!C:C,$B494,'Stock In'!D:D,$C494,'Stock In'!E:E,$D494) / SUMIFS('Stock In'!H:H,'Stock In'!B:B,$A494,'Stock In'!C:C,$B494,'Stock In'!D:D,$C494,'Stock In'!E:E,$D494), 0)</f>
        <v>0</v>
      </c>
      <c r="K494" s="82">
        <f t="shared" si="3"/>
        <v>0</v>
      </c>
    </row>
    <row r="495">
      <c r="A495" s="80"/>
      <c r="B495" s="80"/>
      <c r="C495" s="80"/>
      <c r="D495" s="80"/>
      <c r="E495" s="82">
        <f>IFERROR(SUMIFS('Stock In'!F:F,'Stock In'!B:B,$A495,'Stock In'!C:C,$B495,'Stock In'!D:D,$C495,'Stock In'!E:E,$D495),0)</f>
        <v>0</v>
      </c>
      <c r="F495" s="82">
        <f>IFERROR(SUMIFS(Issues!H:H, Issues!F:F, $A495, Issues!C:C, $B495, Issues!D:D, $C495, Issues!E:E, $D495), 0)</f>
        <v>0</v>
      </c>
      <c r="G495" s="82">
        <f>IFERROR(SUMIFS(Returns!H:H, Returns!F:F, $A495, Returns!C:C, $B495, Returns!D:D, $C495, Returns!E:E, $D495), 0)</f>
        <v>0</v>
      </c>
      <c r="H495" s="82">
        <f t="shared" si="1"/>
        <v>0</v>
      </c>
      <c r="I495" s="82">
        <f t="shared" si="2"/>
        <v>0</v>
      </c>
      <c r="J495" s="82">
        <f>IFERROR( SUMIFS('Stock In'!I:I,'Stock In'!B:B,$A495,'Stock In'!C:C,$B495,'Stock In'!D:D,$C495,'Stock In'!E:E,$D495) / SUMIFS('Stock In'!H:H,'Stock In'!B:B,$A495,'Stock In'!C:C,$B495,'Stock In'!D:D,$C495,'Stock In'!E:E,$D495), 0)</f>
        <v>0</v>
      </c>
      <c r="K495" s="82">
        <f t="shared" si="3"/>
        <v>0</v>
      </c>
    </row>
    <row r="496">
      <c r="A496" s="80"/>
      <c r="B496" s="80"/>
      <c r="C496" s="80"/>
      <c r="D496" s="80"/>
      <c r="E496" s="82">
        <f>IFERROR(SUMIFS('Stock In'!F:F,'Stock In'!B:B,$A496,'Stock In'!C:C,$B496,'Stock In'!D:D,$C496,'Stock In'!E:E,$D496),0)</f>
        <v>0</v>
      </c>
      <c r="F496" s="82">
        <f>IFERROR(SUMIFS(Issues!H:H, Issues!F:F, $A496, Issues!C:C, $B496, Issues!D:D, $C496, Issues!E:E, $D496), 0)</f>
        <v>0</v>
      </c>
      <c r="G496" s="82">
        <f>IFERROR(SUMIFS(Returns!H:H, Returns!F:F, $A496, Returns!C:C, $B496, Returns!D:D, $C496, Returns!E:E, $D496), 0)</f>
        <v>0</v>
      </c>
      <c r="H496" s="82">
        <f t="shared" si="1"/>
        <v>0</v>
      </c>
      <c r="I496" s="82">
        <f t="shared" si="2"/>
        <v>0</v>
      </c>
      <c r="J496" s="82">
        <f>IFERROR( SUMIFS('Stock In'!I:I,'Stock In'!B:B,$A496,'Stock In'!C:C,$B496,'Stock In'!D:D,$C496,'Stock In'!E:E,$D496) / SUMIFS('Stock In'!H:H,'Stock In'!B:B,$A496,'Stock In'!C:C,$B496,'Stock In'!D:D,$C496,'Stock In'!E:E,$D496), 0)</f>
        <v>0</v>
      </c>
      <c r="K496" s="82">
        <f t="shared" si="3"/>
        <v>0</v>
      </c>
    </row>
    <row r="497">
      <c r="A497" s="80"/>
      <c r="B497" s="80"/>
      <c r="C497" s="80"/>
      <c r="D497" s="80"/>
      <c r="E497" s="82">
        <f>IFERROR(SUMIFS('Stock In'!F:F,'Stock In'!B:B,$A497,'Stock In'!C:C,$B497,'Stock In'!D:D,$C497,'Stock In'!E:E,$D497),0)</f>
        <v>0</v>
      </c>
      <c r="F497" s="82">
        <f>IFERROR(SUMIFS(Issues!H:H, Issues!F:F, $A497, Issues!C:C, $B497, Issues!D:D, $C497, Issues!E:E, $D497), 0)</f>
        <v>0</v>
      </c>
      <c r="G497" s="82">
        <f>IFERROR(SUMIFS(Returns!H:H, Returns!F:F, $A497, Returns!C:C, $B497, Returns!D:D, $C497, Returns!E:E, $D497), 0)</f>
        <v>0</v>
      </c>
      <c r="H497" s="82">
        <f t="shared" si="1"/>
        <v>0</v>
      </c>
      <c r="I497" s="82">
        <f t="shared" si="2"/>
        <v>0</v>
      </c>
      <c r="J497" s="82">
        <f>IFERROR( SUMIFS('Stock In'!I:I,'Stock In'!B:B,$A497,'Stock In'!C:C,$B497,'Stock In'!D:D,$C497,'Stock In'!E:E,$D497) / SUMIFS('Stock In'!H:H,'Stock In'!B:B,$A497,'Stock In'!C:C,$B497,'Stock In'!D:D,$C497,'Stock In'!E:E,$D497), 0)</f>
        <v>0</v>
      </c>
      <c r="K497" s="82">
        <f t="shared" si="3"/>
        <v>0</v>
      </c>
    </row>
    <row r="498">
      <c r="A498" s="80"/>
      <c r="B498" s="80"/>
      <c r="C498" s="80"/>
      <c r="D498" s="80"/>
      <c r="E498" s="82">
        <f>IFERROR(SUMIFS('Stock In'!F:F,'Stock In'!B:B,$A498,'Stock In'!C:C,$B498,'Stock In'!D:D,$C498,'Stock In'!E:E,$D498),0)</f>
        <v>0</v>
      </c>
      <c r="F498" s="82">
        <f>IFERROR(SUMIFS(Issues!H:H, Issues!F:F, $A498, Issues!C:C, $B498, Issues!D:D, $C498, Issues!E:E, $D498), 0)</f>
        <v>0</v>
      </c>
      <c r="G498" s="82">
        <f>IFERROR(SUMIFS(Returns!H:H, Returns!F:F, $A498, Returns!C:C, $B498, Returns!D:D, $C498, Returns!E:E, $D498), 0)</f>
        <v>0</v>
      </c>
      <c r="H498" s="82">
        <f t="shared" si="1"/>
        <v>0</v>
      </c>
      <c r="I498" s="82">
        <f t="shared" si="2"/>
        <v>0</v>
      </c>
      <c r="J498" s="82">
        <f>IFERROR( SUMIFS('Stock In'!I:I,'Stock In'!B:B,$A498,'Stock In'!C:C,$B498,'Stock In'!D:D,$C498,'Stock In'!E:E,$D498) / SUMIFS('Stock In'!H:H,'Stock In'!B:B,$A498,'Stock In'!C:C,$B498,'Stock In'!D:D,$C498,'Stock In'!E:E,$D498), 0)</f>
        <v>0</v>
      </c>
      <c r="K498" s="82">
        <f t="shared" si="3"/>
        <v>0</v>
      </c>
    </row>
    <row r="499">
      <c r="A499" s="80"/>
      <c r="B499" s="80"/>
      <c r="C499" s="80"/>
      <c r="D499" s="80"/>
      <c r="E499" s="82">
        <f>IFERROR(SUMIFS('Stock In'!F:F,'Stock In'!B:B,$A499,'Stock In'!C:C,$B499,'Stock In'!D:D,$C499,'Stock In'!E:E,$D499),0)</f>
        <v>0</v>
      </c>
      <c r="F499" s="82">
        <f>IFERROR(SUMIFS(Issues!H:H, Issues!F:F, $A499, Issues!C:C, $B499, Issues!D:D, $C499, Issues!E:E, $D499), 0)</f>
        <v>0</v>
      </c>
      <c r="G499" s="82">
        <f>IFERROR(SUMIFS(Returns!H:H, Returns!F:F, $A499, Returns!C:C, $B499, Returns!D:D, $C499, Returns!E:E, $D499), 0)</f>
        <v>0</v>
      </c>
      <c r="H499" s="82">
        <f t="shared" si="1"/>
        <v>0</v>
      </c>
      <c r="I499" s="82">
        <f t="shared" si="2"/>
        <v>0</v>
      </c>
      <c r="J499" s="82">
        <f>IFERROR( SUMIFS('Stock In'!I:I,'Stock In'!B:B,$A499,'Stock In'!C:C,$B499,'Stock In'!D:D,$C499,'Stock In'!E:E,$D499) / SUMIFS('Stock In'!H:H,'Stock In'!B:B,$A499,'Stock In'!C:C,$B499,'Stock In'!D:D,$C499,'Stock In'!E:E,$D499), 0)</f>
        <v>0</v>
      </c>
      <c r="K499" s="82">
        <f t="shared" si="3"/>
        <v>0</v>
      </c>
    </row>
    <row r="500">
      <c r="A500" s="80"/>
      <c r="B500" s="80"/>
      <c r="C500" s="80"/>
      <c r="D500" s="80"/>
      <c r="E500" s="82">
        <f>IFERROR(SUMIFS('Stock In'!F:F,'Stock In'!B:B,$A500,'Stock In'!C:C,$B500,'Stock In'!D:D,$C500,'Stock In'!E:E,$D500),0)</f>
        <v>0</v>
      </c>
      <c r="F500" s="82">
        <f>IFERROR(SUMIFS(Issues!H:H, Issues!F:F, $A500, Issues!C:C, $B500, Issues!D:D, $C500, Issues!E:E, $D500), 0)</f>
        <v>0</v>
      </c>
      <c r="G500" s="82">
        <f>IFERROR(SUMIFS(Returns!H:H, Returns!F:F, $A500, Returns!C:C, $B500, Returns!D:D, $C500, Returns!E:E, $D500), 0)</f>
        <v>0</v>
      </c>
      <c r="H500" s="82">
        <f t="shared" si="1"/>
        <v>0</v>
      </c>
      <c r="I500" s="82">
        <f t="shared" si="2"/>
        <v>0</v>
      </c>
      <c r="J500" s="82">
        <f>IFERROR( SUMIFS('Stock In'!I:I,'Stock In'!B:B,$A500,'Stock In'!C:C,$B500,'Stock In'!D:D,$C500,'Stock In'!E:E,$D500) / SUMIFS('Stock In'!H:H,'Stock In'!B:B,$A500,'Stock In'!C:C,$B500,'Stock In'!D:D,$C500,'Stock In'!E:E,$D500), 0)</f>
        <v>0</v>
      </c>
      <c r="K500" s="82">
        <f t="shared" si="3"/>
        <v>0</v>
      </c>
    </row>
    <row r="501">
      <c r="A501" s="80"/>
      <c r="B501" s="80"/>
      <c r="C501" s="80"/>
      <c r="D501" s="80"/>
      <c r="E501" s="82">
        <f>IFERROR(SUMIFS('Stock In'!F:F,'Stock In'!B:B,$A501,'Stock In'!C:C,$B501,'Stock In'!D:D,$C501,'Stock In'!E:E,$D501),0)</f>
        <v>0</v>
      </c>
      <c r="F501" s="82">
        <f>IFERROR(SUMIFS(Issues!H:H, Issues!F:F, $A501, Issues!C:C, $B501, Issues!D:D, $C501, Issues!E:E, $D501), 0)</f>
        <v>0</v>
      </c>
      <c r="G501" s="82">
        <f>IFERROR(SUMIFS(Returns!H:H, Returns!F:F, $A501, Returns!C:C, $B501, Returns!D:D, $C501, Returns!E:E, $D501), 0)</f>
        <v>0</v>
      </c>
      <c r="H501" s="82">
        <f t="shared" si="1"/>
        <v>0</v>
      </c>
      <c r="I501" s="82">
        <f t="shared" si="2"/>
        <v>0</v>
      </c>
      <c r="J501" s="82">
        <f>IFERROR( SUMIFS('Stock In'!I:I,'Stock In'!B:B,$A501,'Stock In'!C:C,$B501,'Stock In'!D:D,$C501,'Stock In'!E:E,$D501) / SUMIFS('Stock In'!H:H,'Stock In'!B:B,$A501,'Stock In'!C:C,$B501,'Stock In'!D:D,$C501,'Stock In'!E:E,$D501), 0)</f>
        <v>0</v>
      </c>
      <c r="K501" s="82">
        <f t="shared" si="3"/>
        <v>0</v>
      </c>
    </row>
    <row r="502">
      <c r="A502" s="80"/>
      <c r="B502" s="80"/>
      <c r="C502" s="80"/>
      <c r="D502" s="80"/>
      <c r="E502" s="82">
        <f>IFERROR(SUMIFS('Stock In'!F:F,'Stock In'!B:B,$A502,'Stock In'!C:C,$B502,'Stock In'!D:D,$C502,'Stock In'!E:E,$D502),0)</f>
        <v>0</v>
      </c>
      <c r="F502" s="82">
        <f>IFERROR(SUMIFS(Issues!H:H, Issues!F:F, $A502, Issues!C:C, $B502, Issues!D:D, $C502, Issues!E:E, $D502), 0)</f>
        <v>0</v>
      </c>
      <c r="G502" s="82">
        <f>IFERROR(SUMIFS(Returns!H:H, Returns!F:F, $A502, Returns!C:C, $B502, Returns!D:D, $C502, Returns!E:E, $D502), 0)</f>
        <v>0</v>
      </c>
      <c r="H502" s="82">
        <f t="shared" si="1"/>
        <v>0</v>
      </c>
      <c r="I502" s="82">
        <f t="shared" si="2"/>
        <v>0</v>
      </c>
      <c r="J502" s="82">
        <f>IFERROR( SUMIFS('Stock In'!I:I,'Stock In'!B:B,$A502,'Stock In'!C:C,$B502,'Stock In'!D:D,$C502,'Stock In'!E:E,$D502) / SUMIFS('Stock In'!H:H,'Stock In'!B:B,$A502,'Stock In'!C:C,$B502,'Stock In'!D:D,$C502,'Stock In'!E:E,$D502), 0)</f>
        <v>0</v>
      </c>
      <c r="K502" s="82">
        <f t="shared" si="3"/>
        <v>0</v>
      </c>
    </row>
    <row r="503">
      <c r="A503" s="80"/>
      <c r="B503" s="80"/>
      <c r="C503" s="80"/>
      <c r="D503" s="80"/>
      <c r="E503" s="82">
        <f>IFERROR(SUMIFS('Stock In'!F:F,'Stock In'!B:B,$A503,'Stock In'!C:C,$B503,'Stock In'!D:D,$C503,'Stock In'!E:E,$D503),0)</f>
        <v>0</v>
      </c>
      <c r="F503" s="82">
        <f>IFERROR(SUMIFS(Issues!H:H, Issues!F:F, $A503, Issues!C:C, $B503, Issues!D:D, $C503, Issues!E:E, $D503), 0)</f>
        <v>0</v>
      </c>
      <c r="G503" s="82">
        <f>IFERROR(SUMIFS(Returns!H:H, Returns!F:F, $A503, Returns!C:C, $B503, Returns!D:D, $C503, Returns!E:E, $D503), 0)</f>
        <v>0</v>
      </c>
      <c r="H503" s="82">
        <f t="shared" si="1"/>
        <v>0</v>
      </c>
      <c r="I503" s="82">
        <f t="shared" si="2"/>
        <v>0</v>
      </c>
      <c r="J503" s="82">
        <f>IFERROR( SUMIFS('Stock In'!I:I,'Stock In'!B:B,$A503,'Stock In'!C:C,$B503,'Stock In'!D:D,$C503,'Stock In'!E:E,$D503) / SUMIFS('Stock In'!H:H,'Stock In'!B:B,$A503,'Stock In'!C:C,$B503,'Stock In'!D:D,$C503,'Stock In'!E:E,$D503), 0)</f>
        <v>0</v>
      </c>
      <c r="K503" s="82">
        <f t="shared" si="3"/>
        <v>0</v>
      </c>
    </row>
    <row r="504">
      <c r="A504" s="80"/>
      <c r="B504" s="80"/>
      <c r="C504" s="80"/>
      <c r="D504" s="80"/>
      <c r="E504" s="82">
        <f>IFERROR(SUMIFS('Stock In'!F:F,'Stock In'!B:B,$A504,'Stock In'!C:C,$B504,'Stock In'!D:D,$C504,'Stock In'!E:E,$D504),0)</f>
        <v>0</v>
      </c>
      <c r="F504" s="82">
        <f>IFERROR(SUMIFS(Issues!H:H, Issues!F:F, $A504, Issues!C:C, $B504, Issues!D:D, $C504, Issues!E:E, $D504), 0)</f>
        <v>0</v>
      </c>
      <c r="G504" s="82">
        <f>IFERROR(SUMIFS(Returns!H:H, Returns!F:F, $A504, Returns!C:C, $B504, Returns!D:D, $C504, Returns!E:E, $D504), 0)</f>
        <v>0</v>
      </c>
      <c r="H504" s="82">
        <f t="shared" si="1"/>
        <v>0</v>
      </c>
      <c r="I504" s="82">
        <f t="shared" si="2"/>
        <v>0</v>
      </c>
      <c r="J504" s="82">
        <f>IFERROR( SUMIFS('Stock In'!I:I,'Stock In'!B:B,$A504,'Stock In'!C:C,$B504,'Stock In'!D:D,$C504,'Stock In'!E:E,$D504) / SUMIFS('Stock In'!H:H,'Stock In'!B:B,$A504,'Stock In'!C:C,$B504,'Stock In'!D:D,$C504,'Stock In'!E:E,$D504), 0)</f>
        <v>0</v>
      </c>
      <c r="K504" s="82">
        <f t="shared" si="3"/>
        <v>0</v>
      </c>
    </row>
    <row r="505">
      <c r="A505" s="80"/>
      <c r="B505" s="80"/>
      <c r="C505" s="80"/>
      <c r="D505" s="80"/>
      <c r="E505" s="82">
        <f>IFERROR(SUMIFS('Stock In'!F:F,'Stock In'!B:B,$A505,'Stock In'!C:C,$B505,'Stock In'!D:D,$C505,'Stock In'!E:E,$D505),0)</f>
        <v>0</v>
      </c>
      <c r="F505" s="82">
        <f>IFERROR(SUMIFS(Issues!H:H, Issues!F:F, $A505, Issues!C:C, $B505, Issues!D:D, $C505, Issues!E:E, $D505), 0)</f>
        <v>0</v>
      </c>
      <c r="G505" s="82">
        <f>IFERROR(SUMIFS(Returns!H:H, Returns!F:F, $A505, Returns!C:C, $B505, Returns!D:D, $C505, Returns!E:E, $D505), 0)</f>
        <v>0</v>
      </c>
      <c r="H505" s="82">
        <f t="shared" si="1"/>
        <v>0</v>
      </c>
      <c r="I505" s="82">
        <f t="shared" si="2"/>
        <v>0</v>
      </c>
      <c r="J505" s="82">
        <f>IFERROR( SUMIFS('Stock In'!I:I,'Stock In'!B:B,$A505,'Stock In'!C:C,$B505,'Stock In'!D:D,$C505,'Stock In'!E:E,$D505) / SUMIFS('Stock In'!H:H,'Stock In'!B:B,$A505,'Stock In'!C:C,$B505,'Stock In'!D:D,$C505,'Stock In'!E:E,$D505), 0)</f>
        <v>0</v>
      </c>
      <c r="K505" s="82">
        <f t="shared" si="3"/>
        <v>0</v>
      </c>
    </row>
    <row r="506">
      <c r="A506" s="80"/>
      <c r="B506" s="80"/>
      <c r="C506" s="80"/>
      <c r="D506" s="80"/>
      <c r="E506" s="82">
        <f>IFERROR(SUMIFS('Stock In'!F:F,'Stock In'!B:B,$A506,'Stock In'!C:C,$B506,'Stock In'!D:D,$C506,'Stock In'!E:E,$D506),0)</f>
        <v>0</v>
      </c>
      <c r="F506" s="82">
        <f>IFERROR(SUMIFS(Issues!H:H, Issues!F:F, $A506, Issues!C:C, $B506, Issues!D:D, $C506, Issues!E:E, $D506), 0)</f>
        <v>0</v>
      </c>
      <c r="G506" s="82">
        <f>IFERROR(SUMIFS(Returns!H:H, Returns!F:F, $A506, Returns!C:C, $B506, Returns!D:D, $C506, Returns!E:E, $D506), 0)</f>
        <v>0</v>
      </c>
      <c r="H506" s="82">
        <f t="shared" si="1"/>
        <v>0</v>
      </c>
      <c r="I506" s="82">
        <f t="shared" si="2"/>
        <v>0</v>
      </c>
      <c r="J506" s="82">
        <f>IFERROR( SUMIFS('Stock In'!I:I,'Stock In'!B:B,$A506,'Stock In'!C:C,$B506,'Stock In'!D:D,$C506,'Stock In'!E:E,$D506) / SUMIFS('Stock In'!H:H,'Stock In'!B:B,$A506,'Stock In'!C:C,$B506,'Stock In'!D:D,$C506,'Stock In'!E:E,$D506), 0)</f>
        <v>0</v>
      </c>
      <c r="K506" s="82">
        <f t="shared" si="3"/>
        <v>0</v>
      </c>
    </row>
    <row r="507">
      <c r="A507" s="80"/>
      <c r="B507" s="80"/>
      <c r="C507" s="80"/>
      <c r="D507" s="80"/>
      <c r="E507" s="82">
        <f>IFERROR(SUMIFS('Stock In'!F:F,'Stock In'!B:B,$A507,'Stock In'!C:C,$B507,'Stock In'!D:D,$C507,'Stock In'!E:E,$D507),0)</f>
        <v>0</v>
      </c>
      <c r="F507" s="82">
        <f>IFERROR(SUMIFS(Issues!H:H, Issues!F:F, $A507, Issues!C:C, $B507, Issues!D:D, $C507, Issues!E:E, $D507), 0)</f>
        <v>0</v>
      </c>
      <c r="G507" s="82">
        <f>IFERROR(SUMIFS(Returns!H:H, Returns!F:F, $A507, Returns!C:C, $B507, Returns!D:D, $C507, Returns!E:E, $D507), 0)</f>
        <v>0</v>
      </c>
      <c r="H507" s="82">
        <f t="shared" si="1"/>
        <v>0</v>
      </c>
      <c r="I507" s="82">
        <f t="shared" si="2"/>
        <v>0</v>
      </c>
      <c r="J507" s="82">
        <f>IFERROR( SUMIFS('Stock In'!I:I,'Stock In'!B:B,$A507,'Stock In'!C:C,$B507,'Stock In'!D:D,$C507,'Stock In'!E:E,$D507) / SUMIFS('Stock In'!H:H,'Stock In'!B:B,$A507,'Stock In'!C:C,$B507,'Stock In'!D:D,$C507,'Stock In'!E:E,$D507), 0)</f>
        <v>0</v>
      </c>
      <c r="K507" s="82">
        <f t="shared" si="3"/>
        <v>0</v>
      </c>
    </row>
    <row r="508">
      <c r="A508" s="80"/>
      <c r="B508" s="80"/>
      <c r="C508" s="80"/>
      <c r="D508" s="80"/>
      <c r="E508" s="82">
        <f>IFERROR(SUMIFS('Stock In'!F:F,'Stock In'!B:B,$A508,'Stock In'!C:C,$B508,'Stock In'!D:D,$C508,'Stock In'!E:E,$D508),0)</f>
        <v>0</v>
      </c>
      <c r="F508" s="82">
        <f>IFERROR(SUMIFS(Issues!H:H, Issues!F:F, $A508, Issues!C:C, $B508, Issues!D:D, $C508, Issues!E:E, $D508), 0)</f>
        <v>0</v>
      </c>
      <c r="G508" s="82">
        <f>IFERROR(SUMIFS(Returns!H:H, Returns!F:F, $A508, Returns!C:C, $B508, Returns!D:D, $C508, Returns!E:E, $D508), 0)</f>
        <v>0</v>
      </c>
      <c r="H508" s="82">
        <f t="shared" si="1"/>
        <v>0</v>
      </c>
      <c r="I508" s="82">
        <f t="shared" si="2"/>
        <v>0</v>
      </c>
      <c r="J508" s="82">
        <f>IFERROR( SUMIFS('Stock In'!I:I,'Stock In'!B:B,$A508,'Stock In'!C:C,$B508,'Stock In'!D:D,$C508,'Stock In'!E:E,$D508) / SUMIFS('Stock In'!H:H,'Stock In'!B:B,$A508,'Stock In'!C:C,$B508,'Stock In'!D:D,$C508,'Stock In'!E:E,$D508), 0)</f>
        <v>0</v>
      </c>
      <c r="K508" s="82">
        <f t="shared" si="3"/>
        <v>0</v>
      </c>
    </row>
    <row r="509">
      <c r="A509" s="80"/>
      <c r="B509" s="80"/>
      <c r="C509" s="80"/>
      <c r="D509" s="80"/>
      <c r="E509" s="82">
        <f>IFERROR(SUMIFS('Stock In'!F:F,'Stock In'!B:B,$A509,'Stock In'!C:C,$B509,'Stock In'!D:D,$C509,'Stock In'!E:E,$D509),0)</f>
        <v>0</v>
      </c>
      <c r="F509" s="82">
        <f>IFERROR(SUMIFS(Issues!H:H, Issues!F:F, $A509, Issues!C:C, $B509, Issues!D:D, $C509, Issues!E:E, $D509), 0)</f>
        <v>0</v>
      </c>
      <c r="G509" s="82">
        <f>IFERROR(SUMIFS(Returns!H:H, Returns!F:F, $A509, Returns!C:C, $B509, Returns!D:D, $C509, Returns!E:E, $D509), 0)</f>
        <v>0</v>
      </c>
      <c r="H509" s="82">
        <f t="shared" si="1"/>
        <v>0</v>
      </c>
      <c r="I509" s="82">
        <f t="shared" si="2"/>
        <v>0</v>
      </c>
      <c r="J509" s="82">
        <f>IFERROR( SUMIFS('Stock In'!I:I,'Stock In'!B:B,$A509,'Stock In'!C:C,$B509,'Stock In'!D:D,$C509,'Stock In'!E:E,$D509) / SUMIFS('Stock In'!H:H,'Stock In'!B:B,$A509,'Stock In'!C:C,$B509,'Stock In'!D:D,$C509,'Stock In'!E:E,$D509), 0)</f>
        <v>0</v>
      </c>
      <c r="K509" s="82">
        <f t="shared" si="3"/>
        <v>0</v>
      </c>
    </row>
    <row r="510">
      <c r="A510" s="80"/>
      <c r="B510" s="80"/>
      <c r="C510" s="80"/>
      <c r="D510" s="80"/>
      <c r="E510" s="82">
        <f>IFERROR(SUMIFS('Stock In'!F:F,'Stock In'!B:B,$A510,'Stock In'!C:C,$B510,'Stock In'!D:D,$C510,'Stock In'!E:E,$D510),0)</f>
        <v>0</v>
      </c>
      <c r="F510" s="82">
        <f>IFERROR(SUMIFS(Issues!H:H, Issues!F:F, $A510, Issues!C:C, $B510, Issues!D:D, $C510, Issues!E:E, $D510), 0)</f>
        <v>0</v>
      </c>
      <c r="G510" s="82">
        <f>IFERROR(SUMIFS(Returns!H:H, Returns!F:F, $A510, Returns!C:C, $B510, Returns!D:D, $C510, Returns!E:E, $D510), 0)</f>
        <v>0</v>
      </c>
      <c r="H510" s="82">
        <f t="shared" si="1"/>
        <v>0</v>
      </c>
      <c r="I510" s="82">
        <f t="shared" si="2"/>
        <v>0</v>
      </c>
      <c r="J510" s="82">
        <f>IFERROR( SUMIFS('Stock In'!I:I,'Stock In'!B:B,$A510,'Stock In'!C:C,$B510,'Stock In'!D:D,$C510,'Stock In'!E:E,$D510) / SUMIFS('Stock In'!H:H,'Stock In'!B:B,$A510,'Stock In'!C:C,$B510,'Stock In'!D:D,$C510,'Stock In'!E:E,$D510), 0)</f>
        <v>0</v>
      </c>
      <c r="K510" s="82">
        <f t="shared" si="3"/>
        <v>0</v>
      </c>
    </row>
    <row r="511">
      <c r="A511" s="80"/>
      <c r="B511" s="80"/>
      <c r="C511" s="80"/>
      <c r="D511" s="80"/>
      <c r="E511" s="82">
        <f>IFERROR(SUMIFS('Stock In'!F:F,'Stock In'!B:B,$A511,'Stock In'!C:C,$B511,'Stock In'!D:D,$C511,'Stock In'!E:E,$D511),0)</f>
        <v>0</v>
      </c>
      <c r="F511" s="82">
        <f>IFERROR(SUMIFS(Issues!H:H, Issues!F:F, $A511, Issues!C:C, $B511, Issues!D:D, $C511, Issues!E:E, $D511), 0)</f>
        <v>0</v>
      </c>
      <c r="G511" s="82">
        <f>IFERROR(SUMIFS(Returns!H:H, Returns!F:F, $A511, Returns!C:C, $B511, Returns!D:D, $C511, Returns!E:E, $D511), 0)</f>
        <v>0</v>
      </c>
      <c r="H511" s="82">
        <f t="shared" si="1"/>
        <v>0</v>
      </c>
      <c r="I511" s="82">
        <f t="shared" si="2"/>
        <v>0</v>
      </c>
      <c r="J511" s="82">
        <f>IFERROR( SUMIFS('Stock In'!I:I,'Stock In'!B:B,$A511,'Stock In'!C:C,$B511,'Stock In'!D:D,$C511,'Stock In'!E:E,$D511) / SUMIFS('Stock In'!H:H,'Stock In'!B:B,$A511,'Stock In'!C:C,$B511,'Stock In'!D:D,$C511,'Stock In'!E:E,$D511), 0)</f>
        <v>0</v>
      </c>
      <c r="K511" s="82">
        <f t="shared" si="3"/>
        <v>0</v>
      </c>
    </row>
    <row r="512">
      <c r="A512" s="80"/>
      <c r="B512" s="80"/>
      <c r="C512" s="80"/>
      <c r="D512" s="80"/>
      <c r="E512" s="82">
        <f>IFERROR(SUMIFS('Stock In'!F:F,'Stock In'!B:B,$A512,'Stock In'!C:C,$B512,'Stock In'!D:D,$C512,'Stock In'!E:E,$D512),0)</f>
        <v>0</v>
      </c>
      <c r="F512" s="82">
        <f>IFERROR(SUMIFS(Issues!H:H, Issues!F:F, $A512, Issues!C:C, $B512, Issues!D:D, $C512, Issues!E:E, $D512), 0)</f>
        <v>0</v>
      </c>
      <c r="G512" s="82">
        <f>IFERROR(SUMIFS(Returns!H:H, Returns!F:F, $A512, Returns!C:C, $B512, Returns!D:D, $C512, Returns!E:E, $D512), 0)</f>
        <v>0</v>
      </c>
      <c r="H512" s="82">
        <f t="shared" si="1"/>
        <v>0</v>
      </c>
      <c r="I512" s="82">
        <f t="shared" si="2"/>
        <v>0</v>
      </c>
      <c r="J512" s="82">
        <f>IFERROR( SUMIFS('Stock In'!I:I,'Stock In'!B:B,$A512,'Stock In'!C:C,$B512,'Stock In'!D:D,$C512,'Stock In'!E:E,$D512) / SUMIFS('Stock In'!H:H,'Stock In'!B:B,$A512,'Stock In'!C:C,$B512,'Stock In'!D:D,$C512,'Stock In'!E:E,$D512), 0)</f>
        <v>0</v>
      </c>
      <c r="K512" s="82">
        <f t="shared" si="3"/>
        <v>0</v>
      </c>
    </row>
    <row r="513">
      <c r="A513" s="80"/>
      <c r="B513" s="80"/>
      <c r="C513" s="80"/>
      <c r="D513" s="80"/>
      <c r="E513" s="82">
        <f>IFERROR(SUMIFS('Stock In'!F:F,'Stock In'!B:B,$A513,'Stock In'!C:C,$B513,'Stock In'!D:D,$C513,'Stock In'!E:E,$D513),0)</f>
        <v>0</v>
      </c>
      <c r="F513" s="82">
        <f>IFERROR(SUMIFS(Issues!H:H, Issues!F:F, $A513, Issues!C:C, $B513, Issues!D:D, $C513, Issues!E:E, $D513), 0)</f>
        <v>0</v>
      </c>
      <c r="G513" s="82">
        <f>IFERROR(SUMIFS(Returns!H:H, Returns!F:F, $A513, Returns!C:C, $B513, Returns!D:D, $C513, Returns!E:E, $D513), 0)</f>
        <v>0</v>
      </c>
      <c r="H513" s="82">
        <f t="shared" si="1"/>
        <v>0</v>
      </c>
      <c r="I513" s="82">
        <f t="shared" si="2"/>
        <v>0</v>
      </c>
      <c r="J513" s="82">
        <f>IFERROR( SUMIFS('Stock In'!I:I,'Stock In'!B:B,$A513,'Stock In'!C:C,$B513,'Stock In'!D:D,$C513,'Stock In'!E:E,$D513) / SUMIFS('Stock In'!H:H,'Stock In'!B:B,$A513,'Stock In'!C:C,$B513,'Stock In'!D:D,$C513,'Stock In'!E:E,$D513), 0)</f>
        <v>0</v>
      </c>
      <c r="K513" s="82">
        <f t="shared" si="3"/>
        <v>0</v>
      </c>
    </row>
    <row r="514">
      <c r="A514" s="80"/>
      <c r="B514" s="80"/>
      <c r="C514" s="80"/>
      <c r="D514" s="80"/>
      <c r="E514" s="82">
        <f>IFERROR(SUMIFS('Stock In'!F:F,'Stock In'!B:B,$A514,'Stock In'!C:C,$B514,'Stock In'!D:D,$C514,'Stock In'!E:E,$D514),0)</f>
        <v>0</v>
      </c>
      <c r="F514" s="82">
        <f>IFERROR(SUMIFS(Issues!H:H, Issues!F:F, $A514, Issues!C:C, $B514, Issues!D:D, $C514, Issues!E:E, $D514), 0)</f>
        <v>0</v>
      </c>
      <c r="G514" s="82">
        <f>IFERROR(SUMIFS(Returns!H:H, Returns!F:F, $A514, Returns!C:C, $B514, Returns!D:D, $C514, Returns!E:E, $D514), 0)</f>
        <v>0</v>
      </c>
      <c r="H514" s="82">
        <f t="shared" si="1"/>
        <v>0</v>
      </c>
      <c r="I514" s="82">
        <f t="shared" si="2"/>
        <v>0</v>
      </c>
      <c r="J514" s="82">
        <f>IFERROR( SUMIFS('Stock In'!I:I,'Stock In'!B:B,$A514,'Stock In'!C:C,$B514,'Stock In'!D:D,$C514,'Stock In'!E:E,$D514) / SUMIFS('Stock In'!H:H,'Stock In'!B:B,$A514,'Stock In'!C:C,$B514,'Stock In'!D:D,$C514,'Stock In'!E:E,$D514), 0)</f>
        <v>0</v>
      </c>
      <c r="K514" s="82">
        <f t="shared" si="3"/>
        <v>0</v>
      </c>
    </row>
    <row r="515">
      <c r="A515" s="80"/>
      <c r="B515" s="80"/>
      <c r="C515" s="80"/>
      <c r="D515" s="80"/>
      <c r="E515" s="82">
        <f>IFERROR(SUMIFS('Stock In'!F:F,'Stock In'!B:B,$A515,'Stock In'!C:C,$B515,'Stock In'!D:D,$C515,'Stock In'!E:E,$D515),0)</f>
        <v>0</v>
      </c>
      <c r="F515" s="82">
        <f>IFERROR(SUMIFS(Issues!H:H, Issues!F:F, $A515, Issues!C:C, $B515, Issues!D:D, $C515, Issues!E:E, $D515), 0)</f>
        <v>0</v>
      </c>
      <c r="G515" s="82">
        <f>IFERROR(SUMIFS(Returns!H:H, Returns!F:F, $A515, Returns!C:C, $B515, Returns!D:D, $C515, Returns!E:E, $D515), 0)</f>
        <v>0</v>
      </c>
      <c r="H515" s="82">
        <f t="shared" si="1"/>
        <v>0</v>
      </c>
      <c r="I515" s="82">
        <f t="shared" si="2"/>
        <v>0</v>
      </c>
      <c r="J515" s="82">
        <f>IFERROR( SUMIFS('Stock In'!I:I,'Stock In'!B:B,$A515,'Stock In'!C:C,$B515,'Stock In'!D:D,$C515,'Stock In'!E:E,$D515) / SUMIFS('Stock In'!H:H,'Stock In'!B:B,$A515,'Stock In'!C:C,$B515,'Stock In'!D:D,$C515,'Stock In'!E:E,$D515), 0)</f>
        <v>0</v>
      </c>
      <c r="K515" s="82">
        <f t="shared" si="3"/>
        <v>0</v>
      </c>
    </row>
    <row r="516">
      <c r="A516" s="80"/>
      <c r="B516" s="80"/>
      <c r="C516" s="80"/>
      <c r="D516" s="80"/>
      <c r="E516" s="82">
        <f>IFERROR(SUMIFS('Stock In'!F:F,'Stock In'!B:B,$A516,'Stock In'!C:C,$B516,'Stock In'!D:D,$C516,'Stock In'!E:E,$D516),0)</f>
        <v>0</v>
      </c>
      <c r="F516" s="82">
        <f>IFERROR(SUMIFS(Issues!H:H, Issues!F:F, $A516, Issues!C:C, $B516, Issues!D:D, $C516, Issues!E:E, $D516), 0)</f>
        <v>0</v>
      </c>
      <c r="G516" s="82">
        <f>IFERROR(SUMIFS(Returns!H:H, Returns!F:F, $A516, Returns!C:C, $B516, Returns!D:D, $C516, Returns!E:E, $D516), 0)</f>
        <v>0</v>
      </c>
      <c r="H516" s="82">
        <f t="shared" si="1"/>
        <v>0</v>
      </c>
      <c r="I516" s="82">
        <f t="shared" si="2"/>
        <v>0</v>
      </c>
      <c r="J516" s="82">
        <f>IFERROR( SUMIFS('Stock In'!I:I,'Stock In'!B:B,$A516,'Stock In'!C:C,$B516,'Stock In'!D:D,$C516,'Stock In'!E:E,$D516) / SUMIFS('Stock In'!H:H,'Stock In'!B:B,$A516,'Stock In'!C:C,$B516,'Stock In'!D:D,$C516,'Stock In'!E:E,$D516), 0)</f>
        <v>0</v>
      </c>
      <c r="K516" s="82">
        <f t="shared" si="3"/>
        <v>0</v>
      </c>
    </row>
    <row r="517">
      <c r="A517" s="80"/>
      <c r="B517" s="80"/>
      <c r="C517" s="80"/>
      <c r="D517" s="80"/>
      <c r="E517" s="82">
        <f>IFERROR(SUMIFS('Stock In'!F:F,'Stock In'!B:B,$A517,'Stock In'!C:C,$B517,'Stock In'!D:D,$C517,'Stock In'!E:E,$D517),0)</f>
        <v>0</v>
      </c>
      <c r="F517" s="82">
        <f>IFERROR(SUMIFS(Issues!H:H, Issues!F:F, $A517, Issues!C:C, $B517, Issues!D:D, $C517, Issues!E:E, $D517), 0)</f>
        <v>0</v>
      </c>
      <c r="G517" s="82">
        <f>IFERROR(SUMIFS(Returns!H:H, Returns!F:F, $A517, Returns!C:C, $B517, Returns!D:D, $C517, Returns!E:E, $D517), 0)</f>
        <v>0</v>
      </c>
      <c r="H517" s="82">
        <f t="shared" si="1"/>
        <v>0</v>
      </c>
      <c r="I517" s="82">
        <f t="shared" si="2"/>
        <v>0</v>
      </c>
      <c r="J517" s="82">
        <f>IFERROR( SUMIFS('Stock In'!I:I,'Stock In'!B:B,$A517,'Stock In'!C:C,$B517,'Stock In'!D:D,$C517,'Stock In'!E:E,$D517) / SUMIFS('Stock In'!H:H,'Stock In'!B:B,$A517,'Stock In'!C:C,$B517,'Stock In'!D:D,$C517,'Stock In'!E:E,$D517), 0)</f>
        <v>0</v>
      </c>
      <c r="K517" s="82">
        <f t="shared" si="3"/>
        <v>0</v>
      </c>
    </row>
    <row r="518">
      <c r="A518" s="80"/>
      <c r="B518" s="80"/>
      <c r="C518" s="80"/>
      <c r="D518" s="80"/>
      <c r="E518" s="82">
        <f>IFERROR(SUMIFS('Stock In'!F:F,'Stock In'!B:B,$A518,'Stock In'!C:C,$B518,'Stock In'!D:D,$C518,'Stock In'!E:E,$D518),0)</f>
        <v>0</v>
      </c>
      <c r="F518" s="82">
        <f>IFERROR(SUMIFS(Issues!H:H, Issues!F:F, $A518, Issues!C:C, $B518, Issues!D:D, $C518, Issues!E:E, $D518), 0)</f>
        <v>0</v>
      </c>
      <c r="G518" s="82">
        <f>IFERROR(SUMIFS(Returns!H:H, Returns!F:F, $A518, Returns!C:C, $B518, Returns!D:D, $C518, Returns!E:E, $D518), 0)</f>
        <v>0</v>
      </c>
      <c r="H518" s="82">
        <f t="shared" si="1"/>
        <v>0</v>
      </c>
      <c r="I518" s="82">
        <f t="shared" si="2"/>
        <v>0</v>
      </c>
      <c r="J518" s="82">
        <f>IFERROR( SUMIFS('Stock In'!I:I,'Stock In'!B:B,$A518,'Stock In'!C:C,$B518,'Stock In'!D:D,$C518,'Stock In'!E:E,$D518) / SUMIFS('Stock In'!H:H,'Stock In'!B:B,$A518,'Stock In'!C:C,$B518,'Stock In'!D:D,$C518,'Stock In'!E:E,$D518), 0)</f>
        <v>0</v>
      </c>
      <c r="K518" s="82">
        <f t="shared" si="3"/>
        <v>0</v>
      </c>
    </row>
    <row r="519">
      <c r="A519" s="80"/>
      <c r="B519" s="80"/>
      <c r="C519" s="80"/>
      <c r="D519" s="80"/>
      <c r="E519" s="82">
        <f>IFERROR(SUMIFS('Stock In'!F:F,'Stock In'!B:B,$A519,'Stock In'!C:C,$B519,'Stock In'!D:D,$C519,'Stock In'!E:E,$D519),0)</f>
        <v>0</v>
      </c>
      <c r="F519" s="82">
        <f>IFERROR(SUMIFS(Issues!H:H, Issues!F:F, $A519, Issues!C:C, $B519, Issues!D:D, $C519, Issues!E:E, $D519), 0)</f>
        <v>0</v>
      </c>
      <c r="G519" s="82">
        <f>IFERROR(SUMIFS(Returns!H:H, Returns!F:F, $A519, Returns!C:C, $B519, Returns!D:D, $C519, Returns!E:E, $D519), 0)</f>
        <v>0</v>
      </c>
      <c r="H519" s="82">
        <f t="shared" si="1"/>
        <v>0</v>
      </c>
      <c r="I519" s="82">
        <f t="shared" si="2"/>
        <v>0</v>
      </c>
      <c r="J519" s="82">
        <f>IFERROR( SUMIFS('Stock In'!I:I,'Stock In'!B:B,$A519,'Stock In'!C:C,$B519,'Stock In'!D:D,$C519,'Stock In'!E:E,$D519) / SUMIFS('Stock In'!H:H,'Stock In'!B:B,$A519,'Stock In'!C:C,$B519,'Stock In'!D:D,$C519,'Stock In'!E:E,$D519), 0)</f>
        <v>0</v>
      </c>
      <c r="K519" s="82">
        <f t="shared" si="3"/>
        <v>0</v>
      </c>
    </row>
    <row r="520">
      <c r="A520" s="80"/>
      <c r="B520" s="80"/>
      <c r="C520" s="80"/>
      <c r="D520" s="80"/>
      <c r="E520" s="82">
        <f>IFERROR(SUMIFS('Stock In'!F:F,'Stock In'!B:B,$A520,'Stock In'!C:C,$B520,'Stock In'!D:D,$C520,'Stock In'!E:E,$D520),0)</f>
        <v>0</v>
      </c>
      <c r="F520" s="82">
        <f>IFERROR(SUMIFS(Issues!H:H, Issues!F:F, $A520, Issues!C:C, $B520, Issues!D:D, $C520, Issues!E:E, $D520), 0)</f>
        <v>0</v>
      </c>
      <c r="G520" s="82">
        <f>IFERROR(SUMIFS(Returns!H:H, Returns!F:F, $A520, Returns!C:C, $B520, Returns!D:D, $C520, Returns!E:E, $D520), 0)</f>
        <v>0</v>
      </c>
      <c r="H520" s="82">
        <f t="shared" si="1"/>
        <v>0</v>
      </c>
      <c r="I520" s="82">
        <f t="shared" si="2"/>
        <v>0</v>
      </c>
      <c r="J520" s="82">
        <f>IFERROR( SUMIFS('Stock In'!I:I,'Stock In'!B:B,$A520,'Stock In'!C:C,$B520,'Stock In'!D:D,$C520,'Stock In'!E:E,$D520) / SUMIFS('Stock In'!H:H,'Stock In'!B:B,$A520,'Stock In'!C:C,$B520,'Stock In'!D:D,$C520,'Stock In'!E:E,$D520), 0)</f>
        <v>0</v>
      </c>
      <c r="K520" s="82">
        <f t="shared" si="3"/>
        <v>0</v>
      </c>
    </row>
    <row r="521">
      <c r="A521" s="80"/>
      <c r="B521" s="80"/>
      <c r="C521" s="80"/>
      <c r="D521" s="80"/>
      <c r="E521" s="82">
        <f>IFERROR(SUMIFS('Stock In'!F:F,'Stock In'!B:B,$A521,'Stock In'!C:C,$B521,'Stock In'!D:D,$C521,'Stock In'!E:E,$D521),0)</f>
        <v>0</v>
      </c>
      <c r="F521" s="82">
        <f>IFERROR(SUMIFS(Issues!H:H, Issues!F:F, $A521, Issues!C:C, $B521, Issues!D:D, $C521, Issues!E:E, $D521), 0)</f>
        <v>0</v>
      </c>
      <c r="G521" s="82">
        <f>IFERROR(SUMIFS(Returns!H:H, Returns!F:F, $A521, Returns!C:C, $B521, Returns!D:D, $C521, Returns!E:E, $D521), 0)</f>
        <v>0</v>
      </c>
      <c r="H521" s="82">
        <f t="shared" si="1"/>
        <v>0</v>
      </c>
      <c r="I521" s="82">
        <f t="shared" si="2"/>
        <v>0</v>
      </c>
      <c r="J521" s="82">
        <f>IFERROR( SUMIFS('Stock In'!I:I,'Stock In'!B:B,$A521,'Stock In'!C:C,$B521,'Stock In'!D:D,$C521,'Stock In'!E:E,$D521) / SUMIFS('Stock In'!H:H,'Stock In'!B:B,$A521,'Stock In'!C:C,$B521,'Stock In'!D:D,$C521,'Stock In'!E:E,$D521), 0)</f>
        <v>0</v>
      </c>
      <c r="K521" s="82">
        <f t="shared" si="3"/>
        <v>0</v>
      </c>
    </row>
    <row r="522">
      <c r="A522" s="80"/>
      <c r="B522" s="80"/>
      <c r="C522" s="80"/>
      <c r="D522" s="80"/>
      <c r="E522" s="82">
        <f>IFERROR(SUMIFS('Stock In'!F:F,'Stock In'!B:B,$A522,'Stock In'!C:C,$B522,'Stock In'!D:D,$C522,'Stock In'!E:E,$D522),0)</f>
        <v>0</v>
      </c>
      <c r="F522" s="82">
        <f>IFERROR(SUMIFS(Issues!H:H, Issues!F:F, $A522, Issues!C:C, $B522, Issues!D:D, $C522, Issues!E:E, $D522), 0)</f>
        <v>0</v>
      </c>
      <c r="G522" s="82">
        <f>IFERROR(SUMIFS(Returns!H:H, Returns!F:F, $A522, Returns!C:C, $B522, Returns!D:D, $C522, Returns!E:E, $D522), 0)</f>
        <v>0</v>
      </c>
      <c r="H522" s="82">
        <f t="shared" si="1"/>
        <v>0</v>
      </c>
      <c r="I522" s="82">
        <f t="shared" si="2"/>
        <v>0</v>
      </c>
      <c r="J522" s="82">
        <f>IFERROR( SUMIFS('Stock In'!I:I,'Stock In'!B:B,$A522,'Stock In'!C:C,$B522,'Stock In'!D:D,$C522,'Stock In'!E:E,$D522) / SUMIFS('Stock In'!H:H,'Stock In'!B:B,$A522,'Stock In'!C:C,$B522,'Stock In'!D:D,$C522,'Stock In'!E:E,$D522), 0)</f>
        <v>0</v>
      </c>
      <c r="K522" s="82">
        <f t="shared" si="3"/>
        <v>0</v>
      </c>
    </row>
    <row r="523">
      <c r="A523" s="80"/>
      <c r="B523" s="80"/>
      <c r="C523" s="80"/>
      <c r="D523" s="80"/>
      <c r="E523" s="82">
        <f>IFERROR(SUMIFS('Stock In'!F:F,'Stock In'!B:B,$A523,'Stock In'!C:C,$B523,'Stock In'!D:D,$C523,'Stock In'!E:E,$D523),0)</f>
        <v>0</v>
      </c>
      <c r="F523" s="82">
        <f>IFERROR(SUMIFS(Issues!H:H, Issues!F:F, $A523, Issues!C:C, $B523, Issues!D:D, $C523, Issues!E:E, $D523), 0)</f>
        <v>0</v>
      </c>
      <c r="G523" s="82">
        <f>IFERROR(SUMIFS(Returns!H:H, Returns!F:F, $A523, Returns!C:C, $B523, Returns!D:D, $C523, Returns!E:E, $D523), 0)</f>
        <v>0</v>
      </c>
      <c r="H523" s="82">
        <f t="shared" si="1"/>
        <v>0</v>
      </c>
      <c r="I523" s="82">
        <f t="shared" si="2"/>
        <v>0</v>
      </c>
      <c r="J523" s="82">
        <f>IFERROR( SUMIFS('Stock In'!I:I,'Stock In'!B:B,$A523,'Stock In'!C:C,$B523,'Stock In'!D:D,$C523,'Stock In'!E:E,$D523) / SUMIFS('Stock In'!H:H,'Stock In'!B:B,$A523,'Stock In'!C:C,$B523,'Stock In'!D:D,$C523,'Stock In'!E:E,$D523), 0)</f>
        <v>0</v>
      </c>
      <c r="K523" s="82">
        <f t="shared" si="3"/>
        <v>0</v>
      </c>
    </row>
    <row r="524">
      <c r="A524" s="80"/>
      <c r="B524" s="80"/>
      <c r="C524" s="80"/>
      <c r="D524" s="80"/>
      <c r="E524" s="82">
        <f>IFERROR(SUMIFS('Stock In'!F:F,'Stock In'!B:B,$A524,'Stock In'!C:C,$B524,'Stock In'!D:D,$C524,'Stock In'!E:E,$D524),0)</f>
        <v>0</v>
      </c>
      <c r="F524" s="82">
        <f>IFERROR(SUMIFS(Issues!H:H, Issues!F:F, $A524, Issues!C:C, $B524, Issues!D:D, $C524, Issues!E:E, $D524), 0)</f>
        <v>0</v>
      </c>
      <c r="G524" s="82">
        <f>IFERROR(SUMIFS(Returns!H:H, Returns!F:F, $A524, Returns!C:C, $B524, Returns!D:D, $C524, Returns!E:E, $D524), 0)</f>
        <v>0</v>
      </c>
      <c r="H524" s="82">
        <f t="shared" si="1"/>
        <v>0</v>
      </c>
      <c r="I524" s="82">
        <f t="shared" si="2"/>
        <v>0</v>
      </c>
      <c r="J524" s="82">
        <f>IFERROR( SUMIFS('Stock In'!I:I,'Stock In'!B:B,$A524,'Stock In'!C:C,$B524,'Stock In'!D:D,$C524,'Stock In'!E:E,$D524) / SUMIFS('Stock In'!H:H,'Stock In'!B:B,$A524,'Stock In'!C:C,$B524,'Stock In'!D:D,$C524,'Stock In'!E:E,$D524), 0)</f>
        <v>0</v>
      </c>
      <c r="K524" s="82">
        <f t="shared" si="3"/>
        <v>0</v>
      </c>
    </row>
    <row r="525">
      <c r="A525" s="80"/>
      <c r="B525" s="80"/>
      <c r="C525" s="80"/>
      <c r="D525" s="80"/>
      <c r="E525" s="82">
        <f>IFERROR(SUMIFS('Stock In'!F:F,'Stock In'!B:B,$A525,'Stock In'!C:C,$B525,'Stock In'!D:D,$C525,'Stock In'!E:E,$D525),0)</f>
        <v>0</v>
      </c>
      <c r="F525" s="82">
        <f>IFERROR(SUMIFS(Issues!H:H, Issues!F:F, $A525, Issues!C:C, $B525, Issues!D:D, $C525, Issues!E:E, $D525), 0)</f>
        <v>0</v>
      </c>
      <c r="G525" s="82">
        <f>IFERROR(SUMIFS(Returns!H:H, Returns!F:F, $A525, Returns!C:C, $B525, Returns!D:D, $C525, Returns!E:E, $D525), 0)</f>
        <v>0</v>
      </c>
      <c r="H525" s="82">
        <f t="shared" si="1"/>
        <v>0</v>
      </c>
      <c r="I525" s="82">
        <f t="shared" si="2"/>
        <v>0</v>
      </c>
      <c r="J525" s="82">
        <f>IFERROR( SUMIFS('Stock In'!I:I,'Stock In'!B:B,$A525,'Stock In'!C:C,$B525,'Stock In'!D:D,$C525,'Stock In'!E:E,$D525) / SUMIFS('Stock In'!H:H,'Stock In'!B:B,$A525,'Stock In'!C:C,$B525,'Stock In'!D:D,$C525,'Stock In'!E:E,$D525), 0)</f>
        <v>0</v>
      </c>
      <c r="K525" s="82">
        <f t="shared" si="3"/>
        <v>0</v>
      </c>
    </row>
    <row r="526">
      <c r="A526" s="80"/>
      <c r="B526" s="80"/>
      <c r="C526" s="80"/>
      <c r="D526" s="80"/>
      <c r="E526" s="82">
        <f>IFERROR(SUMIFS('Stock In'!F:F,'Stock In'!B:B,$A526,'Stock In'!C:C,$B526,'Stock In'!D:D,$C526,'Stock In'!E:E,$D526),0)</f>
        <v>0</v>
      </c>
      <c r="F526" s="82">
        <f>IFERROR(SUMIFS(Issues!H:H, Issues!F:F, $A526, Issues!C:C, $B526, Issues!D:D, $C526, Issues!E:E, $D526), 0)</f>
        <v>0</v>
      </c>
      <c r="G526" s="82">
        <f>IFERROR(SUMIFS(Returns!H:H, Returns!F:F, $A526, Returns!C:C, $B526, Returns!D:D, $C526, Returns!E:E, $D526), 0)</f>
        <v>0</v>
      </c>
      <c r="H526" s="82">
        <f t="shared" si="1"/>
        <v>0</v>
      </c>
      <c r="I526" s="82">
        <f t="shared" si="2"/>
        <v>0</v>
      </c>
      <c r="J526" s="82">
        <f>IFERROR( SUMIFS('Stock In'!I:I,'Stock In'!B:B,$A526,'Stock In'!C:C,$B526,'Stock In'!D:D,$C526,'Stock In'!E:E,$D526) / SUMIFS('Stock In'!H:H,'Stock In'!B:B,$A526,'Stock In'!C:C,$B526,'Stock In'!D:D,$C526,'Stock In'!E:E,$D526), 0)</f>
        <v>0</v>
      </c>
      <c r="K526" s="82">
        <f t="shared" si="3"/>
        <v>0</v>
      </c>
    </row>
    <row r="527">
      <c r="A527" s="80"/>
      <c r="B527" s="80"/>
      <c r="C527" s="80"/>
      <c r="D527" s="80"/>
      <c r="E527" s="82">
        <f>IFERROR(SUMIFS('Stock In'!F:F,'Stock In'!B:B,$A527,'Stock In'!C:C,$B527,'Stock In'!D:D,$C527,'Stock In'!E:E,$D527),0)</f>
        <v>0</v>
      </c>
      <c r="F527" s="82">
        <f>IFERROR(SUMIFS(Issues!H:H, Issues!F:F, $A527, Issues!C:C, $B527, Issues!D:D, $C527, Issues!E:E, $D527), 0)</f>
        <v>0</v>
      </c>
      <c r="G527" s="82">
        <f>IFERROR(SUMIFS(Returns!H:H, Returns!F:F, $A527, Returns!C:C, $B527, Returns!D:D, $C527, Returns!E:E, $D527), 0)</f>
        <v>0</v>
      </c>
      <c r="H527" s="82">
        <f t="shared" si="1"/>
        <v>0</v>
      </c>
      <c r="I527" s="82">
        <f t="shared" si="2"/>
        <v>0</v>
      </c>
      <c r="J527" s="82">
        <f>IFERROR( SUMIFS('Stock In'!I:I,'Stock In'!B:B,$A527,'Stock In'!C:C,$B527,'Stock In'!D:D,$C527,'Stock In'!E:E,$D527) / SUMIFS('Stock In'!H:H,'Stock In'!B:B,$A527,'Stock In'!C:C,$B527,'Stock In'!D:D,$C527,'Stock In'!E:E,$D527), 0)</f>
        <v>0</v>
      </c>
      <c r="K527" s="82">
        <f t="shared" si="3"/>
        <v>0</v>
      </c>
    </row>
    <row r="528">
      <c r="A528" s="80"/>
      <c r="B528" s="80"/>
      <c r="C528" s="80"/>
      <c r="D528" s="80"/>
      <c r="E528" s="82">
        <f>IFERROR(SUMIFS('Stock In'!F:F,'Stock In'!B:B,$A528,'Stock In'!C:C,$B528,'Stock In'!D:D,$C528,'Stock In'!E:E,$D528),0)</f>
        <v>0</v>
      </c>
      <c r="F528" s="82">
        <f>IFERROR(SUMIFS(Issues!H:H, Issues!F:F, $A528, Issues!C:C, $B528, Issues!D:D, $C528, Issues!E:E, $D528), 0)</f>
        <v>0</v>
      </c>
      <c r="G528" s="82">
        <f>IFERROR(SUMIFS(Returns!H:H, Returns!F:F, $A528, Returns!C:C, $B528, Returns!D:D, $C528, Returns!E:E, $D528), 0)</f>
        <v>0</v>
      </c>
      <c r="H528" s="82">
        <f t="shared" si="1"/>
        <v>0</v>
      </c>
      <c r="I528" s="82">
        <f t="shared" si="2"/>
        <v>0</v>
      </c>
      <c r="J528" s="82">
        <f>IFERROR( SUMIFS('Stock In'!I:I,'Stock In'!B:B,$A528,'Stock In'!C:C,$B528,'Stock In'!D:D,$C528,'Stock In'!E:E,$D528) / SUMIFS('Stock In'!H:H,'Stock In'!B:B,$A528,'Stock In'!C:C,$B528,'Stock In'!D:D,$C528,'Stock In'!E:E,$D528), 0)</f>
        <v>0</v>
      </c>
      <c r="K528" s="82">
        <f t="shared" si="3"/>
        <v>0</v>
      </c>
    </row>
    <row r="529">
      <c r="A529" s="80"/>
      <c r="B529" s="80"/>
      <c r="C529" s="80"/>
      <c r="D529" s="80"/>
      <c r="E529" s="82">
        <f>IFERROR(SUMIFS('Stock In'!F:F,'Stock In'!B:B,$A529,'Stock In'!C:C,$B529,'Stock In'!D:D,$C529,'Stock In'!E:E,$D529),0)</f>
        <v>0</v>
      </c>
      <c r="F529" s="82">
        <f>IFERROR(SUMIFS(Issues!H:H, Issues!F:F, $A529, Issues!C:C, $B529, Issues!D:D, $C529, Issues!E:E, $D529), 0)</f>
        <v>0</v>
      </c>
      <c r="G529" s="82">
        <f>IFERROR(SUMIFS(Returns!H:H, Returns!F:F, $A529, Returns!C:C, $B529, Returns!D:D, $C529, Returns!E:E, $D529), 0)</f>
        <v>0</v>
      </c>
      <c r="H529" s="82">
        <f t="shared" si="1"/>
        <v>0</v>
      </c>
      <c r="I529" s="82">
        <f t="shared" si="2"/>
        <v>0</v>
      </c>
      <c r="J529" s="82">
        <f>IFERROR( SUMIFS('Stock In'!I:I,'Stock In'!B:B,$A529,'Stock In'!C:C,$B529,'Stock In'!D:D,$C529,'Stock In'!E:E,$D529) / SUMIFS('Stock In'!H:H,'Stock In'!B:B,$A529,'Stock In'!C:C,$B529,'Stock In'!D:D,$C529,'Stock In'!E:E,$D529), 0)</f>
        <v>0</v>
      </c>
      <c r="K529" s="82">
        <f t="shared" si="3"/>
        <v>0</v>
      </c>
    </row>
    <row r="530">
      <c r="A530" s="80"/>
      <c r="B530" s="80"/>
      <c r="C530" s="80"/>
      <c r="D530" s="80"/>
      <c r="E530" s="82">
        <f>IFERROR(SUMIFS('Stock In'!F:F,'Stock In'!B:B,$A530,'Stock In'!C:C,$B530,'Stock In'!D:D,$C530,'Stock In'!E:E,$D530),0)</f>
        <v>0</v>
      </c>
      <c r="F530" s="82">
        <f>IFERROR(SUMIFS(Issues!H:H, Issues!F:F, $A530, Issues!C:C, $B530, Issues!D:D, $C530, Issues!E:E, $D530), 0)</f>
        <v>0</v>
      </c>
      <c r="G530" s="82">
        <f>IFERROR(SUMIFS(Returns!H:H, Returns!F:F, $A530, Returns!C:C, $B530, Returns!D:D, $C530, Returns!E:E, $D530), 0)</f>
        <v>0</v>
      </c>
      <c r="H530" s="82">
        <f t="shared" si="1"/>
        <v>0</v>
      </c>
      <c r="I530" s="82">
        <f t="shared" si="2"/>
        <v>0</v>
      </c>
      <c r="J530" s="82">
        <f>IFERROR( SUMIFS('Stock In'!I:I,'Stock In'!B:B,$A530,'Stock In'!C:C,$B530,'Stock In'!D:D,$C530,'Stock In'!E:E,$D530) / SUMIFS('Stock In'!H:H,'Stock In'!B:B,$A530,'Stock In'!C:C,$B530,'Stock In'!D:D,$C530,'Stock In'!E:E,$D530), 0)</f>
        <v>0</v>
      </c>
      <c r="K530" s="82">
        <f t="shared" si="3"/>
        <v>0</v>
      </c>
    </row>
    <row r="531">
      <c r="A531" s="80"/>
      <c r="B531" s="80"/>
      <c r="C531" s="80"/>
      <c r="D531" s="80"/>
      <c r="E531" s="82">
        <f>IFERROR(SUMIFS('Stock In'!F:F,'Stock In'!B:B,$A531,'Stock In'!C:C,$B531,'Stock In'!D:D,$C531,'Stock In'!E:E,$D531),0)</f>
        <v>0</v>
      </c>
      <c r="F531" s="82">
        <f>IFERROR(SUMIFS(Issues!H:H, Issues!F:F, $A531, Issues!C:C, $B531, Issues!D:D, $C531, Issues!E:E, $D531), 0)</f>
        <v>0</v>
      </c>
      <c r="G531" s="82">
        <f>IFERROR(SUMIFS(Returns!H:H, Returns!F:F, $A531, Returns!C:C, $B531, Returns!D:D, $C531, Returns!E:E, $D531), 0)</f>
        <v>0</v>
      </c>
      <c r="H531" s="82">
        <f t="shared" si="1"/>
        <v>0</v>
      </c>
      <c r="I531" s="82">
        <f t="shared" si="2"/>
        <v>0</v>
      </c>
      <c r="J531" s="82">
        <f>IFERROR( SUMIFS('Stock In'!I:I,'Stock In'!B:B,$A531,'Stock In'!C:C,$B531,'Stock In'!D:D,$C531,'Stock In'!E:E,$D531) / SUMIFS('Stock In'!H:H,'Stock In'!B:B,$A531,'Stock In'!C:C,$B531,'Stock In'!D:D,$C531,'Stock In'!E:E,$D531), 0)</f>
        <v>0</v>
      </c>
      <c r="K531" s="82">
        <f t="shared" si="3"/>
        <v>0</v>
      </c>
    </row>
    <row r="532">
      <c r="A532" s="80"/>
      <c r="B532" s="80"/>
      <c r="C532" s="80"/>
      <c r="D532" s="80"/>
      <c r="E532" s="82">
        <f>IFERROR(SUMIFS('Stock In'!F:F,'Stock In'!B:B,$A532,'Stock In'!C:C,$B532,'Stock In'!D:D,$C532,'Stock In'!E:E,$D532),0)</f>
        <v>0</v>
      </c>
      <c r="F532" s="82">
        <f>IFERROR(SUMIFS(Issues!H:H, Issues!F:F, $A532, Issues!C:C, $B532, Issues!D:D, $C532, Issues!E:E, $D532), 0)</f>
        <v>0</v>
      </c>
      <c r="G532" s="82">
        <f>IFERROR(SUMIFS(Returns!H:H, Returns!F:F, $A532, Returns!C:C, $B532, Returns!D:D, $C532, Returns!E:E, $D532), 0)</f>
        <v>0</v>
      </c>
      <c r="H532" s="82">
        <f t="shared" si="1"/>
        <v>0</v>
      </c>
      <c r="I532" s="82">
        <f t="shared" si="2"/>
        <v>0</v>
      </c>
      <c r="J532" s="82">
        <f>IFERROR( SUMIFS('Stock In'!I:I,'Stock In'!B:B,$A532,'Stock In'!C:C,$B532,'Stock In'!D:D,$C532,'Stock In'!E:E,$D532) / SUMIFS('Stock In'!H:H,'Stock In'!B:B,$A532,'Stock In'!C:C,$B532,'Stock In'!D:D,$C532,'Stock In'!E:E,$D532), 0)</f>
        <v>0</v>
      </c>
      <c r="K532" s="82">
        <f t="shared" si="3"/>
        <v>0</v>
      </c>
    </row>
    <row r="533">
      <c r="A533" s="80"/>
      <c r="B533" s="80"/>
      <c r="C533" s="80"/>
      <c r="D533" s="80"/>
      <c r="E533" s="82">
        <f>IFERROR(SUMIFS('Stock In'!F:F,'Stock In'!B:B,$A533,'Stock In'!C:C,$B533,'Stock In'!D:D,$C533,'Stock In'!E:E,$D533),0)</f>
        <v>0</v>
      </c>
      <c r="F533" s="82">
        <f>IFERROR(SUMIFS(Issues!H:H, Issues!F:F, $A533, Issues!C:C, $B533, Issues!D:D, $C533, Issues!E:E, $D533), 0)</f>
        <v>0</v>
      </c>
      <c r="G533" s="82">
        <f>IFERROR(SUMIFS(Returns!H:H, Returns!F:F, $A533, Returns!C:C, $B533, Returns!D:D, $C533, Returns!E:E, $D533), 0)</f>
        <v>0</v>
      </c>
      <c r="H533" s="82">
        <f t="shared" si="1"/>
        <v>0</v>
      </c>
      <c r="I533" s="82">
        <f t="shared" si="2"/>
        <v>0</v>
      </c>
      <c r="J533" s="82">
        <f>IFERROR( SUMIFS('Stock In'!I:I,'Stock In'!B:B,$A533,'Stock In'!C:C,$B533,'Stock In'!D:D,$C533,'Stock In'!E:E,$D533) / SUMIFS('Stock In'!H:H,'Stock In'!B:B,$A533,'Stock In'!C:C,$B533,'Stock In'!D:D,$C533,'Stock In'!E:E,$D533), 0)</f>
        <v>0</v>
      </c>
      <c r="K533" s="82">
        <f t="shared" si="3"/>
        <v>0</v>
      </c>
    </row>
    <row r="534">
      <c r="A534" s="80"/>
      <c r="B534" s="80"/>
      <c r="C534" s="80"/>
      <c r="D534" s="80"/>
      <c r="E534" s="82">
        <f>IFERROR(SUMIFS('Stock In'!F:F,'Stock In'!B:B,$A534,'Stock In'!C:C,$B534,'Stock In'!D:D,$C534,'Stock In'!E:E,$D534),0)</f>
        <v>0</v>
      </c>
      <c r="F534" s="82">
        <f>IFERROR(SUMIFS(Issues!H:H, Issues!F:F, $A534, Issues!C:C, $B534, Issues!D:D, $C534, Issues!E:E, $D534), 0)</f>
        <v>0</v>
      </c>
      <c r="G534" s="82">
        <f>IFERROR(SUMIFS(Returns!H:H, Returns!F:F, $A534, Returns!C:C, $B534, Returns!D:D, $C534, Returns!E:E, $D534), 0)</f>
        <v>0</v>
      </c>
      <c r="H534" s="82">
        <f t="shared" si="1"/>
        <v>0</v>
      </c>
      <c r="I534" s="82">
        <f t="shared" si="2"/>
        <v>0</v>
      </c>
      <c r="J534" s="82">
        <f>IFERROR( SUMIFS('Stock In'!I:I,'Stock In'!B:B,$A534,'Stock In'!C:C,$B534,'Stock In'!D:D,$C534,'Stock In'!E:E,$D534) / SUMIFS('Stock In'!H:H,'Stock In'!B:B,$A534,'Stock In'!C:C,$B534,'Stock In'!D:D,$C534,'Stock In'!E:E,$D534), 0)</f>
        <v>0</v>
      </c>
      <c r="K534" s="82">
        <f t="shared" si="3"/>
        <v>0</v>
      </c>
    </row>
    <row r="535">
      <c r="A535" s="80"/>
      <c r="B535" s="80"/>
      <c r="C535" s="80"/>
      <c r="D535" s="80"/>
      <c r="E535" s="82">
        <f>IFERROR(SUMIFS('Stock In'!F:F,'Stock In'!B:B,$A535,'Stock In'!C:C,$B535,'Stock In'!D:D,$C535,'Stock In'!E:E,$D535),0)</f>
        <v>0</v>
      </c>
      <c r="F535" s="82">
        <f>IFERROR(SUMIFS(Issues!H:H, Issues!F:F, $A535, Issues!C:C, $B535, Issues!D:D, $C535, Issues!E:E, $D535), 0)</f>
        <v>0</v>
      </c>
      <c r="G535" s="82">
        <f>IFERROR(SUMIFS(Returns!H:H, Returns!F:F, $A535, Returns!C:C, $B535, Returns!D:D, $C535, Returns!E:E, $D535), 0)</f>
        <v>0</v>
      </c>
      <c r="H535" s="82">
        <f t="shared" si="1"/>
        <v>0</v>
      </c>
      <c r="I535" s="82">
        <f t="shared" si="2"/>
        <v>0</v>
      </c>
      <c r="J535" s="82">
        <f>IFERROR( SUMIFS('Stock In'!I:I,'Stock In'!B:B,$A535,'Stock In'!C:C,$B535,'Stock In'!D:D,$C535,'Stock In'!E:E,$D535) / SUMIFS('Stock In'!H:H,'Stock In'!B:B,$A535,'Stock In'!C:C,$B535,'Stock In'!D:D,$C535,'Stock In'!E:E,$D535), 0)</f>
        <v>0</v>
      </c>
      <c r="K535" s="82">
        <f t="shared" si="3"/>
        <v>0</v>
      </c>
    </row>
    <row r="536">
      <c r="A536" s="80"/>
      <c r="B536" s="80"/>
      <c r="C536" s="80"/>
      <c r="D536" s="80"/>
      <c r="E536" s="82">
        <f>IFERROR(SUMIFS('Stock In'!F:F,'Stock In'!B:B,$A536,'Stock In'!C:C,$B536,'Stock In'!D:D,$C536,'Stock In'!E:E,$D536),0)</f>
        <v>0</v>
      </c>
      <c r="F536" s="82">
        <f>IFERROR(SUMIFS(Issues!H:H, Issues!F:F, $A536, Issues!C:C, $B536, Issues!D:D, $C536, Issues!E:E, $D536), 0)</f>
        <v>0</v>
      </c>
      <c r="G536" s="82">
        <f>IFERROR(SUMIFS(Returns!H:H, Returns!F:F, $A536, Returns!C:C, $B536, Returns!D:D, $C536, Returns!E:E, $D536), 0)</f>
        <v>0</v>
      </c>
      <c r="H536" s="82">
        <f t="shared" si="1"/>
        <v>0</v>
      </c>
      <c r="I536" s="82">
        <f t="shared" si="2"/>
        <v>0</v>
      </c>
      <c r="J536" s="82">
        <f>IFERROR( SUMIFS('Stock In'!I:I,'Stock In'!B:B,$A536,'Stock In'!C:C,$B536,'Stock In'!D:D,$C536,'Stock In'!E:E,$D536) / SUMIFS('Stock In'!H:H,'Stock In'!B:B,$A536,'Stock In'!C:C,$B536,'Stock In'!D:D,$C536,'Stock In'!E:E,$D536), 0)</f>
        <v>0</v>
      </c>
      <c r="K536" s="82">
        <f t="shared" si="3"/>
        <v>0</v>
      </c>
    </row>
    <row r="537">
      <c r="A537" s="80"/>
      <c r="B537" s="80"/>
      <c r="C537" s="80"/>
      <c r="D537" s="80"/>
      <c r="E537" s="82">
        <f>IFERROR(SUMIFS('Stock In'!F:F,'Stock In'!B:B,$A537,'Stock In'!C:C,$B537,'Stock In'!D:D,$C537,'Stock In'!E:E,$D537),0)</f>
        <v>0</v>
      </c>
      <c r="F537" s="82">
        <f>IFERROR(SUMIFS(Issues!H:H, Issues!F:F, $A537, Issues!C:C, $B537, Issues!D:D, $C537, Issues!E:E, $D537), 0)</f>
        <v>0</v>
      </c>
      <c r="G537" s="82">
        <f>IFERROR(SUMIFS(Returns!H:H, Returns!F:F, $A537, Returns!C:C, $B537, Returns!D:D, $C537, Returns!E:E, $D537), 0)</f>
        <v>0</v>
      </c>
      <c r="H537" s="82">
        <f t="shared" si="1"/>
        <v>0</v>
      </c>
      <c r="I537" s="82">
        <f t="shared" si="2"/>
        <v>0</v>
      </c>
      <c r="J537" s="82">
        <f>IFERROR( SUMIFS('Stock In'!I:I,'Stock In'!B:B,$A537,'Stock In'!C:C,$B537,'Stock In'!D:D,$C537,'Stock In'!E:E,$D537) / SUMIFS('Stock In'!H:H,'Stock In'!B:B,$A537,'Stock In'!C:C,$B537,'Stock In'!D:D,$C537,'Stock In'!E:E,$D537), 0)</f>
        <v>0</v>
      </c>
      <c r="K537" s="82">
        <f t="shared" si="3"/>
        <v>0</v>
      </c>
    </row>
    <row r="538">
      <c r="A538" s="80"/>
      <c r="B538" s="80"/>
      <c r="C538" s="80"/>
      <c r="D538" s="80"/>
      <c r="E538" s="82">
        <f>IFERROR(SUMIFS('Stock In'!F:F,'Stock In'!B:B,$A538,'Stock In'!C:C,$B538,'Stock In'!D:D,$C538,'Stock In'!E:E,$D538),0)</f>
        <v>0</v>
      </c>
      <c r="F538" s="82">
        <f>IFERROR(SUMIFS(Issues!H:H, Issues!F:F, $A538, Issues!C:C, $B538, Issues!D:D, $C538, Issues!E:E, $D538), 0)</f>
        <v>0</v>
      </c>
      <c r="G538" s="82">
        <f>IFERROR(SUMIFS(Returns!H:H, Returns!F:F, $A538, Returns!C:C, $B538, Returns!D:D, $C538, Returns!E:E, $D538), 0)</f>
        <v>0</v>
      </c>
      <c r="H538" s="82">
        <f t="shared" si="1"/>
        <v>0</v>
      </c>
      <c r="I538" s="82">
        <f t="shared" si="2"/>
        <v>0</v>
      </c>
      <c r="J538" s="82">
        <f>IFERROR( SUMIFS('Stock In'!I:I,'Stock In'!B:B,$A538,'Stock In'!C:C,$B538,'Stock In'!D:D,$C538,'Stock In'!E:E,$D538) / SUMIFS('Stock In'!H:H,'Stock In'!B:B,$A538,'Stock In'!C:C,$B538,'Stock In'!D:D,$C538,'Stock In'!E:E,$D538), 0)</f>
        <v>0</v>
      </c>
      <c r="K538" s="82">
        <f t="shared" si="3"/>
        <v>0</v>
      </c>
    </row>
    <row r="539">
      <c r="A539" s="80"/>
      <c r="B539" s="80"/>
      <c r="C539" s="80"/>
      <c r="D539" s="80"/>
      <c r="E539" s="82">
        <f>IFERROR(SUMIFS('Stock In'!F:F,'Stock In'!B:B,$A539,'Stock In'!C:C,$B539,'Stock In'!D:D,$C539,'Stock In'!E:E,$D539),0)</f>
        <v>0</v>
      </c>
      <c r="F539" s="82">
        <f>IFERROR(SUMIFS(Issues!H:H, Issues!F:F, $A539, Issues!C:C, $B539, Issues!D:D, $C539, Issues!E:E, $D539), 0)</f>
        <v>0</v>
      </c>
      <c r="G539" s="82">
        <f>IFERROR(SUMIFS(Returns!H:H, Returns!F:F, $A539, Returns!C:C, $B539, Returns!D:D, $C539, Returns!E:E, $D539), 0)</f>
        <v>0</v>
      </c>
      <c r="H539" s="82">
        <f t="shared" si="1"/>
        <v>0</v>
      </c>
      <c r="I539" s="82">
        <f t="shared" si="2"/>
        <v>0</v>
      </c>
      <c r="J539" s="82">
        <f>IFERROR( SUMIFS('Stock In'!I:I,'Stock In'!B:B,$A539,'Stock In'!C:C,$B539,'Stock In'!D:D,$C539,'Stock In'!E:E,$D539) / SUMIFS('Stock In'!H:H,'Stock In'!B:B,$A539,'Stock In'!C:C,$B539,'Stock In'!D:D,$C539,'Stock In'!E:E,$D539), 0)</f>
        <v>0</v>
      </c>
      <c r="K539" s="82">
        <f t="shared" si="3"/>
        <v>0</v>
      </c>
    </row>
    <row r="540">
      <c r="A540" s="80"/>
      <c r="B540" s="80"/>
      <c r="C540" s="80"/>
      <c r="D540" s="80"/>
      <c r="E540" s="82">
        <f>IFERROR(SUMIFS('Stock In'!F:F,'Stock In'!B:B,$A540,'Stock In'!C:C,$B540,'Stock In'!D:D,$C540,'Stock In'!E:E,$D540),0)</f>
        <v>0</v>
      </c>
      <c r="F540" s="82">
        <f>IFERROR(SUMIFS(Issues!H:H, Issues!F:F, $A540, Issues!C:C, $B540, Issues!D:D, $C540, Issues!E:E, $D540), 0)</f>
        <v>0</v>
      </c>
      <c r="G540" s="82">
        <f>IFERROR(SUMIFS(Returns!H:H, Returns!F:F, $A540, Returns!C:C, $B540, Returns!D:D, $C540, Returns!E:E, $D540), 0)</f>
        <v>0</v>
      </c>
      <c r="H540" s="82">
        <f t="shared" si="1"/>
        <v>0</v>
      </c>
      <c r="I540" s="82">
        <f t="shared" si="2"/>
        <v>0</v>
      </c>
      <c r="J540" s="82">
        <f>IFERROR( SUMIFS('Stock In'!I:I,'Stock In'!B:B,$A540,'Stock In'!C:C,$B540,'Stock In'!D:D,$C540,'Stock In'!E:E,$D540) / SUMIFS('Stock In'!H:H,'Stock In'!B:B,$A540,'Stock In'!C:C,$B540,'Stock In'!D:D,$C540,'Stock In'!E:E,$D540), 0)</f>
        <v>0</v>
      </c>
      <c r="K540" s="82">
        <f t="shared" si="3"/>
        <v>0</v>
      </c>
    </row>
    <row r="541">
      <c r="A541" s="80"/>
      <c r="B541" s="80"/>
      <c r="C541" s="80"/>
      <c r="D541" s="80"/>
      <c r="E541" s="82">
        <f>IFERROR(SUMIFS('Stock In'!F:F,'Stock In'!B:B,$A541,'Stock In'!C:C,$B541,'Stock In'!D:D,$C541,'Stock In'!E:E,$D541),0)</f>
        <v>0</v>
      </c>
      <c r="F541" s="82">
        <f>IFERROR(SUMIFS(Issues!H:H, Issues!F:F, $A541, Issues!C:C, $B541, Issues!D:D, $C541, Issues!E:E, $D541), 0)</f>
        <v>0</v>
      </c>
      <c r="G541" s="82">
        <f>IFERROR(SUMIFS(Returns!H:H, Returns!F:F, $A541, Returns!C:C, $B541, Returns!D:D, $C541, Returns!E:E, $D541), 0)</f>
        <v>0</v>
      </c>
      <c r="H541" s="82">
        <f t="shared" si="1"/>
        <v>0</v>
      </c>
      <c r="I541" s="82">
        <f t="shared" si="2"/>
        <v>0</v>
      </c>
      <c r="J541" s="82">
        <f>IFERROR( SUMIFS('Stock In'!I:I,'Stock In'!B:B,$A541,'Stock In'!C:C,$B541,'Stock In'!D:D,$C541,'Stock In'!E:E,$D541) / SUMIFS('Stock In'!H:H,'Stock In'!B:B,$A541,'Stock In'!C:C,$B541,'Stock In'!D:D,$C541,'Stock In'!E:E,$D541), 0)</f>
        <v>0</v>
      </c>
      <c r="K541" s="82">
        <f t="shared" si="3"/>
        <v>0</v>
      </c>
    </row>
    <row r="542">
      <c r="A542" s="80"/>
      <c r="B542" s="80"/>
      <c r="C542" s="80"/>
      <c r="D542" s="80"/>
      <c r="E542" s="82">
        <f>IFERROR(SUMIFS('Stock In'!F:F,'Stock In'!B:B,$A542,'Stock In'!C:C,$B542,'Stock In'!D:D,$C542,'Stock In'!E:E,$D542),0)</f>
        <v>0</v>
      </c>
      <c r="F542" s="82">
        <f>IFERROR(SUMIFS(Issues!H:H, Issues!F:F, $A542, Issues!C:C, $B542, Issues!D:D, $C542, Issues!E:E, $D542), 0)</f>
        <v>0</v>
      </c>
      <c r="G542" s="82">
        <f>IFERROR(SUMIFS(Returns!H:H, Returns!F:F, $A542, Returns!C:C, $B542, Returns!D:D, $C542, Returns!E:E, $D542), 0)</f>
        <v>0</v>
      </c>
      <c r="H542" s="82">
        <f t="shared" si="1"/>
        <v>0</v>
      </c>
      <c r="I542" s="82">
        <f t="shared" si="2"/>
        <v>0</v>
      </c>
      <c r="J542" s="82">
        <f>IFERROR( SUMIFS('Stock In'!I:I,'Stock In'!B:B,$A542,'Stock In'!C:C,$B542,'Stock In'!D:D,$C542,'Stock In'!E:E,$D542) / SUMIFS('Stock In'!H:H,'Stock In'!B:B,$A542,'Stock In'!C:C,$B542,'Stock In'!D:D,$C542,'Stock In'!E:E,$D542), 0)</f>
        <v>0</v>
      </c>
      <c r="K542" s="82">
        <f t="shared" si="3"/>
        <v>0</v>
      </c>
    </row>
    <row r="543">
      <c r="A543" s="80"/>
      <c r="B543" s="80"/>
      <c r="C543" s="80"/>
      <c r="D543" s="80"/>
      <c r="E543" s="82">
        <f>IFERROR(SUMIFS('Stock In'!F:F,'Stock In'!B:B,$A543,'Stock In'!C:C,$B543,'Stock In'!D:D,$C543,'Stock In'!E:E,$D543),0)</f>
        <v>0</v>
      </c>
      <c r="F543" s="82">
        <f>IFERROR(SUMIFS(Issues!H:H, Issues!F:F, $A543, Issues!C:C, $B543, Issues!D:D, $C543, Issues!E:E, $D543), 0)</f>
        <v>0</v>
      </c>
      <c r="G543" s="82">
        <f>IFERROR(SUMIFS(Returns!H:H, Returns!F:F, $A543, Returns!C:C, $B543, Returns!D:D, $C543, Returns!E:E, $D543), 0)</f>
        <v>0</v>
      </c>
      <c r="H543" s="82">
        <f t="shared" si="1"/>
        <v>0</v>
      </c>
      <c r="I543" s="82">
        <f t="shared" si="2"/>
        <v>0</v>
      </c>
      <c r="J543" s="82">
        <f>IFERROR( SUMIFS('Stock In'!I:I,'Stock In'!B:B,$A543,'Stock In'!C:C,$B543,'Stock In'!D:D,$C543,'Stock In'!E:E,$D543) / SUMIFS('Stock In'!H:H,'Stock In'!B:B,$A543,'Stock In'!C:C,$B543,'Stock In'!D:D,$C543,'Stock In'!E:E,$D543), 0)</f>
        <v>0</v>
      </c>
      <c r="K543" s="82">
        <f t="shared" si="3"/>
        <v>0</v>
      </c>
    </row>
    <row r="544">
      <c r="A544" s="80"/>
      <c r="B544" s="80"/>
      <c r="C544" s="80"/>
      <c r="D544" s="80"/>
      <c r="E544" s="82">
        <f>IFERROR(SUMIFS('Stock In'!F:F,'Stock In'!B:B,$A544,'Stock In'!C:C,$B544,'Stock In'!D:D,$C544,'Stock In'!E:E,$D544),0)</f>
        <v>0</v>
      </c>
      <c r="F544" s="82">
        <f>IFERROR(SUMIFS(Issues!H:H, Issues!F:F, $A544, Issues!C:C, $B544, Issues!D:D, $C544, Issues!E:E, $D544), 0)</f>
        <v>0</v>
      </c>
      <c r="G544" s="82">
        <f>IFERROR(SUMIFS(Returns!H:H, Returns!F:F, $A544, Returns!C:C, $B544, Returns!D:D, $C544, Returns!E:E, $D544), 0)</f>
        <v>0</v>
      </c>
      <c r="H544" s="82">
        <f t="shared" si="1"/>
        <v>0</v>
      </c>
      <c r="I544" s="82">
        <f t="shared" si="2"/>
        <v>0</v>
      </c>
      <c r="J544" s="82">
        <f>IFERROR( SUMIFS('Stock In'!I:I,'Stock In'!B:B,$A544,'Stock In'!C:C,$B544,'Stock In'!D:D,$C544,'Stock In'!E:E,$D544) / SUMIFS('Stock In'!H:H,'Stock In'!B:B,$A544,'Stock In'!C:C,$B544,'Stock In'!D:D,$C544,'Stock In'!E:E,$D544), 0)</f>
        <v>0</v>
      </c>
      <c r="K544" s="82">
        <f t="shared" si="3"/>
        <v>0</v>
      </c>
    </row>
    <row r="545">
      <c r="A545" s="80"/>
      <c r="B545" s="80"/>
      <c r="C545" s="80"/>
      <c r="D545" s="80"/>
      <c r="E545" s="82">
        <f>IFERROR(SUMIFS('Stock In'!F:F,'Stock In'!B:B,$A545,'Stock In'!C:C,$B545,'Stock In'!D:D,$C545,'Stock In'!E:E,$D545),0)</f>
        <v>0</v>
      </c>
      <c r="F545" s="82">
        <f>IFERROR(SUMIFS(Issues!H:H, Issues!F:F, $A545, Issues!C:C, $B545, Issues!D:D, $C545, Issues!E:E, $D545), 0)</f>
        <v>0</v>
      </c>
      <c r="G545" s="82">
        <f>IFERROR(SUMIFS(Returns!H:H, Returns!F:F, $A545, Returns!C:C, $B545, Returns!D:D, $C545, Returns!E:E, $D545), 0)</f>
        <v>0</v>
      </c>
      <c r="H545" s="82">
        <f t="shared" si="1"/>
        <v>0</v>
      </c>
      <c r="I545" s="82">
        <f t="shared" si="2"/>
        <v>0</v>
      </c>
      <c r="J545" s="82">
        <f>IFERROR( SUMIFS('Stock In'!I:I,'Stock In'!B:B,$A545,'Stock In'!C:C,$B545,'Stock In'!D:D,$C545,'Stock In'!E:E,$D545) / SUMIFS('Stock In'!H:H,'Stock In'!B:B,$A545,'Stock In'!C:C,$B545,'Stock In'!D:D,$C545,'Stock In'!E:E,$D545), 0)</f>
        <v>0</v>
      </c>
      <c r="K545" s="82">
        <f t="shared" si="3"/>
        <v>0</v>
      </c>
    </row>
    <row r="546">
      <c r="A546" s="80"/>
      <c r="B546" s="80"/>
      <c r="C546" s="80"/>
      <c r="D546" s="80"/>
      <c r="E546" s="82">
        <f>IFERROR(SUMIFS('Stock In'!F:F,'Stock In'!B:B,$A546,'Stock In'!C:C,$B546,'Stock In'!D:D,$C546,'Stock In'!E:E,$D546),0)</f>
        <v>0</v>
      </c>
      <c r="F546" s="82">
        <f>IFERROR(SUMIFS(Issues!H:H, Issues!F:F, $A546, Issues!C:C, $B546, Issues!D:D, $C546, Issues!E:E, $D546), 0)</f>
        <v>0</v>
      </c>
      <c r="G546" s="82">
        <f>IFERROR(SUMIFS(Returns!H:H, Returns!F:F, $A546, Returns!C:C, $B546, Returns!D:D, $C546, Returns!E:E, $D546), 0)</f>
        <v>0</v>
      </c>
      <c r="H546" s="82">
        <f t="shared" si="1"/>
        <v>0</v>
      </c>
      <c r="I546" s="82">
        <f t="shared" si="2"/>
        <v>0</v>
      </c>
      <c r="J546" s="82">
        <f>IFERROR( SUMIFS('Stock In'!I:I,'Stock In'!B:B,$A546,'Stock In'!C:C,$B546,'Stock In'!D:D,$C546,'Stock In'!E:E,$D546) / SUMIFS('Stock In'!H:H,'Stock In'!B:B,$A546,'Stock In'!C:C,$B546,'Stock In'!D:D,$C546,'Stock In'!E:E,$D546), 0)</f>
        <v>0</v>
      </c>
      <c r="K546" s="82">
        <f t="shared" si="3"/>
        <v>0</v>
      </c>
    </row>
    <row r="547">
      <c r="A547" s="80"/>
      <c r="B547" s="80"/>
      <c r="C547" s="80"/>
      <c r="D547" s="80"/>
      <c r="E547" s="82">
        <f>IFERROR(SUMIFS('Stock In'!F:F,'Stock In'!B:B,$A547,'Stock In'!C:C,$B547,'Stock In'!D:D,$C547,'Stock In'!E:E,$D547),0)</f>
        <v>0</v>
      </c>
      <c r="F547" s="82">
        <f>IFERROR(SUMIFS(Issues!H:H, Issues!F:F, $A547, Issues!C:C, $B547, Issues!D:D, $C547, Issues!E:E, $D547), 0)</f>
        <v>0</v>
      </c>
      <c r="G547" s="82">
        <f>IFERROR(SUMIFS(Returns!H:H, Returns!F:F, $A547, Returns!C:C, $B547, Returns!D:D, $C547, Returns!E:E, $D547), 0)</f>
        <v>0</v>
      </c>
      <c r="H547" s="82">
        <f t="shared" si="1"/>
        <v>0</v>
      </c>
      <c r="I547" s="82">
        <f t="shared" si="2"/>
        <v>0</v>
      </c>
      <c r="J547" s="82">
        <f>IFERROR( SUMIFS('Stock In'!I:I,'Stock In'!B:B,$A547,'Stock In'!C:C,$B547,'Stock In'!D:D,$C547,'Stock In'!E:E,$D547) / SUMIFS('Stock In'!H:H,'Stock In'!B:B,$A547,'Stock In'!C:C,$B547,'Stock In'!D:D,$C547,'Stock In'!E:E,$D547), 0)</f>
        <v>0</v>
      </c>
      <c r="K547" s="82">
        <f t="shared" si="3"/>
        <v>0</v>
      </c>
    </row>
    <row r="548">
      <c r="A548" s="80"/>
      <c r="B548" s="80"/>
      <c r="C548" s="80"/>
      <c r="D548" s="80"/>
      <c r="E548" s="82">
        <f>IFERROR(SUMIFS('Stock In'!F:F,'Stock In'!B:B,$A548,'Stock In'!C:C,$B548,'Stock In'!D:D,$C548,'Stock In'!E:E,$D548),0)</f>
        <v>0</v>
      </c>
      <c r="F548" s="82">
        <f>IFERROR(SUMIFS(Issues!H:H, Issues!F:F, $A548, Issues!C:C, $B548, Issues!D:D, $C548, Issues!E:E, $D548), 0)</f>
        <v>0</v>
      </c>
      <c r="G548" s="82">
        <f>IFERROR(SUMIFS(Returns!H:H, Returns!F:F, $A548, Returns!C:C, $B548, Returns!D:D, $C548, Returns!E:E, $D548), 0)</f>
        <v>0</v>
      </c>
      <c r="H548" s="82">
        <f t="shared" si="1"/>
        <v>0</v>
      </c>
      <c r="I548" s="82">
        <f t="shared" si="2"/>
        <v>0</v>
      </c>
      <c r="J548" s="82">
        <f>IFERROR( SUMIFS('Stock In'!I:I,'Stock In'!B:B,$A548,'Stock In'!C:C,$B548,'Stock In'!D:D,$C548,'Stock In'!E:E,$D548) / SUMIFS('Stock In'!H:H,'Stock In'!B:B,$A548,'Stock In'!C:C,$B548,'Stock In'!D:D,$C548,'Stock In'!E:E,$D548), 0)</f>
        <v>0</v>
      </c>
      <c r="K548" s="82">
        <f t="shared" si="3"/>
        <v>0</v>
      </c>
    </row>
    <row r="549">
      <c r="A549" s="80"/>
      <c r="B549" s="80"/>
      <c r="C549" s="80"/>
      <c r="D549" s="80"/>
      <c r="E549" s="82">
        <f>IFERROR(SUMIFS('Stock In'!F:F,'Stock In'!B:B,$A549,'Stock In'!C:C,$B549,'Stock In'!D:D,$C549,'Stock In'!E:E,$D549),0)</f>
        <v>0</v>
      </c>
      <c r="F549" s="82">
        <f>IFERROR(SUMIFS(Issues!H:H, Issues!F:F, $A549, Issues!C:C, $B549, Issues!D:D, $C549, Issues!E:E, $D549), 0)</f>
        <v>0</v>
      </c>
      <c r="G549" s="82">
        <f>IFERROR(SUMIFS(Returns!H:H, Returns!F:F, $A549, Returns!C:C, $B549, Returns!D:D, $C549, Returns!E:E, $D549), 0)</f>
        <v>0</v>
      </c>
      <c r="H549" s="82">
        <f t="shared" si="1"/>
        <v>0</v>
      </c>
      <c r="I549" s="82">
        <f t="shared" si="2"/>
        <v>0</v>
      </c>
      <c r="J549" s="82">
        <f>IFERROR( SUMIFS('Stock In'!I:I,'Stock In'!B:B,$A549,'Stock In'!C:C,$B549,'Stock In'!D:D,$C549,'Stock In'!E:E,$D549) / SUMIFS('Stock In'!H:H,'Stock In'!B:B,$A549,'Stock In'!C:C,$B549,'Stock In'!D:D,$C549,'Stock In'!E:E,$D549), 0)</f>
        <v>0</v>
      </c>
      <c r="K549" s="82">
        <f t="shared" si="3"/>
        <v>0</v>
      </c>
    </row>
    <row r="550">
      <c r="A550" s="80"/>
      <c r="B550" s="80"/>
      <c r="C550" s="80"/>
      <c r="D550" s="80"/>
      <c r="E550" s="82">
        <f>IFERROR(SUMIFS('Stock In'!F:F,'Stock In'!B:B,$A550,'Stock In'!C:C,$B550,'Stock In'!D:D,$C550,'Stock In'!E:E,$D550),0)</f>
        <v>0</v>
      </c>
      <c r="F550" s="82">
        <f>IFERROR(SUMIFS(Issues!H:H, Issues!F:F, $A550, Issues!C:C, $B550, Issues!D:D, $C550, Issues!E:E, $D550), 0)</f>
        <v>0</v>
      </c>
      <c r="G550" s="82">
        <f>IFERROR(SUMIFS(Returns!H:H, Returns!F:F, $A550, Returns!C:C, $B550, Returns!D:D, $C550, Returns!E:E, $D550), 0)</f>
        <v>0</v>
      </c>
      <c r="H550" s="82">
        <f t="shared" si="1"/>
        <v>0</v>
      </c>
      <c r="I550" s="82">
        <f t="shared" si="2"/>
        <v>0</v>
      </c>
      <c r="J550" s="82">
        <f>IFERROR( SUMIFS('Stock In'!I:I,'Stock In'!B:B,$A550,'Stock In'!C:C,$B550,'Stock In'!D:D,$C550,'Stock In'!E:E,$D550) / SUMIFS('Stock In'!H:H,'Stock In'!B:B,$A550,'Stock In'!C:C,$B550,'Stock In'!D:D,$C550,'Stock In'!E:E,$D550), 0)</f>
        <v>0</v>
      </c>
      <c r="K550" s="82">
        <f t="shared" si="3"/>
        <v>0</v>
      </c>
    </row>
    <row r="551">
      <c r="A551" s="80"/>
      <c r="B551" s="80"/>
      <c r="C551" s="80"/>
      <c r="D551" s="80"/>
      <c r="E551" s="82">
        <f>IFERROR(SUMIFS('Stock In'!F:F,'Stock In'!B:B,$A551,'Stock In'!C:C,$B551,'Stock In'!D:D,$C551,'Stock In'!E:E,$D551),0)</f>
        <v>0</v>
      </c>
      <c r="F551" s="82">
        <f>IFERROR(SUMIFS(Issues!H:H, Issues!F:F, $A551, Issues!C:C, $B551, Issues!D:D, $C551, Issues!E:E, $D551), 0)</f>
        <v>0</v>
      </c>
      <c r="G551" s="82">
        <f>IFERROR(SUMIFS(Returns!H:H, Returns!F:F, $A551, Returns!C:C, $B551, Returns!D:D, $C551, Returns!E:E, $D551), 0)</f>
        <v>0</v>
      </c>
      <c r="H551" s="82">
        <f t="shared" si="1"/>
        <v>0</v>
      </c>
      <c r="I551" s="82">
        <f t="shared" si="2"/>
        <v>0</v>
      </c>
      <c r="J551" s="82">
        <f>IFERROR( SUMIFS('Stock In'!I:I,'Stock In'!B:B,$A551,'Stock In'!C:C,$B551,'Stock In'!D:D,$C551,'Stock In'!E:E,$D551) / SUMIFS('Stock In'!H:H,'Stock In'!B:B,$A551,'Stock In'!C:C,$B551,'Stock In'!D:D,$C551,'Stock In'!E:E,$D551), 0)</f>
        <v>0</v>
      </c>
      <c r="K551" s="82">
        <f t="shared" si="3"/>
        <v>0</v>
      </c>
    </row>
    <row r="552">
      <c r="A552" s="80"/>
      <c r="B552" s="80"/>
      <c r="C552" s="80"/>
      <c r="D552" s="80"/>
      <c r="E552" s="82">
        <f>IFERROR(SUMIFS('Stock In'!F:F,'Stock In'!B:B,$A552,'Stock In'!C:C,$B552,'Stock In'!D:D,$C552,'Stock In'!E:E,$D552),0)</f>
        <v>0</v>
      </c>
      <c r="F552" s="82">
        <f>IFERROR(SUMIFS(Issues!H:H, Issues!F:F, $A552, Issues!C:C, $B552, Issues!D:D, $C552, Issues!E:E, $D552), 0)</f>
        <v>0</v>
      </c>
      <c r="G552" s="82">
        <f>IFERROR(SUMIFS(Returns!H:H, Returns!F:F, $A552, Returns!C:C, $B552, Returns!D:D, $C552, Returns!E:E, $D552), 0)</f>
        <v>0</v>
      </c>
      <c r="H552" s="82">
        <f t="shared" si="1"/>
        <v>0</v>
      </c>
      <c r="I552" s="82">
        <f t="shared" si="2"/>
        <v>0</v>
      </c>
      <c r="J552" s="82">
        <f>IFERROR( SUMIFS('Stock In'!I:I,'Stock In'!B:B,$A552,'Stock In'!C:C,$B552,'Stock In'!D:D,$C552,'Stock In'!E:E,$D552) / SUMIFS('Stock In'!H:H,'Stock In'!B:B,$A552,'Stock In'!C:C,$B552,'Stock In'!D:D,$C552,'Stock In'!E:E,$D552), 0)</f>
        <v>0</v>
      </c>
      <c r="K552" s="82">
        <f t="shared" si="3"/>
        <v>0</v>
      </c>
    </row>
    <row r="553">
      <c r="A553" s="80"/>
      <c r="B553" s="80"/>
      <c r="C553" s="80"/>
      <c r="D553" s="80"/>
      <c r="E553" s="82">
        <f>IFERROR(SUMIFS('Stock In'!F:F,'Stock In'!B:B,$A553,'Stock In'!C:C,$B553,'Stock In'!D:D,$C553,'Stock In'!E:E,$D553),0)</f>
        <v>0</v>
      </c>
      <c r="F553" s="82">
        <f>IFERROR(SUMIFS(Issues!H:H, Issues!F:F, $A553, Issues!C:C, $B553, Issues!D:D, $C553, Issues!E:E, $D553), 0)</f>
        <v>0</v>
      </c>
      <c r="G553" s="82">
        <f>IFERROR(SUMIFS(Returns!H:H, Returns!F:F, $A553, Returns!C:C, $B553, Returns!D:D, $C553, Returns!E:E, $D553), 0)</f>
        <v>0</v>
      </c>
      <c r="H553" s="82">
        <f t="shared" si="1"/>
        <v>0</v>
      </c>
      <c r="I553" s="82">
        <f t="shared" si="2"/>
        <v>0</v>
      </c>
      <c r="J553" s="82">
        <f>IFERROR( SUMIFS('Stock In'!I:I,'Stock In'!B:B,$A553,'Stock In'!C:C,$B553,'Stock In'!D:D,$C553,'Stock In'!E:E,$D553) / SUMIFS('Stock In'!H:H,'Stock In'!B:B,$A553,'Stock In'!C:C,$B553,'Stock In'!D:D,$C553,'Stock In'!E:E,$D553), 0)</f>
        <v>0</v>
      </c>
      <c r="K553" s="82">
        <f t="shared" si="3"/>
        <v>0</v>
      </c>
    </row>
    <row r="554">
      <c r="A554" s="80"/>
      <c r="B554" s="80"/>
      <c r="C554" s="80"/>
      <c r="D554" s="80"/>
      <c r="E554" s="82">
        <f>IFERROR(SUMIFS('Stock In'!F:F,'Stock In'!B:B,$A554,'Stock In'!C:C,$B554,'Stock In'!D:D,$C554,'Stock In'!E:E,$D554),0)</f>
        <v>0</v>
      </c>
      <c r="F554" s="82">
        <f>IFERROR(SUMIFS(Issues!H:H, Issues!F:F, $A554, Issues!C:C, $B554, Issues!D:D, $C554, Issues!E:E, $D554), 0)</f>
        <v>0</v>
      </c>
      <c r="G554" s="82">
        <f>IFERROR(SUMIFS(Returns!H:H, Returns!F:F, $A554, Returns!C:C, $B554, Returns!D:D, $C554, Returns!E:E, $D554), 0)</f>
        <v>0</v>
      </c>
      <c r="H554" s="82">
        <f t="shared" si="1"/>
        <v>0</v>
      </c>
      <c r="I554" s="82">
        <f t="shared" si="2"/>
        <v>0</v>
      </c>
      <c r="J554" s="82">
        <f>IFERROR( SUMIFS('Stock In'!I:I,'Stock In'!B:B,$A554,'Stock In'!C:C,$B554,'Stock In'!D:D,$C554,'Stock In'!E:E,$D554) / SUMIFS('Stock In'!H:H,'Stock In'!B:B,$A554,'Stock In'!C:C,$B554,'Stock In'!D:D,$C554,'Stock In'!E:E,$D554), 0)</f>
        <v>0</v>
      </c>
      <c r="K554" s="82">
        <f t="shared" si="3"/>
        <v>0</v>
      </c>
    </row>
    <row r="555">
      <c r="A555" s="80"/>
      <c r="B555" s="80"/>
      <c r="C555" s="80"/>
      <c r="D555" s="80"/>
      <c r="E555" s="82">
        <f>IFERROR(SUMIFS('Stock In'!F:F,'Stock In'!B:B,$A555,'Stock In'!C:C,$B555,'Stock In'!D:D,$C555,'Stock In'!E:E,$D555),0)</f>
        <v>0</v>
      </c>
      <c r="F555" s="82">
        <f>IFERROR(SUMIFS(Issues!H:H, Issues!F:F, $A555, Issues!C:C, $B555, Issues!D:D, $C555, Issues!E:E, $D555), 0)</f>
        <v>0</v>
      </c>
      <c r="G555" s="82">
        <f>IFERROR(SUMIFS(Returns!H:H, Returns!F:F, $A555, Returns!C:C, $B555, Returns!D:D, $C555, Returns!E:E, $D555), 0)</f>
        <v>0</v>
      </c>
      <c r="H555" s="82">
        <f t="shared" si="1"/>
        <v>0</v>
      </c>
      <c r="I555" s="82">
        <f t="shared" si="2"/>
        <v>0</v>
      </c>
      <c r="J555" s="82">
        <f>IFERROR( SUMIFS('Stock In'!I:I,'Stock In'!B:B,$A555,'Stock In'!C:C,$B555,'Stock In'!D:D,$C555,'Stock In'!E:E,$D555) / SUMIFS('Stock In'!H:H,'Stock In'!B:B,$A555,'Stock In'!C:C,$B555,'Stock In'!D:D,$C555,'Stock In'!E:E,$D555), 0)</f>
        <v>0</v>
      </c>
      <c r="K555" s="82">
        <f t="shared" si="3"/>
        <v>0</v>
      </c>
    </row>
    <row r="556">
      <c r="A556" s="80"/>
      <c r="B556" s="80"/>
      <c r="C556" s="80"/>
      <c r="D556" s="80"/>
      <c r="E556" s="82">
        <f>IFERROR(SUMIFS('Stock In'!F:F,'Stock In'!B:B,$A556,'Stock In'!C:C,$B556,'Stock In'!D:D,$C556,'Stock In'!E:E,$D556),0)</f>
        <v>0</v>
      </c>
      <c r="F556" s="82">
        <f>IFERROR(SUMIFS(Issues!H:H, Issues!F:F, $A556, Issues!C:C, $B556, Issues!D:D, $C556, Issues!E:E, $D556), 0)</f>
        <v>0</v>
      </c>
      <c r="G556" s="82">
        <f>IFERROR(SUMIFS(Returns!H:H, Returns!F:F, $A556, Returns!C:C, $B556, Returns!D:D, $C556, Returns!E:E, $D556), 0)</f>
        <v>0</v>
      </c>
      <c r="H556" s="82">
        <f t="shared" si="1"/>
        <v>0</v>
      </c>
      <c r="I556" s="82">
        <f t="shared" si="2"/>
        <v>0</v>
      </c>
      <c r="J556" s="82">
        <f>IFERROR( SUMIFS('Stock In'!I:I,'Stock In'!B:B,$A556,'Stock In'!C:C,$B556,'Stock In'!D:D,$C556,'Stock In'!E:E,$D556) / SUMIFS('Stock In'!H:H,'Stock In'!B:B,$A556,'Stock In'!C:C,$B556,'Stock In'!D:D,$C556,'Stock In'!E:E,$D556), 0)</f>
        <v>0</v>
      </c>
      <c r="K556" s="82">
        <f t="shared" si="3"/>
        <v>0</v>
      </c>
    </row>
    <row r="557">
      <c r="A557" s="80"/>
      <c r="B557" s="80"/>
      <c r="C557" s="80"/>
      <c r="D557" s="80"/>
      <c r="E557" s="82">
        <f>IFERROR(SUMIFS('Stock In'!F:F,'Stock In'!B:B,$A557,'Stock In'!C:C,$B557,'Stock In'!D:D,$C557,'Stock In'!E:E,$D557),0)</f>
        <v>0</v>
      </c>
      <c r="F557" s="82">
        <f>IFERROR(SUMIFS(Issues!H:H, Issues!F:F, $A557, Issues!C:C, $B557, Issues!D:D, $C557, Issues!E:E, $D557), 0)</f>
        <v>0</v>
      </c>
      <c r="G557" s="82">
        <f>IFERROR(SUMIFS(Returns!H:H, Returns!F:F, $A557, Returns!C:C, $B557, Returns!D:D, $C557, Returns!E:E, $D557), 0)</f>
        <v>0</v>
      </c>
      <c r="H557" s="82">
        <f t="shared" si="1"/>
        <v>0</v>
      </c>
      <c r="I557" s="82">
        <f t="shared" si="2"/>
        <v>0</v>
      </c>
      <c r="J557" s="82">
        <f>IFERROR( SUMIFS('Stock In'!I:I,'Stock In'!B:B,$A557,'Stock In'!C:C,$B557,'Stock In'!D:D,$C557,'Stock In'!E:E,$D557) / SUMIFS('Stock In'!H:H,'Stock In'!B:B,$A557,'Stock In'!C:C,$B557,'Stock In'!D:D,$C557,'Stock In'!E:E,$D557), 0)</f>
        <v>0</v>
      </c>
      <c r="K557" s="82">
        <f t="shared" si="3"/>
        <v>0</v>
      </c>
    </row>
    <row r="558">
      <c r="A558" s="80"/>
      <c r="B558" s="80"/>
      <c r="C558" s="80"/>
      <c r="D558" s="80"/>
      <c r="E558" s="82">
        <f>IFERROR(SUMIFS('Stock In'!F:F,'Stock In'!B:B,$A558,'Stock In'!C:C,$B558,'Stock In'!D:D,$C558,'Stock In'!E:E,$D558),0)</f>
        <v>0</v>
      </c>
      <c r="F558" s="82">
        <f>IFERROR(SUMIFS(Issues!H:H, Issues!F:F, $A558, Issues!C:C, $B558, Issues!D:D, $C558, Issues!E:E, $D558), 0)</f>
        <v>0</v>
      </c>
      <c r="G558" s="82">
        <f>IFERROR(SUMIFS(Returns!H:H, Returns!F:F, $A558, Returns!C:C, $B558, Returns!D:D, $C558, Returns!E:E, $D558), 0)</f>
        <v>0</v>
      </c>
      <c r="H558" s="82">
        <f t="shared" si="1"/>
        <v>0</v>
      </c>
      <c r="I558" s="82">
        <f t="shared" si="2"/>
        <v>0</v>
      </c>
      <c r="J558" s="82">
        <f>IFERROR( SUMIFS('Stock In'!I:I,'Stock In'!B:B,$A558,'Stock In'!C:C,$B558,'Stock In'!D:D,$C558,'Stock In'!E:E,$D558) / SUMIFS('Stock In'!H:H,'Stock In'!B:B,$A558,'Stock In'!C:C,$B558,'Stock In'!D:D,$C558,'Stock In'!E:E,$D558), 0)</f>
        <v>0</v>
      </c>
      <c r="K558" s="82">
        <f t="shared" si="3"/>
        <v>0</v>
      </c>
    </row>
    <row r="559">
      <c r="A559" s="80"/>
      <c r="B559" s="80"/>
      <c r="C559" s="80"/>
      <c r="D559" s="80"/>
      <c r="E559" s="82">
        <f>IFERROR(SUMIFS('Stock In'!F:F,'Stock In'!B:B,$A559,'Stock In'!C:C,$B559,'Stock In'!D:D,$C559,'Stock In'!E:E,$D559),0)</f>
        <v>0</v>
      </c>
      <c r="F559" s="82">
        <f>IFERROR(SUMIFS(Issues!H:H, Issues!F:F, $A559, Issues!C:C, $B559, Issues!D:D, $C559, Issues!E:E, $D559), 0)</f>
        <v>0</v>
      </c>
      <c r="G559" s="82">
        <f>IFERROR(SUMIFS(Returns!H:H, Returns!F:F, $A559, Returns!C:C, $B559, Returns!D:D, $C559, Returns!E:E, $D559), 0)</f>
        <v>0</v>
      </c>
      <c r="H559" s="82">
        <f t="shared" si="1"/>
        <v>0</v>
      </c>
      <c r="I559" s="82">
        <f t="shared" si="2"/>
        <v>0</v>
      </c>
      <c r="J559" s="82">
        <f>IFERROR( SUMIFS('Stock In'!I:I,'Stock In'!B:B,$A559,'Stock In'!C:C,$B559,'Stock In'!D:D,$C559,'Stock In'!E:E,$D559) / SUMIFS('Stock In'!H:H,'Stock In'!B:B,$A559,'Stock In'!C:C,$B559,'Stock In'!D:D,$C559,'Stock In'!E:E,$D559), 0)</f>
        <v>0</v>
      </c>
      <c r="K559" s="82">
        <f t="shared" si="3"/>
        <v>0</v>
      </c>
    </row>
    <row r="560">
      <c r="A560" s="80"/>
      <c r="B560" s="80"/>
      <c r="C560" s="80"/>
      <c r="D560" s="80"/>
      <c r="E560" s="82">
        <f>IFERROR(SUMIFS('Stock In'!F:F,'Stock In'!B:B,$A560,'Stock In'!C:C,$B560,'Stock In'!D:D,$C560,'Stock In'!E:E,$D560),0)</f>
        <v>0</v>
      </c>
      <c r="F560" s="82">
        <f>IFERROR(SUMIFS(Issues!H:H, Issues!F:F, $A560, Issues!C:C, $B560, Issues!D:D, $C560, Issues!E:E, $D560), 0)</f>
        <v>0</v>
      </c>
      <c r="G560" s="82">
        <f>IFERROR(SUMIFS(Returns!H:H, Returns!F:F, $A560, Returns!C:C, $B560, Returns!D:D, $C560, Returns!E:E, $D560), 0)</f>
        <v>0</v>
      </c>
      <c r="H560" s="82">
        <f t="shared" si="1"/>
        <v>0</v>
      </c>
      <c r="I560" s="82">
        <f t="shared" si="2"/>
        <v>0</v>
      </c>
      <c r="J560" s="82">
        <f>IFERROR( SUMIFS('Stock In'!I:I,'Stock In'!B:B,$A560,'Stock In'!C:C,$B560,'Stock In'!D:D,$C560,'Stock In'!E:E,$D560) / SUMIFS('Stock In'!H:H,'Stock In'!B:B,$A560,'Stock In'!C:C,$B560,'Stock In'!D:D,$C560,'Stock In'!E:E,$D560), 0)</f>
        <v>0</v>
      </c>
      <c r="K560" s="82">
        <f t="shared" si="3"/>
        <v>0</v>
      </c>
    </row>
    <row r="561">
      <c r="A561" s="80"/>
      <c r="B561" s="80"/>
      <c r="C561" s="80"/>
      <c r="D561" s="80"/>
      <c r="E561" s="82">
        <f>IFERROR(SUMIFS('Stock In'!F:F,'Stock In'!B:B,$A561,'Stock In'!C:C,$B561,'Stock In'!D:D,$C561,'Stock In'!E:E,$D561),0)</f>
        <v>0</v>
      </c>
      <c r="F561" s="82">
        <f>IFERROR(SUMIFS(Issues!H:H, Issues!F:F, $A561, Issues!C:C, $B561, Issues!D:D, $C561, Issues!E:E, $D561), 0)</f>
        <v>0</v>
      </c>
      <c r="G561" s="82">
        <f>IFERROR(SUMIFS(Returns!H:H, Returns!F:F, $A561, Returns!C:C, $B561, Returns!D:D, $C561, Returns!E:E, $D561), 0)</f>
        <v>0</v>
      </c>
      <c r="H561" s="82">
        <f t="shared" si="1"/>
        <v>0</v>
      </c>
      <c r="I561" s="82">
        <f t="shared" si="2"/>
        <v>0</v>
      </c>
      <c r="J561" s="82">
        <f>IFERROR( SUMIFS('Stock In'!I:I,'Stock In'!B:B,$A561,'Stock In'!C:C,$B561,'Stock In'!D:D,$C561,'Stock In'!E:E,$D561) / SUMIFS('Stock In'!H:H,'Stock In'!B:B,$A561,'Stock In'!C:C,$B561,'Stock In'!D:D,$C561,'Stock In'!E:E,$D561), 0)</f>
        <v>0</v>
      </c>
      <c r="K561" s="82">
        <f t="shared" si="3"/>
        <v>0</v>
      </c>
    </row>
    <row r="562">
      <c r="A562" s="80"/>
      <c r="B562" s="80"/>
      <c r="C562" s="80"/>
      <c r="D562" s="80"/>
      <c r="E562" s="82">
        <f>IFERROR(SUMIFS('Stock In'!F:F,'Stock In'!B:B,$A562,'Stock In'!C:C,$B562,'Stock In'!D:D,$C562,'Stock In'!E:E,$D562),0)</f>
        <v>0</v>
      </c>
      <c r="F562" s="82">
        <f>IFERROR(SUMIFS(Issues!H:H, Issues!F:F, $A562, Issues!C:C, $B562, Issues!D:D, $C562, Issues!E:E, $D562), 0)</f>
        <v>0</v>
      </c>
      <c r="G562" s="82">
        <f>IFERROR(SUMIFS(Returns!H:H, Returns!F:F, $A562, Returns!C:C, $B562, Returns!D:D, $C562, Returns!E:E, $D562), 0)</f>
        <v>0</v>
      </c>
      <c r="H562" s="82">
        <f t="shared" si="1"/>
        <v>0</v>
      </c>
      <c r="I562" s="82">
        <f t="shared" si="2"/>
        <v>0</v>
      </c>
      <c r="J562" s="82">
        <f>IFERROR( SUMIFS('Stock In'!I:I,'Stock In'!B:B,$A562,'Stock In'!C:C,$B562,'Stock In'!D:D,$C562,'Stock In'!E:E,$D562) / SUMIFS('Stock In'!H:H,'Stock In'!B:B,$A562,'Stock In'!C:C,$B562,'Stock In'!D:D,$C562,'Stock In'!E:E,$D562), 0)</f>
        <v>0</v>
      </c>
      <c r="K562" s="82">
        <f t="shared" si="3"/>
        <v>0</v>
      </c>
    </row>
    <row r="563">
      <c r="A563" s="80"/>
      <c r="B563" s="80"/>
      <c r="C563" s="80"/>
      <c r="D563" s="80"/>
      <c r="E563" s="82">
        <f>IFERROR(SUMIFS('Stock In'!F:F,'Stock In'!B:B,$A563,'Stock In'!C:C,$B563,'Stock In'!D:D,$C563,'Stock In'!E:E,$D563),0)</f>
        <v>0</v>
      </c>
      <c r="F563" s="82">
        <f>IFERROR(SUMIFS(Issues!H:H, Issues!F:F, $A563, Issues!C:C, $B563, Issues!D:D, $C563, Issues!E:E, $D563), 0)</f>
        <v>0</v>
      </c>
      <c r="G563" s="82">
        <f>IFERROR(SUMIFS(Returns!H:H, Returns!F:F, $A563, Returns!C:C, $B563, Returns!D:D, $C563, Returns!E:E, $D563), 0)</f>
        <v>0</v>
      </c>
      <c r="H563" s="82">
        <f t="shared" si="1"/>
        <v>0</v>
      </c>
      <c r="I563" s="82">
        <f t="shared" si="2"/>
        <v>0</v>
      </c>
      <c r="J563" s="82">
        <f>IFERROR( SUMIFS('Stock In'!I:I,'Stock In'!B:B,$A563,'Stock In'!C:C,$B563,'Stock In'!D:D,$C563,'Stock In'!E:E,$D563) / SUMIFS('Stock In'!H:H,'Stock In'!B:B,$A563,'Stock In'!C:C,$B563,'Stock In'!D:D,$C563,'Stock In'!E:E,$D563), 0)</f>
        <v>0</v>
      </c>
      <c r="K563" s="82">
        <f t="shared" si="3"/>
        <v>0</v>
      </c>
    </row>
    <row r="564">
      <c r="A564" s="80"/>
      <c r="B564" s="80"/>
      <c r="C564" s="80"/>
      <c r="D564" s="80"/>
      <c r="E564" s="82">
        <f>IFERROR(SUMIFS('Stock In'!F:F,'Stock In'!B:B,$A564,'Stock In'!C:C,$B564,'Stock In'!D:D,$C564,'Stock In'!E:E,$D564),0)</f>
        <v>0</v>
      </c>
      <c r="F564" s="82">
        <f>IFERROR(SUMIFS(Issues!H:H, Issues!F:F, $A564, Issues!C:C, $B564, Issues!D:D, $C564, Issues!E:E, $D564), 0)</f>
        <v>0</v>
      </c>
      <c r="G564" s="82">
        <f>IFERROR(SUMIFS(Returns!H:H, Returns!F:F, $A564, Returns!C:C, $B564, Returns!D:D, $C564, Returns!E:E, $D564), 0)</f>
        <v>0</v>
      </c>
      <c r="H564" s="82">
        <f t="shared" si="1"/>
        <v>0</v>
      </c>
      <c r="I564" s="82">
        <f t="shared" si="2"/>
        <v>0</v>
      </c>
      <c r="J564" s="82">
        <f>IFERROR( SUMIFS('Stock In'!I:I,'Stock In'!B:B,$A564,'Stock In'!C:C,$B564,'Stock In'!D:D,$C564,'Stock In'!E:E,$D564) / SUMIFS('Stock In'!H:H,'Stock In'!B:B,$A564,'Stock In'!C:C,$B564,'Stock In'!D:D,$C564,'Stock In'!E:E,$D564), 0)</f>
        <v>0</v>
      </c>
      <c r="K564" s="82">
        <f t="shared" si="3"/>
        <v>0</v>
      </c>
    </row>
    <row r="565">
      <c r="A565" s="80"/>
      <c r="B565" s="80"/>
      <c r="C565" s="80"/>
      <c r="D565" s="80"/>
      <c r="E565" s="82">
        <f>IFERROR(SUMIFS('Stock In'!F:F,'Stock In'!B:B,$A565,'Stock In'!C:C,$B565,'Stock In'!D:D,$C565,'Stock In'!E:E,$D565),0)</f>
        <v>0</v>
      </c>
      <c r="F565" s="82">
        <f>IFERROR(SUMIFS(Issues!H:H, Issues!F:F, $A565, Issues!C:C, $B565, Issues!D:D, $C565, Issues!E:E, $D565), 0)</f>
        <v>0</v>
      </c>
      <c r="G565" s="82">
        <f>IFERROR(SUMIFS(Returns!H:H, Returns!F:F, $A565, Returns!C:C, $B565, Returns!D:D, $C565, Returns!E:E, $D565), 0)</f>
        <v>0</v>
      </c>
      <c r="H565" s="82">
        <f t="shared" si="1"/>
        <v>0</v>
      </c>
      <c r="I565" s="82">
        <f t="shared" si="2"/>
        <v>0</v>
      </c>
      <c r="J565" s="82">
        <f>IFERROR( SUMIFS('Stock In'!I:I,'Stock In'!B:B,$A565,'Stock In'!C:C,$B565,'Stock In'!D:D,$C565,'Stock In'!E:E,$D565) / SUMIFS('Stock In'!H:H,'Stock In'!B:B,$A565,'Stock In'!C:C,$B565,'Stock In'!D:D,$C565,'Stock In'!E:E,$D565), 0)</f>
        <v>0</v>
      </c>
      <c r="K565" s="82">
        <f t="shared" si="3"/>
        <v>0</v>
      </c>
    </row>
    <row r="566">
      <c r="A566" s="80"/>
      <c r="B566" s="80"/>
      <c r="C566" s="80"/>
      <c r="D566" s="80"/>
      <c r="E566" s="82">
        <f>IFERROR(SUMIFS('Stock In'!F:F,'Stock In'!B:B,$A566,'Stock In'!C:C,$B566,'Stock In'!D:D,$C566,'Stock In'!E:E,$D566),0)</f>
        <v>0</v>
      </c>
      <c r="F566" s="82">
        <f>IFERROR(SUMIFS(Issues!H:H, Issues!F:F, $A566, Issues!C:C, $B566, Issues!D:D, $C566, Issues!E:E, $D566), 0)</f>
        <v>0</v>
      </c>
      <c r="G566" s="82">
        <f>IFERROR(SUMIFS(Returns!H:H, Returns!F:F, $A566, Returns!C:C, $B566, Returns!D:D, $C566, Returns!E:E, $D566), 0)</f>
        <v>0</v>
      </c>
      <c r="H566" s="82">
        <f t="shared" si="1"/>
        <v>0</v>
      </c>
      <c r="I566" s="82">
        <f t="shared" si="2"/>
        <v>0</v>
      </c>
      <c r="J566" s="82">
        <f>IFERROR( SUMIFS('Stock In'!I:I,'Stock In'!B:B,$A566,'Stock In'!C:C,$B566,'Stock In'!D:D,$C566,'Stock In'!E:E,$D566) / SUMIFS('Stock In'!H:H,'Stock In'!B:B,$A566,'Stock In'!C:C,$B566,'Stock In'!D:D,$C566,'Stock In'!E:E,$D566), 0)</f>
        <v>0</v>
      </c>
      <c r="K566" s="82">
        <f t="shared" si="3"/>
        <v>0</v>
      </c>
    </row>
    <row r="567">
      <c r="A567" s="80"/>
      <c r="B567" s="80"/>
      <c r="C567" s="80"/>
      <c r="D567" s="80"/>
      <c r="E567" s="82">
        <f>IFERROR(SUMIFS('Stock In'!F:F,'Stock In'!B:B,$A567,'Stock In'!C:C,$B567,'Stock In'!D:D,$C567,'Stock In'!E:E,$D567),0)</f>
        <v>0</v>
      </c>
      <c r="F567" s="82">
        <f>IFERROR(SUMIFS(Issues!H:H, Issues!F:F, $A567, Issues!C:C, $B567, Issues!D:D, $C567, Issues!E:E, $D567), 0)</f>
        <v>0</v>
      </c>
      <c r="G567" s="82">
        <f>IFERROR(SUMIFS(Returns!H:H, Returns!F:F, $A567, Returns!C:C, $B567, Returns!D:D, $C567, Returns!E:E, $D567), 0)</f>
        <v>0</v>
      </c>
      <c r="H567" s="82">
        <f t="shared" si="1"/>
        <v>0</v>
      </c>
      <c r="I567" s="82">
        <f t="shared" si="2"/>
        <v>0</v>
      </c>
      <c r="J567" s="82">
        <f>IFERROR( SUMIFS('Stock In'!I:I,'Stock In'!B:B,$A567,'Stock In'!C:C,$B567,'Stock In'!D:D,$C567,'Stock In'!E:E,$D567) / SUMIFS('Stock In'!H:H,'Stock In'!B:B,$A567,'Stock In'!C:C,$B567,'Stock In'!D:D,$C567,'Stock In'!E:E,$D567), 0)</f>
        <v>0</v>
      </c>
      <c r="K567" s="82">
        <f t="shared" si="3"/>
        <v>0</v>
      </c>
    </row>
    <row r="568">
      <c r="A568" s="80"/>
      <c r="B568" s="80"/>
      <c r="C568" s="80"/>
      <c r="D568" s="80"/>
      <c r="E568" s="82">
        <f>IFERROR(SUMIFS('Stock In'!F:F,'Stock In'!B:B,$A568,'Stock In'!C:C,$B568,'Stock In'!D:D,$C568,'Stock In'!E:E,$D568),0)</f>
        <v>0</v>
      </c>
      <c r="F568" s="82">
        <f>IFERROR(SUMIFS(Issues!H:H, Issues!F:F, $A568, Issues!C:C, $B568, Issues!D:D, $C568, Issues!E:E, $D568), 0)</f>
        <v>0</v>
      </c>
      <c r="G568" s="82">
        <f>IFERROR(SUMIFS(Returns!H:H, Returns!F:F, $A568, Returns!C:C, $B568, Returns!D:D, $C568, Returns!E:E, $D568), 0)</f>
        <v>0</v>
      </c>
      <c r="H568" s="82">
        <f t="shared" si="1"/>
        <v>0</v>
      </c>
      <c r="I568" s="82">
        <f t="shared" si="2"/>
        <v>0</v>
      </c>
      <c r="J568" s="82">
        <f>IFERROR( SUMIFS('Stock In'!I:I,'Stock In'!B:B,$A568,'Stock In'!C:C,$B568,'Stock In'!D:D,$C568,'Stock In'!E:E,$D568) / SUMIFS('Stock In'!H:H,'Stock In'!B:B,$A568,'Stock In'!C:C,$B568,'Stock In'!D:D,$C568,'Stock In'!E:E,$D568), 0)</f>
        <v>0</v>
      </c>
      <c r="K568" s="82">
        <f t="shared" si="3"/>
        <v>0</v>
      </c>
    </row>
    <row r="569">
      <c r="A569" s="80"/>
      <c r="B569" s="80"/>
      <c r="C569" s="80"/>
      <c r="D569" s="80"/>
      <c r="E569" s="82">
        <f>IFERROR(SUMIFS('Stock In'!F:F,'Stock In'!B:B,$A569,'Stock In'!C:C,$B569,'Stock In'!D:D,$C569,'Stock In'!E:E,$D569),0)</f>
        <v>0</v>
      </c>
      <c r="F569" s="82">
        <f>IFERROR(SUMIFS(Issues!H:H, Issues!F:F, $A569, Issues!C:C, $B569, Issues!D:D, $C569, Issues!E:E, $D569), 0)</f>
        <v>0</v>
      </c>
      <c r="G569" s="82">
        <f>IFERROR(SUMIFS(Returns!H:H, Returns!F:F, $A569, Returns!C:C, $B569, Returns!D:D, $C569, Returns!E:E, $D569), 0)</f>
        <v>0</v>
      </c>
      <c r="H569" s="82">
        <f t="shared" si="1"/>
        <v>0</v>
      </c>
      <c r="I569" s="82">
        <f t="shared" si="2"/>
        <v>0</v>
      </c>
      <c r="J569" s="82">
        <f>IFERROR( SUMIFS('Stock In'!I:I,'Stock In'!B:B,$A569,'Stock In'!C:C,$B569,'Stock In'!D:D,$C569,'Stock In'!E:E,$D569) / SUMIFS('Stock In'!H:H,'Stock In'!B:B,$A569,'Stock In'!C:C,$B569,'Stock In'!D:D,$C569,'Stock In'!E:E,$D569), 0)</f>
        <v>0</v>
      </c>
      <c r="K569" s="82">
        <f t="shared" si="3"/>
        <v>0</v>
      </c>
    </row>
    <row r="570">
      <c r="A570" s="80"/>
      <c r="B570" s="80"/>
      <c r="C570" s="80"/>
      <c r="D570" s="80"/>
      <c r="E570" s="82">
        <f>IFERROR(SUMIFS('Stock In'!F:F,'Stock In'!B:B,$A570,'Stock In'!C:C,$B570,'Stock In'!D:D,$C570,'Stock In'!E:E,$D570),0)</f>
        <v>0</v>
      </c>
      <c r="F570" s="82">
        <f>IFERROR(SUMIFS(Issues!H:H, Issues!F:F, $A570, Issues!C:C, $B570, Issues!D:D, $C570, Issues!E:E, $D570), 0)</f>
        <v>0</v>
      </c>
      <c r="G570" s="82">
        <f>IFERROR(SUMIFS(Returns!H:H, Returns!F:F, $A570, Returns!C:C, $B570, Returns!D:D, $C570, Returns!E:E, $D570), 0)</f>
        <v>0</v>
      </c>
      <c r="H570" s="82">
        <f t="shared" si="1"/>
        <v>0</v>
      </c>
      <c r="I570" s="82">
        <f t="shared" si="2"/>
        <v>0</v>
      </c>
      <c r="J570" s="82">
        <f>IFERROR( SUMIFS('Stock In'!I:I,'Stock In'!B:B,$A570,'Stock In'!C:C,$B570,'Stock In'!D:D,$C570,'Stock In'!E:E,$D570) / SUMIFS('Stock In'!H:H,'Stock In'!B:B,$A570,'Stock In'!C:C,$B570,'Stock In'!D:D,$C570,'Stock In'!E:E,$D570), 0)</f>
        <v>0</v>
      </c>
      <c r="K570" s="82">
        <f t="shared" si="3"/>
        <v>0</v>
      </c>
    </row>
    <row r="571">
      <c r="A571" s="80"/>
      <c r="B571" s="80"/>
      <c r="C571" s="80"/>
      <c r="D571" s="80"/>
      <c r="E571" s="82">
        <f>IFERROR(SUMIFS('Stock In'!F:F,'Stock In'!B:B,$A571,'Stock In'!C:C,$B571,'Stock In'!D:D,$C571,'Stock In'!E:E,$D571),0)</f>
        <v>0</v>
      </c>
      <c r="F571" s="82">
        <f>IFERROR(SUMIFS(Issues!H:H, Issues!F:F, $A571, Issues!C:C, $B571, Issues!D:D, $C571, Issues!E:E, $D571), 0)</f>
        <v>0</v>
      </c>
      <c r="G571" s="82">
        <f>IFERROR(SUMIFS(Returns!H:H, Returns!F:F, $A571, Returns!C:C, $B571, Returns!D:D, $C571, Returns!E:E, $D571), 0)</f>
        <v>0</v>
      </c>
      <c r="H571" s="82">
        <f t="shared" si="1"/>
        <v>0</v>
      </c>
      <c r="I571" s="82">
        <f t="shared" si="2"/>
        <v>0</v>
      </c>
      <c r="J571" s="82">
        <f>IFERROR( SUMIFS('Stock In'!I:I,'Stock In'!B:B,$A571,'Stock In'!C:C,$B571,'Stock In'!D:D,$C571,'Stock In'!E:E,$D571) / SUMIFS('Stock In'!H:H,'Stock In'!B:B,$A571,'Stock In'!C:C,$B571,'Stock In'!D:D,$C571,'Stock In'!E:E,$D571), 0)</f>
        <v>0</v>
      </c>
      <c r="K571" s="82">
        <f t="shared" si="3"/>
        <v>0</v>
      </c>
    </row>
    <row r="572">
      <c r="A572" s="80"/>
      <c r="B572" s="80"/>
      <c r="C572" s="80"/>
      <c r="D572" s="80"/>
      <c r="E572" s="82">
        <f>IFERROR(SUMIFS('Stock In'!F:F,'Stock In'!B:B,$A572,'Stock In'!C:C,$B572,'Stock In'!D:D,$C572,'Stock In'!E:E,$D572),0)</f>
        <v>0</v>
      </c>
      <c r="F572" s="82">
        <f>IFERROR(SUMIFS(Issues!H:H, Issues!F:F, $A572, Issues!C:C, $B572, Issues!D:D, $C572, Issues!E:E, $D572), 0)</f>
        <v>0</v>
      </c>
      <c r="G572" s="82">
        <f>IFERROR(SUMIFS(Returns!H:H, Returns!F:F, $A572, Returns!C:C, $B572, Returns!D:D, $C572, Returns!E:E, $D572), 0)</f>
        <v>0</v>
      </c>
      <c r="H572" s="82">
        <f t="shared" si="1"/>
        <v>0</v>
      </c>
      <c r="I572" s="82">
        <f t="shared" si="2"/>
        <v>0</v>
      </c>
      <c r="J572" s="82">
        <f>IFERROR( SUMIFS('Stock In'!I:I,'Stock In'!B:B,$A572,'Stock In'!C:C,$B572,'Stock In'!D:D,$C572,'Stock In'!E:E,$D572) / SUMIFS('Stock In'!H:H,'Stock In'!B:B,$A572,'Stock In'!C:C,$B572,'Stock In'!D:D,$C572,'Stock In'!E:E,$D572), 0)</f>
        <v>0</v>
      </c>
      <c r="K572" s="82">
        <f t="shared" si="3"/>
        <v>0</v>
      </c>
    </row>
    <row r="573">
      <c r="A573" s="80"/>
      <c r="B573" s="80"/>
      <c r="C573" s="80"/>
      <c r="D573" s="80"/>
      <c r="E573" s="82">
        <f>IFERROR(SUMIFS('Stock In'!F:F,'Stock In'!B:B,$A573,'Stock In'!C:C,$B573,'Stock In'!D:D,$C573,'Stock In'!E:E,$D573),0)</f>
        <v>0</v>
      </c>
      <c r="F573" s="82">
        <f>IFERROR(SUMIFS(Issues!H:H, Issues!F:F, $A573, Issues!C:C, $B573, Issues!D:D, $C573, Issues!E:E, $D573), 0)</f>
        <v>0</v>
      </c>
      <c r="G573" s="82">
        <f>IFERROR(SUMIFS(Returns!H:H, Returns!F:F, $A573, Returns!C:C, $B573, Returns!D:D, $C573, Returns!E:E, $D573), 0)</f>
        <v>0</v>
      </c>
      <c r="H573" s="82">
        <f t="shared" si="1"/>
        <v>0</v>
      </c>
      <c r="I573" s="82">
        <f t="shared" si="2"/>
        <v>0</v>
      </c>
      <c r="J573" s="82">
        <f>IFERROR( SUMIFS('Stock In'!I:I,'Stock In'!B:B,$A573,'Stock In'!C:C,$B573,'Stock In'!D:D,$C573,'Stock In'!E:E,$D573) / SUMIFS('Stock In'!H:H,'Stock In'!B:B,$A573,'Stock In'!C:C,$B573,'Stock In'!D:D,$C573,'Stock In'!E:E,$D573), 0)</f>
        <v>0</v>
      </c>
      <c r="K573" s="82">
        <f t="shared" si="3"/>
        <v>0</v>
      </c>
    </row>
    <row r="574">
      <c r="A574" s="80"/>
      <c r="B574" s="80"/>
      <c r="C574" s="80"/>
      <c r="D574" s="80"/>
      <c r="E574" s="82">
        <f>IFERROR(SUMIFS('Stock In'!F:F,'Stock In'!B:B,$A574,'Stock In'!C:C,$B574,'Stock In'!D:D,$C574,'Stock In'!E:E,$D574),0)</f>
        <v>0</v>
      </c>
      <c r="F574" s="82">
        <f>IFERROR(SUMIFS(Issues!H:H, Issues!F:F, $A574, Issues!C:C, $B574, Issues!D:D, $C574, Issues!E:E, $D574), 0)</f>
        <v>0</v>
      </c>
      <c r="G574" s="82">
        <f>IFERROR(SUMIFS(Returns!H:H, Returns!F:F, $A574, Returns!C:C, $B574, Returns!D:D, $C574, Returns!E:E, $D574), 0)</f>
        <v>0</v>
      </c>
      <c r="H574" s="82">
        <f t="shared" si="1"/>
        <v>0</v>
      </c>
      <c r="I574" s="82">
        <f t="shared" si="2"/>
        <v>0</v>
      </c>
      <c r="J574" s="82">
        <f>IFERROR( SUMIFS('Stock In'!I:I,'Stock In'!B:B,$A574,'Stock In'!C:C,$B574,'Stock In'!D:D,$C574,'Stock In'!E:E,$D574) / SUMIFS('Stock In'!H:H,'Stock In'!B:B,$A574,'Stock In'!C:C,$B574,'Stock In'!D:D,$C574,'Stock In'!E:E,$D574), 0)</f>
        <v>0</v>
      </c>
      <c r="K574" s="82">
        <f t="shared" si="3"/>
        <v>0</v>
      </c>
    </row>
    <row r="575">
      <c r="A575" s="80"/>
      <c r="B575" s="80"/>
      <c r="C575" s="80"/>
      <c r="D575" s="80"/>
      <c r="E575" s="82">
        <f>IFERROR(SUMIFS('Stock In'!F:F,'Stock In'!B:B,$A575,'Stock In'!C:C,$B575,'Stock In'!D:D,$C575,'Stock In'!E:E,$D575),0)</f>
        <v>0</v>
      </c>
      <c r="F575" s="82">
        <f>IFERROR(SUMIFS(Issues!H:H, Issues!F:F, $A575, Issues!C:C, $B575, Issues!D:D, $C575, Issues!E:E, $D575), 0)</f>
        <v>0</v>
      </c>
      <c r="G575" s="82">
        <f>IFERROR(SUMIFS(Returns!H:H, Returns!F:F, $A575, Returns!C:C, $B575, Returns!D:D, $C575, Returns!E:E, $D575), 0)</f>
        <v>0</v>
      </c>
      <c r="H575" s="82">
        <f t="shared" si="1"/>
        <v>0</v>
      </c>
      <c r="I575" s="82">
        <f t="shared" si="2"/>
        <v>0</v>
      </c>
      <c r="J575" s="82">
        <f>IFERROR( SUMIFS('Stock In'!I:I,'Stock In'!B:B,$A575,'Stock In'!C:C,$B575,'Stock In'!D:D,$C575,'Stock In'!E:E,$D575) / SUMIFS('Stock In'!H:H,'Stock In'!B:B,$A575,'Stock In'!C:C,$B575,'Stock In'!D:D,$C575,'Stock In'!E:E,$D575), 0)</f>
        <v>0</v>
      </c>
      <c r="K575" s="82">
        <f t="shared" si="3"/>
        <v>0</v>
      </c>
    </row>
    <row r="576">
      <c r="A576" s="80"/>
      <c r="B576" s="80"/>
      <c r="C576" s="80"/>
      <c r="D576" s="80"/>
      <c r="E576" s="82">
        <f>IFERROR(SUMIFS('Stock In'!F:F,'Stock In'!B:B,$A576,'Stock In'!C:C,$B576,'Stock In'!D:D,$C576,'Stock In'!E:E,$D576),0)</f>
        <v>0</v>
      </c>
      <c r="F576" s="82">
        <f>IFERROR(SUMIFS(Issues!H:H, Issues!F:F, $A576, Issues!C:C, $B576, Issues!D:D, $C576, Issues!E:E, $D576), 0)</f>
        <v>0</v>
      </c>
      <c r="G576" s="82">
        <f>IFERROR(SUMIFS(Returns!H:H, Returns!F:F, $A576, Returns!C:C, $B576, Returns!D:D, $C576, Returns!E:E, $D576), 0)</f>
        <v>0</v>
      </c>
      <c r="H576" s="82">
        <f t="shared" si="1"/>
        <v>0</v>
      </c>
      <c r="I576" s="82">
        <f t="shared" si="2"/>
        <v>0</v>
      </c>
      <c r="J576" s="82">
        <f>IFERROR( SUMIFS('Stock In'!I:I,'Stock In'!B:B,$A576,'Stock In'!C:C,$B576,'Stock In'!D:D,$C576,'Stock In'!E:E,$D576) / SUMIFS('Stock In'!H:H,'Stock In'!B:B,$A576,'Stock In'!C:C,$B576,'Stock In'!D:D,$C576,'Stock In'!E:E,$D576), 0)</f>
        <v>0</v>
      </c>
      <c r="K576" s="82">
        <f t="shared" si="3"/>
        <v>0</v>
      </c>
    </row>
    <row r="577">
      <c r="A577" s="80"/>
      <c r="B577" s="80"/>
      <c r="C577" s="80"/>
      <c r="D577" s="80"/>
      <c r="E577" s="82">
        <f>IFERROR(SUMIFS('Stock In'!F:F,'Stock In'!B:B,$A577,'Stock In'!C:C,$B577,'Stock In'!D:D,$C577,'Stock In'!E:E,$D577),0)</f>
        <v>0</v>
      </c>
      <c r="F577" s="82">
        <f>IFERROR(SUMIFS(Issues!H:H, Issues!F:F, $A577, Issues!C:C, $B577, Issues!D:D, $C577, Issues!E:E, $D577), 0)</f>
        <v>0</v>
      </c>
      <c r="G577" s="82">
        <f>IFERROR(SUMIFS(Returns!H:H, Returns!F:F, $A577, Returns!C:C, $B577, Returns!D:D, $C577, Returns!E:E, $D577), 0)</f>
        <v>0</v>
      </c>
      <c r="H577" s="82">
        <f t="shared" si="1"/>
        <v>0</v>
      </c>
      <c r="I577" s="82">
        <f t="shared" si="2"/>
        <v>0</v>
      </c>
      <c r="J577" s="82">
        <f>IFERROR( SUMIFS('Stock In'!I:I,'Stock In'!B:B,$A577,'Stock In'!C:C,$B577,'Stock In'!D:D,$C577,'Stock In'!E:E,$D577) / SUMIFS('Stock In'!H:H,'Stock In'!B:B,$A577,'Stock In'!C:C,$B577,'Stock In'!D:D,$C577,'Stock In'!E:E,$D577), 0)</f>
        <v>0</v>
      </c>
      <c r="K577" s="82">
        <f t="shared" si="3"/>
        <v>0</v>
      </c>
    </row>
    <row r="578">
      <c r="A578" s="80"/>
      <c r="B578" s="80"/>
      <c r="C578" s="80"/>
      <c r="D578" s="80"/>
      <c r="E578" s="82">
        <f>IFERROR(SUMIFS('Stock In'!F:F,'Stock In'!B:B,$A578,'Stock In'!C:C,$B578,'Stock In'!D:D,$C578,'Stock In'!E:E,$D578),0)</f>
        <v>0</v>
      </c>
      <c r="F578" s="82">
        <f>IFERROR(SUMIFS(Issues!H:H, Issues!F:F, $A578, Issues!C:C, $B578, Issues!D:D, $C578, Issues!E:E, $D578), 0)</f>
        <v>0</v>
      </c>
      <c r="G578" s="82">
        <f>IFERROR(SUMIFS(Returns!H:H, Returns!F:F, $A578, Returns!C:C, $B578, Returns!D:D, $C578, Returns!E:E, $D578), 0)</f>
        <v>0</v>
      </c>
      <c r="H578" s="82">
        <f t="shared" si="1"/>
        <v>0</v>
      </c>
      <c r="I578" s="82">
        <f t="shared" si="2"/>
        <v>0</v>
      </c>
      <c r="J578" s="82">
        <f>IFERROR( SUMIFS('Stock In'!I:I,'Stock In'!B:B,$A578,'Stock In'!C:C,$B578,'Stock In'!D:D,$C578,'Stock In'!E:E,$D578) / SUMIFS('Stock In'!H:H,'Stock In'!B:B,$A578,'Stock In'!C:C,$B578,'Stock In'!D:D,$C578,'Stock In'!E:E,$D578), 0)</f>
        <v>0</v>
      </c>
      <c r="K578" s="82">
        <f t="shared" si="3"/>
        <v>0</v>
      </c>
    </row>
    <row r="579">
      <c r="A579" s="80"/>
      <c r="B579" s="80"/>
      <c r="C579" s="80"/>
      <c r="D579" s="80"/>
      <c r="E579" s="82">
        <f>IFERROR(SUMIFS('Stock In'!F:F,'Stock In'!B:B,$A579,'Stock In'!C:C,$B579,'Stock In'!D:D,$C579,'Stock In'!E:E,$D579),0)</f>
        <v>0</v>
      </c>
      <c r="F579" s="82">
        <f>IFERROR(SUMIFS(Issues!H:H, Issues!F:F, $A579, Issues!C:C, $B579, Issues!D:D, $C579, Issues!E:E, $D579), 0)</f>
        <v>0</v>
      </c>
      <c r="G579" s="82">
        <f>IFERROR(SUMIFS(Returns!H:H, Returns!F:F, $A579, Returns!C:C, $B579, Returns!D:D, $C579, Returns!E:E, $D579), 0)</f>
        <v>0</v>
      </c>
      <c r="H579" s="82">
        <f t="shared" si="1"/>
        <v>0</v>
      </c>
      <c r="I579" s="82">
        <f t="shared" si="2"/>
        <v>0</v>
      </c>
      <c r="J579" s="82">
        <f>IFERROR( SUMIFS('Stock In'!I:I,'Stock In'!B:B,$A579,'Stock In'!C:C,$B579,'Stock In'!D:D,$C579,'Stock In'!E:E,$D579) / SUMIFS('Stock In'!H:H,'Stock In'!B:B,$A579,'Stock In'!C:C,$B579,'Stock In'!D:D,$C579,'Stock In'!E:E,$D579), 0)</f>
        <v>0</v>
      </c>
      <c r="K579" s="82">
        <f t="shared" si="3"/>
        <v>0</v>
      </c>
    </row>
    <row r="580">
      <c r="A580" s="80"/>
      <c r="B580" s="80"/>
      <c r="C580" s="80"/>
      <c r="D580" s="80"/>
      <c r="E580" s="82">
        <f>IFERROR(SUMIFS('Stock In'!F:F,'Stock In'!B:B,$A580,'Stock In'!C:C,$B580,'Stock In'!D:D,$C580,'Stock In'!E:E,$D580),0)</f>
        <v>0</v>
      </c>
      <c r="F580" s="82">
        <f>IFERROR(SUMIFS(Issues!H:H, Issues!F:F, $A580, Issues!C:C, $B580, Issues!D:D, $C580, Issues!E:E, $D580), 0)</f>
        <v>0</v>
      </c>
      <c r="G580" s="82">
        <f>IFERROR(SUMIFS(Returns!H:H, Returns!F:F, $A580, Returns!C:C, $B580, Returns!D:D, $C580, Returns!E:E, $D580), 0)</f>
        <v>0</v>
      </c>
      <c r="H580" s="82">
        <f t="shared" si="1"/>
        <v>0</v>
      </c>
      <c r="I580" s="82">
        <f t="shared" si="2"/>
        <v>0</v>
      </c>
      <c r="J580" s="82">
        <f>IFERROR( SUMIFS('Stock In'!I:I,'Stock In'!B:B,$A580,'Stock In'!C:C,$B580,'Stock In'!D:D,$C580,'Stock In'!E:E,$D580) / SUMIFS('Stock In'!H:H,'Stock In'!B:B,$A580,'Stock In'!C:C,$B580,'Stock In'!D:D,$C580,'Stock In'!E:E,$D580), 0)</f>
        <v>0</v>
      </c>
      <c r="K580" s="82">
        <f t="shared" si="3"/>
        <v>0</v>
      </c>
    </row>
    <row r="581">
      <c r="A581" s="80"/>
      <c r="B581" s="80"/>
      <c r="C581" s="80"/>
      <c r="D581" s="80"/>
      <c r="E581" s="82">
        <f>IFERROR(SUMIFS('Stock In'!F:F,'Stock In'!B:B,$A581,'Stock In'!C:C,$B581,'Stock In'!D:D,$C581,'Stock In'!E:E,$D581),0)</f>
        <v>0</v>
      </c>
      <c r="F581" s="82">
        <f>IFERROR(SUMIFS(Issues!H:H, Issues!F:F, $A581, Issues!C:C, $B581, Issues!D:D, $C581, Issues!E:E, $D581), 0)</f>
        <v>0</v>
      </c>
      <c r="G581" s="82">
        <f>IFERROR(SUMIFS(Returns!H:H, Returns!F:F, $A581, Returns!C:C, $B581, Returns!D:D, $C581, Returns!E:E, $D581), 0)</f>
        <v>0</v>
      </c>
      <c r="H581" s="82">
        <f t="shared" si="1"/>
        <v>0</v>
      </c>
      <c r="I581" s="82">
        <f t="shared" si="2"/>
        <v>0</v>
      </c>
      <c r="J581" s="82">
        <f>IFERROR( SUMIFS('Stock In'!I:I,'Stock In'!B:B,$A581,'Stock In'!C:C,$B581,'Stock In'!D:D,$C581,'Stock In'!E:E,$D581) / SUMIFS('Stock In'!H:H,'Stock In'!B:B,$A581,'Stock In'!C:C,$B581,'Stock In'!D:D,$C581,'Stock In'!E:E,$D581), 0)</f>
        <v>0</v>
      </c>
      <c r="K581" s="82">
        <f t="shared" si="3"/>
        <v>0</v>
      </c>
    </row>
    <row r="582">
      <c r="A582" s="80"/>
      <c r="B582" s="80"/>
      <c r="C582" s="80"/>
      <c r="D582" s="80"/>
      <c r="E582" s="82">
        <f>IFERROR(SUMIFS('Stock In'!F:F,'Stock In'!B:B,$A582,'Stock In'!C:C,$B582,'Stock In'!D:D,$C582,'Stock In'!E:E,$D582),0)</f>
        <v>0</v>
      </c>
      <c r="F582" s="82">
        <f>IFERROR(SUMIFS(Issues!H:H, Issues!F:F, $A582, Issues!C:C, $B582, Issues!D:D, $C582, Issues!E:E, $D582), 0)</f>
        <v>0</v>
      </c>
      <c r="G582" s="82">
        <f>IFERROR(SUMIFS(Returns!H:H, Returns!F:F, $A582, Returns!C:C, $B582, Returns!D:D, $C582, Returns!E:E, $D582), 0)</f>
        <v>0</v>
      </c>
      <c r="H582" s="82">
        <f t="shared" si="1"/>
        <v>0</v>
      </c>
      <c r="I582" s="82">
        <f t="shared" si="2"/>
        <v>0</v>
      </c>
      <c r="J582" s="82">
        <f>IFERROR( SUMIFS('Stock In'!I:I,'Stock In'!B:B,$A582,'Stock In'!C:C,$B582,'Stock In'!D:D,$C582,'Stock In'!E:E,$D582) / SUMIFS('Stock In'!H:H,'Stock In'!B:B,$A582,'Stock In'!C:C,$B582,'Stock In'!D:D,$C582,'Stock In'!E:E,$D582), 0)</f>
        <v>0</v>
      </c>
      <c r="K582" s="82">
        <f t="shared" si="3"/>
        <v>0</v>
      </c>
    </row>
    <row r="583">
      <c r="A583" s="80"/>
      <c r="B583" s="80"/>
      <c r="C583" s="80"/>
      <c r="D583" s="80"/>
      <c r="E583" s="82">
        <f>IFERROR(SUMIFS('Stock In'!F:F,'Stock In'!B:B,$A583,'Stock In'!C:C,$B583,'Stock In'!D:D,$C583,'Stock In'!E:E,$D583),0)</f>
        <v>0</v>
      </c>
      <c r="F583" s="82">
        <f>IFERROR(SUMIFS(Issues!H:H, Issues!F:F, $A583, Issues!C:C, $B583, Issues!D:D, $C583, Issues!E:E, $D583), 0)</f>
        <v>0</v>
      </c>
      <c r="G583" s="82">
        <f>IFERROR(SUMIFS(Returns!H:H, Returns!F:F, $A583, Returns!C:C, $B583, Returns!D:D, $C583, Returns!E:E, $D583), 0)</f>
        <v>0</v>
      </c>
      <c r="H583" s="82">
        <f t="shared" si="1"/>
        <v>0</v>
      </c>
      <c r="I583" s="82">
        <f t="shared" si="2"/>
        <v>0</v>
      </c>
      <c r="J583" s="82">
        <f>IFERROR( SUMIFS('Stock In'!I:I,'Stock In'!B:B,$A583,'Stock In'!C:C,$B583,'Stock In'!D:D,$C583,'Stock In'!E:E,$D583) / SUMIFS('Stock In'!H:H,'Stock In'!B:B,$A583,'Stock In'!C:C,$B583,'Stock In'!D:D,$C583,'Stock In'!E:E,$D583), 0)</f>
        <v>0</v>
      </c>
      <c r="K583" s="82">
        <f t="shared" si="3"/>
        <v>0</v>
      </c>
    </row>
    <row r="584">
      <c r="A584" s="80"/>
      <c r="B584" s="80"/>
      <c r="C584" s="80"/>
      <c r="D584" s="80"/>
      <c r="E584" s="82">
        <f>IFERROR(SUMIFS('Stock In'!F:F,'Stock In'!B:B,$A584,'Stock In'!C:C,$B584,'Stock In'!D:D,$C584,'Stock In'!E:E,$D584),0)</f>
        <v>0</v>
      </c>
      <c r="F584" s="82">
        <f>IFERROR(SUMIFS(Issues!H:H, Issues!F:F, $A584, Issues!C:C, $B584, Issues!D:D, $C584, Issues!E:E, $D584), 0)</f>
        <v>0</v>
      </c>
      <c r="G584" s="82">
        <f>IFERROR(SUMIFS(Returns!H:H, Returns!F:F, $A584, Returns!C:C, $B584, Returns!D:D, $C584, Returns!E:E, $D584), 0)</f>
        <v>0</v>
      </c>
      <c r="H584" s="82">
        <f t="shared" si="1"/>
        <v>0</v>
      </c>
      <c r="I584" s="82">
        <f t="shared" si="2"/>
        <v>0</v>
      </c>
      <c r="J584" s="82">
        <f>IFERROR( SUMIFS('Stock In'!I:I,'Stock In'!B:B,$A584,'Stock In'!C:C,$B584,'Stock In'!D:D,$C584,'Stock In'!E:E,$D584) / SUMIFS('Stock In'!H:H,'Stock In'!B:B,$A584,'Stock In'!C:C,$B584,'Stock In'!D:D,$C584,'Stock In'!E:E,$D584), 0)</f>
        <v>0</v>
      </c>
      <c r="K584" s="82">
        <f t="shared" si="3"/>
        <v>0</v>
      </c>
    </row>
    <row r="585">
      <c r="A585" s="80"/>
      <c r="B585" s="80"/>
      <c r="C585" s="80"/>
      <c r="D585" s="80"/>
      <c r="E585" s="82">
        <f>IFERROR(SUMIFS('Stock In'!F:F,'Stock In'!B:B,$A585,'Stock In'!C:C,$B585,'Stock In'!D:D,$C585,'Stock In'!E:E,$D585),0)</f>
        <v>0</v>
      </c>
      <c r="F585" s="82">
        <f>IFERROR(SUMIFS(Issues!H:H, Issues!F:F, $A585, Issues!C:C, $B585, Issues!D:D, $C585, Issues!E:E, $D585), 0)</f>
        <v>0</v>
      </c>
      <c r="G585" s="82">
        <f>IFERROR(SUMIFS(Returns!H:H, Returns!F:F, $A585, Returns!C:C, $B585, Returns!D:D, $C585, Returns!E:E, $D585), 0)</f>
        <v>0</v>
      </c>
      <c r="H585" s="82">
        <f t="shared" si="1"/>
        <v>0</v>
      </c>
      <c r="I585" s="82">
        <f t="shared" si="2"/>
        <v>0</v>
      </c>
      <c r="J585" s="82">
        <f>IFERROR( SUMIFS('Stock In'!I:I,'Stock In'!B:B,$A585,'Stock In'!C:C,$B585,'Stock In'!D:D,$C585,'Stock In'!E:E,$D585) / SUMIFS('Stock In'!H:H,'Stock In'!B:B,$A585,'Stock In'!C:C,$B585,'Stock In'!D:D,$C585,'Stock In'!E:E,$D585), 0)</f>
        <v>0</v>
      </c>
      <c r="K585" s="82">
        <f t="shared" si="3"/>
        <v>0</v>
      </c>
    </row>
    <row r="586">
      <c r="A586" s="80"/>
      <c r="B586" s="80"/>
      <c r="C586" s="80"/>
      <c r="D586" s="80"/>
      <c r="E586" s="82">
        <f>IFERROR(SUMIFS('Stock In'!F:F,'Stock In'!B:B,$A586,'Stock In'!C:C,$B586,'Stock In'!D:D,$C586,'Stock In'!E:E,$D586),0)</f>
        <v>0</v>
      </c>
      <c r="F586" s="82">
        <f>IFERROR(SUMIFS(Issues!H:H, Issues!F:F, $A586, Issues!C:C, $B586, Issues!D:D, $C586, Issues!E:E, $D586), 0)</f>
        <v>0</v>
      </c>
      <c r="G586" s="82">
        <f>IFERROR(SUMIFS(Returns!H:H, Returns!F:F, $A586, Returns!C:C, $B586, Returns!D:D, $C586, Returns!E:E, $D586), 0)</f>
        <v>0</v>
      </c>
      <c r="H586" s="82">
        <f t="shared" si="1"/>
        <v>0</v>
      </c>
      <c r="I586" s="82">
        <f t="shared" si="2"/>
        <v>0</v>
      </c>
      <c r="J586" s="82">
        <f>IFERROR( SUMIFS('Stock In'!I:I,'Stock In'!B:B,$A586,'Stock In'!C:C,$B586,'Stock In'!D:D,$C586,'Stock In'!E:E,$D586) / SUMIFS('Stock In'!H:H,'Stock In'!B:B,$A586,'Stock In'!C:C,$B586,'Stock In'!D:D,$C586,'Stock In'!E:E,$D586), 0)</f>
        <v>0</v>
      </c>
      <c r="K586" s="82">
        <f t="shared" si="3"/>
        <v>0</v>
      </c>
    </row>
    <row r="587">
      <c r="A587" s="80"/>
      <c r="B587" s="80"/>
      <c r="C587" s="80"/>
      <c r="D587" s="80"/>
      <c r="E587" s="82">
        <f>IFERROR(SUMIFS('Stock In'!F:F,'Stock In'!B:B,$A587,'Stock In'!C:C,$B587,'Stock In'!D:D,$C587,'Stock In'!E:E,$D587),0)</f>
        <v>0</v>
      </c>
      <c r="F587" s="82">
        <f>IFERROR(SUMIFS(Issues!H:H, Issues!F:F, $A587, Issues!C:C, $B587, Issues!D:D, $C587, Issues!E:E, $D587), 0)</f>
        <v>0</v>
      </c>
      <c r="G587" s="82">
        <f>IFERROR(SUMIFS(Returns!H:H, Returns!F:F, $A587, Returns!C:C, $B587, Returns!D:D, $C587, Returns!E:E, $D587), 0)</f>
        <v>0</v>
      </c>
      <c r="H587" s="82">
        <f t="shared" si="1"/>
        <v>0</v>
      </c>
      <c r="I587" s="82">
        <f t="shared" si="2"/>
        <v>0</v>
      </c>
      <c r="J587" s="82">
        <f>IFERROR( SUMIFS('Stock In'!I:I,'Stock In'!B:B,$A587,'Stock In'!C:C,$B587,'Stock In'!D:D,$C587,'Stock In'!E:E,$D587) / SUMIFS('Stock In'!H:H,'Stock In'!B:B,$A587,'Stock In'!C:C,$B587,'Stock In'!D:D,$C587,'Stock In'!E:E,$D587), 0)</f>
        <v>0</v>
      </c>
      <c r="K587" s="82">
        <f t="shared" si="3"/>
        <v>0</v>
      </c>
    </row>
    <row r="588">
      <c r="A588" s="80"/>
      <c r="B588" s="80"/>
      <c r="C588" s="80"/>
      <c r="D588" s="80"/>
      <c r="E588" s="82">
        <f>IFERROR(SUMIFS('Stock In'!F:F,'Stock In'!B:B,$A588,'Stock In'!C:C,$B588,'Stock In'!D:D,$C588,'Stock In'!E:E,$D588),0)</f>
        <v>0</v>
      </c>
      <c r="F588" s="82">
        <f>IFERROR(SUMIFS(Issues!H:H, Issues!F:F, $A588, Issues!C:C, $B588, Issues!D:D, $C588, Issues!E:E, $D588), 0)</f>
        <v>0</v>
      </c>
      <c r="G588" s="82">
        <f>IFERROR(SUMIFS(Returns!H:H, Returns!F:F, $A588, Returns!C:C, $B588, Returns!D:D, $C588, Returns!E:E, $D588), 0)</f>
        <v>0</v>
      </c>
      <c r="H588" s="82">
        <f t="shared" si="1"/>
        <v>0</v>
      </c>
      <c r="I588" s="82">
        <f t="shared" si="2"/>
        <v>0</v>
      </c>
      <c r="J588" s="82">
        <f>IFERROR( SUMIFS('Stock In'!I:I,'Stock In'!B:B,$A588,'Stock In'!C:C,$B588,'Stock In'!D:D,$C588,'Stock In'!E:E,$D588) / SUMIFS('Stock In'!H:H,'Stock In'!B:B,$A588,'Stock In'!C:C,$B588,'Stock In'!D:D,$C588,'Stock In'!E:E,$D588), 0)</f>
        <v>0</v>
      </c>
      <c r="K588" s="82">
        <f t="shared" si="3"/>
        <v>0</v>
      </c>
    </row>
    <row r="589">
      <c r="A589" s="80"/>
      <c r="B589" s="80"/>
      <c r="C589" s="80"/>
      <c r="D589" s="80"/>
      <c r="E589" s="82">
        <f>IFERROR(SUMIFS('Stock In'!F:F,'Stock In'!B:B,$A589,'Stock In'!C:C,$B589,'Stock In'!D:D,$C589,'Stock In'!E:E,$D589),0)</f>
        <v>0</v>
      </c>
      <c r="F589" s="82">
        <f>IFERROR(SUMIFS(Issues!H:H, Issues!F:F, $A589, Issues!C:C, $B589, Issues!D:D, $C589, Issues!E:E, $D589), 0)</f>
        <v>0</v>
      </c>
      <c r="G589" s="82">
        <f>IFERROR(SUMIFS(Returns!H:H, Returns!F:F, $A589, Returns!C:C, $B589, Returns!D:D, $C589, Returns!E:E, $D589), 0)</f>
        <v>0</v>
      </c>
      <c r="H589" s="82">
        <f t="shared" si="1"/>
        <v>0</v>
      </c>
      <c r="I589" s="82">
        <f t="shared" si="2"/>
        <v>0</v>
      </c>
      <c r="J589" s="82">
        <f>IFERROR( SUMIFS('Stock In'!I:I,'Stock In'!B:B,$A589,'Stock In'!C:C,$B589,'Stock In'!D:D,$C589,'Stock In'!E:E,$D589) / SUMIFS('Stock In'!H:H,'Stock In'!B:B,$A589,'Stock In'!C:C,$B589,'Stock In'!D:D,$C589,'Stock In'!E:E,$D589), 0)</f>
        <v>0</v>
      </c>
      <c r="K589" s="82">
        <f t="shared" si="3"/>
        <v>0</v>
      </c>
    </row>
    <row r="590">
      <c r="A590" s="80"/>
      <c r="B590" s="80"/>
      <c r="C590" s="80"/>
      <c r="D590" s="80"/>
      <c r="E590" s="82">
        <f>IFERROR(SUMIFS('Stock In'!F:F,'Stock In'!B:B,$A590,'Stock In'!C:C,$B590,'Stock In'!D:D,$C590,'Stock In'!E:E,$D590),0)</f>
        <v>0</v>
      </c>
      <c r="F590" s="82">
        <f>IFERROR(SUMIFS(Issues!H:H, Issues!F:F, $A590, Issues!C:C, $B590, Issues!D:D, $C590, Issues!E:E, $D590), 0)</f>
        <v>0</v>
      </c>
      <c r="G590" s="82">
        <f>IFERROR(SUMIFS(Returns!H:H, Returns!F:F, $A590, Returns!C:C, $B590, Returns!D:D, $C590, Returns!E:E, $D590), 0)</f>
        <v>0</v>
      </c>
      <c r="H590" s="82">
        <f t="shared" si="1"/>
        <v>0</v>
      </c>
      <c r="I590" s="82">
        <f t="shared" si="2"/>
        <v>0</v>
      </c>
      <c r="J590" s="82">
        <f>IFERROR( SUMIFS('Stock In'!I:I,'Stock In'!B:B,$A590,'Stock In'!C:C,$B590,'Stock In'!D:D,$C590,'Stock In'!E:E,$D590) / SUMIFS('Stock In'!H:H,'Stock In'!B:B,$A590,'Stock In'!C:C,$B590,'Stock In'!D:D,$C590,'Stock In'!E:E,$D590), 0)</f>
        <v>0</v>
      </c>
      <c r="K590" s="82">
        <f t="shared" si="3"/>
        <v>0</v>
      </c>
    </row>
    <row r="591">
      <c r="A591" s="80"/>
      <c r="B591" s="80"/>
      <c r="C591" s="80"/>
      <c r="D591" s="80"/>
      <c r="E591" s="82">
        <f>IFERROR(SUMIFS('Stock In'!F:F,'Stock In'!B:B,$A591,'Stock In'!C:C,$B591,'Stock In'!D:D,$C591,'Stock In'!E:E,$D591),0)</f>
        <v>0</v>
      </c>
      <c r="F591" s="82">
        <f>IFERROR(SUMIFS(Issues!H:H, Issues!F:F, $A591, Issues!C:C, $B591, Issues!D:D, $C591, Issues!E:E, $D591), 0)</f>
        <v>0</v>
      </c>
      <c r="G591" s="82">
        <f>IFERROR(SUMIFS(Returns!H:H, Returns!F:F, $A591, Returns!C:C, $B591, Returns!D:D, $C591, Returns!E:E, $D591), 0)</f>
        <v>0</v>
      </c>
      <c r="H591" s="82">
        <f t="shared" si="1"/>
        <v>0</v>
      </c>
      <c r="I591" s="82">
        <f t="shared" si="2"/>
        <v>0</v>
      </c>
      <c r="J591" s="82">
        <f>IFERROR( SUMIFS('Stock In'!I:I,'Stock In'!B:B,$A591,'Stock In'!C:C,$B591,'Stock In'!D:D,$C591,'Stock In'!E:E,$D591) / SUMIFS('Stock In'!H:H,'Stock In'!B:B,$A591,'Stock In'!C:C,$B591,'Stock In'!D:D,$C591,'Stock In'!E:E,$D591), 0)</f>
        <v>0</v>
      </c>
      <c r="K591" s="82">
        <f t="shared" si="3"/>
        <v>0</v>
      </c>
    </row>
    <row r="592">
      <c r="A592" s="80"/>
      <c r="B592" s="80"/>
      <c r="C592" s="80"/>
      <c r="D592" s="80"/>
      <c r="E592" s="82">
        <f>IFERROR(SUMIFS('Stock In'!F:F,'Stock In'!B:B,$A592,'Stock In'!C:C,$B592,'Stock In'!D:D,$C592,'Stock In'!E:E,$D592),0)</f>
        <v>0</v>
      </c>
      <c r="F592" s="82">
        <f>IFERROR(SUMIFS(Issues!H:H, Issues!F:F, $A592, Issues!C:C, $B592, Issues!D:D, $C592, Issues!E:E, $D592), 0)</f>
        <v>0</v>
      </c>
      <c r="G592" s="82">
        <f>IFERROR(SUMIFS(Returns!H:H, Returns!F:F, $A592, Returns!C:C, $B592, Returns!D:D, $C592, Returns!E:E, $D592), 0)</f>
        <v>0</v>
      </c>
      <c r="H592" s="82">
        <f t="shared" si="1"/>
        <v>0</v>
      </c>
      <c r="I592" s="82">
        <f t="shared" si="2"/>
        <v>0</v>
      </c>
      <c r="J592" s="82">
        <f>IFERROR( SUMIFS('Stock In'!I:I,'Stock In'!B:B,$A592,'Stock In'!C:C,$B592,'Stock In'!D:D,$C592,'Stock In'!E:E,$D592) / SUMIFS('Stock In'!H:H,'Stock In'!B:B,$A592,'Stock In'!C:C,$B592,'Stock In'!D:D,$C592,'Stock In'!E:E,$D592), 0)</f>
        <v>0</v>
      </c>
      <c r="K592" s="82">
        <f t="shared" si="3"/>
        <v>0</v>
      </c>
    </row>
    <row r="593">
      <c r="A593" s="80"/>
      <c r="B593" s="80"/>
      <c r="C593" s="80"/>
      <c r="D593" s="80"/>
      <c r="E593" s="82">
        <f>IFERROR(SUMIFS('Stock In'!F:F,'Stock In'!B:B,$A593,'Stock In'!C:C,$B593,'Stock In'!D:D,$C593,'Stock In'!E:E,$D593),0)</f>
        <v>0</v>
      </c>
      <c r="F593" s="82">
        <f>IFERROR(SUMIFS(Issues!H:H, Issues!F:F, $A593, Issues!C:C, $B593, Issues!D:D, $C593, Issues!E:E, $D593), 0)</f>
        <v>0</v>
      </c>
      <c r="G593" s="82">
        <f>IFERROR(SUMIFS(Returns!H:H, Returns!F:F, $A593, Returns!C:C, $B593, Returns!D:D, $C593, Returns!E:E, $D593), 0)</f>
        <v>0</v>
      </c>
      <c r="H593" s="82">
        <f t="shared" si="1"/>
        <v>0</v>
      </c>
      <c r="I593" s="82">
        <f t="shared" si="2"/>
        <v>0</v>
      </c>
      <c r="J593" s="82">
        <f>IFERROR( SUMIFS('Stock In'!I:I,'Stock In'!B:B,$A593,'Stock In'!C:C,$B593,'Stock In'!D:D,$C593,'Stock In'!E:E,$D593) / SUMIFS('Stock In'!H:H,'Stock In'!B:B,$A593,'Stock In'!C:C,$B593,'Stock In'!D:D,$C593,'Stock In'!E:E,$D593), 0)</f>
        <v>0</v>
      </c>
      <c r="K593" s="82">
        <f t="shared" si="3"/>
        <v>0</v>
      </c>
    </row>
    <row r="594">
      <c r="A594" s="80"/>
      <c r="B594" s="80"/>
      <c r="C594" s="80"/>
      <c r="D594" s="80"/>
      <c r="E594" s="82">
        <f>IFERROR(SUMIFS('Stock In'!F:F,'Stock In'!B:B,$A594,'Stock In'!C:C,$B594,'Stock In'!D:D,$C594,'Stock In'!E:E,$D594),0)</f>
        <v>0</v>
      </c>
      <c r="F594" s="82">
        <f>IFERROR(SUMIFS(Issues!H:H, Issues!F:F, $A594, Issues!C:C, $B594, Issues!D:D, $C594, Issues!E:E, $D594), 0)</f>
        <v>0</v>
      </c>
      <c r="G594" s="82">
        <f>IFERROR(SUMIFS(Returns!H:H, Returns!F:F, $A594, Returns!C:C, $B594, Returns!D:D, $C594, Returns!E:E, $D594), 0)</f>
        <v>0</v>
      </c>
      <c r="H594" s="82">
        <f t="shared" si="1"/>
        <v>0</v>
      </c>
      <c r="I594" s="82">
        <f t="shared" si="2"/>
        <v>0</v>
      </c>
      <c r="J594" s="82">
        <f>IFERROR( SUMIFS('Stock In'!I:I,'Stock In'!B:B,$A594,'Stock In'!C:C,$B594,'Stock In'!D:D,$C594,'Stock In'!E:E,$D594) / SUMIFS('Stock In'!H:H,'Stock In'!B:B,$A594,'Stock In'!C:C,$B594,'Stock In'!D:D,$C594,'Stock In'!E:E,$D594), 0)</f>
        <v>0</v>
      </c>
      <c r="K594" s="82">
        <f t="shared" si="3"/>
        <v>0</v>
      </c>
    </row>
    <row r="595">
      <c r="A595" s="80"/>
      <c r="B595" s="80"/>
      <c r="C595" s="80"/>
      <c r="D595" s="80"/>
      <c r="E595" s="82">
        <f>IFERROR(SUMIFS('Stock In'!F:F,'Stock In'!B:B,$A595,'Stock In'!C:C,$B595,'Stock In'!D:D,$C595,'Stock In'!E:E,$D595),0)</f>
        <v>0</v>
      </c>
      <c r="F595" s="82">
        <f>IFERROR(SUMIFS(Issues!H:H, Issues!F:F, $A595, Issues!C:C, $B595, Issues!D:D, $C595, Issues!E:E, $D595), 0)</f>
        <v>0</v>
      </c>
      <c r="G595" s="82">
        <f>IFERROR(SUMIFS(Returns!H:H, Returns!F:F, $A595, Returns!C:C, $B595, Returns!D:D, $C595, Returns!E:E, $D595), 0)</f>
        <v>0</v>
      </c>
      <c r="H595" s="82">
        <f t="shared" si="1"/>
        <v>0</v>
      </c>
      <c r="I595" s="82">
        <f t="shared" si="2"/>
        <v>0</v>
      </c>
      <c r="J595" s="82">
        <f>IFERROR( SUMIFS('Stock In'!I:I,'Stock In'!B:B,$A595,'Stock In'!C:C,$B595,'Stock In'!D:D,$C595,'Stock In'!E:E,$D595) / SUMIFS('Stock In'!H:H,'Stock In'!B:B,$A595,'Stock In'!C:C,$B595,'Stock In'!D:D,$C595,'Stock In'!E:E,$D595), 0)</f>
        <v>0</v>
      </c>
      <c r="K595" s="82">
        <f t="shared" si="3"/>
        <v>0</v>
      </c>
    </row>
    <row r="596">
      <c r="A596" s="80"/>
      <c r="B596" s="80"/>
      <c r="C596" s="80"/>
      <c r="D596" s="80"/>
      <c r="E596" s="82">
        <f>IFERROR(SUMIFS('Stock In'!F:F,'Stock In'!B:B,$A596,'Stock In'!C:C,$B596,'Stock In'!D:D,$C596,'Stock In'!E:E,$D596),0)</f>
        <v>0</v>
      </c>
      <c r="F596" s="82">
        <f>IFERROR(SUMIFS(Issues!H:H, Issues!F:F, $A596, Issues!C:C, $B596, Issues!D:D, $C596, Issues!E:E, $D596), 0)</f>
        <v>0</v>
      </c>
      <c r="G596" s="82">
        <f>IFERROR(SUMIFS(Returns!H:H, Returns!F:F, $A596, Returns!C:C, $B596, Returns!D:D, $C596, Returns!E:E, $D596), 0)</f>
        <v>0</v>
      </c>
      <c r="H596" s="82">
        <f t="shared" si="1"/>
        <v>0</v>
      </c>
      <c r="I596" s="82">
        <f t="shared" si="2"/>
        <v>0</v>
      </c>
      <c r="J596" s="82">
        <f>IFERROR( SUMIFS('Stock In'!I:I,'Stock In'!B:B,$A596,'Stock In'!C:C,$B596,'Stock In'!D:D,$C596,'Stock In'!E:E,$D596) / SUMIFS('Stock In'!H:H,'Stock In'!B:B,$A596,'Stock In'!C:C,$B596,'Stock In'!D:D,$C596,'Stock In'!E:E,$D596), 0)</f>
        <v>0</v>
      </c>
      <c r="K596" s="82">
        <f t="shared" si="3"/>
        <v>0</v>
      </c>
    </row>
    <row r="597">
      <c r="A597" s="80"/>
      <c r="B597" s="80"/>
      <c r="C597" s="80"/>
      <c r="D597" s="80"/>
      <c r="E597" s="82">
        <f>IFERROR(SUMIFS('Stock In'!F:F,'Stock In'!B:B,$A597,'Stock In'!C:C,$B597,'Stock In'!D:D,$C597,'Stock In'!E:E,$D597),0)</f>
        <v>0</v>
      </c>
      <c r="F597" s="82">
        <f>IFERROR(SUMIFS(Issues!H:H, Issues!F:F, $A597, Issues!C:C, $B597, Issues!D:D, $C597, Issues!E:E, $D597), 0)</f>
        <v>0</v>
      </c>
      <c r="G597" s="82">
        <f>IFERROR(SUMIFS(Returns!H:H, Returns!F:F, $A597, Returns!C:C, $B597, Returns!D:D, $C597, Returns!E:E, $D597), 0)</f>
        <v>0</v>
      </c>
      <c r="H597" s="82">
        <f t="shared" si="1"/>
        <v>0</v>
      </c>
      <c r="I597" s="82">
        <f t="shared" si="2"/>
        <v>0</v>
      </c>
      <c r="J597" s="82">
        <f>IFERROR( SUMIFS('Stock In'!I:I,'Stock In'!B:B,$A597,'Stock In'!C:C,$B597,'Stock In'!D:D,$C597,'Stock In'!E:E,$D597) / SUMIFS('Stock In'!H:H,'Stock In'!B:B,$A597,'Stock In'!C:C,$B597,'Stock In'!D:D,$C597,'Stock In'!E:E,$D597), 0)</f>
        <v>0</v>
      </c>
      <c r="K597" s="82">
        <f t="shared" si="3"/>
        <v>0</v>
      </c>
    </row>
    <row r="598">
      <c r="A598" s="80"/>
      <c r="B598" s="80"/>
      <c r="C598" s="80"/>
      <c r="D598" s="80"/>
      <c r="E598" s="82">
        <f>IFERROR(SUMIFS('Stock In'!F:F,'Stock In'!B:B,$A598,'Stock In'!C:C,$B598,'Stock In'!D:D,$C598,'Stock In'!E:E,$D598),0)</f>
        <v>0</v>
      </c>
      <c r="F598" s="82">
        <f>IFERROR(SUMIFS(Issues!H:H, Issues!F:F, $A598, Issues!C:C, $B598, Issues!D:D, $C598, Issues!E:E, $D598), 0)</f>
        <v>0</v>
      </c>
      <c r="G598" s="82">
        <f>IFERROR(SUMIFS(Returns!H:H, Returns!F:F, $A598, Returns!C:C, $B598, Returns!D:D, $C598, Returns!E:E, $D598), 0)</f>
        <v>0</v>
      </c>
      <c r="H598" s="82">
        <f t="shared" si="1"/>
        <v>0</v>
      </c>
      <c r="I598" s="82">
        <f t="shared" si="2"/>
        <v>0</v>
      </c>
      <c r="J598" s="82">
        <f>IFERROR( SUMIFS('Stock In'!I:I,'Stock In'!B:B,$A598,'Stock In'!C:C,$B598,'Stock In'!D:D,$C598,'Stock In'!E:E,$D598) / SUMIFS('Stock In'!H:H,'Stock In'!B:B,$A598,'Stock In'!C:C,$B598,'Stock In'!D:D,$C598,'Stock In'!E:E,$D598), 0)</f>
        <v>0</v>
      </c>
      <c r="K598" s="82">
        <f t="shared" si="3"/>
        <v>0</v>
      </c>
    </row>
    <row r="599">
      <c r="A599" s="80"/>
      <c r="B599" s="80"/>
      <c r="C599" s="80"/>
      <c r="D599" s="80"/>
      <c r="E599" s="82">
        <f>IFERROR(SUMIFS('Stock In'!F:F,'Stock In'!B:B,$A599,'Stock In'!C:C,$B599,'Stock In'!D:D,$C599,'Stock In'!E:E,$D599),0)</f>
        <v>0</v>
      </c>
      <c r="F599" s="82">
        <f>IFERROR(SUMIFS(Issues!H:H, Issues!F:F, $A599, Issues!C:C, $B599, Issues!D:D, $C599, Issues!E:E, $D599), 0)</f>
        <v>0</v>
      </c>
      <c r="G599" s="82">
        <f>IFERROR(SUMIFS(Returns!H:H, Returns!F:F, $A599, Returns!C:C, $B599, Returns!D:D, $C599, Returns!E:E, $D599), 0)</f>
        <v>0</v>
      </c>
      <c r="H599" s="82">
        <f t="shared" si="1"/>
        <v>0</v>
      </c>
      <c r="I599" s="82">
        <f t="shared" si="2"/>
        <v>0</v>
      </c>
      <c r="J599" s="82">
        <f>IFERROR( SUMIFS('Stock In'!I:I,'Stock In'!B:B,$A599,'Stock In'!C:C,$B599,'Stock In'!D:D,$C599,'Stock In'!E:E,$D599) / SUMIFS('Stock In'!H:H,'Stock In'!B:B,$A599,'Stock In'!C:C,$B599,'Stock In'!D:D,$C599,'Stock In'!E:E,$D599), 0)</f>
        <v>0</v>
      </c>
      <c r="K599" s="82">
        <f t="shared" si="3"/>
        <v>0</v>
      </c>
    </row>
    <row r="600">
      <c r="A600" s="80"/>
      <c r="B600" s="80"/>
      <c r="C600" s="80"/>
      <c r="D600" s="80"/>
      <c r="E600" s="82">
        <f>IFERROR(SUMIFS('Stock In'!F:F,'Stock In'!B:B,$A600,'Stock In'!C:C,$B600,'Stock In'!D:D,$C600,'Stock In'!E:E,$D600),0)</f>
        <v>0</v>
      </c>
      <c r="F600" s="82">
        <f>IFERROR(SUMIFS(Issues!H:H, Issues!F:F, $A600, Issues!C:C, $B600, Issues!D:D, $C600, Issues!E:E, $D600), 0)</f>
        <v>0</v>
      </c>
      <c r="G600" s="82">
        <f>IFERROR(SUMIFS(Returns!H:H, Returns!F:F, $A600, Returns!C:C, $B600, Returns!D:D, $C600, Returns!E:E, $D600), 0)</f>
        <v>0</v>
      </c>
      <c r="H600" s="82">
        <f t="shared" si="1"/>
        <v>0</v>
      </c>
      <c r="I600" s="82">
        <f t="shared" si="2"/>
        <v>0</v>
      </c>
      <c r="J600" s="82">
        <f>IFERROR( SUMIFS('Stock In'!I:I,'Stock In'!B:B,$A600,'Stock In'!C:C,$B600,'Stock In'!D:D,$C600,'Stock In'!E:E,$D600) / SUMIFS('Stock In'!H:H,'Stock In'!B:B,$A600,'Stock In'!C:C,$B600,'Stock In'!D:D,$C600,'Stock In'!E:E,$D600), 0)</f>
        <v>0</v>
      </c>
      <c r="K600" s="82">
        <f t="shared" si="3"/>
        <v>0</v>
      </c>
    </row>
    <row r="601">
      <c r="A601" s="80"/>
      <c r="B601" s="80"/>
      <c r="C601" s="80"/>
      <c r="D601" s="80"/>
      <c r="E601" s="82">
        <f>IFERROR(SUMIFS('Stock In'!F:F,'Stock In'!B:B,$A601,'Stock In'!C:C,$B601,'Stock In'!D:D,$C601,'Stock In'!E:E,$D601),0)</f>
        <v>0</v>
      </c>
      <c r="F601" s="82">
        <f>IFERROR(SUMIFS(Issues!H:H, Issues!F:F, $A601, Issues!C:C, $B601, Issues!D:D, $C601, Issues!E:E, $D601), 0)</f>
        <v>0</v>
      </c>
      <c r="G601" s="82">
        <f>IFERROR(SUMIFS(Returns!H:H, Returns!F:F, $A601, Returns!C:C, $B601, Returns!D:D, $C601, Returns!E:E, $D601), 0)</f>
        <v>0</v>
      </c>
      <c r="H601" s="82">
        <f t="shared" si="1"/>
        <v>0</v>
      </c>
      <c r="I601" s="82">
        <f t="shared" si="2"/>
        <v>0</v>
      </c>
      <c r="J601" s="82">
        <f>IFERROR( SUMIFS('Stock In'!I:I,'Stock In'!B:B,$A601,'Stock In'!C:C,$B601,'Stock In'!D:D,$C601,'Stock In'!E:E,$D601) / SUMIFS('Stock In'!H:H,'Stock In'!B:B,$A601,'Stock In'!C:C,$B601,'Stock In'!D:D,$C601,'Stock In'!E:E,$D601), 0)</f>
        <v>0</v>
      </c>
      <c r="K601" s="82">
        <f t="shared" si="3"/>
        <v>0</v>
      </c>
    </row>
    <row r="602">
      <c r="A602" s="80"/>
      <c r="B602" s="80"/>
      <c r="C602" s="80"/>
      <c r="D602" s="80"/>
      <c r="E602" s="82">
        <f>IFERROR(SUMIFS('Stock In'!F:F,'Stock In'!B:B,$A602,'Stock In'!C:C,$B602,'Stock In'!D:D,$C602,'Stock In'!E:E,$D602),0)</f>
        <v>0</v>
      </c>
      <c r="F602" s="82">
        <f>IFERROR(SUMIFS(Issues!H:H, Issues!F:F, $A602, Issues!C:C, $B602, Issues!D:D, $C602, Issues!E:E, $D602), 0)</f>
        <v>0</v>
      </c>
      <c r="G602" s="82">
        <f>IFERROR(SUMIFS(Returns!H:H, Returns!F:F, $A602, Returns!C:C, $B602, Returns!D:D, $C602, Returns!E:E, $D602), 0)</f>
        <v>0</v>
      </c>
      <c r="H602" s="82">
        <f t="shared" si="1"/>
        <v>0</v>
      </c>
      <c r="I602" s="82">
        <f t="shared" si="2"/>
        <v>0</v>
      </c>
      <c r="J602" s="82">
        <f>IFERROR( SUMIFS('Stock In'!I:I,'Stock In'!B:B,$A602,'Stock In'!C:C,$B602,'Stock In'!D:D,$C602,'Stock In'!E:E,$D602) / SUMIFS('Stock In'!H:H,'Stock In'!B:B,$A602,'Stock In'!C:C,$B602,'Stock In'!D:D,$C602,'Stock In'!E:E,$D602), 0)</f>
        <v>0</v>
      </c>
      <c r="K602" s="82">
        <f t="shared" si="3"/>
        <v>0</v>
      </c>
    </row>
    <row r="603">
      <c r="A603" s="80"/>
      <c r="B603" s="80"/>
      <c r="C603" s="80"/>
      <c r="D603" s="80"/>
      <c r="E603" s="82">
        <f>IFERROR(SUMIFS('Stock In'!F:F,'Stock In'!B:B,$A603,'Stock In'!C:C,$B603,'Stock In'!D:D,$C603,'Stock In'!E:E,$D603),0)</f>
        <v>0</v>
      </c>
      <c r="F603" s="82">
        <f>IFERROR(SUMIFS(Issues!H:H, Issues!F:F, $A603, Issues!C:C, $B603, Issues!D:D, $C603, Issues!E:E, $D603), 0)</f>
        <v>0</v>
      </c>
      <c r="G603" s="82">
        <f>IFERROR(SUMIFS(Returns!H:H, Returns!F:F, $A603, Returns!C:C, $B603, Returns!D:D, $C603, Returns!E:E, $D603), 0)</f>
        <v>0</v>
      </c>
      <c r="H603" s="82">
        <f t="shared" si="1"/>
        <v>0</v>
      </c>
      <c r="I603" s="82">
        <f t="shared" si="2"/>
        <v>0</v>
      </c>
      <c r="J603" s="82">
        <f>IFERROR( SUMIFS('Stock In'!I:I,'Stock In'!B:B,$A603,'Stock In'!C:C,$B603,'Stock In'!D:D,$C603,'Stock In'!E:E,$D603) / SUMIFS('Stock In'!H:H,'Stock In'!B:B,$A603,'Stock In'!C:C,$B603,'Stock In'!D:D,$C603,'Stock In'!E:E,$D603), 0)</f>
        <v>0</v>
      </c>
      <c r="K603" s="82">
        <f t="shared" si="3"/>
        <v>0</v>
      </c>
    </row>
    <row r="604">
      <c r="A604" s="80"/>
      <c r="B604" s="80"/>
      <c r="C604" s="80"/>
      <c r="D604" s="80"/>
      <c r="E604" s="82">
        <f>IFERROR(SUMIFS('Stock In'!F:F,'Stock In'!B:B,$A604,'Stock In'!C:C,$B604,'Stock In'!D:D,$C604,'Stock In'!E:E,$D604),0)</f>
        <v>0</v>
      </c>
      <c r="F604" s="82">
        <f>IFERROR(SUMIFS(Issues!H:H, Issues!F:F, $A604, Issues!C:C, $B604, Issues!D:D, $C604, Issues!E:E, $D604), 0)</f>
        <v>0</v>
      </c>
      <c r="G604" s="82">
        <f>IFERROR(SUMIFS(Returns!H:H, Returns!F:F, $A604, Returns!C:C, $B604, Returns!D:D, $C604, Returns!E:E, $D604), 0)</f>
        <v>0</v>
      </c>
      <c r="H604" s="82">
        <f t="shared" si="1"/>
        <v>0</v>
      </c>
      <c r="I604" s="82">
        <f t="shared" si="2"/>
        <v>0</v>
      </c>
      <c r="J604" s="82">
        <f>IFERROR( SUMIFS('Stock In'!I:I,'Stock In'!B:B,$A604,'Stock In'!C:C,$B604,'Stock In'!D:D,$C604,'Stock In'!E:E,$D604) / SUMIFS('Stock In'!H:H,'Stock In'!B:B,$A604,'Stock In'!C:C,$B604,'Stock In'!D:D,$C604,'Stock In'!E:E,$D604), 0)</f>
        <v>0</v>
      </c>
      <c r="K604" s="82">
        <f t="shared" si="3"/>
        <v>0</v>
      </c>
    </row>
    <row r="605">
      <c r="A605" s="80"/>
      <c r="B605" s="80"/>
      <c r="C605" s="80"/>
      <c r="D605" s="80"/>
      <c r="E605" s="82">
        <f>IFERROR(SUMIFS('Stock In'!F:F,'Stock In'!B:B,$A605,'Stock In'!C:C,$B605,'Stock In'!D:D,$C605,'Stock In'!E:E,$D605),0)</f>
        <v>0</v>
      </c>
      <c r="F605" s="82">
        <f>IFERROR(SUMIFS(Issues!H:H, Issues!F:F, $A605, Issues!C:C, $B605, Issues!D:D, $C605, Issues!E:E, $D605), 0)</f>
        <v>0</v>
      </c>
      <c r="G605" s="82">
        <f>IFERROR(SUMIFS(Returns!H:H, Returns!F:F, $A605, Returns!C:C, $B605, Returns!D:D, $C605, Returns!E:E, $D605), 0)</f>
        <v>0</v>
      </c>
      <c r="H605" s="82">
        <f t="shared" si="1"/>
        <v>0</v>
      </c>
      <c r="I605" s="82">
        <f t="shared" si="2"/>
        <v>0</v>
      </c>
      <c r="J605" s="82">
        <f>IFERROR( SUMIFS('Stock In'!I:I,'Stock In'!B:B,$A605,'Stock In'!C:C,$B605,'Stock In'!D:D,$C605,'Stock In'!E:E,$D605) / SUMIFS('Stock In'!H:H,'Stock In'!B:B,$A605,'Stock In'!C:C,$B605,'Stock In'!D:D,$C605,'Stock In'!E:E,$D605), 0)</f>
        <v>0</v>
      </c>
      <c r="K605" s="82">
        <f t="shared" si="3"/>
        <v>0</v>
      </c>
    </row>
    <row r="606">
      <c r="A606" s="80"/>
      <c r="B606" s="80"/>
      <c r="C606" s="80"/>
      <c r="D606" s="80"/>
      <c r="E606" s="82">
        <f>IFERROR(SUMIFS('Stock In'!F:F,'Stock In'!B:B,$A606,'Stock In'!C:C,$B606,'Stock In'!D:D,$C606,'Stock In'!E:E,$D606),0)</f>
        <v>0</v>
      </c>
      <c r="F606" s="82">
        <f>IFERROR(SUMIFS(Issues!H:H, Issues!F:F, $A606, Issues!C:C, $B606, Issues!D:D, $C606, Issues!E:E, $D606), 0)</f>
        <v>0</v>
      </c>
      <c r="G606" s="82">
        <f>IFERROR(SUMIFS(Returns!H:H, Returns!F:F, $A606, Returns!C:C, $B606, Returns!D:D, $C606, Returns!E:E, $D606), 0)</f>
        <v>0</v>
      </c>
      <c r="H606" s="82">
        <f t="shared" si="1"/>
        <v>0</v>
      </c>
      <c r="I606" s="82">
        <f t="shared" si="2"/>
        <v>0</v>
      </c>
      <c r="J606" s="82">
        <f>IFERROR( SUMIFS('Stock In'!I:I,'Stock In'!B:B,$A606,'Stock In'!C:C,$B606,'Stock In'!D:D,$C606,'Stock In'!E:E,$D606) / SUMIFS('Stock In'!H:H,'Stock In'!B:B,$A606,'Stock In'!C:C,$B606,'Stock In'!D:D,$C606,'Stock In'!E:E,$D606), 0)</f>
        <v>0</v>
      </c>
      <c r="K606" s="82">
        <f t="shared" si="3"/>
        <v>0</v>
      </c>
    </row>
    <row r="607">
      <c r="A607" s="80"/>
      <c r="B607" s="80"/>
      <c r="C607" s="80"/>
      <c r="D607" s="80"/>
      <c r="E607" s="82">
        <f>IFERROR(SUMIFS('Stock In'!F:F,'Stock In'!B:B,$A607,'Stock In'!C:C,$B607,'Stock In'!D:D,$C607,'Stock In'!E:E,$D607),0)</f>
        <v>0</v>
      </c>
      <c r="F607" s="82">
        <f>IFERROR(SUMIFS(Issues!H:H, Issues!F:F, $A607, Issues!C:C, $B607, Issues!D:D, $C607, Issues!E:E, $D607), 0)</f>
        <v>0</v>
      </c>
      <c r="G607" s="82">
        <f>IFERROR(SUMIFS(Returns!H:H, Returns!F:F, $A607, Returns!C:C, $B607, Returns!D:D, $C607, Returns!E:E, $D607), 0)</f>
        <v>0</v>
      </c>
      <c r="H607" s="82">
        <f t="shared" si="1"/>
        <v>0</v>
      </c>
      <c r="I607" s="82">
        <f t="shared" si="2"/>
        <v>0</v>
      </c>
      <c r="J607" s="82">
        <f>IFERROR( SUMIFS('Stock In'!I:I,'Stock In'!B:B,$A607,'Stock In'!C:C,$B607,'Stock In'!D:D,$C607,'Stock In'!E:E,$D607) / SUMIFS('Stock In'!H:H,'Stock In'!B:B,$A607,'Stock In'!C:C,$B607,'Stock In'!D:D,$C607,'Stock In'!E:E,$D607), 0)</f>
        <v>0</v>
      </c>
      <c r="K607" s="82">
        <f t="shared" si="3"/>
        <v>0</v>
      </c>
    </row>
    <row r="608">
      <c r="A608" s="80"/>
      <c r="B608" s="80"/>
      <c r="C608" s="80"/>
      <c r="D608" s="80"/>
      <c r="E608" s="82">
        <f>IFERROR(SUMIFS('Stock In'!F:F,'Stock In'!B:B,$A608,'Stock In'!C:C,$B608,'Stock In'!D:D,$C608,'Stock In'!E:E,$D608),0)</f>
        <v>0</v>
      </c>
      <c r="F608" s="82">
        <f>IFERROR(SUMIFS(Issues!H:H, Issues!F:F, $A608, Issues!C:C, $B608, Issues!D:D, $C608, Issues!E:E, $D608), 0)</f>
        <v>0</v>
      </c>
      <c r="G608" s="82">
        <f>IFERROR(SUMIFS(Returns!H:H, Returns!F:F, $A608, Returns!C:C, $B608, Returns!D:D, $C608, Returns!E:E, $D608), 0)</f>
        <v>0</v>
      </c>
      <c r="H608" s="82">
        <f t="shared" si="1"/>
        <v>0</v>
      </c>
      <c r="I608" s="82">
        <f t="shared" si="2"/>
        <v>0</v>
      </c>
      <c r="J608" s="82">
        <f>IFERROR( SUMIFS('Stock In'!I:I,'Stock In'!B:B,$A608,'Stock In'!C:C,$B608,'Stock In'!D:D,$C608,'Stock In'!E:E,$D608) / SUMIFS('Stock In'!H:H,'Stock In'!B:B,$A608,'Stock In'!C:C,$B608,'Stock In'!D:D,$C608,'Stock In'!E:E,$D608), 0)</f>
        <v>0</v>
      </c>
      <c r="K608" s="82">
        <f t="shared" si="3"/>
        <v>0</v>
      </c>
    </row>
    <row r="609">
      <c r="A609" s="80"/>
      <c r="B609" s="80"/>
      <c r="C609" s="80"/>
      <c r="D609" s="80"/>
      <c r="E609" s="82">
        <f>IFERROR(SUMIFS('Stock In'!F:F,'Stock In'!B:B,$A609,'Stock In'!C:C,$B609,'Stock In'!D:D,$C609,'Stock In'!E:E,$D609),0)</f>
        <v>0</v>
      </c>
      <c r="F609" s="82">
        <f>IFERROR(SUMIFS(Issues!H:H, Issues!F:F, $A609, Issues!C:C, $B609, Issues!D:D, $C609, Issues!E:E, $D609), 0)</f>
        <v>0</v>
      </c>
      <c r="G609" s="82">
        <f>IFERROR(SUMIFS(Returns!H:H, Returns!F:F, $A609, Returns!C:C, $B609, Returns!D:D, $C609, Returns!E:E, $D609), 0)</f>
        <v>0</v>
      </c>
      <c r="H609" s="82">
        <f t="shared" si="1"/>
        <v>0</v>
      </c>
      <c r="I609" s="82">
        <f t="shared" si="2"/>
        <v>0</v>
      </c>
      <c r="J609" s="82">
        <f>IFERROR( SUMIFS('Stock In'!I:I,'Stock In'!B:B,$A609,'Stock In'!C:C,$B609,'Stock In'!D:D,$C609,'Stock In'!E:E,$D609) / SUMIFS('Stock In'!H:H,'Stock In'!B:B,$A609,'Stock In'!C:C,$B609,'Stock In'!D:D,$C609,'Stock In'!E:E,$D609), 0)</f>
        <v>0</v>
      </c>
      <c r="K609" s="82">
        <f t="shared" si="3"/>
        <v>0</v>
      </c>
    </row>
    <row r="610">
      <c r="A610" s="80"/>
      <c r="B610" s="80"/>
      <c r="C610" s="80"/>
      <c r="D610" s="80"/>
      <c r="E610" s="82">
        <f>IFERROR(SUMIFS('Stock In'!F:F,'Stock In'!B:B,$A610,'Stock In'!C:C,$B610,'Stock In'!D:D,$C610,'Stock In'!E:E,$D610),0)</f>
        <v>0</v>
      </c>
      <c r="F610" s="82">
        <f>IFERROR(SUMIFS(Issues!H:H, Issues!F:F, $A610, Issues!C:C, $B610, Issues!D:D, $C610, Issues!E:E, $D610), 0)</f>
        <v>0</v>
      </c>
      <c r="G610" s="82">
        <f>IFERROR(SUMIFS(Returns!H:H, Returns!F:F, $A610, Returns!C:C, $B610, Returns!D:D, $C610, Returns!E:E, $D610), 0)</f>
        <v>0</v>
      </c>
      <c r="H610" s="82">
        <f t="shared" si="1"/>
        <v>0</v>
      </c>
      <c r="I610" s="82">
        <f t="shared" si="2"/>
        <v>0</v>
      </c>
      <c r="J610" s="82">
        <f>IFERROR( SUMIFS('Stock In'!I:I,'Stock In'!B:B,$A610,'Stock In'!C:C,$B610,'Stock In'!D:D,$C610,'Stock In'!E:E,$D610) / SUMIFS('Stock In'!H:H,'Stock In'!B:B,$A610,'Stock In'!C:C,$B610,'Stock In'!D:D,$C610,'Stock In'!E:E,$D610), 0)</f>
        <v>0</v>
      </c>
      <c r="K610" s="82">
        <f t="shared" si="3"/>
        <v>0</v>
      </c>
    </row>
    <row r="611">
      <c r="A611" s="80"/>
      <c r="B611" s="80"/>
      <c r="C611" s="80"/>
      <c r="D611" s="80"/>
      <c r="E611" s="82">
        <f>IFERROR(SUMIFS('Stock In'!F:F,'Stock In'!B:B,$A611,'Stock In'!C:C,$B611,'Stock In'!D:D,$C611,'Stock In'!E:E,$D611),0)</f>
        <v>0</v>
      </c>
      <c r="F611" s="82">
        <f>IFERROR(SUMIFS(Issues!H:H, Issues!F:F, $A611, Issues!C:C, $B611, Issues!D:D, $C611, Issues!E:E, $D611), 0)</f>
        <v>0</v>
      </c>
      <c r="G611" s="82">
        <f>IFERROR(SUMIFS(Returns!H:H, Returns!F:F, $A611, Returns!C:C, $B611, Returns!D:D, $C611, Returns!E:E, $D611), 0)</f>
        <v>0</v>
      </c>
      <c r="H611" s="82">
        <f t="shared" si="1"/>
        <v>0</v>
      </c>
      <c r="I611" s="82">
        <f t="shared" si="2"/>
        <v>0</v>
      </c>
      <c r="J611" s="82">
        <f>IFERROR( SUMIFS('Stock In'!I:I,'Stock In'!B:B,$A611,'Stock In'!C:C,$B611,'Stock In'!D:D,$C611,'Stock In'!E:E,$D611) / SUMIFS('Stock In'!H:H,'Stock In'!B:B,$A611,'Stock In'!C:C,$B611,'Stock In'!D:D,$C611,'Stock In'!E:E,$D611), 0)</f>
        <v>0</v>
      </c>
      <c r="K611" s="82">
        <f t="shared" si="3"/>
        <v>0</v>
      </c>
    </row>
    <row r="612">
      <c r="A612" s="80"/>
      <c r="B612" s="80"/>
      <c r="C612" s="80"/>
      <c r="D612" s="80"/>
      <c r="E612" s="82">
        <f>IFERROR(SUMIFS('Stock In'!F:F,'Stock In'!B:B,$A612,'Stock In'!C:C,$B612,'Stock In'!D:D,$C612,'Stock In'!E:E,$D612),0)</f>
        <v>0</v>
      </c>
      <c r="F612" s="82">
        <f>IFERROR(SUMIFS(Issues!H:H, Issues!F:F, $A612, Issues!C:C, $B612, Issues!D:D, $C612, Issues!E:E, $D612), 0)</f>
        <v>0</v>
      </c>
      <c r="G612" s="82">
        <f>IFERROR(SUMIFS(Returns!H:H, Returns!F:F, $A612, Returns!C:C, $B612, Returns!D:D, $C612, Returns!E:E, $D612), 0)</f>
        <v>0</v>
      </c>
      <c r="H612" s="82">
        <f t="shared" si="1"/>
        <v>0</v>
      </c>
      <c r="I612" s="82">
        <f t="shared" si="2"/>
        <v>0</v>
      </c>
      <c r="J612" s="82">
        <f>IFERROR( SUMIFS('Stock In'!I:I,'Stock In'!B:B,$A612,'Stock In'!C:C,$B612,'Stock In'!D:D,$C612,'Stock In'!E:E,$D612) / SUMIFS('Stock In'!H:H,'Stock In'!B:B,$A612,'Stock In'!C:C,$B612,'Stock In'!D:D,$C612,'Stock In'!E:E,$D612), 0)</f>
        <v>0</v>
      </c>
      <c r="K612" s="82">
        <f t="shared" si="3"/>
        <v>0</v>
      </c>
    </row>
    <row r="613">
      <c r="A613" s="80"/>
      <c r="B613" s="80"/>
      <c r="C613" s="80"/>
      <c r="D613" s="80"/>
      <c r="E613" s="82">
        <f>IFERROR(SUMIFS('Stock In'!F:F,'Stock In'!B:B,$A613,'Stock In'!C:C,$B613,'Stock In'!D:D,$C613,'Stock In'!E:E,$D613),0)</f>
        <v>0</v>
      </c>
      <c r="F613" s="82">
        <f>IFERROR(SUMIFS(Issues!H:H, Issues!F:F, $A613, Issues!C:C, $B613, Issues!D:D, $C613, Issues!E:E, $D613), 0)</f>
        <v>0</v>
      </c>
      <c r="G613" s="82">
        <f>IFERROR(SUMIFS(Returns!H:H, Returns!F:F, $A613, Returns!C:C, $B613, Returns!D:D, $C613, Returns!E:E, $D613), 0)</f>
        <v>0</v>
      </c>
      <c r="H613" s="82">
        <f t="shared" si="1"/>
        <v>0</v>
      </c>
      <c r="I613" s="82">
        <f t="shared" si="2"/>
        <v>0</v>
      </c>
      <c r="J613" s="82">
        <f>IFERROR( SUMIFS('Stock In'!I:I,'Stock In'!B:B,$A613,'Stock In'!C:C,$B613,'Stock In'!D:D,$C613,'Stock In'!E:E,$D613) / SUMIFS('Stock In'!H:H,'Stock In'!B:B,$A613,'Stock In'!C:C,$B613,'Stock In'!D:D,$C613,'Stock In'!E:E,$D613), 0)</f>
        <v>0</v>
      </c>
      <c r="K613" s="82">
        <f t="shared" si="3"/>
        <v>0</v>
      </c>
    </row>
    <row r="614">
      <c r="A614" s="80"/>
      <c r="B614" s="80"/>
      <c r="C614" s="80"/>
      <c r="D614" s="80"/>
      <c r="E614" s="82">
        <f>IFERROR(SUMIFS('Stock In'!F:F,'Stock In'!B:B,$A614,'Stock In'!C:C,$B614,'Stock In'!D:D,$C614,'Stock In'!E:E,$D614),0)</f>
        <v>0</v>
      </c>
      <c r="F614" s="82">
        <f>IFERROR(SUMIFS(Issues!H:H, Issues!F:F, $A614, Issues!C:C, $B614, Issues!D:D, $C614, Issues!E:E, $D614), 0)</f>
        <v>0</v>
      </c>
      <c r="G614" s="82">
        <f>IFERROR(SUMIFS(Returns!H:H, Returns!F:F, $A614, Returns!C:C, $B614, Returns!D:D, $C614, Returns!E:E, $D614), 0)</f>
        <v>0</v>
      </c>
      <c r="H614" s="82">
        <f t="shared" si="1"/>
        <v>0</v>
      </c>
      <c r="I614" s="82">
        <f t="shared" si="2"/>
        <v>0</v>
      </c>
      <c r="J614" s="82">
        <f>IFERROR( SUMIFS('Stock In'!I:I,'Stock In'!B:B,$A614,'Stock In'!C:C,$B614,'Stock In'!D:D,$C614,'Stock In'!E:E,$D614) / SUMIFS('Stock In'!H:H,'Stock In'!B:B,$A614,'Stock In'!C:C,$B614,'Stock In'!D:D,$C614,'Stock In'!E:E,$D614), 0)</f>
        <v>0</v>
      </c>
      <c r="K614" s="82">
        <f t="shared" si="3"/>
        <v>0</v>
      </c>
    </row>
    <row r="615">
      <c r="A615" s="80"/>
      <c r="B615" s="80"/>
      <c r="C615" s="80"/>
      <c r="D615" s="80"/>
      <c r="E615" s="82">
        <f>IFERROR(SUMIFS('Stock In'!F:F,'Stock In'!B:B,$A615,'Stock In'!C:C,$B615,'Stock In'!D:D,$C615,'Stock In'!E:E,$D615),0)</f>
        <v>0</v>
      </c>
      <c r="F615" s="82">
        <f>IFERROR(SUMIFS(Issues!H:H, Issues!F:F, $A615, Issues!C:C, $B615, Issues!D:D, $C615, Issues!E:E, $D615), 0)</f>
        <v>0</v>
      </c>
      <c r="G615" s="82">
        <f>IFERROR(SUMIFS(Returns!H:H, Returns!F:F, $A615, Returns!C:C, $B615, Returns!D:D, $C615, Returns!E:E, $D615), 0)</f>
        <v>0</v>
      </c>
      <c r="H615" s="82">
        <f t="shared" si="1"/>
        <v>0</v>
      </c>
      <c r="I615" s="82">
        <f t="shared" si="2"/>
        <v>0</v>
      </c>
      <c r="J615" s="82">
        <f>IFERROR( SUMIFS('Stock In'!I:I,'Stock In'!B:B,$A615,'Stock In'!C:C,$B615,'Stock In'!D:D,$C615,'Stock In'!E:E,$D615) / SUMIFS('Stock In'!H:H,'Stock In'!B:B,$A615,'Stock In'!C:C,$B615,'Stock In'!D:D,$C615,'Stock In'!E:E,$D615), 0)</f>
        <v>0</v>
      </c>
      <c r="K615" s="82">
        <f t="shared" si="3"/>
        <v>0</v>
      </c>
    </row>
    <row r="616">
      <c r="A616" s="80"/>
      <c r="B616" s="80"/>
      <c r="C616" s="80"/>
      <c r="D616" s="80"/>
      <c r="E616" s="82">
        <f>IFERROR(SUMIFS('Stock In'!F:F,'Stock In'!B:B,$A616,'Stock In'!C:C,$B616,'Stock In'!D:D,$C616,'Stock In'!E:E,$D616),0)</f>
        <v>0</v>
      </c>
      <c r="F616" s="82">
        <f>IFERROR(SUMIFS(Issues!H:H, Issues!F:F, $A616, Issues!C:C, $B616, Issues!D:D, $C616, Issues!E:E, $D616), 0)</f>
        <v>0</v>
      </c>
      <c r="G616" s="82">
        <f>IFERROR(SUMIFS(Returns!H:H, Returns!F:F, $A616, Returns!C:C, $B616, Returns!D:D, $C616, Returns!E:E, $D616), 0)</f>
        <v>0</v>
      </c>
      <c r="H616" s="82">
        <f t="shared" si="1"/>
        <v>0</v>
      </c>
      <c r="I616" s="82">
        <f t="shared" si="2"/>
        <v>0</v>
      </c>
      <c r="J616" s="82">
        <f>IFERROR( SUMIFS('Stock In'!I:I,'Stock In'!B:B,$A616,'Stock In'!C:C,$B616,'Stock In'!D:D,$C616,'Stock In'!E:E,$D616) / SUMIFS('Stock In'!H:H,'Stock In'!B:B,$A616,'Stock In'!C:C,$B616,'Stock In'!D:D,$C616,'Stock In'!E:E,$D616), 0)</f>
        <v>0</v>
      </c>
      <c r="K616" s="82">
        <f t="shared" si="3"/>
        <v>0</v>
      </c>
    </row>
    <row r="617">
      <c r="A617" s="80"/>
      <c r="B617" s="80"/>
      <c r="C617" s="80"/>
      <c r="D617" s="80"/>
      <c r="E617" s="82">
        <f>IFERROR(SUMIFS('Stock In'!F:F,'Stock In'!B:B,$A617,'Stock In'!C:C,$B617,'Stock In'!D:D,$C617,'Stock In'!E:E,$D617),0)</f>
        <v>0</v>
      </c>
      <c r="F617" s="82">
        <f>IFERROR(SUMIFS(Issues!H:H, Issues!F:F, $A617, Issues!C:C, $B617, Issues!D:D, $C617, Issues!E:E, $D617), 0)</f>
        <v>0</v>
      </c>
      <c r="G617" s="82">
        <f>IFERROR(SUMIFS(Returns!H:H, Returns!F:F, $A617, Returns!C:C, $B617, Returns!D:D, $C617, Returns!E:E, $D617), 0)</f>
        <v>0</v>
      </c>
      <c r="H617" s="82">
        <f t="shared" si="1"/>
        <v>0</v>
      </c>
      <c r="I617" s="82">
        <f t="shared" si="2"/>
        <v>0</v>
      </c>
      <c r="J617" s="82">
        <f>IFERROR( SUMIFS('Stock In'!I:I,'Stock In'!B:B,$A617,'Stock In'!C:C,$B617,'Stock In'!D:D,$C617,'Stock In'!E:E,$D617) / SUMIFS('Stock In'!H:H,'Stock In'!B:B,$A617,'Stock In'!C:C,$B617,'Stock In'!D:D,$C617,'Stock In'!E:E,$D617), 0)</f>
        <v>0</v>
      </c>
      <c r="K617" s="82">
        <f t="shared" si="3"/>
        <v>0</v>
      </c>
    </row>
    <row r="618">
      <c r="A618" s="80"/>
      <c r="B618" s="80"/>
      <c r="C618" s="80"/>
      <c r="D618" s="80"/>
      <c r="E618" s="82">
        <f>IFERROR(SUMIFS('Stock In'!F:F,'Stock In'!B:B,$A618,'Stock In'!C:C,$B618,'Stock In'!D:D,$C618,'Stock In'!E:E,$D618),0)</f>
        <v>0</v>
      </c>
      <c r="F618" s="82">
        <f>IFERROR(SUMIFS(Issues!H:H, Issues!F:F, $A618, Issues!C:C, $B618, Issues!D:D, $C618, Issues!E:E, $D618), 0)</f>
        <v>0</v>
      </c>
      <c r="G618" s="82">
        <f>IFERROR(SUMIFS(Returns!H:H, Returns!F:F, $A618, Returns!C:C, $B618, Returns!D:D, $C618, Returns!E:E, $D618), 0)</f>
        <v>0</v>
      </c>
      <c r="H618" s="82">
        <f t="shared" si="1"/>
        <v>0</v>
      </c>
      <c r="I618" s="82">
        <f t="shared" si="2"/>
        <v>0</v>
      </c>
      <c r="J618" s="82">
        <f>IFERROR( SUMIFS('Stock In'!I:I,'Stock In'!B:B,$A618,'Stock In'!C:C,$B618,'Stock In'!D:D,$C618,'Stock In'!E:E,$D618) / SUMIFS('Stock In'!H:H,'Stock In'!B:B,$A618,'Stock In'!C:C,$B618,'Stock In'!D:D,$C618,'Stock In'!E:E,$D618), 0)</f>
        <v>0</v>
      </c>
      <c r="K618" s="82">
        <f t="shared" si="3"/>
        <v>0</v>
      </c>
    </row>
    <row r="619">
      <c r="A619" s="80"/>
      <c r="B619" s="80"/>
      <c r="C619" s="80"/>
      <c r="D619" s="80"/>
      <c r="E619" s="82">
        <f>IFERROR(SUMIFS('Stock In'!F:F,'Stock In'!B:B,$A619,'Stock In'!C:C,$B619,'Stock In'!D:D,$C619,'Stock In'!E:E,$D619),0)</f>
        <v>0</v>
      </c>
      <c r="F619" s="82">
        <f>IFERROR(SUMIFS(Issues!H:H, Issues!F:F, $A619, Issues!C:C, $B619, Issues!D:D, $C619, Issues!E:E, $D619), 0)</f>
        <v>0</v>
      </c>
      <c r="G619" s="82">
        <f>IFERROR(SUMIFS(Returns!H:H, Returns!F:F, $A619, Returns!C:C, $B619, Returns!D:D, $C619, Returns!E:E, $D619), 0)</f>
        <v>0</v>
      </c>
      <c r="H619" s="82">
        <f t="shared" si="1"/>
        <v>0</v>
      </c>
      <c r="I619" s="82">
        <f t="shared" si="2"/>
        <v>0</v>
      </c>
      <c r="J619" s="82">
        <f>IFERROR( SUMIFS('Stock In'!I:I,'Stock In'!B:B,$A619,'Stock In'!C:C,$B619,'Stock In'!D:D,$C619,'Stock In'!E:E,$D619) / SUMIFS('Stock In'!H:H,'Stock In'!B:B,$A619,'Stock In'!C:C,$B619,'Stock In'!D:D,$C619,'Stock In'!E:E,$D619), 0)</f>
        <v>0</v>
      </c>
      <c r="K619" s="82">
        <f t="shared" si="3"/>
        <v>0</v>
      </c>
    </row>
    <row r="620">
      <c r="A620" s="80"/>
      <c r="B620" s="80"/>
      <c r="C620" s="80"/>
      <c r="D620" s="80"/>
      <c r="E620" s="82">
        <f>IFERROR(SUMIFS('Stock In'!F:F,'Stock In'!B:B,$A620,'Stock In'!C:C,$B620,'Stock In'!D:D,$C620,'Stock In'!E:E,$D620),0)</f>
        <v>0</v>
      </c>
      <c r="F620" s="82">
        <f>IFERROR(SUMIFS(Issues!H:H, Issues!F:F, $A620, Issues!C:C, $B620, Issues!D:D, $C620, Issues!E:E, $D620), 0)</f>
        <v>0</v>
      </c>
      <c r="G620" s="82">
        <f>IFERROR(SUMIFS(Returns!H:H, Returns!F:F, $A620, Returns!C:C, $B620, Returns!D:D, $C620, Returns!E:E, $D620), 0)</f>
        <v>0</v>
      </c>
      <c r="H620" s="82">
        <f t="shared" si="1"/>
        <v>0</v>
      </c>
      <c r="I620" s="82">
        <f t="shared" si="2"/>
        <v>0</v>
      </c>
      <c r="J620" s="82">
        <f>IFERROR( SUMIFS('Stock In'!I:I,'Stock In'!B:B,$A620,'Stock In'!C:C,$B620,'Stock In'!D:D,$C620,'Stock In'!E:E,$D620) / SUMIFS('Stock In'!H:H,'Stock In'!B:B,$A620,'Stock In'!C:C,$B620,'Stock In'!D:D,$C620,'Stock In'!E:E,$D620), 0)</f>
        <v>0</v>
      </c>
      <c r="K620" s="82">
        <f t="shared" si="3"/>
        <v>0</v>
      </c>
    </row>
    <row r="621">
      <c r="A621" s="80"/>
      <c r="B621" s="80"/>
      <c r="C621" s="80"/>
      <c r="D621" s="80"/>
      <c r="E621" s="82">
        <f>IFERROR(SUMIFS('Stock In'!F:F,'Stock In'!B:B,$A621,'Stock In'!C:C,$B621,'Stock In'!D:D,$C621,'Stock In'!E:E,$D621),0)</f>
        <v>0</v>
      </c>
      <c r="F621" s="82">
        <f>IFERROR(SUMIFS(Issues!H:H, Issues!F:F, $A621, Issues!C:C, $B621, Issues!D:D, $C621, Issues!E:E, $D621), 0)</f>
        <v>0</v>
      </c>
      <c r="G621" s="82">
        <f>IFERROR(SUMIFS(Returns!H:H, Returns!F:F, $A621, Returns!C:C, $B621, Returns!D:D, $C621, Returns!E:E, $D621), 0)</f>
        <v>0</v>
      </c>
      <c r="H621" s="82">
        <f t="shared" si="1"/>
        <v>0</v>
      </c>
      <c r="I621" s="82">
        <f t="shared" si="2"/>
        <v>0</v>
      </c>
      <c r="J621" s="82">
        <f>IFERROR( SUMIFS('Stock In'!I:I,'Stock In'!B:B,$A621,'Stock In'!C:C,$B621,'Stock In'!D:D,$C621,'Stock In'!E:E,$D621) / SUMIFS('Stock In'!H:H,'Stock In'!B:B,$A621,'Stock In'!C:C,$B621,'Stock In'!D:D,$C621,'Stock In'!E:E,$D621), 0)</f>
        <v>0</v>
      </c>
      <c r="K621" s="82">
        <f t="shared" si="3"/>
        <v>0</v>
      </c>
    </row>
    <row r="622">
      <c r="A622" s="80"/>
      <c r="B622" s="80"/>
      <c r="C622" s="80"/>
      <c r="D622" s="80"/>
      <c r="E622" s="82">
        <f>IFERROR(SUMIFS('Stock In'!F:F,'Stock In'!B:B,$A622,'Stock In'!C:C,$B622,'Stock In'!D:D,$C622,'Stock In'!E:E,$D622),0)</f>
        <v>0</v>
      </c>
      <c r="F622" s="82">
        <f>IFERROR(SUMIFS(Issues!H:H, Issues!F:F, $A622, Issues!C:C, $B622, Issues!D:D, $C622, Issues!E:E, $D622), 0)</f>
        <v>0</v>
      </c>
      <c r="G622" s="82">
        <f>IFERROR(SUMIFS(Returns!H:H, Returns!F:F, $A622, Returns!C:C, $B622, Returns!D:D, $C622, Returns!E:E, $D622), 0)</f>
        <v>0</v>
      </c>
      <c r="H622" s="82">
        <f t="shared" si="1"/>
        <v>0</v>
      </c>
      <c r="I622" s="82">
        <f t="shared" si="2"/>
        <v>0</v>
      </c>
      <c r="J622" s="82">
        <f>IFERROR( SUMIFS('Stock In'!I:I,'Stock In'!B:B,$A622,'Stock In'!C:C,$B622,'Stock In'!D:D,$C622,'Stock In'!E:E,$D622) / SUMIFS('Stock In'!H:H,'Stock In'!B:B,$A622,'Stock In'!C:C,$B622,'Stock In'!D:D,$C622,'Stock In'!E:E,$D622), 0)</f>
        <v>0</v>
      </c>
      <c r="K622" s="82">
        <f t="shared" si="3"/>
        <v>0</v>
      </c>
    </row>
    <row r="623">
      <c r="A623" s="80"/>
      <c r="B623" s="80"/>
      <c r="C623" s="80"/>
      <c r="D623" s="80"/>
      <c r="E623" s="82">
        <f>IFERROR(SUMIFS('Stock In'!F:F,'Stock In'!B:B,$A623,'Stock In'!C:C,$B623,'Stock In'!D:D,$C623,'Stock In'!E:E,$D623),0)</f>
        <v>0</v>
      </c>
      <c r="F623" s="82">
        <f>IFERROR(SUMIFS(Issues!H:H, Issues!F:F, $A623, Issues!C:C, $B623, Issues!D:D, $C623, Issues!E:E, $D623), 0)</f>
        <v>0</v>
      </c>
      <c r="G623" s="82">
        <f>IFERROR(SUMIFS(Returns!H:H, Returns!F:F, $A623, Returns!C:C, $B623, Returns!D:D, $C623, Returns!E:E, $D623), 0)</f>
        <v>0</v>
      </c>
      <c r="H623" s="82">
        <f t="shared" si="1"/>
        <v>0</v>
      </c>
      <c r="I623" s="82">
        <f t="shared" si="2"/>
        <v>0</v>
      </c>
      <c r="J623" s="82">
        <f>IFERROR( SUMIFS('Stock In'!I:I,'Stock In'!B:B,$A623,'Stock In'!C:C,$B623,'Stock In'!D:D,$C623,'Stock In'!E:E,$D623) / SUMIFS('Stock In'!H:H,'Stock In'!B:B,$A623,'Stock In'!C:C,$B623,'Stock In'!D:D,$C623,'Stock In'!E:E,$D623), 0)</f>
        <v>0</v>
      </c>
      <c r="K623" s="82">
        <f t="shared" si="3"/>
        <v>0</v>
      </c>
    </row>
    <row r="624">
      <c r="A624" s="80"/>
      <c r="B624" s="80"/>
      <c r="C624" s="80"/>
      <c r="D624" s="80"/>
      <c r="E624" s="82">
        <f>IFERROR(SUMIFS('Stock In'!F:F,'Stock In'!B:B,$A624,'Stock In'!C:C,$B624,'Stock In'!D:D,$C624,'Stock In'!E:E,$D624),0)</f>
        <v>0</v>
      </c>
      <c r="F624" s="82">
        <f>IFERROR(SUMIFS(Issues!H:H, Issues!F:F, $A624, Issues!C:C, $B624, Issues!D:D, $C624, Issues!E:E, $D624), 0)</f>
        <v>0</v>
      </c>
      <c r="G624" s="82">
        <f>IFERROR(SUMIFS(Returns!H:H, Returns!F:F, $A624, Returns!C:C, $B624, Returns!D:D, $C624, Returns!E:E, $D624), 0)</f>
        <v>0</v>
      </c>
      <c r="H624" s="82">
        <f t="shared" si="1"/>
        <v>0</v>
      </c>
      <c r="I624" s="82">
        <f t="shared" si="2"/>
        <v>0</v>
      </c>
      <c r="J624" s="82">
        <f>IFERROR( SUMIFS('Stock In'!I:I,'Stock In'!B:B,$A624,'Stock In'!C:C,$B624,'Stock In'!D:D,$C624,'Stock In'!E:E,$D624) / SUMIFS('Stock In'!H:H,'Stock In'!B:B,$A624,'Stock In'!C:C,$B624,'Stock In'!D:D,$C624,'Stock In'!E:E,$D624), 0)</f>
        <v>0</v>
      </c>
      <c r="K624" s="82">
        <f t="shared" si="3"/>
        <v>0</v>
      </c>
    </row>
    <row r="625">
      <c r="A625" s="80"/>
      <c r="B625" s="80"/>
      <c r="C625" s="80"/>
      <c r="D625" s="80"/>
      <c r="E625" s="82">
        <f>IFERROR(SUMIFS('Stock In'!F:F,'Stock In'!B:B,$A625,'Stock In'!C:C,$B625,'Stock In'!D:D,$C625,'Stock In'!E:E,$D625),0)</f>
        <v>0</v>
      </c>
      <c r="F625" s="82">
        <f>IFERROR(SUMIFS(Issues!H:H, Issues!F:F, $A625, Issues!C:C, $B625, Issues!D:D, $C625, Issues!E:E, $D625), 0)</f>
        <v>0</v>
      </c>
      <c r="G625" s="82">
        <f>IFERROR(SUMIFS(Returns!H:H, Returns!F:F, $A625, Returns!C:C, $B625, Returns!D:D, $C625, Returns!E:E, $D625), 0)</f>
        <v>0</v>
      </c>
      <c r="H625" s="82">
        <f t="shared" si="1"/>
        <v>0</v>
      </c>
      <c r="I625" s="82">
        <f t="shared" si="2"/>
        <v>0</v>
      </c>
      <c r="J625" s="82">
        <f>IFERROR( SUMIFS('Stock In'!I:I,'Stock In'!B:B,$A625,'Stock In'!C:C,$B625,'Stock In'!D:D,$C625,'Stock In'!E:E,$D625) / SUMIFS('Stock In'!H:H,'Stock In'!B:B,$A625,'Stock In'!C:C,$B625,'Stock In'!D:D,$C625,'Stock In'!E:E,$D625), 0)</f>
        <v>0</v>
      </c>
      <c r="K625" s="82">
        <f t="shared" si="3"/>
        <v>0</v>
      </c>
    </row>
    <row r="626">
      <c r="A626" s="80"/>
      <c r="B626" s="80"/>
      <c r="C626" s="80"/>
      <c r="D626" s="80"/>
      <c r="E626" s="82">
        <f>IFERROR(SUMIFS('Stock In'!F:F,'Stock In'!B:B,$A626,'Stock In'!C:C,$B626,'Stock In'!D:D,$C626,'Stock In'!E:E,$D626),0)</f>
        <v>0</v>
      </c>
      <c r="F626" s="82">
        <f>IFERROR(SUMIFS(Issues!H:H, Issues!F:F, $A626, Issues!C:C, $B626, Issues!D:D, $C626, Issues!E:E, $D626), 0)</f>
        <v>0</v>
      </c>
      <c r="G626" s="82">
        <f>IFERROR(SUMIFS(Returns!H:H, Returns!F:F, $A626, Returns!C:C, $B626, Returns!D:D, $C626, Returns!E:E, $D626), 0)</f>
        <v>0</v>
      </c>
      <c r="H626" s="82">
        <f t="shared" si="1"/>
        <v>0</v>
      </c>
      <c r="I626" s="82">
        <f t="shared" si="2"/>
        <v>0</v>
      </c>
      <c r="J626" s="82">
        <f>IFERROR( SUMIFS('Stock In'!I:I,'Stock In'!B:B,$A626,'Stock In'!C:C,$B626,'Stock In'!D:D,$C626,'Stock In'!E:E,$D626) / SUMIFS('Stock In'!H:H,'Stock In'!B:B,$A626,'Stock In'!C:C,$B626,'Stock In'!D:D,$C626,'Stock In'!E:E,$D626), 0)</f>
        <v>0</v>
      </c>
      <c r="K626" s="82">
        <f t="shared" si="3"/>
        <v>0</v>
      </c>
    </row>
    <row r="627">
      <c r="A627" s="80"/>
      <c r="B627" s="80"/>
      <c r="C627" s="80"/>
      <c r="D627" s="80"/>
      <c r="E627" s="82">
        <f>IFERROR(SUMIFS('Stock In'!F:F,'Stock In'!B:B,$A627,'Stock In'!C:C,$B627,'Stock In'!D:D,$C627,'Stock In'!E:E,$D627),0)</f>
        <v>0</v>
      </c>
      <c r="F627" s="82">
        <f>IFERROR(SUMIFS(Issues!H:H, Issues!F:F, $A627, Issues!C:C, $B627, Issues!D:D, $C627, Issues!E:E, $D627), 0)</f>
        <v>0</v>
      </c>
      <c r="G627" s="82">
        <f>IFERROR(SUMIFS(Returns!H:H, Returns!F:F, $A627, Returns!C:C, $B627, Returns!D:D, $C627, Returns!E:E, $D627), 0)</f>
        <v>0</v>
      </c>
      <c r="H627" s="82">
        <f t="shared" si="1"/>
        <v>0</v>
      </c>
      <c r="I627" s="82">
        <f t="shared" si="2"/>
        <v>0</v>
      </c>
      <c r="J627" s="82">
        <f>IFERROR( SUMIFS('Stock In'!I:I,'Stock In'!B:B,$A627,'Stock In'!C:C,$B627,'Stock In'!D:D,$C627,'Stock In'!E:E,$D627) / SUMIFS('Stock In'!H:H,'Stock In'!B:B,$A627,'Stock In'!C:C,$B627,'Stock In'!D:D,$C627,'Stock In'!E:E,$D627), 0)</f>
        <v>0</v>
      </c>
      <c r="K627" s="82">
        <f t="shared" si="3"/>
        <v>0</v>
      </c>
    </row>
    <row r="628">
      <c r="A628" s="80"/>
      <c r="B628" s="80"/>
      <c r="C628" s="80"/>
      <c r="D628" s="80"/>
      <c r="E628" s="82">
        <f>IFERROR(SUMIFS('Stock In'!F:F,'Stock In'!B:B,$A628,'Stock In'!C:C,$B628,'Stock In'!D:D,$C628,'Stock In'!E:E,$D628),0)</f>
        <v>0</v>
      </c>
      <c r="F628" s="82">
        <f>IFERROR(SUMIFS(Issues!H:H, Issues!F:F, $A628, Issues!C:C, $B628, Issues!D:D, $C628, Issues!E:E, $D628), 0)</f>
        <v>0</v>
      </c>
      <c r="G628" s="82">
        <f>IFERROR(SUMIFS(Returns!H:H, Returns!F:F, $A628, Returns!C:C, $B628, Returns!D:D, $C628, Returns!E:E, $D628), 0)</f>
        <v>0</v>
      </c>
      <c r="H628" s="82">
        <f t="shared" si="1"/>
        <v>0</v>
      </c>
      <c r="I628" s="82">
        <f t="shared" si="2"/>
        <v>0</v>
      </c>
      <c r="J628" s="82">
        <f>IFERROR( SUMIFS('Stock In'!I:I,'Stock In'!B:B,$A628,'Stock In'!C:C,$B628,'Stock In'!D:D,$C628,'Stock In'!E:E,$D628) / SUMIFS('Stock In'!H:H,'Stock In'!B:B,$A628,'Stock In'!C:C,$B628,'Stock In'!D:D,$C628,'Stock In'!E:E,$D628), 0)</f>
        <v>0</v>
      </c>
      <c r="K628" s="82">
        <f t="shared" si="3"/>
        <v>0</v>
      </c>
    </row>
    <row r="629">
      <c r="A629" s="80"/>
      <c r="B629" s="80"/>
      <c r="C629" s="80"/>
      <c r="D629" s="80"/>
      <c r="E629" s="82">
        <f>IFERROR(SUMIFS('Stock In'!F:F,'Stock In'!B:B,$A629,'Stock In'!C:C,$B629,'Stock In'!D:D,$C629,'Stock In'!E:E,$D629),0)</f>
        <v>0</v>
      </c>
      <c r="F629" s="82">
        <f>IFERROR(SUMIFS(Issues!H:H, Issues!F:F, $A629, Issues!C:C, $B629, Issues!D:D, $C629, Issues!E:E, $D629), 0)</f>
        <v>0</v>
      </c>
      <c r="G629" s="82">
        <f>IFERROR(SUMIFS(Returns!H:H, Returns!F:F, $A629, Returns!C:C, $B629, Returns!D:D, $C629, Returns!E:E, $D629), 0)</f>
        <v>0</v>
      </c>
      <c r="H629" s="82">
        <f t="shared" si="1"/>
        <v>0</v>
      </c>
      <c r="I629" s="82">
        <f t="shared" si="2"/>
        <v>0</v>
      </c>
      <c r="J629" s="82">
        <f>IFERROR( SUMIFS('Stock In'!I:I,'Stock In'!B:B,$A629,'Stock In'!C:C,$B629,'Stock In'!D:D,$C629,'Stock In'!E:E,$D629) / SUMIFS('Stock In'!H:H,'Stock In'!B:B,$A629,'Stock In'!C:C,$B629,'Stock In'!D:D,$C629,'Stock In'!E:E,$D629), 0)</f>
        <v>0</v>
      </c>
      <c r="K629" s="82">
        <f t="shared" si="3"/>
        <v>0</v>
      </c>
    </row>
    <row r="630">
      <c r="A630" s="80"/>
      <c r="B630" s="80"/>
      <c r="C630" s="80"/>
      <c r="D630" s="80"/>
      <c r="E630" s="82">
        <f>IFERROR(SUMIFS('Stock In'!F:F,'Stock In'!B:B,$A630,'Stock In'!C:C,$B630,'Stock In'!D:D,$C630,'Stock In'!E:E,$D630),0)</f>
        <v>0</v>
      </c>
      <c r="F630" s="82">
        <f>IFERROR(SUMIFS(Issues!H:H, Issues!F:F, $A630, Issues!C:C, $B630, Issues!D:D, $C630, Issues!E:E, $D630), 0)</f>
        <v>0</v>
      </c>
      <c r="G630" s="82">
        <f>IFERROR(SUMIFS(Returns!H:H, Returns!F:F, $A630, Returns!C:C, $B630, Returns!D:D, $C630, Returns!E:E, $D630), 0)</f>
        <v>0</v>
      </c>
      <c r="H630" s="82">
        <f t="shared" si="1"/>
        <v>0</v>
      </c>
      <c r="I630" s="82">
        <f t="shared" si="2"/>
        <v>0</v>
      </c>
      <c r="J630" s="82">
        <f>IFERROR( SUMIFS('Stock In'!I:I,'Stock In'!B:B,$A630,'Stock In'!C:C,$B630,'Stock In'!D:D,$C630,'Stock In'!E:E,$D630) / SUMIFS('Stock In'!H:H,'Stock In'!B:B,$A630,'Stock In'!C:C,$B630,'Stock In'!D:D,$C630,'Stock In'!E:E,$D630), 0)</f>
        <v>0</v>
      </c>
      <c r="K630" s="82">
        <f t="shared" si="3"/>
        <v>0</v>
      </c>
    </row>
    <row r="631">
      <c r="A631" s="80"/>
      <c r="B631" s="80"/>
      <c r="C631" s="80"/>
      <c r="D631" s="80"/>
      <c r="E631" s="82">
        <f>IFERROR(SUMIFS('Stock In'!F:F,'Stock In'!B:B,$A631,'Stock In'!C:C,$B631,'Stock In'!D:D,$C631,'Stock In'!E:E,$D631),0)</f>
        <v>0</v>
      </c>
      <c r="F631" s="82">
        <f>IFERROR(SUMIFS(Issues!H:H, Issues!F:F, $A631, Issues!C:C, $B631, Issues!D:D, $C631, Issues!E:E, $D631), 0)</f>
        <v>0</v>
      </c>
      <c r="G631" s="82">
        <f>IFERROR(SUMIFS(Returns!H:H, Returns!F:F, $A631, Returns!C:C, $B631, Returns!D:D, $C631, Returns!E:E, $D631), 0)</f>
        <v>0</v>
      </c>
      <c r="H631" s="82">
        <f t="shared" si="1"/>
        <v>0</v>
      </c>
      <c r="I631" s="82">
        <f t="shared" si="2"/>
        <v>0</v>
      </c>
      <c r="J631" s="82">
        <f>IFERROR( SUMIFS('Stock In'!I:I,'Stock In'!B:B,$A631,'Stock In'!C:C,$B631,'Stock In'!D:D,$C631,'Stock In'!E:E,$D631) / SUMIFS('Stock In'!H:H,'Stock In'!B:B,$A631,'Stock In'!C:C,$B631,'Stock In'!D:D,$C631,'Stock In'!E:E,$D631), 0)</f>
        <v>0</v>
      </c>
      <c r="K631" s="82">
        <f t="shared" si="3"/>
        <v>0</v>
      </c>
    </row>
    <row r="632">
      <c r="A632" s="80"/>
      <c r="B632" s="80"/>
      <c r="C632" s="80"/>
      <c r="D632" s="80"/>
      <c r="E632" s="82">
        <f>IFERROR(SUMIFS('Stock In'!F:F,'Stock In'!B:B,$A632,'Stock In'!C:C,$B632,'Stock In'!D:D,$C632,'Stock In'!E:E,$D632),0)</f>
        <v>0</v>
      </c>
      <c r="F632" s="82">
        <f>IFERROR(SUMIFS(Issues!H:H, Issues!F:F, $A632, Issues!C:C, $B632, Issues!D:D, $C632, Issues!E:E, $D632), 0)</f>
        <v>0</v>
      </c>
      <c r="G632" s="82">
        <f>IFERROR(SUMIFS(Returns!H:H, Returns!F:F, $A632, Returns!C:C, $B632, Returns!D:D, $C632, Returns!E:E, $D632), 0)</f>
        <v>0</v>
      </c>
      <c r="H632" s="82">
        <f t="shared" si="1"/>
        <v>0</v>
      </c>
      <c r="I632" s="82">
        <f t="shared" si="2"/>
        <v>0</v>
      </c>
      <c r="J632" s="82">
        <f>IFERROR( SUMIFS('Stock In'!I:I,'Stock In'!B:B,$A632,'Stock In'!C:C,$B632,'Stock In'!D:D,$C632,'Stock In'!E:E,$D632) / SUMIFS('Stock In'!H:H,'Stock In'!B:B,$A632,'Stock In'!C:C,$B632,'Stock In'!D:D,$C632,'Stock In'!E:E,$D632), 0)</f>
        <v>0</v>
      </c>
      <c r="K632" s="82">
        <f t="shared" si="3"/>
        <v>0</v>
      </c>
    </row>
    <row r="633">
      <c r="A633" s="80"/>
      <c r="B633" s="80"/>
      <c r="C633" s="80"/>
      <c r="D633" s="80"/>
      <c r="E633" s="82">
        <f>IFERROR(SUMIFS('Stock In'!F:F,'Stock In'!B:B,$A633,'Stock In'!C:C,$B633,'Stock In'!D:D,$C633,'Stock In'!E:E,$D633),0)</f>
        <v>0</v>
      </c>
      <c r="F633" s="82">
        <f>IFERROR(SUMIFS(Issues!H:H, Issues!F:F, $A633, Issues!C:C, $B633, Issues!D:D, $C633, Issues!E:E, $D633), 0)</f>
        <v>0</v>
      </c>
      <c r="G633" s="82">
        <f>IFERROR(SUMIFS(Returns!H:H, Returns!F:F, $A633, Returns!C:C, $B633, Returns!D:D, $C633, Returns!E:E, $D633), 0)</f>
        <v>0</v>
      </c>
      <c r="H633" s="82">
        <f t="shared" si="1"/>
        <v>0</v>
      </c>
      <c r="I633" s="82">
        <f t="shared" si="2"/>
        <v>0</v>
      </c>
      <c r="J633" s="82">
        <f>IFERROR( SUMIFS('Stock In'!I:I,'Stock In'!B:B,$A633,'Stock In'!C:C,$B633,'Stock In'!D:D,$C633,'Stock In'!E:E,$D633) / SUMIFS('Stock In'!H:H,'Stock In'!B:B,$A633,'Stock In'!C:C,$B633,'Stock In'!D:D,$C633,'Stock In'!E:E,$D633), 0)</f>
        <v>0</v>
      </c>
      <c r="K633" s="82">
        <f t="shared" si="3"/>
        <v>0</v>
      </c>
    </row>
    <row r="634">
      <c r="A634" s="80"/>
      <c r="B634" s="80"/>
      <c r="C634" s="80"/>
      <c r="D634" s="80"/>
      <c r="E634" s="82">
        <f>IFERROR(SUMIFS('Stock In'!F:F,'Stock In'!B:B,$A634,'Stock In'!C:C,$B634,'Stock In'!D:D,$C634,'Stock In'!E:E,$D634),0)</f>
        <v>0</v>
      </c>
      <c r="F634" s="82">
        <f>IFERROR(SUMIFS(Issues!H:H, Issues!F:F, $A634, Issues!C:C, $B634, Issues!D:D, $C634, Issues!E:E, $D634), 0)</f>
        <v>0</v>
      </c>
      <c r="G634" s="82">
        <f>IFERROR(SUMIFS(Returns!H:H, Returns!F:F, $A634, Returns!C:C, $B634, Returns!D:D, $C634, Returns!E:E, $D634), 0)</f>
        <v>0</v>
      </c>
      <c r="H634" s="82">
        <f t="shared" si="1"/>
        <v>0</v>
      </c>
      <c r="I634" s="82">
        <f t="shared" si="2"/>
        <v>0</v>
      </c>
      <c r="J634" s="82">
        <f>IFERROR( SUMIFS('Stock In'!I:I,'Stock In'!B:B,$A634,'Stock In'!C:C,$B634,'Stock In'!D:D,$C634,'Stock In'!E:E,$D634) / SUMIFS('Stock In'!H:H,'Stock In'!B:B,$A634,'Stock In'!C:C,$B634,'Stock In'!D:D,$C634,'Stock In'!E:E,$D634), 0)</f>
        <v>0</v>
      </c>
      <c r="K634" s="82">
        <f t="shared" si="3"/>
        <v>0</v>
      </c>
    </row>
    <row r="635">
      <c r="A635" s="80"/>
      <c r="B635" s="80"/>
      <c r="C635" s="80"/>
      <c r="D635" s="80"/>
      <c r="E635" s="82">
        <f>IFERROR(SUMIFS('Stock In'!F:F,'Stock In'!B:B,$A635,'Stock In'!C:C,$B635,'Stock In'!D:D,$C635,'Stock In'!E:E,$D635),0)</f>
        <v>0</v>
      </c>
      <c r="F635" s="82">
        <f>IFERROR(SUMIFS(Issues!H:H, Issues!F:F, $A635, Issues!C:C, $B635, Issues!D:D, $C635, Issues!E:E, $D635), 0)</f>
        <v>0</v>
      </c>
      <c r="G635" s="82">
        <f>IFERROR(SUMIFS(Returns!H:H, Returns!F:F, $A635, Returns!C:C, $B635, Returns!D:D, $C635, Returns!E:E, $D635), 0)</f>
        <v>0</v>
      </c>
      <c r="H635" s="82">
        <f t="shared" si="1"/>
        <v>0</v>
      </c>
      <c r="I635" s="82">
        <f t="shared" si="2"/>
        <v>0</v>
      </c>
      <c r="J635" s="82">
        <f>IFERROR( SUMIFS('Stock In'!I:I,'Stock In'!B:B,$A635,'Stock In'!C:C,$B635,'Stock In'!D:D,$C635,'Stock In'!E:E,$D635) / SUMIFS('Stock In'!H:H,'Stock In'!B:B,$A635,'Stock In'!C:C,$B635,'Stock In'!D:D,$C635,'Stock In'!E:E,$D635), 0)</f>
        <v>0</v>
      </c>
      <c r="K635" s="82">
        <f t="shared" si="3"/>
        <v>0</v>
      </c>
    </row>
    <row r="636">
      <c r="A636" s="80"/>
      <c r="B636" s="80"/>
      <c r="C636" s="80"/>
      <c r="D636" s="80"/>
      <c r="E636" s="82">
        <f>IFERROR(SUMIFS('Stock In'!F:F,'Stock In'!B:B,$A636,'Stock In'!C:C,$B636,'Stock In'!D:D,$C636,'Stock In'!E:E,$D636),0)</f>
        <v>0</v>
      </c>
      <c r="F636" s="82">
        <f>IFERROR(SUMIFS(Issues!H:H, Issues!F:F, $A636, Issues!C:C, $B636, Issues!D:D, $C636, Issues!E:E, $D636), 0)</f>
        <v>0</v>
      </c>
      <c r="G636" s="82">
        <f>IFERROR(SUMIFS(Returns!H:H, Returns!F:F, $A636, Returns!C:C, $B636, Returns!D:D, $C636, Returns!E:E, $D636), 0)</f>
        <v>0</v>
      </c>
      <c r="H636" s="82">
        <f t="shared" si="1"/>
        <v>0</v>
      </c>
      <c r="I636" s="82">
        <f t="shared" si="2"/>
        <v>0</v>
      </c>
      <c r="J636" s="82">
        <f>IFERROR( SUMIFS('Stock In'!I:I,'Stock In'!B:B,$A636,'Stock In'!C:C,$B636,'Stock In'!D:D,$C636,'Stock In'!E:E,$D636) / SUMIFS('Stock In'!H:H,'Stock In'!B:B,$A636,'Stock In'!C:C,$B636,'Stock In'!D:D,$C636,'Stock In'!E:E,$D636), 0)</f>
        <v>0</v>
      </c>
      <c r="K636" s="82">
        <f t="shared" si="3"/>
        <v>0</v>
      </c>
    </row>
    <row r="637">
      <c r="A637" s="80"/>
      <c r="B637" s="80"/>
      <c r="C637" s="80"/>
      <c r="D637" s="80"/>
      <c r="E637" s="82">
        <f>IFERROR(SUMIFS('Stock In'!F:F,'Stock In'!B:B,$A637,'Stock In'!C:C,$B637,'Stock In'!D:D,$C637,'Stock In'!E:E,$D637),0)</f>
        <v>0</v>
      </c>
      <c r="F637" s="82">
        <f>IFERROR(SUMIFS(Issues!H:H, Issues!F:F, $A637, Issues!C:C, $B637, Issues!D:D, $C637, Issues!E:E, $D637), 0)</f>
        <v>0</v>
      </c>
      <c r="G637" s="82">
        <f>IFERROR(SUMIFS(Returns!H:H, Returns!F:F, $A637, Returns!C:C, $B637, Returns!D:D, $C637, Returns!E:E, $D637), 0)</f>
        <v>0</v>
      </c>
      <c r="H637" s="82">
        <f t="shared" si="1"/>
        <v>0</v>
      </c>
      <c r="I637" s="82">
        <f t="shared" si="2"/>
        <v>0</v>
      </c>
      <c r="J637" s="82">
        <f>IFERROR( SUMIFS('Stock In'!I:I,'Stock In'!B:B,$A637,'Stock In'!C:C,$B637,'Stock In'!D:D,$C637,'Stock In'!E:E,$D637) / SUMIFS('Stock In'!H:H,'Stock In'!B:B,$A637,'Stock In'!C:C,$B637,'Stock In'!D:D,$C637,'Stock In'!E:E,$D637), 0)</f>
        <v>0</v>
      </c>
      <c r="K637" s="82">
        <f t="shared" si="3"/>
        <v>0</v>
      </c>
    </row>
    <row r="638">
      <c r="A638" s="80"/>
      <c r="B638" s="80"/>
      <c r="C638" s="80"/>
      <c r="D638" s="80"/>
      <c r="E638" s="82">
        <f>IFERROR(SUMIFS('Stock In'!F:F,'Stock In'!B:B,$A638,'Stock In'!C:C,$B638,'Stock In'!D:D,$C638,'Stock In'!E:E,$D638),0)</f>
        <v>0</v>
      </c>
      <c r="F638" s="82">
        <f>IFERROR(SUMIFS(Issues!H:H, Issues!F:F, $A638, Issues!C:C, $B638, Issues!D:D, $C638, Issues!E:E, $D638), 0)</f>
        <v>0</v>
      </c>
      <c r="G638" s="82">
        <f>IFERROR(SUMIFS(Returns!H:H, Returns!F:F, $A638, Returns!C:C, $B638, Returns!D:D, $C638, Returns!E:E, $D638), 0)</f>
        <v>0</v>
      </c>
      <c r="H638" s="82">
        <f t="shared" si="1"/>
        <v>0</v>
      </c>
      <c r="I638" s="82">
        <f t="shared" si="2"/>
        <v>0</v>
      </c>
      <c r="J638" s="82">
        <f>IFERROR( SUMIFS('Stock In'!I:I,'Stock In'!B:B,$A638,'Stock In'!C:C,$B638,'Stock In'!D:D,$C638,'Stock In'!E:E,$D638) / SUMIFS('Stock In'!H:H,'Stock In'!B:B,$A638,'Stock In'!C:C,$B638,'Stock In'!D:D,$C638,'Stock In'!E:E,$D638), 0)</f>
        <v>0</v>
      </c>
      <c r="K638" s="82">
        <f t="shared" si="3"/>
        <v>0</v>
      </c>
    </row>
    <row r="639">
      <c r="A639" s="80"/>
      <c r="B639" s="80"/>
      <c r="C639" s="80"/>
      <c r="D639" s="80"/>
      <c r="E639" s="82">
        <f>IFERROR(SUMIFS('Stock In'!F:F,'Stock In'!B:B,$A639,'Stock In'!C:C,$B639,'Stock In'!D:D,$C639,'Stock In'!E:E,$D639),0)</f>
        <v>0</v>
      </c>
      <c r="F639" s="82">
        <f>IFERROR(SUMIFS(Issues!H:H, Issues!F:F, $A639, Issues!C:C, $B639, Issues!D:D, $C639, Issues!E:E, $D639), 0)</f>
        <v>0</v>
      </c>
      <c r="G639" s="82">
        <f>IFERROR(SUMIFS(Returns!H:H, Returns!F:F, $A639, Returns!C:C, $B639, Returns!D:D, $C639, Returns!E:E, $D639), 0)</f>
        <v>0</v>
      </c>
      <c r="H639" s="82">
        <f t="shared" si="1"/>
        <v>0</v>
      </c>
      <c r="I639" s="82">
        <f t="shared" si="2"/>
        <v>0</v>
      </c>
      <c r="J639" s="82">
        <f>IFERROR( SUMIFS('Stock In'!I:I,'Stock In'!B:B,$A639,'Stock In'!C:C,$B639,'Stock In'!D:D,$C639,'Stock In'!E:E,$D639) / SUMIFS('Stock In'!H:H,'Stock In'!B:B,$A639,'Stock In'!C:C,$B639,'Stock In'!D:D,$C639,'Stock In'!E:E,$D639), 0)</f>
        <v>0</v>
      </c>
      <c r="K639" s="82">
        <f t="shared" si="3"/>
        <v>0</v>
      </c>
    </row>
    <row r="640">
      <c r="A640" s="80"/>
      <c r="B640" s="80"/>
      <c r="C640" s="80"/>
      <c r="D640" s="80"/>
      <c r="E640" s="82">
        <f>IFERROR(SUMIFS('Stock In'!F:F,'Stock In'!B:B,$A640,'Stock In'!C:C,$B640,'Stock In'!D:D,$C640,'Stock In'!E:E,$D640),0)</f>
        <v>0</v>
      </c>
      <c r="F640" s="82">
        <f>IFERROR(SUMIFS(Issues!H:H, Issues!F:F, $A640, Issues!C:C, $B640, Issues!D:D, $C640, Issues!E:E, $D640), 0)</f>
        <v>0</v>
      </c>
      <c r="G640" s="82">
        <f>IFERROR(SUMIFS(Returns!H:H, Returns!F:F, $A640, Returns!C:C, $B640, Returns!D:D, $C640, Returns!E:E, $D640), 0)</f>
        <v>0</v>
      </c>
      <c r="H640" s="82">
        <f t="shared" si="1"/>
        <v>0</v>
      </c>
      <c r="I640" s="82">
        <f t="shared" si="2"/>
        <v>0</v>
      </c>
      <c r="J640" s="82">
        <f>IFERROR( SUMIFS('Stock In'!I:I,'Stock In'!B:B,$A640,'Stock In'!C:C,$B640,'Stock In'!D:D,$C640,'Stock In'!E:E,$D640) / SUMIFS('Stock In'!H:H,'Stock In'!B:B,$A640,'Stock In'!C:C,$B640,'Stock In'!D:D,$C640,'Stock In'!E:E,$D640), 0)</f>
        <v>0</v>
      </c>
      <c r="K640" s="82">
        <f t="shared" si="3"/>
        <v>0</v>
      </c>
    </row>
    <row r="641">
      <c r="A641" s="80"/>
      <c r="B641" s="80"/>
      <c r="C641" s="80"/>
      <c r="D641" s="80"/>
      <c r="E641" s="82">
        <f>IFERROR(SUMIFS('Stock In'!F:F,'Stock In'!B:B,$A641,'Stock In'!C:C,$B641,'Stock In'!D:D,$C641,'Stock In'!E:E,$D641),0)</f>
        <v>0</v>
      </c>
      <c r="F641" s="82">
        <f>IFERROR(SUMIFS(Issues!H:H, Issues!F:F, $A641, Issues!C:C, $B641, Issues!D:D, $C641, Issues!E:E, $D641), 0)</f>
        <v>0</v>
      </c>
      <c r="G641" s="82">
        <f>IFERROR(SUMIFS(Returns!H:H, Returns!F:F, $A641, Returns!C:C, $B641, Returns!D:D, $C641, Returns!E:E, $D641), 0)</f>
        <v>0</v>
      </c>
      <c r="H641" s="82">
        <f t="shared" si="1"/>
        <v>0</v>
      </c>
      <c r="I641" s="82">
        <f t="shared" si="2"/>
        <v>0</v>
      </c>
      <c r="J641" s="82">
        <f>IFERROR( SUMIFS('Stock In'!I:I,'Stock In'!B:B,$A641,'Stock In'!C:C,$B641,'Stock In'!D:D,$C641,'Stock In'!E:E,$D641) / SUMIFS('Stock In'!H:H,'Stock In'!B:B,$A641,'Stock In'!C:C,$B641,'Stock In'!D:D,$C641,'Stock In'!E:E,$D641), 0)</f>
        <v>0</v>
      </c>
      <c r="K641" s="82">
        <f t="shared" si="3"/>
        <v>0</v>
      </c>
    </row>
    <row r="642">
      <c r="A642" s="80"/>
      <c r="B642" s="80"/>
      <c r="C642" s="80"/>
      <c r="D642" s="80"/>
      <c r="E642" s="82">
        <f>IFERROR(SUMIFS('Stock In'!F:F,'Stock In'!B:B,$A642,'Stock In'!C:C,$B642,'Stock In'!D:D,$C642,'Stock In'!E:E,$D642),0)</f>
        <v>0</v>
      </c>
      <c r="F642" s="82">
        <f>IFERROR(SUMIFS(Issues!H:H, Issues!F:F, $A642, Issues!C:C, $B642, Issues!D:D, $C642, Issues!E:E, $D642), 0)</f>
        <v>0</v>
      </c>
      <c r="G642" s="82">
        <f>IFERROR(SUMIFS(Returns!H:H, Returns!F:F, $A642, Returns!C:C, $B642, Returns!D:D, $C642, Returns!E:E, $D642), 0)</f>
        <v>0</v>
      </c>
      <c r="H642" s="82">
        <f t="shared" si="1"/>
        <v>0</v>
      </c>
      <c r="I642" s="82">
        <f t="shared" si="2"/>
        <v>0</v>
      </c>
      <c r="J642" s="82">
        <f>IFERROR( SUMIFS('Stock In'!I:I,'Stock In'!B:B,$A642,'Stock In'!C:C,$B642,'Stock In'!D:D,$C642,'Stock In'!E:E,$D642) / SUMIFS('Stock In'!H:H,'Stock In'!B:B,$A642,'Stock In'!C:C,$B642,'Stock In'!D:D,$C642,'Stock In'!E:E,$D642), 0)</f>
        <v>0</v>
      </c>
      <c r="K642" s="82">
        <f t="shared" si="3"/>
        <v>0</v>
      </c>
    </row>
    <row r="643">
      <c r="A643" s="80"/>
      <c r="B643" s="80"/>
      <c r="C643" s="80"/>
      <c r="D643" s="80"/>
      <c r="E643" s="82">
        <f>IFERROR(SUMIFS('Stock In'!F:F,'Stock In'!B:B,$A643,'Stock In'!C:C,$B643,'Stock In'!D:D,$C643,'Stock In'!E:E,$D643),0)</f>
        <v>0</v>
      </c>
      <c r="F643" s="82">
        <f>IFERROR(SUMIFS(Issues!H:H, Issues!F:F, $A643, Issues!C:C, $B643, Issues!D:D, $C643, Issues!E:E, $D643), 0)</f>
        <v>0</v>
      </c>
      <c r="G643" s="82">
        <f>IFERROR(SUMIFS(Returns!H:H, Returns!F:F, $A643, Returns!C:C, $B643, Returns!D:D, $C643, Returns!E:E, $D643), 0)</f>
        <v>0</v>
      </c>
      <c r="H643" s="82">
        <f t="shared" si="1"/>
        <v>0</v>
      </c>
      <c r="I643" s="82">
        <f t="shared" si="2"/>
        <v>0</v>
      </c>
      <c r="J643" s="82">
        <f>IFERROR( SUMIFS('Stock In'!I:I,'Stock In'!B:B,$A643,'Stock In'!C:C,$B643,'Stock In'!D:D,$C643,'Stock In'!E:E,$D643) / SUMIFS('Stock In'!H:H,'Stock In'!B:B,$A643,'Stock In'!C:C,$B643,'Stock In'!D:D,$C643,'Stock In'!E:E,$D643), 0)</f>
        <v>0</v>
      </c>
      <c r="K643" s="82">
        <f t="shared" si="3"/>
        <v>0</v>
      </c>
    </row>
    <row r="644">
      <c r="A644" s="80"/>
      <c r="B644" s="80"/>
      <c r="C644" s="80"/>
      <c r="D644" s="80"/>
      <c r="E644" s="82">
        <f>IFERROR(SUMIFS('Stock In'!F:F,'Stock In'!B:B,$A644,'Stock In'!C:C,$B644,'Stock In'!D:D,$C644,'Stock In'!E:E,$D644),0)</f>
        <v>0</v>
      </c>
      <c r="F644" s="82">
        <f>IFERROR(SUMIFS(Issues!H:H, Issues!F:F, $A644, Issues!C:C, $B644, Issues!D:D, $C644, Issues!E:E, $D644), 0)</f>
        <v>0</v>
      </c>
      <c r="G644" s="82">
        <f>IFERROR(SUMIFS(Returns!H:H, Returns!F:F, $A644, Returns!C:C, $B644, Returns!D:D, $C644, Returns!E:E, $D644), 0)</f>
        <v>0</v>
      </c>
      <c r="H644" s="82">
        <f t="shared" si="1"/>
        <v>0</v>
      </c>
      <c r="I644" s="82">
        <f t="shared" si="2"/>
        <v>0</v>
      </c>
      <c r="J644" s="82">
        <f>IFERROR( SUMIFS('Stock In'!I:I,'Stock In'!B:B,$A644,'Stock In'!C:C,$B644,'Stock In'!D:D,$C644,'Stock In'!E:E,$D644) / SUMIFS('Stock In'!H:H,'Stock In'!B:B,$A644,'Stock In'!C:C,$B644,'Stock In'!D:D,$C644,'Stock In'!E:E,$D644), 0)</f>
        <v>0</v>
      </c>
      <c r="K644" s="82">
        <f t="shared" si="3"/>
        <v>0</v>
      </c>
    </row>
    <row r="645">
      <c r="A645" s="80"/>
      <c r="B645" s="80"/>
      <c r="C645" s="80"/>
      <c r="D645" s="80"/>
      <c r="E645" s="82">
        <f>IFERROR(SUMIFS('Stock In'!F:F,'Stock In'!B:B,$A645,'Stock In'!C:C,$B645,'Stock In'!D:D,$C645,'Stock In'!E:E,$D645),0)</f>
        <v>0</v>
      </c>
      <c r="F645" s="82">
        <f>IFERROR(SUMIFS(Issues!H:H, Issues!F:F, $A645, Issues!C:C, $B645, Issues!D:D, $C645, Issues!E:E, $D645), 0)</f>
        <v>0</v>
      </c>
      <c r="G645" s="82">
        <f>IFERROR(SUMIFS(Returns!H:H, Returns!F:F, $A645, Returns!C:C, $B645, Returns!D:D, $C645, Returns!E:E, $D645), 0)</f>
        <v>0</v>
      </c>
      <c r="H645" s="82">
        <f t="shared" si="1"/>
        <v>0</v>
      </c>
      <c r="I645" s="82">
        <f t="shared" si="2"/>
        <v>0</v>
      </c>
      <c r="J645" s="82">
        <f>IFERROR( SUMIFS('Stock In'!I:I,'Stock In'!B:B,$A645,'Stock In'!C:C,$B645,'Stock In'!D:D,$C645,'Stock In'!E:E,$D645) / SUMIFS('Stock In'!H:H,'Stock In'!B:B,$A645,'Stock In'!C:C,$B645,'Stock In'!D:D,$C645,'Stock In'!E:E,$D645), 0)</f>
        <v>0</v>
      </c>
      <c r="K645" s="82">
        <f t="shared" si="3"/>
        <v>0</v>
      </c>
    </row>
    <row r="646">
      <c r="A646" s="80"/>
      <c r="B646" s="80"/>
      <c r="C646" s="80"/>
      <c r="D646" s="80"/>
      <c r="E646" s="82">
        <f>IFERROR(SUMIFS('Stock In'!F:F,'Stock In'!B:B,$A646,'Stock In'!C:C,$B646,'Stock In'!D:D,$C646,'Stock In'!E:E,$D646),0)</f>
        <v>0</v>
      </c>
      <c r="F646" s="82">
        <f>IFERROR(SUMIFS(Issues!H:H, Issues!F:F, $A646, Issues!C:C, $B646, Issues!D:D, $C646, Issues!E:E, $D646), 0)</f>
        <v>0</v>
      </c>
      <c r="G646" s="82">
        <f>IFERROR(SUMIFS(Returns!H:H, Returns!F:F, $A646, Returns!C:C, $B646, Returns!D:D, $C646, Returns!E:E, $D646), 0)</f>
        <v>0</v>
      </c>
      <c r="H646" s="82">
        <f t="shared" si="1"/>
        <v>0</v>
      </c>
      <c r="I646" s="82">
        <f t="shared" si="2"/>
        <v>0</v>
      </c>
      <c r="J646" s="82">
        <f>IFERROR( SUMIFS('Stock In'!I:I,'Stock In'!B:B,$A646,'Stock In'!C:C,$B646,'Stock In'!D:D,$C646,'Stock In'!E:E,$D646) / SUMIFS('Stock In'!H:H,'Stock In'!B:B,$A646,'Stock In'!C:C,$B646,'Stock In'!D:D,$C646,'Stock In'!E:E,$D646), 0)</f>
        <v>0</v>
      </c>
      <c r="K646" s="82">
        <f t="shared" si="3"/>
        <v>0</v>
      </c>
    </row>
    <row r="647">
      <c r="A647" s="80"/>
      <c r="B647" s="80"/>
      <c r="C647" s="80"/>
      <c r="D647" s="80"/>
      <c r="E647" s="82">
        <f>IFERROR(SUMIFS('Stock In'!F:F,'Stock In'!B:B,$A647,'Stock In'!C:C,$B647,'Stock In'!D:D,$C647,'Stock In'!E:E,$D647),0)</f>
        <v>0</v>
      </c>
      <c r="F647" s="82">
        <f>IFERROR(SUMIFS(Issues!H:H, Issues!F:F, $A647, Issues!C:C, $B647, Issues!D:D, $C647, Issues!E:E, $D647), 0)</f>
        <v>0</v>
      </c>
      <c r="G647" s="82">
        <f>IFERROR(SUMIFS(Returns!H:H, Returns!F:F, $A647, Returns!C:C, $B647, Returns!D:D, $C647, Returns!E:E, $D647), 0)</f>
        <v>0</v>
      </c>
      <c r="H647" s="82">
        <f t="shared" si="1"/>
        <v>0</v>
      </c>
      <c r="I647" s="82">
        <f t="shared" si="2"/>
        <v>0</v>
      </c>
      <c r="J647" s="82">
        <f>IFERROR( SUMIFS('Stock In'!I:I,'Stock In'!B:B,$A647,'Stock In'!C:C,$B647,'Stock In'!D:D,$C647,'Stock In'!E:E,$D647) / SUMIFS('Stock In'!H:H,'Stock In'!B:B,$A647,'Stock In'!C:C,$B647,'Stock In'!D:D,$C647,'Stock In'!E:E,$D647), 0)</f>
        <v>0</v>
      </c>
      <c r="K647" s="82">
        <f t="shared" si="3"/>
        <v>0</v>
      </c>
    </row>
    <row r="648">
      <c r="A648" s="80"/>
      <c r="B648" s="80"/>
      <c r="C648" s="80"/>
      <c r="D648" s="80"/>
      <c r="E648" s="82">
        <f>IFERROR(SUMIFS('Stock In'!F:F,'Stock In'!B:B,$A648,'Stock In'!C:C,$B648,'Stock In'!D:D,$C648,'Stock In'!E:E,$D648),0)</f>
        <v>0</v>
      </c>
      <c r="F648" s="82">
        <f>IFERROR(SUMIFS(Issues!H:H, Issues!F:F, $A648, Issues!C:C, $B648, Issues!D:D, $C648, Issues!E:E, $D648), 0)</f>
        <v>0</v>
      </c>
      <c r="G648" s="82">
        <f>IFERROR(SUMIFS(Returns!H:H, Returns!F:F, $A648, Returns!C:C, $B648, Returns!D:D, $C648, Returns!E:E, $D648), 0)</f>
        <v>0</v>
      </c>
      <c r="H648" s="82">
        <f t="shared" si="1"/>
        <v>0</v>
      </c>
      <c r="I648" s="82">
        <f t="shared" si="2"/>
        <v>0</v>
      </c>
      <c r="J648" s="82">
        <f>IFERROR( SUMIFS('Stock In'!I:I,'Stock In'!B:B,$A648,'Stock In'!C:C,$B648,'Stock In'!D:D,$C648,'Stock In'!E:E,$D648) / SUMIFS('Stock In'!H:H,'Stock In'!B:B,$A648,'Stock In'!C:C,$B648,'Stock In'!D:D,$C648,'Stock In'!E:E,$D648), 0)</f>
        <v>0</v>
      </c>
      <c r="K648" s="82">
        <f t="shared" si="3"/>
        <v>0</v>
      </c>
    </row>
    <row r="649">
      <c r="A649" s="80"/>
      <c r="B649" s="80"/>
      <c r="C649" s="80"/>
      <c r="D649" s="80"/>
      <c r="E649" s="82">
        <f>IFERROR(SUMIFS('Stock In'!F:F,'Stock In'!B:B,$A649,'Stock In'!C:C,$B649,'Stock In'!D:D,$C649,'Stock In'!E:E,$D649),0)</f>
        <v>0</v>
      </c>
      <c r="F649" s="82">
        <f>IFERROR(SUMIFS(Issues!H:H, Issues!F:F, $A649, Issues!C:C, $B649, Issues!D:D, $C649, Issues!E:E, $D649), 0)</f>
        <v>0</v>
      </c>
      <c r="G649" s="82">
        <f>IFERROR(SUMIFS(Returns!H:H, Returns!F:F, $A649, Returns!C:C, $B649, Returns!D:D, $C649, Returns!E:E, $D649), 0)</f>
        <v>0</v>
      </c>
      <c r="H649" s="82">
        <f t="shared" si="1"/>
        <v>0</v>
      </c>
      <c r="I649" s="82">
        <f t="shared" si="2"/>
        <v>0</v>
      </c>
      <c r="J649" s="82">
        <f>IFERROR( SUMIFS('Stock In'!I:I,'Stock In'!B:B,$A649,'Stock In'!C:C,$B649,'Stock In'!D:D,$C649,'Stock In'!E:E,$D649) / SUMIFS('Stock In'!H:H,'Stock In'!B:B,$A649,'Stock In'!C:C,$B649,'Stock In'!D:D,$C649,'Stock In'!E:E,$D649), 0)</f>
        <v>0</v>
      </c>
      <c r="K649" s="82">
        <f t="shared" si="3"/>
        <v>0</v>
      </c>
    </row>
    <row r="650">
      <c r="A650" s="80"/>
      <c r="B650" s="80"/>
      <c r="C650" s="80"/>
      <c r="D650" s="80"/>
      <c r="E650" s="82">
        <f>IFERROR(SUMIFS('Stock In'!F:F,'Stock In'!B:B,$A650,'Stock In'!C:C,$B650,'Stock In'!D:D,$C650,'Stock In'!E:E,$D650),0)</f>
        <v>0</v>
      </c>
      <c r="F650" s="82">
        <f>IFERROR(SUMIFS(Issues!H:H, Issues!F:F, $A650, Issues!C:C, $B650, Issues!D:D, $C650, Issues!E:E, $D650), 0)</f>
        <v>0</v>
      </c>
      <c r="G650" s="82">
        <f>IFERROR(SUMIFS(Returns!H:H, Returns!F:F, $A650, Returns!C:C, $B650, Returns!D:D, $C650, Returns!E:E, $D650), 0)</f>
        <v>0</v>
      </c>
      <c r="H650" s="82">
        <f t="shared" si="1"/>
        <v>0</v>
      </c>
      <c r="I650" s="82">
        <f t="shared" si="2"/>
        <v>0</v>
      </c>
      <c r="J650" s="82">
        <f>IFERROR( SUMIFS('Stock In'!I:I,'Stock In'!B:B,$A650,'Stock In'!C:C,$B650,'Stock In'!D:D,$C650,'Stock In'!E:E,$D650) / SUMIFS('Stock In'!H:H,'Stock In'!B:B,$A650,'Stock In'!C:C,$B650,'Stock In'!D:D,$C650,'Stock In'!E:E,$D650), 0)</f>
        <v>0</v>
      </c>
      <c r="K650" s="82">
        <f t="shared" si="3"/>
        <v>0</v>
      </c>
    </row>
    <row r="651">
      <c r="A651" s="80"/>
      <c r="B651" s="80"/>
      <c r="C651" s="80"/>
      <c r="D651" s="80"/>
      <c r="E651" s="82">
        <f>IFERROR(SUMIFS('Stock In'!F:F,'Stock In'!B:B,$A651,'Stock In'!C:C,$B651,'Stock In'!D:D,$C651,'Stock In'!E:E,$D651),0)</f>
        <v>0</v>
      </c>
      <c r="F651" s="82">
        <f>IFERROR(SUMIFS(Issues!H:H, Issues!F:F, $A651, Issues!C:C, $B651, Issues!D:D, $C651, Issues!E:E, $D651), 0)</f>
        <v>0</v>
      </c>
      <c r="G651" s="82">
        <f>IFERROR(SUMIFS(Returns!H:H, Returns!F:F, $A651, Returns!C:C, $B651, Returns!D:D, $C651, Returns!E:E, $D651), 0)</f>
        <v>0</v>
      </c>
      <c r="H651" s="82">
        <f t="shared" si="1"/>
        <v>0</v>
      </c>
      <c r="I651" s="82">
        <f t="shared" si="2"/>
        <v>0</v>
      </c>
      <c r="J651" s="82">
        <f>IFERROR( SUMIFS('Stock In'!I:I,'Stock In'!B:B,$A651,'Stock In'!C:C,$B651,'Stock In'!D:D,$C651,'Stock In'!E:E,$D651) / SUMIFS('Stock In'!H:H,'Stock In'!B:B,$A651,'Stock In'!C:C,$B651,'Stock In'!D:D,$C651,'Stock In'!E:E,$D651), 0)</f>
        <v>0</v>
      </c>
      <c r="K651" s="82">
        <f t="shared" si="3"/>
        <v>0</v>
      </c>
    </row>
    <row r="652">
      <c r="A652" s="80"/>
      <c r="B652" s="80"/>
      <c r="C652" s="80"/>
      <c r="D652" s="80"/>
      <c r="E652" s="82">
        <f>IFERROR(SUMIFS('Stock In'!F:F,'Stock In'!B:B,$A652,'Stock In'!C:C,$B652,'Stock In'!D:D,$C652,'Stock In'!E:E,$D652),0)</f>
        <v>0</v>
      </c>
      <c r="F652" s="82">
        <f>IFERROR(SUMIFS(Issues!H:H, Issues!F:F, $A652, Issues!C:C, $B652, Issues!D:D, $C652, Issues!E:E, $D652), 0)</f>
        <v>0</v>
      </c>
      <c r="G652" s="82">
        <f>IFERROR(SUMIFS(Returns!H:H, Returns!F:F, $A652, Returns!C:C, $B652, Returns!D:D, $C652, Returns!E:E, $D652), 0)</f>
        <v>0</v>
      </c>
      <c r="H652" s="82">
        <f t="shared" si="1"/>
        <v>0</v>
      </c>
      <c r="I652" s="82">
        <f t="shared" si="2"/>
        <v>0</v>
      </c>
      <c r="J652" s="82">
        <f>IFERROR( SUMIFS('Stock In'!I:I,'Stock In'!B:B,$A652,'Stock In'!C:C,$B652,'Stock In'!D:D,$C652,'Stock In'!E:E,$D652) / SUMIFS('Stock In'!H:H,'Stock In'!B:B,$A652,'Stock In'!C:C,$B652,'Stock In'!D:D,$C652,'Stock In'!E:E,$D652), 0)</f>
        <v>0</v>
      </c>
      <c r="K652" s="82">
        <f t="shared" si="3"/>
        <v>0</v>
      </c>
    </row>
    <row r="653">
      <c r="A653" s="80"/>
      <c r="B653" s="80"/>
      <c r="C653" s="80"/>
      <c r="D653" s="80"/>
      <c r="E653" s="82">
        <f>IFERROR(SUMIFS('Stock In'!F:F,'Stock In'!B:B,$A653,'Stock In'!C:C,$B653,'Stock In'!D:D,$C653,'Stock In'!E:E,$D653),0)</f>
        <v>0</v>
      </c>
      <c r="F653" s="82">
        <f>IFERROR(SUMIFS(Issues!H:H, Issues!F:F, $A653, Issues!C:C, $B653, Issues!D:D, $C653, Issues!E:E, $D653), 0)</f>
        <v>0</v>
      </c>
      <c r="G653" s="82">
        <f>IFERROR(SUMIFS(Returns!H:H, Returns!F:F, $A653, Returns!C:C, $B653, Returns!D:D, $C653, Returns!E:E, $D653), 0)</f>
        <v>0</v>
      </c>
      <c r="H653" s="82">
        <f t="shared" si="1"/>
        <v>0</v>
      </c>
      <c r="I653" s="82">
        <f t="shared" si="2"/>
        <v>0</v>
      </c>
      <c r="J653" s="82">
        <f>IFERROR( SUMIFS('Stock In'!I:I,'Stock In'!B:B,$A653,'Stock In'!C:C,$B653,'Stock In'!D:D,$C653,'Stock In'!E:E,$D653) / SUMIFS('Stock In'!H:H,'Stock In'!B:B,$A653,'Stock In'!C:C,$B653,'Stock In'!D:D,$C653,'Stock In'!E:E,$D653), 0)</f>
        <v>0</v>
      </c>
      <c r="K653" s="82">
        <f t="shared" si="3"/>
        <v>0</v>
      </c>
    </row>
    <row r="654">
      <c r="A654" s="80"/>
      <c r="B654" s="80"/>
      <c r="C654" s="80"/>
      <c r="D654" s="80"/>
      <c r="E654" s="82">
        <f>IFERROR(SUMIFS('Stock In'!F:F,'Stock In'!B:B,$A654,'Stock In'!C:C,$B654,'Stock In'!D:D,$C654,'Stock In'!E:E,$D654),0)</f>
        <v>0</v>
      </c>
      <c r="F654" s="82">
        <f>IFERROR(SUMIFS(Issues!H:H, Issues!F:F, $A654, Issues!C:C, $B654, Issues!D:D, $C654, Issues!E:E, $D654), 0)</f>
        <v>0</v>
      </c>
      <c r="G654" s="82">
        <f>IFERROR(SUMIFS(Returns!H:H, Returns!F:F, $A654, Returns!C:C, $B654, Returns!D:D, $C654, Returns!E:E, $D654), 0)</f>
        <v>0</v>
      </c>
      <c r="H654" s="82">
        <f t="shared" si="1"/>
        <v>0</v>
      </c>
      <c r="I654" s="82">
        <f t="shared" si="2"/>
        <v>0</v>
      </c>
      <c r="J654" s="82">
        <f>IFERROR( SUMIFS('Stock In'!I:I,'Stock In'!B:B,$A654,'Stock In'!C:C,$B654,'Stock In'!D:D,$C654,'Stock In'!E:E,$D654) / SUMIFS('Stock In'!H:H,'Stock In'!B:B,$A654,'Stock In'!C:C,$B654,'Stock In'!D:D,$C654,'Stock In'!E:E,$D654), 0)</f>
        <v>0</v>
      </c>
      <c r="K654" s="82">
        <f t="shared" si="3"/>
        <v>0</v>
      </c>
    </row>
    <row r="655">
      <c r="A655" s="80"/>
      <c r="B655" s="80"/>
      <c r="C655" s="80"/>
      <c r="D655" s="80"/>
      <c r="E655" s="82">
        <f>IFERROR(SUMIFS('Stock In'!F:F,'Stock In'!B:B,$A655,'Stock In'!C:C,$B655,'Stock In'!D:D,$C655,'Stock In'!E:E,$D655),0)</f>
        <v>0</v>
      </c>
      <c r="F655" s="82">
        <f>IFERROR(SUMIFS(Issues!H:H, Issues!F:F, $A655, Issues!C:C, $B655, Issues!D:D, $C655, Issues!E:E, $D655), 0)</f>
        <v>0</v>
      </c>
      <c r="G655" s="82">
        <f>IFERROR(SUMIFS(Returns!H:H, Returns!F:F, $A655, Returns!C:C, $B655, Returns!D:D, $C655, Returns!E:E, $D655), 0)</f>
        <v>0</v>
      </c>
      <c r="H655" s="82">
        <f t="shared" si="1"/>
        <v>0</v>
      </c>
      <c r="I655" s="82">
        <f t="shared" si="2"/>
        <v>0</v>
      </c>
      <c r="J655" s="82">
        <f>IFERROR( SUMIFS('Stock In'!I:I,'Stock In'!B:B,$A655,'Stock In'!C:C,$B655,'Stock In'!D:D,$C655,'Stock In'!E:E,$D655) / SUMIFS('Stock In'!H:H,'Stock In'!B:B,$A655,'Stock In'!C:C,$B655,'Stock In'!D:D,$C655,'Stock In'!E:E,$D655), 0)</f>
        <v>0</v>
      </c>
      <c r="K655" s="82">
        <f t="shared" si="3"/>
        <v>0</v>
      </c>
    </row>
    <row r="656">
      <c r="A656" s="80"/>
      <c r="B656" s="80"/>
      <c r="C656" s="80"/>
      <c r="D656" s="80"/>
      <c r="E656" s="82">
        <f>IFERROR(SUMIFS('Stock In'!F:F,'Stock In'!B:B,$A656,'Stock In'!C:C,$B656,'Stock In'!D:D,$C656,'Stock In'!E:E,$D656),0)</f>
        <v>0</v>
      </c>
      <c r="F656" s="82">
        <f>IFERROR(SUMIFS(Issues!H:H, Issues!F:F, $A656, Issues!C:C, $B656, Issues!D:D, $C656, Issues!E:E, $D656), 0)</f>
        <v>0</v>
      </c>
      <c r="G656" s="82">
        <f>IFERROR(SUMIFS(Returns!H:H, Returns!F:F, $A656, Returns!C:C, $B656, Returns!D:D, $C656, Returns!E:E, $D656), 0)</f>
        <v>0</v>
      </c>
      <c r="H656" s="82">
        <f t="shared" si="1"/>
        <v>0</v>
      </c>
      <c r="I656" s="82">
        <f t="shared" si="2"/>
        <v>0</v>
      </c>
      <c r="J656" s="82">
        <f>IFERROR( SUMIFS('Stock In'!I:I,'Stock In'!B:B,$A656,'Stock In'!C:C,$B656,'Stock In'!D:D,$C656,'Stock In'!E:E,$D656) / SUMIFS('Stock In'!H:H,'Stock In'!B:B,$A656,'Stock In'!C:C,$B656,'Stock In'!D:D,$C656,'Stock In'!E:E,$D656), 0)</f>
        <v>0</v>
      </c>
      <c r="K656" s="82">
        <f t="shared" si="3"/>
        <v>0</v>
      </c>
    </row>
    <row r="657">
      <c r="A657" s="80"/>
      <c r="B657" s="80"/>
      <c r="C657" s="80"/>
      <c r="D657" s="80"/>
      <c r="E657" s="82">
        <f>IFERROR(SUMIFS('Stock In'!F:F,'Stock In'!B:B,$A657,'Stock In'!C:C,$B657,'Stock In'!D:D,$C657,'Stock In'!E:E,$D657),0)</f>
        <v>0</v>
      </c>
      <c r="F657" s="82">
        <f>IFERROR(SUMIFS(Issues!H:H, Issues!F:F, $A657, Issues!C:C, $B657, Issues!D:D, $C657, Issues!E:E, $D657), 0)</f>
        <v>0</v>
      </c>
      <c r="G657" s="82">
        <f>IFERROR(SUMIFS(Returns!H:H, Returns!F:F, $A657, Returns!C:C, $B657, Returns!D:D, $C657, Returns!E:E, $D657), 0)</f>
        <v>0</v>
      </c>
      <c r="H657" s="82">
        <f t="shared" si="1"/>
        <v>0</v>
      </c>
      <c r="I657" s="82">
        <f t="shared" si="2"/>
        <v>0</v>
      </c>
      <c r="J657" s="82">
        <f>IFERROR( SUMIFS('Stock In'!I:I,'Stock In'!B:B,$A657,'Stock In'!C:C,$B657,'Stock In'!D:D,$C657,'Stock In'!E:E,$D657) / SUMIFS('Stock In'!H:H,'Stock In'!B:B,$A657,'Stock In'!C:C,$B657,'Stock In'!D:D,$C657,'Stock In'!E:E,$D657), 0)</f>
        <v>0</v>
      </c>
      <c r="K657" s="82">
        <f t="shared" si="3"/>
        <v>0</v>
      </c>
    </row>
    <row r="658">
      <c r="A658" s="80"/>
      <c r="B658" s="80"/>
      <c r="C658" s="80"/>
      <c r="D658" s="80"/>
      <c r="E658" s="82">
        <f>IFERROR(SUMIFS('Stock In'!F:F,'Stock In'!B:B,$A658,'Stock In'!C:C,$B658,'Stock In'!D:D,$C658,'Stock In'!E:E,$D658),0)</f>
        <v>0</v>
      </c>
      <c r="F658" s="82">
        <f>IFERROR(SUMIFS(Issues!H:H, Issues!F:F, $A658, Issues!C:C, $B658, Issues!D:D, $C658, Issues!E:E, $D658), 0)</f>
        <v>0</v>
      </c>
      <c r="G658" s="82">
        <f>IFERROR(SUMIFS(Returns!H:H, Returns!F:F, $A658, Returns!C:C, $B658, Returns!D:D, $C658, Returns!E:E, $D658), 0)</f>
        <v>0</v>
      </c>
      <c r="H658" s="82">
        <f t="shared" si="1"/>
        <v>0</v>
      </c>
      <c r="I658" s="82">
        <f t="shared" si="2"/>
        <v>0</v>
      </c>
      <c r="J658" s="82">
        <f>IFERROR( SUMIFS('Stock In'!I:I,'Stock In'!B:B,$A658,'Stock In'!C:C,$B658,'Stock In'!D:D,$C658,'Stock In'!E:E,$D658) / SUMIFS('Stock In'!H:H,'Stock In'!B:B,$A658,'Stock In'!C:C,$B658,'Stock In'!D:D,$C658,'Stock In'!E:E,$D658), 0)</f>
        <v>0</v>
      </c>
      <c r="K658" s="82">
        <f t="shared" si="3"/>
        <v>0</v>
      </c>
    </row>
    <row r="659">
      <c r="A659" s="80"/>
      <c r="B659" s="80"/>
      <c r="C659" s="80"/>
      <c r="D659" s="80"/>
      <c r="E659" s="82">
        <f>IFERROR(SUMIFS('Stock In'!F:F,'Stock In'!B:B,$A659,'Stock In'!C:C,$B659,'Stock In'!D:D,$C659,'Stock In'!E:E,$D659),0)</f>
        <v>0</v>
      </c>
      <c r="F659" s="82">
        <f>IFERROR(SUMIFS(Issues!H:H, Issues!F:F, $A659, Issues!C:C, $B659, Issues!D:D, $C659, Issues!E:E, $D659), 0)</f>
        <v>0</v>
      </c>
      <c r="G659" s="82">
        <f>IFERROR(SUMIFS(Returns!H:H, Returns!F:F, $A659, Returns!C:C, $B659, Returns!D:D, $C659, Returns!E:E, $D659), 0)</f>
        <v>0</v>
      </c>
      <c r="H659" s="82">
        <f t="shared" si="1"/>
        <v>0</v>
      </c>
      <c r="I659" s="82">
        <f t="shared" si="2"/>
        <v>0</v>
      </c>
      <c r="J659" s="82">
        <f>IFERROR( SUMIFS('Stock In'!I:I,'Stock In'!B:B,$A659,'Stock In'!C:C,$B659,'Stock In'!D:D,$C659,'Stock In'!E:E,$D659) / SUMIFS('Stock In'!H:H,'Stock In'!B:B,$A659,'Stock In'!C:C,$B659,'Stock In'!D:D,$C659,'Stock In'!E:E,$D659), 0)</f>
        <v>0</v>
      </c>
      <c r="K659" s="82">
        <f t="shared" si="3"/>
        <v>0</v>
      </c>
    </row>
    <row r="660">
      <c r="A660" s="80"/>
      <c r="B660" s="80"/>
      <c r="C660" s="80"/>
      <c r="D660" s="80"/>
      <c r="E660" s="82">
        <f>IFERROR(SUMIFS('Stock In'!F:F,'Stock In'!B:B,$A660,'Stock In'!C:C,$B660,'Stock In'!D:D,$C660,'Stock In'!E:E,$D660),0)</f>
        <v>0</v>
      </c>
      <c r="F660" s="82">
        <f>IFERROR(SUMIFS(Issues!H:H, Issues!F:F, $A660, Issues!C:C, $B660, Issues!D:D, $C660, Issues!E:E, $D660), 0)</f>
        <v>0</v>
      </c>
      <c r="G660" s="82">
        <f>IFERROR(SUMIFS(Returns!H:H, Returns!F:F, $A660, Returns!C:C, $B660, Returns!D:D, $C660, Returns!E:E, $D660), 0)</f>
        <v>0</v>
      </c>
      <c r="H660" s="82">
        <f t="shared" si="1"/>
        <v>0</v>
      </c>
      <c r="I660" s="82">
        <f t="shared" si="2"/>
        <v>0</v>
      </c>
      <c r="J660" s="82">
        <f>IFERROR( SUMIFS('Stock In'!I:I,'Stock In'!B:B,$A660,'Stock In'!C:C,$B660,'Stock In'!D:D,$C660,'Stock In'!E:E,$D660) / SUMIFS('Stock In'!H:H,'Stock In'!B:B,$A660,'Stock In'!C:C,$B660,'Stock In'!D:D,$C660,'Stock In'!E:E,$D660), 0)</f>
        <v>0</v>
      </c>
      <c r="K660" s="82">
        <f t="shared" si="3"/>
        <v>0</v>
      </c>
    </row>
    <row r="661">
      <c r="A661" s="80"/>
      <c r="B661" s="80"/>
      <c r="C661" s="80"/>
      <c r="D661" s="80"/>
      <c r="E661" s="82">
        <f>IFERROR(SUMIFS('Stock In'!F:F,'Stock In'!B:B,$A661,'Stock In'!C:C,$B661,'Stock In'!D:D,$C661,'Stock In'!E:E,$D661),0)</f>
        <v>0</v>
      </c>
      <c r="F661" s="82">
        <f>IFERROR(SUMIFS(Issues!H:H, Issues!F:F, $A661, Issues!C:C, $B661, Issues!D:D, $C661, Issues!E:E, $D661), 0)</f>
        <v>0</v>
      </c>
      <c r="G661" s="82">
        <f>IFERROR(SUMIFS(Returns!H:H, Returns!F:F, $A661, Returns!C:C, $B661, Returns!D:D, $C661, Returns!E:E, $D661), 0)</f>
        <v>0</v>
      </c>
      <c r="H661" s="82">
        <f t="shared" si="1"/>
        <v>0</v>
      </c>
      <c r="I661" s="82">
        <f t="shared" si="2"/>
        <v>0</v>
      </c>
      <c r="J661" s="82">
        <f>IFERROR( SUMIFS('Stock In'!I:I,'Stock In'!B:B,$A661,'Stock In'!C:C,$B661,'Stock In'!D:D,$C661,'Stock In'!E:E,$D661) / SUMIFS('Stock In'!H:H,'Stock In'!B:B,$A661,'Stock In'!C:C,$B661,'Stock In'!D:D,$C661,'Stock In'!E:E,$D661), 0)</f>
        <v>0</v>
      </c>
      <c r="K661" s="82">
        <f t="shared" si="3"/>
        <v>0</v>
      </c>
    </row>
    <row r="662">
      <c r="A662" s="80"/>
      <c r="B662" s="80"/>
      <c r="C662" s="80"/>
      <c r="D662" s="80"/>
      <c r="E662" s="82">
        <f>IFERROR(SUMIFS('Stock In'!F:F,'Stock In'!B:B,$A662,'Stock In'!C:C,$B662,'Stock In'!D:D,$C662,'Stock In'!E:E,$D662),0)</f>
        <v>0</v>
      </c>
      <c r="F662" s="82">
        <f>IFERROR(SUMIFS(Issues!H:H, Issues!F:F, $A662, Issues!C:C, $B662, Issues!D:D, $C662, Issues!E:E, $D662), 0)</f>
        <v>0</v>
      </c>
      <c r="G662" s="82">
        <f>IFERROR(SUMIFS(Returns!H:H, Returns!F:F, $A662, Returns!C:C, $B662, Returns!D:D, $C662, Returns!E:E, $D662), 0)</f>
        <v>0</v>
      </c>
      <c r="H662" s="82">
        <f t="shared" si="1"/>
        <v>0</v>
      </c>
      <c r="I662" s="82">
        <f t="shared" si="2"/>
        <v>0</v>
      </c>
      <c r="J662" s="82">
        <f>IFERROR( SUMIFS('Stock In'!I:I,'Stock In'!B:B,$A662,'Stock In'!C:C,$B662,'Stock In'!D:D,$C662,'Stock In'!E:E,$D662) / SUMIFS('Stock In'!H:H,'Stock In'!B:B,$A662,'Stock In'!C:C,$B662,'Stock In'!D:D,$C662,'Stock In'!E:E,$D662), 0)</f>
        <v>0</v>
      </c>
      <c r="K662" s="82">
        <f t="shared" si="3"/>
        <v>0</v>
      </c>
    </row>
    <row r="663">
      <c r="A663" s="80"/>
      <c r="B663" s="80"/>
      <c r="C663" s="80"/>
      <c r="D663" s="80"/>
      <c r="E663" s="82">
        <f>IFERROR(SUMIFS('Stock In'!F:F,'Stock In'!B:B,$A663,'Stock In'!C:C,$B663,'Stock In'!D:D,$C663,'Stock In'!E:E,$D663),0)</f>
        <v>0</v>
      </c>
      <c r="F663" s="82">
        <f>IFERROR(SUMIFS(Issues!H:H, Issues!F:F, $A663, Issues!C:C, $B663, Issues!D:D, $C663, Issues!E:E, $D663), 0)</f>
        <v>0</v>
      </c>
      <c r="G663" s="82">
        <f>IFERROR(SUMIFS(Returns!H:H, Returns!F:F, $A663, Returns!C:C, $B663, Returns!D:D, $C663, Returns!E:E, $D663), 0)</f>
        <v>0</v>
      </c>
      <c r="H663" s="82">
        <f t="shared" si="1"/>
        <v>0</v>
      </c>
      <c r="I663" s="82">
        <f t="shared" si="2"/>
        <v>0</v>
      </c>
      <c r="J663" s="82">
        <f>IFERROR( SUMIFS('Stock In'!I:I,'Stock In'!B:B,$A663,'Stock In'!C:C,$B663,'Stock In'!D:D,$C663,'Stock In'!E:E,$D663) / SUMIFS('Stock In'!H:H,'Stock In'!B:B,$A663,'Stock In'!C:C,$B663,'Stock In'!D:D,$C663,'Stock In'!E:E,$D663), 0)</f>
        <v>0</v>
      </c>
      <c r="K663" s="82">
        <f t="shared" si="3"/>
        <v>0</v>
      </c>
    </row>
    <row r="664">
      <c r="A664" s="80"/>
      <c r="B664" s="80"/>
      <c r="C664" s="80"/>
      <c r="D664" s="80"/>
      <c r="E664" s="82">
        <f>IFERROR(SUMIFS('Stock In'!F:F,'Stock In'!B:B,$A664,'Stock In'!C:C,$B664,'Stock In'!D:D,$C664,'Stock In'!E:E,$D664),0)</f>
        <v>0</v>
      </c>
      <c r="F664" s="82">
        <f>IFERROR(SUMIFS(Issues!H:H, Issues!F:F, $A664, Issues!C:C, $B664, Issues!D:D, $C664, Issues!E:E, $D664), 0)</f>
        <v>0</v>
      </c>
      <c r="G664" s="82">
        <f>IFERROR(SUMIFS(Returns!H:H, Returns!F:F, $A664, Returns!C:C, $B664, Returns!D:D, $C664, Returns!E:E, $D664), 0)</f>
        <v>0</v>
      </c>
      <c r="H664" s="82">
        <f t="shared" si="1"/>
        <v>0</v>
      </c>
      <c r="I664" s="82">
        <f t="shared" si="2"/>
        <v>0</v>
      </c>
      <c r="J664" s="82">
        <f>IFERROR( SUMIFS('Stock In'!I:I,'Stock In'!B:B,$A664,'Stock In'!C:C,$B664,'Stock In'!D:D,$C664,'Stock In'!E:E,$D664) / SUMIFS('Stock In'!H:H,'Stock In'!B:B,$A664,'Stock In'!C:C,$B664,'Stock In'!D:D,$C664,'Stock In'!E:E,$D664), 0)</f>
        <v>0</v>
      </c>
      <c r="K664" s="82">
        <f t="shared" si="3"/>
        <v>0</v>
      </c>
    </row>
    <row r="665">
      <c r="A665" s="80"/>
      <c r="B665" s="80"/>
      <c r="C665" s="80"/>
      <c r="D665" s="80"/>
      <c r="E665" s="82">
        <f>IFERROR(SUMIFS('Stock In'!F:F,'Stock In'!B:B,$A665,'Stock In'!C:C,$B665,'Stock In'!D:D,$C665,'Stock In'!E:E,$D665),0)</f>
        <v>0</v>
      </c>
      <c r="F665" s="82">
        <f>IFERROR(SUMIFS(Issues!H:H, Issues!F:F, $A665, Issues!C:C, $B665, Issues!D:D, $C665, Issues!E:E, $D665), 0)</f>
        <v>0</v>
      </c>
      <c r="G665" s="82">
        <f>IFERROR(SUMIFS(Returns!H:H, Returns!F:F, $A665, Returns!C:C, $B665, Returns!D:D, $C665, Returns!E:E, $D665), 0)</f>
        <v>0</v>
      </c>
      <c r="H665" s="82">
        <f t="shared" si="1"/>
        <v>0</v>
      </c>
      <c r="I665" s="82">
        <f t="shared" si="2"/>
        <v>0</v>
      </c>
      <c r="J665" s="82">
        <f>IFERROR( SUMIFS('Stock In'!I:I,'Stock In'!B:B,$A665,'Stock In'!C:C,$B665,'Stock In'!D:D,$C665,'Stock In'!E:E,$D665) / SUMIFS('Stock In'!H:H,'Stock In'!B:B,$A665,'Stock In'!C:C,$B665,'Stock In'!D:D,$C665,'Stock In'!E:E,$D665), 0)</f>
        <v>0</v>
      </c>
      <c r="K665" s="82">
        <f t="shared" si="3"/>
        <v>0</v>
      </c>
    </row>
    <row r="666">
      <c r="A666" s="80"/>
      <c r="B666" s="80"/>
      <c r="C666" s="80"/>
      <c r="D666" s="80"/>
      <c r="E666" s="82">
        <f>IFERROR(SUMIFS('Stock In'!F:F,'Stock In'!B:B,$A666,'Stock In'!C:C,$B666,'Stock In'!D:D,$C666,'Stock In'!E:E,$D666),0)</f>
        <v>0</v>
      </c>
      <c r="F666" s="82">
        <f>IFERROR(SUMIFS(Issues!H:H, Issues!F:F, $A666, Issues!C:C, $B666, Issues!D:D, $C666, Issues!E:E, $D666), 0)</f>
        <v>0</v>
      </c>
      <c r="G666" s="82">
        <f>IFERROR(SUMIFS(Returns!H:H, Returns!F:F, $A666, Returns!C:C, $B666, Returns!D:D, $C666, Returns!E:E, $D666), 0)</f>
        <v>0</v>
      </c>
      <c r="H666" s="82">
        <f t="shared" si="1"/>
        <v>0</v>
      </c>
      <c r="I666" s="82">
        <f t="shared" si="2"/>
        <v>0</v>
      </c>
      <c r="J666" s="82">
        <f>IFERROR( SUMIFS('Stock In'!I:I,'Stock In'!B:B,$A666,'Stock In'!C:C,$B666,'Stock In'!D:D,$C666,'Stock In'!E:E,$D666) / SUMIFS('Stock In'!H:H,'Stock In'!B:B,$A666,'Stock In'!C:C,$B666,'Stock In'!D:D,$C666,'Stock In'!E:E,$D666), 0)</f>
        <v>0</v>
      </c>
      <c r="K666" s="82">
        <f t="shared" si="3"/>
        <v>0</v>
      </c>
    </row>
    <row r="667">
      <c r="A667" s="80"/>
      <c r="B667" s="80"/>
      <c r="C667" s="80"/>
      <c r="D667" s="80"/>
      <c r="E667" s="82">
        <f>IFERROR(SUMIFS('Stock In'!F:F,'Stock In'!B:B,$A667,'Stock In'!C:C,$B667,'Stock In'!D:D,$C667,'Stock In'!E:E,$D667),0)</f>
        <v>0</v>
      </c>
      <c r="F667" s="82">
        <f>IFERROR(SUMIFS(Issues!H:H, Issues!F:F, $A667, Issues!C:C, $B667, Issues!D:D, $C667, Issues!E:E, $D667), 0)</f>
        <v>0</v>
      </c>
      <c r="G667" s="82">
        <f>IFERROR(SUMIFS(Returns!H:H, Returns!F:F, $A667, Returns!C:C, $B667, Returns!D:D, $C667, Returns!E:E, $D667), 0)</f>
        <v>0</v>
      </c>
      <c r="H667" s="82">
        <f t="shared" si="1"/>
        <v>0</v>
      </c>
      <c r="I667" s="82">
        <f t="shared" si="2"/>
        <v>0</v>
      </c>
      <c r="J667" s="82">
        <f>IFERROR( SUMIFS('Stock In'!I:I,'Stock In'!B:B,$A667,'Stock In'!C:C,$B667,'Stock In'!D:D,$C667,'Stock In'!E:E,$D667) / SUMIFS('Stock In'!H:H,'Stock In'!B:B,$A667,'Stock In'!C:C,$B667,'Stock In'!D:D,$C667,'Stock In'!E:E,$D667), 0)</f>
        <v>0</v>
      </c>
      <c r="K667" s="82">
        <f t="shared" si="3"/>
        <v>0</v>
      </c>
    </row>
    <row r="668">
      <c r="A668" s="80"/>
      <c r="B668" s="80"/>
      <c r="C668" s="80"/>
      <c r="D668" s="80"/>
      <c r="E668" s="82">
        <f>IFERROR(SUMIFS('Stock In'!F:F,'Stock In'!B:B,$A668,'Stock In'!C:C,$B668,'Stock In'!D:D,$C668,'Stock In'!E:E,$D668),0)</f>
        <v>0</v>
      </c>
      <c r="F668" s="82">
        <f>IFERROR(SUMIFS(Issues!H:H, Issues!F:F, $A668, Issues!C:C, $B668, Issues!D:D, $C668, Issues!E:E, $D668), 0)</f>
        <v>0</v>
      </c>
      <c r="G668" s="82">
        <f>IFERROR(SUMIFS(Returns!H:H, Returns!F:F, $A668, Returns!C:C, $B668, Returns!D:D, $C668, Returns!E:E, $D668), 0)</f>
        <v>0</v>
      </c>
      <c r="H668" s="82">
        <f t="shared" si="1"/>
        <v>0</v>
      </c>
      <c r="I668" s="82">
        <f t="shared" si="2"/>
        <v>0</v>
      </c>
      <c r="J668" s="82">
        <f>IFERROR( SUMIFS('Stock In'!I:I,'Stock In'!B:B,$A668,'Stock In'!C:C,$B668,'Stock In'!D:D,$C668,'Stock In'!E:E,$D668) / SUMIFS('Stock In'!H:H,'Stock In'!B:B,$A668,'Stock In'!C:C,$B668,'Stock In'!D:D,$C668,'Stock In'!E:E,$D668), 0)</f>
        <v>0</v>
      </c>
      <c r="K668" s="82">
        <f t="shared" si="3"/>
        <v>0</v>
      </c>
    </row>
    <row r="669">
      <c r="A669" s="80"/>
      <c r="B669" s="80"/>
      <c r="C669" s="80"/>
      <c r="D669" s="80"/>
      <c r="E669" s="82">
        <f>IFERROR(SUMIFS('Stock In'!F:F,'Stock In'!B:B,$A669,'Stock In'!C:C,$B669,'Stock In'!D:D,$C669,'Stock In'!E:E,$D669),0)</f>
        <v>0</v>
      </c>
      <c r="F669" s="82">
        <f>IFERROR(SUMIFS(Issues!H:H, Issues!F:F, $A669, Issues!C:C, $B669, Issues!D:D, $C669, Issues!E:E, $D669), 0)</f>
        <v>0</v>
      </c>
      <c r="G669" s="82">
        <f>IFERROR(SUMIFS(Returns!H:H, Returns!F:F, $A669, Returns!C:C, $B669, Returns!D:D, $C669, Returns!E:E, $D669), 0)</f>
        <v>0</v>
      </c>
      <c r="H669" s="82">
        <f t="shared" si="1"/>
        <v>0</v>
      </c>
      <c r="I669" s="82">
        <f t="shared" si="2"/>
        <v>0</v>
      </c>
      <c r="J669" s="82">
        <f>IFERROR( SUMIFS('Stock In'!I:I,'Stock In'!B:B,$A669,'Stock In'!C:C,$B669,'Stock In'!D:D,$C669,'Stock In'!E:E,$D669) / SUMIFS('Stock In'!H:H,'Stock In'!B:B,$A669,'Stock In'!C:C,$B669,'Stock In'!D:D,$C669,'Stock In'!E:E,$D669), 0)</f>
        <v>0</v>
      </c>
      <c r="K669" s="82">
        <f t="shared" si="3"/>
        <v>0</v>
      </c>
    </row>
    <row r="670">
      <c r="A670" s="80"/>
      <c r="B670" s="80"/>
      <c r="C670" s="80"/>
      <c r="D670" s="80"/>
      <c r="E670" s="82">
        <f>IFERROR(SUMIFS('Stock In'!F:F,'Stock In'!B:B,$A670,'Stock In'!C:C,$B670,'Stock In'!D:D,$C670,'Stock In'!E:E,$D670),0)</f>
        <v>0</v>
      </c>
      <c r="F670" s="82">
        <f>IFERROR(SUMIFS(Issues!H:H, Issues!F:F, $A670, Issues!C:C, $B670, Issues!D:D, $C670, Issues!E:E, $D670), 0)</f>
        <v>0</v>
      </c>
      <c r="G670" s="82">
        <f>IFERROR(SUMIFS(Returns!H:H, Returns!F:F, $A670, Returns!C:C, $B670, Returns!D:D, $C670, Returns!E:E, $D670), 0)</f>
        <v>0</v>
      </c>
      <c r="H670" s="82">
        <f t="shared" si="1"/>
        <v>0</v>
      </c>
      <c r="I670" s="82">
        <f t="shared" si="2"/>
        <v>0</v>
      </c>
      <c r="J670" s="82">
        <f>IFERROR( SUMIFS('Stock In'!I:I,'Stock In'!B:B,$A670,'Stock In'!C:C,$B670,'Stock In'!D:D,$C670,'Stock In'!E:E,$D670) / SUMIFS('Stock In'!H:H,'Stock In'!B:B,$A670,'Stock In'!C:C,$B670,'Stock In'!D:D,$C670,'Stock In'!E:E,$D670), 0)</f>
        <v>0</v>
      </c>
      <c r="K670" s="82">
        <f t="shared" si="3"/>
        <v>0</v>
      </c>
    </row>
    <row r="671">
      <c r="A671" s="80"/>
      <c r="B671" s="80"/>
      <c r="C671" s="80"/>
      <c r="D671" s="80"/>
      <c r="E671" s="82">
        <f>IFERROR(SUMIFS('Stock In'!F:F,'Stock In'!B:B,$A671,'Stock In'!C:C,$B671,'Stock In'!D:D,$C671,'Stock In'!E:E,$D671),0)</f>
        <v>0</v>
      </c>
      <c r="F671" s="82">
        <f>IFERROR(SUMIFS(Issues!H:H, Issues!F:F, $A671, Issues!C:C, $B671, Issues!D:D, $C671, Issues!E:E, $D671), 0)</f>
        <v>0</v>
      </c>
      <c r="G671" s="82">
        <f>IFERROR(SUMIFS(Returns!H:H, Returns!F:F, $A671, Returns!C:C, $B671, Returns!D:D, $C671, Returns!E:E, $D671), 0)</f>
        <v>0</v>
      </c>
      <c r="H671" s="82">
        <f t="shared" si="1"/>
        <v>0</v>
      </c>
      <c r="I671" s="82">
        <f t="shared" si="2"/>
        <v>0</v>
      </c>
      <c r="J671" s="82">
        <f>IFERROR( SUMIFS('Stock In'!I:I,'Stock In'!B:B,$A671,'Stock In'!C:C,$B671,'Stock In'!D:D,$C671,'Stock In'!E:E,$D671) / SUMIFS('Stock In'!H:H,'Stock In'!B:B,$A671,'Stock In'!C:C,$B671,'Stock In'!D:D,$C671,'Stock In'!E:E,$D671), 0)</f>
        <v>0</v>
      </c>
      <c r="K671" s="82">
        <f t="shared" si="3"/>
        <v>0</v>
      </c>
    </row>
    <row r="672">
      <c r="A672" s="80"/>
      <c r="B672" s="80"/>
      <c r="C672" s="80"/>
      <c r="D672" s="80"/>
      <c r="E672" s="82">
        <f>IFERROR(SUMIFS('Stock In'!F:F,'Stock In'!B:B,$A672,'Stock In'!C:C,$B672,'Stock In'!D:D,$C672,'Stock In'!E:E,$D672),0)</f>
        <v>0</v>
      </c>
      <c r="F672" s="82">
        <f>IFERROR(SUMIFS(Issues!H:H, Issues!F:F, $A672, Issues!C:C, $B672, Issues!D:D, $C672, Issues!E:E, $D672), 0)</f>
        <v>0</v>
      </c>
      <c r="G672" s="82">
        <f>IFERROR(SUMIFS(Returns!H:H, Returns!F:F, $A672, Returns!C:C, $B672, Returns!D:D, $C672, Returns!E:E, $D672), 0)</f>
        <v>0</v>
      </c>
      <c r="H672" s="82">
        <f t="shared" si="1"/>
        <v>0</v>
      </c>
      <c r="I672" s="82">
        <f t="shared" si="2"/>
        <v>0</v>
      </c>
      <c r="J672" s="82">
        <f>IFERROR( SUMIFS('Stock In'!I:I,'Stock In'!B:B,$A672,'Stock In'!C:C,$B672,'Stock In'!D:D,$C672,'Stock In'!E:E,$D672) / SUMIFS('Stock In'!H:H,'Stock In'!B:B,$A672,'Stock In'!C:C,$B672,'Stock In'!D:D,$C672,'Stock In'!E:E,$D672), 0)</f>
        <v>0</v>
      </c>
      <c r="K672" s="82">
        <f t="shared" si="3"/>
        <v>0</v>
      </c>
    </row>
    <row r="673">
      <c r="A673" s="80"/>
      <c r="B673" s="80"/>
      <c r="C673" s="80"/>
      <c r="D673" s="80"/>
      <c r="E673" s="82">
        <f>IFERROR(SUMIFS('Stock In'!F:F,'Stock In'!B:B,$A673,'Stock In'!C:C,$B673,'Stock In'!D:D,$C673,'Stock In'!E:E,$D673),0)</f>
        <v>0</v>
      </c>
      <c r="F673" s="82">
        <f>IFERROR(SUMIFS(Issues!H:H, Issues!F:F, $A673, Issues!C:C, $B673, Issues!D:D, $C673, Issues!E:E, $D673), 0)</f>
        <v>0</v>
      </c>
      <c r="G673" s="82">
        <f>IFERROR(SUMIFS(Returns!H:H, Returns!F:F, $A673, Returns!C:C, $B673, Returns!D:D, $C673, Returns!E:E, $D673), 0)</f>
        <v>0</v>
      </c>
      <c r="H673" s="82">
        <f t="shared" si="1"/>
        <v>0</v>
      </c>
      <c r="I673" s="82">
        <f t="shared" si="2"/>
        <v>0</v>
      </c>
      <c r="J673" s="82">
        <f>IFERROR( SUMIFS('Stock In'!I:I,'Stock In'!B:B,$A673,'Stock In'!C:C,$B673,'Stock In'!D:D,$C673,'Stock In'!E:E,$D673) / SUMIFS('Stock In'!H:H,'Stock In'!B:B,$A673,'Stock In'!C:C,$B673,'Stock In'!D:D,$C673,'Stock In'!E:E,$D673), 0)</f>
        <v>0</v>
      </c>
      <c r="K673" s="82">
        <f t="shared" si="3"/>
        <v>0</v>
      </c>
    </row>
    <row r="674">
      <c r="A674" s="80"/>
      <c r="B674" s="80"/>
      <c r="C674" s="80"/>
      <c r="D674" s="80"/>
      <c r="E674" s="82">
        <f>IFERROR(SUMIFS('Stock In'!F:F,'Stock In'!B:B,$A674,'Stock In'!C:C,$B674,'Stock In'!D:D,$C674,'Stock In'!E:E,$D674),0)</f>
        <v>0</v>
      </c>
      <c r="F674" s="82">
        <f>IFERROR(SUMIFS(Issues!H:H, Issues!F:F, $A674, Issues!C:C, $B674, Issues!D:D, $C674, Issues!E:E, $D674), 0)</f>
        <v>0</v>
      </c>
      <c r="G674" s="82">
        <f>IFERROR(SUMIFS(Returns!H:H, Returns!F:F, $A674, Returns!C:C, $B674, Returns!D:D, $C674, Returns!E:E, $D674), 0)</f>
        <v>0</v>
      </c>
      <c r="H674" s="82">
        <f t="shared" si="1"/>
        <v>0</v>
      </c>
      <c r="I674" s="82">
        <f t="shared" si="2"/>
        <v>0</v>
      </c>
      <c r="J674" s="82">
        <f>IFERROR( SUMIFS('Stock In'!I:I,'Stock In'!B:B,$A674,'Stock In'!C:C,$B674,'Stock In'!D:D,$C674,'Stock In'!E:E,$D674) / SUMIFS('Stock In'!H:H,'Stock In'!B:B,$A674,'Stock In'!C:C,$B674,'Stock In'!D:D,$C674,'Stock In'!E:E,$D674), 0)</f>
        <v>0</v>
      </c>
      <c r="K674" s="82">
        <f t="shared" si="3"/>
        <v>0</v>
      </c>
    </row>
    <row r="675">
      <c r="A675" s="80"/>
      <c r="B675" s="80"/>
      <c r="C675" s="80"/>
      <c r="D675" s="80"/>
      <c r="E675" s="82">
        <f>IFERROR(SUMIFS('Stock In'!F:F,'Stock In'!B:B,$A675,'Stock In'!C:C,$B675,'Stock In'!D:D,$C675,'Stock In'!E:E,$D675),0)</f>
        <v>0</v>
      </c>
      <c r="F675" s="82">
        <f>IFERROR(SUMIFS(Issues!H:H, Issues!F:F, $A675, Issues!C:C, $B675, Issues!D:D, $C675, Issues!E:E, $D675), 0)</f>
        <v>0</v>
      </c>
      <c r="G675" s="82">
        <f>IFERROR(SUMIFS(Returns!H:H, Returns!F:F, $A675, Returns!C:C, $B675, Returns!D:D, $C675, Returns!E:E, $D675), 0)</f>
        <v>0</v>
      </c>
      <c r="H675" s="82">
        <f t="shared" si="1"/>
        <v>0</v>
      </c>
      <c r="I675" s="82">
        <f t="shared" si="2"/>
        <v>0</v>
      </c>
      <c r="J675" s="82">
        <f>IFERROR( SUMIFS('Stock In'!I:I,'Stock In'!B:B,$A675,'Stock In'!C:C,$B675,'Stock In'!D:D,$C675,'Stock In'!E:E,$D675) / SUMIFS('Stock In'!H:H,'Stock In'!B:B,$A675,'Stock In'!C:C,$B675,'Stock In'!D:D,$C675,'Stock In'!E:E,$D675), 0)</f>
        <v>0</v>
      </c>
      <c r="K675" s="82">
        <f t="shared" si="3"/>
        <v>0</v>
      </c>
    </row>
    <row r="676">
      <c r="A676" s="80"/>
      <c r="B676" s="80"/>
      <c r="C676" s="80"/>
      <c r="D676" s="80"/>
      <c r="E676" s="82">
        <f>IFERROR(SUMIFS('Stock In'!F:F,'Stock In'!B:B,$A676,'Stock In'!C:C,$B676,'Stock In'!D:D,$C676,'Stock In'!E:E,$D676),0)</f>
        <v>0</v>
      </c>
      <c r="F676" s="82">
        <f>IFERROR(SUMIFS(Issues!H:H, Issues!F:F, $A676, Issues!C:C, $B676, Issues!D:D, $C676, Issues!E:E, $D676), 0)</f>
        <v>0</v>
      </c>
      <c r="G676" s="82">
        <f>IFERROR(SUMIFS(Returns!H:H, Returns!F:F, $A676, Returns!C:C, $B676, Returns!D:D, $C676, Returns!E:E, $D676), 0)</f>
        <v>0</v>
      </c>
      <c r="H676" s="82">
        <f t="shared" si="1"/>
        <v>0</v>
      </c>
      <c r="I676" s="82">
        <f t="shared" si="2"/>
        <v>0</v>
      </c>
      <c r="J676" s="82">
        <f>IFERROR( SUMIFS('Stock In'!I:I,'Stock In'!B:B,$A676,'Stock In'!C:C,$B676,'Stock In'!D:D,$C676,'Stock In'!E:E,$D676) / SUMIFS('Stock In'!H:H,'Stock In'!B:B,$A676,'Stock In'!C:C,$B676,'Stock In'!D:D,$C676,'Stock In'!E:E,$D676), 0)</f>
        <v>0</v>
      </c>
      <c r="K676" s="82">
        <f t="shared" si="3"/>
        <v>0</v>
      </c>
    </row>
    <row r="677">
      <c r="A677" s="80"/>
      <c r="B677" s="80"/>
      <c r="C677" s="80"/>
      <c r="D677" s="80"/>
      <c r="E677" s="82">
        <f>IFERROR(SUMIFS('Stock In'!F:F,'Stock In'!B:B,$A677,'Stock In'!C:C,$B677,'Stock In'!D:D,$C677,'Stock In'!E:E,$D677),0)</f>
        <v>0</v>
      </c>
      <c r="F677" s="82">
        <f>IFERROR(SUMIFS(Issues!H:H, Issues!F:F, $A677, Issues!C:C, $B677, Issues!D:D, $C677, Issues!E:E, $D677), 0)</f>
        <v>0</v>
      </c>
      <c r="G677" s="82">
        <f>IFERROR(SUMIFS(Returns!H:H, Returns!F:F, $A677, Returns!C:C, $B677, Returns!D:D, $C677, Returns!E:E, $D677), 0)</f>
        <v>0</v>
      </c>
      <c r="H677" s="82">
        <f t="shared" si="1"/>
        <v>0</v>
      </c>
      <c r="I677" s="82">
        <f t="shared" si="2"/>
        <v>0</v>
      </c>
      <c r="J677" s="82">
        <f>IFERROR( SUMIFS('Stock In'!I:I,'Stock In'!B:B,$A677,'Stock In'!C:C,$B677,'Stock In'!D:D,$C677,'Stock In'!E:E,$D677) / SUMIFS('Stock In'!H:H,'Stock In'!B:B,$A677,'Stock In'!C:C,$B677,'Stock In'!D:D,$C677,'Stock In'!E:E,$D677), 0)</f>
        <v>0</v>
      </c>
      <c r="K677" s="82">
        <f t="shared" si="3"/>
        <v>0</v>
      </c>
    </row>
    <row r="678">
      <c r="A678" s="80"/>
      <c r="B678" s="80"/>
      <c r="C678" s="80"/>
      <c r="D678" s="80"/>
      <c r="E678" s="82">
        <f>IFERROR(SUMIFS('Stock In'!F:F,'Stock In'!B:B,$A678,'Stock In'!C:C,$B678,'Stock In'!D:D,$C678,'Stock In'!E:E,$D678),0)</f>
        <v>0</v>
      </c>
      <c r="F678" s="82">
        <f>IFERROR(SUMIFS(Issues!H:H, Issues!F:F, $A678, Issues!C:C, $B678, Issues!D:D, $C678, Issues!E:E, $D678), 0)</f>
        <v>0</v>
      </c>
      <c r="G678" s="82">
        <f>IFERROR(SUMIFS(Returns!H:H, Returns!F:F, $A678, Returns!C:C, $B678, Returns!D:D, $C678, Returns!E:E, $D678), 0)</f>
        <v>0</v>
      </c>
      <c r="H678" s="82">
        <f t="shared" si="1"/>
        <v>0</v>
      </c>
      <c r="I678" s="82">
        <f t="shared" si="2"/>
        <v>0</v>
      </c>
      <c r="J678" s="82">
        <f>IFERROR( SUMIFS('Stock In'!I:I,'Stock In'!B:B,$A678,'Stock In'!C:C,$B678,'Stock In'!D:D,$C678,'Stock In'!E:E,$D678) / SUMIFS('Stock In'!H:H,'Stock In'!B:B,$A678,'Stock In'!C:C,$B678,'Stock In'!D:D,$C678,'Stock In'!E:E,$D678), 0)</f>
        <v>0</v>
      </c>
      <c r="K678" s="82">
        <f t="shared" si="3"/>
        <v>0</v>
      </c>
    </row>
    <row r="679">
      <c r="A679" s="80"/>
      <c r="B679" s="80"/>
      <c r="C679" s="80"/>
      <c r="D679" s="80"/>
      <c r="E679" s="82">
        <f>IFERROR(SUMIFS('Stock In'!F:F,'Stock In'!B:B,$A679,'Stock In'!C:C,$B679,'Stock In'!D:D,$C679,'Stock In'!E:E,$D679),0)</f>
        <v>0</v>
      </c>
      <c r="F679" s="82">
        <f>IFERROR(SUMIFS(Issues!H:H, Issues!F:F, $A679, Issues!C:C, $B679, Issues!D:D, $C679, Issues!E:E, $D679), 0)</f>
        <v>0</v>
      </c>
      <c r="G679" s="82">
        <f>IFERROR(SUMIFS(Returns!H:H, Returns!F:F, $A679, Returns!C:C, $B679, Returns!D:D, $C679, Returns!E:E, $D679), 0)</f>
        <v>0</v>
      </c>
      <c r="H679" s="82">
        <f t="shared" si="1"/>
        <v>0</v>
      </c>
      <c r="I679" s="82">
        <f t="shared" si="2"/>
        <v>0</v>
      </c>
      <c r="J679" s="82">
        <f>IFERROR( SUMIFS('Stock In'!I:I,'Stock In'!B:B,$A679,'Stock In'!C:C,$B679,'Stock In'!D:D,$C679,'Stock In'!E:E,$D679) / SUMIFS('Stock In'!H:H,'Stock In'!B:B,$A679,'Stock In'!C:C,$B679,'Stock In'!D:D,$C679,'Stock In'!E:E,$D679), 0)</f>
        <v>0</v>
      </c>
      <c r="K679" s="82">
        <f t="shared" si="3"/>
        <v>0</v>
      </c>
    </row>
    <row r="680">
      <c r="A680" s="80"/>
      <c r="B680" s="80"/>
      <c r="C680" s="80"/>
      <c r="D680" s="80"/>
      <c r="E680" s="82">
        <f>IFERROR(SUMIFS('Stock In'!F:F,'Stock In'!B:B,$A680,'Stock In'!C:C,$B680,'Stock In'!D:D,$C680,'Stock In'!E:E,$D680),0)</f>
        <v>0</v>
      </c>
      <c r="F680" s="82">
        <f>IFERROR(SUMIFS(Issues!H:H, Issues!F:F, $A680, Issues!C:C, $B680, Issues!D:D, $C680, Issues!E:E, $D680), 0)</f>
        <v>0</v>
      </c>
      <c r="G680" s="82">
        <f>IFERROR(SUMIFS(Returns!H:H, Returns!F:F, $A680, Returns!C:C, $B680, Returns!D:D, $C680, Returns!E:E, $D680), 0)</f>
        <v>0</v>
      </c>
      <c r="H680" s="82">
        <f t="shared" si="1"/>
        <v>0</v>
      </c>
      <c r="I680" s="82">
        <f t="shared" si="2"/>
        <v>0</v>
      </c>
      <c r="J680" s="82">
        <f>IFERROR( SUMIFS('Stock In'!I:I,'Stock In'!B:B,$A680,'Stock In'!C:C,$B680,'Stock In'!D:D,$C680,'Stock In'!E:E,$D680) / SUMIFS('Stock In'!H:H,'Stock In'!B:B,$A680,'Stock In'!C:C,$B680,'Stock In'!D:D,$C680,'Stock In'!E:E,$D680), 0)</f>
        <v>0</v>
      </c>
      <c r="K680" s="82">
        <f t="shared" si="3"/>
        <v>0</v>
      </c>
    </row>
    <row r="681">
      <c r="A681" s="80"/>
      <c r="B681" s="80"/>
      <c r="C681" s="80"/>
      <c r="D681" s="80"/>
      <c r="E681" s="82">
        <f>IFERROR(SUMIFS('Stock In'!F:F,'Stock In'!B:B,$A681,'Stock In'!C:C,$B681,'Stock In'!D:D,$C681,'Stock In'!E:E,$D681),0)</f>
        <v>0</v>
      </c>
      <c r="F681" s="82">
        <f>IFERROR(SUMIFS(Issues!H:H, Issues!F:F, $A681, Issues!C:C, $B681, Issues!D:D, $C681, Issues!E:E, $D681), 0)</f>
        <v>0</v>
      </c>
      <c r="G681" s="82">
        <f>IFERROR(SUMIFS(Returns!H:H, Returns!F:F, $A681, Returns!C:C, $B681, Returns!D:D, $C681, Returns!E:E, $D681), 0)</f>
        <v>0</v>
      </c>
      <c r="H681" s="82">
        <f t="shared" si="1"/>
        <v>0</v>
      </c>
      <c r="I681" s="82">
        <f t="shared" si="2"/>
        <v>0</v>
      </c>
      <c r="J681" s="82">
        <f>IFERROR( SUMIFS('Stock In'!I:I,'Stock In'!B:B,$A681,'Stock In'!C:C,$B681,'Stock In'!D:D,$C681,'Stock In'!E:E,$D681) / SUMIFS('Stock In'!H:H,'Stock In'!B:B,$A681,'Stock In'!C:C,$B681,'Stock In'!D:D,$C681,'Stock In'!E:E,$D681), 0)</f>
        <v>0</v>
      </c>
      <c r="K681" s="82">
        <f t="shared" si="3"/>
        <v>0</v>
      </c>
    </row>
    <row r="682">
      <c r="A682" s="80"/>
      <c r="B682" s="80"/>
      <c r="C682" s="80"/>
      <c r="D682" s="80"/>
      <c r="E682" s="82">
        <f>IFERROR(SUMIFS('Stock In'!F:F,'Stock In'!B:B,$A682,'Stock In'!C:C,$B682,'Stock In'!D:D,$C682,'Stock In'!E:E,$D682),0)</f>
        <v>0</v>
      </c>
      <c r="F682" s="82">
        <f>IFERROR(SUMIFS(Issues!H:H, Issues!F:F, $A682, Issues!C:C, $B682, Issues!D:D, $C682, Issues!E:E, $D682), 0)</f>
        <v>0</v>
      </c>
      <c r="G682" s="82">
        <f>IFERROR(SUMIFS(Returns!H:H, Returns!F:F, $A682, Returns!C:C, $B682, Returns!D:D, $C682, Returns!E:E, $D682), 0)</f>
        <v>0</v>
      </c>
      <c r="H682" s="82">
        <f t="shared" si="1"/>
        <v>0</v>
      </c>
      <c r="I682" s="82">
        <f t="shared" si="2"/>
        <v>0</v>
      </c>
      <c r="J682" s="82">
        <f>IFERROR( SUMIFS('Stock In'!I:I,'Stock In'!B:B,$A682,'Stock In'!C:C,$B682,'Stock In'!D:D,$C682,'Stock In'!E:E,$D682) / SUMIFS('Stock In'!H:H,'Stock In'!B:B,$A682,'Stock In'!C:C,$B682,'Stock In'!D:D,$C682,'Stock In'!E:E,$D682), 0)</f>
        <v>0</v>
      </c>
      <c r="K682" s="82">
        <f t="shared" si="3"/>
        <v>0</v>
      </c>
    </row>
    <row r="683">
      <c r="A683" s="80"/>
      <c r="B683" s="80"/>
      <c r="C683" s="80"/>
      <c r="D683" s="80"/>
      <c r="E683" s="82">
        <f>IFERROR(SUMIFS('Stock In'!F:F,'Stock In'!B:B,$A683,'Stock In'!C:C,$B683,'Stock In'!D:D,$C683,'Stock In'!E:E,$D683),0)</f>
        <v>0</v>
      </c>
      <c r="F683" s="82">
        <f>IFERROR(SUMIFS(Issues!H:H, Issues!F:F, $A683, Issues!C:C, $B683, Issues!D:D, $C683, Issues!E:E, $D683), 0)</f>
        <v>0</v>
      </c>
      <c r="G683" s="82">
        <f>IFERROR(SUMIFS(Returns!H:H, Returns!F:F, $A683, Returns!C:C, $B683, Returns!D:D, $C683, Returns!E:E, $D683), 0)</f>
        <v>0</v>
      </c>
      <c r="H683" s="82">
        <f t="shared" si="1"/>
        <v>0</v>
      </c>
      <c r="I683" s="82">
        <f t="shared" si="2"/>
        <v>0</v>
      </c>
      <c r="J683" s="82">
        <f>IFERROR( SUMIFS('Stock In'!I:I,'Stock In'!B:B,$A683,'Stock In'!C:C,$B683,'Stock In'!D:D,$C683,'Stock In'!E:E,$D683) / SUMIFS('Stock In'!H:H,'Stock In'!B:B,$A683,'Stock In'!C:C,$B683,'Stock In'!D:D,$C683,'Stock In'!E:E,$D683), 0)</f>
        <v>0</v>
      </c>
      <c r="K683" s="82">
        <f t="shared" si="3"/>
        <v>0</v>
      </c>
    </row>
    <row r="684">
      <c r="A684" s="80"/>
      <c r="B684" s="80"/>
      <c r="C684" s="80"/>
      <c r="D684" s="80"/>
      <c r="E684" s="82">
        <f>IFERROR(SUMIFS('Stock In'!F:F,'Stock In'!B:B,$A684,'Stock In'!C:C,$B684,'Stock In'!D:D,$C684,'Stock In'!E:E,$D684),0)</f>
        <v>0</v>
      </c>
      <c r="F684" s="82">
        <f>IFERROR(SUMIFS(Issues!H:H, Issues!F:F, $A684, Issues!C:C, $B684, Issues!D:D, $C684, Issues!E:E, $D684), 0)</f>
        <v>0</v>
      </c>
      <c r="G684" s="82">
        <f>IFERROR(SUMIFS(Returns!H:H, Returns!F:F, $A684, Returns!C:C, $B684, Returns!D:D, $C684, Returns!E:E, $D684), 0)</f>
        <v>0</v>
      </c>
      <c r="H684" s="82">
        <f t="shared" si="1"/>
        <v>0</v>
      </c>
      <c r="I684" s="82">
        <f t="shared" si="2"/>
        <v>0</v>
      </c>
      <c r="J684" s="82">
        <f>IFERROR( SUMIFS('Stock In'!I:I,'Stock In'!B:B,$A684,'Stock In'!C:C,$B684,'Stock In'!D:D,$C684,'Stock In'!E:E,$D684) / SUMIFS('Stock In'!H:H,'Stock In'!B:B,$A684,'Stock In'!C:C,$B684,'Stock In'!D:D,$C684,'Stock In'!E:E,$D684), 0)</f>
        <v>0</v>
      </c>
      <c r="K684" s="82">
        <f t="shared" si="3"/>
        <v>0</v>
      </c>
    </row>
    <row r="685">
      <c r="A685" s="80"/>
      <c r="B685" s="80"/>
      <c r="C685" s="80"/>
      <c r="D685" s="80"/>
      <c r="E685" s="82">
        <f>IFERROR(SUMIFS('Stock In'!F:F,'Stock In'!B:B,$A685,'Stock In'!C:C,$B685,'Stock In'!D:D,$C685,'Stock In'!E:E,$D685),0)</f>
        <v>0</v>
      </c>
      <c r="F685" s="82">
        <f>IFERROR(SUMIFS(Issues!H:H, Issues!F:F, $A685, Issues!C:C, $B685, Issues!D:D, $C685, Issues!E:E, $D685), 0)</f>
        <v>0</v>
      </c>
      <c r="G685" s="82">
        <f>IFERROR(SUMIFS(Returns!H:H, Returns!F:F, $A685, Returns!C:C, $B685, Returns!D:D, $C685, Returns!E:E, $D685), 0)</f>
        <v>0</v>
      </c>
      <c r="H685" s="82">
        <f t="shared" si="1"/>
        <v>0</v>
      </c>
      <c r="I685" s="82">
        <f t="shared" si="2"/>
        <v>0</v>
      </c>
      <c r="J685" s="82">
        <f>IFERROR( SUMIFS('Stock In'!I:I,'Stock In'!B:B,$A685,'Stock In'!C:C,$B685,'Stock In'!D:D,$C685,'Stock In'!E:E,$D685) / SUMIFS('Stock In'!H:H,'Stock In'!B:B,$A685,'Stock In'!C:C,$B685,'Stock In'!D:D,$C685,'Stock In'!E:E,$D685), 0)</f>
        <v>0</v>
      </c>
      <c r="K685" s="82">
        <f t="shared" si="3"/>
        <v>0</v>
      </c>
    </row>
    <row r="686">
      <c r="A686" s="80"/>
      <c r="B686" s="80"/>
      <c r="C686" s="80"/>
      <c r="D686" s="80"/>
      <c r="E686" s="82">
        <f>IFERROR(SUMIFS('Stock In'!F:F,'Stock In'!B:B,$A686,'Stock In'!C:C,$B686,'Stock In'!D:D,$C686,'Stock In'!E:E,$D686),0)</f>
        <v>0</v>
      </c>
      <c r="F686" s="82">
        <f>IFERROR(SUMIFS(Issues!H:H, Issues!F:F, $A686, Issues!C:C, $B686, Issues!D:D, $C686, Issues!E:E, $D686), 0)</f>
        <v>0</v>
      </c>
      <c r="G686" s="82">
        <f>IFERROR(SUMIFS(Returns!H:H, Returns!F:F, $A686, Returns!C:C, $B686, Returns!D:D, $C686, Returns!E:E, $D686), 0)</f>
        <v>0</v>
      </c>
      <c r="H686" s="82">
        <f t="shared" si="1"/>
        <v>0</v>
      </c>
      <c r="I686" s="82">
        <f t="shared" si="2"/>
        <v>0</v>
      </c>
      <c r="J686" s="82">
        <f>IFERROR( SUMIFS('Stock In'!I:I,'Stock In'!B:B,$A686,'Stock In'!C:C,$B686,'Stock In'!D:D,$C686,'Stock In'!E:E,$D686) / SUMIFS('Stock In'!H:H,'Stock In'!B:B,$A686,'Stock In'!C:C,$B686,'Stock In'!D:D,$C686,'Stock In'!E:E,$D686), 0)</f>
        <v>0</v>
      </c>
      <c r="K686" s="82">
        <f t="shared" si="3"/>
        <v>0</v>
      </c>
    </row>
    <row r="687">
      <c r="A687" s="80"/>
      <c r="B687" s="80"/>
      <c r="C687" s="80"/>
      <c r="D687" s="80"/>
      <c r="E687" s="82">
        <f>IFERROR(SUMIFS('Stock In'!F:F,'Stock In'!B:B,$A687,'Stock In'!C:C,$B687,'Stock In'!D:D,$C687,'Stock In'!E:E,$D687),0)</f>
        <v>0</v>
      </c>
      <c r="F687" s="82">
        <f>IFERROR(SUMIFS(Issues!H:H, Issues!F:F, $A687, Issues!C:C, $B687, Issues!D:D, $C687, Issues!E:E, $D687), 0)</f>
        <v>0</v>
      </c>
      <c r="G687" s="82">
        <f>IFERROR(SUMIFS(Returns!H:H, Returns!F:F, $A687, Returns!C:C, $B687, Returns!D:D, $C687, Returns!E:E, $D687), 0)</f>
        <v>0</v>
      </c>
      <c r="H687" s="82">
        <f t="shared" si="1"/>
        <v>0</v>
      </c>
      <c r="I687" s="82">
        <f t="shared" si="2"/>
        <v>0</v>
      </c>
      <c r="J687" s="82">
        <f>IFERROR( SUMIFS('Stock In'!I:I,'Stock In'!B:B,$A687,'Stock In'!C:C,$B687,'Stock In'!D:D,$C687,'Stock In'!E:E,$D687) / SUMIFS('Stock In'!H:H,'Stock In'!B:B,$A687,'Stock In'!C:C,$B687,'Stock In'!D:D,$C687,'Stock In'!E:E,$D687), 0)</f>
        <v>0</v>
      </c>
      <c r="K687" s="82">
        <f t="shared" si="3"/>
        <v>0</v>
      </c>
    </row>
    <row r="688">
      <c r="A688" s="80"/>
      <c r="B688" s="80"/>
      <c r="C688" s="80"/>
      <c r="D688" s="80"/>
      <c r="E688" s="82">
        <f>IFERROR(SUMIFS('Stock In'!F:F,'Stock In'!B:B,$A688,'Stock In'!C:C,$B688,'Stock In'!D:D,$C688,'Stock In'!E:E,$D688),0)</f>
        <v>0</v>
      </c>
      <c r="F688" s="82">
        <f>IFERROR(SUMIFS(Issues!H:H, Issues!F:F, $A688, Issues!C:C, $B688, Issues!D:D, $C688, Issues!E:E, $D688), 0)</f>
        <v>0</v>
      </c>
      <c r="G688" s="82">
        <f>IFERROR(SUMIFS(Returns!H:H, Returns!F:F, $A688, Returns!C:C, $B688, Returns!D:D, $C688, Returns!E:E, $D688), 0)</f>
        <v>0</v>
      </c>
      <c r="H688" s="82">
        <f t="shared" si="1"/>
        <v>0</v>
      </c>
      <c r="I688" s="82">
        <f t="shared" si="2"/>
        <v>0</v>
      </c>
      <c r="J688" s="82">
        <f>IFERROR( SUMIFS('Stock In'!I:I,'Stock In'!B:B,$A688,'Stock In'!C:C,$B688,'Stock In'!D:D,$C688,'Stock In'!E:E,$D688) / SUMIFS('Stock In'!H:H,'Stock In'!B:B,$A688,'Stock In'!C:C,$B688,'Stock In'!D:D,$C688,'Stock In'!E:E,$D688), 0)</f>
        <v>0</v>
      </c>
      <c r="K688" s="82">
        <f t="shared" si="3"/>
        <v>0</v>
      </c>
    </row>
    <row r="689">
      <c r="A689" s="80"/>
      <c r="B689" s="80"/>
      <c r="C689" s="80"/>
      <c r="D689" s="80"/>
      <c r="E689" s="82">
        <f>IFERROR(SUMIFS('Stock In'!F:F,'Stock In'!B:B,$A689,'Stock In'!C:C,$B689,'Stock In'!D:D,$C689,'Stock In'!E:E,$D689),0)</f>
        <v>0</v>
      </c>
      <c r="F689" s="82">
        <f>IFERROR(SUMIFS(Issues!H:H, Issues!F:F, $A689, Issues!C:C, $B689, Issues!D:D, $C689, Issues!E:E, $D689), 0)</f>
        <v>0</v>
      </c>
      <c r="G689" s="82">
        <f>IFERROR(SUMIFS(Returns!H:H, Returns!F:F, $A689, Returns!C:C, $B689, Returns!D:D, $C689, Returns!E:E, $D689), 0)</f>
        <v>0</v>
      </c>
      <c r="H689" s="82">
        <f t="shared" si="1"/>
        <v>0</v>
      </c>
      <c r="I689" s="82">
        <f t="shared" si="2"/>
        <v>0</v>
      </c>
      <c r="J689" s="82">
        <f>IFERROR( SUMIFS('Stock In'!I:I,'Stock In'!B:B,$A689,'Stock In'!C:C,$B689,'Stock In'!D:D,$C689,'Stock In'!E:E,$D689) / SUMIFS('Stock In'!H:H,'Stock In'!B:B,$A689,'Stock In'!C:C,$B689,'Stock In'!D:D,$C689,'Stock In'!E:E,$D689), 0)</f>
        <v>0</v>
      </c>
      <c r="K689" s="82">
        <f t="shared" si="3"/>
        <v>0</v>
      </c>
    </row>
    <row r="690">
      <c r="A690" s="80"/>
      <c r="B690" s="80"/>
      <c r="C690" s="80"/>
      <c r="D690" s="80"/>
      <c r="E690" s="82">
        <f>IFERROR(SUMIFS('Stock In'!F:F,'Stock In'!B:B,$A690,'Stock In'!C:C,$B690,'Stock In'!D:D,$C690,'Stock In'!E:E,$D690),0)</f>
        <v>0</v>
      </c>
      <c r="F690" s="82">
        <f>IFERROR(SUMIFS(Issues!H:H, Issues!F:F, $A690, Issues!C:C, $B690, Issues!D:D, $C690, Issues!E:E, $D690), 0)</f>
        <v>0</v>
      </c>
      <c r="G690" s="82">
        <f>IFERROR(SUMIFS(Returns!H:H, Returns!F:F, $A690, Returns!C:C, $B690, Returns!D:D, $C690, Returns!E:E, $D690), 0)</f>
        <v>0</v>
      </c>
      <c r="H690" s="82">
        <f t="shared" si="1"/>
        <v>0</v>
      </c>
      <c r="I690" s="82">
        <f t="shared" si="2"/>
        <v>0</v>
      </c>
      <c r="J690" s="82">
        <f>IFERROR( SUMIFS('Stock In'!I:I,'Stock In'!B:B,$A690,'Stock In'!C:C,$B690,'Stock In'!D:D,$C690,'Stock In'!E:E,$D690) / SUMIFS('Stock In'!H:H,'Stock In'!B:B,$A690,'Stock In'!C:C,$B690,'Stock In'!D:D,$C690,'Stock In'!E:E,$D690), 0)</f>
        <v>0</v>
      </c>
      <c r="K690" s="82">
        <f t="shared" si="3"/>
        <v>0</v>
      </c>
    </row>
    <row r="691">
      <c r="A691" s="80"/>
      <c r="B691" s="80"/>
      <c r="C691" s="80"/>
      <c r="D691" s="80"/>
      <c r="E691" s="82">
        <f>IFERROR(SUMIFS('Stock In'!F:F,'Stock In'!B:B,$A691,'Stock In'!C:C,$B691,'Stock In'!D:D,$C691,'Stock In'!E:E,$D691),0)</f>
        <v>0</v>
      </c>
      <c r="F691" s="82">
        <f>IFERROR(SUMIFS(Issues!H:H, Issues!F:F, $A691, Issues!C:C, $B691, Issues!D:D, $C691, Issues!E:E, $D691), 0)</f>
        <v>0</v>
      </c>
      <c r="G691" s="82">
        <f>IFERROR(SUMIFS(Returns!H:H, Returns!F:F, $A691, Returns!C:C, $B691, Returns!D:D, $C691, Returns!E:E, $D691), 0)</f>
        <v>0</v>
      </c>
      <c r="H691" s="82">
        <f t="shared" si="1"/>
        <v>0</v>
      </c>
      <c r="I691" s="82">
        <f t="shared" si="2"/>
        <v>0</v>
      </c>
      <c r="J691" s="82">
        <f>IFERROR( SUMIFS('Stock In'!I:I,'Stock In'!B:B,$A691,'Stock In'!C:C,$B691,'Stock In'!D:D,$C691,'Stock In'!E:E,$D691) / SUMIFS('Stock In'!H:H,'Stock In'!B:B,$A691,'Stock In'!C:C,$B691,'Stock In'!D:D,$C691,'Stock In'!E:E,$D691), 0)</f>
        <v>0</v>
      </c>
      <c r="K691" s="82">
        <f t="shared" si="3"/>
        <v>0</v>
      </c>
    </row>
    <row r="692">
      <c r="A692" s="80"/>
      <c r="B692" s="80"/>
      <c r="C692" s="80"/>
      <c r="D692" s="80"/>
      <c r="E692" s="82">
        <f>IFERROR(SUMIFS('Stock In'!F:F,'Stock In'!B:B,$A692,'Stock In'!C:C,$B692,'Stock In'!D:D,$C692,'Stock In'!E:E,$D692),0)</f>
        <v>0</v>
      </c>
      <c r="F692" s="82">
        <f>IFERROR(SUMIFS(Issues!H:H, Issues!F:F, $A692, Issues!C:C, $B692, Issues!D:D, $C692, Issues!E:E, $D692), 0)</f>
        <v>0</v>
      </c>
      <c r="G692" s="82">
        <f>IFERROR(SUMIFS(Returns!H:H, Returns!F:F, $A692, Returns!C:C, $B692, Returns!D:D, $C692, Returns!E:E, $D692), 0)</f>
        <v>0</v>
      </c>
      <c r="H692" s="82">
        <f t="shared" si="1"/>
        <v>0</v>
      </c>
      <c r="I692" s="82">
        <f t="shared" si="2"/>
        <v>0</v>
      </c>
      <c r="J692" s="82">
        <f>IFERROR( SUMIFS('Stock In'!I:I,'Stock In'!B:B,$A692,'Stock In'!C:C,$B692,'Stock In'!D:D,$C692,'Stock In'!E:E,$D692) / SUMIFS('Stock In'!H:H,'Stock In'!B:B,$A692,'Stock In'!C:C,$B692,'Stock In'!D:D,$C692,'Stock In'!E:E,$D692), 0)</f>
        <v>0</v>
      </c>
      <c r="K692" s="82">
        <f t="shared" si="3"/>
        <v>0</v>
      </c>
    </row>
    <row r="693">
      <c r="A693" s="80"/>
      <c r="B693" s="80"/>
      <c r="C693" s="80"/>
      <c r="D693" s="80"/>
      <c r="E693" s="82">
        <f>IFERROR(SUMIFS('Stock In'!F:F,'Stock In'!B:B,$A693,'Stock In'!C:C,$B693,'Stock In'!D:D,$C693,'Stock In'!E:E,$D693),0)</f>
        <v>0</v>
      </c>
      <c r="F693" s="82">
        <f>IFERROR(SUMIFS(Issues!H:H, Issues!F:F, $A693, Issues!C:C, $B693, Issues!D:D, $C693, Issues!E:E, $D693), 0)</f>
        <v>0</v>
      </c>
      <c r="G693" s="82">
        <f>IFERROR(SUMIFS(Returns!H:H, Returns!F:F, $A693, Returns!C:C, $B693, Returns!D:D, $C693, Returns!E:E, $D693), 0)</f>
        <v>0</v>
      </c>
      <c r="H693" s="82">
        <f t="shared" si="1"/>
        <v>0</v>
      </c>
      <c r="I693" s="82">
        <f t="shared" si="2"/>
        <v>0</v>
      </c>
      <c r="J693" s="82">
        <f>IFERROR( SUMIFS('Stock In'!I:I,'Stock In'!B:B,$A693,'Stock In'!C:C,$B693,'Stock In'!D:D,$C693,'Stock In'!E:E,$D693) / SUMIFS('Stock In'!H:H,'Stock In'!B:B,$A693,'Stock In'!C:C,$B693,'Stock In'!D:D,$C693,'Stock In'!E:E,$D693), 0)</f>
        <v>0</v>
      </c>
      <c r="K693" s="82">
        <f t="shared" si="3"/>
        <v>0</v>
      </c>
    </row>
    <row r="694">
      <c r="A694" s="80"/>
      <c r="B694" s="80"/>
      <c r="C694" s="80"/>
      <c r="D694" s="80"/>
      <c r="E694" s="82">
        <f>IFERROR(SUMIFS('Stock In'!F:F,'Stock In'!B:B,$A694,'Stock In'!C:C,$B694,'Stock In'!D:D,$C694,'Stock In'!E:E,$D694),0)</f>
        <v>0</v>
      </c>
      <c r="F694" s="82">
        <f>IFERROR(SUMIFS(Issues!H:H, Issues!F:F, $A694, Issues!C:C, $B694, Issues!D:D, $C694, Issues!E:E, $D694), 0)</f>
        <v>0</v>
      </c>
      <c r="G694" s="82">
        <f>IFERROR(SUMIFS(Returns!H:H, Returns!F:F, $A694, Returns!C:C, $B694, Returns!D:D, $C694, Returns!E:E, $D694), 0)</f>
        <v>0</v>
      </c>
      <c r="H694" s="82">
        <f t="shared" si="1"/>
        <v>0</v>
      </c>
      <c r="I694" s="82">
        <f t="shared" si="2"/>
        <v>0</v>
      </c>
      <c r="J694" s="82">
        <f>IFERROR( SUMIFS('Stock In'!I:I,'Stock In'!B:B,$A694,'Stock In'!C:C,$B694,'Stock In'!D:D,$C694,'Stock In'!E:E,$D694) / SUMIFS('Stock In'!H:H,'Stock In'!B:B,$A694,'Stock In'!C:C,$B694,'Stock In'!D:D,$C694,'Stock In'!E:E,$D694), 0)</f>
        <v>0</v>
      </c>
      <c r="K694" s="82">
        <f t="shared" si="3"/>
        <v>0</v>
      </c>
    </row>
    <row r="695">
      <c r="A695" s="80"/>
      <c r="B695" s="80"/>
      <c r="C695" s="80"/>
      <c r="D695" s="80"/>
      <c r="E695" s="82">
        <f>IFERROR(SUMIFS('Stock In'!F:F,'Stock In'!B:B,$A695,'Stock In'!C:C,$B695,'Stock In'!D:D,$C695,'Stock In'!E:E,$D695),0)</f>
        <v>0</v>
      </c>
      <c r="F695" s="82">
        <f>IFERROR(SUMIFS(Issues!H:H, Issues!F:F, $A695, Issues!C:C, $B695, Issues!D:D, $C695, Issues!E:E, $D695), 0)</f>
        <v>0</v>
      </c>
      <c r="G695" s="82">
        <f>IFERROR(SUMIFS(Returns!H:H, Returns!F:F, $A695, Returns!C:C, $B695, Returns!D:D, $C695, Returns!E:E, $D695), 0)</f>
        <v>0</v>
      </c>
      <c r="H695" s="82">
        <f t="shared" si="1"/>
        <v>0</v>
      </c>
      <c r="I695" s="82">
        <f t="shared" si="2"/>
        <v>0</v>
      </c>
      <c r="J695" s="82">
        <f>IFERROR( SUMIFS('Stock In'!I:I,'Stock In'!B:B,$A695,'Stock In'!C:C,$B695,'Stock In'!D:D,$C695,'Stock In'!E:E,$D695) / SUMIFS('Stock In'!H:H,'Stock In'!B:B,$A695,'Stock In'!C:C,$B695,'Stock In'!D:D,$C695,'Stock In'!E:E,$D695), 0)</f>
        <v>0</v>
      </c>
      <c r="K695" s="82">
        <f t="shared" si="3"/>
        <v>0</v>
      </c>
    </row>
    <row r="696">
      <c r="A696" s="80"/>
      <c r="B696" s="80"/>
      <c r="C696" s="80"/>
      <c r="D696" s="80"/>
      <c r="E696" s="82">
        <f>IFERROR(SUMIFS('Stock In'!F:F,'Stock In'!B:B,$A696,'Stock In'!C:C,$B696,'Stock In'!D:D,$C696,'Stock In'!E:E,$D696),0)</f>
        <v>0</v>
      </c>
      <c r="F696" s="82">
        <f>IFERROR(SUMIFS(Issues!H:H, Issues!F:F, $A696, Issues!C:C, $B696, Issues!D:D, $C696, Issues!E:E, $D696), 0)</f>
        <v>0</v>
      </c>
      <c r="G696" s="82">
        <f>IFERROR(SUMIFS(Returns!H:H, Returns!F:F, $A696, Returns!C:C, $B696, Returns!D:D, $C696, Returns!E:E, $D696), 0)</f>
        <v>0</v>
      </c>
      <c r="H696" s="82">
        <f t="shared" si="1"/>
        <v>0</v>
      </c>
      <c r="I696" s="82">
        <f t="shared" si="2"/>
        <v>0</v>
      </c>
      <c r="J696" s="82">
        <f>IFERROR( SUMIFS('Stock In'!I:I,'Stock In'!B:B,$A696,'Stock In'!C:C,$B696,'Stock In'!D:D,$C696,'Stock In'!E:E,$D696) / SUMIFS('Stock In'!H:H,'Stock In'!B:B,$A696,'Stock In'!C:C,$B696,'Stock In'!D:D,$C696,'Stock In'!E:E,$D696), 0)</f>
        <v>0</v>
      </c>
      <c r="K696" s="82">
        <f t="shared" si="3"/>
        <v>0</v>
      </c>
    </row>
    <row r="697">
      <c r="A697" s="80"/>
      <c r="B697" s="80"/>
      <c r="C697" s="80"/>
      <c r="D697" s="80"/>
      <c r="E697" s="82">
        <f>IFERROR(SUMIFS('Stock In'!F:F,'Stock In'!B:B,$A697,'Stock In'!C:C,$B697,'Stock In'!D:D,$C697,'Stock In'!E:E,$D697),0)</f>
        <v>0</v>
      </c>
      <c r="F697" s="82">
        <f>IFERROR(SUMIFS(Issues!H:H, Issues!F:F, $A697, Issues!C:C, $B697, Issues!D:D, $C697, Issues!E:E, $D697), 0)</f>
        <v>0</v>
      </c>
      <c r="G697" s="82">
        <f>IFERROR(SUMIFS(Returns!H:H, Returns!F:F, $A697, Returns!C:C, $B697, Returns!D:D, $C697, Returns!E:E, $D697), 0)</f>
        <v>0</v>
      </c>
      <c r="H697" s="82">
        <f t="shared" si="1"/>
        <v>0</v>
      </c>
      <c r="I697" s="82">
        <f t="shared" si="2"/>
        <v>0</v>
      </c>
      <c r="J697" s="82">
        <f>IFERROR( SUMIFS('Stock In'!I:I,'Stock In'!B:B,$A697,'Stock In'!C:C,$B697,'Stock In'!D:D,$C697,'Stock In'!E:E,$D697) / SUMIFS('Stock In'!H:H,'Stock In'!B:B,$A697,'Stock In'!C:C,$B697,'Stock In'!D:D,$C697,'Stock In'!E:E,$D697), 0)</f>
        <v>0</v>
      </c>
      <c r="K697" s="82">
        <f t="shared" si="3"/>
        <v>0</v>
      </c>
    </row>
    <row r="698">
      <c r="A698" s="80"/>
      <c r="B698" s="80"/>
      <c r="C698" s="80"/>
      <c r="D698" s="80"/>
      <c r="E698" s="82">
        <f>IFERROR(SUMIFS('Stock In'!F:F,'Stock In'!B:B,$A698,'Stock In'!C:C,$B698,'Stock In'!D:D,$C698,'Stock In'!E:E,$D698),0)</f>
        <v>0</v>
      </c>
      <c r="F698" s="82">
        <f>IFERROR(SUMIFS(Issues!H:H, Issues!F:F, $A698, Issues!C:C, $B698, Issues!D:D, $C698, Issues!E:E, $D698), 0)</f>
        <v>0</v>
      </c>
      <c r="G698" s="82">
        <f>IFERROR(SUMIFS(Returns!H:H, Returns!F:F, $A698, Returns!C:C, $B698, Returns!D:D, $C698, Returns!E:E, $D698), 0)</f>
        <v>0</v>
      </c>
      <c r="H698" s="82">
        <f t="shared" si="1"/>
        <v>0</v>
      </c>
      <c r="I698" s="82">
        <f t="shared" si="2"/>
        <v>0</v>
      </c>
      <c r="J698" s="82">
        <f>IFERROR( SUMIFS('Stock In'!I:I,'Stock In'!B:B,$A698,'Stock In'!C:C,$B698,'Stock In'!D:D,$C698,'Stock In'!E:E,$D698) / SUMIFS('Stock In'!H:H,'Stock In'!B:B,$A698,'Stock In'!C:C,$B698,'Stock In'!D:D,$C698,'Stock In'!E:E,$D698), 0)</f>
        <v>0</v>
      </c>
      <c r="K698" s="82">
        <f t="shared" si="3"/>
        <v>0</v>
      </c>
    </row>
    <row r="699">
      <c r="A699" s="80"/>
      <c r="B699" s="80"/>
      <c r="C699" s="80"/>
      <c r="D699" s="80"/>
      <c r="E699" s="82">
        <f>IFERROR(SUMIFS('Stock In'!F:F,'Stock In'!B:B,$A699,'Stock In'!C:C,$B699,'Stock In'!D:D,$C699,'Stock In'!E:E,$D699),0)</f>
        <v>0</v>
      </c>
      <c r="F699" s="82">
        <f>IFERROR(SUMIFS(Issues!H:H, Issues!F:F, $A699, Issues!C:C, $B699, Issues!D:D, $C699, Issues!E:E, $D699), 0)</f>
        <v>0</v>
      </c>
      <c r="G699" s="82">
        <f>IFERROR(SUMIFS(Returns!H:H, Returns!F:F, $A699, Returns!C:C, $B699, Returns!D:D, $C699, Returns!E:E, $D699), 0)</f>
        <v>0</v>
      </c>
      <c r="H699" s="82">
        <f t="shared" si="1"/>
        <v>0</v>
      </c>
      <c r="I699" s="82">
        <f t="shared" si="2"/>
        <v>0</v>
      </c>
      <c r="J699" s="82">
        <f>IFERROR( SUMIFS('Stock In'!I:I,'Stock In'!B:B,$A699,'Stock In'!C:C,$B699,'Stock In'!D:D,$C699,'Stock In'!E:E,$D699) / SUMIFS('Stock In'!H:H,'Stock In'!B:B,$A699,'Stock In'!C:C,$B699,'Stock In'!D:D,$C699,'Stock In'!E:E,$D699), 0)</f>
        <v>0</v>
      </c>
      <c r="K699" s="82">
        <f t="shared" si="3"/>
        <v>0</v>
      </c>
    </row>
    <row r="700">
      <c r="A700" s="80"/>
      <c r="B700" s="80"/>
      <c r="C700" s="80"/>
      <c r="D700" s="80"/>
      <c r="E700" s="82">
        <f>IFERROR(SUMIFS('Stock In'!F:F,'Stock In'!B:B,$A700,'Stock In'!C:C,$B700,'Stock In'!D:D,$C700,'Stock In'!E:E,$D700),0)</f>
        <v>0</v>
      </c>
      <c r="F700" s="82">
        <f>IFERROR(SUMIFS(Issues!H:H, Issues!F:F, $A700, Issues!C:C, $B700, Issues!D:D, $C700, Issues!E:E, $D700), 0)</f>
        <v>0</v>
      </c>
      <c r="G700" s="82">
        <f>IFERROR(SUMIFS(Returns!H:H, Returns!F:F, $A700, Returns!C:C, $B700, Returns!D:D, $C700, Returns!E:E, $D700), 0)</f>
        <v>0</v>
      </c>
      <c r="H700" s="82">
        <f t="shared" si="1"/>
        <v>0</v>
      </c>
      <c r="I700" s="82">
        <f t="shared" si="2"/>
        <v>0</v>
      </c>
      <c r="J700" s="82">
        <f>IFERROR( SUMIFS('Stock In'!I:I,'Stock In'!B:B,$A700,'Stock In'!C:C,$B700,'Stock In'!D:D,$C700,'Stock In'!E:E,$D700) / SUMIFS('Stock In'!H:H,'Stock In'!B:B,$A700,'Stock In'!C:C,$B700,'Stock In'!D:D,$C700,'Stock In'!E:E,$D700), 0)</f>
        <v>0</v>
      </c>
      <c r="K700" s="82">
        <f t="shared" si="3"/>
        <v>0</v>
      </c>
    </row>
    <row r="701">
      <c r="A701" s="80"/>
      <c r="B701" s="80"/>
      <c r="C701" s="80"/>
      <c r="D701" s="80"/>
      <c r="E701" s="82">
        <f>IFERROR(SUMIFS('Stock In'!F:F,'Stock In'!B:B,$A701,'Stock In'!C:C,$B701,'Stock In'!D:D,$C701,'Stock In'!E:E,$D701),0)</f>
        <v>0</v>
      </c>
      <c r="F701" s="82">
        <f>IFERROR(SUMIFS(Issues!H:H, Issues!F:F, $A701, Issues!C:C, $B701, Issues!D:D, $C701, Issues!E:E, $D701), 0)</f>
        <v>0</v>
      </c>
      <c r="G701" s="82">
        <f>IFERROR(SUMIFS(Returns!H:H, Returns!F:F, $A701, Returns!C:C, $B701, Returns!D:D, $C701, Returns!E:E, $D701), 0)</f>
        <v>0</v>
      </c>
      <c r="H701" s="82">
        <f t="shared" si="1"/>
        <v>0</v>
      </c>
      <c r="I701" s="82">
        <f t="shared" si="2"/>
        <v>0</v>
      </c>
      <c r="J701" s="82">
        <f>IFERROR( SUMIFS('Stock In'!I:I,'Stock In'!B:B,$A701,'Stock In'!C:C,$B701,'Stock In'!D:D,$C701,'Stock In'!E:E,$D701) / SUMIFS('Stock In'!H:H,'Stock In'!B:B,$A701,'Stock In'!C:C,$B701,'Stock In'!D:D,$C701,'Stock In'!E:E,$D701), 0)</f>
        <v>0</v>
      </c>
      <c r="K701" s="82">
        <f t="shared" si="3"/>
        <v>0</v>
      </c>
    </row>
    <row r="702">
      <c r="A702" s="80"/>
      <c r="B702" s="80"/>
      <c r="C702" s="80"/>
      <c r="D702" s="80"/>
      <c r="E702" s="82">
        <f>IFERROR(SUMIFS('Stock In'!F:F,'Stock In'!B:B,$A702,'Stock In'!C:C,$B702,'Stock In'!D:D,$C702,'Stock In'!E:E,$D702),0)</f>
        <v>0</v>
      </c>
      <c r="F702" s="82">
        <f>IFERROR(SUMIFS(Issues!H:H, Issues!F:F, $A702, Issues!C:C, $B702, Issues!D:D, $C702, Issues!E:E, $D702), 0)</f>
        <v>0</v>
      </c>
      <c r="G702" s="82">
        <f>IFERROR(SUMIFS(Returns!H:H, Returns!F:F, $A702, Returns!C:C, $B702, Returns!D:D, $C702, Returns!E:E, $D702), 0)</f>
        <v>0</v>
      </c>
      <c r="H702" s="82">
        <f t="shared" si="1"/>
        <v>0</v>
      </c>
      <c r="I702" s="82">
        <f t="shared" si="2"/>
        <v>0</v>
      </c>
      <c r="J702" s="82">
        <f>IFERROR( SUMIFS('Stock In'!I:I,'Stock In'!B:B,$A702,'Stock In'!C:C,$B702,'Stock In'!D:D,$C702,'Stock In'!E:E,$D702) / SUMIFS('Stock In'!H:H,'Stock In'!B:B,$A702,'Stock In'!C:C,$B702,'Stock In'!D:D,$C702,'Stock In'!E:E,$D702), 0)</f>
        <v>0</v>
      </c>
      <c r="K702" s="82">
        <f t="shared" si="3"/>
        <v>0</v>
      </c>
    </row>
    <row r="703">
      <c r="A703" s="80"/>
      <c r="B703" s="80"/>
      <c r="C703" s="80"/>
      <c r="D703" s="80"/>
      <c r="E703" s="82">
        <f>IFERROR(SUMIFS('Stock In'!F:F,'Stock In'!B:B,$A703,'Stock In'!C:C,$B703,'Stock In'!D:D,$C703,'Stock In'!E:E,$D703),0)</f>
        <v>0</v>
      </c>
      <c r="F703" s="82">
        <f>IFERROR(SUMIFS(Issues!H:H, Issues!F:F, $A703, Issues!C:C, $B703, Issues!D:D, $C703, Issues!E:E, $D703), 0)</f>
        <v>0</v>
      </c>
      <c r="G703" s="82">
        <f>IFERROR(SUMIFS(Returns!H:H, Returns!F:F, $A703, Returns!C:C, $B703, Returns!D:D, $C703, Returns!E:E, $D703), 0)</f>
        <v>0</v>
      </c>
      <c r="H703" s="82">
        <f t="shared" si="1"/>
        <v>0</v>
      </c>
      <c r="I703" s="82">
        <f t="shared" si="2"/>
        <v>0</v>
      </c>
      <c r="J703" s="82">
        <f>IFERROR( SUMIFS('Stock In'!I:I,'Stock In'!B:B,$A703,'Stock In'!C:C,$B703,'Stock In'!D:D,$C703,'Stock In'!E:E,$D703) / SUMIFS('Stock In'!H:H,'Stock In'!B:B,$A703,'Stock In'!C:C,$B703,'Stock In'!D:D,$C703,'Stock In'!E:E,$D703), 0)</f>
        <v>0</v>
      </c>
      <c r="K703" s="82">
        <f t="shared" si="3"/>
        <v>0</v>
      </c>
    </row>
    <row r="704">
      <c r="A704" s="80"/>
      <c r="B704" s="80"/>
      <c r="C704" s="80"/>
      <c r="D704" s="80"/>
      <c r="E704" s="82">
        <f>IFERROR(SUMIFS('Stock In'!F:F,'Stock In'!B:B,$A704,'Stock In'!C:C,$B704,'Stock In'!D:D,$C704,'Stock In'!E:E,$D704),0)</f>
        <v>0</v>
      </c>
      <c r="F704" s="82">
        <f>IFERROR(SUMIFS(Issues!H:H, Issues!F:F, $A704, Issues!C:C, $B704, Issues!D:D, $C704, Issues!E:E, $D704), 0)</f>
        <v>0</v>
      </c>
      <c r="G704" s="82">
        <f>IFERROR(SUMIFS(Returns!H:H, Returns!F:F, $A704, Returns!C:C, $B704, Returns!D:D, $C704, Returns!E:E, $D704), 0)</f>
        <v>0</v>
      </c>
      <c r="H704" s="82">
        <f t="shared" si="1"/>
        <v>0</v>
      </c>
      <c r="I704" s="82">
        <f t="shared" si="2"/>
        <v>0</v>
      </c>
      <c r="J704" s="82">
        <f>IFERROR( SUMIFS('Stock In'!I:I,'Stock In'!B:B,$A704,'Stock In'!C:C,$B704,'Stock In'!D:D,$C704,'Stock In'!E:E,$D704) / SUMIFS('Stock In'!H:H,'Stock In'!B:B,$A704,'Stock In'!C:C,$B704,'Stock In'!D:D,$C704,'Stock In'!E:E,$D704), 0)</f>
        <v>0</v>
      </c>
      <c r="K704" s="82">
        <f t="shared" si="3"/>
        <v>0</v>
      </c>
    </row>
    <row r="705">
      <c r="A705" s="80"/>
      <c r="B705" s="80"/>
      <c r="C705" s="80"/>
      <c r="D705" s="80"/>
      <c r="E705" s="82">
        <f>IFERROR(SUMIFS('Stock In'!F:F,'Stock In'!B:B,$A705,'Stock In'!C:C,$B705,'Stock In'!D:D,$C705,'Stock In'!E:E,$D705),0)</f>
        <v>0</v>
      </c>
      <c r="F705" s="82">
        <f>IFERROR(SUMIFS(Issues!H:H, Issues!F:F, $A705, Issues!C:C, $B705, Issues!D:D, $C705, Issues!E:E, $D705), 0)</f>
        <v>0</v>
      </c>
      <c r="G705" s="82">
        <f>IFERROR(SUMIFS(Returns!H:H, Returns!F:F, $A705, Returns!C:C, $B705, Returns!D:D, $C705, Returns!E:E, $D705), 0)</f>
        <v>0</v>
      </c>
      <c r="H705" s="82">
        <f t="shared" si="1"/>
        <v>0</v>
      </c>
      <c r="I705" s="82">
        <f t="shared" si="2"/>
        <v>0</v>
      </c>
      <c r="J705" s="82">
        <f>IFERROR( SUMIFS('Stock In'!I:I,'Stock In'!B:B,$A705,'Stock In'!C:C,$B705,'Stock In'!D:D,$C705,'Stock In'!E:E,$D705) / SUMIFS('Stock In'!H:H,'Stock In'!B:B,$A705,'Stock In'!C:C,$B705,'Stock In'!D:D,$C705,'Stock In'!E:E,$D705), 0)</f>
        <v>0</v>
      </c>
      <c r="K705" s="82">
        <f t="shared" si="3"/>
        <v>0</v>
      </c>
    </row>
    <row r="706">
      <c r="A706" s="80"/>
      <c r="B706" s="80"/>
      <c r="C706" s="80"/>
      <c r="D706" s="80"/>
      <c r="E706" s="82">
        <f>IFERROR(SUMIFS('Stock In'!F:F,'Stock In'!B:B,$A706,'Stock In'!C:C,$B706,'Stock In'!D:D,$C706,'Stock In'!E:E,$D706),0)</f>
        <v>0</v>
      </c>
      <c r="F706" s="82">
        <f>IFERROR(SUMIFS(Issues!H:H, Issues!F:F, $A706, Issues!C:C, $B706, Issues!D:D, $C706, Issues!E:E, $D706), 0)</f>
        <v>0</v>
      </c>
      <c r="G706" s="82">
        <f>IFERROR(SUMIFS(Returns!H:H, Returns!F:F, $A706, Returns!C:C, $B706, Returns!D:D, $C706, Returns!E:E, $D706), 0)</f>
        <v>0</v>
      </c>
      <c r="H706" s="82">
        <f t="shared" si="1"/>
        <v>0</v>
      </c>
      <c r="I706" s="82">
        <f t="shared" si="2"/>
        <v>0</v>
      </c>
      <c r="J706" s="82">
        <f>IFERROR( SUMIFS('Stock In'!I:I,'Stock In'!B:B,$A706,'Stock In'!C:C,$B706,'Stock In'!D:D,$C706,'Stock In'!E:E,$D706) / SUMIFS('Stock In'!H:H,'Stock In'!B:B,$A706,'Stock In'!C:C,$B706,'Stock In'!D:D,$C706,'Stock In'!E:E,$D706), 0)</f>
        <v>0</v>
      </c>
      <c r="K706" s="82">
        <f t="shared" si="3"/>
        <v>0</v>
      </c>
    </row>
    <row r="707">
      <c r="A707" s="80"/>
      <c r="B707" s="80"/>
      <c r="C707" s="80"/>
      <c r="D707" s="80"/>
      <c r="E707" s="82">
        <f>IFERROR(SUMIFS('Stock In'!F:F,'Stock In'!B:B,$A707,'Stock In'!C:C,$B707,'Stock In'!D:D,$C707,'Stock In'!E:E,$D707),0)</f>
        <v>0</v>
      </c>
      <c r="F707" s="82">
        <f>IFERROR(SUMIFS(Issues!H:H, Issues!F:F, $A707, Issues!C:C, $B707, Issues!D:D, $C707, Issues!E:E, $D707), 0)</f>
        <v>0</v>
      </c>
      <c r="G707" s="82">
        <f>IFERROR(SUMIFS(Returns!H:H, Returns!F:F, $A707, Returns!C:C, $B707, Returns!D:D, $C707, Returns!E:E, $D707), 0)</f>
        <v>0</v>
      </c>
      <c r="H707" s="82">
        <f t="shared" si="1"/>
        <v>0</v>
      </c>
      <c r="I707" s="82">
        <f t="shared" si="2"/>
        <v>0</v>
      </c>
      <c r="J707" s="82">
        <f>IFERROR( SUMIFS('Stock In'!I:I,'Stock In'!B:B,$A707,'Stock In'!C:C,$B707,'Stock In'!D:D,$C707,'Stock In'!E:E,$D707) / SUMIFS('Stock In'!H:H,'Stock In'!B:B,$A707,'Stock In'!C:C,$B707,'Stock In'!D:D,$C707,'Stock In'!E:E,$D707), 0)</f>
        <v>0</v>
      </c>
      <c r="K707" s="82">
        <f t="shared" si="3"/>
        <v>0</v>
      </c>
    </row>
    <row r="708">
      <c r="A708" s="80"/>
      <c r="B708" s="80"/>
      <c r="C708" s="80"/>
      <c r="D708" s="80"/>
      <c r="E708" s="82">
        <f>IFERROR(SUMIFS('Stock In'!F:F,'Stock In'!B:B,$A708,'Stock In'!C:C,$B708,'Stock In'!D:D,$C708,'Stock In'!E:E,$D708),0)</f>
        <v>0</v>
      </c>
      <c r="F708" s="82">
        <f>IFERROR(SUMIFS(Issues!H:H, Issues!F:F, $A708, Issues!C:C, $B708, Issues!D:D, $C708, Issues!E:E, $D708), 0)</f>
        <v>0</v>
      </c>
      <c r="G708" s="82">
        <f>IFERROR(SUMIFS(Returns!H:H, Returns!F:F, $A708, Returns!C:C, $B708, Returns!D:D, $C708, Returns!E:E, $D708), 0)</f>
        <v>0</v>
      </c>
      <c r="H708" s="82">
        <f t="shared" si="1"/>
        <v>0</v>
      </c>
      <c r="I708" s="82">
        <f t="shared" si="2"/>
        <v>0</v>
      </c>
      <c r="J708" s="82">
        <f>IFERROR( SUMIFS('Stock In'!I:I,'Stock In'!B:B,$A708,'Stock In'!C:C,$B708,'Stock In'!D:D,$C708,'Stock In'!E:E,$D708) / SUMIFS('Stock In'!H:H,'Stock In'!B:B,$A708,'Stock In'!C:C,$B708,'Stock In'!D:D,$C708,'Stock In'!E:E,$D708), 0)</f>
        <v>0</v>
      </c>
      <c r="K708" s="82">
        <f t="shared" si="3"/>
        <v>0</v>
      </c>
    </row>
    <row r="709">
      <c r="A709" s="80"/>
      <c r="B709" s="80"/>
      <c r="C709" s="80"/>
      <c r="D709" s="80"/>
      <c r="E709" s="82">
        <f>IFERROR(SUMIFS('Stock In'!F:F,'Stock In'!B:B,$A709,'Stock In'!C:C,$B709,'Stock In'!D:D,$C709,'Stock In'!E:E,$D709),0)</f>
        <v>0</v>
      </c>
      <c r="F709" s="82">
        <f>IFERROR(SUMIFS(Issues!H:H, Issues!F:F, $A709, Issues!C:C, $B709, Issues!D:D, $C709, Issues!E:E, $D709), 0)</f>
        <v>0</v>
      </c>
      <c r="G709" s="82">
        <f>IFERROR(SUMIFS(Returns!H:H, Returns!F:F, $A709, Returns!C:C, $B709, Returns!D:D, $C709, Returns!E:E, $D709), 0)</f>
        <v>0</v>
      </c>
      <c r="H709" s="82">
        <f t="shared" si="1"/>
        <v>0</v>
      </c>
      <c r="I709" s="82">
        <f t="shared" si="2"/>
        <v>0</v>
      </c>
      <c r="J709" s="82">
        <f>IFERROR( SUMIFS('Stock In'!I:I,'Stock In'!B:B,$A709,'Stock In'!C:C,$B709,'Stock In'!D:D,$C709,'Stock In'!E:E,$D709) / SUMIFS('Stock In'!H:H,'Stock In'!B:B,$A709,'Stock In'!C:C,$B709,'Stock In'!D:D,$C709,'Stock In'!E:E,$D709), 0)</f>
        <v>0</v>
      </c>
      <c r="K709" s="82">
        <f t="shared" si="3"/>
        <v>0</v>
      </c>
    </row>
    <row r="710">
      <c r="A710" s="80"/>
      <c r="B710" s="80"/>
      <c r="C710" s="80"/>
      <c r="D710" s="80"/>
      <c r="E710" s="82">
        <f>IFERROR(SUMIFS('Stock In'!F:F,'Stock In'!B:B,$A710,'Stock In'!C:C,$B710,'Stock In'!D:D,$C710,'Stock In'!E:E,$D710),0)</f>
        <v>0</v>
      </c>
      <c r="F710" s="82">
        <f>IFERROR(SUMIFS(Issues!H:H, Issues!F:F, $A710, Issues!C:C, $B710, Issues!D:D, $C710, Issues!E:E, $D710), 0)</f>
        <v>0</v>
      </c>
      <c r="G710" s="82">
        <f>IFERROR(SUMIFS(Returns!H:H, Returns!F:F, $A710, Returns!C:C, $B710, Returns!D:D, $C710, Returns!E:E, $D710), 0)</f>
        <v>0</v>
      </c>
      <c r="H710" s="82">
        <f t="shared" si="1"/>
        <v>0</v>
      </c>
      <c r="I710" s="82">
        <f t="shared" si="2"/>
        <v>0</v>
      </c>
      <c r="J710" s="82">
        <f>IFERROR( SUMIFS('Stock In'!I:I,'Stock In'!B:B,$A710,'Stock In'!C:C,$B710,'Stock In'!D:D,$C710,'Stock In'!E:E,$D710) / SUMIFS('Stock In'!H:H,'Stock In'!B:B,$A710,'Stock In'!C:C,$B710,'Stock In'!D:D,$C710,'Stock In'!E:E,$D710), 0)</f>
        <v>0</v>
      </c>
      <c r="K710" s="82">
        <f t="shared" si="3"/>
        <v>0</v>
      </c>
    </row>
    <row r="711">
      <c r="A711" s="80"/>
      <c r="B711" s="80"/>
      <c r="C711" s="80"/>
      <c r="D711" s="80"/>
      <c r="E711" s="82">
        <f>IFERROR(SUMIFS('Stock In'!F:F,'Stock In'!B:B,$A711,'Stock In'!C:C,$B711,'Stock In'!D:D,$C711,'Stock In'!E:E,$D711),0)</f>
        <v>0</v>
      </c>
      <c r="F711" s="82">
        <f>IFERROR(SUMIFS(Issues!H:H, Issues!F:F, $A711, Issues!C:C, $B711, Issues!D:D, $C711, Issues!E:E, $D711), 0)</f>
        <v>0</v>
      </c>
      <c r="G711" s="82">
        <f>IFERROR(SUMIFS(Returns!H:H, Returns!F:F, $A711, Returns!C:C, $B711, Returns!D:D, $C711, Returns!E:E, $D711), 0)</f>
        <v>0</v>
      </c>
      <c r="H711" s="82">
        <f t="shared" si="1"/>
        <v>0</v>
      </c>
      <c r="I711" s="82">
        <f t="shared" si="2"/>
        <v>0</v>
      </c>
      <c r="J711" s="82">
        <f>IFERROR( SUMIFS('Stock In'!I:I,'Stock In'!B:B,$A711,'Stock In'!C:C,$B711,'Stock In'!D:D,$C711,'Stock In'!E:E,$D711) / SUMIFS('Stock In'!H:H,'Stock In'!B:B,$A711,'Stock In'!C:C,$B711,'Stock In'!D:D,$C711,'Stock In'!E:E,$D711), 0)</f>
        <v>0</v>
      </c>
      <c r="K711" s="82">
        <f t="shared" si="3"/>
        <v>0</v>
      </c>
    </row>
    <row r="712">
      <c r="A712" s="80"/>
      <c r="B712" s="80"/>
      <c r="C712" s="80"/>
      <c r="D712" s="80"/>
      <c r="E712" s="82">
        <f>IFERROR(SUMIFS('Stock In'!F:F,'Stock In'!B:B,$A712,'Stock In'!C:C,$B712,'Stock In'!D:D,$C712,'Stock In'!E:E,$D712),0)</f>
        <v>0</v>
      </c>
      <c r="F712" s="82">
        <f>IFERROR(SUMIFS(Issues!H:H, Issues!F:F, $A712, Issues!C:C, $B712, Issues!D:D, $C712, Issues!E:E, $D712), 0)</f>
        <v>0</v>
      </c>
      <c r="G712" s="82">
        <f>IFERROR(SUMIFS(Returns!H:H, Returns!F:F, $A712, Returns!C:C, $B712, Returns!D:D, $C712, Returns!E:E, $D712), 0)</f>
        <v>0</v>
      </c>
      <c r="H712" s="82">
        <f t="shared" si="1"/>
        <v>0</v>
      </c>
      <c r="I712" s="82">
        <f t="shared" si="2"/>
        <v>0</v>
      </c>
      <c r="J712" s="82">
        <f>IFERROR( SUMIFS('Stock In'!I:I,'Stock In'!B:B,$A712,'Stock In'!C:C,$B712,'Stock In'!D:D,$C712,'Stock In'!E:E,$D712) / SUMIFS('Stock In'!H:H,'Stock In'!B:B,$A712,'Stock In'!C:C,$B712,'Stock In'!D:D,$C712,'Stock In'!E:E,$D712), 0)</f>
        <v>0</v>
      </c>
      <c r="K712" s="82">
        <f t="shared" si="3"/>
        <v>0</v>
      </c>
    </row>
    <row r="713">
      <c r="A713" s="80"/>
      <c r="B713" s="80"/>
      <c r="C713" s="80"/>
      <c r="D713" s="80"/>
      <c r="E713" s="82">
        <f>IFERROR(SUMIFS('Stock In'!F:F,'Stock In'!B:B,$A713,'Stock In'!C:C,$B713,'Stock In'!D:D,$C713,'Stock In'!E:E,$D713),0)</f>
        <v>0</v>
      </c>
      <c r="F713" s="82">
        <f>IFERROR(SUMIFS(Issues!H:H, Issues!F:F, $A713, Issues!C:C, $B713, Issues!D:D, $C713, Issues!E:E, $D713), 0)</f>
        <v>0</v>
      </c>
      <c r="G713" s="82">
        <f>IFERROR(SUMIFS(Returns!H:H, Returns!F:F, $A713, Returns!C:C, $B713, Returns!D:D, $C713, Returns!E:E, $D713), 0)</f>
        <v>0</v>
      </c>
      <c r="H713" s="82">
        <f t="shared" si="1"/>
        <v>0</v>
      </c>
      <c r="I713" s="82">
        <f t="shared" si="2"/>
        <v>0</v>
      </c>
      <c r="J713" s="82">
        <f>IFERROR( SUMIFS('Stock In'!I:I,'Stock In'!B:B,$A713,'Stock In'!C:C,$B713,'Stock In'!D:D,$C713,'Stock In'!E:E,$D713) / SUMIFS('Stock In'!H:H,'Stock In'!B:B,$A713,'Stock In'!C:C,$B713,'Stock In'!D:D,$C713,'Stock In'!E:E,$D713), 0)</f>
        <v>0</v>
      </c>
      <c r="K713" s="82">
        <f t="shared" si="3"/>
        <v>0</v>
      </c>
    </row>
    <row r="714">
      <c r="A714" s="80"/>
      <c r="B714" s="80"/>
      <c r="C714" s="80"/>
      <c r="D714" s="80"/>
      <c r="E714" s="82">
        <f>IFERROR(SUMIFS('Stock In'!F:F,'Stock In'!B:B,$A714,'Stock In'!C:C,$B714,'Stock In'!D:D,$C714,'Stock In'!E:E,$D714),0)</f>
        <v>0</v>
      </c>
      <c r="F714" s="82">
        <f>IFERROR(SUMIFS(Issues!H:H, Issues!F:F, $A714, Issues!C:C, $B714, Issues!D:D, $C714, Issues!E:E, $D714), 0)</f>
        <v>0</v>
      </c>
      <c r="G714" s="82">
        <f>IFERROR(SUMIFS(Returns!H:H, Returns!F:F, $A714, Returns!C:C, $B714, Returns!D:D, $C714, Returns!E:E, $D714), 0)</f>
        <v>0</v>
      </c>
      <c r="H714" s="82">
        <f t="shared" si="1"/>
        <v>0</v>
      </c>
      <c r="I714" s="82">
        <f t="shared" si="2"/>
        <v>0</v>
      </c>
      <c r="J714" s="82">
        <f>IFERROR( SUMIFS('Stock In'!I:I,'Stock In'!B:B,$A714,'Stock In'!C:C,$B714,'Stock In'!D:D,$C714,'Stock In'!E:E,$D714) / SUMIFS('Stock In'!H:H,'Stock In'!B:B,$A714,'Stock In'!C:C,$B714,'Stock In'!D:D,$C714,'Stock In'!E:E,$D714), 0)</f>
        <v>0</v>
      </c>
      <c r="K714" s="82">
        <f t="shared" si="3"/>
        <v>0</v>
      </c>
    </row>
    <row r="715">
      <c r="A715" s="80"/>
      <c r="B715" s="80"/>
      <c r="C715" s="80"/>
      <c r="D715" s="80"/>
      <c r="E715" s="82">
        <f>IFERROR(SUMIFS('Stock In'!F:F,'Stock In'!B:B,$A715,'Stock In'!C:C,$B715,'Stock In'!D:D,$C715,'Stock In'!E:E,$D715),0)</f>
        <v>0</v>
      </c>
      <c r="F715" s="82">
        <f>IFERROR(SUMIFS(Issues!H:H, Issues!F:F, $A715, Issues!C:C, $B715, Issues!D:D, $C715, Issues!E:E, $D715), 0)</f>
        <v>0</v>
      </c>
      <c r="G715" s="82">
        <f>IFERROR(SUMIFS(Returns!H:H, Returns!F:F, $A715, Returns!C:C, $B715, Returns!D:D, $C715, Returns!E:E, $D715), 0)</f>
        <v>0</v>
      </c>
      <c r="H715" s="82">
        <f t="shared" si="1"/>
        <v>0</v>
      </c>
      <c r="I715" s="82">
        <f t="shared" si="2"/>
        <v>0</v>
      </c>
      <c r="J715" s="82">
        <f>IFERROR( SUMIFS('Stock In'!I:I,'Stock In'!B:B,$A715,'Stock In'!C:C,$B715,'Stock In'!D:D,$C715,'Stock In'!E:E,$D715) / SUMIFS('Stock In'!H:H,'Stock In'!B:B,$A715,'Stock In'!C:C,$B715,'Stock In'!D:D,$C715,'Stock In'!E:E,$D715), 0)</f>
        <v>0</v>
      </c>
      <c r="K715" s="82">
        <f t="shared" si="3"/>
        <v>0</v>
      </c>
    </row>
    <row r="716">
      <c r="A716" s="80"/>
      <c r="B716" s="80"/>
      <c r="C716" s="80"/>
      <c r="D716" s="80"/>
      <c r="E716" s="82">
        <f>IFERROR(SUMIFS('Stock In'!F:F,'Stock In'!B:B,$A716,'Stock In'!C:C,$B716,'Stock In'!D:D,$C716,'Stock In'!E:E,$D716),0)</f>
        <v>0</v>
      </c>
      <c r="F716" s="82">
        <f>IFERROR(SUMIFS(Issues!H:H, Issues!F:F, $A716, Issues!C:C, $B716, Issues!D:D, $C716, Issues!E:E, $D716), 0)</f>
        <v>0</v>
      </c>
      <c r="G716" s="82">
        <f>IFERROR(SUMIFS(Returns!H:H, Returns!F:F, $A716, Returns!C:C, $B716, Returns!D:D, $C716, Returns!E:E, $D716), 0)</f>
        <v>0</v>
      </c>
      <c r="H716" s="82">
        <f t="shared" si="1"/>
        <v>0</v>
      </c>
      <c r="I716" s="82">
        <f t="shared" si="2"/>
        <v>0</v>
      </c>
      <c r="J716" s="82">
        <f>IFERROR( SUMIFS('Stock In'!I:I,'Stock In'!B:B,$A716,'Stock In'!C:C,$B716,'Stock In'!D:D,$C716,'Stock In'!E:E,$D716) / SUMIFS('Stock In'!H:H,'Stock In'!B:B,$A716,'Stock In'!C:C,$B716,'Stock In'!D:D,$C716,'Stock In'!E:E,$D716), 0)</f>
        <v>0</v>
      </c>
      <c r="K716" s="82">
        <f t="shared" si="3"/>
        <v>0</v>
      </c>
    </row>
    <row r="717">
      <c r="A717" s="80"/>
      <c r="B717" s="80"/>
      <c r="C717" s="80"/>
      <c r="D717" s="80"/>
      <c r="E717" s="82">
        <f>IFERROR(SUMIFS('Stock In'!F:F,'Stock In'!B:B,$A717,'Stock In'!C:C,$B717,'Stock In'!D:D,$C717,'Stock In'!E:E,$D717),0)</f>
        <v>0</v>
      </c>
      <c r="F717" s="82">
        <f>IFERROR(SUMIFS(Issues!H:H, Issues!F:F, $A717, Issues!C:C, $B717, Issues!D:D, $C717, Issues!E:E, $D717), 0)</f>
        <v>0</v>
      </c>
      <c r="G717" s="82">
        <f>IFERROR(SUMIFS(Returns!H:H, Returns!F:F, $A717, Returns!C:C, $B717, Returns!D:D, $C717, Returns!E:E, $D717), 0)</f>
        <v>0</v>
      </c>
      <c r="H717" s="82">
        <f t="shared" si="1"/>
        <v>0</v>
      </c>
      <c r="I717" s="82">
        <f t="shared" si="2"/>
        <v>0</v>
      </c>
      <c r="J717" s="82">
        <f>IFERROR( SUMIFS('Stock In'!I:I,'Stock In'!B:B,$A717,'Stock In'!C:C,$B717,'Stock In'!D:D,$C717,'Stock In'!E:E,$D717) / SUMIFS('Stock In'!H:H,'Stock In'!B:B,$A717,'Stock In'!C:C,$B717,'Stock In'!D:D,$C717,'Stock In'!E:E,$D717), 0)</f>
        <v>0</v>
      </c>
      <c r="K717" s="82">
        <f t="shared" si="3"/>
        <v>0</v>
      </c>
    </row>
    <row r="718">
      <c r="A718" s="80"/>
      <c r="B718" s="80"/>
      <c r="C718" s="80"/>
      <c r="D718" s="80"/>
      <c r="E718" s="82">
        <f>IFERROR(SUMIFS('Stock In'!F:F,'Stock In'!B:B,$A718,'Stock In'!C:C,$B718,'Stock In'!D:D,$C718,'Stock In'!E:E,$D718),0)</f>
        <v>0</v>
      </c>
      <c r="F718" s="82">
        <f>IFERROR(SUMIFS(Issues!H:H, Issues!F:F, $A718, Issues!C:C, $B718, Issues!D:D, $C718, Issues!E:E, $D718), 0)</f>
        <v>0</v>
      </c>
      <c r="G718" s="82">
        <f>IFERROR(SUMIFS(Returns!H:H, Returns!F:F, $A718, Returns!C:C, $B718, Returns!D:D, $C718, Returns!E:E, $D718), 0)</f>
        <v>0</v>
      </c>
      <c r="H718" s="82">
        <f t="shared" si="1"/>
        <v>0</v>
      </c>
      <c r="I718" s="82">
        <f t="shared" si="2"/>
        <v>0</v>
      </c>
      <c r="J718" s="82">
        <f>IFERROR( SUMIFS('Stock In'!I:I,'Stock In'!B:B,$A718,'Stock In'!C:C,$B718,'Stock In'!D:D,$C718,'Stock In'!E:E,$D718) / SUMIFS('Stock In'!H:H,'Stock In'!B:B,$A718,'Stock In'!C:C,$B718,'Stock In'!D:D,$C718,'Stock In'!E:E,$D718), 0)</f>
        <v>0</v>
      </c>
      <c r="K718" s="82">
        <f t="shared" si="3"/>
        <v>0</v>
      </c>
    </row>
    <row r="719">
      <c r="A719" s="80"/>
      <c r="B719" s="80"/>
      <c r="C719" s="80"/>
      <c r="D719" s="80"/>
      <c r="E719" s="82">
        <f>IFERROR(SUMIFS('Stock In'!F:F,'Stock In'!B:B,$A719,'Stock In'!C:C,$B719,'Stock In'!D:D,$C719,'Stock In'!E:E,$D719),0)</f>
        <v>0</v>
      </c>
      <c r="F719" s="82">
        <f>IFERROR(SUMIFS(Issues!H:H, Issues!F:F, $A719, Issues!C:C, $B719, Issues!D:D, $C719, Issues!E:E, $D719), 0)</f>
        <v>0</v>
      </c>
      <c r="G719" s="82">
        <f>IFERROR(SUMIFS(Returns!H:H, Returns!F:F, $A719, Returns!C:C, $B719, Returns!D:D, $C719, Returns!E:E, $D719), 0)</f>
        <v>0</v>
      </c>
      <c r="H719" s="82">
        <f t="shared" si="1"/>
        <v>0</v>
      </c>
      <c r="I719" s="82">
        <f t="shared" si="2"/>
        <v>0</v>
      </c>
      <c r="J719" s="82">
        <f>IFERROR( SUMIFS('Stock In'!I:I,'Stock In'!B:B,$A719,'Stock In'!C:C,$B719,'Stock In'!D:D,$C719,'Stock In'!E:E,$D719) / SUMIFS('Stock In'!H:H,'Stock In'!B:B,$A719,'Stock In'!C:C,$B719,'Stock In'!D:D,$C719,'Stock In'!E:E,$D719), 0)</f>
        <v>0</v>
      </c>
      <c r="K719" s="82">
        <f t="shared" si="3"/>
        <v>0</v>
      </c>
    </row>
    <row r="720">
      <c r="A720" s="80"/>
      <c r="B720" s="80"/>
      <c r="C720" s="80"/>
      <c r="D720" s="80"/>
      <c r="E720" s="82">
        <f>IFERROR(SUMIFS('Stock In'!F:F,'Stock In'!B:B,$A720,'Stock In'!C:C,$B720,'Stock In'!D:D,$C720,'Stock In'!E:E,$D720),0)</f>
        <v>0</v>
      </c>
      <c r="F720" s="82">
        <f>IFERROR(SUMIFS(Issues!H:H, Issues!F:F, $A720, Issues!C:C, $B720, Issues!D:D, $C720, Issues!E:E, $D720), 0)</f>
        <v>0</v>
      </c>
      <c r="G720" s="82">
        <f>IFERROR(SUMIFS(Returns!H:H, Returns!F:F, $A720, Returns!C:C, $B720, Returns!D:D, $C720, Returns!E:E, $D720), 0)</f>
        <v>0</v>
      </c>
      <c r="H720" s="82">
        <f t="shared" si="1"/>
        <v>0</v>
      </c>
      <c r="I720" s="82">
        <f t="shared" si="2"/>
        <v>0</v>
      </c>
      <c r="J720" s="82">
        <f>IFERROR( SUMIFS('Stock In'!I:I,'Stock In'!B:B,$A720,'Stock In'!C:C,$B720,'Stock In'!D:D,$C720,'Stock In'!E:E,$D720) / SUMIFS('Stock In'!H:H,'Stock In'!B:B,$A720,'Stock In'!C:C,$B720,'Stock In'!D:D,$C720,'Stock In'!E:E,$D720), 0)</f>
        <v>0</v>
      </c>
      <c r="K720" s="82">
        <f t="shared" si="3"/>
        <v>0</v>
      </c>
    </row>
    <row r="721">
      <c r="A721" s="80"/>
      <c r="B721" s="80"/>
      <c r="C721" s="80"/>
      <c r="D721" s="80"/>
      <c r="E721" s="82">
        <f>IFERROR(SUMIFS('Stock In'!F:F,'Stock In'!B:B,$A721,'Stock In'!C:C,$B721,'Stock In'!D:D,$C721,'Stock In'!E:E,$D721),0)</f>
        <v>0</v>
      </c>
      <c r="F721" s="82">
        <f>IFERROR(SUMIFS(Issues!H:H, Issues!F:F, $A721, Issues!C:C, $B721, Issues!D:D, $C721, Issues!E:E, $D721), 0)</f>
        <v>0</v>
      </c>
      <c r="G721" s="82">
        <f>IFERROR(SUMIFS(Returns!H:H, Returns!F:F, $A721, Returns!C:C, $B721, Returns!D:D, $C721, Returns!E:E, $D721), 0)</f>
        <v>0</v>
      </c>
      <c r="H721" s="82">
        <f t="shared" si="1"/>
        <v>0</v>
      </c>
      <c r="I721" s="82">
        <f t="shared" si="2"/>
        <v>0</v>
      </c>
      <c r="J721" s="82">
        <f>IFERROR( SUMIFS('Stock In'!I:I,'Stock In'!B:B,$A721,'Stock In'!C:C,$B721,'Stock In'!D:D,$C721,'Stock In'!E:E,$D721) / SUMIFS('Stock In'!H:H,'Stock In'!B:B,$A721,'Stock In'!C:C,$B721,'Stock In'!D:D,$C721,'Stock In'!E:E,$D721), 0)</f>
        <v>0</v>
      </c>
      <c r="K721" s="82">
        <f t="shared" si="3"/>
        <v>0</v>
      </c>
    </row>
    <row r="722">
      <c r="A722" s="80"/>
      <c r="B722" s="80"/>
      <c r="C722" s="80"/>
      <c r="D722" s="80"/>
      <c r="E722" s="82">
        <f>IFERROR(SUMIFS('Stock In'!F:F,'Stock In'!B:B,$A722,'Stock In'!C:C,$B722,'Stock In'!D:D,$C722,'Stock In'!E:E,$D722),0)</f>
        <v>0</v>
      </c>
      <c r="F722" s="82">
        <f>IFERROR(SUMIFS(Issues!H:H, Issues!F:F, $A722, Issues!C:C, $B722, Issues!D:D, $C722, Issues!E:E, $D722), 0)</f>
        <v>0</v>
      </c>
      <c r="G722" s="82">
        <f>IFERROR(SUMIFS(Returns!H:H, Returns!F:F, $A722, Returns!C:C, $B722, Returns!D:D, $C722, Returns!E:E, $D722), 0)</f>
        <v>0</v>
      </c>
      <c r="H722" s="82">
        <f t="shared" si="1"/>
        <v>0</v>
      </c>
      <c r="I722" s="82">
        <f t="shared" si="2"/>
        <v>0</v>
      </c>
      <c r="J722" s="82">
        <f>IFERROR( SUMIFS('Stock In'!I:I,'Stock In'!B:B,$A722,'Stock In'!C:C,$B722,'Stock In'!D:D,$C722,'Stock In'!E:E,$D722) / SUMIFS('Stock In'!H:H,'Stock In'!B:B,$A722,'Stock In'!C:C,$B722,'Stock In'!D:D,$C722,'Stock In'!E:E,$D722), 0)</f>
        <v>0</v>
      </c>
      <c r="K722" s="82">
        <f t="shared" si="3"/>
        <v>0</v>
      </c>
    </row>
    <row r="723">
      <c r="A723" s="80"/>
      <c r="B723" s="80"/>
      <c r="C723" s="80"/>
      <c r="D723" s="80"/>
      <c r="E723" s="82">
        <f>IFERROR(SUMIFS('Stock In'!F:F,'Stock In'!B:B,$A723,'Stock In'!C:C,$B723,'Stock In'!D:D,$C723,'Stock In'!E:E,$D723),0)</f>
        <v>0</v>
      </c>
      <c r="F723" s="82">
        <f>IFERROR(SUMIFS(Issues!H:H, Issues!F:F, $A723, Issues!C:C, $B723, Issues!D:D, $C723, Issues!E:E, $D723), 0)</f>
        <v>0</v>
      </c>
      <c r="G723" s="82">
        <f>IFERROR(SUMIFS(Returns!H:H, Returns!F:F, $A723, Returns!C:C, $B723, Returns!D:D, $C723, Returns!E:E, $D723), 0)</f>
        <v>0</v>
      </c>
      <c r="H723" s="82">
        <f t="shared" si="1"/>
        <v>0</v>
      </c>
      <c r="I723" s="82">
        <f t="shared" si="2"/>
        <v>0</v>
      </c>
      <c r="J723" s="82">
        <f>IFERROR( SUMIFS('Stock In'!I:I,'Stock In'!B:B,$A723,'Stock In'!C:C,$B723,'Stock In'!D:D,$C723,'Stock In'!E:E,$D723) / SUMIFS('Stock In'!H:H,'Stock In'!B:B,$A723,'Stock In'!C:C,$B723,'Stock In'!D:D,$C723,'Stock In'!E:E,$D723), 0)</f>
        <v>0</v>
      </c>
      <c r="K723" s="82">
        <f t="shared" si="3"/>
        <v>0</v>
      </c>
    </row>
    <row r="724">
      <c r="A724" s="80"/>
      <c r="B724" s="80"/>
      <c r="C724" s="80"/>
      <c r="D724" s="80"/>
      <c r="E724" s="82">
        <f>IFERROR(SUMIFS('Stock In'!F:F,'Stock In'!B:B,$A724,'Stock In'!C:C,$B724,'Stock In'!D:D,$C724,'Stock In'!E:E,$D724),0)</f>
        <v>0</v>
      </c>
      <c r="F724" s="82">
        <f>IFERROR(SUMIFS(Issues!H:H, Issues!F:F, $A724, Issues!C:C, $B724, Issues!D:D, $C724, Issues!E:E, $D724), 0)</f>
        <v>0</v>
      </c>
      <c r="G724" s="82">
        <f>IFERROR(SUMIFS(Returns!H:H, Returns!F:F, $A724, Returns!C:C, $B724, Returns!D:D, $C724, Returns!E:E, $D724), 0)</f>
        <v>0</v>
      </c>
      <c r="H724" s="82">
        <f t="shared" si="1"/>
        <v>0</v>
      </c>
      <c r="I724" s="82">
        <f t="shared" si="2"/>
        <v>0</v>
      </c>
      <c r="J724" s="82">
        <f>IFERROR( SUMIFS('Stock In'!I:I,'Stock In'!B:B,$A724,'Stock In'!C:C,$B724,'Stock In'!D:D,$C724,'Stock In'!E:E,$D724) / SUMIFS('Stock In'!H:H,'Stock In'!B:B,$A724,'Stock In'!C:C,$B724,'Stock In'!D:D,$C724,'Stock In'!E:E,$D724), 0)</f>
        <v>0</v>
      </c>
      <c r="K724" s="82">
        <f t="shared" si="3"/>
        <v>0</v>
      </c>
    </row>
    <row r="725">
      <c r="A725" s="80"/>
      <c r="B725" s="80"/>
      <c r="C725" s="80"/>
      <c r="D725" s="80"/>
      <c r="E725" s="82">
        <f>IFERROR(SUMIFS('Stock In'!F:F,'Stock In'!B:B,$A725,'Stock In'!C:C,$B725,'Stock In'!D:D,$C725,'Stock In'!E:E,$D725),0)</f>
        <v>0</v>
      </c>
      <c r="F725" s="82">
        <f>IFERROR(SUMIFS(Issues!H:H, Issues!F:F, $A725, Issues!C:C, $B725, Issues!D:D, $C725, Issues!E:E, $D725), 0)</f>
        <v>0</v>
      </c>
      <c r="G725" s="82">
        <f>IFERROR(SUMIFS(Returns!H:H, Returns!F:F, $A725, Returns!C:C, $B725, Returns!D:D, $C725, Returns!E:E, $D725), 0)</f>
        <v>0</v>
      </c>
      <c r="H725" s="82">
        <f t="shared" si="1"/>
        <v>0</v>
      </c>
      <c r="I725" s="82">
        <f t="shared" si="2"/>
        <v>0</v>
      </c>
      <c r="J725" s="82">
        <f>IFERROR( SUMIFS('Stock In'!I:I,'Stock In'!B:B,$A725,'Stock In'!C:C,$B725,'Stock In'!D:D,$C725,'Stock In'!E:E,$D725) / SUMIFS('Stock In'!H:H,'Stock In'!B:B,$A725,'Stock In'!C:C,$B725,'Stock In'!D:D,$C725,'Stock In'!E:E,$D725), 0)</f>
        <v>0</v>
      </c>
      <c r="K725" s="82">
        <f t="shared" si="3"/>
        <v>0</v>
      </c>
    </row>
    <row r="726">
      <c r="A726" s="80"/>
      <c r="B726" s="80"/>
      <c r="C726" s="80"/>
      <c r="D726" s="80"/>
      <c r="E726" s="82">
        <f>IFERROR(SUMIFS('Stock In'!F:F,'Stock In'!B:B,$A726,'Stock In'!C:C,$B726,'Stock In'!D:D,$C726,'Stock In'!E:E,$D726),0)</f>
        <v>0</v>
      </c>
      <c r="F726" s="82">
        <f>IFERROR(SUMIFS(Issues!H:H, Issues!F:F, $A726, Issues!C:C, $B726, Issues!D:D, $C726, Issues!E:E, $D726), 0)</f>
        <v>0</v>
      </c>
      <c r="G726" s="82">
        <f>IFERROR(SUMIFS(Returns!H:H, Returns!F:F, $A726, Returns!C:C, $B726, Returns!D:D, $C726, Returns!E:E, $D726), 0)</f>
        <v>0</v>
      </c>
      <c r="H726" s="82">
        <f t="shared" si="1"/>
        <v>0</v>
      </c>
      <c r="I726" s="82">
        <f t="shared" si="2"/>
        <v>0</v>
      </c>
      <c r="J726" s="82">
        <f>IFERROR( SUMIFS('Stock In'!I:I,'Stock In'!B:B,$A726,'Stock In'!C:C,$B726,'Stock In'!D:D,$C726,'Stock In'!E:E,$D726) / SUMIFS('Stock In'!H:H,'Stock In'!B:B,$A726,'Stock In'!C:C,$B726,'Stock In'!D:D,$C726,'Stock In'!E:E,$D726), 0)</f>
        <v>0</v>
      </c>
      <c r="K726" s="82">
        <f t="shared" si="3"/>
        <v>0</v>
      </c>
    </row>
    <row r="727">
      <c r="A727" s="80"/>
      <c r="B727" s="80"/>
      <c r="C727" s="80"/>
      <c r="D727" s="80"/>
      <c r="E727" s="82">
        <f>IFERROR(SUMIFS('Stock In'!F:F,'Stock In'!B:B,$A727,'Stock In'!C:C,$B727,'Stock In'!D:D,$C727,'Stock In'!E:E,$D727),0)</f>
        <v>0</v>
      </c>
      <c r="F727" s="82">
        <f>IFERROR(SUMIFS(Issues!H:H, Issues!F:F, $A727, Issues!C:C, $B727, Issues!D:D, $C727, Issues!E:E, $D727), 0)</f>
        <v>0</v>
      </c>
      <c r="G727" s="82">
        <f>IFERROR(SUMIFS(Returns!H:H, Returns!F:F, $A727, Returns!C:C, $B727, Returns!D:D, $C727, Returns!E:E, $D727), 0)</f>
        <v>0</v>
      </c>
      <c r="H727" s="82">
        <f t="shared" si="1"/>
        <v>0</v>
      </c>
      <c r="I727" s="82">
        <f t="shared" si="2"/>
        <v>0</v>
      </c>
      <c r="J727" s="82">
        <f>IFERROR( SUMIFS('Stock In'!I:I,'Stock In'!B:B,$A727,'Stock In'!C:C,$B727,'Stock In'!D:D,$C727,'Stock In'!E:E,$D727) / SUMIFS('Stock In'!H:H,'Stock In'!B:B,$A727,'Stock In'!C:C,$B727,'Stock In'!D:D,$C727,'Stock In'!E:E,$D727), 0)</f>
        <v>0</v>
      </c>
      <c r="K727" s="82">
        <f t="shared" si="3"/>
        <v>0</v>
      </c>
    </row>
    <row r="728">
      <c r="A728" s="80"/>
      <c r="B728" s="80"/>
      <c r="C728" s="80"/>
      <c r="D728" s="80"/>
      <c r="E728" s="82">
        <f>IFERROR(SUMIFS('Stock In'!F:F,'Stock In'!B:B,$A728,'Stock In'!C:C,$B728,'Stock In'!D:D,$C728,'Stock In'!E:E,$D728),0)</f>
        <v>0</v>
      </c>
      <c r="F728" s="82">
        <f>IFERROR(SUMIFS(Issues!H:H, Issues!F:F, $A728, Issues!C:C, $B728, Issues!D:D, $C728, Issues!E:E, $D728), 0)</f>
        <v>0</v>
      </c>
      <c r="G728" s="82">
        <f>IFERROR(SUMIFS(Returns!H:H, Returns!F:F, $A728, Returns!C:C, $B728, Returns!D:D, $C728, Returns!E:E, $D728), 0)</f>
        <v>0</v>
      </c>
      <c r="H728" s="82">
        <f t="shared" si="1"/>
        <v>0</v>
      </c>
      <c r="I728" s="82">
        <f t="shared" si="2"/>
        <v>0</v>
      </c>
      <c r="J728" s="82">
        <f>IFERROR( SUMIFS('Stock In'!I:I,'Stock In'!B:B,$A728,'Stock In'!C:C,$B728,'Stock In'!D:D,$C728,'Stock In'!E:E,$D728) / SUMIFS('Stock In'!H:H,'Stock In'!B:B,$A728,'Stock In'!C:C,$B728,'Stock In'!D:D,$C728,'Stock In'!E:E,$D728), 0)</f>
        <v>0</v>
      </c>
      <c r="K728" s="82">
        <f t="shared" si="3"/>
        <v>0</v>
      </c>
    </row>
    <row r="729">
      <c r="A729" s="80"/>
      <c r="B729" s="80"/>
      <c r="C729" s="80"/>
      <c r="D729" s="80"/>
      <c r="E729" s="82">
        <f>IFERROR(SUMIFS('Stock In'!F:F,'Stock In'!B:B,$A729,'Stock In'!C:C,$B729,'Stock In'!D:D,$C729,'Stock In'!E:E,$D729),0)</f>
        <v>0</v>
      </c>
      <c r="F729" s="82">
        <f>IFERROR(SUMIFS(Issues!H:H, Issues!F:F, $A729, Issues!C:C, $B729, Issues!D:D, $C729, Issues!E:E, $D729), 0)</f>
        <v>0</v>
      </c>
      <c r="G729" s="82">
        <f>IFERROR(SUMIFS(Returns!H:H, Returns!F:F, $A729, Returns!C:C, $B729, Returns!D:D, $C729, Returns!E:E, $D729), 0)</f>
        <v>0</v>
      </c>
      <c r="H729" s="82">
        <f t="shared" si="1"/>
        <v>0</v>
      </c>
      <c r="I729" s="82">
        <f t="shared" si="2"/>
        <v>0</v>
      </c>
      <c r="J729" s="82">
        <f>IFERROR( SUMIFS('Stock In'!I:I,'Stock In'!B:B,$A729,'Stock In'!C:C,$B729,'Stock In'!D:D,$C729,'Stock In'!E:E,$D729) / SUMIFS('Stock In'!H:H,'Stock In'!B:B,$A729,'Stock In'!C:C,$B729,'Stock In'!D:D,$C729,'Stock In'!E:E,$D729), 0)</f>
        <v>0</v>
      </c>
      <c r="K729" s="82">
        <f t="shared" si="3"/>
        <v>0</v>
      </c>
    </row>
    <row r="730">
      <c r="A730" s="80"/>
      <c r="B730" s="80"/>
      <c r="C730" s="80"/>
      <c r="D730" s="80"/>
      <c r="E730" s="82">
        <f>IFERROR(SUMIFS('Stock In'!F:F,'Stock In'!B:B,$A730,'Stock In'!C:C,$B730,'Stock In'!D:D,$C730,'Stock In'!E:E,$D730),0)</f>
        <v>0</v>
      </c>
      <c r="F730" s="82">
        <f>IFERROR(SUMIFS(Issues!H:H, Issues!F:F, $A730, Issues!C:C, $B730, Issues!D:D, $C730, Issues!E:E, $D730), 0)</f>
        <v>0</v>
      </c>
      <c r="G730" s="82">
        <f>IFERROR(SUMIFS(Returns!H:H, Returns!F:F, $A730, Returns!C:C, $B730, Returns!D:D, $C730, Returns!E:E, $D730), 0)</f>
        <v>0</v>
      </c>
      <c r="H730" s="82">
        <f t="shared" si="1"/>
        <v>0</v>
      </c>
      <c r="I730" s="82">
        <f t="shared" si="2"/>
        <v>0</v>
      </c>
      <c r="J730" s="82">
        <f>IFERROR( SUMIFS('Stock In'!I:I,'Stock In'!B:B,$A730,'Stock In'!C:C,$B730,'Stock In'!D:D,$C730,'Stock In'!E:E,$D730) / SUMIFS('Stock In'!H:H,'Stock In'!B:B,$A730,'Stock In'!C:C,$B730,'Stock In'!D:D,$C730,'Stock In'!E:E,$D730), 0)</f>
        <v>0</v>
      </c>
      <c r="K730" s="82">
        <f t="shared" si="3"/>
        <v>0</v>
      </c>
    </row>
    <row r="731">
      <c r="A731" s="80"/>
      <c r="B731" s="80"/>
      <c r="C731" s="80"/>
      <c r="D731" s="80"/>
      <c r="E731" s="82">
        <f>IFERROR(SUMIFS('Stock In'!F:F,'Stock In'!B:B,$A731,'Stock In'!C:C,$B731,'Stock In'!D:D,$C731,'Stock In'!E:E,$D731),0)</f>
        <v>0</v>
      </c>
      <c r="F731" s="82">
        <f>IFERROR(SUMIFS(Issues!H:H, Issues!F:F, $A731, Issues!C:C, $B731, Issues!D:D, $C731, Issues!E:E, $D731), 0)</f>
        <v>0</v>
      </c>
      <c r="G731" s="82">
        <f>IFERROR(SUMIFS(Returns!H:H, Returns!F:F, $A731, Returns!C:C, $B731, Returns!D:D, $C731, Returns!E:E, $D731), 0)</f>
        <v>0</v>
      </c>
      <c r="H731" s="82">
        <f t="shared" si="1"/>
        <v>0</v>
      </c>
      <c r="I731" s="82">
        <f t="shared" si="2"/>
        <v>0</v>
      </c>
      <c r="J731" s="82">
        <f>IFERROR( SUMIFS('Stock In'!I:I,'Stock In'!B:B,$A731,'Stock In'!C:C,$B731,'Stock In'!D:D,$C731,'Stock In'!E:E,$D731) / SUMIFS('Stock In'!H:H,'Stock In'!B:B,$A731,'Stock In'!C:C,$B731,'Stock In'!D:D,$C731,'Stock In'!E:E,$D731), 0)</f>
        <v>0</v>
      </c>
      <c r="K731" s="82">
        <f t="shared" si="3"/>
        <v>0</v>
      </c>
    </row>
    <row r="732">
      <c r="A732" s="80"/>
      <c r="B732" s="80"/>
      <c r="C732" s="80"/>
      <c r="D732" s="80"/>
      <c r="E732" s="82">
        <f>IFERROR(SUMIFS('Stock In'!F:F,'Stock In'!B:B,$A732,'Stock In'!C:C,$B732,'Stock In'!D:D,$C732,'Stock In'!E:E,$D732),0)</f>
        <v>0</v>
      </c>
      <c r="F732" s="82">
        <f>IFERROR(SUMIFS(Issues!H:H, Issues!F:F, $A732, Issues!C:C, $B732, Issues!D:D, $C732, Issues!E:E, $D732), 0)</f>
        <v>0</v>
      </c>
      <c r="G732" s="82">
        <f>IFERROR(SUMIFS(Returns!H:H, Returns!F:F, $A732, Returns!C:C, $B732, Returns!D:D, $C732, Returns!E:E, $D732), 0)</f>
        <v>0</v>
      </c>
      <c r="H732" s="82">
        <f t="shared" si="1"/>
        <v>0</v>
      </c>
      <c r="I732" s="82">
        <f t="shared" si="2"/>
        <v>0</v>
      </c>
      <c r="J732" s="82">
        <f>IFERROR( SUMIFS('Stock In'!I:I,'Stock In'!B:B,$A732,'Stock In'!C:C,$B732,'Stock In'!D:D,$C732,'Stock In'!E:E,$D732) / SUMIFS('Stock In'!H:H,'Stock In'!B:B,$A732,'Stock In'!C:C,$B732,'Stock In'!D:D,$C732,'Stock In'!E:E,$D732), 0)</f>
        <v>0</v>
      </c>
      <c r="K732" s="82">
        <f t="shared" si="3"/>
        <v>0</v>
      </c>
    </row>
    <row r="733">
      <c r="A733" s="80"/>
      <c r="B733" s="80"/>
      <c r="C733" s="80"/>
      <c r="D733" s="80"/>
      <c r="E733" s="82">
        <f>IFERROR(SUMIFS('Stock In'!F:F,'Stock In'!B:B,$A733,'Stock In'!C:C,$B733,'Stock In'!D:D,$C733,'Stock In'!E:E,$D733),0)</f>
        <v>0</v>
      </c>
      <c r="F733" s="82">
        <f>IFERROR(SUMIFS(Issues!H:H, Issues!F:F, $A733, Issues!C:C, $B733, Issues!D:D, $C733, Issues!E:E, $D733), 0)</f>
        <v>0</v>
      </c>
      <c r="G733" s="82">
        <f>IFERROR(SUMIFS(Returns!H:H, Returns!F:F, $A733, Returns!C:C, $B733, Returns!D:D, $C733, Returns!E:E, $D733), 0)</f>
        <v>0</v>
      </c>
      <c r="H733" s="82">
        <f t="shared" si="1"/>
        <v>0</v>
      </c>
      <c r="I733" s="82">
        <f t="shared" si="2"/>
        <v>0</v>
      </c>
      <c r="J733" s="82">
        <f>IFERROR( SUMIFS('Stock In'!I:I,'Stock In'!B:B,$A733,'Stock In'!C:C,$B733,'Stock In'!D:D,$C733,'Stock In'!E:E,$D733) / SUMIFS('Stock In'!H:H,'Stock In'!B:B,$A733,'Stock In'!C:C,$B733,'Stock In'!D:D,$C733,'Stock In'!E:E,$D733), 0)</f>
        <v>0</v>
      </c>
      <c r="K733" s="82">
        <f t="shared" si="3"/>
        <v>0</v>
      </c>
    </row>
    <row r="734">
      <c r="A734" s="80"/>
      <c r="B734" s="80"/>
      <c r="C734" s="80"/>
      <c r="D734" s="80"/>
      <c r="E734" s="82">
        <f>IFERROR(SUMIFS('Stock In'!F:F,'Stock In'!B:B,$A734,'Stock In'!C:C,$B734,'Stock In'!D:D,$C734,'Stock In'!E:E,$D734),0)</f>
        <v>0</v>
      </c>
      <c r="F734" s="82">
        <f>IFERROR(SUMIFS(Issues!H:H, Issues!F:F, $A734, Issues!C:C, $B734, Issues!D:D, $C734, Issues!E:E, $D734), 0)</f>
        <v>0</v>
      </c>
      <c r="G734" s="82">
        <f>IFERROR(SUMIFS(Returns!H:H, Returns!F:F, $A734, Returns!C:C, $B734, Returns!D:D, $C734, Returns!E:E, $D734), 0)</f>
        <v>0</v>
      </c>
      <c r="H734" s="82">
        <f t="shared" si="1"/>
        <v>0</v>
      </c>
      <c r="I734" s="82">
        <f t="shared" si="2"/>
        <v>0</v>
      </c>
      <c r="J734" s="82">
        <f>IFERROR( SUMIFS('Stock In'!I:I,'Stock In'!B:B,$A734,'Stock In'!C:C,$B734,'Stock In'!D:D,$C734,'Stock In'!E:E,$D734) / SUMIFS('Stock In'!H:H,'Stock In'!B:B,$A734,'Stock In'!C:C,$B734,'Stock In'!D:D,$C734,'Stock In'!E:E,$D734), 0)</f>
        <v>0</v>
      </c>
      <c r="K734" s="82">
        <f t="shared" si="3"/>
        <v>0</v>
      </c>
    </row>
    <row r="735">
      <c r="A735" s="80"/>
      <c r="B735" s="80"/>
      <c r="C735" s="80"/>
      <c r="D735" s="80"/>
      <c r="E735" s="82">
        <f>IFERROR(SUMIFS('Stock In'!F:F,'Stock In'!B:B,$A735,'Stock In'!C:C,$B735,'Stock In'!D:D,$C735,'Stock In'!E:E,$D735),0)</f>
        <v>0</v>
      </c>
      <c r="F735" s="82">
        <f>IFERROR(SUMIFS(Issues!H:H, Issues!F:F, $A735, Issues!C:C, $B735, Issues!D:D, $C735, Issues!E:E, $D735), 0)</f>
        <v>0</v>
      </c>
      <c r="G735" s="82">
        <f>IFERROR(SUMIFS(Returns!H:H, Returns!F:F, $A735, Returns!C:C, $B735, Returns!D:D, $C735, Returns!E:E, $D735), 0)</f>
        <v>0</v>
      </c>
      <c r="H735" s="82">
        <f t="shared" si="1"/>
        <v>0</v>
      </c>
      <c r="I735" s="82">
        <f t="shared" si="2"/>
        <v>0</v>
      </c>
      <c r="J735" s="82">
        <f>IFERROR( SUMIFS('Stock In'!I:I,'Stock In'!B:B,$A735,'Stock In'!C:C,$B735,'Stock In'!D:D,$C735,'Stock In'!E:E,$D735) / SUMIFS('Stock In'!H:H,'Stock In'!B:B,$A735,'Stock In'!C:C,$B735,'Stock In'!D:D,$C735,'Stock In'!E:E,$D735), 0)</f>
        <v>0</v>
      </c>
      <c r="K735" s="82">
        <f t="shared" si="3"/>
        <v>0</v>
      </c>
    </row>
    <row r="736">
      <c r="A736" s="80"/>
      <c r="B736" s="80"/>
      <c r="C736" s="80"/>
      <c r="D736" s="80"/>
      <c r="E736" s="82">
        <f>IFERROR(SUMIFS('Stock In'!F:F,'Stock In'!B:B,$A736,'Stock In'!C:C,$B736,'Stock In'!D:D,$C736,'Stock In'!E:E,$D736),0)</f>
        <v>0</v>
      </c>
      <c r="F736" s="82">
        <f>IFERROR(SUMIFS(Issues!H:H, Issues!F:F, $A736, Issues!C:C, $B736, Issues!D:D, $C736, Issues!E:E, $D736), 0)</f>
        <v>0</v>
      </c>
      <c r="G736" s="82">
        <f>IFERROR(SUMIFS(Returns!H:H, Returns!F:F, $A736, Returns!C:C, $B736, Returns!D:D, $C736, Returns!E:E, $D736), 0)</f>
        <v>0</v>
      </c>
      <c r="H736" s="82">
        <f t="shared" si="1"/>
        <v>0</v>
      </c>
      <c r="I736" s="82">
        <f t="shared" si="2"/>
        <v>0</v>
      </c>
      <c r="J736" s="82">
        <f>IFERROR( SUMIFS('Stock In'!I:I,'Stock In'!B:B,$A736,'Stock In'!C:C,$B736,'Stock In'!D:D,$C736,'Stock In'!E:E,$D736) / SUMIFS('Stock In'!H:H,'Stock In'!B:B,$A736,'Stock In'!C:C,$B736,'Stock In'!D:D,$C736,'Stock In'!E:E,$D736), 0)</f>
        <v>0</v>
      </c>
      <c r="K736" s="82">
        <f t="shared" si="3"/>
        <v>0</v>
      </c>
    </row>
    <row r="737">
      <c r="A737" s="80"/>
      <c r="B737" s="80"/>
      <c r="C737" s="80"/>
      <c r="D737" s="80"/>
      <c r="E737" s="82">
        <f>IFERROR(SUMIFS('Stock In'!F:F,'Stock In'!B:B,$A737,'Stock In'!C:C,$B737,'Stock In'!D:D,$C737,'Stock In'!E:E,$D737),0)</f>
        <v>0</v>
      </c>
      <c r="F737" s="82">
        <f>IFERROR(SUMIFS(Issues!H:H, Issues!F:F, $A737, Issues!C:C, $B737, Issues!D:D, $C737, Issues!E:E, $D737), 0)</f>
        <v>0</v>
      </c>
      <c r="G737" s="82">
        <f>IFERROR(SUMIFS(Returns!H:H, Returns!F:F, $A737, Returns!C:C, $B737, Returns!D:D, $C737, Returns!E:E, $D737), 0)</f>
        <v>0</v>
      </c>
      <c r="H737" s="82">
        <f t="shared" si="1"/>
        <v>0</v>
      </c>
      <c r="I737" s="82">
        <f t="shared" si="2"/>
        <v>0</v>
      </c>
      <c r="J737" s="82">
        <f>IFERROR( SUMIFS('Stock In'!I:I,'Stock In'!B:B,$A737,'Stock In'!C:C,$B737,'Stock In'!D:D,$C737,'Stock In'!E:E,$D737) / SUMIFS('Stock In'!H:H,'Stock In'!B:B,$A737,'Stock In'!C:C,$B737,'Stock In'!D:D,$C737,'Stock In'!E:E,$D737), 0)</f>
        <v>0</v>
      </c>
      <c r="K737" s="82">
        <f t="shared" si="3"/>
        <v>0</v>
      </c>
    </row>
    <row r="738">
      <c r="A738" s="80"/>
      <c r="B738" s="80"/>
      <c r="C738" s="80"/>
      <c r="D738" s="80"/>
      <c r="E738" s="82">
        <f>IFERROR(SUMIFS('Stock In'!F:F,'Stock In'!B:B,$A738,'Stock In'!C:C,$B738,'Stock In'!D:D,$C738,'Stock In'!E:E,$D738),0)</f>
        <v>0</v>
      </c>
      <c r="F738" s="82">
        <f>IFERROR(SUMIFS(Issues!H:H, Issues!F:F, $A738, Issues!C:C, $B738, Issues!D:D, $C738, Issues!E:E, $D738), 0)</f>
        <v>0</v>
      </c>
      <c r="G738" s="82">
        <f>IFERROR(SUMIFS(Returns!H:H, Returns!F:F, $A738, Returns!C:C, $B738, Returns!D:D, $C738, Returns!E:E, $D738), 0)</f>
        <v>0</v>
      </c>
      <c r="H738" s="82">
        <f t="shared" si="1"/>
        <v>0</v>
      </c>
      <c r="I738" s="82">
        <f t="shared" si="2"/>
        <v>0</v>
      </c>
      <c r="J738" s="82">
        <f>IFERROR( SUMIFS('Stock In'!I:I,'Stock In'!B:B,$A738,'Stock In'!C:C,$B738,'Stock In'!D:D,$C738,'Stock In'!E:E,$D738) / SUMIFS('Stock In'!H:H,'Stock In'!B:B,$A738,'Stock In'!C:C,$B738,'Stock In'!D:D,$C738,'Stock In'!E:E,$D738), 0)</f>
        <v>0</v>
      </c>
      <c r="K738" s="82">
        <f t="shared" si="3"/>
        <v>0</v>
      </c>
    </row>
    <row r="739">
      <c r="A739" s="80"/>
      <c r="B739" s="80"/>
      <c r="C739" s="80"/>
      <c r="D739" s="80"/>
      <c r="E739" s="82">
        <f>IFERROR(SUMIFS('Stock In'!F:F,'Stock In'!B:B,$A739,'Stock In'!C:C,$B739,'Stock In'!D:D,$C739,'Stock In'!E:E,$D739),0)</f>
        <v>0</v>
      </c>
      <c r="F739" s="82">
        <f>IFERROR(SUMIFS(Issues!H:H, Issues!F:F, $A739, Issues!C:C, $B739, Issues!D:D, $C739, Issues!E:E, $D739), 0)</f>
        <v>0</v>
      </c>
      <c r="G739" s="82">
        <f>IFERROR(SUMIFS(Returns!H:H, Returns!F:F, $A739, Returns!C:C, $B739, Returns!D:D, $C739, Returns!E:E, $D739), 0)</f>
        <v>0</v>
      </c>
      <c r="H739" s="82">
        <f t="shared" si="1"/>
        <v>0</v>
      </c>
      <c r="I739" s="82">
        <f t="shared" si="2"/>
        <v>0</v>
      </c>
      <c r="J739" s="82">
        <f>IFERROR( SUMIFS('Stock In'!I:I,'Stock In'!B:B,$A739,'Stock In'!C:C,$B739,'Stock In'!D:D,$C739,'Stock In'!E:E,$D739) / SUMIFS('Stock In'!H:H,'Stock In'!B:B,$A739,'Stock In'!C:C,$B739,'Stock In'!D:D,$C739,'Stock In'!E:E,$D739), 0)</f>
        <v>0</v>
      </c>
      <c r="K739" s="82">
        <f t="shared" si="3"/>
        <v>0</v>
      </c>
    </row>
    <row r="740">
      <c r="A740" s="80"/>
      <c r="B740" s="80"/>
      <c r="C740" s="80"/>
      <c r="D740" s="80"/>
      <c r="E740" s="82">
        <f>IFERROR(SUMIFS('Stock In'!F:F,'Stock In'!B:B,$A740,'Stock In'!C:C,$B740,'Stock In'!D:D,$C740,'Stock In'!E:E,$D740),0)</f>
        <v>0</v>
      </c>
      <c r="F740" s="82">
        <f>IFERROR(SUMIFS(Issues!H:H, Issues!F:F, $A740, Issues!C:C, $B740, Issues!D:D, $C740, Issues!E:E, $D740), 0)</f>
        <v>0</v>
      </c>
      <c r="G740" s="82">
        <f>IFERROR(SUMIFS(Returns!H:H, Returns!F:F, $A740, Returns!C:C, $B740, Returns!D:D, $C740, Returns!E:E, $D740), 0)</f>
        <v>0</v>
      </c>
      <c r="H740" s="82">
        <f t="shared" si="1"/>
        <v>0</v>
      </c>
      <c r="I740" s="82">
        <f t="shared" si="2"/>
        <v>0</v>
      </c>
      <c r="J740" s="82">
        <f>IFERROR( SUMIFS('Stock In'!I:I,'Stock In'!B:B,$A740,'Stock In'!C:C,$B740,'Stock In'!D:D,$C740,'Stock In'!E:E,$D740) / SUMIFS('Stock In'!H:H,'Stock In'!B:B,$A740,'Stock In'!C:C,$B740,'Stock In'!D:D,$C740,'Stock In'!E:E,$D740), 0)</f>
        <v>0</v>
      </c>
      <c r="K740" s="82">
        <f t="shared" si="3"/>
        <v>0</v>
      </c>
    </row>
    <row r="741">
      <c r="A741" s="80"/>
      <c r="B741" s="80"/>
      <c r="C741" s="80"/>
      <c r="D741" s="80"/>
      <c r="E741" s="82">
        <f>IFERROR(SUMIFS('Stock In'!F:F,'Stock In'!B:B,$A741,'Stock In'!C:C,$B741,'Stock In'!D:D,$C741,'Stock In'!E:E,$D741),0)</f>
        <v>0</v>
      </c>
      <c r="F741" s="82">
        <f>IFERROR(SUMIFS(Issues!H:H, Issues!F:F, $A741, Issues!C:C, $B741, Issues!D:D, $C741, Issues!E:E, $D741), 0)</f>
        <v>0</v>
      </c>
      <c r="G741" s="82">
        <f>IFERROR(SUMIFS(Returns!H:H, Returns!F:F, $A741, Returns!C:C, $B741, Returns!D:D, $C741, Returns!E:E, $D741), 0)</f>
        <v>0</v>
      </c>
      <c r="H741" s="82">
        <f t="shared" si="1"/>
        <v>0</v>
      </c>
      <c r="I741" s="82">
        <f t="shared" si="2"/>
        <v>0</v>
      </c>
      <c r="J741" s="82">
        <f>IFERROR( SUMIFS('Stock In'!I:I,'Stock In'!B:B,$A741,'Stock In'!C:C,$B741,'Stock In'!D:D,$C741,'Stock In'!E:E,$D741) / SUMIFS('Stock In'!H:H,'Stock In'!B:B,$A741,'Stock In'!C:C,$B741,'Stock In'!D:D,$C741,'Stock In'!E:E,$D741), 0)</f>
        <v>0</v>
      </c>
      <c r="K741" s="82">
        <f t="shared" si="3"/>
        <v>0</v>
      </c>
    </row>
    <row r="742">
      <c r="A742" s="80"/>
      <c r="B742" s="80"/>
      <c r="C742" s="80"/>
      <c r="D742" s="80"/>
      <c r="E742" s="82">
        <f>IFERROR(SUMIFS('Stock In'!F:F,'Stock In'!B:B,$A742,'Stock In'!C:C,$B742,'Stock In'!D:D,$C742,'Stock In'!E:E,$D742),0)</f>
        <v>0</v>
      </c>
      <c r="F742" s="82">
        <f>IFERROR(SUMIFS(Issues!H:H, Issues!F:F, $A742, Issues!C:C, $B742, Issues!D:D, $C742, Issues!E:E, $D742), 0)</f>
        <v>0</v>
      </c>
      <c r="G742" s="82">
        <f>IFERROR(SUMIFS(Returns!H:H, Returns!F:F, $A742, Returns!C:C, $B742, Returns!D:D, $C742, Returns!E:E, $D742), 0)</f>
        <v>0</v>
      </c>
      <c r="H742" s="82">
        <f t="shared" si="1"/>
        <v>0</v>
      </c>
      <c r="I742" s="82">
        <f t="shared" si="2"/>
        <v>0</v>
      </c>
      <c r="J742" s="82">
        <f>IFERROR( SUMIFS('Stock In'!I:I,'Stock In'!B:B,$A742,'Stock In'!C:C,$B742,'Stock In'!D:D,$C742,'Stock In'!E:E,$D742) / SUMIFS('Stock In'!H:H,'Stock In'!B:B,$A742,'Stock In'!C:C,$B742,'Stock In'!D:D,$C742,'Stock In'!E:E,$D742), 0)</f>
        <v>0</v>
      </c>
      <c r="K742" s="82">
        <f t="shared" si="3"/>
        <v>0</v>
      </c>
    </row>
    <row r="743">
      <c r="A743" s="80"/>
      <c r="B743" s="80"/>
      <c r="C743" s="80"/>
      <c r="D743" s="80"/>
      <c r="E743" s="82">
        <f>IFERROR(SUMIFS('Stock In'!F:F,'Stock In'!B:B,$A743,'Stock In'!C:C,$B743,'Stock In'!D:D,$C743,'Stock In'!E:E,$D743),0)</f>
        <v>0</v>
      </c>
      <c r="F743" s="82">
        <f>IFERROR(SUMIFS(Issues!H:H, Issues!F:F, $A743, Issues!C:C, $B743, Issues!D:D, $C743, Issues!E:E, $D743), 0)</f>
        <v>0</v>
      </c>
      <c r="G743" s="82">
        <f>IFERROR(SUMIFS(Returns!H:H, Returns!F:F, $A743, Returns!C:C, $B743, Returns!D:D, $C743, Returns!E:E, $D743), 0)</f>
        <v>0</v>
      </c>
      <c r="H743" s="82">
        <f t="shared" si="1"/>
        <v>0</v>
      </c>
      <c r="I743" s="82">
        <f t="shared" si="2"/>
        <v>0</v>
      </c>
      <c r="J743" s="82">
        <f>IFERROR( SUMIFS('Stock In'!I:I,'Stock In'!B:B,$A743,'Stock In'!C:C,$B743,'Stock In'!D:D,$C743,'Stock In'!E:E,$D743) / SUMIFS('Stock In'!H:H,'Stock In'!B:B,$A743,'Stock In'!C:C,$B743,'Stock In'!D:D,$C743,'Stock In'!E:E,$D743), 0)</f>
        <v>0</v>
      </c>
      <c r="K743" s="82">
        <f t="shared" si="3"/>
        <v>0</v>
      </c>
    </row>
    <row r="744">
      <c r="A744" s="80"/>
      <c r="B744" s="80"/>
      <c r="C744" s="80"/>
      <c r="D744" s="80"/>
      <c r="E744" s="82">
        <f>IFERROR(SUMIFS('Stock In'!F:F,'Stock In'!B:B,$A744,'Stock In'!C:C,$B744,'Stock In'!D:D,$C744,'Stock In'!E:E,$D744),0)</f>
        <v>0</v>
      </c>
      <c r="F744" s="82">
        <f>IFERROR(SUMIFS(Issues!H:H, Issues!F:F, $A744, Issues!C:C, $B744, Issues!D:D, $C744, Issues!E:E, $D744), 0)</f>
        <v>0</v>
      </c>
      <c r="G744" s="82">
        <f>IFERROR(SUMIFS(Returns!H:H, Returns!F:F, $A744, Returns!C:C, $B744, Returns!D:D, $C744, Returns!E:E, $D744), 0)</f>
        <v>0</v>
      </c>
      <c r="H744" s="82">
        <f t="shared" si="1"/>
        <v>0</v>
      </c>
      <c r="I744" s="82">
        <f t="shared" si="2"/>
        <v>0</v>
      </c>
      <c r="J744" s="82">
        <f>IFERROR( SUMIFS('Stock In'!I:I,'Stock In'!B:B,$A744,'Stock In'!C:C,$B744,'Stock In'!D:D,$C744,'Stock In'!E:E,$D744) / SUMIFS('Stock In'!H:H,'Stock In'!B:B,$A744,'Stock In'!C:C,$B744,'Stock In'!D:D,$C744,'Stock In'!E:E,$D744), 0)</f>
        <v>0</v>
      </c>
      <c r="K744" s="82">
        <f t="shared" si="3"/>
        <v>0</v>
      </c>
    </row>
    <row r="745">
      <c r="A745" s="80"/>
      <c r="B745" s="80"/>
      <c r="C745" s="80"/>
      <c r="D745" s="80"/>
      <c r="E745" s="82">
        <f>IFERROR(SUMIFS('Stock In'!F:F,'Stock In'!B:B,$A745,'Stock In'!C:C,$B745,'Stock In'!D:D,$C745,'Stock In'!E:E,$D745),0)</f>
        <v>0</v>
      </c>
      <c r="F745" s="82">
        <f>IFERROR(SUMIFS(Issues!H:H, Issues!F:F, $A745, Issues!C:C, $B745, Issues!D:D, $C745, Issues!E:E, $D745), 0)</f>
        <v>0</v>
      </c>
      <c r="G745" s="82">
        <f>IFERROR(SUMIFS(Returns!H:H, Returns!F:F, $A745, Returns!C:C, $B745, Returns!D:D, $C745, Returns!E:E, $D745), 0)</f>
        <v>0</v>
      </c>
      <c r="H745" s="82">
        <f t="shared" si="1"/>
        <v>0</v>
      </c>
      <c r="I745" s="82">
        <f t="shared" si="2"/>
        <v>0</v>
      </c>
      <c r="J745" s="82">
        <f>IFERROR( SUMIFS('Stock In'!I:I,'Stock In'!B:B,$A745,'Stock In'!C:C,$B745,'Stock In'!D:D,$C745,'Stock In'!E:E,$D745) / SUMIFS('Stock In'!H:H,'Stock In'!B:B,$A745,'Stock In'!C:C,$B745,'Stock In'!D:D,$C745,'Stock In'!E:E,$D745), 0)</f>
        <v>0</v>
      </c>
      <c r="K745" s="82">
        <f t="shared" si="3"/>
        <v>0</v>
      </c>
    </row>
    <row r="746">
      <c r="A746" s="80"/>
      <c r="B746" s="80"/>
      <c r="C746" s="80"/>
      <c r="D746" s="80"/>
      <c r="E746" s="82">
        <f>IFERROR(SUMIFS('Stock In'!F:F,'Stock In'!B:B,$A746,'Stock In'!C:C,$B746,'Stock In'!D:D,$C746,'Stock In'!E:E,$D746),0)</f>
        <v>0</v>
      </c>
      <c r="F746" s="82">
        <f>IFERROR(SUMIFS(Issues!H:H, Issues!F:F, $A746, Issues!C:C, $B746, Issues!D:D, $C746, Issues!E:E, $D746), 0)</f>
        <v>0</v>
      </c>
      <c r="G746" s="82">
        <f>IFERROR(SUMIFS(Returns!H:H, Returns!F:F, $A746, Returns!C:C, $B746, Returns!D:D, $C746, Returns!E:E, $D746), 0)</f>
        <v>0</v>
      </c>
      <c r="H746" s="82">
        <f t="shared" si="1"/>
        <v>0</v>
      </c>
      <c r="I746" s="82">
        <f t="shared" si="2"/>
        <v>0</v>
      </c>
      <c r="J746" s="82">
        <f>IFERROR( SUMIFS('Stock In'!I:I,'Stock In'!B:B,$A746,'Stock In'!C:C,$B746,'Stock In'!D:D,$C746,'Stock In'!E:E,$D746) / SUMIFS('Stock In'!H:H,'Stock In'!B:B,$A746,'Stock In'!C:C,$B746,'Stock In'!D:D,$C746,'Stock In'!E:E,$D746), 0)</f>
        <v>0</v>
      </c>
      <c r="K746" s="82">
        <f t="shared" si="3"/>
        <v>0</v>
      </c>
    </row>
    <row r="747">
      <c r="A747" s="80"/>
      <c r="B747" s="80"/>
      <c r="C747" s="80"/>
      <c r="D747" s="80"/>
      <c r="E747" s="82">
        <f>IFERROR(SUMIFS('Stock In'!F:F,'Stock In'!B:B,$A747,'Stock In'!C:C,$B747,'Stock In'!D:D,$C747,'Stock In'!E:E,$D747),0)</f>
        <v>0</v>
      </c>
      <c r="F747" s="82">
        <f>IFERROR(SUMIFS(Issues!H:H, Issues!F:F, $A747, Issues!C:C, $B747, Issues!D:D, $C747, Issues!E:E, $D747), 0)</f>
        <v>0</v>
      </c>
      <c r="G747" s="82">
        <f>IFERROR(SUMIFS(Returns!H:H, Returns!F:F, $A747, Returns!C:C, $B747, Returns!D:D, $C747, Returns!E:E, $D747), 0)</f>
        <v>0</v>
      </c>
      <c r="H747" s="82">
        <f t="shared" si="1"/>
        <v>0</v>
      </c>
      <c r="I747" s="82">
        <f t="shared" si="2"/>
        <v>0</v>
      </c>
      <c r="J747" s="82">
        <f>IFERROR( SUMIFS('Stock In'!I:I,'Stock In'!B:B,$A747,'Stock In'!C:C,$B747,'Stock In'!D:D,$C747,'Stock In'!E:E,$D747) / SUMIFS('Stock In'!H:H,'Stock In'!B:B,$A747,'Stock In'!C:C,$B747,'Stock In'!D:D,$C747,'Stock In'!E:E,$D747), 0)</f>
        <v>0</v>
      </c>
      <c r="K747" s="82">
        <f t="shared" si="3"/>
        <v>0</v>
      </c>
    </row>
    <row r="748">
      <c r="A748" s="80"/>
      <c r="B748" s="80"/>
      <c r="C748" s="80"/>
      <c r="D748" s="80"/>
      <c r="E748" s="82">
        <f>IFERROR(SUMIFS('Stock In'!F:F,'Stock In'!B:B,$A748,'Stock In'!C:C,$B748,'Stock In'!D:D,$C748,'Stock In'!E:E,$D748),0)</f>
        <v>0</v>
      </c>
      <c r="F748" s="82">
        <f>IFERROR(SUMIFS(Issues!H:H, Issues!F:F, $A748, Issues!C:C, $B748, Issues!D:D, $C748, Issues!E:E, $D748), 0)</f>
        <v>0</v>
      </c>
      <c r="G748" s="82">
        <f>IFERROR(SUMIFS(Returns!H:H, Returns!F:F, $A748, Returns!C:C, $B748, Returns!D:D, $C748, Returns!E:E, $D748), 0)</f>
        <v>0</v>
      </c>
      <c r="H748" s="82">
        <f t="shared" si="1"/>
        <v>0</v>
      </c>
      <c r="I748" s="82">
        <f t="shared" si="2"/>
        <v>0</v>
      </c>
      <c r="J748" s="82">
        <f>IFERROR( SUMIFS('Stock In'!I:I,'Stock In'!B:B,$A748,'Stock In'!C:C,$B748,'Stock In'!D:D,$C748,'Stock In'!E:E,$D748) / SUMIFS('Stock In'!H:H,'Stock In'!B:B,$A748,'Stock In'!C:C,$B748,'Stock In'!D:D,$C748,'Stock In'!E:E,$D748), 0)</f>
        <v>0</v>
      </c>
      <c r="K748" s="82">
        <f t="shared" si="3"/>
        <v>0</v>
      </c>
    </row>
    <row r="749">
      <c r="A749" s="80"/>
      <c r="B749" s="80"/>
      <c r="C749" s="80"/>
      <c r="D749" s="80"/>
      <c r="E749" s="82">
        <f>IFERROR(SUMIFS('Stock In'!F:F,'Stock In'!B:B,$A749,'Stock In'!C:C,$B749,'Stock In'!D:D,$C749,'Stock In'!E:E,$D749),0)</f>
        <v>0</v>
      </c>
      <c r="F749" s="82">
        <f>IFERROR(SUMIFS(Issues!H:H, Issues!F:F, $A749, Issues!C:C, $B749, Issues!D:D, $C749, Issues!E:E, $D749), 0)</f>
        <v>0</v>
      </c>
      <c r="G749" s="82">
        <f>IFERROR(SUMIFS(Returns!H:H, Returns!F:F, $A749, Returns!C:C, $B749, Returns!D:D, $C749, Returns!E:E, $D749), 0)</f>
        <v>0</v>
      </c>
      <c r="H749" s="82">
        <f t="shared" si="1"/>
        <v>0</v>
      </c>
      <c r="I749" s="82">
        <f t="shared" si="2"/>
        <v>0</v>
      </c>
      <c r="J749" s="82">
        <f>IFERROR( SUMIFS('Stock In'!I:I,'Stock In'!B:B,$A749,'Stock In'!C:C,$B749,'Stock In'!D:D,$C749,'Stock In'!E:E,$D749) / SUMIFS('Stock In'!H:H,'Stock In'!B:B,$A749,'Stock In'!C:C,$B749,'Stock In'!D:D,$C749,'Stock In'!E:E,$D749), 0)</f>
        <v>0</v>
      </c>
      <c r="K749" s="82">
        <f t="shared" si="3"/>
        <v>0</v>
      </c>
    </row>
    <row r="750">
      <c r="A750" s="80"/>
      <c r="B750" s="80"/>
      <c r="C750" s="80"/>
      <c r="D750" s="80"/>
      <c r="E750" s="82">
        <f>IFERROR(SUMIFS('Stock In'!F:F,'Stock In'!B:B,$A750,'Stock In'!C:C,$B750,'Stock In'!D:D,$C750,'Stock In'!E:E,$D750),0)</f>
        <v>0</v>
      </c>
      <c r="F750" s="82">
        <f>IFERROR(SUMIFS(Issues!H:H, Issues!F:F, $A750, Issues!C:C, $B750, Issues!D:D, $C750, Issues!E:E, $D750), 0)</f>
        <v>0</v>
      </c>
      <c r="G750" s="82">
        <f>IFERROR(SUMIFS(Returns!H:H, Returns!F:F, $A750, Returns!C:C, $B750, Returns!D:D, $C750, Returns!E:E, $D750), 0)</f>
        <v>0</v>
      </c>
      <c r="H750" s="82">
        <f t="shared" si="1"/>
        <v>0</v>
      </c>
      <c r="I750" s="82">
        <f t="shared" si="2"/>
        <v>0</v>
      </c>
      <c r="J750" s="82">
        <f>IFERROR( SUMIFS('Stock In'!I:I,'Stock In'!B:B,$A750,'Stock In'!C:C,$B750,'Stock In'!D:D,$C750,'Stock In'!E:E,$D750) / SUMIFS('Stock In'!H:H,'Stock In'!B:B,$A750,'Stock In'!C:C,$B750,'Stock In'!D:D,$C750,'Stock In'!E:E,$D750), 0)</f>
        <v>0</v>
      </c>
      <c r="K750" s="82">
        <f t="shared" si="3"/>
        <v>0</v>
      </c>
    </row>
    <row r="751">
      <c r="A751" s="80"/>
      <c r="B751" s="80"/>
      <c r="C751" s="80"/>
      <c r="D751" s="80"/>
      <c r="E751" s="82">
        <f>IFERROR(SUMIFS('Stock In'!F:F,'Stock In'!B:B,$A751,'Stock In'!C:C,$B751,'Stock In'!D:D,$C751,'Stock In'!E:E,$D751),0)</f>
        <v>0</v>
      </c>
      <c r="F751" s="82">
        <f>IFERROR(SUMIFS(Issues!H:H, Issues!F:F, $A751, Issues!C:C, $B751, Issues!D:D, $C751, Issues!E:E, $D751), 0)</f>
        <v>0</v>
      </c>
      <c r="G751" s="82">
        <f>IFERROR(SUMIFS(Returns!H:H, Returns!F:F, $A751, Returns!C:C, $B751, Returns!D:D, $C751, Returns!E:E, $D751), 0)</f>
        <v>0</v>
      </c>
      <c r="H751" s="82">
        <f t="shared" si="1"/>
        <v>0</v>
      </c>
      <c r="I751" s="82">
        <f t="shared" si="2"/>
        <v>0</v>
      </c>
      <c r="J751" s="82">
        <f>IFERROR( SUMIFS('Stock In'!I:I,'Stock In'!B:B,$A751,'Stock In'!C:C,$B751,'Stock In'!D:D,$C751,'Stock In'!E:E,$D751) / SUMIFS('Stock In'!H:H,'Stock In'!B:B,$A751,'Stock In'!C:C,$B751,'Stock In'!D:D,$C751,'Stock In'!E:E,$D751), 0)</f>
        <v>0</v>
      </c>
      <c r="K751" s="82">
        <f t="shared" si="3"/>
        <v>0</v>
      </c>
    </row>
    <row r="752">
      <c r="A752" s="80"/>
      <c r="B752" s="80"/>
      <c r="C752" s="80"/>
      <c r="D752" s="80"/>
      <c r="E752" s="82">
        <f>IFERROR(SUMIFS('Stock In'!F:F,'Stock In'!B:B,$A752,'Stock In'!C:C,$B752,'Stock In'!D:D,$C752,'Stock In'!E:E,$D752),0)</f>
        <v>0</v>
      </c>
      <c r="F752" s="82">
        <f>IFERROR(SUMIFS(Issues!H:H, Issues!F:F, $A752, Issues!C:C, $B752, Issues!D:D, $C752, Issues!E:E, $D752), 0)</f>
        <v>0</v>
      </c>
      <c r="G752" s="82">
        <f>IFERROR(SUMIFS(Returns!H:H, Returns!F:F, $A752, Returns!C:C, $B752, Returns!D:D, $C752, Returns!E:E, $D752), 0)</f>
        <v>0</v>
      </c>
      <c r="H752" s="82">
        <f t="shared" si="1"/>
        <v>0</v>
      </c>
      <c r="I752" s="82">
        <f t="shared" si="2"/>
        <v>0</v>
      </c>
      <c r="J752" s="82">
        <f>IFERROR( SUMIFS('Stock In'!I:I,'Stock In'!B:B,$A752,'Stock In'!C:C,$B752,'Stock In'!D:D,$C752,'Stock In'!E:E,$D752) / SUMIFS('Stock In'!H:H,'Stock In'!B:B,$A752,'Stock In'!C:C,$B752,'Stock In'!D:D,$C752,'Stock In'!E:E,$D752), 0)</f>
        <v>0</v>
      </c>
      <c r="K752" s="82">
        <f t="shared" si="3"/>
        <v>0</v>
      </c>
    </row>
    <row r="753">
      <c r="A753" s="80"/>
      <c r="B753" s="80"/>
      <c r="C753" s="80"/>
      <c r="D753" s="80"/>
      <c r="E753" s="82">
        <f>IFERROR(SUMIFS('Stock In'!F:F,'Stock In'!B:B,$A753,'Stock In'!C:C,$B753,'Stock In'!D:D,$C753,'Stock In'!E:E,$D753),0)</f>
        <v>0</v>
      </c>
      <c r="F753" s="82">
        <f>IFERROR(SUMIFS(Issues!H:H, Issues!F:F, $A753, Issues!C:C, $B753, Issues!D:D, $C753, Issues!E:E, $D753), 0)</f>
        <v>0</v>
      </c>
      <c r="G753" s="82">
        <f>IFERROR(SUMIFS(Returns!H:H, Returns!F:F, $A753, Returns!C:C, $B753, Returns!D:D, $C753, Returns!E:E, $D753), 0)</f>
        <v>0</v>
      </c>
      <c r="H753" s="82">
        <f t="shared" si="1"/>
        <v>0</v>
      </c>
      <c r="I753" s="82">
        <f t="shared" si="2"/>
        <v>0</v>
      </c>
      <c r="J753" s="82">
        <f>IFERROR( SUMIFS('Stock In'!I:I,'Stock In'!B:B,$A753,'Stock In'!C:C,$B753,'Stock In'!D:D,$C753,'Stock In'!E:E,$D753) / SUMIFS('Stock In'!H:H,'Stock In'!B:B,$A753,'Stock In'!C:C,$B753,'Stock In'!D:D,$C753,'Stock In'!E:E,$D753), 0)</f>
        <v>0</v>
      </c>
      <c r="K753" s="82">
        <f t="shared" si="3"/>
        <v>0</v>
      </c>
    </row>
    <row r="754">
      <c r="A754" s="80"/>
      <c r="B754" s="80"/>
      <c r="C754" s="80"/>
      <c r="D754" s="80"/>
      <c r="E754" s="82">
        <f>IFERROR(SUMIFS('Stock In'!F:F,'Stock In'!B:B,$A754,'Stock In'!C:C,$B754,'Stock In'!D:D,$C754,'Stock In'!E:E,$D754),0)</f>
        <v>0</v>
      </c>
      <c r="F754" s="82">
        <f>IFERROR(SUMIFS(Issues!H:H, Issues!F:F, $A754, Issues!C:C, $B754, Issues!D:D, $C754, Issues!E:E, $D754), 0)</f>
        <v>0</v>
      </c>
      <c r="G754" s="82">
        <f>IFERROR(SUMIFS(Returns!H:H, Returns!F:F, $A754, Returns!C:C, $B754, Returns!D:D, $C754, Returns!E:E, $D754), 0)</f>
        <v>0</v>
      </c>
      <c r="H754" s="82">
        <f t="shared" si="1"/>
        <v>0</v>
      </c>
      <c r="I754" s="82">
        <f t="shared" si="2"/>
        <v>0</v>
      </c>
      <c r="J754" s="82">
        <f>IFERROR( SUMIFS('Stock In'!I:I,'Stock In'!B:B,$A754,'Stock In'!C:C,$B754,'Stock In'!D:D,$C754,'Stock In'!E:E,$D754) / SUMIFS('Stock In'!H:H,'Stock In'!B:B,$A754,'Stock In'!C:C,$B754,'Stock In'!D:D,$C754,'Stock In'!E:E,$D754), 0)</f>
        <v>0</v>
      </c>
      <c r="K754" s="82">
        <f t="shared" si="3"/>
        <v>0</v>
      </c>
    </row>
    <row r="755">
      <c r="A755" s="80"/>
      <c r="B755" s="80"/>
      <c r="C755" s="80"/>
      <c r="D755" s="80"/>
      <c r="E755" s="82">
        <f>IFERROR(SUMIFS('Stock In'!F:F,'Stock In'!B:B,$A755,'Stock In'!C:C,$B755,'Stock In'!D:D,$C755,'Stock In'!E:E,$D755),0)</f>
        <v>0</v>
      </c>
      <c r="F755" s="82">
        <f>IFERROR(SUMIFS(Issues!H:H, Issues!F:F, $A755, Issues!C:C, $B755, Issues!D:D, $C755, Issues!E:E, $D755), 0)</f>
        <v>0</v>
      </c>
      <c r="G755" s="82">
        <f>IFERROR(SUMIFS(Returns!H:H, Returns!F:F, $A755, Returns!C:C, $B755, Returns!D:D, $C755, Returns!E:E, $D755), 0)</f>
        <v>0</v>
      </c>
      <c r="H755" s="82">
        <f t="shared" si="1"/>
        <v>0</v>
      </c>
      <c r="I755" s="82">
        <f t="shared" si="2"/>
        <v>0</v>
      </c>
      <c r="J755" s="82">
        <f>IFERROR( SUMIFS('Stock In'!I:I,'Stock In'!B:B,$A755,'Stock In'!C:C,$B755,'Stock In'!D:D,$C755,'Stock In'!E:E,$D755) / SUMIFS('Stock In'!H:H,'Stock In'!B:B,$A755,'Stock In'!C:C,$B755,'Stock In'!D:D,$C755,'Stock In'!E:E,$D755), 0)</f>
        <v>0</v>
      </c>
      <c r="K755" s="82">
        <f t="shared" si="3"/>
        <v>0</v>
      </c>
    </row>
    <row r="756">
      <c r="A756" s="80"/>
      <c r="B756" s="80"/>
      <c r="C756" s="80"/>
      <c r="D756" s="80"/>
      <c r="E756" s="82">
        <f>IFERROR(SUMIFS('Stock In'!F:F,'Stock In'!B:B,$A756,'Stock In'!C:C,$B756,'Stock In'!D:D,$C756,'Stock In'!E:E,$D756),0)</f>
        <v>0</v>
      </c>
      <c r="F756" s="82">
        <f>IFERROR(SUMIFS(Issues!H:H, Issues!F:F, $A756, Issues!C:C, $B756, Issues!D:D, $C756, Issues!E:E, $D756), 0)</f>
        <v>0</v>
      </c>
      <c r="G756" s="82">
        <f>IFERROR(SUMIFS(Returns!H:H, Returns!F:F, $A756, Returns!C:C, $B756, Returns!D:D, $C756, Returns!E:E, $D756), 0)</f>
        <v>0</v>
      </c>
      <c r="H756" s="82">
        <f t="shared" si="1"/>
        <v>0</v>
      </c>
      <c r="I756" s="82">
        <f t="shared" si="2"/>
        <v>0</v>
      </c>
      <c r="J756" s="82">
        <f>IFERROR( SUMIFS('Stock In'!I:I,'Stock In'!B:B,$A756,'Stock In'!C:C,$B756,'Stock In'!D:D,$C756,'Stock In'!E:E,$D756) / SUMIFS('Stock In'!H:H,'Stock In'!B:B,$A756,'Stock In'!C:C,$B756,'Stock In'!D:D,$C756,'Stock In'!E:E,$D756), 0)</f>
        <v>0</v>
      </c>
      <c r="K756" s="82">
        <f t="shared" si="3"/>
        <v>0</v>
      </c>
    </row>
    <row r="757">
      <c r="A757" s="80"/>
      <c r="B757" s="80"/>
      <c r="C757" s="80"/>
      <c r="D757" s="80"/>
      <c r="E757" s="82">
        <f>IFERROR(SUMIFS('Stock In'!F:F,'Stock In'!B:B,$A757,'Stock In'!C:C,$B757,'Stock In'!D:D,$C757,'Stock In'!E:E,$D757),0)</f>
        <v>0</v>
      </c>
      <c r="F757" s="82">
        <f>IFERROR(SUMIFS(Issues!H:H, Issues!F:F, $A757, Issues!C:C, $B757, Issues!D:D, $C757, Issues!E:E, $D757), 0)</f>
        <v>0</v>
      </c>
      <c r="G757" s="82">
        <f>IFERROR(SUMIFS(Returns!H:H, Returns!F:F, $A757, Returns!C:C, $B757, Returns!D:D, $C757, Returns!E:E, $D757), 0)</f>
        <v>0</v>
      </c>
      <c r="H757" s="82">
        <f t="shared" si="1"/>
        <v>0</v>
      </c>
      <c r="I757" s="82">
        <f t="shared" si="2"/>
        <v>0</v>
      </c>
      <c r="J757" s="82">
        <f>IFERROR( SUMIFS('Stock In'!I:I,'Stock In'!B:B,$A757,'Stock In'!C:C,$B757,'Stock In'!D:D,$C757,'Stock In'!E:E,$D757) / SUMIFS('Stock In'!H:H,'Stock In'!B:B,$A757,'Stock In'!C:C,$B757,'Stock In'!D:D,$C757,'Stock In'!E:E,$D757), 0)</f>
        <v>0</v>
      </c>
      <c r="K757" s="82">
        <f t="shared" si="3"/>
        <v>0</v>
      </c>
    </row>
    <row r="758">
      <c r="A758" s="80"/>
      <c r="B758" s="80"/>
      <c r="C758" s="80"/>
      <c r="D758" s="80"/>
      <c r="E758" s="82">
        <f>IFERROR(SUMIFS('Stock In'!F:F,'Stock In'!B:B,$A758,'Stock In'!C:C,$B758,'Stock In'!D:D,$C758,'Stock In'!E:E,$D758),0)</f>
        <v>0</v>
      </c>
      <c r="F758" s="82">
        <f>IFERROR(SUMIFS(Issues!H:H, Issues!F:F, $A758, Issues!C:C, $B758, Issues!D:D, $C758, Issues!E:E, $D758), 0)</f>
        <v>0</v>
      </c>
      <c r="G758" s="82">
        <f>IFERROR(SUMIFS(Returns!H:H, Returns!F:F, $A758, Returns!C:C, $B758, Returns!D:D, $C758, Returns!E:E, $D758), 0)</f>
        <v>0</v>
      </c>
      <c r="H758" s="82">
        <f t="shared" si="1"/>
        <v>0</v>
      </c>
      <c r="I758" s="82">
        <f t="shared" si="2"/>
        <v>0</v>
      </c>
      <c r="J758" s="82">
        <f>IFERROR( SUMIFS('Stock In'!I:I,'Stock In'!B:B,$A758,'Stock In'!C:C,$B758,'Stock In'!D:D,$C758,'Stock In'!E:E,$D758) / SUMIFS('Stock In'!H:H,'Stock In'!B:B,$A758,'Stock In'!C:C,$B758,'Stock In'!D:D,$C758,'Stock In'!E:E,$D758), 0)</f>
        <v>0</v>
      </c>
      <c r="K758" s="82">
        <f t="shared" si="3"/>
        <v>0</v>
      </c>
    </row>
    <row r="759">
      <c r="A759" s="80"/>
      <c r="B759" s="80"/>
      <c r="C759" s="80"/>
      <c r="D759" s="80"/>
      <c r="E759" s="82">
        <f>IFERROR(SUMIFS('Stock In'!F:F,'Stock In'!B:B,$A759,'Stock In'!C:C,$B759,'Stock In'!D:D,$C759,'Stock In'!E:E,$D759),0)</f>
        <v>0</v>
      </c>
      <c r="F759" s="82">
        <f>IFERROR(SUMIFS(Issues!H:H, Issues!F:F, $A759, Issues!C:C, $B759, Issues!D:D, $C759, Issues!E:E, $D759), 0)</f>
        <v>0</v>
      </c>
      <c r="G759" s="82">
        <f>IFERROR(SUMIFS(Returns!H:H, Returns!F:F, $A759, Returns!C:C, $B759, Returns!D:D, $C759, Returns!E:E, $D759), 0)</f>
        <v>0</v>
      </c>
      <c r="H759" s="82">
        <f t="shared" si="1"/>
        <v>0</v>
      </c>
      <c r="I759" s="82">
        <f t="shared" si="2"/>
        <v>0</v>
      </c>
      <c r="J759" s="82">
        <f>IFERROR( SUMIFS('Stock In'!I:I,'Stock In'!B:B,$A759,'Stock In'!C:C,$B759,'Stock In'!D:D,$C759,'Stock In'!E:E,$D759) / SUMIFS('Stock In'!H:H,'Stock In'!B:B,$A759,'Stock In'!C:C,$B759,'Stock In'!D:D,$C759,'Stock In'!E:E,$D759), 0)</f>
        <v>0</v>
      </c>
      <c r="K759" s="82">
        <f t="shared" si="3"/>
        <v>0</v>
      </c>
    </row>
    <row r="760">
      <c r="A760" s="80"/>
      <c r="B760" s="80"/>
      <c r="C760" s="80"/>
      <c r="D760" s="80"/>
      <c r="E760" s="82">
        <f>IFERROR(SUMIFS('Stock In'!F:F,'Stock In'!B:B,$A760,'Stock In'!C:C,$B760,'Stock In'!D:D,$C760,'Stock In'!E:E,$D760),0)</f>
        <v>0</v>
      </c>
      <c r="F760" s="82">
        <f>IFERROR(SUMIFS(Issues!H:H, Issues!F:F, $A760, Issues!C:C, $B760, Issues!D:D, $C760, Issues!E:E, $D760), 0)</f>
        <v>0</v>
      </c>
      <c r="G760" s="82">
        <f>IFERROR(SUMIFS(Returns!H:H, Returns!F:F, $A760, Returns!C:C, $B760, Returns!D:D, $C760, Returns!E:E, $D760), 0)</f>
        <v>0</v>
      </c>
      <c r="H760" s="82">
        <f t="shared" si="1"/>
        <v>0</v>
      </c>
      <c r="I760" s="82">
        <f t="shared" si="2"/>
        <v>0</v>
      </c>
      <c r="J760" s="82">
        <f>IFERROR( SUMIFS('Stock In'!I:I,'Stock In'!B:B,$A760,'Stock In'!C:C,$B760,'Stock In'!D:D,$C760,'Stock In'!E:E,$D760) / SUMIFS('Stock In'!H:H,'Stock In'!B:B,$A760,'Stock In'!C:C,$B760,'Stock In'!D:D,$C760,'Stock In'!E:E,$D760), 0)</f>
        <v>0</v>
      </c>
      <c r="K760" s="82">
        <f t="shared" si="3"/>
        <v>0</v>
      </c>
    </row>
    <row r="761">
      <c r="A761" s="80"/>
      <c r="B761" s="80"/>
      <c r="C761" s="80"/>
      <c r="D761" s="80"/>
      <c r="E761" s="82">
        <f>IFERROR(SUMIFS('Stock In'!F:F,'Stock In'!B:B,$A761,'Stock In'!C:C,$B761,'Stock In'!D:D,$C761,'Stock In'!E:E,$D761),0)</f>
        <v>0</v>
      </c>
      <c r="F761" s="82">
        <f>IFERROR(SUMIFS(Issues!H:H, Issues!F:F, $A761, Issues!C:C, $B761, Issues!D:D, $C761, Issues!E:E, $D761), 0)</f>
        <v>0</v>
      </c>
      <c r="G761" s="82">
        <f>IFERROR(SUMIFS(Returns!H:H, Returns!F:F, $A761, Returns!C:C, $B761, Returns!D:D, $C761, Returns!E:E, $D761), 0)</f>
        <v>0</v>
      </c>
      <c r="H761" s="82">
        <f t="shared" si="1"/>
        <v>0</v>
      </c>
      <c r="I761" s="82">
        <f t="shared" si="2"/>
        <v>0</v>
      </c>
      <c r="J761" s="82">
        <f>IFERROR( SUMIFS('Stock In'!I:I,'Stock In'!B:B,$A761,'Stock In'!C:C,$B761,'Stock In'!D:D,$C761,'Stock In'!E:E,$D761) / SUMIFS('Stock In'!H:H,'Stock In'!B:B,$A761,'Stock In'!C:C,$B761,'Stock In'!D:D,$C761,'Stock In'!E:E,$D761), 0)</f>
        <v>0</v>
      </c>
      <c r="K761" s="82">
        <f t="shared" si="3"/>
        <v>0</v>
      </c>
    </row>
    <row r="762">
      <c r="A762" s="80"/>
      <c r="B762" s="80"/>
      <c r="C762" s="80"/>
      <c r="D762" s="80"/>
      <c r="E762" s="82">
        <f>IFERROR(SUMIFS('Stock In'!F:F,'Stock In'!B:B,$A762,'Stock In'!C:C,$B762,'Stock In'!D:D,$C762,'Stock In'!E:E,$D762),0)</f>
        <v>0</v>
      </c>
      <c r="F762" s="82">
        <f>IFERROR(SUMIFS(Issues!H:H, Issues!F:F, $A762, Issues!C:C, $B762, Issues!D:D, $C762, Issues!E:E, $D762), 0)</f>
        <v>0</v>
      </c>
      <c r="G762" s="82">
        <f>IFERROR(SUMIFS(Returns!H:H, Returns!F:F, $A762, Returns!C:C, $B762, Returns!D:D, $C762, Returns!E:E, $D762), 0)</f>
        <v>0</v>
      </c>
      <c r="H762" s="82">
        <f t="shared" si="1"/>
        <v>0</v>
      </c>
      <c r="I762" s="82">
        <f t="shared" si="2"/>
        <v>0</v>
      </c>
      <c r="J762" s="82">
        <f>IFERROR( SUMIFS('Stock In'!I:I,'Stock In'!B:B,$A762,'Stock In'!C:C,$B762,'Stock In'!D:D,$C762,'Stock In'!E:E,$D762) / SUMIFS('Stock In'!H:H,'Stock In'!B:B,$A762,'Stock In'!C:C,$B762,'Stock In'!D:D,$C762,'Stock In'!E:E,$D762), 0)</f>
        <v>0</v>
      </c>
      <c r="K762" s="82">
        <f t="shared" si="3"/>
        <v>0</v>
      </c>
    </row>
    <row r="763">
      <c r="A763" s="80"/>
      <c r="B763" s="80"/>
      <c r="C763" s="80"/>
      <c r="D763" s="80"/>
      <c r="E763" s="82">
        <f>IFERROR(SUMIFS('Stock In'!F:F,'Stock In'!B:B,$A763,'Stock In'!C:C,$B763,'Stock In'!D:D,$C763,'Stock In'!E:E,$D763),0)</f>
        <v>0</v>
      </c>
      <c r="F763" s="82">
        <f>IFERROR(SUMIFS(Issues!H:H, Issues!F:F, $A763, Issues!C:C, $B763, Issues!D:D, $C763, Issues!E:E, $D763), 0)</f>
        <v>0</v>
      </c>
      <c r="G763" s="82">
        <f>IFERROR(SUMIFS(Returns!H:H, Returns!F:F, $A763, Returns!C:C, $B763, Returns!D:D, $C763, Returns!E:E, $D763), 0)</f>
        <v>0</v>
      </c>
      <c r="H763" s="82">
        <f t="shared" si="1"/>
        <v>0</v>
      </c>
      <c r="I763" s="82">
        <f t="shared" si="2"/>
        <v>0</v>
      </c>
      <c r="J763" s="82">
        <f>IFERROR( SUMIFS('Stock In'!I:I,'Stock In'!B:B,$A763,'Stock In'!C:C,$B763,'Stock In'!D:D,$C763,'Stock In'!E:E,$D763) / SUMIFS('Stock In'!H:H,'Stock In'!B:B,$A763,'Stock In'!C:C,$B763,'Stock In'!D:D,$C763,'Stock In'!E:E,$D763), 0)</f>
        <v>0</v>
      </c>
      <c r="K763" s="82">
        <f t="shared" si="3"/>
        <v>0</v>
      </c>
    </row>
    <row r="764">
      <c r="A764" s="80"/>
      <c r="B764" s="80"/>
      <c r="C764" s="80"/>
      <c r="D764" s="80"/>
      <c r="E764" s="82">
        <f>IFERROR(SUMIFS('Stock In'!F:F,'Stock In'!B:B,$A764,'Stock In'!C:C,$B764,'Stock In'!D:D,$C764,'Stock In'!E:E,$D764),0)</f>
        <v>0</v>
      </c>
      <c r="F764" s="82">
        <f>IFERROR(SUMIFS(Issues!H:H, Issues!F:F, $A764, Issues!C:C, $B764, Issues!D:D, $C764, Issues!E:E, $D764), 0)</f>
        <v>0</v>
      </c>
      <c r="G764" s="82">
        <f>IFERROR(SUMIFS(Returns!H:H, Returns!F:F, $A764, Returns!C:C, $B764, Returns!D:D, $C764, Returns!E:E, $D764), 0)</f>
        <v>0</v>
      </c>
      <c r="H764" s="82">
        <f t="shared" si="1"/>
        <v>0</v>
      </c>
      <c r="I764" s="82">
        <f t="shared" si="2"/>
        <v>0</v>
      </c>
      <c r="J764" s="82">
        <f>IFERROR( SUMIFS('Stock In'!I:I,'Stock In'!B:B,$A764,'Stock In'!C:C,$B764,'Stock In'!D:D,$C764,'Stock In'!E:E,$D764) / SUMIFS('Stock In'!H:H,'Stock In'!B:B,$A764,'Stock In'!C:C,$B764,'Stock In'!D:D,$C764,'Stock In'!E:E,$D764), 0)</f>
        <v>0</v>
      </c>
      <c r="K764" s="82">
        <f t="shared" si="3"/>
        <v>0</v>
      </c>
    </row>
    <row r="765">
      <c r="A765" s="80"/>
      <c r="B765" s="80"/>
      <c r="C765" s="80"/>
      <c r="D765" s="80"/>
      <c r="E765" s="82">
        <f>IFERROR(SUMIFS('Stock In'!F:F,'Stock In'!B:B,$A765,'Stock In'!C:C,$B765,'Stock In'!D:D,$C765,'Stock In'!E:E,$D765),0)</f>
        <v>0</v>
      </c>
      <c r="F765" s="82">
        <f>IFERROR(SUMIFS(Issues!H:H, Issues!F:F, $A765, Issues!C:C, $B765, Issues!D:D, $C765, Issues!E:E, $D765), 0)</f>
        <v>0</v>
      </c>
      <c r="G765" s="82">
        <f>IFERROR(SUMIFS(Returns!H:H, Returns!F:F, $A765, Returns!C:C, $B765, Returns!D:D, $C765, Returns!E:E, $D765), 0)</f>
        <v>0</v>
      </c>
      <c r="H765" s="82">
        <f t="shared" si="1"/>
        <v>0</v>
      </c>
      <c r="I765" s="82">
        <f t="shared" si="2"/>
        <v>0</v>
      </c>
      <c r="J765" s="82">
        <f>IFERROR( SUMIFS('Stock In'!I:I,'Stock In'!B:B,$A765,'Stock In'!C:C,$B765,'Stock In'!D:D,$C765,'Stock In'!E:E,$D765) / SUMIFS('Stock In'!H:H,'Stock In'!B:B,$A765,'Stock In'!C:C,$B765,'Stock In'!D:D,$C765,'Stock In'!E:E,$D765), 0)</f>
        <v>0</v>
      </c>
      <c r="K765" s="82">
        <f t="shared" si="3"/>
        <v>0</v>
      </c>
    </row>
    <row r="766">
      <c r="A766" s="80"/>
      <c r="B766" s="80"/>
      <c r="C766" s="80"/>
      <c r="D766" s="80"/>
      <c r="E766" s="82">
        <f>IFERROR(SUMIFS('Stock In'!F:F,'Stock In'!B:B,$A766,'Stock In'!C:C,$B766,'Stock In'!D:D,$C766,'Stock In'!E:E,$D766),0)</f>
        <v>0</v>
      </c>
      <c r="F766" s="82">
        <f>IFERROR(SUMIFS(Issues!H:H, Issues!F:F, $A766, Issues!C:C, $B766, Issues!D:D, $C766, Issues!E:E, $D766), 0)</f>
        <v>0</v>
      </c>
      <c r="G766" s="82">
        <f>IFERROR(SUMIFS(Returns!H:H, Returns!F:F, $A766, Returns!C:C, $B766, Returns!D:D, $C766, Returns!E:E, $D766), 0)</f>
        <v>0</v>
      </c>
      <c r="H766" s="82">
        <f t="shared" si="1"/>
        <v>0</v>
      </c>
      <c r="I766" s="82">
        <f t="shared" si="2"/>
        <v>0</v>
      </c>
      <c r="J766" s="82">
        <f>IFERROR( SUMIFS('Stock In'!I:I,'Stock In'!B:B,$A766,'Stock In'!C:C,$B766,'Stock In'!D:D,$C766,'Stock In'!E:E,$D766) / SUMIFS('Stock In'!H:H,'Stock In'!B:B,$A766,'Stock In'!C:C,$B766,'Stock In'!D:D,$C766,'Stock In'!E:E,$D766), 0)</f>
        <v>0</v>
      </c>
      <c r="K766" s="82">
        <f t="shared" si="3"/>
        <v>0</v>
      </c>
    </row>
    <row r="767">
      <c r="A767" s="80"/>
      <c r="B767" s="80"/>
      <c r="C767" s="80"/>
      <c r="D767" s="80"/>
      <c r="E767" s="82">
        <f>IFERROR(SUMIFS('Stock In'!F:F,'Stock In'!B:B,$A767,'Stock In'!C:C,$B767,'Stock In'!D:D,$C767,'Stock In'!E:E,$D767),0)</f>
        <v>0</v>
      </c>
      <c r="F767" s="82">
        <f>IFERROR(SUMIFS(Issues!H:H, Issues!F:F, $A767, Issues!C:C, $B767, Issues!D:D, $C767, Issues!E:E, $D767), 0)</f>
        <v>0</v>
      </c>
      <c r="G767" s="82">
        <f>IFERROR(SUMIFS(Returns!H:H, Returns!F:F, $A767, Returns!C:C, $B767, Returns!D:D, $C767, Returns!E:E, $D767), 0)</f>
        <v>0</v>
      </c>
      <c r="H767" s="82">
        <f t="shared" si="1"/>
        <v>0</v>
      </c>
      <c r="I767" s="82">
        <f t="shared" si="2"/>
        <v>0</v>
      </c>
      <c r="J767" s="82">
        <f>IFERROR( SUMIFS('Stock In'!I:I,'Stock In'!B:B,$A767,'Stock In'!C:C,$B767,'Stock In'!D:D,$C767,'Stock In'!E:E,$D767) / SUMIFS('Stock In'!H:H,'Stock In'!B:B,$A767,'Stock In'!C:C,$B767,'Stock In'!D:D,$C767,'Stock In'!E:E,$D767), 0)</f>
        <v>0</v>
      </c>
      <c r="K767" s="82">
        <f t="shared" si="3"/>
        <v>0</v>
      </c>
    </row>
    <row r="768">
      <c r="A768" s="80"/>
      <c r="B768" s="80"/>
      <c r="C768" s="80"/>
      <c r="D768" s="80"/>
      <c r="E768" s="82">
        <f>IFERROR(SUMIFS('Stock In'!F:F,'Stock In'!B:B,$A768,'Stock In'!C:C,$B768,'Stock In'!D:D,$C768,'Stock In'!E:E,$D768),0)</f>
        <v>0</v>
      </c>
      <c r="F768" s="82">
        <f>IFERROR(SUMIFS(Issues!H:H, Issues!F:F, $A768, Issues!C:C, $B768, Issues!D:D, $C768, Issues!E:E, $D768), 0)</f>
        <v>0</v>
      </c>
      <c r="G768" s="82">
        <f>IFERROR(SUMIFS(Returns!H:H, Returns!F:F, $A768, Returns!C:C, $B768, Returns!D:D, $C768, Returns!E:E, $D768), 0)</f>
        <v>0</v>
      </c>
      <c r="H768" s="82">
        <f t="shared" si="1"/>
        <v>0</v>
      </c>
      <c r="I768" s="82">
        <f t="shared" si="2"/>
        <v>0</v>
      </c>
      <c r="J768" s="82">
        <f>IFERROR( SUMIFS('Stock In'!I:I,'Stock In'!B:B,$A768,'Stock In'!C:C,$B768,'Stock In'!D:D,$C768,'Stock In'!E:E,$D768) / SUMIFS('Stock In'!H:H,'Stock In'!B:B,$A768,'Stock In'!C:C,$B768,'Stock In'!D:D,$C768,'Stock In'!E:E,$D768), 0)</f>
        <v>0</v>
      </c>
      <c r="K768" s="82">
        <f t="shared" si="3"/>
        <v>0</v>
      </c>
    </row>
    <row r="769">
      <c r="A769" s="80"/>
      <c r="B769" s="80"/>
      <c r="C769" s="80"/>
      <c r="D769" s="80"/>
      <c r="E769" s="82">
        <f>IFERROR(SUMIFS('Stock In'!F:F,'Stock In'!B:B,$A769,'Stock In'!C:C,$B769,'Stock In'!D:D,$C769,'Stock In'!E:E,$D769),0)</f>
        <v>0</v>
      </c>
      <c r="F769" s="82">
        <f>IFERROR(SUMIFS(Issues!H:H, Issues!F:F, $A769, Issues!C:C, $B769, Issues!D:D, $C769, Issues!E:E, $D769), 0)</f>
        <v>0</v>
      </c>
      <c r="G769" s="82">
        <f>IFERROR(SUMIFS(Returns!H:H, Returns!F:F, $A769, Returns!C:C, $B769, Returns!D:D, $C769, Returns!E:E, $D769), 0)</f>
        <v>0</v>
      </c>
      <c r="H769" s="82">
        <f t="shared" si="1"/>
        <v>0</v>
      </c>
      <c r="I769" s="82">
        <f t="shared" si="2"/>
        <v>0</v>
      </c>
      <c r="J769" s="82">
        <f>IFERROR( SUMIFS('Stock In'!I:I,'Stock In'!B:B,$A769,'Stock In'!C:C,$B769,'Stock In'!D:D,$C769,'Stock In'!E:E,$D769) / SUMIFS('Stock In'!H:H,'Stock In'!B:B,$A769,'Stock In'!C:C,$B769,'Stock In'!D:D,$C769,'Stock In'!E:E,$D769), 0)</f>
        <v>0</v>
      </c>
      <c r="K769" s="82">
        <f t="shared" si="3"/>
        <v>0</v>
      </c>
    </row>
    <row r="770">
      <c r="A770" s="80"/>
      <c r="B770" s="80"/>
      <c r="C770" s="80"/>
      <c r="D770" s="80"/>
      <c r="E770" s="82">
        <f>IFERROR(SUMIFS('Stock In'!F:F,'Stock In'!B:B,$A770,'Stock In'!C:C,$B770,'Stock In'!D:D,$C770,'Stock In'!E:E,$D770),0)</f>
        <v>0</v>
      </c>
      <c r="F770" s="82">
        <f>IFERROR(SUMIFS(Issues!H:H, Issues!F:F, $A770, Issues!C:C, $B770, Issues!D:D, $C770, Issues!E:E, $D770), 0)</f>
        <v>0</v>
      </c>
      <c r="G770" s="82">
        <f>IFERROR(SUMIFS(Returns!H:H, Returns!F:F, $A770, Returns!C:C, $B770, Returns!D:D, $C770, Returns!E:E, $D770), 0)</f>
        <v>0</v>
      </c>
      <c r="H770" s="82">
        <f t="shared" si="1"/>
        <v>0</v>
      </c>
      <c r="I770" s="82">
        <f t="shared" si="2"/>
        <v>0</v>
      </c>
      <c r="J770" s="82">
        <f>IFERROR( SUMIFS('Stock In'!I:I,'Stock In'!B:B,$A770,'Stock In'!C:C,$B770,'Stock In'!D:D,$C770,'Stock In'!E:E,$D770) / SUMIFS('Stock In'!H:H,'Stock In'!B:B,$A770,'Stock In'!C:C,$B770,'Stock In'!D:D,$C770,'Stock In'!E:E,$D770), 0)</f>
        <v>0</v>
      </c>
      <c r="K770" s="82">
        <f t="shared" si="3"/>
        <v>0</v>
      </c>
    </row>
    <row r="771">
      <c r="A771" s="80"/>
      <c r="B771" s="80"/>
      <c r="C771" s="80"/>
      <c r="D771" s="80"/>
      <c r="E771" s="82">
        <f>IFERROR(SUMIFS('Stock In'!F:F,'Stock In'!B:B,$A771,'Stock In'!C:C,$B771,'Stock In'!D:D,$C771,'Stock In'!E:E,$D771),0)</f>
        <v>0</v>
      </c>
      <c r="F771" s="82">
        <f>IFERROR(SUMIFS(Issues!H:H, Issues!F:F, $A771, Issues!C:C, $B771, Issues!D:D, $C771, Issues!E:E, $D771), 0)</f>
        <v>0</v>
      </c>
      <c r="G771" s="82">
        <f>IFERROR(SUMIFS(Returns!H:H, Returns!F:F, $A771, Returns!C:C, $B771, Returns!D:D, $C771, Returns!E:E, $D771), 0)</f>
        <v>0</v>
      </c>
      <c r="H771" s="82">
        <f t="shared" si="1"/>
        <v>0</v>
      </c>
      <c r="I771" s="82">
        <f t="shared" si="2"/>
        <v>0</v>
      </c>
      <c r="J771" s="82">
        <f>IFERROR( SUMIFS('Stock In'!I:I,'Stock In'!B:B,$A771,'Stock In'!C:C,$B771,'Stock In'!D:D,$C771,'Stock In'!E:E,$D771) / SUMIFS('Stock In'!H:H,'Stock In'!B:B,$A771,'Stock In'!C:C,$B771,'Stock In'!D:D,$C771,'Stock In'!E:E,$D771), 0)</f>
        <v>0</v>
      </c>
      <c r="K771" s="82">
        <f t="shared" si="3"/>
        <v>0</v>
      </c>
    </row>
    <row r="772">
      <c r="A772" s="80"/>
      <c r="B772" s="80"/>
      <c r="C772" s="80"/>
      <c r="D772" s="80"/>
      <c r="E772" s="82">
        <f>IFERROR(SUMIFS('Stock In'!F:F,'Stock In'!B:B,$A772,'Stock In'!C:C,$B772,'Stock In'!D:D,$C772,'Stock In'!E:E,$D772),0)</f>
        <v>0</v>
      </c>
      <c r="F772" s="82">
        <f>IFERROR(SUMIFS(Issues!H:H, Issues!F:F, $A772, Issues!C:C, $B772, Issues!D:D, $C772, Issues!E:E, $D772), 0)</f>
        <v>0</v>
      </c>
      <c r="G772" s="82">
        <f>IFERROR(SUMIFS(Returns!H:H, Returns!F:F, $A772, Returns!C:C, $B772, Returns!D:D, $C772, Returns!E:E, $D772), 0)</f>
        <v>0</v>
      </c>
      <c r="H772" s="82">
        <f t="shared" si="1"/>
        <v>0</v>
      </c>
      <c r="I772" s="82">
        <f t="shared" si="2"/>
        <v>0</v>
      </c>
      <c r="J772" s="82">
        <f>IFERROR( SUMIFS('Stock In'!I:I,'Stock In'!B:B,$A772,'Stock In'!C:C,$B772,'Stock In'!D:D,$C772,'Stock In'!E:E,$D772) / SUMIFS('Stock In'!H:H,'Stock In'!B:B,$A772,'Stock In'!C:C,$B772,'Stock In'!D:D,$C772,'Stock In'!E:E,$D772), 0)</f>
        <v>0</v>
      </c>
      <c r="K772" s="82">
        <f t="shared" si="3"/>
        <v>0</v>
      </c>
    </row>
    <row r="773">
      <c r="A773" s="80"/>
      <c r="B773" s="80"/>
      <c r="C773" s="80"/>
      <c r="D773" s="80"/>
      <c r="E773" s="82">
        <f>IFERROR(SUMIFS('Stock In'!F:F,'Stock In'!B:B,$A773,'Stock In'!C:C,$B773,'Stock In'!D:D,$C773,'Stock In'!E:E,$D773),0)</f>
        <v>0</v>
      </c>
      <c r="F773" s="82">
        <f>IFERROR(SUMIFS(Issues!H:H, Issues!F:F, $A773, Issues!C:C, $B773, Issues!D:D, $C773, Issues!E:E, $D773), 0)</f>
        <v>0</v>
      </c>
      <c r="G773" s="82">
        <f>IFERROR(SUMIFS(Returns!H:H, Returns!F:F, $A773, Returns!C:C, $B773, Returns!D:D, $C773, Returns!E:E, $D773), 0)</f>
        <v>0</v>
      </c>
      <c r="H773" s="82">
        <f t="shared" si="1"/>
        <v>0</v>
      </c>
      <c r="I773" s="82">
        <f t="shared" si="2"/>
        <v>0</v>
      </c>
      <c r="J773" s="82">
        <f>IFERROR( SUMIFS('Stock In'!I:I,'Stock In'!B:B,$A773,'Stock In'!C:C,$B773,'Stock In'!D:D,$C773,'Stock In'!E:E,$D773) / SUMIFS('Stock In'!H:H,'Stock In'!B:B,$A773,'Stock In'!C:C,$B773,'Stock In'!D:D,$C773,'Stock In'!E:E,$D773), 0)</f>
        <v>0</v>
      </c>
      <c r="K773" s="82">
        <f t="shared" si="3"/>
        <v>0</v>
      </c>
    </row>
    <row r="774">
      <c r="A774" s="80"/>
      <c r="B774" s="80"/>
      <c r="C774" s="80"/>
      <c r="D774" s="80"/>
      <c r="E774" s="82">
        <f>IFERROR(SUMIFS('Stock In'!F:F,'Stock In'!B:B,$A774,'Stock In'!C:C,$B774,'Stock In'!D:D,$C774,'Stock In'!E:E,$D774),0)</f>
        <v>0</v>
      </c>
      <c r="F774" s="82">
        <f>IFERROR(SUMIFS(Issues!H:H, Issues!F:F, $A774, Issues!C:C, $B774, Issues!D:D, $C774, Issues!E:E, $D774), 0)</f>
        <v>0</v>
      </c>
      <c r="G774" s="82">
        <f>IFERROR(SUMIFS(Returns!H:H, Returns!F:F, $A774, Returns!C:C, $B774, Returns!D:D, $C774, Returns!E:E, $D774), 0)</f>
        <v>0</v>
      </c>
      <c r="H774" s="82">
        <f t="shared" si="1"/>
        <v>0</v>
      </c>
      <c r="I774" s="82">
        <f t="shared" si="2"/>
        <v>0</v>
      </c>
      <c r="J774" s="82">
        <f>IFERROR( SUMIFS('Stock In'!I:I,'Stock In'!B:B,$A774,'Stock In'!C:C,$B774,'Stock In'!D:D,$C774,'Stock In'!E:E,$D774) / SUMIFS('Stock In'!H:H,'Stock In'!B:B,$A774,'Stock In'!C:C,$B774,'Stock In'!D:D,$C774,'Stock In'!E:E,$D774), 0)</f>
        <v>0</v>
      </c>
      <c r="K774" s="82">
        <f t="shared" si="3"/>
        <v>0</v>
      </c>
    </row>
    <row r="775">
      <c r="A775" s="80"/>
      <c r="B775" s="80"/>
      <c r="C775" s="80"/>
      <c r="D775" s="80"/>
      <c r="E775" s="82">
        <f>IFERROR(SUMIFS('Stock In'!F:F,'Stock In'!B:B,$A775,'Stock In'!C:C,$B775,'Stock In'!D:D,$C775,'Stock In'!E:E,$D775),0)</f>
        <v>0</v>
      </c>
      <c r="F775" s="82">
        <f>IFERROR(SUMIFS(Issues!H:H, Issues!F:F, $A775, Issues!C:C, $B775, Issues!D:D, $C775, Issues!E:E, $D775), 0)</f>
        <v>0</v>
      </c>
      <c r="G775" s="82">
        <f>IFERROR(SUMIFS(Returns!H:H, Returns!F:F, $A775, Returns!C:C, $B775, Returns!D:D, $C775, Returns!E:E, $D775), 0)</f>
        <v>0</v>
      </c>
      <c r="H775" s="82">
        <f t="shared" si="1"/>
        <v>0</v>
      </c>
      <c r="I775" s="82">
        <f t="shared" si="2"/>
        <v>0</v>
      </c>
      <c r="J775" s="82">
        <f>IFERROR( SUMIFS('Stock In'!I:I,'Stock In'!B:B,$A775,'Stock In'!C:C,$B775,'Stock In'!D:D,$C775,'Stock In'!E:E,$D775) / SUMIFS('Stock In'!H:H,'Stock In'!B:B,$A775,'Stock In'!C:C,$B775,'Stock In'!D:D,$C775,'Stock In'!E:E,$D775), 0)</f>
        <v>0</v>
      </c>
      <c r="K775" s="82">
        <f t="shared" si="3"/>
        <v>0</v>
      </c>
    </row>
    <row r="776">
      <c r="A776" s="80"/>
      <c r="B776" s="80"/>
      <c r="C776" s="80"/>
      <c r="D776" s="80"/>
      <c r="E776" s="82">
        <f>IFERROR(SUMIFS('Stock In'!F:F,'Stock In'!B:B,$A776,'Stock In'!C:C,$B776,'Stock In'!D:D,$C776,'Stock In'!E:E,$D776),0)</f>
        <v>0</v>
      </c>
      <c r="F776" s="82">
        <f>IFERROR(SUMIFS(Issues!H:H, Issues!F:F, $A776, Issues!C:C, $B776, Issues!D:D, $C776, Issues!E:E, $D776), 0)</f>
        <v>0</v>
      </c>
      <c r="G776" s="82">
        <f>IFERROR(SUMIFS(Returns!H:H, Returns!F:F, $A776, Returns!C:C, $B776, Returns!D:D, $C776, Returns!E:E, $D776), 0)</f>
        <v>0</v>
      </c>
      <c r="H776" s="82">
        <f t="shared" si="1"/>
        <v>0</v>
      </c>
      <c r="I776" s="82">
        <f t="shared" si="2"/>
        <v>0</v>
      </c>
      <c r="J776" s="82">
        <f>IFERROR( SUMIFS('Stock In'!I:I,'Stock In'!B:B,$A776,'Stock In'!C:C,$B776,'Stock In'!D:D,$C776,'Stock In'!E:E,$D776) / SUMIFS('Stock In'!H:H,'Stock In'!B:B,$A776,'Stock In'!C:C,$B776,'Stock In'!D:D,$C776,'Stock In'!E:E,$D776), 0)</f>
        <v>0</v>
      </c>
      <c r="K776" s="82">
        <f t="shared" si="3"/>
        <v>0</v>
      </c>
    </row>
    <row r="777">
      <c r="A777" s="80"/>
      <c r="B777" s="80"/>
      <c r="C777" s="80"/>
      <c r="D777" s="80"/>
      <c r="E777" s="82">
        <f>IFERROR(SUMIFS('Stock In'!F:F,'Stock In'!B:B,$A777,'Stock In'!C:C,$B777,'Stock In'!D:D,$C777,'Stock In'!E:E,$D777),0)</f>
        <v>0</v>
      </c>
      <c r="F777" s="82">
        <f>IFERROR(SUMIFS(Issues!H:H, Issues!F:F, $A777, Issues!C:C, $B777, Issues!D:D, $C777, Issues!E:E, $D777), 0)</f>
        <v>0</v>
      </c>
      <c r="G777" s="82">
        <f>IFERROR(SUMIFS(Returns!H:H, Returns!F:F, $A777, Returns!C:C, $B777, Returns!D:D, $C777, Returns!E:E, $D777), 0)</f>
        <v>0</v>
      </c>
      <c r="H777" s="82">
        <f t="shared" si="1"/>
        <v>0</v>
      </c>
      <c r="I777" s="82">
        <f t="shared" si="2"/>
        <v>0</v>
      </c>
      <c r="J777" s="82">
        <f>IFERROR( SUMIFS('Stock In'!I:I,'Stock In'!B:B,$A777,'Stock In'!C:C,$B777,'Stock In'!D:D,$C777,'Stock In'!E:E,$D777) / SUMIFS('Stock In'!H:H,'Stock In'!B:B,$A777,'Stock In'!C:C,$B777,'Stock In'!D:D,$C777,'Stock In'!E:E,$D777), 0)</f>
        <v>0</v>
      </c>
      <c r="K777" s="82">
        <f t="shared" si="3"/>
        <v>0</v>
      </c>
    </row>
    <row r="778">
      <c r="A778" s="80"/>
      <c r="B778" s="80"/>
      <c r="C778" s="80"/>
      <c r="D778" s="80"/>
      <c r="E778" s="82">
        <f>IFERROR(SUMIFS('Stock In'!F:F,'Stock In'!B:B,$A778,'Stock In'!C:C,$B778,'Stock In'!D:D,$C778,'Stock In'!E:E,$D778),0)</f>
        <v>0</v>
      </c>
      <c r="F778" s="82">
        <f>IFERROR(SUMIFS(Issues!H:H, Issues!F:F, $A778, Issues!C:C, $B778, Issues!D:D, $C778, Issues!E:E, $D778), 0)</f>
        <v>0</v>
      </c>
      <c r="G778" s="82">
        <f>IFERROR(SUMIFS(Returns!H:H, Returns!F:F, $A778, Returns!C:C, $B778, Returns!D:D, $C778, Returns!E:E, $D778), 0)</f>
        <v>0</v>
      </c>
      <c r="H778" s="82">
        <f t="shared" si="1"/>
        <v>0</v>
      </c>
      <c r="I778" s="82">
        <f t="shared" si="2"/>
        <v>0</v>
      </c>
      <c r="J778" s="82">
        <f>IFERROR( SUMIFS('Stock In'!I:I,'Stock In'!B:B,$A778,'Stock In'!C:C,$B778,'Stock In'!D:D,$C778,'Stock In'!E:E,$D778) / SUMIFS('Stock In'!H:H,'Stock In'!B:B,$A778,'Stock In'!C:C,$B778,'Stock In'!D:D,$C778,'Stock In'!E:E,$D778), 0)</f>
        <v>0</v>
      </c>
      <c r="K778" s="82">
        <f t="shared" si="3"/>
        <v>0</v>
      </c>
    </row>
    <row r="779">
      <c r="A779" s="80"/>
      <c r="B779" s="80"/>
      <c r="C779" s="80"/>
      <c r="D779" s="80"/>
      <c r="E779" s="82">
        <f>IFERROR(SUMIFS('Stock In'!F:F,'Stock In'!B:B,$A779,'Stock In'!C:C,$B779,'Stock In'!D:D,$C779,'Stock In'!E:E,$D779),0)</f>
        <v>0</v>
      </c>
      <c r="F779" s="82">
        <f>IFERROR(SUMIFS(Issues!H:H, Issues!F:F, $A779, Issues!C:C, $B779, Issues!D:D, $C779, Issues!E:E, $D779), 0)</f>
        <v>0</v>
      </c>
      <c r="G779" s="82">
        <f>IFERROR(SUMIFS(Returns!H:H, Returns!F:F, $A779, Returns!C:C, $B779, Returns!D:D, $C779, Returns!E:E, $D779), 0)</f>
        <v>0</v>
      </c>
      <c r="H779" s="82">
        <f t="shared" si="1"/>
        <v>0</v>
      </c>
      <c r="I779" s="82">
        <f t="shared" si="2"/>
        <v>0</v>
      </c>
      <c r="J779" s="82">
        <f>IFERROR( SUMIFS('Stock In'!I:I,'Stock In'!B:B,$A779,'Stock In'!C:C,$B779,'Stock In'!D:D,$C779,'Stock In'!E:E,$D779) / SUMIFS('Stock In'!H:H,'Stock In'!B:B,$A779,'Stock In'!C:C,$B779,'Stock In'!D:D,$C779,'Stock In'!E:E,$D779), 0)</f>
        <v>0</v>
      </c>
      <c r="K779" s="82">
        <f t="shared" si="3"/>
        <v>0</v>
      </c>
    </row>
    <row r="780">
      <c r="A780" s="80"/>
      <c r="B780" s="80"/>
      <c r="C780" s="80"/>
      <c r="D780" s="80"/>
      <c r="E780" s="82">
        <f>IFERROR(SUMIFS('Stock In'!F:F,'Stock In'!B:B,$A780,'Stock In'!C:C,$B780,'Stock In'!D:D,$C780,'Stock In'!E:E,$D780),0)</f>
        <v>0</v>
      </c>
      <c r="F780" s="82">
        <f>IFERROR(SUMIFS(Issues!H:H, Issues!F:F, $A780, Issues!C:C, $B780, Issues!D:D, $C780, Issues!E:E, $D780), 0)</f>
        <v>0</v>
      </c>
      <c r="G780" s="82">
        <f>IFERROR(SUMIFS(Returns!H:H, Returns!F:F, $A780, Returns!C:C, $B780, Returns!D:D, $C780, Returns!E:E, $D780), 0)</f>
        <v>0</v>
      </c>
      <c r="H780" s="82">
        <f t="shared" si="1"/>
        <v>0</v>
      </c>
      <c r="I780" s="82">
        <f t="shared" si="2"/>
        <v>0</v>
      </c>
      <c r="J780" s="82">
        <f>IFERROR( SUMIFS('Stock In'!I:I,'Stock In'!B:B,$A780,'Stock In'!C:C,$B780,'Stock In'!D:D,$C780,'Stock In'!E:E,$D780) / SUMIFS('Stock In'!H:H,'Stock In'!B:B,$A780,'Stock In'!C:C,$B780,'Stock In'!D:D,$C780,'Stock In'!E:E,$D780), 0)</f>
        <v>0</v>
      </c>
      <c r="K780" s="82">
        <f t="shared" si="3"/>
        <v>0</v>
      </c>
    </row>
    <row r="781">
      <c r="A781" s="80"/>
      <c r="B781" s="80"/>
      <c r="C781" s="80"/>
      <c r="D781" s="80"/>
      <c r="E781" s="82">
        <f>IFERROR(SUMIFS('Stock In'!F:F,'Stock In'!B:B,$A781,'Stock In'!C:C,$B781,'Stock In'!D:D,$C781,'Stock In'!E:E,$D781),0)</f>
        <v>0</v>
      </c>
      <c r="F781" s="82">
        <f>IFERROR(SUMIFS(Issues!H:H, Issues!F:F, $A781, Issues!C:C, $B781, Issues!D:D, $C781, Issues!E:E, $D781), 0)</f>
        <v>0</v>
      </c>
      <c r="G781" s="82">
        <f>IFERROR(SUMIFS(Returns!H:H, Returns!F:F, $A781, Returns!C:C, $B781, Returns!D:D, $C781, Returns!E:E, $D781), 0)</f>
        <v>0</v>
      </c>
      <c r="H781" s="82">
        <f t="shared" si="1"/>
        <v>0</v>
      </c>
      <c r="I781" s="82">
        <f t="shared" si="2"/>
        <v>0</v>
      </c>
      <c r="J781" s="82">
        <f>IFERROR( SUMIFS('Stock In'!I:I,'Stock In'!B:B,$A781,'Stock In'!C:C,$B781,'Stock In'!D:D,$C781,'Stock In'!E:E,$D781) / SUMIFS('Stock In'!H:H,'Stock In'!B:B,$A781,'Stock In'!C:C,$B781,'Stock In'!D:D,$C781,'Stock In'!E:E,$D781), 0)</f>
        <v>0</v>
      </c>
      <c r="K781" s="82">
        <f t="shared" si="3"/>
        <v>0</v>
      </c>
    </row>
    <row r="782">
      <c r="A782" s="80"/>
      <c r="B782" s="80"/>
      <c r="C782" s="80"/>
      <c r="D782" s="80"/>
      <c r="E782" s="82">
        <f>IFERROR(SUMIFS('Stock In'!F:F,'Stock In'!B:B,$A782,'Stock In'!C:C,$B782,'Stock In'!D:D,$C782,'Stock In'!E:E,$D782),0)</f>
        <v>0</v>
      </c>
      <c r="F782" s="82">
        <f>IFERROR(SUMIFS(Issues!H:H, Issues!F:F, $A782, Issues!C:C, $B782, Issues!D:D, $C782, Issues!E:E, $D782), 0)</f>
        <v>0</v>
      </c>
      <c r="G782" s="82">
        <f>IFERROR(SUMIFS(Returns!H:H, Returns!F:F, $A782, Returns!C:C, $B782, Returns!D:D, $C782, Returns!E:E, $D782), 0)</f>
        <v>0</v>
      </c>
      <c r="H782" s="82">
        <f t="shared" si="1"/>
        <v>0</v>
      </c>
      <c r="I782" s="82">
        <f t="shared" si="2"/>
        <v>0</v>
      </c>
      <c r="J782" s="82">
        <f>IFERROR( SUMIFS('Stock In'!I:I,'Stock In'!B:B,$A782,'Stock In'!C:C,$B782,'Stock In'!D:D,$C782,'Stock In'!E:E,$D782) / SUMIFS('Stock In'!H:H,'Stock In'!B:B,$A782,'Stock In'!C:C,$B782,'Stock In'!D:D,$C782,'Stock In'!E:E,$D782), 0)</f>
        <v>0</v>
      </c>
      <c r="K782" s="82">
        <f t="shared" si="3"/>
        <v>0</v>
      </c>
    </row>
    <row r="783">
      <c r="A783" s="80"/>
      <c r="B783" s="80"/>
      <c r="C783" s="80"/>
      <c r="D783" s="80"/>
      <c r="E783" s="82">
        <f>IFERROR(SUMIFS('Stock In'!F:F,'Stock In'!B:B,$A783,'Stock In'!C:C,$B783,'Stock In'!D:D,$C783,'Stock In'!E:E,$D783),0)</f>
        <v>0</v>
      </c>
      <c r="F783" s="82">
        <f>IFERROR(SUMIFS(Issues!H:H, Issues!F:F, $A783, Issues!C:C, $B783, Issues!D:D, $C783, Issues!E:E, $D783), 0)</f>
        <v>0</v>
      </c>
      <c r="G783" s="82">
        <f>IFERROR(SUMIFS(Returns!H:H, Returns!F:F, $A783, Returns!C:C, $B783, Returns!D:D, $C783, Returns!E:E, $D783), 0)</f>
        <v>0</v>
      </c>
      <c r="H783" s="82">
        <f t="shared" si="1"/>
        <v>0</v>
      </c>
      <c r="I783" s="82">
        <f t="shared" si="2"/>
        <v>0</v>
      </c>
      <c r="J783" s="82">
        <f>IFERROR( SUMIFS('Stock In'!I:I,'Stock In'!B:B,$A783,'Stock In'!C:C,$B783,'Stock In'!D:D,$C783,'Stock In'!E:E,$D783) / SUMIFS('Stock In'!H:H,'Stock In'!B:B,$A783,'Stock In'!C:C,$B783,'Stock In'!D:D,$C783,'Stock In'!E:E,$D783), 0)</f>
        <v>0</v>
      </c>
      <c r="K783" s="82">
        <f t="shared" si="3"/>
        <v>0</v>
      </c>
    </row>
    <row r="784">
      <c r="A784" s="80"/>
      <c r="B784" s="80"/>
      <c r="C784" s="80"/>
      <c r="D784" s="80"/>
      <c r="E784" s="82">
        <f>IFERROR(SUMIFS('Stock In'!F:F,'Stock In'!B:B,$A784,'Stock In'!C:C,$B784,'Stock In'!D:D,$C784,'Stock In'!E:E,$D784),0)</f>
        <v>0</v>
      </c>
      <c r="F784" s="82">
        <f>IFERROR(SUMIFS(Issues!H:H, Issues!F:F, $A784, Issues!C:C, $B784, Issues!D:D, $C784, Issues!E:E, $D784), 0)</f>
        <v>0</v>
      </c>
      <c r="G784" s="82">
        <f>IFERROR(SUMIFS(Returns!H:H, Returns!F:F, $A784, Returns!C:C, $B784, Returns!D:D, $C784, Returns!E:E, $D784), 0)</f>
        <v>0</v>
      </c>
      <c r="H784" s="82">
        <f t="shared" si="1"/>
        <v>0</v>
      </c>
      <c r="I784" s="82">
        <f t="shared" si="2"/>
        <v>0</v>
      </c>
      <c r="J784" s="82">
        <f>IFERROR( SUMIFS('Stock In'!I:I,'Stock In'!B:B,$A784,'Stock In'!C:C,$B784,'Stock In'!D:D,$C784,'Stock In'!E:E,$D784) / SUMIFS('Stock In'!H:H,'Stock In'!B:B,$A784,'Stock In'!C:C,$B784,'Stock In'!D:D,$C784,'Stock In'!E:E,$D784), 0)</f>
        <v>0</v>
      </c>
      <c r="K784" s="82">
        <f t="shared" si="3"/>
        <v>0</v>
      </c>
    </row>
    <row r="785">
      <c r="A785" s="80"/>
      <c r="B785" s="80"/>
      <c r="C785" s="80"/>
      <c r="D785" s="80"/>
      <c r="E785" s="82">
        <f>IFERROR(SUMIFS('Stock In'!F:F,'Stock In'!B:B,$A785,'Stock In'!C:C,$B785,'Stock In'!D:D,$C785,'Stock In'!E:E,$D785),0)</f>
        <v>0</v>
      </c>
      <c r="F785" s="82">
        <f>IFERROR(SUMIFS(Issues!H:H, Issues!F:F, $A785, Issues!C:C, $B785, Issues!D:D, $C785, Issues!E:E, $D785), 0)</f>
        <v>0</v>
      </c>
      <c r="G785" s="82">
        <f>IFERROR(SUMIFS(Returns!H:H, Returns!F:F, $A785, Returns!C:C, $B785, Returns!D:D, $C785, Returns!E:E, $D785), 0)</f>
        <v>0</v>
      </c>
      <c r="H785" s="82">
        <f t="shared" si="1"/>
        <v>0</v>
      </c>
      <c r="I785" s="82">
        <f t="shared" si="2"/>
        <v>0</v>
      </c>
      <c r="J785" s="82">
        <f>IFERROR( SUMIFS('Stock In'!I:I,'Stock In'!B:B,$A785,'Stock In'!C:C,$B785,'Stock In'!D:D,$C785,'Stock In'!E:E,$D785) / SUMIFS('Stock In'!H:H,'Stock In'!B:B,$A785,'Stock In'!C:C,$B785,'Stock In'!D:D,$C785,'Stock In'!E:E,$D785), 0)</f>
        <v>0</v>
      </c>
      <c r="K785" s="82">
        <f t="shared" si="3"/>
        <v>0</v>
      </c>
    </row>
    <row r="786">
      <c r="A786" s="80"/>
      <c r="B786" s="80"/>
      <c r="C786" s="80"/>
      <c r="D786" s="80"/>
      <c r="E786" s="82">
        <f>IFERROR(SUMIFS('Stock In'!F:F,'Stock In'!B:B,$A786,'Stock In'!C:C,$B786,'Stock In'!D:D,$C786,'Stock In'!E:E,$D786),0)</f>
        <v>0</v>
      </c>
      <c r="F786" s="82">
        <f>IFERROR(SUMIFS(Issues!H:H, Issues!F:F, $A786, Issues!C:C, $B786, Issues!D:D, $C786, Issues!E:E, $D786), 0)</f>
        <v>0</v>
      </c>
      <c r="G786" s="82">
        <f>IFERROR(SUMIFS(Returns!H:H, Returns!F:F, $A786, Returns!C:C, $B786, Returns!D:D, $C786, Returns!E:E, $D786), 0)</f>
        <v>0</v>
      </c>
      <c r="H786" s="82">
        <f t="shared" si="1"/>
        <v>0</v>
      </c>
      <c r="I786" s="82">
        <f t="shared" si="2"/>
        <v>0</v>
      </c>
      <c r="J786" s="82">
        <f>IFERROR( SUMIFS('Stock In'!I:I,'Stock In'!B:B,$A786,'Stock In'!C:C,$B786,'Stock In'!D:D,$C786,'Stock In'!E:E,$D786) / SUMIFS('Stock In'!H:H,'Stock In'!B:B,$A786,'Stock In'!C:C,$B786,'Stock In'!D:D,$C786,'Stock In'!E:E,$D786), 0)</f>
        <v>0</v>
      </c>
      <c r="K786" s="82">
        <f t="shared" si="3"/>
        <v>0</v>
      </c>
    </row>
    <row r="787">
      <c r="A787" s="80"/>
      <c r="B787" s="80"/>
      <c r="C787" s="80"/>
      <c r="D787" s="80"/>
      <c r="E787" s="82">
        <f>IFERROR(SUMIFS('Stock In'!F:F,'Stock In'!B:B,$A787,'Stock In'!C:C,$B787,'Stock In'!D:D,$C787,'Stock In'!E:E,$D787),0)</f>
        <v>0</v>
      </c>
      <c r="F787" s="82">
        <f>IFERROR(SUMIFS(Issues!H:H, Issues!F:F, $A787, Issues!C:C, $B787, Issues!D:D, $C787, Issues!E:E, $D787), 0)</f>
        <v>0</v>
      </c>
      <c r="G787" s="82">
        <f>IFERROR(SUMIFS(Returns!H:H, Returns!F:F, $A787, Returns!C:C, $B787, Returns!D:D, $C787, Returns!E:E, $D787), 0)</f>
        <v>0</v>
      </c>
      <c r="H787" s="82">
        <f t="shared" si="1"/>
        <v>0</v>
      </c>
      <c r="I787" s="82">
        <f t="shared" si="2"/>
        <v>0</v>
      </c>
      <c r="J787" s="82">
        <f>IFERROR( SUMIFS('Stock In'!I:I,'Stock In'!B:B,$A787,'Stock In'!C:C,$B787,'Stock In'!D:D,$C787,'Stock In'!E:E,$D787) / SUMIFS('Stock In'!H:H,'Stock In'!B:B,$A787,'Stock In'!C:C,$B787,'Stock In'!D:D,$C787,'Stock In'!E:E,$D787), 0)</f>
        <v>0</v>
      </c>
      <c r="K787" s="82">
        <f t="shared" si="3"/>
        <v>0</v>
      </c>
    </row>
    <row r="788">
      <c r="A788" s="80"/>
      <c r="B788" s="80"/>
      <c r="C788" s="80"/>
      <c r="D788" s="80"/>
      <c r="E788" s="82">
        <f>IFERROR(SUMIFS('Stock In'!F:F,'Stock In'!B:B,$A788,'Stock In'!C:C,$B788,'Stock In'!D:D,$C788,'Stock In'!E:E,$D788),0)</f>
        <v>0</v>
      </c>
      <c r="F788" s="82">
        <f>IFERROR(SUMIFS(Issues!H:H, Issues!F:F, $A788, Issues!C:C, $B788, Issues!D:D, $C788, Issues!E:E, $D788), 0)</f>
        <v>0</v>
      </c>
      <c r="G788" s="82">
        <f>IFERROR(SUMIFS(Returns!H:H, Returns!F:F, $A788, Returns!C:C, $B788, Returns!D:D, $C788, Returns!E:E, $D788), 0)</f>
        <v>0</v>
      </c>
      <c r="H788" s="82">
        <f t="shared" si="1"/>
        <v>0</v>
      </c>
      <c r="I788" s="82">
        <f t="shared" si="2"/>
        <v>0</v>
      </c>
      <c r="J788" s="82">
        <f>IFERROR( SUMIFS('Stock In'!I:I,'Stock In'!B:B,$A788,'Stock In'!C:C,$B788,'Stock In'!D:D,$C788,'Stock In'!E:E,$D788) / SUMIFS('Stock In'!H:H,'Stock In'!B:B,$A788,'Stock In'!C:C,$B788,'Stock In'!D:D,$C788,'Stock In'!E:E,$D788), 0)</f>
        <v>0</v>
      </c>
      <c r="K788" s="82">
        <f t="shared" si="3"/>
        <v>0</v>
      </c>
    </row>
    <row r="789">
      <c r="A789" s="80"/>
      <c r="B789" s="80"/>
      <c r="C789" s="80"/>
      <c r="D789" s="80"/>
      <c r="E789" s="82">
        <f>IFERROR(SUMIFS('Stock In'!F:F,'Stock In'!B:B,$A789,'Stock In'!C:C,$B789,'Stock In'!D:D,$C789,'Stock In'!E:E,$D789),0)</f>
        <v>0</v>
      </c>
      <c r="F789" s="82">
        <f>IFERROR(SUMIFS(Issues!H:H, Issues!F:F, $A789, Issues!C:C, $B789, Issues!D:D, $C789, Issues!E:E, $D789), 0)</f>
        <v>0</v>
      </c>
      <c r="G789" s="82">
        <f>IFERROR(SUMIFS(Returns!H:H, Returns!F:F, $A789, Returns!C:C, $B789, Returns!D:D, $C789, Returns!E:E, $D789), 0)</f>
        <v>0</v>
      </c>
      <c r="H789" s="82">
        <f t="shared" si="1"/>
        <v>0</v>
      </c>
      <c r="I789" s="82">
        <f t="shared" si="2"/>
        <v>0</v>
      </c>
      <c r="J789" s="82">
        <f>IFERROR( SUMIFS('Stock In'!I:I,'Stock In'!B:B,$A789,'Stock In'!C:C,$B789,'Stock In'!D:D,$C789,'Stock In'!E:E,$D789) / SUMIFS('Stock In'!H:H,'Stock In'!B:B,$A789,'Stock In'!C:C,$B789,'Stock In'!D:D,$C789,'Stock In'!E:E,$D789), 0)</f>
        <v>0</v>
      </c>
      <c r="K789" s="82">
        <f t="shared" si="3"/>
        <v>0</v>
      </c>
    </row>
    <row r="790">
      <c r="A790" s="80"/>
      <c r="B790" s="80"/>
      <c r="C790" s="80"/>
      <c r="D790" s="80"/>
      <c r="E790" s="82">
        <f>IFERROR(SUMIFS('Stock In'!F:F,'Stock In'!B:B,$A790,'Stock In'!C:C,$B790,'Stock In'!D:D,$C790,'Stock In'!E:E,$D790),0)</f>
        <v>0</v>
      </c>
      <c r="F790" s="82">
        <f>IFERROR(SUMIFS(Issues!H:H, Issues!F:F, $A790, Issues!C:C, $B790, Issues!D:D, $C790, Issues!E:E, $D790), 0)</f>
        <v>0</v>
      </c>
      <c r="G790" s="82">
        <f>IFERROR(SUMIFS(Returns!H:H, Returns!F:F, $A790, Returns!C:C, $B790, Returns!D:D, $C790, Returns!E:E, $D790), 0)</f>
        <v>0</v>
      </c>
      <c r="H790" s="82">
        <f t="shared" si="1"/>
        <v>0</v>
      </c>
      <c r="I790" s="82">
        <f t="shared" si="2"/>
        <v>0</v>
      </c>
      <c r="J790" s="82">
        <f>IFERROR( SUMIFS('Stock In'!I:I,'Stock In'!B:B,$A790,'Stock In'!C:C,$B790,'Stock In'!D:D,$C790,'Stock In'!E:E,$D790) / SUMIFS('Stock In'!H:H,'Stock In'!B:B,$A790,'Stock In'!C:C,$B790,'Stock In'!D:D,$C790,'Stock In'!E:E,$D790), 0)</f>
        <v>0</v>
      </c>
      <c r="K790" s="82">
        <f t="shared" si="3"/>
        <v>0</v>
      </c>
    </row>
    <row r="791">
      <c r="A791" s="80"/>
      <c r="B791" s="80"/>
      <c r="C791" s="80"/>
      <c r="D791" s="80"/>
      <c r="E791" s="82">
        <f>IFERROR(SUMIFS('Stock In'!F:F,'Stock In'!B:B,$A791,'Stock In'!C:C,$B791,'Stock In'!D:D,$C791,'Stock In'!E:E,$D791),0)</f>
        <v>0</v>
      </c>
      <c r="F791" s="82">
        <f>IFERROR(SUMIFS(Issues!H:H, Issues!F:F, $A791, Issues!C:C, $B791, Issues!D:D, $C791, Issues!E:E, $D791), 0)</f>
        <v>0</v>
      </c>
      <c r="G791" s="82">
        <f>IFERROR(SUMIFS(Returns!H:H, Returns!F:F, $A791, Returns!C:C, $B791, Returns!D:D, $C791, Returns!E:E, $D791), 0)</f>
        <v>0</v>
      </c>
      <c r="H791" s="82">
        <f t="shared" si="1"/>
        <v>0</v>
      </c>
      <c r="I791" s="82">
        <f t="shared" si="2"/>
        <v>0</v>
      </c>
      <c r="J791" s="82">
        <f>IFERROR( SUMIFS('Stock In'!I:I,'Stock In'!B:B,$A791,'Stock In'!C:C,$B791,'Stock In'!D:D,$C791,'Stock In'!E:E,$D791) / SUMIFS('Stock In'!H:H,'Stock In'!B:B,$A791,'Stock In'!C:C,$B791,'Stock In'!D:D,$C791,'Stock In'!E:E,$D791), 0)</f>
        <v>0</v>
      </c>
      <c r="K791" s="82">
        <f t="shared" si="3"/>
        <v>0</v>
      </c>
    </row>
    <row r="792">
      <c r="A792" s="80"/>
      <c r="B792" s="80"/>
      <c r="C792" s="80"/>
      <c r="D792" s="80"/>
      <c r="E792" s="82">
        <f>IFERROR(SUMIFS('Stock In'!F:F,'Stock In'!B:B,$A792,'Stock In'!C:C,$B792,'Stock In'!D:D,$C792,'Stock In'!E:E,$D792),0)</f>
        <v>0</v>
      </c>
      <c r="F792" s="82">
        <f>IFERROR(SUMIFS(Issues!H:H, Issues!F:F, $A792, Issues!C:C, $B792, Issues!D:D, $C792, Issues!E:E, $D792), 0)</f>
        <v>0</v>
      </c>
      <c r="G792" s="82">
        <f>IFERROR(SUMIFS(Returns!H:H, Returns!F:F, $A792, Returns!C:C, $B792, Returns!D:D, $C792, Returns!E:E, $D792), 0)</f>
        <v>0</v>
      </c>
      <c r="H792" s="82">
        <f t="shared" si="1"/>
        <v>0</v>
      </c>
      <c r="I792" s="82">
        <f t="shared" si="2"/>
        <v>0</v>
      </c>
      <c r="J792" s="82">
        <f>IFERROR( SUMIFS('Stock In'!I:I,'Stock In'!B:B,$A792,'Stock In'!C:C,$B792,'Stock In'!D:D,$C792,'Stock In'!E:E,$D792) / SUMIFS('Stock In'!H:H,'Stock In'!B:B,$A792,'Stock In'!C:C,$B792,'Stock In'!D:D,$C792,'Stock In'!E:E,$D792), 0)</f>
        <v>0</v>
      </c>
      <c r="K792" s="82">
        <f t="shared" si="3"/>
        <v>0</v>
      </c>
    </row>
    <row r="793">
      <c r="A793" s="80"/>
      <c r="B793" s="80"/>
      <c r="C793" s="80"/>
      <c r="D793" s="80"/>
      <c r="E793" s="82">
        <f>IFERROR(SUMIFS('Stock In'!F:F,'Stock In'!B:B,$A793,'Stock In'!C:C,$B793,'Stock In'!D:D,$C793,'Stock In'!E:E,$D793),0)</f>
        <v>0</v>
      </c>
      <c r="F793" s="82">
        <f>IFERROR(SUMIFS(Issues!H:H, Issues!F:F, $A793, Issues!C:C, $B793, Issues!D:D, $C793, Issues!E:E, $D793), 0)</f>
        <v>0</v>
      </c>
      <c r="G793" s="82">
        <f>IFERROR(SUMIFS(Returns!H:H, Returns!F:F, $A793, Returns!C:C, $B793, Returns!D:D, $C793, Returns!E:E, $D793), 0)</f>
        <v>0</v>
      </c>
      <c r="H793" s="82">
        <f t="shared" si="1"/>
        <v>0</v>
      </c>
      <c r="I793" s="82">
        <f t="shared" si="2"/>
        <v>0</v>
      </c>
      <c r="J793" s="82">
        <f>IFERROR( SUMIFS('Stock In'!I:I,'Stock In'!B:B,$A793,'Stock In'!C:C,$B793,'Stock In'!D:D,$C793,'Stock In'!E:E,$D793) / SUMIFS('Stock In'!H:H,'Stock In'!B:B,$A793,'Stock In'!C:C,$B793,'Stock In'!D:D,$C793,'Stock In'!E:E,$D793), 0)</f>
        <v>0</v>
      </c>
      <c r="K793" s="82">
        <f t="shared" si="3"/>
        <v>0</v>
      </c>
    </row>
    <row r="794">
      <c r="A794" s="80"/>
      <c r="B794" s="80"/>
      <c r="C794" s="80"/>
      <c r="D794" s="80"/>
      <c r="E794" s="82">
        <f>IFERROR(SUMIFS('Stock In'!F:F,'Stock In'!B:B,$A794,'Stock In'!C:C,$B794,'Stock In'!D:D,$C794,'Stock In'!E:E,$D794),0)</f>
        <v>0</v>
      </c>
      <c r="F794" s="82">
        <f>IFERROR(SUMIFS(Issues!H:H, Issues!F:F, $A794, Issues!C:C, $B794, Issues!D:D, $C794, Issues!E:E, $D794), 0)</f>
        <v>0</v>
      </c>
      <c r="G794" s="82">
        <f>IFERROR(SUMIFS(Returns!H:H, Returns!F:F, $A794, Returns!C:C, $B794, Returns!D:D, $C794, Returns!E:E, $D794), 0)</f>
        <v>0</v>
      </c>
      <c r="H794" s="82">
        <f t="shared" si="1"/>
        <v>0</v>
      </c>
      <c r="I794" s="82">
        <f t="shared" si="2"/>
        <v>0</v>
      </c>
      <c r="J794" s="82">
        <f>IFERROR( SUMIFS('Stock In'!I:I,'Stock In'!B:B,$A794,'Stock In'!C:C,$B794,'Stock In'!D:D,$C794,'Stock In'!E:E,$D794) / SUMIFS('Stock In'!H:H,'Stock In'!B:B,$A794,'Stock In'!C:C,$B794,'Stock In'!D:D,$C794,'Stock In'!E:E,$D794), 0)</f>
        <v>0</v>
      </c>
      <c r="K794" s="82">
        <f t="shared" si="3"/>
        <v>0</v>
      </c>
    </row>
    <row r="795">
      <c r="A795" s="80"/>
      <c r="B795" s="80"/>
      <c r="C795" s="80"/>
      <c r="D795" s="80"/>
      <c r="E795" s="82">
        <f>IFERROR(SUMIFS('Stock In'!F:F,'Stock In'!B:B,$A795,'Stock In'!C:C,$B795,'Stock In'!D:D,$C795,'Stock In'!E:E,$D795),0)</f>
        <v>0</v>
      </c>
      <c r="F795" s="82">
        <f>IFERROR(SUMIFS(Issues!H:H, Issues!F:F, $A795, Issues!C:C, $B795, Issues!D:D, $C795, Issues!E:E, $D795), 0)</f>
        <v>0</v>
      </c>
      <c r="G795" s="82">
        <f>IFERROR(SUMIFS(Returns!H:H, Returns!F:F, $A795, Returns!C:C, $B795, Returns!D:D, $C795, Returns!E:E, $D795), 0)</f>
        <v>0</v>
      </c>
      <c r="H795" s="82">
        <f t="shared" si="1"/>
        <v>0</v>
      </c>
      <c r="I795" s="82">
        <f t="shared" si="2"/>
        <v>0</v>
      </c>
      <c r="J795" s="82">
        <f>IFERROR( SUMIFS('Stock In'!I:I,'Stock In'!B:B,$A795,'Stock In'!C:C,$B795,'Stock In'!D:D,$C795,'Stock In'!E:E,$D795) / SUMIFS('Stock In'!H:H,'Stock In'!B:B,$A795,'Stock In'!C:C,$B795,'Stock In'!D:D,$C795,'Stock In'!E:E,$D795), 0)</f>
        <v>0</v>
      </c>
      <c r="K795" s="82">
        <f t="shared" si="3"/>
        <v>0</v>
      </c>
    </row>
    <row r="796">
      <c r="A796" s="80"/>
      <c r="B796" s="80"/>
      <c r="C796" s="80"/>
      <c r="D796" s="80"/>
      <c r="E796" s="82">
        <f>IFERROR(SUMIFS('Stock In'!F:F,'Stock In'!B:B,$A796,'Stock In'!C:C,$B796,'Stock In'!D:D,$C796,'Stock In'!E:E,$D796),0)</f>
        <v>0</v>
      </c>
      <c r="F796" s="82">
        <f>IFERROR(SUMIFS(Issues!H:H, Issues!F:F, $A796, Issues!C:C, $B796, Issues!D:D, $C796, Issues!E:E, $D796), 0)</f>
        <v>0</v>
      </c>
      <c r="G796" s="82">
        <f>IFERROR(SUMIFS(Returns!H:H, Returns!F:F, $A796, Returns!C:C, $B796, Returns!D:D, $C796, Returns!E:E, $D796), 0)</f>
        <v>0</v>
      </c>
      <c r="H796" s="82">
        <f t="shared" si="1"/>
        <v>0</v>
      </c>
      <c r="I796" s="82">
        <f t="shared" si="2"/>
        <v>0</v>
      </c>
      <c r="J796" s="82">
        <f>IFERROR( SUMIFS('Stock In'!I:I,'Stock In'!B:B,$A796,'Stock In'!C:C,$B796,'Stock In'!D:D,$C796,'Stock In'!E:E,$D796) / SUMIFS('Stock In'!H:H,'Stock In'!B:B,$A796,'Stock In'!C:C,$B796,'Stock In'!D:D,$C796,'Stock In'!E:E,$D796), 0)</f>
        <v>0</v>
      </c>
      <c r="K796" s="82">
        <f t="shared" si="3"/>
        <v>0</v>
      </c>
    </row>
    <row r="797">
      <c r="A797" s="80"/>
      <c r="B797" s="80"/>
      <c r="C797" s="80"/>
      <c r="D797" s="80"/>
      <c r="E797" s="82">
        <f>IFERROR(SUMIFS('Stock In'!F:F,'Stock In'!B:B,$A797,'Stock In'!C:C,$B797,'Stock In'!D:D,$C797,'Stock In'!E:E,$D797),0)</f>
        <v>0</v>
      </c>
      <c r="F797" s="82">
        <f>IFERROR(SUMIFS(Issues!H:H, Issues!F:F, $A797, Issues!C:C, $B797, Issues!D:D, $C797, Issues!E:E, $D797), 0)</f>
        <v>0</v>
      </c>
      <c r="G797" s="82">
        <f>IFERROR(SUMIFS(Returns!H:H, Returns!F:F, $A797, Returns!C:C, $B797, Returns!D:D, $C797, Returns!E:E, $D797), 0)</f>
        <v>0</v>
      </c>
      <c r="H797" s="82">
        <f t="shared" si="1"/>
        <v>0</v>
      </c>
      <c r="I797" s="82">
        <f t="shared" si="2"/>
        <v>0</v>
      </c>
      <c r="J797" s="82">
        <f>IFERROR( SUMIFS('Stock In'!I:I,'Stock In'!B:B,$A797,'Stock In'!C:C,$B797,'Stock In'!D:D,$C797,'Stock In'!E:E,$D797) / SUMIFS('Stock In'!H:H,'Stock In'!B:B,$A797,'Stock In'!C:C,$B797,'Stock In'!D:D,$C797,'Stock In'!E:E,$D797), 0)</f>
        <v>0</v>
      </c>
      <c r="K797" s="82">
        <f t="shared" si="3"/>
        <v>0</v>
      </c>
    </row>
    <row r="798">
      <c r="A798" s="80"/>
      <c r="B798" s="80"/>
      <c r="C798" s="80"/>
      <c r="D798" s="80"/>
      <c r="E798" s="82">
        <f>IFERROR(SUMIFS('Stock In'!F:F,'Stock In'!B:B,$A798,'Stock In'!C:C,$B798,'Stock In'!D:D,$C798,'Stock In'!E:E,$D798),0)</f>
        <v>0</v>
      </c>
      <c r="F798" s="82">
        <f>IFERROR(SUMIFS(Issues!H:H, Issues!F:F, $A798, Issues!C:C, $B798, Issues!D:D, $C798, Issues!E:E, $D798), 0)</f>
        <v>0</v>
      </c>
      <c r="G798" s="82">
        <f>IFERROR(SUMIFS(Returns!H:H, Returns!F:F, $A798, Returns!C:C, $B798, Returns!D:D, $C798, Returns!E:E, $D798), 0)</f>
        <v>0</v>
      </c>
      <c r="H798" s="82">
        <f t="shared" si="1"/>
        <v>0</v>
      </c>
      <c r="I798" s="82">
        <f t="shared" si="2"/>
        <v>0</v>
      </c>
      <c r="J798" s="82">
        <f>IFERROR( SUMIFS('Stock In'!I:I,'Stock In'!B:B,$A798,'Stock In'!C:C,$B798,'Stock In'!D:D,$C798,'Stock In'!E:E,$D798) / SUMIFS('Stock In'!H:H,'Stock In'!B:B,$A798,'Stock In'!C:C,$B798,'Stock In'!D:D,$C798,'Stock In'!E:E,$D798), 0)</f>
        <v>0</v>
      </c>
      <c r="K798" s="82">
        <f t="shared" si="3"/>
        <v>0</v>
      </c>
    </row>
    <row r="799">
      <c r="A799" s="80"/>
      <c r="B799" s="80"/>
      <c r="C799" s="80"/>
      <c r="D799" s="80"/>
      <c r="E799" s="82">
        <f>IFERROR(SUMIFS('Stock In'!F:F,'Stock In'!B:B,$A799,'Stock In'!C:C,$B799,'Stock In'!D:D,$C799,'Stock In'!E:E,$D799),0)</f>
        <v>0</v>
      </c>
      <c r="F799" s="82">
        <f>IFERROR(SUMIFS(Issues!H:H, Issues!F:F, $A799, Issues!C:C, $B799, Issues!D:D, $C799, Issues!E:E, $D799), 0)</f>
        <v>0</v>
      </c>
      <c r="G799" s="82">
        <f>IFERROR(SUMIFS(Returns!H:H, Returns!F:F, $A799, Returns!C:C, $B799, Returns!D:D, $C799, Returns!E:E, $D799), 0)</f>
        <v>0</v>
      </c>
      <c r="H799" s="82">
        <f t="shared" si="1"/>
        <v>0</v>
      </c>
      <c r="I799" s="82">
        <f t="shared" si="2"/>
        <v>0</v>
      </c>
      <c r="J799" s="82">
        <f>IFERROR( SUMIFS('Stock In'!I:I,'Stock In'!B:B,$A799,'Stock In'!C:C,$B799,'Stock In'!D:D,$C799,'Stock In'!E:E,$D799) / SUMIFS('Stock In'!H:H,'Stock In'!B:B,$A799,'Stock In'!C:C,$B799,'Stock In'!D:D,$C799,'Stock In'!E:E,$D799), 0)</f>
        <v>0</v>
      </c>
      <c r="K799" s="82">
        <f t="shared" si="3"/>
        <v>0</v>
      </c>
    </row>
    <row r="800">
      <c r="A800" s="80"/>
      <c r="B800" s="80"/>
      <c r="C800" s="80"/>
      <c r="D800" s="80"/>
      <c r="E800" s="82">
        <f>IFERROR(SUMIFS('Stock In'!F:F,'Stock In'!B:B,$A800,'Stock In'!C:C,$B800,'Stock In'!D:D,$C800,'Stock In'!E:E,$D800),0)</f>
        <v>0</v>
      </c>
      <c r="F800" s="82">
        <f>IFERROR(SUMIFS(Issues!H:H, Issues!F:F, $A800, Issues!C:C, $B800, Issues!D:D, $C800, Issues!E:E, $D800), 0)</f>
        <v>0</v>
      </c>
      <c r="G800" s="82">
        <f>IFERROR(SUMIFS(Returns!H:H, Returns!F:F, $A800, Returns!C:C, $B800, Returns!D:D, $C800, Returns!E:E, $D800), 0)</f>
        <v>0</v>
      </c>
      <c r="H800" s="82">
        <f t="shared" si="1"/>
        <v>0</v>
      </c>
      <c r="I800" s="82">
        <f t="shared" si="2"/>
        <v>0</v>
      </c>
      <c r="J800" s="82">
        <f>IFERROR( SUMIFS('Stock In'!I:I,'Stock In'!B:B,$A800,'Stock In'!C:C,$B800,'Stock In'!D:D,$C800,'Stock In'!E:E,$D800) / SUMIFS('Stock In'!H:H,'Stock In'!B:B,$A800,'Stock In'!C:C,$B800,'Stock In'!D:D,$C800,'Stock In'!E:E,$D800), 0)</f>
        <v>0</v>
      </c>
      <c r="K800" s="82">
        <f t="shared" si="3"/>
        <v>0</v>
      </c>
    </row>
    <row r="801">
      <c r="A801" s="80"/>
      <c r="B801" s="80"/>
      <c r="C801" s="80"/>
      <c r="D801" s="80"/>
      <c r="E801" s="82">
        <f>IFERROR(SUMIFS('Stock In'!F:F,'Stock In'!B:B,$A801,'Stock In'!C:C,$B801,'Stock In'!D:D,$C801,'Stock In'!E:E,$D801),0)</f>
        <v>0</v>
      </c>
      <c r="F801" s="82">
        <f>IFERROR(SUMIFS(Issues!H:H, Issues!F:F, $A801, Issues!C:C, $B801, Issues!D:D, $C801, Issues!E:E, $D801), 0)</f>
        <v>0</v>
      </c>
      <c r="G801" s="82">
        <f>IFERROR(SUMIFS(Returns!H:H, Returns!F:F, $A801, Returns!C:C, $B801, Returns!D:D, $C801, Returns!E:E, $D801), 0)</f>
        <v>0</v>
      </c>
      <c r="H801" s="82">
        <f t="shared" si="1"/>
        <v>0</v>
      </c>
      <c r="I801" s="82">
        <f t="shared" si="2"/>
        <v>0</v>
      </c>
      <c r="J801" s="82">
        <f>IFERROR( SUMIFS('Stock In'!I:I,'Stock In'!B:B,$A801,'Stock In'!C:C,$B801,'Stock In'!D:D,$C801,'Stock In'!E:E,$D801) / SUMIFS('Stock In'!H:H,'Stock In'!B:B,$A801,'Stock In'!C:C,$B801,'Stock In'!D:D,$C801,'Stock In'!E:E,$D801), 0)</f>
        <v>0</v>
      </c>
      <c r="K801" s="82">
        <f t="shared" si="3"/>
        <v>0</v>
      </c>
    </row>
    <row r="802">
      <c r="A802" s="80"/>
      <c r="B802" s="80"/>
      <c r="C802" s="80"/>
      <c r="D802" s="80"/>
      <c r="E802" s="82">
        <f>IFERROR(SUMIFS('Stock In'!F:F,'Stock In'!B:B,$A802,'Stock In'!C:C,$B802,'Stock In'!D:D,$C802,'Stock In'!E:E,$D802),0)</f>
        <v>0</v>
      </c>
      <c r="F802" s="82">
        <f>IFERROR(SUMIFS(Issues!H:H, Issues!F:F, $A802, Issues!C:C, $B802, Issues!D:D, $C802, Issues!E:E, $D802), 0)</f>
        <v>0</v>
      </c>
      <c r="G802" s="82">
        <f>IFERROR(SUMIFS(Returns!H:H, Returns!F:F, $A802, Returns!C:C, $B802, Returns!D:D, $C802, Returns!E:E, $D802), 0)</f>
        <v>0</v>
      </c>
      <c r="H802" s="82">
        <f t="shared" si="1"/>
        <v>0</v>
      </c>
      <c r="I802" s="82">
        <f t="shared" si="2"/>
        <v>0</v>
      </c>
      <c r="J802" s="82">
        <f>IFERROR( SUMIFS('Stock In'!I:I,'Stock In'!B:B,$A802,'Stock In'!C:C,$B802,'Stock In'!D:D,$C802,'Stock In'!E:E,$D802) / SUMIFS('Stock In'!H:H,'Stock In'!B:B,$A802,'Stock In'!C:C,$B802,'Stock In'!D:D,$C802,'Stock In'!E:E,$D802), 0)</f>
        <v>0</v>
      </c>
      <c r="K802" s="82">
        <f t="shared" si="3"/>
        <v>0</v>
      </c>
    </row>
    <row r="803">
      <c r="A803" s="80"/>
      <c r="B803" s="80"/>
      <c r="C803" s="80"/>
      <c r="D803" s="80"/>
      <c r="E803" s="82">
        <f>IFERROR(SUMIFS('Stock In'!F:F,'Stock In'!B:B,$A803,'Stock In'!C:C,$B803,'Stock In'!D:D,$C803,'Stock In'!E:E,$D803),0)</f>
        <v>0</v>
      </c>
      <c r="F803" s="82">
        <f>IFERROR(SUMIFS(Issues!H:H, Issues!F:F, $A803, Issues!C:C, $B803, Issues!D:D, $C803, Issues!E:E, $D803), 0)</f>
        <v>0</v>
      </c>
      <c r="G803" s="82">
        <f>IFERROR(SUMIFS(Returns!H:H, Returns!F:F, $A803, Returns!C:C, $B803, Returns!D:D, $C803, Returns!E:E, $D803), 0)</f>
        <v>0</v>
      </c>
      <c r="H803" s="82">
        <f t="shared" si="1"/>
        <v>0</v>
      </c>
      <c r="I803" s="82">
        <f t="shared" si="2"/>
        <v>0</v>
      </c>
      <c r="J803" s="82">
        <f>IFERROR( SUMIFS('Stock In'!I:I,'Stock In'!B:B,$A803,'Stock In'!C:C,$B803,'Stock In'!D:D,$C803,'Stock In'!E:E,$D803) / SUMIFS('Stock In'!H:H,'Stock In'!B:B,$A803,'Stock In'!C:C,$B803,'Stock In'!D:D,$C803,'Stock In'!E:E,$D803), 0)</f>
        <v>0</v>
      </c>
      <c r="K803" s="82">
        <f t="shared" si="3"/>
        <v>0</v>
      </c>
    </row>
    <row r="804">
      <c r="A804" s="80"/>
      <c r="B804" s="80"/>
      <c r="C804" s="80"/>
      <c r="D804" s="80"/>
      <c r="E804" s="82">
        <f>IFERROR(SUMIFS('Stock In'!F:F,'Stock In'!B:B,$A804,'Stock In'!C:C,$B804,'Stock In'!D:D,$C804,'Stock In'!E:E,$D804),0)</f>
        <v>0</v>
      </c>
      <c r="F804" s="82">
        <f>IFERROR(SUMIFS(Issues!H:H, Issues!F:F, $A804, Issues!C:C, $B804, Issues!D:D, $C804, Issues!E:E, $D804), 0)</f>
        <v>0</v>
      </c>
      <c r="G804" s="82">
        <f>IFERROR(SUMIFS(Returns!H:H, Returns!F:F, $A804, Returns!C:C, $B804, Returns!D:D, $C804, Returns!E:E, $D804), 0)</f>
        <v>0</v>
      </c>
      <c r="H804" s="82">
        <f t="shared" si="1"/>
        <v>0</v>
      </c>
      <c r="I804" s="82">
        <f t="shared" si="2"/>
        <v>0</v>
      </c>
      <c r="J804" s="82">
        <f>IFERROR( SUMIFS('Stock In'!I:I,'Stock In'!B:B,$A804,'Stock In'!C:C,$B804,'Stock In'!D:D,$C804,'Stock In'!E:E,$D804) / SUMIFS('Stock In'!H:H,'Stock In'!B:B,$A804,'Stock In'!C:C,$B804,'Stock In'!D:D,$C804,'Stock In'!E:E,$D804), 0)</f>
        <v>0</v>
      </c>
      <c r="K804" s="82">
        <f t="shared" si="3"/>
        <v>0</v>
      </c>
    </row>
    <row r="805">
      <c r="A805" s="80"/>
      <c r="B805" s="80"/>
      <c r="C805" s="80"/>
      <c r="D805" s="80"/>
      <c r="E805" s="82">
        <f>IFERROR(SUMIFS('Stock In'!F:F,'Stock In'!B:B,$A805,'Stock In'!C:C,$B805,'Stock In'!D:D,$C805,'Stock In'!E:E,$D805),0)</f>
        <v>0</v>
      </c>
      <c r="F805" s="82">
        <f>IFERROR(SUMIFS(Issues!H:H, Issues!F:F, $A805, Issues!C:C, $B805, Issues!D:D, $C805, Issues!E:E, $D805), 0)</f>
        <v>0</v>
      </c>
      <c r="G805" s="82">
        <f>IFERROR(SUMIFS(Returns!H:H, Returns!F:F, $A805, Returns!C:C, $B805, Returns!D:D, $C805, Returns!E:E, $D805), 0)</f>
        <v>0</v>
      </c>
      <c r="H805" s="82">
        <f t="shared" si="1"/>
        <v>0</v>
      </c>
      <c r="I805" s="82">
        <f t="shared" si="2"/>
        <v>0</v>
      </c>
      <c r="J805" s="82">
        <f>IFERROR( SUMIFS('Stock In'!I:I,'Stock In'!B:B,$A805,'Stock In'!C:C,$B805,'Stock In'!D:D,$C805,'Stock In'!E:E,$D805) / SUMIFS('Stock In'!H:H,'Stock In'!B:B,$A805,'Stock In'!C:C,$B805,'Stock In'!D:D,$C805,'Stock In'!E:E,$D805), 0)</f>
        <v>0</v>
      </c>
      <c r="K805" s="82">
        <f t="shared" si="3"/>
        <v>0</v>
      </c>
    </row>
    <row r="806">
      <c r="A806" s="80"/>
      <c r="B806" s="80"/>
      <c r="C806" s="80"/>
      <c r="D806" s="80"/>
      <c r="E806" s="82">
        <f>IFERROR(SUMIFS('Stock In'!F:F,'Stock In'!B:B,$A806,'Stock In'!C:C,$B806,'Stock In'!D:D,$C806,'Stock In'!E:E,$D806),0)</f>
        <v>0</v>
      </c>
      <c r="F806" s="82">
        <f>IFERROR(SUMIFS(Issues!H:H, Issues!F:F, $A806, Issues!C:C, $B806, Issues!D:D, $C806, Issues!E:E, $D806), 0)</f>
        <v>0</v>
      </c>
      <c r="G806" s="82">
        <f>IFERROR(SUMIFS(Returns!H:H, Returns!F:F, $A806, Returns!C:C, $B806, Returns!D:D, $C806, Returns!E:E, $D806), 0)</f>
        <v>0</v>
      </c>
      <c r="H806" s="82">
        <f t="shared" si="1"/>
        <v>0</v>
      </c>
      <c r="I806" s="82">
        <f t="shared" si="2"/>
        <v>0</v>
      </c>
      <c r="J806" s="82">
        <f>IFERROR( SUMIFS('Stock In'!I:I,'Stock In'!B:B,$A806,'Stock In'!C:C,$B806,'Stock In'!D:D,$C806,'Stock In'!E:E,$D806) / SUMIFS('Stock In'!H:H,'Stock In'!B:B,$A806,'Stock In'!C:C,$B806,'Stock In'!D:D,$C806,'Stock In'!E:E,$D806), 0)</f>
        <v>0</v>
      </c>
      <c r="K806" s="82">
        <f t="shared" si="3"/>
        <v>0</v>
      </c>
    </row>
    <row r="807">
      <c r="A807" s="80"/>
      <c r="B807" s="80"/>
      <c r="C807" s="80"/>
      <c r="D807" s="80"/>
      <c r="E807" s="82">
        <f>IFERROR(SUMIFS('Stock In'!F:F,'Stock In'!B:B,$A807,'Stock In'!C:C,$B807,'Stock In'!D:D,$C807,'Stock In'!E:E,$D807),0)</f>
        <v>0</v>
      </c>
      <c r="F807" s="82">
        <f>IFERROR(SUMIFS(Issues!H:H, Issues!F:F, $A807, Issues!C:C, $B807, Issues!D:D, $C807, Issues!E:E, $D807), 0)</f>
        <v>0</v>
      </c>
      <c r="G807" s="82">
        <f>IFERROR(SUMIFS(Returns!H:H, Returns!F:F, $A807, Returns!C:C, $B807, Returns!D:D, $C807, Returns!E:E, $D807), 0)</f>
        <v>0</v>
      </c>
      <c r="H807" s="82">
        <f t="shared" si="1"/>
        <v>0</v>
      </c>
      <c r="I807" s="82">
        <f t="shared" si="2"/>
        <v>0</v>
      </c>
      <c r="J807" s="82">
        <f>IFERROR( SUMIFS('Stock In'!I:I,'Stock In'!B:B,$A807,'Stock In'!C:C,$B807,'Stock In'!D:D,$C807,'Stock In'!E:E,$D807) / SUMIFS('Stock In'!H:H,'Stock In'!B:B,$A807,'Stock In'!C:C,$B807,'Stock In'!D:D,$C807,'Stock In'!E:E,$D807), 0)</f>
        <v>0</v>
      </c>
      <c r="K807" s="82">
        <f t="shared" si="3"/>
        <v>0</v>
      </c>
    </row>
    <row r="808">
      <c r="A808" s="80"/>
      <c r="B808" s="80"/>
      <c r="C808" s="80"/>
      <c r="D808" s="80"/>
      <c r="E808" s="82">
        <f>IFERROR(SUMIFS('Stock In'!F:F,'Stock In'!B:B,$A808,'Stock In'!C:C,$B808,'Stock In'!D:D,$C808,'Stock In'!E:E,$D808),0)</f>
        <v>0</v>
      </c>
      <c r="F808" s="82">
        <f>IFERROR(SUMIFS(Issues!H:H, Issues!F:F, $A808, Issues!C:C, $B808, Issues!D:D, $C808, Issues!E:E, $D808), 0)</f>
        <v>0</v>
      </c>
      <c r="G808" s="82">
        <f>IFERROR(SUMIFS(Returns!H:H, Returns!F:F, $A808, Returns!C:C, $B808, Returns!D:D, $C808, Returns!E:E, $D808), 0)</f>
        <v>0</v>
      </c>
      <c r="H808" s="82">
        <f t="shared" si="1"/>
        <v>0</v>
      </c>
      <c r="I808" s="82">
        <f t="shared" si="2"/>
        <v>0</v>
      </c>
      <c r="J808" s="82">
        <f>IFERROR( SUMIFS('Stock In'!I:I,'Stock In'!B:B,$A808,'Stock In'!C:C,$B808,'Stock In'!D:D,$C808,'Stock In'!E:E,$D808) / SUMIFS('Stock In'!H:H,'Stock In'!B:B,$A808,'Stock In'!C:C,$B808,'Stock In'!D:D,$C808,'Stock In'!E:E,$D808), 0)</f>
        <v>0</v>
      </c>
      <c r="K808" s="82">
        <f t="shared" si="3"/>
        <v>0</v>
      </c>
    </row>
    <row r="809">
      <c r="A809" s="80"/>
      <c r="B809" s="80"/>
      <c r="C809" s="80"/>
      <c r="D809" s="80"/>
      <c r="E809" s="82">
        <f>IFERROR(SUMIFS('Stock In'!F:F,'Stock In'!B:B,$A809,'Stock In'!C:C,$B809,'Stock In'!D:D,$C809,'Stock In'!E:E,$D809),0)</f>
        <v>0</v>
      </c>
      <c r="F809" s="82">
        <f>IFERROR(SUMIFS(Issues!H:H, Issues!F:F, $A809, Issues!C:C, $B809, Issues!D:D, $C809, Issues!E:E, $D809), 0)</f>
        <v>0</v>
      </c>
      <c r="G809" s="82">
        <f>IFERROR(SUMIFS(Returns!H:H, Returns!F:F, $A809, Returns!C:C, $B809, Returns!D:D, $C809, Returns!E:E, $D809), 0)</f>
        <v>0</v>
      </c>
      <c r="H809" s="82">
        <f t="shared" si="1"/>
        <v>0</v>
      </c>
      <c r="I809" s="82">
        <f t="shared" si="2"/>
        <v>0</v>
      </c>
      <c r="J809" s="82">
        <f>IFERROR( SUMIFS('Stock In'!I:I,'Stock In'!B:B,$A809,'Stock In'!C:C,$B809,'Stock In'!D:D,$C809,'Stock In'!E:E,$D809) / SUMIFS('Stock In'!H:H,'Stock In'!B:B,$A809,'Stock In'!C:C,$B809,'Stock In'!D:D,$C809,'Stock In'!E:E,$D809), 0)</f>
        <v>0</v>
      </c>
      <c r="K809" s="82">
        <f t="shared" si="3"/>
        <v>0</v>
      </c>
    </row>
    <row r="810">
      <c r="A810" s="80"/>
      <c r="B810" s="80"/>
      <c r="C810" s="80"/>
      <c r="D810" s="80"/>
      <c r="E810" s="82">
        <f>IFERROR(SUMIFS('Stock In'!F:F,'Stock In'!B:B,$A810,'Stock In'!C:C,$B810,'Stock In'!D:D,$C810,'Stock In'!E:E,$D810),0)</f>
        <v>0</v>
      </c>
      <c r="F810" s="82">
        <f>IFERROR(SUMIFS(Issues!H:H, Issues!F:F, $A810, Issues!C:C, $B810, Issues!D:D, $C810, Issues!E:E, $D810), 0)</f>
        <v>0</v>
      </c>
      <c r="G810" s="82">
        <f>IFERROR(SUMIFS(Returns!H:H, Returns!F:F, $A810, Returns!C:C, $B810, Returns!D:D, $C810, Returns!E:E, $D810), 0)</f>
        <v>0</v>
      </c>
      <c r="H810" s="82">
        <f t="shared" si="1"/>
        <v>0</v>
      </c>
      <c r="I810" s="82">
        <f t="shared" si="2"/>
        <v>0</v>
      </c>
      <c r="J810" s="82">
        <f>IFERROR( SUMIFS('Stock In'!I:I,'Stock In'!B:B,$A810,'Stock In'!C:C,$B810,'Stock In'!D:D,$C810,'Stock In'!E:E,$D810) / SUMIFS('Stock In'!H:H,'Stock In'!B:B,$A810,'Stock In'!C:C,$B810,'Stock In'!D:D,$C810,'Stock In'!E:E,$D810), 0)</f>
        <v>0</v>
      </c>
      <c r="K810" s="82">
        <f t="shared" si="3"/>
        <v>0</v>
      </c>
    </row>
    <row r="811">
      <c r="A811" s="80"/>
      <c r="B811" s="80"/>
      <c r="C811" s="80"/>
      <c r="D811" s="80"/>
      <c r="E811" s="82">
        <f>IFERROR(SUMIFS('Stock In'!F:F,'Stock In'!B:B,$A811,'Stock In'!C:C,$B811,'Stock In'!D:D,$C811,'Stock In'!E:E,$D811),0)</f>
        <v>0</v>
      </c>
      <c r="F811" s="82">
        <f>IFERROR(SUMIFS(Issues!H:H, Issues!F:F, $A811, Issues!C:C, $B811, Issues!D:D, $C811, Issues!E:E, $D811), 0)</f>
        <v>0</v>
      </c>
      <c r="G811" s="82">
        <f>IFERROR(SUMIFS(Returns!H:H, Returns!F:F, $A811, Returns!C:C, $B811, Returns!D:D, $C811, Returns!E:E, $D811), 0)</f>
        <v>0</v>
      </c>
      <c r="H811" s="82">
        <f t="shared" si="1"/>
        <v>0</v>
      </c>
      <c r="I811" s="82">
        <f t="shared" si="2"/>
        <v>0</v>
      </c>
      <c r="J811" s="82">
        <f>IFERROR( SUMIFS('Stock In'!I:I,'Stock In'!B:B,$A811,'Stock In'!C:C,$B811,'Stock In'!D:D,$C811,'Stock In'!E:E,$D811) / SUMIFS('Stock In'!H:H,'Stock In'!B:B,$A811,'Stock In'!C:C,$B811,'Stock In'!D:D,$C811,'Stock In'!E:E,$D811), 0)</f>
        <v>0</v>
      </c>
      <c r="K811" s="82">
        <f t="shared" si="3"/>
        <v>0</v>
      </c>
    </row>
    <row r="812">
      <c r="A812" s="80"/>
      <c r="B812" s="80"/>
      <c r="C812" s="80"/>
      <c r="D812" s="80"/>
      <c r="E812" s="82">
        <f>IFERROR(SUMIFS('Stock In'!F:F,'Stock In'!B:B,$A812,'Stock In'!C:C,$B812,'Stock In'!D:D,$C812,'Stock In'!E:E,$D812),0)</f>
        <v>0</v>
      </c>
      <c r="F812" s="82">
        <f>IFERROR(SUMIFS(Issues!H:H, Issues!F:F, $A812, Issues!C:C, $B812, Issues!D:D, $C812, Issues!E:E, $D812), 0)</f>
        <v>0</v>
      </c>
      <c r="G812" s="82">
        <f>IFERROR(SUMIFS(Returns!H:H, Returns!F:F, $A812, Returns!C:C, $B812, Returns!D:D, $C812, Returns!E:E, $D812), 0)</f>
        <v>0</v>
      </c>
      <c r="H812" s="82">
        <f t="shared" si="1"/>
        <v>0</v>
      </c>
      <c r="I812" s="82">
        <f t="shared" si="2"/>
        <v>0</v>
      </c>
      <c r="J812" s="82">
        <f>IFERROR( SUMIFS('Stock In'!I:I,'Stock In'!B:B,$A812,'Stock In'!C:C,$B812,'Stock In'!D:D,$C812,'Stock In'!E:E,$D812) / SUMIFS('Stock In'!H:H,'Stock In'!B:B,$A812,'Stock In'!C:C,$B812,'Stock In'!D:D,$C812,'Stock In'!E:E,$D812), 0)</f>
        <v>0</v>
      </c>
      <c r="K812" s="82">
        <f t="shared" si="3"/>
        <v>0</v>
      </c>
    </row>
    <row r="813">
      <c r="A813" s="80"/>
      <c r="B813" s="80"/>
      <c r="C813" s="80"/>
      <c r="D813" s="80"/>
      <c r="E813" s="82">
        <f>IFERROR(SUMIFS('Stock In'!F:F,'Stock In'!B:B,$A813,'Stock In'!C:C,$B813,'Stock In'!D:D,$C813,'Stock In'!E:E,$D813),0)</f>
        <v>0</v>
      </c>
      <c r="F813" s="82">
        <f>IFERROR(SUMIFS(Issues!H:H, Issues!F:F, $A813, Issues!C:C, $B813, Issues!D:D, $C813, Issues!E:E, $D813), 0)</f>
        <v>0</v>
      </c>
      <c r="G813" s="82">
        <f>IFERROR(SUMIFS(Returns!H:H, Returns!F:F, $A813, Returns!C:C, $B813, Returns!D:D, $C813, Returns!E:E, $D813), 0)</f>
        <v>0</v>
      </c>
      <c r="H813" s="82">
        <f t="shared" si="1"/>
        <v>0</v>
      </c>
      <c r="I813" s="82">
        <f t="shared" si="2"/>
        <v>0</v>
      </c>
      <c r="J813" s="82">
        <f>IFERROR( SUMIFS('Stock In'!I:I,'Stock In'!B:B,$A813,'Stock In'!C:C,$B813,'Stock In'!D:D,$C813,'Stock In'!E:E,$D813) / SUMIFS('Stock In'!H:H,'Stock In'!B:B,$A813,'Stock In'!C:C,$B813,'Stock In'!D:D,$C813,'Stock In'!E:E,$D813), 0)</f>
        <v>0</v>
      </c>
      <c r="K813" s="82">
        <f t="shared" si="3"/>
        <v>0</v>
      </c>
    </row>
    <row r="814">
      <c r="A814" s="80"/>
      <c r="B814" s="80"/>
      <c r="C814" s="80"/>
      <c r="D814" s="80"/>
      <c r="E814" s="82">
        <f>IFERROR(SUMIFS('Stock In'!F:F,'Stock In'!B:B,$A814,'Stock In'!C:C,$B814,'Stock In'!D:D,$C814,'Stock In'!E:E,$D814),0)</f>
        <v>0</v>
      </c>
      <c r="F814" s="82">
        <f>IFERROR(SUMIFS(Issues!H:H, Issues!F:F, $A814, Issues!C:C, $B814, Issues!D:D, $C814, Issues!E:E, $D814), 0)</f>
        <v>0</v>
      </c>
      <c r="G814" s="82">
        <f>IFERROR(SUMIFS(Returns!H:H, Returns!F:F, $A814, Returns!C:C, $B814, Returns!D:D, $C814, Returns!E:E, $D814), 0)</f>
        <v>0</v>
      </c>
      <c r="H814" s="82">
        <f t="shared" si="1"/>
        <v>0</v>
      </c>
      <c r="I814" s="82">
        <f t="shared" si="2"/>
        <v>0</v>
      </c>
      <c r="J814" s="82">
        <f>IFERROR( SUMIFS('Stock In'!I:I,'Stock In'!B:B,$A814,'Stock In'!C:C,$B814,'Stock In'!D:D,$C814,'Stock In'!E:E,$D814) / SUMIFS('Stock In'!H:H,'Stock In'!B:B,$A814,'Stock In'!C:C,$B814,'Stock In'!D:D,$C814,'Stock In'!E:E,$D814), 0)</f>
        <v>0</v>
      </c>
      <c r="K814" s="82">
        <f t="shared" si="3"/>
        <v>0</v>
      </c>
    </row>
    <row r="815">
      <c r="A815" s="80"/>
      <c r="B815" s="80"/>
      <c r="C815" s="80"/>
      <c r="D815" s="80"/>
      <c r="E815" s="82">
        <f>IFERROR(SUMIFS('Stock In'!F:F,'Stock In'!B:B,$A815,'Stock In'!C:C,$B815,'Stock In'!D:D,$C815,'Stock In'!E:E,$D815),0)</f>
        <v>0</v>
      </c>
      <c r="F815" s="82">
        <f>IFERROR(SUMIFS(Issues!H:H, Issues!F:F, $A815, Issues!C:C, $B815, Issues!D:D, $C815, Issues!E:E, $D815), 0)</f>
        <v>0</v>
      </c>
      <c r="G815" s="82">
        <f>IFERROR(SUMIFS(Returns!H:H, Returns!F:F, $A815, Returns!C:C, $B815, Returns!D:D, $C815, Returns!E:E, $D815), 0)</f>
        <v>0</v>
      </c>
      <c r="H815" s="82">
        <f t="shared" si="1"/>
        <v>0</v>
      </c>
      <c r="I815" s="82">
        <f t="shared" si="2"/>
        <v>0</v>
      </c>
      <c r="J815" s="82">
        <f>IFERROR( SUMIFS('Stock In'!I:I,'Stock In'!B:B,$A815,'Stock In'!C:C,$B815,'Stock In'!D:D,$C815,'Stock In'!E:E,$D815) / SUMIFS('Stock In'!H:H,'Stock In'!B:B,$A815,'Stock In'!C:C,$B815,'Stock In'!D:D,$C815,'Stock In'!E:E,$D815), 0)</f>
        <v>0</v>
      </c>
      <c r="K815" s="82">
        <f t="shared" si="3"/>
        <v>0</v>
      </c>
    </row>
    <row r="816">
      <c r="A816" s="80"/>
      <c r="B816" s="80"/>
      <c r="C816" s="80"/>
      <c r="D816" s="80"/>
      <c r="E816" s="82">
        <f>IFERROR(SUMIFS('Stock In'!F:F,'Stock In'!B:B,$A816,'Stock In'!C:C,$B816,'Stock In'!D:D,$C816,'Stock In'!E:E,$D816),0)</f>
        <v>0</v>
      </c>
      <c r="F816" s="82">
        <f>IFERROR(SUMIFS(Issues!H:H, Issues!F:F, $A816, Issues!C:C, $B816, Issues!D:D, $C816, Issues!E:E, $D816), 0)</f>
        <v>0</v>
      </c>
      <c r="G816" s="82">
        <f>IFERROR(SUMIFS(Returns!H:H, Returns!F:F, $A816, Returns!C:C, $B816, Returns!D:D, $C816, Returns!E:E, $D816), 0)</f>
        <v>0</v>
      </c>
      <c r="H816" s="82">
        <f t="shared" si="1"/>
        <v>0</v>
      </c>
      <c r="I816" s="82">
        <f t="shared" si="2"/>
        <v>0</v>
      </c>
      <c r="J816" s="82">
        <f>IFERROR( SUMIFS('Stock In'!I:I,'Stock In'!B:B,$A816,'Stock In'!C:C,$B816,'Stock In'!D:D,$C816,'Stock In'!E:E,$D816) / SUMIFS('Stock In'!H:H,'Stock In'!B:B,$A816,'Stock In'!C:C,$B816,'Stock In'!D:D,$C816,'Stock In'!E:E,$D816), 0)</f>
        <v>0</v>
      </c>
      <c r="K816" s="82">
        <f t="shared" si="3"/>
        <v>0</v>
      </c>
    </row>
    <row r="817">
      <c r="A817" s="80"/>
      <c r="B817" s="80"/>
      <c r="C817" s="80"/>
      <c r="D817" s="80"/>
      <c r="E817" s="82">
        <f>IFERROR(SUMIFS('Stock In'!F:F,'Stock In'!B:B,$A817,'Stock In'!C:C,$B817,'Stock In'!D:D,$C817,'Stock In'!E:E,$D817),0)</f>
        <v>0</v>
      </c>
      <c r="F817" s="82">
        <f>IFERROR(SUMIFS(Issues!H:H, Issues!F:F, $A817, Issues!C:C, $B817, Issues!D:D, $C817, Issues!E:E, $D817), 0)</f>
        <v>0</v>
      </c>
      <c r="G817" s="82">
        <f>IFERROR(SUMIFS(Returns!H:H, Returns!F:F, $A817, Returns!C:C, $B817, Returns!D:D, $C817, Returns!E:E, $D817), 0)</f>
        <v>0</v>
      </c>
      <c r="H817" s="82">
        <f t="shared" si="1"/>
        <v>0</v>
      </c>
      <c r="I817" s="82">
        <f t="shared" si="2"/>
        <v>0</v>
      </c>
      <c r="J817" s="82">
        <f>IFERROR( SUMIFS('Stock In'!I:I,'Stock In'!B:B,$A817,'Stock In'!C:C,$B817,'Stock In'!D:D,$C817,'Stock In'!E:E,$D817) / SUMIFS('Stock In'!H:H,'Stock In'!B:B,$A817,'Stock In'!C:C,$B817,'Stock In'!D:D,$C817,'Stock In'!E:E,$D817), 0)</f>
        <v>0</v>
      </c>
      <c r="K817" s="82">
        <f t="shared" si="3"/>
        <v>0</v>
      </c>
    </row>
    <row r="818">
      <c r="A818" s="80"/>
      <c r="B818" s="80"/>
      <c r="C818" s="80"/>
      <c r="D818" s="80"/>
      <c r="E818" s="82">
        <f>IFERROR(SUMIFS('Stock In'!F:F,'Stock In'!B:B,$A818,'Stock In'!C:C,$B818,'Stock In'!D:D,$C818,'Stock In'!E:E,$D818),0)</f>
        <v>0</v>
      </c>
      <c r="F818" s="82">
        <f>IFERROR(SUMIFS(Issues!H:H, Issues!F:F, $A818, Issues!C:C, $B818, Issues!D:D, $C818, Issues!E:E, $D818), 0)</f>
        <v>0</v>
      </c>
      <c r="G818" s="82">
        <f>IFERROR(SUMIFS(Returns!H:H, Returns!F:F, $A818, Returns!C:C, $B818, Returns!D:D, $C818, Returns!E:E, $D818), 0)</f>
        <v>0</v>
      </c>
      <c r="H818" s="82">
        <f t="shared" si="1"/>
        <v>0</v>
      </c>
      <c r="I818" s="82">
        <f t="shared" si="2"/>
        <v>0</v>
      </c>
      <c r="J818" s="82">
        <f>IFERROR( SUMIFS('Stock In'!I:I,'Stock In'!B:B,$A818,'Stock In'!C:C,$B818,'Stock In'!D:D,$C818,'Stock In'!E:E,$D818) / SUMIFS('Stock In'!H:H,'Stock In'!B:B,$A818,'Stock In'!C:C,$B818,'Stock In'!D:D,$C818,'Stock In'!E:E,$D818), 0)</f>
        <v>0</v>
      </c>
      <c r="K818" s="82">
        <f t="shared" si="3"/>
        <v>0</v>
      </c>
    </row>
    <row r="819">
      <c r="A819" s="80"/>
      <c r="B819" s="80"/>
      <c r="C819" s="80"/>
      <c r="D819" s="80"/>
      <c r="E819" s="82">
        <f>IFERROR(SUMIFS('Stock In'!F:F,'Stock In'!B:B,$A819,'Stock In'!C:C,$B819,'Stock In'!D:D,$C819,'Stock In'!E:E,$D819),0)</f>
        <v>0</v>
      </c>
      <c r="F819" s="82">
        <f>IFERROR(SUMIFS(Issues!H:H, Issues!F:F, $A819, Issues!C:C, $B819, Issues!D:D, $C819, Issues!E:E, $D819), 0)</f>
        <v>0</v>
      </c>
      <c r="G819" s="82">
        <f>IFERROR(SUMIFS(Returns!H:H, Returns!F:F, $A819, Returns!C:C, $B819, Returns!D:D, $C819, Returns!E:E, $D819), 0)</f>
        <v>0</v>
      </c>
      <c r="H819" s="82">
        <f t="shared" si="1"/>
        <v>0</v>
      </c>
      <c r="I819" s="82">
        <f t="shared" si="2"/>
        <v>0</v>
      </c>
      <c r="J819" s="82">
        <f>IFERROR( SUMIFS('Stock In'!I:I,'Stock In'!B:B,$A819,'Stock In'!C:C,$B819,'Stock In'!D:D,$C819,'Stock In'!E:E,$D819) / SUMIFS('Stock In'!H:H,'Stock In'!B:B,$A819,'Stock In'!C:C,$B819,'Stock In'!D:D,$C819,'Stock In'!E:E,$D819), 0)</f>
        <v>0</v>
      </c>
      <c r="K819" s="82">
        <f t="shared" si="3"/>
        <v>0</v>
      </c>
    </row>
    <row r="820">
      <c r="A820" s="80"/>
      <c r="B820" s="80"/>
      <c r="C820" s="80"/>
      <c r="D820" s="80"/>
      <c r="E820" s="82">
        <f>IFERROR(SUMIFS('Stock In'!F:F,'Stock In'!B:B,$A820,'Stock In'!C:C,$B820,'Stock In'!D:D,$C820,'Stock In'!E:E,$D820),0)</f>
        <v>0</v>
      </c>
      <c r="F820" s="82">
        <f>IFERROR(SUMIFS(Issues!H:H, Issues!F:F, $A820, Issues!C:C, $B820, Issues!D:D, $C820, Issues!E:E, $D820), 0)</f>
        <v>0</v>
      </c>
      <c r="G820" s="82">
        <f>IFERROR(SUMIFS(Returns!H:H, Returns!F:F, $A820, Returns!C:C, $B820, Returns!D:D, $C820, Returns!E:E, $D820), 0)</f>
        <v>0</v>
      </c>
      <c r="H820" s="82">
        <f t="shared" si="1"/>
        <v>0</v>
      </c>
      <c r="I820" s="82">
        <f t="shared" si="2"/>
        <v>0</v>
      </c>
      <c r="J820" s="82">
        <f>IFERROR( SUMIFS('Stock In'!I:I,'Stock In'!B:B,$A820,'Stock In'!C:C,$B820,'Stock In'!D:D,$C820,'Stock In'!E:E,$D820) / SUMIFS('Stock In'!H:H,'Stock In'!B:B,$A820,'Stock In'!C:C,$B820,'Stock In'!D:D,$C820,'Stock In'!E:E,$D820), 0)</f>
        <v>0</v>
      </c>
      <c r="K820" s="82">
        <f t="shared" si="3"/>
        <v>0</v>
      </c>
    </row>
    <row r="821">
      <c r="A821" s="80"/>
      <c r="B821" s="80"/>
      <c r="C821" s="80"/>
      <c r="D821" s="80"/>
      <c r="E821" s="82">
        <f>IFERROR(SUMIFS('Stock In'!F:F,'Stock In'!B:B,$A821,'Stock In'!C:C,$B821,'Stock In'!D:D,$C821,'Stock In'!E:E,$D821),0)</f>
        <v>0</v>
      </c>
      <c r="F821" s="82">
        <f>IFERROR(SUMIFS(Issues!H:H, Issues!F:F, $A821, Issues!C:C, $B821, Issues!D:D, $C821, Issues!E:E, $D821), 0)</f>
        <v>0</v>
      </c>
      <c r="G821" s="82">
        <f>IFERROR(SUMIFS(Returns!H:H, Returns!F:F, $A821, Returns!C:C, $B821, Returns!D:D, $C821, Returns!E:E, $D821), 0)</f>
        <v>0</v>
      </c>
      <c r="H821" s="82">
        <f t="shared" si="1"/>
        <v>0</v>
      </c>
      <c r="I821" s="82">
        <f t="shared" si="2"/>
        <v>0</v>
      </c>
      <c r="J821" s="82">
        <f>IFERROR( SUMIFS('Stock In'!I:I,'Stock In'!B:B,$A821,'Stock In'!C:C,$B821,'Stock In'!D:D,$C821,'Stock In'!E:E,$D821) / SUMIFS('Stock In'!H:H,'Stock In'!B:B,$A821,'Stock In'!C:C,$B821,'Stock In'!D:D,$C821,'Stock In'!E:E,$D821), 0)</f>
        <v>0</v>
      </c>
      <c r="K821" s="82">
        <f t="shared" si="3"/>
        <v>0</v>
      </c>
    </row>
    <row r="822">
      <c r="A822" s="80"/>
      <c r="B822" s="80"/>
      <c r="C822" s="80"/>
      <c r="D822" s="80"/>
      <c r="E822" s="82">
        <f>IFERROR(SUMIFS('Stock In'!F:F,'Stock In'!B:B,$A822,'Stock In'!C:C,$B822,'Stock In'!D:D,$C822,'Stock In'!E:E,$D822),0)</f>
        <v>0</v>
      </c>
      <c r="F822" s="82">
        <f>IFERROR(SUMIFS(Issues!H:H, Issues!F:F, $A822, Issues!C:C, $B822, Issues!D:D, $C822, Issues!E:E, $D822), 0)</f>
        <v>0</v>
      </c>
      <c r="G822" s="82">
        <f>IFERROR(SUMIFS(Returns!H:H, Returns!F:F, $A822, Returns!C:C, $B822, Returns!D:D, $C822, Returns!E:E, $D822), 0)</f>
        <v>0</v>
      </c>
      <c r="H822" s="82">
        <f t="shared" si="1"/>
        <v>0</v>
      </c>
      <c r="I822" s="82">
        <f t="shared" si="2"/>
        <v>0</v>
      </c>
      <c r="J822" s="82">
        <f>IFERROR( SUMIFS('Stock In'!I:I,'Stock In'!B:B,$A822,'Stock In'!C:C,$B822,'Stock In'!D:D,$C822,'Stock In'!E:E,$D822) / SUMIFS('Stock In'!H:H,'Stock In'!B:B,$A822,'Stock In'!C:C,$B822,'Stock In'!D:D,$C822,'Stock In'!E:E,$D822), 0)</f>
        <v>0</v>
      </c>
      <c r="K822" s="82">
        <f t="shared" si="3"/>
        <v>0</v>
      </c>
    </row>
    <row r="823">
      <c r="A823" s="80"/>
      <c r="B823" s="80"/>
      <c r="C823" s="80"/>
      <c r="D823" s="80"/>
      <c r="E823" s="82">
        <f>IFERROR(SUMIFS('Stock In'!F:F,'Stock In'!B:B,$A823,'Stock In'!C:C,$B823,'Stock In'!D:D,$C823,'Stock In'!E:E,$D823),0)</f>
        <v>0</v>
      </c>
      <c r="F823" s="82">
        <f>IFERROR(SUMIFS(Issues!H:H, Issues!F:F, $A823, Issues!C:C, $B823, Issues!D:D, $C823, Issues!E:E, $D823), 0)</f>
        <v>0</v>
      </c>
      <c r="G823" s="82">
        <f>IFERROR(SUMIFS(Returns!H:H, Returns!F:F, $A823, Returns!C:C, $B823, Returns!D:D, $C823, Returns!E:E, $D823), 0)</f>
        <v>0</v>
      </c>
      <c r="H823" s="82">
        <f t="shared" si="1"/>
        <v>0</v>
      </c>
      <c r="I823" s="82">
        <f t="shared" si="2"/>
        <v>0</v>
      </c>
      <c r="J823" s="82">
        <f>IFERROR( SUMIFS('Stock In'!I:I,'Stock In'!B:B,$A823,'Stock In'!C:C,$B823,'Stock In'!D:D,$C823,'Stock In'!E:E,$D823) / SUMIFS('Stock In'!H:H,'Stock In'!B:B,$A823,'Stock In'!C:C,$B823,'Stock In'!D:D,$C823,'Stock In'!E:E,$D823), 0)</f>
        <v>0</v>
      </c>
      <c r="K823" s="82">
        <f t="shared" si="3"/>
        <v>0</v>
      </c>
    </row>
    <row r="824">
      <c r="A824" s="80"/>
      <c r="B824" s="80"/>
      <c r="C824" s="80"/>
      <c r="D824" s="80"/>
      <c r="E824" s="82">
        <f>IFERROR(SUMIFS('Stock In'!F:F,'Stock In'!B:B,$A824,'Stock In'!C:C,$B824,'Stock In'!D:D,$C824,'Stock In'!E:E,$D824),0)</f>
        <v>0</v>
      </c>
      <c r="F824" s="82">
        <f>IFERROR(SUMIFS(Issues!H:H, Issues!F:F, $A824, Issues!C:C, $B824, Issues!D:D, $C824, Issues!E:E, $D824), 0)</f>
        <v>0</v>
      </c>
      <c r="G824" s="82">
        <f>IFERROR(SUMIFS(Returns!H:H, Returns!F:F, $A824, Returns!C:C, $B824, Returns!D:D, $C824, Returns!E:E, $D824), 0)</f>
        <v>0</v>
      </c>
      <c r="H824" s="82">
        <f t="shared" si="1"/>
        <v>0</v>
      </c>
      <c r="I824" s="82">
        <f t="shared" si="2"/>
        <v>0</v>
      </c>
      <c r="J824" s="82">
        <f>IFERROR( SUMIFS('Stock In'!I:I,'Stock In'!B:B,$A824,'Stock In'!C:C,$B824,'Stock In'!D:D,$C824,'Stock In'!E:E,$D824) / SUMIFS('Stock In'!H:H,'Stock In'!B:B,$A824,'Stock In'!C:C,$B824,'Stock In'!D:D,$C824,'Stock In'!E:E,$D824), 0)</f>
        <v>0</v>
      </c>
      <c r="K824" s="82">
        <f t="shared" si="3"/>
        <v>0</v>
      </c>
    </row>
    <row r="825">
      <c r="A825" s="80"/>
      <c r="B825" s="80"/>
      <c r="C825" s="80"/>
      <c r="D825" s="80"/>
      <c r="E825" s="82">
        <f>IFERROR(SUMIFS('Stock In'!F:F,'Stock In'!B:B,$A825,'Stock In'!C:C,$B825,'Stock In'!D:D,$C825,'Stock In'!E:E,$D825),0)</f>
        <v>0</v>
      </c>
      <c r="F825" s="82">
        <f>IFERROR(SUMIFS(Issues!H:H, Issues!F:F, $A825, Issues!C:C, $B825, Issues!D:D, $C825, Issues!E:E, $D825), 0)</f>
        <v>0</v>
      </c>
      <c r="G825" s="82">
        <f>IFERROR(SUMIFS(Returns!H:H, Returns!F:F, $A825, Returns!C:C, $B825, Returns!D:D, $C825, Returns!E:E, $D825), 0)</f>
        <v>0</v>
      </c>
      <c r="H825" s="82">
        <f t="shared" si="1"/>
        <v>0</v>
      </c>
      <c r="I825" s="82">
        <f t="shared" si="2"/>
        <v>0</v>
      </c>
      <c r="J825" s="82">
        <f>IFERROR( SUMIFS('Stock In'!I:I,'Stock In'!B:B,$A825,'Stock In'!C:C,$B825,'Stock In'!D:D,$C825,'Stock In'!E:E,$D825) / SUMIFS('Stock In'!H:H,'Stock In'!B:B,$A825,'Stock In'!C:C,$B825,'Stock In'!D:D,$C825,'Stock In'!E:E,$D825), 0)</f>
        <v>0</v>
      </c>
      <c r="K825" s="82">
        <f t="shared" si="3"/>
        <v>0</v>
      </c>
    </row>
    <row r="826">
      <c r="A826" s="80"/>
      <c r="B826" s="80"/>
      <c r="C826" s="80"/>
      <c r="D826" s="80"/>
      <c r="E826" s="82">
        <f>IFERROR(SUMIFS('Stock In'!F:F,'Stock In'!B:B,$A826,'Stock In'!C:C,$B826,'Stock In'!D:D,$C826,'Stock In'!E:E,$D826),0)</f>
        <v>0</v>
      </c>
      <c r="F826" s="82">
        <f>IFERROR(SUMIFS(Issues!H:H, Issues!F:F, $A826, Issues!C:C, $B826, Issues!D:D, $C826, Issues!E:E, $D826), 0)</f>
        <v>0</v>
      </c>
      <c r="G826" s="82">
        <f>IFERROR(SUMIFS(Returns!H:H, Returns!F:F, $A826, Returns!C:C, $B826, Returns!D:D, $C826, Returns!E:E, $D826), 0)</f>
        <v>0</v>
      </c>
      <c r="H826" s="82">
        <f t="shared" si="1"/>
        <v>0</v>
      </c>
      <c r="I826" s="82">
        <f t="shared" si="2"/>
        <v>0</v>
      </c>
      <c r="J826" s="82">
        <f>IFERROR( SUMIFS('Stock In'!I:I,'Stock In'!B:B,$A826,'Stock In'!C:C,$B826,'Stock In'!D:D,$C826,'Stock In'!E:E,$D826) / SUMIFS('Stock In'!H:H,'Stock In'!B:B,$A826,'Stock In'!C:C,$B826,'Stock In'!D:D,$C826,'Stock In'!E:E,$D826), 0)</f>
        <v>0</v>
      </c>
      <c r="K826" s="82">
        <f t="shared" si="3"/>
        <v>0</v>
      </c>
    </row>
    <row r="827">
      <c r="A827" s="80"/>
      <c r="B827" s="80"/>
      <c r="C827" s="80"/>
      <c r="D827" s="80"/>
      <c r="E827" s="82">
        <f>IFERROR(SUMIFS('Stock In'!F:F,'Stock In'!B:B,$A827,'Stock In'!C:C,$B827,'Stock In'!D:D,$C827,'Stock In'!E:E,$D827),0)</f>
        <v>0</v>
      </c>
      <c r="F827" s="82">
        <f>IFERROR(SUMIFS(Issues!H:H, Issues!F:F, $A827, Issues!C:C, $B827, Issues!D:D, $C827, Issues!E:E, $D827), 0)</f>
        <v>0</v>
      </c>
      <c r="G827" s="82">
        <f>IFERROR(SUMIFS(Returns!H:H, Returns!F:F, $A827, Returns!C:C, $B827, Returns!D:D, $C827, Returns!E:E, $D827), 0)</f>
        <v>0</v>
      </c>
      <c r="H827" s="82">
        <f t="shared" si="1"/>
        <v>0</v>
      </c>
      <c r="I827" s="82">
        <f t="shared" si="2"/>
        <v>0</v>
      </c>
      <c r="J827" s="82">
        <f>IFERROR( SUMIFS('Stock In'!I:I,'Stock In'!B:B,$A827,'Stock In'!C:C,$B827,'Stock In'!D:D,$C827,'Stock In'!E:E,$D827) / SUMIFS('Stock In'!H:H,'Stock In'!B:B,$A827,'Stock In'!C:C,$B827,'Stock In'!D:D,$C827,'Stock In'!E:E,$D827), 0)</f>
        <v>0</v>
      </c>
      <c r="K827" s="82">
        <f t="shared" si="3"/>
        <v>0</v>
      </c>
    </row>
    <row r="828">
      <c r="A828" s="80"/>
      <c r="B828" s="80"/>
      <c r="C828" s="80"/>
      <c r="D828" s="80"/>
      <c r="E828" s="82">
        <f>IFERROR(SUMIFS('Stock In'!F:F,'Stock In'!B:B,$A828,'Stock In'!C:C,$B828,'Stock In'!D:D,$C828,'Stock In'!E:E,$D828),0)</f>
        <v>0</v>
      </c>
      <c r="F828" s="82">
        <f>IFERROR(SUMIFS(Issues!H:H, Issues!F:F, $A828, Issues!C:C, $B828, Issues!D:D, $C828, Issues!E:E, $D828), 0)</f>
        <v>0</v>
      </c>
      <c r="G828" s="82">
        <f>IFERROR(SUMIFS(Returns!H:H, Returns!F:F, $A828, Returns!C:C, $B828, Returns!D:D, $C828, Returns!E:E, $D828), 0)</f>
        <v>0</v>
      </c>
      <c r="H828" s="82">
        <f t="shared" si="1"/>
        <v>0</v>
      </c>
      <c r="I828" s="82">
        <f t="shared" si="2"/>
        <v>0</v>
      </c>
      <c r="J828" s="82">
        <f>IFERROR( SUMIFS('Stock In'!I:I,'Stock In'!B:B,$A828,'Stock In'!C:C,$B828,'Stock In'!D:D,$C828,'Stock In'!E:E,$D828) / SUMIFS('Stock In'!H:H,'Stock In'!B:B,$A828,'Stock In'!C:C,$B828,'Stock In'!D:D,$C828,'Stock In'!E:E,$D828), 0)</f>
        <v>0</v>
      </c>
      <c r="K828" s="82">
        <f t="shared" si="3"/>
        <v>0</v>
      </c>
    </row>
    <row r="829">
      <c r="A829" s="80"/>
      <c r="B829" s="80"/>
      <c r="C829" s="80"/>
      <c r="D829" s="80"/>
      <c r="E829" s="82">
        <f>IFERROR(SUMIFS('Stock In'!F:F,'Stock In'!B:B,$A829,'Stock In'!C:C,$B829,'Stock In'!D:D,$C829,'Stock In'!E:E,$D829),0)</f>
        <v>0</v>
      </c>
      <c r="F829" s="82">
        <f>IFERROR(SUMIFS(Issues!H:H, Issues!F:F, $A829, Issues!C:C, $B829, Issues!D:D, $C829, Issues!E:E, $D829), 0)</f>
        <v>0</v>
      </c>
      <c r="G829" s="82">
        <f>IFERROR(SUMIFS(Returns!H:H, Returns!F:F, $A829, Returns!C:C, $B829, Returns!D:D, $C829, Returns!E:E, $D829), 0)</f>
        <v>0</v>
      </c>
      <c r="H829" s="82">
        <f t="shared" si="1"/>
        <v>0</v>
      </c>
      <c r="I829" s="82">
        <f t="shared" si="2"/>
        <v>0</v>
      </c>
      <c r="J829" s="82">
        <f>IFERROR( SUMIFS('Stock In'!I:I,'Stock In'!B:B,$A829,'Stock In'!C:C,$B829,'Stock In'!D:D,$C829,'Stock In'!E:E,$D829) / SUMIFS('Stock In'!H:H,'Stock In'!B:B,$A829,'Stock In'!C:C,$B829,'Stock In'!D:D,$C829,'Stock In'!E:E,$D829), 0)</f>
        <v>0</v>
      </c>
      <c r="K829" s="82">
        <f t="shared" si="3"/>
        <v>0</v>
      </c>
    </row>
    <row r="830">
      <c r="A830" s="80"/>
      <c r="B830" s="80"/>
      <c r="C830" s="80"/>
      <c r="D830" s="80"/>
      <c r="E830" s="82">
        <f>IFERROR(SUMIFS('Stock In'!F:F,'Stock In'!B:B,$A830,'Stock In'!C:C,$B830,'Stock In'!D:D,$C830,'Stock In'!E:E,$D830),0)</f>
        <v>0</v>
      </c>
      <c r="F830" s="82">
        <f>IFERROR(SUMIFS(Issues!H:H, Issues!F:F, $A830, Issues!C:C, $B830, Issues!D:D, $C830, Issues!E:E, $D830), 0)</f>
        <v>0</v>
      </c>
      <c r="G830" s="82">
        <f>IFERROR(SUMIFS(Returns!H:H, Returns!F:F, $A830, Returns!C:C, $B830, Returns!D:D, $C830, Returns!E:E, $D830), 0)</f>
        <v>0</v>
      </c>
      <c r="H830" s="82">
        <f t="shared" si="1"/>
        <v>0</v>
      </c>
      <c r="I830" s="82">
        <f t="shared" si="2"/>
        <v>0</v>
      </c>
      <c r="J830" s="82">
        <f>IFERROR( SUMIFS('Stock In'!I:I,'Stock In'!B:B,$A830,'Stock In'!C:C,$B830,'Stock In'!D:D,$C830,'Stock In'!E:E,$D830) / SUMIFS('Stock In'!H:H,'Stock In'!B:B,$A830,'Stock In'!C:C,$B830,'Stock In'!D:D,$C830,'Stock In'!E:E,$D830), 0)</f>
        <v>0</v>
      </c>
      <c r="K830" s="82">
        <f t="shared" si="3"/>
        <v>0</v>
      </c>
    </row>
    <row r="831">
      <c r="A831" s="80"/>
      <c r="B831" s="80"/>
      <c r="C831" s="80"/>
      <c r="D831" s="80"/>
      <c r="E831" s="82">
        <f>IFERROR(SUMIFS('Stock In'!F:F,'Stock In'!B:B,$A831,'Stock In'!C:C,$B831,'Stock In'!D:D,$C831,'Stock In'!E:E,$D831),0)</f>
        <v>0</v>
      </c>
      <c r="F831" s="82">
        <f>IFERROR(SUMIFS(Issues!H:H, Issues!F:F, $A831, Issues!C:C, $B831, Issues!D:D, $C831, Issues!E:E, $D831), 0)</f>
        <v>0</v>
      </c>
      <c r="G831" s="82">
        <f>IFERROR(SUMIFS(Returns!H:H, Returns!F:F, $A831, Returns!C:C, $B831, Returns!D:D, $C831, Returns!E:E, $D831), 0)</f>
        <v>0</v>
      </c>
      <c r="H831" s="82">
        <f t="shared" si="1"/>
        <v>0</v>
      </c>
      <c r="I831" s="82">
        <f t="shared" si="2"/>
        <v>0</v>
      </c>
      <c r="J831" s="82">
        <f>IFERROR( SUMIFS('Stock In'!I:I,'Stock In'!B:B,$A831,'Stock In'!C:C,$B831,'Stock In'!D:D,$C831,'Stock In'!E:E,$D831) / SUMIFS('Stock In'!H:H,'Stock In'!B:B,$A831,'Stock In'!C:C,$B831,'Stock In'!D:D,$C831,'Stock In'!E:E,$D831), 0)</f>
        <v>0</v>
      </c>
      <c r="K831" s="82">
        <f t="shared" si="3"/>
        <v>0</v>
      </c>
    </row>
    <row r="832">
      <c r="A832" s="80"/>
      <c r="B832" s="80"/>
      <c r="C832" s="80"/>
      <c r="D832" s="80"/>
      <c r="E832" s="82">
        <f>IFERROR(SUMIFS('Stock In'!F:F,'Stock In'!B:B,$A832,'Stock In'!C:C,$B832,'Stock In'!D:D,$C832,'Stock In'!E:E,$D832),0)</f>
        <v>0</v>
      </c>
      <c r="F832" s="82">
        <f>IFERROR(SUMIFS(Issues!H:H, Issues!F:F, $A832, Issues!C:C, $B832, Issues!D:D, $C832, Issues!E:E, $D832), 0)</f>
        <v>0</v>
      </c>
      <c r="G832" s="82">
        <f>IFERROR(SUMIFS(Returns!H:H, Returns!F:F, $A832, Returns!C:C, $B832, Returns!D:D, $C832, Returns!E:E, $D832), 0)</f>
        <v>0</v>
      </c>
      <c r="H832" s="82">
        <f t="shared" si="1"/>
        <v>0</v>
      </c>
      <c r="I832" s="82">
        <f t="shared" si="2"/>
        <v>0</v>
      </c>
      <c r="J832" s="82">
        <f>IFERROR( SUMIFS('Stock In'!I:I,'Stock In'!B:B,$A832,'Stock In'!C:C,$B832,'Stock In'!D:D,$C832,'Stock In'!E:E,$D832) / SUMIFS('Stock In'!H:H,'Stock In'!B:B,$A832,'Stock In'!C:C,$B832,'Stock In'!D:D,$C832,'Stock In'!E:E,$D832), 0)</f>
        <v>0</v>
      </c>
      <c r="K832" s="82">
        <f t="shared" si="3"/>
        <v>0</v>
      </c>
    </row>
    <row r="833">
      <c r="A833" s="80"/>
      <c r="B833" s="80"/>
      <c r="C833" s="80"/>
      <c r="D833" s="80"/>
      <c r="E833" s="82">
        <f>IFERROR(SUMIFS('Stock In'!F:F,'Stock In'!B:B,$A833,'Stock In'!C:C,$B833,'Stock In'!D:D,$C833,'Stock In'!E:E,$D833),0)</f>
        <v>0</v>
      </c>
      <c r="F833" s="82">
        <f>IFERROR(SUMIFS(Issues!H:H, Issues!F:F, $A833, Issues!C:C, $B833, Issues!D:D, $C833, Issues!E:E, $D833), 0)</f>
        <v>0</v>
      </c>
      <c r="G833" s="82">
        <f>IFERROR(SUMIFS(Returns!H:H, Returns!F:F, $A833, Returns!C:C, $B833, Returns!D:D, $C833, Returns!E:E, $D833), 0)</f>
        <v>0</v>
      </c>
      <c r="H833" s="82">
        <f t="shared" si="1"/>
        <v>0</v>
      </c>
      <c r="I833" s="82">
        <f t="shared" si="2"/>
        <v>0</v>
      </c>
      <c r="J833" s="82">
        <f>IFERROR( SUMIFS('Stock In'!I:I,'Stock In'!B:B,$A833,'Stock In'!C:C,$B833,'Stock In'!D:D,$C833,'Stock In'!E:E,$D833) / SUMIFS('Stock In'!H:H,'Stock In'!B:B,$A833,'Stock In'!C:C,$B833,'Stock In'!D:D,$C833,'Stock In'!E:E,$D833), 0)</f>
        <v>0</v>
      </c>
      <c r="K833" s="82">
        <f t="shared" si="3"/>
        <v>0</v>
      </c>
    </row>
    <row r="834">
      <c r="A834" s="80"/>
      <c r="B834" s="80"/>
      <c r="C834" s="80"/>
      <c r="D834" s="80"/>
      <c r="E834" s="82">
        <f>IFERROR(SUMIFS('Stock In'!F:F,'Stock In'!B:B,$A834,'Stock In'!C:C,$B834,'Stock In'!D:D,$C834,'Stock In'!E:E,$D834),0)</f>
        <v>0</v>
      </c>
      <c r="F834" s="82">
        <f>IFERROR(SUMIFS(Issues!H:H, Issues!F:F, $A834, Issues!C:C, $B834, Issues!D:D, $C834, Issues!E:E, $D834), 0)</f>
        <v>0</v>
      </c>
      <c r="G834" s="82">
        <f>IFERROR(SUMIFS(Returns!H:H, Returns!F:F, $A834, Returns!C:C, $B834, Returns!D:D, $C834, Returns!E:E, $D834), 0)</f>
        <v>0</v>
      </c>
      <c r="H834" s="82">
        <f t="shared" si="1"/>
        <v>0</v>
      </c>
      <c r="I834" s="82">
        <f t="shared" si="2"/>
        <v>0</v>
      </c>
      <c r="J834" s="82">
        <f>IFERROR( SUMIFS('Stock In'!I:I,'Stock In'!B:B,$A834,'Stock In'!C:C,$B834,'Stock In'!D:D,$C834,'Stock In'!E:E,$D834) / SUMIFS('Stock In'!H:H,'Stock In'!B:B,$A834,'Stock In'!C:C,$B834,'Stock In'!D:D,$C834,'Stock In'!E:E,$D834), 0)</f>
        <v>0</v>
      </c>
      <c r="K834" s="82">
        <f t="shared" si="3"/>
        <v>0</v>
      </c>
    </row>
    <row r="835">
      <c r="A835" s="80"/>
      <c r="B835" s="80"/>
      <c r="C835" s="80"/>
      <c r="D835" s="80"/>
      <c r="E835" s="82">
        <f>IFERROR(SUMIFS('Stock In'!F:F,'Stock In'!B:B,$A835,'Stock In'!C:C,$B835,'Stock In'!D:D,$C835,'Stock In'!E:E,$D835),0)</f>
        <v>0</v>
      </c>
      <c r="F835" s="82">
        <f>IFERROR(SUMIFS(Issues!H:H, Issues!F:F, $A835, Issues!C:C, $B835, Issues!D:D, $C835, Issues!E:E, $D835), 0)</f>
        <v>0</v>
      </c>
      <c r="G835" s="82">
        <f>IFERROR(SUMIFS(Returns!H:H, Returns!F:F, $A835, Returns!C:C, $B835, Returns!D:D, $C835, Returns!E:E, $D835), 0)</f>
        <v>0</v>
      </c>
      <c r="H835" s="82">
        <f t="shared" si="1"/>
        <v>0</v>
      </c>
      <c r="I835" s="82">
        <f t="shared" si="2"/>
        <v>0</v>
      </c>
      <c r="J835" s="82">
        <f>IFERROR( SUMIFS('Stock In'!I:I,'Stock In'!B:B,$A835,'Stock In'!C:C,$B835,'Stock In'!D:D,$C835,'Stock In'!E:E,$D835) / SUMIFS('Stock In'!H:H,'Stock In'!B:B,$A835,'Stock In'!C:C,$B835,'Stock In'!D:D,$C835,'Stock In'!E:E,$D835), 0)</f>
        <v>0</v>
      </c>
      <c r="K835" s="82">
        <f t="shared" si="3"/>
        <v>0</v>
      </c>
    </row>
    <row r="836">
      <c r="A836" s="80"/>
      <c r="B836" s="80"/>
      <c r="C836" s="80"/>
      <c r="D836" s="80"/>
      <c r="E836" s="82">
        <f>IFERROR(SUMIFS('Stock In'!F:F,'Stock In'!B:B,$A836,'Stock In'!C:C,$B836,'Stock In'!D:D,$C836,'Stock In'!E:E,$D836),0)</f>
        <v>0</v>
      </c>
      <c r="F836" s="82">
        <f>IFERROR(SUMIFS(Issues!H:H, Issues!F:F, $A836, Issues!C:C, $B836, Issues!D:D, $C836, Issues!E:E, $D836), 0)</f>
        <v>0</v>
      </c>
      <c r="G836" s="82">
        <f>IFERROR(SUMIFS(Returns!H:H, Returns!F:F, $A836, Returns!C:C, $B836, Returns!D:D, $C836, Returns!E:E, $D836), 0)</f>
        <v>0</v>
      </c>
      <c r="H836" s="82">
        <f t="shared" si="1"/>
        <v>0</v>
      </c>
      <c r="I836" s="82">
        <f t="shared" si="2"/>
        <v>0</v>
      </c>
      <c r="J836" s="82">
        <f>IFERROR( SUMIFS('Stock In'!I:I,'Stock In'!B:B,$A836,'Stock In'!C:C,$B836,'Stock In'!D:D,$C836,'Stock In'!E:E,$D836) / SUMIFS('Stock In'!H:H,'Stock In'!B:B,$A836,'Stock In'!C:C,$B836,'Stock In'!D:D,$C836,'Stock In'!E:E,$D836), 0)</f>
        <v>0</v>
      </c>
      <c r="K836" s="82">
        <f t="shared" si="3"/>
        <v>0</v>
      </c>
    </row>
    <row r="837">
      <c r="A837" s="80"/>
      <c r="B837" s="80"/>
      <c r="C837" s="80"/>
      <c r="D837" s="80"/>
      <c r="E837" s="82">
        <f>IFERROR(SUMIFS('Stock In'!F:F,'Stock In'!B:B,$A837,'Stock In'!C:C,$B837,'Stock In'!D:D,$C837,'Stock In'!E:E,$D837),0)</f>
        <v>0</v>
      </c>
      <c r="F837" s="82">
        <f>IFERROR(SUMIFS(Issues!H:H, Issues!F:F, $A837, Issues!C:C, $B837, Issues!D:D, $C837, Issues!E:E, $D837), 0)</f>
        <v>0</v>
      </c>
      <c r="G837" s="82">
        <f>IFERROR(SUMIFS(Returns!H:H, Returns!F:F, $A837, Returns!C:C, $B837, Returns!D:D, $C837, Returns!E:E, $D837), 0)</f>
        <v>0</v>
      </c>
      <c r="H837" s="82">
        <f t="shared" si="1"/>
        <v>0</v>
      </c>
      <c r="I837" s="82">
        <f t="shared" si="2"/>
        <v>0</v>
      </c>
      <c r="J837" s="82">
        <f>IFERROR( SUMIFS('Stock In'!I:I,'Stock In'!B:B,$A837,'Stock In'!C:C,$B837,'Stock In'!D:D,$C837,'Stock In'!E:E,$D837) / SUMIFS('Stock In'!H:H,'Stock In'!B:B,$A837,'Stock In'!C:C,$B837,'Stock In'!D:D,$C837,'Stock In'!E:E,$D837), 0)</f>
        <v>0</v>
      </c>
      <c r="K837" s="82">
        <f t="shared" si="3"/>
        <v>0</v>
      </c>
    </row>
    <row r="838">
      <c r="A838" s="80"/>
      <c r="B838" s="80"/>
      <c r="C838" s="80"/>
      <c r="D838" s="80"/>
      <c r="E838" s="82">
        <f>IFERROR(SUMIFS('Stock In'!F:F,'Stock In'!B:B,$A838,'Stock In'!C:C,$B838,'Stock In'!D:D,$C838,'Stock In'!E:E,$D838),0)</f>
        <v>0</v>
      </c>
      <c r="F838" s="82">
        <f>IFERROR(SUMIFS(Issues!H:H, Issues!F:F, $A838, Issues!C:C, $B838, Issues!D:D, $C838, Issues!E:E, $D838), 0)</f>
        <v>0</v>
      </c>
      <c r="G838" s="82">
        <f>IFERROR(SUMIFS(Returns!H:H, Returns!F:F, $A838, Returns!C:C, $B838, Returns!D:D, $C838, Returns!E:E, $D838), 0)</f>
        <v>0</v>
      </c>
      <c r="H838" s="82">
        <f t="shared" si="1"/>
        <v>0</v>
      </c>
      <c r="I838" s="82">
        <f t="shared" si="2"/>
        <v>0</v>
      </c>
      <c r="J838" s="82">
        <f>IFERROR( SUMIFS('Stock In'!I:I,'Stock In'!B:B,$A838,'Stock In'!C:C,$B838,'Stock In'!D:D,$C838,'Stock In'!E:E,$D838) / SUMIFS('Stock In'!H:H,'Stock In'!B:B,$A838,'Stock In'!C:C,$B838,'Stock In'!D:D,$C838,'Stock In'!E:E,$D838), 0)</f>
        <v>0</v>
      </c>
      <c r="K838" s="82">
        <f t="shared" si="3"/>
        <v>0</v>
      </c>
    </row>
    <row r="839">
      <c r="A839" s="80"/>
      <c r="B839" s="80"/>
      <c r="C839" s="80"/>
      <c r="D839" s="80"/>
      <c r="E839" s="82">
        <f>IFERROR(SUMIFS('Stock In'!F:F,'Stock In'!B:B,$A839,'Stock In'!C:C,$B839,'Stock In'!D:D,$C839,'Stock In'!E:E,$D839),0)</f>
        <v>0</v>
      </c>
      <c r="F839" s="82">
        <f>IFERROR(SUMIFS(Issues!H:H, Issues!F:F, $A839, Issues!C:C, $B839, Issues!D:D, $C839, Issues!E:E, $D839), 0)</f>
        <v>0</v>
      </c>
      <c r="G839" s="82">
        <f>IFERROR(SUMIFS(Returns!H:H, Returns!F:F, $A839, Returns!C:C, $B839, Returns!D:D, $C839, Returns!E:E, $D839), 0)</f>
        <v>0</v>
      </c>
      <c r="H839" s="82">
        <f t="shared" si="1"/>
        <v>0</v>
      </c>
      <c r="I839" s="82">
        <f t="shared" si="2"/>
        <v>0</v>
      </c>
      <c r="J839" s="82">
        <f>IFERROR( SUMIFS('Stock In'!I:I,'Stock In'!B:B,$A839,'Stock In'!C:C,$B839,'Stock In'!D:D,$C839,'Stock In'!E:E,$D839) / SUMIFS('Stock In'!H:H,'Stock In'!B:B,$A839,'Stock In'!C:C,$B839,'Stock In'!D:D,$C839,'Stock In'!E:E,$D839), 0)</f>
        <v>0</v>
      </c>
      <c r="K839" s="82">
        <f t="shared" si="3"/>
        <v>0</v>
      </c>
    </row>
    <row r="840">
      <c r="A840" s="80"/>
      <c r="B840" s="80"/>
      <c r="C840" s="80"/>
      <c r="D840" s="80"/>
      <c r="E840" s="82">
        <f>IFERROR(SUMIFS('Stock In'!F:F,'Stock In'!B:B,$A840,'Stock In'!C:C,$B840,'Stock In'!D:D,$C840,'Stock In'!E:E,$D840),0)</f>
        <v>0</v>
      </c>
      <c r="F840" s="82">
        <f>IFERROR(SUMIFS(Issues!H:H, Issues!F:F, $A840, Issues!C:C, $B840, Issues!D:D, $C840, Issues!E:E, $D840), 0)</f>
        <v>0</v>
      </c>
      <c r="G840" s="82">
        <f>IFERROR(SUMIFS(Returns!H:H, Returns!F:F, $A840, Returns!C:C, $B840, Returns!D:D, $C840, Returns!E:E, $D840), 0)</f>
        <v>0</v>
      </c>
      <c r="H840" s="82">
        <f t="shared" si="1"/>
        <v>0</v>
      </c>
      <c r="I840" s="82">
        <f t="shared" si="2"/>
        <v>0</v>
      </c>
      <c r="J840" s="82">
        <f>IFERROR( SUMIFS('Stock In'!I:I,'Stock In'!B:B,$A840,'Stock In'!C:C,$B840,'Stock In'!D:D,$C840,'Stock In'!E:E,$D840) / SUMIFS('Stock In'!H:H,'Stock In'!B:B,$A840,'Stock In'!C:C,$B840,'Stock In'!D:D,$C840,'Stock In'!E:E,$D840), 0)</f>
        <v>0</v>
      </c>
      <c r="K840" s="82">
        <f t="shared" si="3"/>
        <v>0</v>
      </c>
    </row>
    <row r="841">
      <c r="A841" s="80"/>
      <c r="B841" s="80"/>
      <c r="C841" s="80"/>
      <c r="D841" s="80"/>
      <c r="E841" s="82">
        <f>IFERROR(SUMIFS('Stock In'!F:F,'Stock In'!B:B,$A841,'Stock In'!C:C,$B841,'Stock In'!D:D,$C841,'Stock In'!E:E,$D841),0)</f>
        <v>0</v>
      </c>
      <c r="F841" s="82">
        <f>IFERROR(SUMIFS(Issues!H:H, Issues!F:F, $A841, Issues!C:C, $B841, Issues!D:D, $C841, Issues!E:E, $D841), 0)</f>
        <v>0</v>
      </c>
      <c r="G841" s="82">
        <f>IFERROR(SUMIFS(Returns!H:H, Returns!F:F, $A841, Returns!C:C, $B841, Returns!D:D, $C841, Returns!E:E, $D841), 0)</f>
        <v>0</v>
      </c>
      <c r="H841" s="82">
        <f t="shared" si="1"/>
        <v>0</v>
      </c>
      <c r="I841" s="82">
        <f t="shared" si="2"/>
        <v>0</v>
      </c>
      <c r="J841" s="82">
        <f>IFERROR( SUMIFS('Stock In'!I:I,'Stock In'!B:B,$A841,'Stock In'!C:C,$B841,'Stock In'!D:D,$C841,'Stock In'!E:E,$D841) / SUMIFS('Stock In'!H:H,'Stock In'!B:B,$A841,'Stock In'!C:C,$B841,'Stock In'!D:D,$C841,'Stock In'!E:E,$D841), 0)</f>
        <v>0</v>
      </c>
      <c r="K841" s="82">
        <f t="shared" si="3"/>
        <v>0</v>
      </c>
    </row>
    <row r="842">
      <c r="A842" s="80"/>
      <c r="B842" s="80"/>
      <c r="C842" s="80"/>
      <c r="D842" s="80"/>
      <c r="E842" s="82">
        <f>IFERROR(SUMIFS('Stock In'!F:F,'Stock In'!B:B,$A842,'Stock In'!C:C,$B842,'Stock In'!D:D,$C842,'Stock In'!E:E,$D842),0)</f>
        <v>0</v>
      </c>
      <c r="F842" s="82">
        <f>IFERROR(SUMIFS(Issues!H:H, Issues!F:F, $A842, Issues!C:C, $B842, Issues!D:D, $C842, Issues!E:E, $D842), 0)</f>
        <v>0</v>
      </c>
      <c r="G842" s="82">
        <f>IFERROR(SUMIFS(Returns!H:H, Returns!F:F, $A842, Returns!C:C, $B842, Returns!D:D, $C842, Returns!E:E, $D842), 0)</f>
        <v>0</v>
      </c>
      <c r="H842" s="82">
        <f t="shared" si="1"/>
        <v>0</v>
      </c>
      <c r="I842" s="82">
        <f t="shared" si="2"/>
        <v>0</v>
      </c>
      <c r="J842" s="82">
        <f>IFERROR( SUMIFS('Stock In'!I:I,'Stock In'!B:B,$A842,'Stock In'!C:C,$B842,'Stock In'!D:D,$C842,'Stock In'!E:E,$D842) / SUMIFS('Stock In'!H:H,'Stock In'!B:B,$A842,'Stock In'!C:C,$B842,'Stock In'!D:D,$C842,'Stock In'!E:E,$D842), 0)</f>
        <v>0</v>
      </c>
      <c r="K842" s="82">
        <f t="shared" si="3"/>
        <v>0</v>
      </c>
    </row>
    <row r="843">
      <c r="A843" s="80"/>
      <c r="B843" s="80"/>
      <c r="C843" s="80"/>
      <c r="D843" s="80"/>
      <c r="E843" s="82">
        <f>IFERROR(SUMIFS('Stock In'!F:F,'Stock In'!B:B,$A843,'Stock In'!C:C,$B843,'Stock In'!D:D,$C843,'Stock In'!E:E,$D843),0)</f>
        <v>0</v>
      </c>
      <c r="F843" s="82">
        <f>IFERROR(SUMIFS(Issues!H:H, Issues!F:F, $A843, Issues!C:C, $B843, Issues!D:D, $C843, Issues!E:E, $D843), 0)</f>
        <v>0</v>
      </c>
      <c r="G843" s="82">
        <f>IFERROR(SUMIFS(Returns!H:H, Returns!F:F, $A843, Returns!C:C, $B843, Returns!D:D, $C843, Returns!E:E, $D843), 0)</f>
        <v>0</v>
      </c>
      <c r="H843" s="82">
        <f t="shared" si="1"/>
        <v>0</v>
      </c>
      <c r="I843" s="82">
        <f t="shared" si="2"/>
        <v>0</v>
      </c>
      <c r="J843" s="82">
        <f>IFERROR( SUMIFS('Stock In'!I:I,'Stock In'!B:B,$A843,'Stock In'!C:C,$B843,'Stock In'!D:D,$C843,'Stock In'!E:E,$D843) / SUMIFS('Stock In'!H:H,'Stock In'!B:B,$A843,'Stock In'!C:C,$B843,'Stock In'!D:D,$C843,'Stock In'!E:E,$D843), 0)</f>
        <v>0</v>
      </c>
      <c r="K843" s="82">
        <f t="shared" si="3"/>
        <v>0</v>
      </c>
    </row>
    <row r="844">
      <c r="A844" s="80"/>
      <c r="B844" s="80"/>
      <c r="C844" s="80"/>
      <c r="D844" s="80"/>
      <c r="E844" s="82">
        <f>IFERROR(SUMIFS('Stock In'!F:F,'Stock In'!B:B,$A844,'Stock In'!C:C,$B844,'Stock In'!D:D,$C844,'Stock In'!E:E,$D844),0)</f>
        <v>0</v>
      </c>
      <c r="F844" s="82">
        <f>IFERROR(SUMIFS(Issues!H:H, Issues!F:F, $A844, Issues!C:C, $B844, Issues!D:D, $C844, Issues!E:E, $D844), 0)</f>
        <v>0</v>
      </c>
      <c r="G844" s="82">
        <f>IFERROR(SUMIFS(Returns!H:H, Returns!F:F, $A844, Returns!C:C, $B844, Returns!D:D, $C844, Returns!E:E, $D844), 0)</f>
        <v>0</v>
      </c>
      <c r="H844" s="82">
        <f t="shared" si="1"/>
        <v>0</v>
      </c>
      <c r="I844" s="82">
        <f t="shared" si="2"/>
        <v>0</v>
      </c>
      <c r="J844" s="82">
        <f>IFERROR( SUMIFS('Stock In'!I:I,'Stock In'!B:B,$A844,'Stock In'!C:C,$B844,'Stock In'!D:D,$C844,'Stock In'!E:E,$D844) / SUMIFS('Stock In'!H:H,'Stock In'!B:B,$A844,'Stock In'!C:C,$B844,'Stock In'!D:D,$C844,'Stock In'!E:E,$D844), 0)</f>
        <v>0</v>
      </c>
      <c r="K844" s="82">
        <f t="shared" si="3"/>
        <v>0</v>
      </c>
    </row>
    <row r="845">
      <c r="A845" s="80"/>
      <c r="B845" s="80"/>
      <c r="C845" s="80"/>
      <c r="D845" s="80"/>
      <c r="E845" s="82">
        <f>IFERROR(SUMIFS('Stock In'!F:F,'Stock In'!B:B,$A845,'Stock In'!C:C,$B845,'Stock In'!D:D,$C845,'Stock In'!E:E,$D845),0)</f>
        <v>0</v>
      </c>
      <c r="F845" s="82">
        <f>IFERROR(SUMIFS(Issues!H:H, Issues!F:F, $A845, Issues!C:C, $B845, Issues!D:D, $C845, Issues!E:E, $D845), 0)</f>
        <v>0</v>
      </c>
      <c r="G845" s="82">
        <f>IFERROR(SUMIFS(Returns!H:H, Returns!F:F, $A845, Returns!C:C, $B845, Returns!D:D, $C845, Returns!E:E, $D845), 0)</f>
        <v>0</v>
      </c>
      <c r="H845" s="82">
        <f t="shared" si="1"/>
        <v>0</v>
      </c>
      <c r="I845" s="82">
        <f t="shared" si="2"/>
        <v>0</v>
      </c>
      <c r="J845" s="82">
        <f>IFERROR( SUMIFS('Stock In'!I:I,'Stock In'!B:B,$A845,'Stock In'!C:C,$B845,'Stock In'!D:D,$C845,'Stock In'!E:E,$D845) / SUMIFS('Stock In'!H:H,'Stock In'!B:B,$A845,'Stock In'!C:C,$B845,'Stock In'!D:D,$C845,'Stock In'!E:E,$D845), 0)</f>
        <v>0</v>
      </c>
      <c r="K845" s="82">
        <f t="shared" si="3"/>
        <v>0</v>
      </c>
    </row>
    <row r="846">
      <c r="A846" s="80"/>
      <c r="B846" s="80"/>
      <c r="C846" s="80"/>
      <c r="D846" s="80"/>
      <c r="E846" s="82">
        <f>IFERROR(SUMIFS('Stock In'!F:F,'Stock In'!B:B,$A846,'Stock In'!C:C,$B846,'Stock In'!D:D,$C846,'Stock In'!E:E,$D846),0)</f>
        <v>0</v>
      </c>
      <c r="F846" s="82">
        <f>IFERROR(SUMIFS(Issues!H:H, Issues!F:F, $A846, Issues!C:C, $B846, Issues!D:D, $C846, Issues!E:E, $D846), 0)</f>
        <v>0</v>
      </c>
      <c r="G846" s="82">
        <f>IFERROR(SUMIFS(Returns!H:H, Returns!F:F, $A846, Returns!C:C, $B846, Returns!D:D, $C846, Returns!E:E, $D846), 0)</f>
        <v>0</v>
      </c>
      <c r="H846" s="82">
        <f t="shared" si="1"/>
        <v>0</v>
      </c>
      <c r="I846" s="82">
        <f t="shared" si="2"/>
        <v>0</v>
      </c>
      <c r="J846" s="82">
        <f>IFERROR( SUMIFS('Stock In'!I:I,'Stock In'!B:B,$A846,'Stock In'!C:C,$B846,'Stock In'!D:D,$C846,'Stock In'!E:E,$D846) / SUMIFS('Stock In'!H:H,'Stock In'!B:B,$A846,'Stock In'!C:C,$B846,'Stock In'!D:D,$C846,'Stock In'!E:E,$D846), 0)</f>
        <v>0</v>
      </c>
      <c r="K846" s="82">
        <f t="shared" si="3"/>
        <v>0</v>
      </c>
    </row>
    <row r="847">
      <c r="A847" s="80"/>
      <c r="B847" s="80"/>
      <c r="C847" s="80"/>
      <c r="D847" s="80"/>
      <c r="E847" s="82">
        <f>IFERROR(SUMIFS('Stock In'!F:F,'Stock In'!B:B,$A847,'Stock In'!C:C,$B847,'Stock In'!D:D,$C847,'Stock In'!E:E,$D847),0)</f>
        <v>0</v>
      </c>
      <c r="F847" s="82">
        <f>IFERROR(SUMIFS(Issues!H:H, Issues!F:F, $A847, Issues!C:C, $B847, Issues!D:D, $C847, Issues!E:E, $D847), 0)</f>
        <v>0</v>
      </c>
      <c r="G847" s="82">
        <f>IFERROR(SUMIFS(Returns!H:H, Returns!F:F, $A847, Returns!C:C, $B847, Returns!D:D, $C847, Returns!E:E, $D847), 0)</f>
        <v>0</v>
      </c>
      <c r="H847" s="82">
        <f t="shared" si="1"/>
        <v>0</v>
      </c>
      <c r="I847" s="82">
        <f t="shared" si="2"/>
        <v>0</v>
      </c>
      <c r="J847" s="82">
        <f>IFERROR( SUMIFS('Stock In'!I:I,'Stock In'!B:B,$A847,'Stock In'!C:C,$B847,'Stock In'!D:D,$C847,'Stock In'!E:E,$D847) / SUMIFS('Stock In'!H:H,'Stock In'!B:B,$A847,'Stock In'!C:C,$B847,'Stock In'!D:D,$C847,'Stock In'!E:E,$D847), 0)</f>
        <v>0</v>
      </c>
      <c r="K847" s="82">
        <f t="shared" si="3"/>
        <v>0</v>
      </c>
    </row>
    <row r="848">
      <c r="A848" s="80"/>
      <c r="B848" s="80"/>
      <c r="C848" s="80"/>
      <c r="D848" s="80"/>
      <c r="E848" s="82">
        <f>IFERROR(SUMIFS('Stock In'!F:F,'Stock In'!B:B,$A848,'Stock In'!C:C,$B848,'Stock In'!D:D,$C848,'Stock In'!E:E,$D848),0)</f>
        <v>0</v>
      </c>
      <c r="F848" s="82">
        <f>IFERROR(SUMIFS(Issues!H:H, Issues!F:F, $A848, Issues!C:C, $B848, Issues!D:D, $C848, Issues!E:E, $D848), 0)</f>
        <v>0</v>
      </c>
      <c r="G848" s="82">
        <f>IFERROR(SUMIFS(Returns!H:H, Returns!F:F, $A848, Returns!C:C, $B848, Returns!D:D, $C848, Returns!E:E, $D848), 0)</f>
        <v>0</v>
      </c>
      <c r="H848" s="82">
        <f t="shared" si="1"/>
        <v>0</v>
      </c>
      <c r="I848" s="82">
        <f t="shared" si="2"/>
        <v>0</v>
      </c>
      <c r="J848" s="82">
        <f>IFERROR( SUMIFS('Stock In'!I:I,'Stock In'!B:B,$A848,'Stock In'!C:C,$B848,'Stock In'!D:D,$C848,'Stock In'!E:E,$D848) / SUMIFS('Stock In'!H:H,'Stock In'!B:B,$A848,'Stock In'!C:C,$B848,'Stock In'!D:D,$C848,'Stock In'!E:E,$D848), 0)</f>
        <v>0</v>
      </c>
      <c r="K848" s="82">
        <f t="shared" si="3"/>
        <v>0</v>
      </c>
    </row>
    <row r="849">
      <c r="A849" s="80"/>
      <c r="B849" s="80"/>
      <c r="C849" s="80"/>
      <c r="D849" s="80"/>
      <c r="E849" s="82">
        <f>IFERROR(SUMIFS('Stock In'!F:F,'Stock In'!B:B,$A849,'Stock In'!C:C,$B849,'Stock In'!D:D,$C849,'Stock In'!E:E,$D849),0)</f>
        <v>0</v>
      </c>
      <c r="F849" s="82">
        <f>IFERROR(SUMIFS(Issues!H:H, Issues!F:F, $A849, Issues!C:C, $B849, Issues!D:D, $C849, Issues!E:E, $D849), 0)</f>
        <v>0</v>
      </c>
      <c r="G849" s="82">
        <f>IFERROR(SUMIFS(Returns!H:H, Returns!F:F, $A849, Returns!C:C, $B849, Returns!D:D, $C849, Returns!E:E, $D849), 0)</f>
        <v>0</v>
      </c>
      <c r="H849" s="82">
        <f t="shared" si="1"/>
        <v>0</v>
      </c>
      <c r="I849" s="82">
        <f t="shared" si="2"/>
        <v>0</v>
      </c>
      <c r="J849" s="82">
        <f>IFERROR( SUMIFS('Stock In'!I:I,'Stock In'!B:B,$A849,'Stock In'!C:C,$B849,'Stock In'!D:D,$C849,'Stock In'!E:E,$D849) / SUMIFS('Stock In'!H:H,'Stock In'!B:B,$A849,'Stock In'!C:C,$B849,'Stock In'!D:D,$C849,'Stock In'!E:E,$D849), 0)</f>
        <v>0</v>
      </c>
      <c r="K849" s="82">
        <f t="shared" si="3"/>
        <v>0</v>
      </c>
    </row>
    <row r="850">
      <c r="A850" s="80"/>
      <c r="B850" s="80"/>
      <c r="C850" s="80"/>
      <c r="D850" s="80"/>
      <c r="E850" s="82">
        <f>IFERROR(SUMIFS('Stock In'!F:F,'Stock In'!B:B,$A850,'Stock In'!C:C,$B850,'Stock In'!D:D,$C850,'Stock In'!E:E,$D850),0)</f>
        <v>0</v>
      </c>
      <c r="F850" s="82">
        <f>IFERROR(SUMIFS(Issues!H:H, Issues!F:F, $A850, Issues!C:C, $B850, Issues!D:D, $C850, Issues!E:E, $D850), 0)</f>
        <v>0</v>
      </c>
      <c r="G850" s="82">
        <f>IFERROR(SUMIFS(Returns!H:H, Returns!F:F, $A850, Returns!C:C, $B850, Returns!D:D, $C850, Returns!E:E, $D850), 0)</f>
        <v>0</v>
      </c>
      <c r="H850" s="82">
        <f t="shared" si="1"/>
        <v>0</v>
      </c>
      <c r="I850" s="82">
        <f t="shared" si="2"/>
        <v>0</v>
      </c>
      <c r="J850" s="82">
        <f>IFERROR( SUMIFS('Stock In'!I:I,'Stock In'!B:B,$A850,'Stock In'!C:C,$B850,'Stock In'!D:D,$C850,'Stock In'!E:E,$D850) / SUMIFS('Stock In'!H:H,'Stock In'!B:B,$A850,'Stock In'!C:C,$B850,'Stock In'!D:D,$C850,'Stock In'!E:E,$D850), 0)</f>
        <v>0</v>
      </c>
      <c r="K850" s="82">
        <f t="shared" si="3"/>
        <v>0</v>
      </c>
    </row>
    <row r="851">
      <c r="A851" s="80"/>
      <c r="B851" s="80"/>
      <c r="C851" s="80"/>
      <c r="D851" s="80"/>
      <c r="E851" s="82">
        <f>IFERROR(SUMIFS('Stock In'!F:F,'Stock In'!B:B,$A851,'Stock In'!C:C,$B851,'Stock In'!D:D,$C851,'Stock In'!E:E,$D851),0)</f>
        <v>0</v>
      </c>
      <c r="F851" s="82">
        <f>IFERROR(SUMIFS(Issues!H:H, Issues!F:F, $A851, Issues!C:C, $B851, Issues!D:D, $C851, Issues!E:E, $D851), 0)</f>
        <v>0</v>
      </c>
      <c r="G851" s="82">
        <f>IFERROR(SUMIFS(Returns!H:H, Returns!F:F, $A851, Returns!C:C, $B851, Returns!D:D, $C851, Returns!E:E, $D851), 0)</f>
        <v>0</v>
      </c>
      <c r="H851" s="82">
        <f t="shared" si="1"/>
        <v>0</v>
      </c>
      <c r="I851" s="82">
        <f t="shared" si="2"/>
        <v>0</v>
      </c>
      <c r="J851" s="82">
        <f>IFERROR( SUMIFS('Stock In'!I:I,'Stock In'!B:B,$A851,'Stock In'!C:C,$B851,'Stock In'!D:D,$C851,'Stock In'!E:E,$D851) / SUMIFS('Stock In'!H:H,'Stock In'!B:B,$A851,'Stock In'!C:C,$B851,'Stock In'!D:D,$C851,'Stock In'!E:E,$D851), 0)</f>
        <v>0</v>
      </c>
      <c r="K851" s="82">
        <f t="shared" si="3"/>
        <v>0</v>
      </c>
    </row>
    <row r="852">
      <c r="A852" s="80"/>
      <c r="B852" s="80"/>
      <c r="C852" s="80"/>
      <c r="D852" s="80"/>
      <c r="E852" s="82">
        <f>IFERROR(SUMIFS('Stock In'!F:F,'Stock In'!B:B,$A852,'Stock In'!C:C,$B852,'Stock In'!D:D,$C852,'Stock In'!E:E,$D852),0)</f>
        <v>0</v>
      </c>
      <c r="F852" s="82">
        <f>IFERROR(SUMIFS(Issues!H:H, Issues!F:F, $A852, Issues!C:C, $B852, Issues!D:D, $C852, Issues!E:E, $D852), 0)</f>
        <v>0</v>
      </c>
      <c r="G852" s="82">
        <f>IFERROR(SUMIFS(Returns!H:H, Returns!F:F, $A852, Returns!C:C, $B852, Returns!D:D, $C852, Returns!E:E, $D852), 0)</f>
        <v>0</v>
      </c>
      <c r="H852" s="82">
        <f t="shared" si="1"/>
        <v>0</v>
      </c>
      <c r="I852" s="82">
        <f t="shared" si="2"/>
        <v>0</v>
      </c>
      <c r="J852" s="82">
        <f>IFERROR( SUMIFS('Stock In'!I:I,'Stock In'!B:B,$A852,'Stock In'!C:C,$B852,'Stock In'!D:D,$C852,'Stock In'!E:E,$D852) / SUMIFS('Stock In'!H:H,'Stock In'!B:B,$A852,'Stock In'!C:C,$B852,'Stock In'!D:D,$C852,'Stock In'!E:E,$D852), 0)</f>
        <v>0</v>
      </c>
      <c r="K852" s="82">
        <f t="shared" si="3"/>
        <v>0</v>
      </c>
    </row>
    <row r="853">
      <c r="A853" s="80"/>
      <c r="B853" s="80"/>
      <c r="C853" s="80"/>
      <c r="D853" s="80"/>
      <c r="E853" s="82">
        <f>IFERROR(SUMIFS('Stock In'!F:F,'Stock In'!B:B,$A853,'Stock In'!C:C,$B853,'Stock In'!D:D,$C853,'Stock In'!E:E,$D853),0)</f>
        <v>0</v>
      </c>
      <c r="F853" s="82">
        <f>IFERROR(SUMIFS(Issues!H:H, Issues!F:F, $A853, Issues!C:C, $B853, Issues!D:D, $C853, Issues!E:E, $D853), 0)</f>
        <v>0</v>
      </c>
      <c r="G853" s="82">
        <f>IFERROR(SUMIFS(Returns!H:H, Returns!F:F, $A853, Returns!C:C, $B853, Returns!D:D, $C853, Returns!E:E, $D853), 0)</f>
        <v>0</v>
      </c>
      <c r="H853" s="82">
        <f t="shared" si="1"/>
        <v>0</v>
      </c>
      <c r="I853" s="82">
        <f t="shared" si="2"/>
        <v>0</v>
      </c>
      <c r="J853" s="82">
        <f>IFERROR( SUMIFS('Stock In'!I:I,'Stock In'!B:B,$A853,'Stock In'!C:C,$B853,'Stock In'!D:D,$C853,'Stock In'!E:E,$D853) / SUMIFS('Stock In'!H:H,'Stock In'!B:B,$A853,'Stock In'!C:C,$B853,'Stock In'!D:D,$C853,'Stock In'!E:E,$D853), 0)</f>
        <v>0</v>
      </c>
      <c r="K853" s="82">
        <f t="shared" si="3"/>
        <v>0</v>
      </c>
    </row>
    <row r="854">
      <c r="A854" s="80"/>
      <c r="B854" s="80"/>
      <c r="C854" s="80"/>
      <c r="D854" s="80"/>
      <c r="E854" s="82">
        <f>IFERROR(SUMIFS('Stock In'!F:F,'Stock In'!B:B,$A854,'Stock In'!C:C,$B854,'Stock In'!D:D,$C854,'Stock In'!E:E,$D854),0)</f>
        <v>0</v>
      </c>
      <c r="F854" s="82">
        <f>IFERROR(SUMIFS(Issues!H:H, Issues!F:F, $A854, Issues!C:C, $B854, Issues!D:D, $C854, Issues!E:E, $D854), 0)</f>
        <v>0</v>
      </c>
      <c r="G854" s="82">
        <f>IFERROR(SUMIFS(Returns!H:H, Returns!F:F, $A854, Returns!C:C, $B854, Returns!D:D, $C854, Returns!E:E, $D854), 0)</f>
        <v>0</v>
      </c>
      <c r="H854" s="82">
        <f t="shared" si="1"/>
        <v>0</v>
      </c>
      <c r="I854" s="82">
        <f t="shared" si="2"/>
        <v>0</v>
      </c>
      <c r="J854" s="82">
        <f>IFERROR( SUMIFS('Stock In'!I:I,'Stock In'!B:B,$A854,'Stock In'!C:C,$B854,'Stock In'!D:D,$C854,'Stock In'!E:E,$D854) / SUMIFS('Stock In'!H:H,'Stock In'!B:B,$A854,'Stock In'!C:C,$B854,'Stock In'!D:D,$C854,'Stock In'!E:E,$D854), 0)</f>
        <v>0</v>
      </c>
      <c r="K854" s="82">
        <f t="shared" si="3"/>
        <v>0</v>
      </c>
    </row>
    <row r="855">
      <c r="A855" s="80"/>
      <c r="B855" s="80"/>
      <c r="C855" s="80"/>
      <c r="D855" s="80"/>
      <c r="E855" s="82">
        <f>IFERROR(SUMIFS('Stock In'!F:F,'Stock In'!B:B,$A855,'Stock In'!C:C,$B855,'Stock In'!D:D,$C855,'Stock In'!E:E,$D855),0)</f>
        <v>0</v>
      </c>
      <c r="F855" s="82">
        <f>IFERROR(SUMIFS(Issues!H:H, Issues!F:F, $A855, Issues!C:C, $B855, Issues!D:D, $C855, Issues!E:E, $D855), 0)</f>
        <v>0</v>
      </c>
      <c r="G855" s="82">
        <f>IFERROR(SUMIFS(Returns!H:H, Returns!F:F, $A855, Returns!C:C, $B855, Returns!D:D, $C855, Returns!E:E, $D855), 0)</f>
        <v>0</v>
      </c>
      <c r="H855" s="82">
        <f t="shared" si="1"/>
        <v>0</v>
      </c>
      <c r="I855" s="82">
        <f t="shared" si="2"/>
        <v>0</v>
      </c>
      <c r="J855" s="82">
        <f>IFERROR( SUMIFS('Stock In'!I:I,'Stock In'!B:B,$A855,'Stock In'!C:C,$B855,'Stock In'!D:D,$C855,'Stock In'!E:E,$D855) / SUMIFS('Stock In'!H:H,'Stock In'!B:B,$A855,'Stock In'!C:C,$B855,'Stock In'!D:D,$C855,'Stock In'!E:E,$D855), 0)</f>
        <v>0</v>
      </c>
      <c r="K855" s="82">
        <f t="shared" si="3"/>
        <v>0</v>
      </c>
    </row>
    <row r="856">
      <c r="A856" s="80"/>
      <c r="B856" s="80"/>
      <c r="C856" s="80"/>
      <c r="D856" s="80"/>
      <c r="E856" s="82">
        <f>IFERROR(SUMIFS('Stock In'!F:F,'Stock In'!B:B,$A856,'Stock In'!C:C,$B856,'Stock In'!D:D,$C856,'Stock In'!E:E,$D856),0)</f>
        <v>0</v>
      </c>
      <c r="F856" s="82">
        <f>IFERROR(SUMIFS(Issues!H:H, Issues!F:F, $A856, Issues!C:C, $B856, Issues!D:D, $C856, Issues!E:E, $D856), 0)</f>
        <v>0</v>
      </c>
      <c r="G856" s="82">
        <f>IFERROR(SUMIFS(Returns!H:H, Returns!F:F, $A856, Returns!C:C, $B856, Returns!D:D, $C856, Returns!E:E, $D856), 0)</f>
        <v>0</v>
      </c>
      <c r="H856" s="82">
        <f t="shared" si="1"/>
        <v>0</v>
      </c>
      <c r="I856" s="82">
        <f t="shared" si="2"/>
        <v>0</v>
      </c>
      <c r="J856" s="82">
        <f>IFERROR( SUMIFS('Stock In'!I:I,'Stock In'!B:B,$A856,'Stock In'!C:C,$B856,'Stock In'!D:D,$C856,'Stock In'!E:E,$D856) / SUMIFS('Stock In'!H:H,'Stock In'!B:B,$A856,'Stock In'!C:C,$B856,'Stock In'!D:D,$C856,'Stock In'!E:E,$D856), 0)</f>
        <v>0</v>
      </c>
      <c r="K856" s="82">
        <f t="shared" si="3"/>
        <v>0</v>
      </c>
    </row>
    <row r="857">
      <c r="A857" s="80"/>
      <c r="B857" s="80"/>
      <c r="C857" s="80"/>
      <c r="D857" s="80"/>
      <c r="E857" s="82">
        <f>IFERROR(SUMIFS('Stock In'!F:F,'Stock In'!B:B,$A857,'Stock In'!C:C,$B857,'Stock In'!D:D,$C857,'Stock In'!E:E,$D857),0)</f>
        <v>0</v>
      </c>
      <c r="F857" s="82">
        <f>IFERROR(SUMIFS(Issues!H:H, Issues!F:F, $A857, Issues!C:C, $B857, Issues!D:D, $C857, Issues!E:E, $D857), 0)</f>
        <v>0</v>
      </c>
      <c r="G857" s="82">
        <f>IFERROR(SUMIFS(Returns!H:H, Returns!F:F, $A857, Returns!C:C, $B857, Returns!D:D, $C857, Returns!E:E, $D857), 0)</f>
        <v>0</v>
      </c>
      <c r="H857" s="82">
        <f t="shared" si="1"/>
        <v>0</v>
      </c>
      <c r="I857" s="82">
        <f t="shared" si="2"/>
        <v>0</v>
      </c>
      <c r="J857" s="82">
        <f>IFERROR( SUMIFS('Stock In'!I:I,'Stock In'!B:B,$A857,'Stock In'!C:C,$B857,'Stock In'!D:D,$C857,'Stock In'!E:E,$D857) / SUMIFS('Stock In'!H:H,'Stock In'!B:B,$A857,'Stock In'!C:C,$B857,'Stock In'!D:D,$C857,'Stock In'!E:E,$D857), 0)</f>
        <v>0</v>
      </c>
      <c r="K857" s="82">
        <f t="shared" si="3"/>
        <v>0</v>
      </c>
    </row>
    <row r="858">
      <c r="A858" s="80"/>
      <c r="B858" s="80"/>
      <c r="C858" s="80"/>
      <c r="D858" s="80"/>
      <c r="E858" s="82">
        <f>IFERROR(SUMIFS('Stock In'!F:F,'Stock In'!B:B,$A858,'Stock In'!C:C,$B858,'Stock In'!D:D,$C858,'Stock In'!E:E,$D858),0)</f>
        <v>0</v>
      </c>
      <c r="F858" s="82">
        <f>IFERROR(SUMIFS(Issues!H:H, Issues!F:F, $A858, Issues!C:C, $B858, Issues!D:D, $C858, Issues!E:E, $D858), 0)</f>
        <v>0</v>
      </c>
      <c r="G858" s="82">
        <f>IFERROR(SUMIFS(Returns!H:H, Returns!F:F, $A858, Returns!C:C, $B858, Returns!D:D, $C858, Returns!E:E, $D858), 0)</f>
        <v>0</v>
      </c>
      <c r="H858" s="82">
        <f t="shared" si="1"/>
        <v>0</v>
      </c>
      <c r="I858" s="82">
        <f t="shared" si="2"/>
        <v>0</v>
      </c>
      <c r="J858" s="82">
        <f>IFERROR( SUMIFS('Stock In'!I:I,'Stock In'!B:B,$A858,'Stock In'!C:C,$B858,'Stock In'!D:D,$C858,'Stock In'!E:E,$D858) / SUMIFS('Stock In'!H:H,'Stock In'!B:B,$A858,'Stock In'!C:C,$B858,'Stock In'!D:D,$C858,'Stock In'!E:E,$D858), 0)</f>
        <v>0</v>
      </c>
      <c r="K858" s="82">
        <f t="shared" si="3"/>
        <v>0</v>
      </c>
    </row>
    <row r="859">
      <c r="A859" s="80"/>
      <c r="B859" s="80"/>
      <c r="C859" s="80"/>
      <c r="D859" s="80"/>
      <c r="E859" s="82">
        <f>IFERROR(SUMIFS('Stock In'!F:F,'Stock In'!B:B,$A859,'Stock In'!C:C,$B859,'Stock In'!D:D,$C859,'Stock In'!E:E,$D859),0)</f>
        <v>0</v>
      </c>
      <c r="F859" s="82">
        <f>IFERROR(SUMIFS(Issues!H:H, Issues!F:F, $A859, Issues!C:C, $B859, Issues!D:D, $C859, Issues!E:E, $D859), 0)</f>
        <v>0</v>
      </c>
      <c r="G859" s="82">
        <f>IFERROR(SUMIFS(Returns!H:H, Returns!F:F, $A859, Returns!C:C, $B859, Returns!D:D, $C859, Returns!E:E, $D859), 0)</f>
        <v>0</v>
      </c>
      <c r="H859" s="82">
        <f t="shared" si="1"/>
        <v>0</v>
      </c>
      <c r="I859" s="82">
        <f t="shared" si="2"/>
        <v>0</v>
      </c>
      <c r="J859" s="82">
        <f>IFERROR( SUMIFS('Stock In'!I:I,'Stock In'!B:B,$A859,'Stock In'!C:C,$B859,'Stock In'!D:D,$C859,'Stock In'!E:E,$D859) / SUMIFS('Stock In'!H:H,'Stock In'!B:B,$A859,'Stock In'!C:C,$B859,'Stock In'!D:D,$C859,'Stock In'!E:E,$D859), 0)</f>
        <v>0</v>
      </c>
      <c r="K859" s="82">
        <f t="shared" si="3"/>
        <v>0</v>
      </c>
    </row>
    <row r="860">
      <c r="A860" s="80"/>
      <c r="B860" s="80"/>
      <c r="C860" s="80"/>
      <c r="D860" s="80"/>
      <c r="E860" s="82">
        <f>IFERROR(SUMIFS('Stock In'!F:F,'Stock In'!B:B,$A860,'Stock In'!C:C,$B860,'Stock In'!D:D,$C860,'Stock In'!E:E,$D860),0)</f>
        <v>0</v>
      </c>
      <c r="F860" s="82">
        <f>IFERROR(SUMIFS(Issues!H:H, Issues!F:F, $A860, Issues!C:C, $B860, Issues!D:D, $C860, Issues!E:E, $D860), 0)</f>
        <v>0</v>
      </c>
      <c r="G860" s="82">
        <f>IFERROR(SUMIFS(Returns!H:H, Returns!F:F, $A860, Returns!C:C, $B860, Returns!D:D, $C860, Returns!E:E, $D860), 0)</f>
        <v>0</v>
      </c>
      <c r="H860" s="82">
        <f t="shared" si="1"/>
        <v>0</v>
      </c>
      <c r="I860" s="82">
        <f t="shared" si="2"/>
        <v>0</v>
      </c>
      <c r="J860" s="82">
        <f>IFERROR( SUMIFS('Stock In'!I:I,'Stock In'!B:B,$A860,'Stock In'!C:C,$B860,'Stock In'!D:D,$C860,'Stock In'!E:E,$D860) / SUMIFS('Stock In'!H:H,'Stock In'!B:B,$A860,'Stock In'!C:C,$B860,'Stock In'!D:D,$C860,'Stock In'!E:E,$D860), 0)</f>
        <v>0</v>
      </c>
      <c r="K860" s="82">
        <f t="shared" si="3"/>
        <v>0</v>
      </c>
    </row>
    <row r="861">
      <c r="A861" s="80"/>
      <c r="B861" s="80"/>
      <c r="C861" s="80"/>
      <c r="D861" s="80"/>
      <c r="E861" s="82">
        <f>IFERROR(SUMIFS('Stock In'!F:F,'Stock In'!B:B,$A861,'Stock In'!C:C,$B861,'Stock In'!D:D,$C861,'Stock In'!E:E,$D861),0)</f>
        <v>0</v>
      </c>
      <c r="F861" s="82">
        <f>IFERROR(SUMIFS(Issues!H:H, Issues!F:F, $A861, Issues!C:C, $B861, Issues!D:D, $C861, Issues!E:E, $D861), 0)</f>
        <v>0</v>
      </c>
      <c r="G861" s="82">
        <f>IFERROR(SUMIFS(Returns!H:H, Returns!F:F, $A861, Returns!C:C, $B861, Returns!D:D, $C861, Returns!E:E, $D861), 0)</f>
        <v>0</v>
      </c>
      <c r="H861" s="82">
        <f t="shared" si="1"/>
        <v>0</v>
      </c>
      <c r="I861" s="82">
        <f t="shared" si="2"/>
        <v>0</v>
      </c>
      <c r="J861" s="82">
        <f>IFERROR( SUMIFS('Stock In'!I:I,'Stock In'!B:B,$A861,'Stock In'!C:C,$B861,'Stock In'!D:D,$C861,'Stock In'!E:E,$D861) / SUMIFS('Stock In'!H:H,'Stock In'!B:B,$A861,'Stock In'!C:C,$B861,'Stock In'!D:D,$C861,'Stock In'!E:E,$D861), 0)</f>
        <v>0</v>
      </c>
      <c r="K861" s="82">
        <f t="shared" si="3"/>
        <v>0</v>
      </c>
    </row>
    <row r="862">
      <c r="A862" s="80"/>
      <c r="B862" s="80"/>
      <c r="C862" s="80"/>
      <c r="D862" s="80"/>
      <c r="E862" s="82">
        <f>IFERROR(SUMIFS('Stock In'!F:F,'Stock In'!B:B,$A862,'Stock In'!C:C,$B862,'Stock In'!D:D,$C862,'Stock In'!E:E,$D862),0)</f>
        <v>0</v>
      </c>
      <c r="F862" s="82">
        <f>IFERROR(SUMIFS(Issues!H:H, Issues!F:F, $A862, Issues!C:C, $B862, Issues!D:D, $C862, Issues!E:E, $D862), 0)</f>
        <v>0</v>
      </c>
      <c r="G862" s="82">
        <f>IFERROR(SUMIFS(Returns!H:H, Returns!F:F, $A862, Returns!C:C, $B862, Returns!D:D, $C862, Returns!E:E, $D862), 0)</f>
        <v>0</v>
      </c>
      <c r="H862" s="82">
        <f t="shared" si="1"/>
        <v>0</v>
      </c>
      <c r="I862" s="82">
        <f t="shared" si="2"/>
        <v>0</v>
      </c>
      <c r="J862" s="82">
        <f>IFERROR( SUMIFS('Stock In'!I:I,'Stock In'!B:B,$A862,'Stock In'!C:C,$B862,'Stock In'!D:D,$C862,'Stock In'!E:E,$D862) / SUMIFS('Stock In'!H:H,'Stock In'!B:B,$A862,'Stock In'!C:C,$B862,'Stock In'!D:D,$C862,'Stock In'!E:E,$D862), 0)</f>
        <v>0</v>
      </c>
      <c r="K862" s="82">
        <f t="shared" si="3"/>
        <v>0</v>
      </c>
    </row>
    <row r="863">
      <c r="A863" s="80"/>
      <c r="B863" s="80"/>
      <c r="C863" s="80"/>
      <c r="D863" s="80"/>
      <c r="E863" s="82">
        <f>IFERROR(SUMIFS('Stock In'!F:F,'Stock In'!B:B,$A863,'Stock In'!C:C,$B863,'Stock In'!D:D,$C863,'Stock In'!E:E,$D863),0)</f>
        <v>0</v>
      </c>
      <c r="F863" s="82">
        <f>IFERROR(SUMIFS(Issues!H:H, Issues!F:F, $A863, Issues!C:C, $B863, Issues!D:D, $C863, Issues!E:E, $D863), 0)</f>
        <v>0</v>
      </c>
      <c r="G863" s="82">
        <f>IFERROR(SUMIFS(Returns!H:H, Returns!F:F, $A863, Returns!C:C, $B863, Returns!D:D, $C863, Returns!E:E, $D863), 0)</f>
        <v>0</v>
      </c>
      <c r="H863" s="82">
        <f t="shared" si="1"/>
        <v>0</v>
      </c>
      <c r="I863" s="82">
        <f t="shared" si="2"/>
        <v>0</v>
      </c>
      <c r="J863" s="82">
        <f>IFERROR( SUMIFS('Stock In'!I:I,'Stock In'!B:B,$A863,'Stock In'!C:C,$B863,'Stock In'!D:D,$C863,'Stock In'!E:E,$D863) / SUMIFS('Stock In'!H:H,'Stock In'!B:B,$A863,'Stock In'!C:C,$B863,'Stock In'!D:D,$C863,'Stock In'!E:E,$D863), 0)</f>
        <v>0</v>
      </c>
      <c r="K863" s="82">
        <f t="shared" si="3"/>
        <v>0</v>
      </c>
    </row>
    <row r="864">
      <c r="A864" s="80"/>
      <c r="B864" s="80"/>
      <c r="C864" s="80"/>
      <c r="D864" s="80"/>
      <c r="E864" s="82">
        <f>IFERROR(SUMIFS('Stock In'!F:F,'Stock In'!B:B,$A864,'Stock In'!C:C,$B864,'Stock In'!D:D,$C864,'Stock In'!E:E,$D864),0)</f>
        <v>0</v>
      </c>
      <c r="F864" s="82">
        <f>IFERROR(SUMIFS(Issues!H:H, Issues!F:F, $A864, Issues!C:C, $B864, Issues!D:D, $C864, Issues!E:E, $D864), 0)</f>
        <v>0</v>
      </c>
      <c r="G864" s="82">
        <f>IFERROR(SUMIFS(Returns!H:H, Returns!F:F, $A864, Returns!C:C, $B864, Returns!D:D, $C864, Returns!E:E, $D864), 0)</f>
        <v>0</v>
      </c>
      <c r="H864" s="82">
        <f t="shared" si="1"/>
        <v>0</v>
      </c>
      <c r="I864" s="82">
        <f t="shared" si="2"/>
        <v>0</v>
      </c>
      <c r="J864" s="82">
        <f>IFERROR( SUMIFS('Stock In'!I:I,'Stock In'!B:B,$A864,'Stock In'!C:C,$B864,'Stock In'!D:D,$C864,'Stock In'!E:E,$D864) / SUMIFS('Stock In'!H:H,'Stock In'!B:B,$A864,'Stock In'!C:C,$B864,'Stock In'!D:D,$C864,'Stock In'!E:E,$D864), 0)</f>
        <v>0</v>
      </c>
      <c r="K864" s="82">
        <f t="shared" si="3"/>
        <v>0</v>
      </c>
    </row>
    <row r="865">
      <c r="A865" s="80"/>
      <c r="B865" s="80"/>
      <c r="C865" s="80"/>
      <c r="D865" s="80"/>
      <c r="E865" s="82">
        <f>IFERROR(SUMIFS('Stock In'!F:F,'Stock In'!B:B,$A865,'Stock In'!C:C,$B865,'Stock In'!D:D,$C865,'Stock In'!E:E,$D865),0)</f>
        <v>0</v>
      </c>
      <c r="F865" s="82">
        <f>IFERROR(SUMIFS(Issues!H:H, Issues!F:F, $A865, Issues!C:C, $B865, Issues!D:D, $C865, Issues!E:E, $D865), 0)</f>
        <v>0</v>
      </c>
      <c r="G865" s="82">
        <f>IFERROR(SUMIFS(Returns!H:H, Returns!F:F, $A865, Returns!C:C, $B865, Returns!D:D, $C865, Returns!E:E, $D865), 0)</f>
        <v>0</v>
      </c>
      <c r="H865" s="82">
        <f t="shared" si="1"/>
        <v>0</v>
      </c>
      <c r="I865" s="82">
        <f t="shared" si="2"/>
        <v>0</v>
      </c>
      <c r="J865" s="82">
        <f>IFERROR( SUMIFS('Stock In'!I:I,'Stock In'!B:B,$A865,'Stock In'!C:C,$B865,'Stock In'!D:D,$C865,'Stock In'!E:E,$D865) / SUMIFS('Stock In'!H:H,'Stock In'!B:B,$A865,'Stock In'!C:C,$B865,'Stock In'!D:D,$C865,'Stock In'!E:E,$D865), 0)</f>
        <v>0</v>
      </c>
      <c r="K865" s="82">
        <f t="shared" si="3"/>
        <v>0</v>
      </c>
    </row>
    <row r="866">
      <c r="A866" s="80"/>
      <c r="B866" s="80"/>
      <c r="C866" s="80"/>
      <c r="D866" s="80"/>
      <c r="E866" s="82">
        <f>IFERROR(SUMIFS('Stock In'!F:F,'Stock In'!B:B,$A866,'Stock In'!C:C,$B866,'Stock In'!D:D,$C866,'Stock In'!E:E,$D866),0)</f>
        <v>0</v>
      </c>
      <c r="F866" s="82">
        <f>IFERROR(SUMIFS(Issues!H:H, Issues!F:F, $A866, Issues!C:C, $B866, Issues!D:D, $C866, Issues!E:E, $D866), 0)</f>
        <v>0</v>
      </c>
      <c r="G866" s="82">
        <f>IFERROR(SUMIFS(Returns!H:H, Returns!F:F, $A866, Returns!C:C, $B866, Returns!D:D, $C866, Returns!E:E, $D866), 0)</f>
        <v>0</v>
      </c>
      <c r="H866" s="82">
        <f t="shared" si="1"/>
        <v>0</v>
      </c>
      <c r="I866" s="82">
        <f t="shared" si="2"/>
        <v>0</v>
      </c>
      <c r="J866" s="82">
        <f>IFERROR( SUMIFS('Stock In'!I:I,'Stock In'!B:B,$A866,'Stock In'!C:C,$B866,'Stock In'!D:D,$C866,'Stock In'!E:E,$D866) / SUMIFS('Stock In'!H:H,'Stock In'!B:B,$A866,'Stock In'!C:C,$B866,'Stock In'!D:D,$C866,'Stock In'!E:E,$D866), 0)</f>
        <v>0</v>
      </c>
      <c r="K866" s="82">
        <f t="shared" si="3"/>
        <v>0</v>
      </c>
    </row>
    <row r="867">
      <c r="A867" s="80"/>
      <c r="B867" s="80"/>
      <c r="C867" s="80"/>
      <c r="D867" s="80"/>
      <c r="E867" s="82">
        <f>IFERROR(SUMIFS('Stock In'!F:F,'Stock In'!B:B,$A867,'Stock In'!C:C,$B867,'Stock In'!D:D,$C867,'Stock In'!E:E,$D867),0)</f>
        <v>0</v>
      </c>
      <c r="F867" s="82">
        <f>IFERROR(SUMIFS(Issues!H:H, Issues!F:F, $A867, Issues!C:C, $B867, Issues!D:D, $C867, Issues!E:E, $D867), 0)</f>
        <v>0</v>
      </c>
      <c r="G867" s="82">
        <f>IFERROR(SUMIFS(Returns!H:H, Returns!F:F, $A867, Returns!C:C, $B867, Returns!D:D, $C867, Returns!E:E, $D867), 0)</f>
        <v>0</v>
      </c>
      <c r="H867" s="82">
        <f t="shared" si="1"/>
        <v>0</v>
      </c>
      <c r="I867" s="82">
        <f t="shared" si="2"/>
        <v>0</v>
      </c>
      <c r="J867" s="82">
        <f>IFERROR( SUMIFS('Stock In'!I:I,'Stock In'!B:B,$A867,'Stock In'!C:C,$B867,'Stock In'!D:D,$C867,'Stock In'!E:E,$D867) / SUMIFS('Stock In'!H:H,'Stock In'!B:B,$A867,'Stock In'!C:C,$B867,'Stock In'!D:D,$C867,'Stock In'!E:E,$D867), 0)</f>
        <v>0</v>
      </c>
      <c r="K867" s="82">
        <f t="shared" si="3"/>
        <v>0</v>
      </c>
    </row>
    <row r="868">
      <c r="A868" s="80"/>
      <c r="B868" s="80"/>
      <c r="C868" s="80"/>
      <c r="D868" s="80"/>
      <c r="E868" s="82">
        <f>IFERROR(SUMIFS('Stock In'!F:F,'Stock In'!B:B,$A868,'Stock In'!C:C,$B868,'Stock In'!D:D,$C868,'Stock In'!E:E,$D868),0)</f>
        <v>0</v>
      </c>
      <c r="F868" s="82">
        <f>IFERROR(SUMIFS(Issues!H:H, Issues!F:F, $A868, Issues!C:C, $B868, Issues!D:D, $C868, Issues!E:E, $D868), 0)</f>
        <v>0</v>
      </c>
      <c r="G868" s="82">
        <f>IFERROR(SUMIFS(Returns!H:H, Returns!F:F, $A868, Returns!C:C, $B868, Returns!D:D, $C868, Returns!E:E, $D868), 0)</f>
        <v>0</v>
      </c>
      <c r="H868" s="82">
        <f t="shared" si="1"/>
        <v>0</v>
      </c>
      <c r="I868" s="82">
        <f t="shared" si="2"/>
        <v>0</v>
      </c>
      <c r="J868" s="82">
        <f>IFERROR( SUMIFS('Stock In'!I:I,'Stock In'!B:B,$A868,'Stock In'!C:C,$B868,'Stock In'!D:D,$C868,'Stock In'!E:E,$D868) / SUMIFS('Stock In'!H:H,'Stock In'!B:B,$A868,'Stock In'!C:C,$B868,'Stock In'!D:D,$C868,'Stock In'!E:E,$D868), 0)</f>
        <v>0</v>
      </c>
      <c r="K868" s="82">
        <f t="shared" si="3"/>
        <v>0</v>
      </c>
    </row>
    <row r="869">
      <c r="A869" s="80"/>
      <c r="B869" s="80"/>
      <c r="C869" s="80"/>
      <c r="D869" s="80"/>
      <c r="E869" s="82">
        <f>IFERROR(SUMIFS('Stock In'!F:F,'Stock In'!B:B,$A869,'Stock In'!C:C,$B869,'Stock In'!D:D,$C869,'Stock In'!E:E,$D869),0)</f>
        <v>0</v>
      </c>
      <c r="F869" s="82">
        <f>IFERROR(SUMIFS(Issues!H:H, Issues!F:F, $A869, Issues!C:C, $B869, Issues!D:D, $C869, Issues!E:E, $D869), 0)</f>
        <v>0</v>
      </c>
      <c r="G869" s="82">
        <f>IFERROR(SUMIFS(Returns!H:H, Returns!F:F, $A869, Returns!C:C, $B869, Returns!D:D, $C869, Returns!E:E, $D869), 0)</f>
        <v>0</v>
      </c>
      <c r="H869" s="82">
        <f t="shared" si="1"/>
        <v>0</v>
      </c>
      <c r="I869" s="82">
        <f t="shared" si="2"/>
        <v>0</v>
      </c>
      <c r="J869" s="82">
        <f>IFERROR( SUMIFS('Stock In'!I:I,'Stock In'!B:B,$A869,'Stock In'!C:C,$B869,'Stock In'!D:D,$C869,'Stock In'!E:E,$D869) / SUMIFS('Stock In'!H:H,'Stock In'!B:B,$A869,'Stock In'!C:C,$B869,'Stock In'!D:D,$C869,'Stock In'!E:E,$D869), 0)</f>
        <v>0</v>
      </c>
      <c r="K869" s="82">
        <f t="shared" si="3"/>
        <v>0</v>
      </c>
    </row>
    <row r="870">
      <c r="A870" s="80"/>
      <c r="B870" s="80"/>
      <c r="C870" s="80"/>
      <c r="D870" s="80"/>
      <c r="E870" s="82">
        <f>IFERROR(SUMIFS('Stock In'!F:F,'Stock In'!B:B,$A870,'Stock In'!C:C,$B870,'Stock In'!D:D,$C870,'Stock In'!E:E,$D870),0)</f>
        <v>0</v>
      </c>
      <c r="F870" s="82">
        <f>IFERROR(SUMIFS(Issues!H:H, Issues!F:F, $A870, Issues!C:C, $B870, Issues!D:D, $C870, Issues!E:E, $D870), 0)</f>
        <v>0</v>
      </c>
      <c r="G870" s="82">
        <f>IFERROR(SUMIFS(Returns!H:H, Returns!F:F, $A870, Returns!C:C, $B870, Returns!D:D, $C870, Returns!E:E, $D870), 0)</f>
        <v>0</v>
      </c>
      <c r="H870" s="82">
        <f t="shared" si="1"/>
        <v>0</v>
      </c>
      <c r="I870" s="82">
        <f t="shared" si="2"/>
        <v>0</v>
      </c>
      <c r="J870" s="82">
        <f>IFERROR( SUMIFS('Stock In'!I:I,'Stock In'!B:B,$A870,'Stock In'!C:C,$B870,'Stock In'!D:D,$C870,'Stock In'!E:E,$D870) / SUMIFS('Stock In'!H:H,'Stock In'!B:B,$A870,'Stock In'!C:C,$B870,'Stock In'!D:D,$C870,'Stock In'!E:E,$D870), 0)</f>
        <v>0</v>
      </c>
      <c r="K870" s="82">
        <f t="shared" si="3"/>
        <v>0</v>
      </c>
    </row>
    <row r="871">
      <c r="A871" s="80"/>
      <c r="B871" s="80"/>
      <c r="C871" s="80"/>
      <c r="D871" s="80"/>
      <c r="E871" s="82">
        <f>IFERROR(SUMIFS('Stock In'!F:F,'Stock In'!B:B,$A871,'Stock In'!C:C,$B871,'Stock In'!D:D,$C871,'Stock In'!E:E,$D871),0)</f>
        <v>0</v>
      </c>
      <c r="F871" s="82">
        <f>IFERROR(SUMIFS(Issues!H:H, Issues!F:F, $A871, Issues!C:C, $B871, Issues!D:D, $C871, Issues!E:E, $D871), 0)</f>
        <v>0</v>
      </c>
      <c r="G871" s="82">
        <f>IFERROR(SUMIFS(Returns!H:H, Returns!F:F, $A871, Returns!C:C, $B871, Returns!D:D, $C871, Returns!E:E, $D871), 0)</f>
        <v>0</v>
      </c>
      <c r="H871" s="82">
        <f t="shared" si="1"/>
        <v>0</v>
      </c>
      <c r="I871" s="82">
        <f t="shared" si="2"/>
        <v>0</v>
      </c>
      <c r="J871" s="82">
        <f>IFERROR( SUMIFS('Stock In'!I:I,'Stock In'!B:B,$A871,'Stock In'!C:C,$B871,'Stock In'!D:D,$C871,'Stock In'!E:E,$D871) / SUMIFS('Stock In'!H:H,'Stock In'!B:B,$A871,'Stock In'!C:C,$B871,'Stock In'!D:D,$C871,'Stock In'!E:E,$D871), 0)</f>
        <v>0</v>
      </c>
      <c r="K871" s="82">
        <f t="shared" si="3"/>
        <v>0</v>
      </c>
    </row>
    <row r="872">
      <c r="A872" s="80"/>
      <c r="B872" s="80"/>
      <c r="C872" s="80"/>
      <c r="D872" s="80"/>
      <c r="E872" s="82">
        <f>IFERROR(SUMIFS('Stock In'!F:F,'Stock In'!B:B,$A872,'Stock In'!C:C,$B872,'Stock In'!D:D,$C872,'Stock In'!E:E,$D872),0)</f>
        <v>0</v>
      </c>
      <c r="F872" s="82">
        <f>IFERROR(SUMIFS(Issues!H:H, Issues!F:F, $A872, Issues!C:C, $B872, Issues!D:D, $C872, Issues!E:E, $D872), 0)</f>
        <v>0</v>
      </c>
      <c r="G872" s="82">
        <f>IFERROR(SUMIFS(Returns!H:H, Returns!F:F, $A872, Returns!C:C, $B872, Returns!D:D, $C872, Returns!E:E, $D872), 0)</f>
        <v>0</v>
      </c>
      <c r="H872" s="82">
        <f t="shared" si="1"/>
        <v>0</v>
      </c>
      <c r="I872" s="82">
        <f t="shared" si="2"/>
        <v>0</v>
      </c>
      <c r="J872" s="82">
        <f>IFERROR( SUMIFS('Stock In'!I:I,'Stock In'!B:B,$A872,'Stock In'!C:C,$B872,'Stock In'!D:D,$C872,'Stock In'!E:E,$D872) / SUMIFS('Stock In'!H:H,'Stock In'!B:B,$A872,'Stock In'!C:C,$B872,'Stock In'!D:D,$C872,'Stock In'!E:E,$D872), 0)</f>
        <v>0</v>
      </c>
      <c r="K872" s="82">
        <f t="shared" si="3"/>
        <v>0</v>
      </c>
    </row>
    <row r="873">
      <c r="A873" s="80"/>
      <c r="B873" s="80"/>
      <c r="C873" s="80"/>
      <c r="D873" s="80"/>
      <c r="E873" s="82">
        <f>IFERROR(SUMIFS('Stock In'!F:F,'Stock In'!B:B,$A873,'Stock In'!C:C,$B873,'Stock In'!D:D,$C873,'Stock In'!E:E,$D873),0)</f>
        <v>0</v>
      </c>
      <c r="F873" s="82">
        <f>IFERROR(SUMIFS(Issues!H:H, Issues!F:F, $A873, Issues!C:C, $B873, Issues!D:D, $C873, Issues!E:E, $D873), 0)</f>
        <v>0</v>
      </c>
      <c r="G873" s="82">
        <f>IFERROR(SUMIFS(Returns!H:H, Returns!F:F, $A873, Returns!C:C, $B873, Returns!D:D, $C873, Returns!E:E, $D873), 0)</f>
        <v>0</v>
      </c>
      <c r="H873" s="82">
        <f t="shared" si="1"/>
        <v>0</v>
      </c>
      <c r="I873" s="82">
        <f t="shared" si="2"/>
        <v>0</v>
      </c>
      <c r="J873" s="82">
        <f>IFERROR( SUMIFS('Stock In'!I:I,'Stock In'!B:B,$A873,'Stock In'!C:C,$B873,'Stock In'!D:D,$C873,'Stock In'!E:E,$D873) / SUMIFS('Stock In'!H:H,'Stock In'!B:B,$A873,'Stock In'!C:C,$B873,'Stock In'!D:D,$C873,'Stock In'!E:E,$D873), 0)</f>
        <v>0</v>
      </c>
      <c r="K873" s="82">
        <f t="shared" si="3"/>
        <v>0</v>
      </c>
    </row>
    <row r="874">
      <c r="A874" s="80"/>
      <c r="B874" s="80"/>
      <c r="C874" s="80"/>
      <c r="D874" s="80"/>
      <c r="E874" s="82">
        <f>IFERROR(SUMIFS('Stock In'!F:F,'Stock In'!B:B,$A874,'Stock In'!C:C,$B874,'Stock In'!D:D,$C874,'Stock In'!E:E,$D874),0)</f>
        <v>0</v>
      </c>
      <c r="F874" s="82">
        <f>IFERROR(SUMIFS(Issues!H:H, Issues!F:F, $A874, Issues!C:C, $B874, Issues!D:D, $C874, Issues!E:E, $D874), 0)</f>
        <v>0</v>
      </c>
      <c r="G874" s="82">
        <f>IFERROR(SUMIFS(Returns!H:H, Returns!F:F, $A874, Returns!C:C, $B874, Returns!D:D, $C874, Returns!E:E, $D874), 0)</f>
        <v>0</v>
      </c>
      <c r="H874" s="82">
        <f t="shared" si="1"/>
        <v>0</v>
      </c>
      <c r="I874" s="82">
        <f t="shared" si="2"/>
        <v>0</v>
      </c>
      <c r="J874" s="82">
        <f>IFERROR( SUMIFS('Stock In'!I:I,'Stock In'!B:B,$A874,'Stock In'!C:C,$B874,'Stock In'!D:D,$C874,'Stock In'!E:E,$D874) / SUMIFS('Stock In'!H:H,'Stock In'!B:B,$A874,'Stock In'!C:C,$B874,'Stock In'!D:D,$C874,'Stock In'!E:E,$D874), 0)</f>
        <v>0</v>
      </c>
      <c r="K874" s="82">
        <f t="shared" si="3"/>
        <v>0</v>
      </c>
    </row>
    <row r="875">
      <c r="A875" s="80"/>
      <c r="B875" s="80"/>
      <c r="C875" s="80"/>
      <c r="D875" s="80"/>
      <c r="E875" s="82">
        <f>IFERROR(SUMIFS('Stock In'!F:F,'Stock In'!B:B,$A875,'Stock In'!C:C,$B875,'Stock In'!D:D,$C875,'Stock In'!E:E,$D875),0)</f>
        <v>0</v>
      </c>
      <c r="F875" s="82">
        <f>IFERROR(SUMIFS(Issues!H:H, Issues!F:F, $A875, Issues!C:C, $B875, Issues!D:D, $C875, Issues!E:E, $D875), 0)</f>
        <v>0</v>
      </c>
      <c r="G875" s="82">
        <f>IFERROR(SUMIFS(Returns!H:H, Returns!F:F, $A875, Returns!C:C, $B875, Returns!D:D, $C875, Returns!E:E, $D875), 0)</f>
        <v>0</v>
      </c>
      <c r="H875" s="82">
        <f t="shared" si="1"/>
        <v>0</v>
      </c>
      <c r="I875" s="82">
        <f t="shared" si="2"/>
        <v>0</v>
      </c>
      <c r="J875" s="82">
        <f>IFERROR( SUMIFS('Stock In'!I:I,'Stock In'!B:B,$A875,'Stock In'!C:C,$B875,'Stock In'!D:D,$C875,'Stock In'!E:E,$D875) / SUMIFS('Stock In'!H:H,'Stock In'!B:B,$A875,'Stock In'!C:C,$B875,'Stock In'!D:D,$C875,'Stock In'!E:E,$D875), 0)</f>
        <v>0</v>
      </c>
      <c r="K875" s="82">
        <f t="shared" si="3"/>
        <v>0</v>
      </c>
    </row>
    <row r="876">
      <c r="A876" s="80"/>
      <c r="B876" s="80"/>
      <c r="C876" s="80"/>
      <c r="D876" s="80"/>
      <c r="E876" s="82">
        <f>IFERROR(SUMIFS('Stock In'!F:F,'Stock In'!B:B,$A876,'Stock In'!C:C,$B876,'Stock In'!D:D,$C876,'Stock In'!E:E,$D876),0)</f>
        <v>0</v>
      </c>
      <c r="F876" s="82">
        <f>IFERROR(SUMIFS(Issues!H:H, Issues!F:F, $A876, Issues!C:C, $B876, Issues!D:D, $C876, Issues!E:E, $D876), 0)</f>
        <v>0</v>
      </c>
      <c r="G876" s="82">
        <f>IFERROR(SUMIFS(Returns!H:H, Returns!F:F, $A876, Returns!C:C, $B876, Returns!D:D, $C876, Returns!E:E, $D876), 0)</f>
        <v>0</v>
      </c>
      <c r="H876" s="82">
        <f t="shared" si="1"/>
        <v>0</v>
      </c>
      <c r="I876" s="82">
        <f t="shared" si="2"/>
        <v>0</v>
      </c>
      <c r="J876" s="82">
        <f>IFERROR( SUMIFS('Stock In'!I:I,'Stock In'!B:B,$A876,'Stock In'!C:C,$B876,'Stock In'!D:D,$C876,'Stock In'!E:E,$D876) / SUMIFS('Stock In'!H:H,'Stock In'!B:B,$A876,'Stock In'!C:C,$B876,'Stock In'!D:D,$C876,'Stock In'!E:E,$D876), 0)</f>
        <v>0</v>
      </c>
      <c r="K876" s="82">
        <f t="shared" si="3"/>
        <v>0</v>
      </c>
    </row>
    <row r="877">
      <c r="A877" s="80"/>
      <c r="B877" s="80"/>
      <c r="C877" s="80"/>
      <c r="D877" s="80"/>
      <c r="E877" s="82">
        <f>IFERROR(SUMIFS('Stock In'!F:F,'Stock In'!B:B,$A877,'Stock In'!C:C,$B877,'Stock In'!D:D,$C877,'Stock In'!E:E,$D877),0)</f>
        <v>0</v>
      </c>
      <c r="F877" s="82">
        <f>IFERROR(SUMIFS(Issues!H:H, Issues!F:F, $A877, Issues!C:C, $B877, Issues!D:D, $C877, Issues!E:E, $D877), 0)</f>
        <v>0</v>
      </c>
      <c r="G877" s="82">
        <f>IFERROR(SUMIFS(Returns!H:H, Returns!F:F, $A877, Returns!C:C, $B877, Returns!D:D, $C877, Returns!E:E, $D877), 0)</f>
        <v>0</v>
      </c>
      <c r="H877" s="82">
        <f t="shared" si="1"/>
        <v>0</v>
      </c>
      <c r="I877" s="82">
        <f t="shared" si="2"/>
        <v>0</v>
      </c>
      <c r="J877" s="82">
        <f>IFERROR( SUMIFS('Stock In'!I:I,'Stock In'!B:B,$A877,'Stock In'!C:C,$B877,'Stock In'!D:D,$C877,'Stock In'!E:E,$D877) / SUMIFS('Stock In'!H:H,'Stock In'!B:B,$A877,'Stock In'!C:C,$B877,'Stock In'!D:D,$C877,'Stock In'!E:E,$D877), 0)</f>
        <v>0</v>
      </c>
      <c r="K877" s="82">
        <f t="shared" si="3"/>
        <v>0</v>
      </c>
    </row>
    <row r="878">
      <c r="A878" s="80"/>
      <c r="B878" s="80"/>
      <c r="C878" s="80"/>
      <c r="D878" s="80"/>
      <c r="E878" s="82">
        <f>IFERROR(SUMIFS('Stock In'!F:F,'Stock In'!B:B,$A878,'Stock In'!C:C,$B878,'Stock In'!D:D,$C878,'Stock In'!E:E,$D878),0)</f>
        <v>0</v>
      </c>
      <c r="F878" s="82">
        <f>IFERROR(SUMIFS(Issues!H:H, Issues!F:F, $A878, Issues!C:C, $B878, Issues!D:D, $C878, Issues!E:E, $D878), 0)</f>
        <v>0</v>
      </c>
      <c r="G878" s="82">
        <f>IFERROR(SUMIFS(Returns!H:H, Returns!F:F, $A878, Returns!C:C, $B878, Returns!D:D, $C878, Returns!E:E, $D878), 0)</f>
        <v>0</v>
      </c>
      <c r="H878" s="82">
        <f t="shared" si="1"/>
        <v>0</v>
      </c>
      <c r="I878" s="82">
        <f t="shared" si="2"/>
        <v>0</v>
      </c>
      <c r="J878" s="82">
        <f>IFERROR( SUMIFS('Stock In'!I:I,'Stock In'!B:B,$A878,'Stock In'!C:C,$B878,'Stock In'!D:D,$C878,'Stock In'!E:E,$D878) / SUMIFS('Stock In'!H:H,'Stock In'!B:B,$A878,'Stock In'!C:C,$B878,'Stock In'!D:D,$C878,'Stock In'!E:E,$D878), 0)</f>
        <v>0</v>
      </c>
      <c r="K878" s="82">
        <f t="shared" si="3"/>
        <v>0</v>
      </c>
    </row>
    <row r="879">
      <c r="A879" s="80"/>
      <c r="B879" s="80"/>
      <c r="C879" s="80"/>
      <c r="D879" s="80"/>
      <c r="E879" s="82">
        <f>IFERROR(SUMIFS('Stock In'!F:F,'Stock In'!B:B,$A879,'Stock In'!C:C,$B879,'Stock In'!D:D,$C879,'Stock In'!E:E,$D879),0)</f>
        <v>0</v>
      </c>
      <c r="F879" s="82">
        <f>IFERROR(SUMIFS(Issues!H:H, Issues!F:F, $A879, Issues!C:C, $B879, Issues!D:D, $C879, Issues!E:E, $D879), 0)</f>
        <v>0</v>
      </c>
      <c r="G879" s="82">
        <f>IFERROR(SUMIFS(Returns!H:H, Returns!F:F, $A879, Returns!C:C, $B879, Returns!D:D, $C879, Returns!E:E, $D879), 0)</f>
        <v>0</v>
      </c>
      <c r="H879" s="82">
        <f t="shared" si="1"/>
        <v>0</v>
      </c>
      <c r="I879" s="82">
        <f t="shared" si="2"/>
        <v>0</v>
      </c>
      <c r="J879" s="82">
        <f>IFERROR( SUMIFS('Stock In'!I:I,'Stock In'!B:B,$A879,'Stock In'!C:C,$B879,'Stock In'!D:D,$C879,'Stock In'!E:E,$D879) / SUMIFS('Stock In'!H:H,'Stock In'!B:B,$A879,'Stock In'!C:C,$B879,'Stock In'!D:D,$C879,'Stock In'!E:E,$D879), 0)</f>
        <v>0</v>
      </c>
      <c r="K879" s="82">
        <f t="shared" si="3"/>
        <v>0</v>
      </c>
    </row>
    <row r="880">
      <c r="A880" s="80"/>
      <c r="B880" s="80"/>
      <c r="C880" s="80"/>
      <c r="D880" s="80"/>
      <c r="E880" s="82">
        <f>IFERROR(SUMIFS('Stock In'!F:F,'Stock In'!B:B,$A880,'Stock In'!C:C,$B880,'Stock In'!D:D,$C880,'Stock In'!E:E,$D880),0)</f>
        <v>0</v>
      </c>
      <c r="F880" s="82">
        <f>IFERROR(SUMIFS(Issues!H:H, Issues!F:F, $A880, Issues!C:C, $B880, Issues!D:D, $C880, Issues!E:E, $D880), 0)</f>
        <v>0</v>
      </c>
      <c r="G880" s="82">
        <f>IFERROR(SUMIFS(Returns!H:H, Returns!F:F, $A880, Returns!C:C, $B880, Returns!D:D, $C880, Returns!E:E, $D880), 0)</f>
        <v>0</v>
      </c>
      <c r="H880" s="82">
        <f t="shared" si="1"/>
        <v>0</v>
      </c>
      <c r="I880" s="82">
        <f t="shared" si="2"/>
        <v>0</v>
      </c>
      <c r="J880" s="82">
        <f>IFERROR( SUMIFS('Stock In'!I:I,'Stock In'!B:B,$A880,'Stock In'!C:C,$B880,'Stock In'!D:D,$C880,'Stock In'!E:E,$D880) / SUMIFS('Stock In'!H:H,'Stock In'!B:B,$A880,'Stock In'!C:C,$B880,'Stock In'!D:D,$C880,'Stock In'!E:E,$D880), 0)</f>
        <v>0</v>
      </c>
      <c r="K880" s="82">
        <f t="shared" si="3"/>
        <v>0</v>
      </c>
    </row>
    <row r="881">
      <c r="A881" s="80"/>
      <c r="B881" s="80"/>
      <c r="C881" s="80"/>
      <c r="D881" s="80"/>
      <c r="E881" s="82">
        <f>IFERROR(SUMIFS('Stock In'!F:F,'Stock In'!B:B,$A881,'Stock In'!C:C,$B881,'Stock In'!D:D,$C881,'Stock In'!E:E,$D881),0)</f>
        <v>0</v>
      </c>
      <c r="F881" s="82">
        <f>IFERROR(SUMIFS(Issues!H:H, Issues!F:F, $A881, Issues!C:C, $B881, Issues!D:D, $C881, Issues!E:E, $D881), 0)</f>
        <v>0</v>
      </c>
      <c r="G881" s="82">
        <f>IFERROR(SUMIFS(Returns!H:H, Returns!F:F, $A881, Returns!C:C, $B881, Returns!D:D, $C881, Returns!E:E, $D881), 0)</f>
        <v>0</v>
      </c>
      <c r="H881" s="82">
        <f t="shared" si="1"/>
        <v>0</v>
      </c>
      <c r="I881" s="82">
        <f t="shared" si="2"/>
        <v>0</v>
      </c>
      <c r="J881" s="82">
        <f>IFERROR( SUMIFS('Stock In'!I:I,'Stock In'!B:B,$A881,'Stock In'!C:C,$B881,'Stock In'!D:D,$C881,'Stock In'!E:E,$D881) / SUMIFS('Stock In'!H:H,'Stock In'!B:B,$A881,'Stock In'!C:C,$B881,'Stock In'!D:D,$C881,'Stock In'!E:E,$D881), 0)</f>
        <v>0</v>
      </c>
      <c r="K881" s="82">
        <f t="shared" si="3"/>
        <v>0</v>
      </c>
    </row>
    <row r="882">
      <c r="A882" s="80"/>
      <c r="B882" s="80"/>
      <c r="C882" s="80"/>
      <c r="D882" s="80"/>
      <c r="E882" s="82">
        <f>IFERROR(SUMIFS('Stock In'!F:F,'Stock In'!B:B,$A882,'Stock In'!C:C,$B882,'Stock In'!D:D,$C882,'Stock In'!E:E,$D882),0)</f>
        <v>0</v>
      </c>
      <c r="F882" s="82">
        <f>IFERROR(SUMIFS(Issues!H:H, Issues!F:F, $A882, Issues!C:C, $B882, Issues!D:D, $C882, Issues!E:E, $D882), 0)</f>
        <v>0</v>
      </c>
      <c r="G882" s="82">
        <f>IFERROR(SUMIFS(Returns!H:H, Returns!F:F, $A882, Returns!C:C, $B882, Returns!D:D, $C882, Returns!E:E, $D882), 0)</f>
        <v>0</v>
      </c>
      <c r="H882" s="82">
        <f t="shared" si="1"/>
        <v>0</v>
      </c>
      <c r="I882" s="82">
        <f t="shared" si="2"/>
        <v>0</v>
      </c>
      <c r="J882" s="82">
        <f>IFERROR( SUMIFS('Stock In'!I:I,'Stock In'!B:B,$A882,'Stock In'!C:C,$B882,'Stock In'!D:D,$C882,'Stock In'!E:E,$D882) / SUMIFS('Stock In'!H:H,'Stock In'!B:B,$A882,'Stock In'!C:C,$B882,'Stock In'!D:D,$C882,'Stock In'!E:E,$D882), 0)</f>
        <v>0</v>
      </c>
      <c r="K882" s="82">
        <f t="shared" si="3"/>
        <v>0</v>
      </c>
    </row>
    <row r="883">
      <c r="A883" s="80"/>
      <c r="B883" s="80"/>
      <c r="C883" s="80"/>
      <c r="D883" s="80"/>
      <c r="E883" s="82">
        <f>IFERROR(SUMIFS('Stock In'!F:F,'Stock In'!B:B,$A883,'Stock In'!C:C,$B883,'Stock In'!D:D,$C883,'Stock In'!E:E,$D883),0)</f>
        <v>0</v>
      </c>
      <c r="F883" s="82">
        <f>IFERROR(SUMIFS(Issues!H:H, Issues!F:F, $A883, Issues!C:C, $B883, Issues!D:D, $C883, Issues!E:E, $D883), 0)</f>
        <v>0</v>
      </c>
      <c r="G883" s="82">
        <f>IFERROR(SUMIFS(Returns!H:H, Returns!F:F, $A883, Returns!C:C, $B883, Returns!D:D, $C883, Returns!E:E, $D883), 0)</f>
        <v>0</v>
      </c>
      <c r="H883" s="82">
        <f t="shared" si="1"/>
        <v>0</v>
      </c>
      <c r="I883" s="82">
        <f t="shared" si="2"/>
        <v>0</v>
      </c>
      <c r="J883" s="82">
        <f>IFERROR( SUMIFS('Stock In'!I:I,'Stock In'!B:B,$A883,'Stock In'!C:C,$B883,'Stock In'!D:D,$C883,'Stock In'!E:E,$D883) / SUMIFS('Stock In'!H:H,'Stock In'!B:B,$A883,'Stock In'!C:C,$B883,'Stock In'!D:D,$C883,'Stock In'!E:E,$D883), 0)</f>
        <v>0</v>
      </c>
      <c r="K883" s="82">
        <f t="shared" si="3"/>
        <v>0</v>
      </c>
    </row>
    <row r="884">
      <c r="A884" s="80"/>
      <c r="B884" s="80"/>
      <c r="C884" s="80"/>
      <c r="D884" s="80"/>
      <c r="E884" s="82">
        <f>IFERROR(SUMIFS('Stock In'!F:F,'Stock In'!B:B,$A884,'Stock In'!C:C,$B884,'Stock In'!D:D,$C884,'Stock In'!E:E,$D884),0)</f>
        <v>0</v>
      </c>
      <c r="F884" s="82">
        <f>IFERROR(SUMIFS(Issues!H:H, Issues!F:F, $A884, Issues!C:C, $B884, Issues!D:D, $C884, Issues!E:E, $D884), 0)</f>
        <v>0</v>
      </c>
      <c r="G884" s="82">
        <f>IFERROR(SUMIFS(Returns!H:H, Returns!F:F, $A884, Returns!C:C, $B884, Returns!D:D, $C884, Returns!E:E, $D884), 0)</f>
        <v>0</v>
      </c>
      <c r="H884" s="82">
        <f t="shared" si="1"/>
        <v>0</v>
      </c>
      <c r="I884" s="82">
        <f t="shared" si="2"/>
        <v>0</v>
      </c>
      <c r="J884" s="82">
        <f>IFERROR( SUMIFS('Stock In'!I:I,'Stock In'!B:B,$A884,'Stock In'!C:C,$B884,'Stock In'!D:D,$C884,'Stock In'!E:E,$D884) / SUMIFS('Stock In'!H:H,'Stock In'!B:B,$A884,'Stock In'!C:C,$B884,'Stock In'!D:D,$C884,'Stock In'!E:E,$D884), 0)</f>
        <v>0</v>
      </c>
      <c r="K884" s="82">
        <f t="shared" si="3"/>
        <v>0</v>
      </c>
    </row>
    <row r="885">
      <c r="A885" s="80"/>
      <c r="B885" s="80"/>
      <c r="C885" s="80"/>
      <c r="D885" s="80"/>
      <c r="E885" s="82">
        <f>IFERROR(SUMIFS('Stock In'!F:F,'Stock In'!B:B,$A885,'Stock In'!C:C,$B885,'Stock In'!D:D,$C885,'Stock In'!E:E,$D885),0)</f>
        <v>0</v>
      </c>
      <c r="F885" s="82">
        <f>IFERROR(SUMIFS(Issues!H:H, Issues!F:F, $A885, Issues!C:C, $B885, Issues!D:D, $C885, Issues!E:E, $D885), 0)</f>
        <v>0</v>
      </c>
      <c r="G885" s="82">
        <f>IFERROR(SUMIFS(Returns!H:H, Returns!F:F, $A885, Returns!C:C, $B885, Returns!D:D, $C885, Returns!E:E, $D885), 0)</f>
        <v>0</v>
      </c>
      <c r="H885" s="82">
        <f t="shared" si="1"/>
        <v>0</v>
      </c>
      <c r="I885" s="82">
        <f t="shared" si="2"/>
        <v>0</v>
      </c>
      <c r="J885" s="82">
        <f>IFERROR( SUMIFS('Stock In'!I:I,'Stock In'!B:B,$A885,'Stock In'!C:C,$B885,'Stock In'!D:D,$C885,'Stock In'!E:E,$D885) / SUMIFS('Stock In'!H:H,'Stock In'!B:B,$A885,'Stock In'!C:C,$B885,'Stock In'!D:D,$C885,'Stock In'!E:E,$D885), 0)</f>
        <v>0</v>
      </c>
      <c r="K885" s="82">
        <f t="shared" si="3"/>
        <v>0</v>
      </c>
    </row>
    <row r="886">
      <c r="A886" s="80"/>
      <c r="B886" s="80"/>
      <c r="C886" s="80"/>
      <c r="D886" s="80"/>
      <c r="E886" s="82">
        <f>IFERROR(SUMIFS('Stock In'!F:F,'Stock In'!B:B,$A886,'Stock In'!C:C,$B886,'Stock In'!D:D,$C886,'Stock In'!E:E,$D886),0)</f>
        <v>0</v>
      </c>
      <c r="F886" s="82">
        <f>IFERROR(SUMIFS(Issues!H:H, Issues!F:F, $A886, Issues!C:C, $B886, Issues!D:D, $C886, Issues!E:E, $D886), 0)</f>
        <v>0</v>
      </c>
      <c r="G886" s="82">
        <f>IFERROR(SUMIFS(Returns!H:H, Returns!F:F, $A886, Returns!C:C, $B886, Returns!D:D, $C886, Returns!E:E, $D886), 0)</f>
        <v>0</v>
      </c>
      <c r="H886" s="82">
        <f t="shared" si="1"/>
        <v>0</v>
      </c>
      <c r="I886" s="82">
        <f t="shared" si="2"/>
        <v>0</v>
      </c>
      <c r="J886" s="82">
        <f>IFERROR( SUMIFS('Stock In'!I:I,'Stock In'!B:B,$A886,'Stock In'!C:C,$B886,'Stock In'!D:D,$C886,'Stock In'!E:E,$D886) / SUMIFS('Stock In'!H:H,'Stock In'!B:B,$A886,'Stock In'!C:C,$B886,'Stock In'!D:D,$C886,'Stock In'!E:E,$D886), 0)</f>
        <v>0</v>
      </c>
      <c r="K886" s="82">
        <f t="shared" si="3"/>
        <v>0</v>
      </c>
    </row>
    <row r="887">
      <c r="A887" s="80"/>
      <c r="B887" s="80"/>
      <c r="C887" s="80"/>
      <c r="D887" s="80"/>
      <c r="E887" s="82">
        <f>IFERROR(SUMIFS('Stock In'!F:F,'Stock In'!B:B,$A887,'Stock In'!C:C,$B887,'Stock In'!D:D,$C887,'Stock In'!E:E,$D887),0)</f>
        <v>0</v>
      </c>
      <c r="F887" s="82">
        <f>IFERROR(SUMIFS(Issues!H:H, Issues!F:F, $A887, Issues!C:C, $B887, Issues!D:D, $C887, Issues!E:E, $D887), 0)</f>
        <v>0</v>
      </c>
      <c r="G887" s="82">
        <f>IFERROR(SUMIFS(Returns!H:H, Returns!F:F, $A887, Returns!C:C, $B887, Returns!D:D, $C887, Returns!E:E, $D887), 0)</f>
        <v>0</v>
      </c>
      <c r="H887" s="82">
        <f t="shared" si="1"/>
        <v>0</v>
      </c>
      <c r="I887" s="82">
        <f t="shared" si="2"/>
        <v>0</v>
      </c>
      <c r="J887" s="82">
        <f>IFERROR( SUMIFS('Stock In'!I:I,'Stock In'!B:B,$A887,'Stock In'!C:C,$B887,'Stock In'!D:D,$C887,'Stock In'!E:E,$D887) / SUMIFS('Stock In'!H:H,'Stock In'!B:B,$A887,'Stock In'!C:C,$B887,'Stock In'!D:D,$C887,'Stock In'!E:E,$D887), 0)</f>
        <v>0</v>
      </c>
      <c r="K887" s="82">
        <f t="shared" si="3"/>
        <v>0</v>
      </c>
    </row>
    <row r="888">
      <c r="A888" s="80"/>
      <c r="B888" s="80"/>
      <c r="C888" s="80"/>
      <c r="D888" s="80"/>
      <c r="E888" s="82">
        <f>IFERROR(SUMIFS('Stock In'!F:F,'Stock In'!B:B,$A888,'Stock In'!C:C,$B888,'Stock In'!D:D,$C888,'Stock In'!E:E,$D888),0)</f>
        <v>0</v>
      </c>
      <c r="F888" s="82">
        <f>IFERROR(SUMIFS(Issues!H:H, Issues!F:F, $A888, Issues!C:C, $B888, Issues!D:D, $C888, Issues!E:E, $D888), 0)</f>
        <v>0</v>
      </c>
      <c r="G888" s="82">
        <f>IFERROR(SUMIFS(Returns!H:H, Returns!F:F, $A888, Returns!C:C, $B888, Returns!D:D, $C888, Returns!E:E, $D888), 0)</f>
        <v>0</v>
      </c>
      <c r="H888" s="82">
        <f t="shared" si="1"/>
        <v>0</v>
      </c>
      <c r="I888" s="82">
        <f t="shared" si="2"/>
        <v>0</v>
      </c>
      <c r="J888" s="82">
        <f>IFERROR( SUMIFS('Stock In'!I:I,'Stock In'!B:B,$A888,'Stock In'!C:C,$B888,'Stock In'!D:D,$C888,'Stock In'!E:E,$D888) / SUMIFS('Stock In'!H:H,'Stock In'!B:B,$A888,'Stock In'!C:C,$B888,'Stock In'!D:D,$C888,'Stock In'!E:E,$D888), 0)</f>
        <v>0</v>
      </c>
      <c r="K888" s="82">
        <f t="shared" si="3"/>
        <v>0</v>
      </c>
    </row>
    <row r="889">
      <c r="A889" s="80"/>
      <c r="B889" s="80"/>
      <c r="C889" s="80"/>
      <c r="D889" s="80"/>
      <c r="E889" s="82">
        <f>IFERROR(SUMIFS('Stock In'!F:F,'Stock In'!B:B,$A889,'Stock In'!C:C,$B889,'Stock In'!D:D,$C889,'Stock In'!E:E,$D889),0)</f>
        <v>0</v>
      </c>
      <c r="F889" s="82">
        <f>IFERROR(SUMIFS(Issues!H:H, Issues!F:F, $A889, Issues!C:C, $B889, Issues!D:D, $C889, Issues!E:E, $D889), 0)</f>
        <v>0</v>
      </c>
      <c r="G889" s="82">
        <f>IFERROR(SUMIFS(Returns!H:H, Returns!F:F, $A889, Returns!C:C, $B889, Returns!D:D, $C889, Returns!E:E, $D889), 0)</f>
        <v>0</v>
      </c>
      <c r="H889" s="82">
        <f t="shared" si="1"/>
        <v>0</v>
      </c>
      <c r="I889" s="82">
        <f t="shared" si="2"/>
        <v>0</v>
      </c>
      <c r="J889" s="82">
        <f>IFERROR( SUMIFS('Stock In'!I:I,'Stock In'!B:B,$A889,'Stock In'!C:C,$B889,'Stock In'!D:D,$C889,'Stock In'!E:E,$D889) / SUMIFS('Stock In'!H:H,'Stock In'!B:B,$A889,'Stock In'!C:C,$B889,'Stock In'!D:D,$C889,'Stock In'!E:E,$D889), 0)</f>
        <v>0</v>
      </c>
      <c r="K889" s="82">
        <f t="shared" si="3"/>
        <v>0</v>
      </c>
    </row>
    <row r="890">
      <c r="A890" s="80"/>
      <c r="B890" s="80"/>
      <c r="C890" s="80"/>
      <c r="D890" s="80"/>
      <c r="E890" s="82">
        <f>IFERROR(SUMIFS('Stock In'!F:F,'Stock In'!B:B,$A890,'Stock In'!C:C,$B890,'Stock In'!D:D,$C890,'Stock In'!E:E,$D890),0)</f>
        <v>0</v>
      </c>
      <c r="F890" s="82">
        <f>IFERROR(SUMIFS(Issues!H:H, Issues!F:F, $A890, Issues!C:C, $B890, Issues!D:D, $C890, Issues!E:E, $D890), 0)</f>
        <v>0</v>
      </c>
      <c r="G890" s="82">
        <f>IFERROR(SUMIFS(Returns!H:H, Returns!F:F, $A890, Returns!C:C, $B890, Returns!D:D, $C890, Returns!E:E, $D890), 0)</f>
        <v>0</v>
      </c>
      <c r="H890" s="82">
        <f t="shared" si="1"/>
        <v>0</v>
      </c>
      <c r="I890" s="82">
        <f t="shared" si="2"/>
        <v>0</v>
      </c>
      <c r="J890" s="82">
        <f>IFERROR( SUMIFS('Stock In'!I:I,'Stock In'!B:B,$A890,'Stock In'!C:C,$B890,'Stock In'!D:D,$C890,'Stock In'!E:E,$D890) / SUMIFS('Stock In'!H:H,'Stock In'!B:B,$A890,'Stock In'!C:C,$B890,'Stock In'!D:D,$C890,'Stock In'!E:E,$D890), 0)</f>
        <v>0</v>
      </c>
      <c r="K890" s="82">
        <f t="shared" si="3"/>
        <v>0</v>
      </c>
    </row>
    <row r="891">
      <c r="A891" s="80"/>
      <c r="B891" s="80"/>
      <c r="C891" s="80"/>
      <c r="D891" s="80"/>
      <c r="E891" s="82">
        <f>IFERROR(SUMIFS('Stock In'!F:F,'Stock In'!B:B,$A891,'Stock In'!C:C,$B891,'Stock In'!D:D,$C891,'Stock In'!E:E,$D891),0)</f>
        <v>0</v>
      </c>
      <c r="F891" s="82">
        <f>IFERROR(SUMIFS(Issues!H:H, Issues!F:F, $A891, Issues!C:C, $B891, Issues!D:D, $C891, Issues!E:E, $D891), 0)</f>
        <v>0</v>
      </c>
      <c r="G891" s="82">
        <f>IFERROR(SUMIFS(Returns!H:H, Returns!F:F, $A891, Returns!C:C, $B891, Returns!D:D, $C891, Returns!E:E, $D891), 0)</f>
        <v>0</v>
      </c>
      <c r="H891" s="82">
        <f t="shared" si="1"/>
        <v>0</v>
      </c>
      <c r="I891" s="82">
        <f t="shared" si="2"/>
        <v>0</v>
      </c>
      <c r="J891" s="82">
        <f>IFERROR( SUMIFS('Stock In'!I:I,'Stock In'!B:B,$A891,'Stock In'!C:C,$B891,'Stock In'!D:D,$C891,'Stock In'!E:E,$D891) / SUMIFS('Stock In'!H:H,'Stock In'!B:B,$A891,'Stock In'!C:C,$B891,'Stock In'!D:D,$C891,'Stock In'!E:E,$D891), 0)</f>
        <v>0</v>
      </c>
      <c r="K891" s="82">
        <f t="shared" si="3"/>
        <v>0</v>
      </c>
    </row>
    <row r="892">
      <c r="A892" s="80"/>
      <c r="B892" s="80"/>
      <c r="C892" s="80"/>
      <c r="D892" s="80"/>
      <c r="E892" s="82">
        <f>IFERROR(SUMIFS('Stock In'!F:F,'Stock In'!B:B,$A892,'Stock In'!C:C,$B892,'Stock In'!D:D,$C892,'Stock In'!E:E,$D892),0)</f>
        <v>0</v>
      </c>
      <c r="F892" s="82">
        <f>IFERROR(SUMIFS(Issues!H:H, Issues!F:F, $A892, Issues!C:C, $B892, Issues!D:D, $C892, Issues!E:E, $D892), 0)</f>
        <v>0</v>
      </c>
      <c r="G892" s="82">
        <f>IFERROR(SUMIFS(Returns!H:H, Returns!F:F, $A892, Returns!C:C, $B892, Returns!D:D, $C892, Returns!E:E, $D892), 0)</f>
        <v>0</v>
      </c>
      <c r="H892" s="82">
        <f t="shared" si="1"/>
        <v>0</v>
      </c>
      <c r="I892" s="82">
        <f t="shared" si="2"/>
        <v>0</v>
      </c>
      <c r="J892" s="82">
        <f>IFERROR( SUMIFS('Stock In'!I:I,'Stock In'!B:B,$A892,'Stock In'!C:C,$B892,'Stock In'!D:D,$C892,'Stock In'!E:E,$D892) / SUMIFS('Stock In'!H:H,'Stock In'!B:B,$A892,'Stock In'!C:C,$B892,'Stock In'!D:D,$C892,'Stock In'!E:E,$D892), 0)</f>
        <v>0</v>
      </c>
      <c r="K892" s="82">
        <f t="shared" si="3"/>
        <v>0</v>
      </c>
    </row>
    <row r="893">
      <c r="A893" s="80"/>
      <c r="B893" s="80"/>
      <c r="C893" s="80"/>
      <c r="D893" s="80"/>
      <c r="E893" s="82">
        <f>IFERROR(SUMIFS('Stock In'!F:F,'Stock In'!B:B,$A893,'Stock In'!C:C,$B893,'Stock In'!D:D,$C893,'Stock In'!E:E,$D893),0)</f>
        <v>0</v>
      </c>
      <c r="F893" s="82">
        <f>IFERROR(SUMIFS(Issues!H:H, Issues!F:F, $A893, Issues!C:C, $B893, Issues!D:D, $C893, Issues!E:E, $D893), 0)</f>
        <v>0</v>
      </c>
      <c r="G893" s="82">
        <f>IFERROR(SUMIFS(Returns!H:H, Returns!F:F, $A893, Returns!C:C, $B893, Returns!D:D, $C893, Returns!E:E, $D893), 0)</f>
        <v>0</v>
      </c>
      <c r="H893" s="82">
        <f t="shared" si="1"/>
        <v>0</v>
      </c>
      <c r="I893" s="82">
        <f t="shared" si="2"/>
        <v>0</v>
      </c>
      <c r="J893" s="82">
        <f>IFERROR( SUMIFS('Stock In'!I:I,'Stock In'!B:B,$A893,'Stock In'!C:C,$B893,'Stock In'!D:D,$C893,'Stock In'!E:E,$D893) / SUMIFS('Stock In'!H:H,'Stock In'!B:B,$A893,'Stock In'!C:C,$B893,'Stock In'!D:D,$C893,'Stock In'!E:E,$D893), 0)</f>
        <v>0</v>
      </c>
      <c r="K893" s="82">
        <f t="shared" si="3"/>
        <v>0</v>
      </c>
    </row>
    <row r="894">
      <c r="A894" s="80"/>
      <c r="B894" s="80"/>
      <c r="C894" s="80"/>
      <c r="D894" s="80"/>
      <c r="E894" s="82">
        <f>IFERROR(SUMIFS('Stock In'!F:F,'Stock In'!B:B,$A894,'Stock In'!C:C,$B894,'Stock In'!D:D,$C894,'Stock In'!E:E,$D894),0)</f>
        <v>0</v>
      </c>
      <c r="F894" s="82">
        <f>IFERROR(SUMIFS(Issues!H:H, Issues!F:F, $A894, Issues!C:C, $B894, Issues!D:D, $C894, Issues!E:E, $D894), 0)</f>
        <v>0</v>
      </c>
      <c r="G894" s="82">
        <f>IFERROR(SUMIFS(Returns!H:H, Returns!F:F, $A894, Returns!C:C, $B894, Returns!D:D, $C894, Returns!E:E, $D894), 0)</f>
        <v>0</v>
      </c>
      <c r="H894" s="82">
        <f t="shared" si="1"/>
        <v>0</v>
      </c>
      <c r="I894" s="82">
        <f t="shared" si="2"/>
        <v>0</v>
      </c>
      <c r="J894" s="82">
        <f>IFERROR( SUMIFS('Stock In'!I:I,'Stock In'!B:B,$A894,'Stock In'!C:C,$B894,'Stock In'!D:D,$C894,'Stock In'!E:E,$D894) / SUMIFS('Stock In'!H:H,'Stock In'!B:B,$A894,'Stock In'!C:C,$B894,'Stock In'!D:D,$C894,'Stock In'!E:E,$D894), 0)</f>
        <v>0</v>
      </c>
      <c r="K894" s="82">
        <f t="shared" si="3"/>
        <v>0</v>
      </c>
    </row>
    <row r="895">
      <c r="A895" s="80"/>
      <c r="B895" s="80"/>
      <c r="C895" s="80"/>
      <c r="D895" s="80"/>
      <c r="E895" s="82">
        <f>IFERROR(SUMIFS('Stock In'!F:F,'Stock In'!B:B,$A895,'Stock In'!C:C,$B895,'Stock In'!D:D,$C895,'Stock In'!E:E,$D895),0)</f>
        <v>0</v>
      </c>
      <c r="F895" s="82">
        <f>IFERROR(SUMIFS(Issues!H:H, Issues!F:F, $A895, Issues!C:C, $B895, Issues!D:D, $C895, Issues!E:E, $D895), 0)</f>
        <v>0</v>
      </c>
      <c r="G895" s="82">
        <f>IFERROR(SUMIFS(Returns!H:H, Returns!F:F, $A895, Returns!C:C, $B895, Returns!D:D, $C895, Returns!E:E, $D895), 0)</f>
        <v>0</v>
      </c>
      <c r="H895" s="82">
        <f t="shared" si="1"/>
        <v>0</v>
      </c>
      <c r="I895" s="82">
        <f t="shared" si="2"/>
        <v>0</v>
      </c>
      <c r="J895" s="82">
        <f>IFERROR( SUMIFS('Stock In'!I:I,'Stock In'!B:B,$A895,'Stock In'!C:C,$B895,'Stock In'!D:D,$C895,'Stock In'!E:E,$D895) / SUMIFS('Stock In'!H:H,'Stock In'!B:B,$A895,'Stock In'!C:C,$B895,'Stock In'!D:D,$C895,'Stock In'!E:E,$D895), 0)</f>
        <v>0</v>
      </c>
      <c r="K895" s="82">
        <f t="shared" si="3"/>
        <v>0</v>
      </c>
    </row>
    <row r="896">
      <c r="A896" s="80"/>
      <c r="B896" s="80"/>
      <c r="C896" s="80"/>
      <c r="D896" s="80"/>
      <c r="E896" s="82">
        <f>IFERROR(SUMIFS('Stock In'!F:F,'Stock In'!B:B,$A896,'Stock In'!C:C,$B896,'Stock In'!D:D,$C896,'Stock In'!E:E,$D896),0)</f>
        <v>0</v>
      </c>
      <c r="F896" s="82">
        <f>IFERROR(SUMIFS(Issues!H:H, Issues!F:F, $A896, Issues!C:C, $B896, Issues!D:D, $C896, Issues!E:E, $D896), 0)</f>
        <v>0</v>
      </c>
      <c r="G896" s="82">
        <f>IFERROR(SUMIFS(Returns!H:H, Returns!F:F, $A896, Returns!C:C, $B896, Returns!D:D, $C896, Returns!E:E, $D896), 0)</f>
        <v>0</v>
      </c>
      <c r="H896" s="82">
        <f t="shared" si="1"/>
        <v>0</v>
      </c>
      <c r="I896" s="82">
        <f t="shared" si="2"/>
        <v>0</v>
      </c>
      <c r="J896" s="82">
        <f>IFERROR( SUMIFS('Stock In'!I:I,'Stock In'!B:B,$A896,'Stock In'!C:C,$B896,'Stock In'!D:D,$C896,'Stock In'!E:E,$D896) / SUMIFS('Stock In'!H:H,'Stock In'!B:B,$A896,'Stock In'!C:C,$B896,'Stock In'!D:D,$C896,'Stock In'!E:E,$D896), 0)</f>
        <v>0</v>
      </c>
      <c r="K896" s="82">
        <f t="shared" si="3"/>
        <v>0</v>
      </c>
    </row>
    <row r="897">
      <c r="A897" s="80"/>
      <c r="B897" s="80"/>
      <c r="C897" s="80"/>
      <c r="D897" s="80"/>
      <c r="E897" s="82">
        <f>IFERROR(SUMIFS('Stock In'!F:F,'Stock In'!B:B,$A897,'Stock In'!C:C,$B897,'Stock In'!D:D,$C897,'Stock In'!E:E,$D897),0)</f>
        <v>0</v>
      </c>
      <c r="F897" s="82">
        <f>IFERROR(SUMIFS(Issues!H:H, Issues!F:F, $A897, Issues!C:C, $B897, Issues!D:D, $C897, Issues!E:E, $D897), 0)</f>
        <v>0</v>
      </c>
      <c r="G897" s="82">
        <f>IFERROR(SUMIFS(Returns!H:H, Returns!F:F, $A897, Returns!C:C, $B897, Returns!D:D, $C897, Returns!E:E, $D897), 0)</f>
        <v>0</v>
      </c>
      <c r="H897" s="82">
        <f t="shared" si="1"/>
        <v>0</v>
      </c>
      <c r="I897" s="82">
        <f t="shared" si="2"/>
        <v>0</v>
      </c>
      <c r="J897" s="82">
        <f>IFERROR( SUMIFS('Stock In'!I:I,'Stock In'!B:B,$A897,'Stock In'!C:C,$B897,'Stock In'!D:D,$C897,'Stock In'!E:E,$D897) / SUMIFS('Stock In'!H:H,'Stock In'!B:B,$A897,'Stock In'!C:C,$B897,'Stock In'!D:D,$C897,'Stock In'!E:E,$D897), 0)</f>
        <v>0</v>
      </c>
      <c r="K897" s="82">
        <f t="shared" si="3"/>
        <v>0</v>
      </c>
    </row>
    <row r="898">
      <c r="A898" s="80"/>
      <c r="B898" s="80"/>
      <c r="C898" s="80"/>
      <c r="D898" s="80"/>
      <c r="E898" s="82">
        <f>IFERROR(SUMIFS('Stock In'!F:F,'Stock In'!B:B,$A898,'Stock In'!C:C,$B898,'Stock In'!D:D,$C898,'Stock In'!E:E,$D898),0)</f>
        <v>0</v>
      </c>
      <c r="F898" s="82">
        <f>IFERROR(SUMIFS(Issues!H:H, Issues!F:F, $A898, Issues!C:C, $B898, Issues!D:D, $C898, Issues!E:E, $D898), 0)</f>
        <v>0</v>
      </c>
      <c r="G898" s="82">
        <f>IFERROR(SUMIFS(Returns!H:H, Returns!F:F, $A898, Returns!C:C, $B898, Returns!D:D, $C898, Returns!E:E, $D898), 0)</f>
        <v>0</v>
      </c>
      <c r="H898" s="82">
        <f t="shared" si="1"/>
        <v>0</v>
      </c>
      <c r="I898" s="82">
        <f t="shared" si="2"/>
        <v>0</v>
      </c>
      <c r="J898" s="82">
        <f>IFERROR( SUMIFS('Stock In'!I:I,'Stock In'!B:B,$A898,'Stock In'!C:C,$B898,'Stock In'!D:D,$C898,'Stock In'!E:E,$D898) / SUMIFS('Stock In'!H:H,'Stock In'!B:B,$A898,'Stock In'!C:C,$B898,'Stock In'!D:D,$C898,'Stock In'!E:E,$D898), 0)</f>
        <v>0</v>
      </c>
      <c r="K898" s="82">
        <f t="shared" si="3"/>
        <v>0</v>
      </c>
    </row>
    <row r="899">
      <c r="A899" s="80"/>
      <c r="B899" s="80"/>
      <c r="C899" s="80"/>
      <c r="D899" s="80"/>
      <c r="E899" s="82">
        <f>IFERROR(SUMIFS('Stock In'!F:F,'Stock In'!B:B,$A899,'Stock In'!C:C,$B899,'Stock In'!D:D,$C899,'Stock In'!E:E,$D899),0)</f>
        <v>0</v>
      </c>
      <c r="F899" s="82">
        <f>IFERROR(SUMIFS(Issues!H:H, Issues!F:F, $A899, Issues!C:C, $B899, Issues!D:D, $C899, Issues!E:E, $D899), 0)</f>
        <v>0</v>
      </c>
      <c r="G899" s="82">
        <f>IFERROR(SUMIFS(Returns!H:H, Returns!F:F, $A899, Returns!C:C, $B899, Returns!D:D, $C899, Returns!E:E, $D899), 0)</f>
        <v>0</v>
      </c>
      <c r="H899" s="82">
        <f t="shared" si="1"/>
        <v>0</v>
      </c>
      <c r="I899" s="82">
        <f t="shared" si="2"/>
        <v>0</v>
      </c>
      <c r="J899" s="82">
        <f>IFERROR( SUMIFS('Stock In'!I:I,'Stock In'!B:B,$A899,'Stock In'!C:C,$B899,'Stock In'!D:D,$C899,'Stock In'!E:E,$D899) / SUMIFS('Stock In'!H:H,'Stock In'!B:B,$A899,'Stock In'!C:C,$B899,'Stock In'!D:D,$C899,'Stock In'!E:E,$D899), 0)</f>
        <v>0</v>
      </c>
      <c r="K899" s="82">
        <f t="shared" si="3"/>
        <v>0</v>
      </c>
    </row>
    <row r="900">
      <c r="A900" s="80"/>
      <c r="B900" s="80"/>
      <c r="C900" s="80"/>
      <c r="D900" s="80"/>
      <c r="E900" s="82">
        <f>IFERROR(SUMIFS('Stock In'!F:F,'Stock In'!B:B,$A900,'Stock In'!C:C,$B900,'Stock In'!D:D,$C900,'Stock In'!E:E,$D900),0)</f>
        <v>0</v>
      </c>
      <c r="F900" s="82">
        <f>IFERROR(SUMIFS(Issues!H:H, Issues!F:F, $A900, Issues!C:C, $B900, Issues!D:D, $C900, Issues!E:E, $D900), 0)</f>
        <v>0</v>
      </c>
      <c r="G900" s="82">
        <f>IFERROR(SUMIFS(Returns!H:H, Returns!F:F, $A900, Returns!C:C, $B900, Returns!D:D, $C900, Returns!E:E, $D900), 0)</f>
        <v>0</v>
      </c>
      <c r="H900" s="82">
        <f t="shared" si="1"/>
        <v>0</v>
      </c>
      <c r="I900" s="82">
        <f t="shared" si="2"/>
        <v>0</v>
      </c>
      <c r="J900" s="82">
        <f>IFERROR( SUMIFS('Stock In'!I:I,'Stock In'!B:B,$A900,'Stock In'!C:C,$B900,'Stock In'!D:D,$C900,'Stock In'!E:E,$D900) / SUMIFS('Stock In'!H:H,'Stock In'!B:B,$A900,'Stock In'!C:C,$B900,'Stock In'!D:D,$C900,'Stock In'!E:E,$D900), 0)</f>
        <v>0</v>
      </c>
      <c r="K900" s="82">
        <f t="shared" si="3"/>
        <v>0</v>
      </c>
    </row>
    <row r="901">
      <c r="A901" s="80"/>
      <c r="B901" s="80"/>
      <c r="C901" s="80"/>
      <c r="D901" s="80"/>
      <c r="E901" s="82">
        <f>IFERROR(SUMIFS('Stock In'!F:F,'Stock In'!B:B,$A901,'Stock In'!C:C,$B901,'Stock In'!D:D,$C901,'Stock In'!E:E,$D901),0)</f>
        <v>0</v>
      </c>
      <c r="F901" s="82">
        <f>IFERROR(SUMIFS(Issues!H:H, Issues!F:F, $A901, Issues!C:C, $B901, Issues!D:D, $C901, Issues!E:E, $D901), 0)</f>
        <v>0</v>
      </c>
      <c r="G901" s="82">
        <f>IFERROR(SUMIFS(Returns!H:H, Returns!F:F, $A901, Returns!C:C, $B901, Returns!D:D, $C901, Returns!E:E, $D901), 0)</f>
        <v>0</v>
      </c>
      <c r="H901" s="82">
        <f t="shared" si="1"/>
        <v>0</v>
      </c>
      <c r="I901" s="82">
        <f t="shared" si="2"/>
        <v>0</v>
      </c>
      <c r="J901" s="82">
        <f>IFERROR( SUMIFS('Stock In'!I:I,'Stock In'!B:B,$A901,'Stock In'!C:C,$B901,'Stock In'!D:D,$C901,'Stock In'!E:E,$D901) / SUMIFS('Stock In'!H:H,'Stock In'!B:B,$A901,'Stock In'!C:C,$B901,'Stock In'!D:D,$C901,'Stock In'!E:E,$D901), 0)</f>
        <v>0</v>
      </c>
      <c r="K901" s="82">
        <f t="shared" si="3"/>
        <v>0</v>
      </c>
    </row>
    <row r="902">
      <c r="A902" s="80"/>
      <c r="B902" s="80"/>
      <c r="C902" s="80"/>
      <c r="D902" s="80"/>
      <c r="E902" s="82">
        <f>IFERROR(SUMIFS('Stock In'!F:F,'Stock In'!B:B,$A902,'Stock In'!C:C,$B902,'Stock In'!D:D,$C902,'Stock In'!E:E,$D902),0)</f>
        <v>0</v>
      </c>
      <c r="F902" s="82">
        <f>IFERROR(SUMIFS(Issues!H:H, Issues!F:F, $A902, Issues!C:C, $B902, Issues!D:D, $C902, Issues!E:E, $D902), 0)</f>
        <v>0</v>
      </c>
      <c r="G902" s="82">
        <f>IFERROR(SUMIFS(Returns!H:H, Returns!F:F, $A902, Returns!C:C, $B902, Returns!D:D, $C902, Returns!E:E, $D902), 0)</f>
        <v>0</v>
      </c>
      <c r="H902" s="82">
        <f t="shared" si="1"/>
        <v>0</v>
      </c>
      <c r="I902" s="82">
        <f t="shared" si="2"/>
        <v>0</v>
      </c>
      <c r="J902" s="82">
        <f>IFERROR( SUMIFS('Stock In'!I:I,'Stock In'!B:B,$A902,'Stock In'!C:C,$B902,'Stock In'!D:D,$C902,'Stock In'!E:E,$D902) / SUMIFS('Stock In'!H:H,'Stock In'!B:B,$A902,'Stock In'!C:C,$B902,'Stock In'!D:D,$C902,'Stock In'!E:E,$D902), 0)</f>
        <v>0</v>
      </c>
      <c r="K902" s="82">
        <f t="shared" si="3"/>
        <v>0</v>
      </c>
    </row>
    <row r="903">
      <c r="A903" s="80"/>
      <c r="B903" s="80"/>
      <c r="C903" s="80"/>
      <c r="D903" s="80"/>
      <c r="E903" s="82">
        <f>IFERROR(SUMIFS('Stock In'!F:F,'Stock In'!B:B,$A903,'Stock In'!C:C,$B903,'Stock In'!D:D,$C903,'Stock In'!E:E,$D903),0)</f>
        <v>0</v>
      </c>
      <c r="F903" s="82">
        <f>IFERROR(SUMIFS(Issues!H:H, Issues!F:F, $A903, Issues!C:C, $B903, Issues!D:D, $C903, Issues!E:E, $D903), 0)</f>
        <v>0</v>
      </c>
      <c r="G903" s="82">
        <f>IFERROR(SUMIFS(Returns!H:H, Returns!F:F, $A903, Returns!C:C, $B903, Returns!D:D, $C903, Returns!E:E, $D903), 0)</f>
        <v>0</v>
      </c>
      <c r="H903" s="82">
        <f t="shared" si="1"/>
        <v>0</v>
      </c>
      <c r="I903" s="82">
        <f t="shared" si="2"/>
        <v>0</v>
      </c>
      <c r="J903" s="82">
        <f>IFERROR( SUMIFS('Stock In'!I:I,'Stock In'!B:B,$A903,'Stock In'!C:C,$B903,'Stock In'!D:D,$C903,'Stock In'!E:E,$D903) / SUMIFS('Stock In'!H:H,'Stock In'!B:B,$A903,'Stock In'!C:C,$B903,'Stock In'!D:D,$C903,'Stock In'!E:E,$D903), 0)</f>
        <v>0</v>
      </c>
      <c r="K903" s="82">
        <f t="shared" si="3"/>
        <v>0</v>
      </c>
    </row>
    <row r="904">
      <c r="A904" s="80"/>
      <c r="B904" s="80"/>
      <c r="C904" s="80"/>
      <c r="D904" s="80"/>
      <c r="E904" s="82">
        <f>IFERROR(SUMIFS('Stock In'!F:F,'Stock In'!B:B,$A904,'Stock In'!C:C,$B904,'Stock In'!D:D,$C904,'Stock In'!E:E,$D904),0)</f>
        <v>0</v>
      </c>
      <c r="F904" s="82">
        <f>IFERROR(SUMIFS(Issues!H:H, Issues!F:F, $A904, Issues!C:C, $B904, Issues!D:D, $C904, Issues!E:E, $D904), 0)</f>
        <v>0</v>
      </c>
      <c r="G904" s="82">
        <f>IFERROR(SUMIFS(Returns!H:H, Returns!F:F, $A904, Returns!C:C, $B904, Returns!D:D, $C904, Returns!E:E, $D904), 0)</f>
        <v>0</v>
      </c>
      <c r="H904" s="82">
        <f t="shared" si="1"/>
        <v>0</v>
      </c>
      <c r="I904" s="82">
        <f t="shared" si="2"/>
        <v>0</v>
      </c>
      <c r="J904" s="82">
        <f>IFERROR( SUMIFS('Stock In'!I:I,'Stock In'!B:B,$A904,'Stock In'!C:C,$B904,'Stock In'!D:D,$C904,'Stock In'!E:E,$D904) / SUMIFS('Stock In'!H:H,'Stock In'!B:B,$A904,'Stock In'!C:C,$B904,'Stock In'!D:D,$C904,'Stock In'!E:E,$D904), 0)</f>
        <v>0</v>
      </c>
      <c r="K904" s="82">
        <f t="shared" si="3"/>
        <v>0</v>
      </c>
    </row>
    <row r="905">
      <c r="A905" s="80"/>
      <c r="B905" s="80"/>
      <c r="C905" s="80"/>
      <c r="D905" s="80"/>
      <c r="E905" s="82">
        <f>IFERROR(SUMIFS('Stock In'!F:F,'Stock In'!B:B,$A905,'Stock In'!C:C,$B905,'Stock In'!D:D,$C905,'Stock In'!E:E,$D905),0)</f>
        <v>0</v>
      </c>
      <c r="F905" s="82">
        <f>IFERROR(SUMIFS(Issues!H:H, Issues!F:F, $A905, Issues!C:C, $B905, Issues!D:D, $C905, Issues!E:E, $D905), 0)</f>
        <v>0</v>
      </c>
      <c r="G905" s="82">
        <f>IFERROR(SUMIFS(Returns!H:H, Returns!F:F, $A905, Returns!C:C, $B905, Returns!D:D, $C905, Returns!E:E, $D905), 0)</f>
        <v>0</v>
      </c>
      <c r="H905" s="82">
        <f t="shared" si="1"/>
        <v>0</v>
      </c>
      <c r="I905" s="82">
        <f t="shared" si="2"/>
        <v>0</v>
      </c>
      <c r="J905" s="82">
        <f>IFERROR( SUMIFS('Stock In'!I:I,'Stock In'!B:B,$A905,'Stock In'!C:C,$B905,'Stock In'!D:D,$C905,'Stock In'!E:E,$D905) / SUMIFS('Stock In'!H:H,'Stock In'!B:B,$A905,'Stock In'!C:C,$B905,'Stock In'!D:D,$C905,'Stock In'!E:E,$D905), 0)</f>
        <v>0</v>
      </c>
      <c r="K905" s="82">
        <f t="shared" si="3"/>
        <v>0</v>
      </c>
    </row>
    <row r="906">
      <c r="A906" s="80"/>
      <c r="B906" s="80"/>
      <c r="C906" s="80"/>
      <c r="D906" s="80"/>
      <c r="E906" s="82">
        <f>IFERROR(SUMIFS('Stock In'!F:F,'Stock In'!B:B,$A906,'Stock In'!C:C,$B906,'Stock In'!D:D,$C906,'Stock In'!E:E,$D906),0)</f>
        <v>0</v>
      </c>
      <c r="F906" s="82">
        <f>IFERROR(SUMIFS(Issues!H:H, Issues!F:F, $A906, Issues!C:C, $B906, Issues!D:D, $C906, Issues!E:E, $D906), 0)</f>
        <v>0</v>
      </c>
      <c r="G906" s="82">
        <f>IFERROR(SUMIFS(Returns!H:H, Returns!F:F, $A906, Returns!C:C, $B906, Returns!D:D, $C906, Returns!E:E, $D906), 0)</f>
        <v>0</v>
      </c>
      <c r="H906" s="82">
        <f t="shared" si="1"/>
        <v>0</v>
      </c>
      <c r="I906" s="82">
        <f t="shared" si="2"/>
        <v>0</v>
      </c>
      <c r="J906" s="82">
        <f>IFERROR( SUMIFS('Stock In'!I:I,'Stock In'!B:B,$A906,'Stock In'!C:C,$B906,'Stock In'!D:D,$C906,'Stock In'!E:E,$D906) / SUMIFS('Stock In'!H:H,'Stock In'!B:B,$A906,'Stock In'!C:C,$B906,'Stock In'!D:D,$C906,'Stock In'!E:E,$D906), 0)</f>
        <v>0</v>
      </c>
      <c r="K906" s="82">
        <f t="shared" si="3"/>
        <v>0</v>
      </c>
    </row>
    <row r="907">
      <c r="A907" s="80"/>
      <c r="B907" s="80"/>
      <c r="C907" s="80"/>
      <c r="D907" s="80"/>
      <c r="E907" s="82">
        <f>IFERROR(SUMIFS('Stock In'!F:F,'Stock In'!B:B,$A907,'Stock In'!C:C,$B907,'Stock In'!D:D,$C907,'Stock In'!E:E,$D907),0)</f>
        <v>0</v>
      </c>
      <c r="F907" s="82">
        <f>IFERROR(SUMIFS(Issues!H:H, Issues!F:F, $A907, Issues!C:C, $B907, Issues!D:D, $C907, Issues!E:E, $D907), 0)</f>
        <v>0</v>
      </c>
      <c r="G907" s="82">
        <f>IFERROR(SUMIFS(Returns!H:H, Returns!F:F, $A907, Returns!C:C, $B907, Returns!D:D, $C907, Returns!E:E, $D907), 0)</f>
        <v>0</v>
      </c>
      <c r="H907" s="82">
        <f t="shared" si="1"/>
        <v>0</v>
      </c>
      <c r="I907" s="82">
        <f t="shared" si="2"/>
        <v>0</v>
      </c>
      <c r="J907" s="82">
        <f>IFERROR( SUMIFS('Stock In'!I:I,'Stock In'!B:B,$A907,'Stock In'!C:C,$B907,'Stock In'!D:D,$C907,'Stock In'!E:E,$D907) / SUMIFS('Stock In'!H:H,'Stock In'!B:B,$A907,'Stock In'!C:C,$B907,'Stock In'!D:D,$C907,'Stock In'!E:E,$D907), 0)</f>
        <v>0</v>
      </c>
      <c r="K907" s="82">
        <f t="shared" si="3"/>
        <v>0</v>
      </c>
    </row>
    <row r="908">
      <c r="A908" s="80"/>
      <c r="B908" s="80"/>
      <c r="C908" s="80"/>
      <c r="D908" s="80"/>
      <c r="E908" s="82">
        <f>IFERROR(SUMIFS('Stock In'!F:F,'Stock In'!B:B,$A908,'Stock In'!C:C,$B908,'Stock In'!D:D,$C908,'Stock In'!E:E,$D908),0)</f>
        <v>0</v>
      </c>
      <c r="F908" s="82">
        <f>IFERROR(SUMIFS(Issues!H:H, Issues!F:F, $A908, Issues!C:C, $B908, Issues!D:D, $C908, Issues!E:E, $D908), 0)</f>
        <v>0</v>
      </c>
      <c r="G908" s="82">
        <f>IFERROR(SUMIFS(Returns!H:H, Returns!F:F, $A908, Returns!C:C, $B908, Returns!D:D, $C908, Returns!E:E, $D908), 0)</f>
        <v>0</v>
      </c>
      <c r="H908" s="82">
        <f t="shared" si="1"/>
        <v>0</v>
      </c>
      <c r="I908" s="82">
        <f t="shared" si="2"/>
        <v>0</v>
      </c>
      <c r="J908" s="82">
        <f>IFERROR( SUMIFS('Stock In'!I:I,'Stock In'!B:B,$A908,'Stock In'!C:C,$B908,'Stock In'!D:D,$C908,'Stock In'!E:E,$D908) / SUMIFS('Stock In'!H:H,'Stock In'!B:B,$A908,'Stock In'!C:C,$B908,'Stock In'!D:D,$C908,'Stock In'!E:E,$D908), 0)</f>
        <v>0</v>
      </c>
      <c r="K908" s="82">
        <f t="shared" si="3"/>
        <v>0</v>
      </c>
    </row>
    <row r="909">
      <c r="A909" s="80"/>
      <c r="B909" s="80"/>
      <c r="C909" s="80"/>
      <c r="D909" s="80"/>
      <c r="E909" s="82">
        <f>IFERROR(SUMIFS('Stock In'!F:F,'Stock In'!B:B,$A909,'Stock In'!C:C,$B909,'Stock In'!D:D,$C909,'Stock In'!E:E,$D909),0)</f>
        <v>0</v>
      </c>
      <c r="F909" s="82">
        <f>IFERROR(SUMIFS(Issues!H:H, Issues!F:F, $A909, Issues!C:C, $B909, Issues!D:D, $C909, Issues!E:E, $D909), 0)</f>
        <v>0</v>
      </c>
      <c r="G909" s="82">
        <f>IFERROR(SUMIFS(Returns!H:H, Returns!F:F, $A909, Returns!C:C, $B909, Returns!D:D, $C909, Returns!E:E, $D909), 0)</f>
        <v>0</v>
      </c>
      <c r="H909" s="82">
        <f t="shared" si="1"/>
        <v>0</v>
      </c>
      <c r="I909" s="82">
        <f t="shared" si="2"/>
        <v>0</v>
      </c>
      <c r="J909" s="82">
        <f>IFERROR( SUMIFS('Stock In'!I:I,'Stock In'!B:B,$A909,'Stock In'!C:C,$B909,'Stock In'!D:D,$C909,'Stock In'!E:E,$D909) / SUMIFS('Stock In'!H:H,'Stock In'!B:B,$A909,'Stock In'!C:C,$B909,'Stock In'!D:D,$C909,'Stock In'!E:E,$D909), 0)</f>
        <v>0</v>
      </c>
      <c r="K909" s="82">
        <f t="shared" si="3"/>
        <v>0</v>
      </c>
    </row>
    <row r="910">
      <c r="A910" s="80"/>
      <c r="B910" s="80"/>
      <c r="C910" s="80"/>
      <c r="D910" s="80"/>
      <c r="E910" s="82">
        <f>IFERROR(SUMIFS('Stock In'!F:F,'Stock In'!B:B,$A910,'Stock In'!C:C,$B910,'Stock In'!D:D,$C910,'Stock In'!E:E,$D910),0)</f>
        <v>0</v>
      </c>
      <c r="F910" s="82">
        <f>IFERROR(SUMIFS(Issues!H:H, Issues!F:F, $A910, Issues!C:C, $B910, Issues!D:D, $C910, Issues!E:E, $D910), 0)</f>
        <v>0</v>
      </c>
      <c r="G910" s="82">
        <f>IFERROR(SUMIFS(Returns!H:H, Returns!F:F, $A910, Returns!C:C, $B910, Returns!D:D, $C910, Returns!E:E, $D910), 0)</f>
        <v>0</v>
      </c>
      <c r="H910" s="82">
        <f t="shared" si="1"/>
        <v>0</v>
      </c>
      <c r="I910" s="82">
        <f t="shared" si="2"/>
        <v>0</v>
      </c>
      <c r="J910" s="82">
        <f>IFERROR( SUMIFS('Stock In'!I:I,'Stock In'!B:B,$A910,'Stock In'!C:C,$B910,'Stock In'!D:D,$C910,'Stock In'!E:E,$D910) / SUMIFS('Stock In'!H:H,'Stock In'!B:B,$A910,'Stock In'!C:C,$B910,'Stock In'!D:D,$C910,'Stock In'!E:E,$D910), 0)</f>
        <v>0</v>
      </c>
      <c r="K910" s="82">
        <f t="shared" si="3"/>
        <v>0</v>
      </c>
    </row>
    <row r="911">
      <c r="A911" s="80"/>
      <c r="B911" s="80"/>
      <c r="C911" s="80"/>
      <c r="D911" s="80"/>
      <c r="E911" s="82">
        <f>IFERROR(SUMIFS('Stock In'!F:F,'Stock In'!B:B,$A911,'Stock In'!C:C,$B911,'Stock In'!D:D,$C911,'Stock In'!E:E,$D911),0)</f>
        <v>0</v>
      </c>
      <c r="F911" s="82">
        <f>IFERROR(SUMIFS(Issues!H:H, Issues!F:F, $A911, Issues!C:C, $B911, Issues!D:D, $C911, Issues!E:E, $D911), 0)</f>
        <v>0</v>
      </c>
      <c r="G911" s="82">
        <f>IFERROR(SUMIFS(Returns!H:H, Returns!F:F, $A911, Returns!C:C, $B911, Returns!D:D, $C911, Returns!E:E, $D911), 0)</f>
        <v>0</v>
      </c>
      <c r="H911" s="82">
        <f t="shared" si="1"/>
        <v>0</v>
      </c>
      <c r="I911" s="82">
        <f t="shared" si="2"/>
        <v>0</v>
      </c>
      <c r="J911" s="82">
        <f>IFERROR( SUMIFS('Stock In'!I:I,'Stock In'!B:B,$A911,'Stock In'!C:C,$B911,'Stock In'!D:D,$C911,'Stock In'!E:E,$D911) / SUMIFS('Stock In'!H:H,'Stock In'!B:B,$A911,'Stock In'!C:C,$B911,'Stock In'!D:D,$C911,'Stock In'!E:E,$D911), 0)</f>
        <v>0</v>
      </c>
      <c r="K911" s="82">
        <f t="shared" si="3"/>
        <v>0</v>
      </c>
    </row>
    <row r="912">
      <c r="A912" s="80"/>
      <c r="B912" s="80"/>
      <c r="C912" s="80"/>
      <c r="D912" s="80"/>
      <c r="E912" s="82">
        <f>IFERROR(SUMIFS('Stock In'!F:F,'Stock In'!B:B,$A912,'Stock In'!C:C,$B912,'Stock In'!D:D,$C912,'Stock In'!E:E,$D912),0)</f>
        <v>0</v>
      </c>
      <c r="F912" s="82">
        <f>IFERROR(SUMIFS(Issues!H:H, Issues!F:F, $A912, Issues!C:C, $B912, Issues!D:D, $C912, Issues!E:E, $D912), 0)</f>
        <v>0</v>
      </c>
      <c r="G912" s="82">
        <f>IFERROR(SUMIFS(Returns!H:H, Returns!F:F, $A912, Returns!C:C, $B912, Returns!D:D, $C912, Returns!E:E, $D912), 0)</f>
        <v>0</v>
      </c>
      <c r="H912" s="82">
        <f t="shared" si="1"/>
        <v>0</v>
      </c>
      <c r="I912" s="82">
        <f t="shared" si="2"/>
        <v>0</v>
      </c>
      <c r="J912" s="82">
        <f>IFERROR( SUMIFS('Stock In'!I:I,'Stock In'!B:B,$A912,'Stock In'!C:C,$B912,'Stock In'!D:D,$C912,'Stock In'!E:E,$D912) / SUMIFS('Stock In'!H:H,'Stock In'!B:B,$A912,'Stock In'!C:C,$B912,'Stock In'!D:D,$C912,'Stock In'!E:E,$D912), 0)</f>
        <v>0</v>
      </c>
      <c r="K912" s="82">
        <f t="shared" si="3"/>
        <v>0</v>
      </c>
    </row>
    <row r="913">
      <c r="A913" s="80"/>
      <c r="B913" s="80"/>
      <c r="C913" s="80"/>
      <c r="D913" s="80"/>
      <c r="E913" s="82">
        <f>IFERROR(SUMIFS('Stock In'!F:F,'Stock In'!B:B,$A913,'Stock In'!C:C,$B913,'Stock In'!D:D,$C913,'Stock In'!E:E,$D913),0)</f>
        <v>0</v>
      </c>
      <c r="F913" s="82">
        <f>IFERROR(SUMIFS(Issues!H:H, Issues!F:F, $A913, Issues!C:C, $B913, Issues!D:D, $C913, Issues!E:E, $D913), 0)</f>
        <v>0</v>
      </c>
      <c r="G913" s="82">
        <f>IFERROR(SUMIFS(Returns!H:H, Returns!F:F, $A913, Returns!C:C, $B913, Returns!D:D, $C913, Returns!E:E, $D913), 0)</f>
        <v>0</v>
      </c>
      <c r="H913" s="82">
        <f t="shared" si="1"/>
        <v>0</v>
      </c>
      <c r="I913" s="82">
        <f t="shared" si="2"/>
        <v>0</v>
      </c>
      <c r="J913" s="82">
        <f>IFERROR( SUMIFS('Stock In'!I:I,'Stock In'!B:B,$A913,'Stock In'!C:C,$B913,'Stock In'!D:D,$C913,'Stock In'!E:E,$D913) / SUMIFS('Stock In'!H:H,'Stock In'!B:B,$A913,'Stock In'!C:C,$B913,'Stock In'!D:D,$C913,'Stock In'!E:E,$D913), 0)</f>
        <v>0</v>
      </c>
      <c r="K913" s="82">
        <f t="shared" si="3"/>
        <v>0</v>
      </c>
    </row>
    <row r="914">
      <c r="A914" s="80"/>
      <c r="B914" s="80"/>
      <c r="C914" s="80"/>
      <c r="D914" s="80"/>
      <c r="E914" s="82">
        <f>IFERROR(SUMIFS('Stock In'!F:F,'Stock In'!B:B,$A914,'Stock In'!C:C,$B914,'Stock In'!D:D,$C914,'Stock In'!E:E,$D914),0)</f>
        <v>0</v>
      </c>
      <c r="F914" s="82">
        <f>IFERROR(SUMIFS(Issues!H:H, Issues!F:F, $A914, Issues!C:C, $B914, Issues!D:D, $C914, Issues!E:E, $D914), 0)</f>
        <v>0</v>
      </c>
      <c r="G914" s="82">
        <f>IFERROR(SUMIFS(Returns!H:H, Returns!F:F, $A914, Returns!C:C, $B914, Returns!D:D, $C914, Returns!E:E, $D914), 0)</f>
        <v>0</v>
      </c>
      <c r="H914" s="82">
        <f t="shared" si="1"/>
        <v>0</v>
      </c>
      <c r="I914" s="82">
        <f t="shared" si="2"/>
        <v>0</v>
      </c>
      <c r="J914" s="82">
        <f>IFERROR( SUMIFS('Stock In'!I:I,'Stock In'!B:B,$A914,'Stock In'!C:C,$B914,'Stock In'!D:D,$C914,'Stock In'!E:E,$D914) / SUMIFS('Stock In'!H:H,'Stock In'!B:B,$A914,'Stock In'!C:C,$B914,'Stock In'!D:D,$C914,'Stock In'!E:E,$D914), 0)</f>
        <v>0</v>
      </c>
      <c r="K914" s="82">
        <f t="shared" si="3"/>
        <v>0</v>
      </c>
    </row>
    <row r="915">
      <c r="A915" s="80"/>
      <c r="B915" s="80"/>
      <c r="C915" s="80"/>
      <c r="D915" s="80"/>
      <c r="E915" s="82">
        <f>IFERROR(SUMIFS('Stock In'!F:F,'Stock In'!B:B,$A915,'Stock In'!C:C,$B915,'Stock In'!D:D,$C915,'Stock In'!E:E,$D915),0)</f>
        <v>0</v>
      </c>
      <c r="F915" s="82">
        <f>IFERROR(SUMIFS(Issues!H:H, Issues!F:F, $A915, Issues!C:C, $B915, Issues!D:D, $C915, Issues!E:E, $D915), 0)</f>
        <v>0</v>
      </c>
      <c r="G915" s="82">
        <f>IFERROR(SUMIFS(Returns!H:H, Returns!F:F, $A915, Returns!C:C, $B915, Returns!D:D, $C915, Returns!E:E, $D915), 0)</f>
        <v>0</v>
      </c>
      <c r="H915" s="82">
        <f t="shared" si="1"/>
        <v>0</v>
      </c>
      <c r="I915" s="82">
        <f t="shared" si="2"/>
        <v>0</v>
      </c>
      <c r="J915" s="82">
        <f>IFERROR( SUMIFS('Stock In'!I:I,'Stock In'!B:B,$A915,'Stock In'!C:C,$B915,'Stock In'!D:D,$C915,'Stock In'!E:E,$D915) / SUMIFS('Stock In'!H:H,'Stock In'!B:B,$A915,'Stock In'!C:C,$B915,'Stock In'!D:D,$C915,'Stock In'!E:E,$D915), 0)</f>
        <v>0</v>
      </c>
      <c r="K915" s="82">
        <f t="shared" si="3"/>
        <v>0</v>
      </c>
    </row>
    <row r="916">
      <c r="A916" s="80"/>
      <c r="B916" s="80"/>
      <c r="C916" s="80"/>
      <c r="D916" s="80"/>
      <c r="E916" s="82">
        <f>IFERROR(SUMIFS('Stock In'!F:F,'Stock In'!B:B,$A916,'Stock In'!C:C,$B916,'Stock In'!D:D,$C916,'Stock In'!E:E,$D916),0)</f>
        <v>0</v>
      </c>
      <c r="F916" s="82">
        <f>IFERROR(SUMIFS(Issues!H:H, Issues!F:F, $A916, Issues!C:C, $B916, Issues!D:D, $C916, Issues!E:E, $D916), 0)</f>
        <v>0</v>
      </c>
      <c r="G916" s="82">
        <f>IFERROR(SUMIFS(Returns!H:H, Returns!F:F, $A916, Returns!C:C, $B916, Returns!D:D, $C916, Returns!E:E, $D916), 0)</f>
        <v>0</v>
      </c>
      <c r="H916" s="82">
        <f t="shared" si="1"/>
        <v>0</v>
      </c>
      <c r="I916" s="82">
        <f t="shared" si="2"/>
        <v>0</v>
      </c>
      <c r="J916" s="82">
        <f>IFERROR( SUMIFS('Stock In'!I:I,'Stock In'!B:B,$A916,'Stock In'!C:C,$B916,'Stock In'!D:D,$C916,'Stock In'!E:E,$D916) / SUMIFS('Stock In'!H:H,'Stock In'!B:B,$A916,'Stock In'!C:C,$B916,'Stock In'!D:D,$C916,'Stock In'!E:E,$D916), 0)</f>
        <v>0</v>
      </c>
      <c r="K916" s="82">
        <f t="shared" si="3"/>
        <v>0</v>
      </c>
    </row>
    <row r="917">
      <c r="A917" s="80"/>
      <c r="B917" s="80"/>
      <c r="C917" s="80"/>
      <c r="D917" s="80"/>
      <c r="E917" s="82">
        <f>IFERROR(SUMIFS('Stock In'!F:F,'Stock In'!B:B,$A917,'Stock In'!C:C,$B917,'Stock In'!D:D,$C917,'Stock In'!E:E,$D917),0)</f>
        <v>0</v>
      </c>
      <c r="F917" s="82">
        <f>IFERROR(SUMIFS(Issues!H:H, Issues!F:F, $A917, Issues!C:C, $B917, Issues!D:D, $C917, Issues!E:E, $D917), 0)</f>
        <v>0</v>
      </c>
      <c r="G917" s="82">
        <f>IFERROR(SUMIFS(Returns!H:H, Returns!F:F, $A917, Returns!C:C, $B917, Returns!D:D, $C917, Returns!E:E, $D917), 0)</f>
        <v>0</v>
      </c>
      <c r="H917" s="82">
        <f t="shared" si="1"/>
        <v>0</v>
      </c>
      <c r="I917" s="82">
        <f t="shared" si="2"/>
        <v>0</v>
      </c>
      <c r="J917" s="82">
        <f>IFERROR( SUMIFS('Stock In'!I:I,'Stock In'!B:B,$A917,'Stock In'!C:C,$B917,'Stock In'!D:D,$C917,'Stock In'!E:E,$D917) / SUMIFS('Stock In'!H:H,'Stock In'!B:B,$A917,'Stock In'!C:C,$B917,'Stock In'!D:D,$C917,'Stock In'!E:E,$D917), 0)</f>
        <v>0</v>
      </c>
      <c r="K917" s="82">
        <f t="shared" si="3"/>
        <v>0</v>
      </c>
    </row>
    <row r="918">
      <c r="A918" s="80"/>
      <c r="B918" s="80"/>
      <c r="C918" s="80"/>
      <c r="D918" s="80"/>
      <c r="E918" s="82">
        <f>IFERROR(SUMIFS('Stock In'!F:F,'Stock In'!B:B,$A918,'Stock In'!C:C,$B918,'Stock In'!D:D,$C918,'Stock In'!E:E,$D918),0)</f>
        <v>0</v>
      </c>
      <c r="F918" s="82">
        <f>IFERROR(SUMIFS(Issues!H:H, Issues!F:F, $A918, Issues!C:C, $B918, Issues!D:D, $C918, Issues!E:E, $D918), 0)</f>
        <v>0</v>
      </c>
      <c r="G918" s="82">
        <f>IFERROR(SUMIFS(Returns!H:H, Returns!F:F, $A918, Returns!C:C, $B918, Returns!D:D, $C918, Returns!E:E, $D918), 0)</f>
        <v>0</v>
      </c>
      <c r="H918" s="82">
        <f t="shared" si="1"/>
        <v>0</v>
      </c>
      <c r="I918" s="82">
        <f t="shared" si="2"/>
        <v>0</v>
      </c>
      <c r="J918" s="82">
        <f>IFERROR( SUMIFS('Stock In'!I:I,'Stock In'!B:B,$A918,'Stock In'!C:C,$B918,'Stock In'!D:D,$C918,'Stock In'!E:E,$D918) / SUMIFS('Stock In'!H:H,'Stock In'!B:B,$A918,'Stock In'!C:C,$B918,'Stock In'!D:D,$C918,'Stock In'!E:E,$D918), 0)</f>
        <v>0</v>
      </c>
      <c r="K918" s="82">
        <f t="shared" si="3"/>
        <v>0</v>
      </c>
    </row>
    <row r="919">
      <c r="A919" s="80"/>
      <c r="B919" s="80"/>
      <c r="C919" s="80"/>
      <c r="D919" s="80"/>
      <c r="E919" s="82">
        <f>IFERROR(SUMIFS('Stock In'!F:F,'Stock In'!B:B,$A919,'Stock In'!C:C,$B919,'Stock In'!D:D,$C919,'Stock In'!E:E,$D919),0)</f>
        <v>0</v>
      </c>
      <c r="F919" s="82">
        <f>IFERROR(SUMIFS(Issues!H:H, Issues!F:F, $A919, Issues!C:C, $B919, Issues!D:D, $C919, Issues!E:E, $D919), 0)</f>
        <v>0</v>
      </c>
      <c r="G919" s="82">
        <f>IFERROR(SUMIFS(Returns!H:H, Returns!F:F, $A919, Returns!C:C, $B919, Returns!D:D, $C919, Returns!E:E, $D919), 0)</f>
        <v>0</v>
      </c>
      <c r="H919" s="82">
        <f t="shared" si="1"/>
        <v>0</v>
      </c>
      <c r="I919" s="82">
        <f t="shared" si="2"/>
        <v>0</v>
      </c>
      <c r="J919" s="82">
        <f>IFERROR( SUMIFS('Stock In'!I:I,'Stock In'!B:B,$A919,'Stock In'!C:C,$B919,'Stock In'!D:D,$C919,'Stock In'!E:E,$D919) / SUMIFS('Stock In'!H:H,'Stock In'!B:B,$A919,'Stock In'!C:C,$B919,'Stock In'!D:D,$C919,'Stock In'!E:E,$D919), 0)</f>
        <v>0</v>
      </c>
      <c r="K919" s="82">
        <f t="shared" si="3"/>
        <v>0</v>
      </c>
    </row>
    <row r="920">
      <c r="A920" s="80"/>
      <c r="B920" s="80"/>
      <c r="C920" s="80"/>
      <c r="D920" s="80"/>
      <c r="E920" s="82">
        <f>IFERROR(SUMIFS('Stock In'!F:F,'Stock In'!B:B,$A920,'Stock In'!C:C,$B920,'Stock In'!D:D,$C920,'Stock In'!E:E,$D920),0)</f>
        <v>0</v>
      </c>
      <c r="F920" s="82">
        <f>IFERROR(SUMIFS(Issues!H:H, Issues!F:F, $A920, Issues!C:C, $B920, Issues!D:D, $C920, Issues!E:E, $D920), 0)</f>
        <v>0</v>
      </c>
      <c r="G920" s="82">
        <f>IFERROR(SUMIFS(Returns!H:H, Returns!F:F, $A920, Returns!C:C, $B920, Returns!D:D, $C920, Returns!E:E, $D920), 0)</f>
        <v>0</v>
      </c>
      <c r="H920" s="82">
        <f t="shared" si="1"/>
        <v>0</v>
      </c>
      <c r="I920" s="82">
        <f t="shared" si="2"/>
        <v>0</v>
      </c>
      <c r="J920" s="82">
        <f>IFERROR( SUMIFS('Stock In'!I:I,'Stock In'!B:B,$A920,'Stock In'!C:C,$B920,'Stock In'!D:D,$C920,'Stock In'!E:E,$D920) / SUMIFS('Stock In'!H:H,'Stock In'!B:B,$A920,'Stock In'!C:C,$B920,'Stock In'!D:D,$C920,'Stock In'!E:E,$D920), 0)</f>
        <v>0</v>
      </c>
      <c r="K920" s="82">
        <f t="shared" si="3"/>
        <v>0</v>
      </c>
    </row>
    <row r="921">
      <c r="A921" s="80"/>
      <c r="B921" s="80"/>
      <c r="C921" s="80"/>
      <c r="D921" s="80"/>
      <c r="E921" s="82">
        <f>IFERROR(SUMIFS('Stock In'!F:F,'Stock In'!B:B,$A921,'Stock In'!C:C,$B921,'Stock In'!D:D,$C921,'Stock In'!E:E,$D921),0)</f>
        <v>0</v>
      </c>
      <c r="F921" s="82">
        <f>IFERROR(SUMIFS(Issues!H:H, Issues!F:F, $A921, Issues!C:C, $B921, Issues!D:D, $C921, Issues!E:E, $D921), 0)</f>
        <v>0</v>
      </c>
      <c r="G921" s="82">
        <f>IFERROR(SUMIFS(Returns!H:H, Returns!F:F, $A921, Returns!C:C, $B921, Returns!D:D, $C921, Returns!E:E, $D921), 0)</f>
        <v>0</v>
      </c>
      <c r="H921" s="82">
        <f t="shared" si="1"/>
        <v>0</v>
      </c>
      <c r="I921" s="82">
        <f t="shared" si="2"/>
        <v>0</v>
      </c>
      <c r="J921" s="82">
        <f>IFERROR( SUMIFS('Stock In'!I:I,'Stock In'!B:B,$A921,'Stock In'!C:C,$B921,'Stock In'!D:D,$C921,'Stock In'!E:E,$D921) / SUMIFS('Stock In'!H:H,'Stock In'!B:B,$A921,'Stock In'!C:C,$B921,'Stock In'!D:D,$C921,'Stock In'!E:E,$D921), 0)</f>
        <v>0</v>
      </c>
      <c r="K921" s="82">
        <f t="shared" si="3"/>
        <v>0</v>
      </c>
    </row>
    <row r="922">
      <c r="A922" s="80"/>
      <c r="B922" s="80"/>
      <c r="C922" s="80"/>
      <c r="D922" s="80"/>
      <c r="E922" s="82">
        <f>IFERROR(SUMIFS('Stock In'!F:F,'Stock In'!B:B,$A922,'Stock In'!C:C,$B922,'Stock In'!D:D,$C922,'Stock In'!E:E,$D922),0)</f>
        <v>0</v>
      </c>
      <c r="F922" s="82">
        <f>IFERROR(SUMIFS(Issues!H:H, Issues!F:F, $A922, Issues!C:C, $B922, Issues!D:D, $C922, Issues!E:E, $D922), 0)</f>
        <v>0</v>
      </c>
      <c r="G922" s="82">
        <f>IFERROR(SUMIFS(Returns!H:H, Returns!F:F, $A922, Returns!C:C, $B922, Returns!D:D, $C922, Returns!E:E, $D922), 0)</f>
        <v>0</v>
      </c>
      <c r="H922" s="82">
        <f t="shared" si="1"/>
        <v>0</v>
      </c>
      <c r="I922" s="82">
        <f t="shared" si="2"/>
        <v>0</v>
      </c>
      <c r="J922" s="82">
        <f>IFERROR( SUMIFS('Stock In'!I:I,'Stock In'!B:B,$A922,'Stock In'!C:C,$B922,'Stock In'!D:D,$C922,'Stock In'!E:E,$D922) / SUMIFS('Stock In'!H:H,'Stock In'!B:B,$A922,'Stock In'!C:C,$B922,'Stock In'!D:D,$C922,'Stock In'!E:E,$D922), 0)</f>
        <v>0</v>
      </c>
      <c r="K922" s="82">
        <f t="shared" si="3"/>
        <v>0</v>
      </c>
    </row>
    <row r="923">
      <c r="A923" s="80"/>
      <c r="B923" s="80"/>
      <c r="C923" s="80"/>
      <c r="D923" s="80"/>
      <c r="E923" s="82">
        <f>IFERROR(SUMIFS('Stock In'!F:F,'Stock In'!B:B,$A923,'Stock In'!C:C,$B923,'Stock In'!D:D,$C923,'Stock In'!E:E,$D923),0)</f>
        <v>0</v>
      </c>
      <c r="F923" s="82">
        <f>IFERROR(SUMIFS(Issues!H:H, Issues!F:F, $A923, Issues!C:C, $B923, Issues!D:D, $C923, Issues!E:E, $D923), 0)</f>
        <v>0</v>
      </c>
      <c r="G923" s="82">
        <f>IFERROR(SUMIFS(Returns!H:H, Returns!F:F, $A923, Returns!C:C, $B923, Returns!D:D, $C923, Returns!E:E, $D923), 0)</f>
        <v>0</v>
      </c>
      <c r="H923" s="82">
        <f t="shared" si="1"/>
        <v>0</v>
      </c>
      <c r="I923" s="82">
        <f t="shared" si="2"/>
        <v>0</v>
      </c>
      <c r="J923" s="82">
        <f>IFERROR( SUMIFS('Stock In'!I:I,'Stock In'!B:B,$A923,'Stock In'!C:C,$B923,'Stock In'!D:D,$C923,'Stock In'!E:E,$D923) / SUMIFS('Stock In'!H:H,'Stock In'!B:B,$A923,'Stock In'!C:C,$B923,'Stock In'!D:D,$C923,'Stock In'!E:E,$D923), 0)</f>
        <v>0</v>
      </c>
      <c r="K923" s="82">
        <f t="shared" si="3"/>
        <v>0</v>
      </c>
    </row>
    <row r="924">
      <c r="A924" s="80"/>
      <c r="B924" s="80"/>
      <c r="C924" s="80"/>
      <c r="D924" s="80"/>
      <c r="E924" s="82">
        <f>IFERROR(SUMIFS('Stock In'!F:F,'Stock In'!B:B,$A924,'Stock In'!C:C,$B924,'Stock In'!D:D,$C924,'Stock In'!E:E,$D924),0)</f>
        <v>0</v>
      </c>
      <c r="F924" s="82">
        <f>IFERROR(SUMIFS(Issues!H:H, Issues!F:F, $A924, Issues!C:C, $B924, Issues!D:D, $C924, Issues!E:E, $D924), 0)</f>
        <v>0</v>
      </c>
      <c r="G924" s="82">
        <f>IFERROR(SUMIFS(Returns!H:H, Returns!F:F, $A924, Returns!C:C, $B924, Returns!D:D, $C924, Returns!E:E, $D924), 0)</f>
        <v>0</v>
      </c>
      <c r="H924" s="82">
        <f t="shared" si="1"/>
        <v>0</v>
      </c>
      <c r="I924" s="82">
        <f t="shared" si="2"/>
        <v>0</v>
      </c>
      <c r="J924" s="82">
        <f>IFERROR( SUMIFS('Stock In'!I:I,'Stock In'!B:B,$A924,'Stock In'!C:C,$B924,'Stock In'!D:D,$C924,'Stock In'!E:E,$D924) / SUMIFS('Stock In'!H:H,'Stock In'!B:B,$A924,'Stock In'!C:C,$B924,'Stock In'!D:D,$C924,'Stock In'!E:E,$D924), 0)</f>
        <v>0</v>
      </c>
      <c r="K924" s="82">
        <f t="shared" si="3"/>
        <v>0</v>
      </c>
    </row>
    <row r="925">
      <c r="A925" s="80"/>
      <c r="B925" s="80"/>
      <c r="C925" s="80"/>
      <c r="D925" s="80"/>
      <c r="E925" s="82">
        <f>IFERROR(SUMIFS('Stock In'!F:F,'Stock In'!B:B,$A925,'Stock In'!C:C,$B925,'Stock In'!D:D,$C925,'Stock In'!E:E,$D925),0)</f>
        <v>0</v>
      </c>
      <c r="F925" s="82">
        <f>IFERROR(SUMIFS(Issues!H:H, Issues!F:F, $A925, Issues!C:C, $B925, Issues!D:D, $C925, Issues!E:E, $D925), 0)</f>
        <v>0</v>
      </c>
      <c r="G925" s="82">
        <f>IFERROR(SUMIFS(Returns!H:H, Returns!F:F, $A925, Returns!C:C, $B925, Returns!D:D, $C925, Returns!E:E, $D925), 0)</f>
        <v>0</v>
      </c>
      <c r="H925" s="82">
        <f t="shared" si="1"/>
        <v>0</v>
      </c>
      <c r="I925" s="82">
        <f t="shared" si="2"/>
        <v>0</v>
      </c>
      <c r="J925" s="82">
        <f>IFERROR( SUMIFS('Stock In'!I:I,'Stock In'!B:B,$A925,'Stock In'!C:C,$B925,'Stock In'!D:D,$C925,'Stock In'!E:E,$D925) / SUMIFS('Stock In'!H:H,'Stock In'!B:B,$A925,'Stock In'!C:C,$B925,'Stock In'!D:D,$C925,'Stock In'!E:E,$D925), 0)</f>
        <v>0</v>
      </c>
      <c r="K925" s="82">
        <f t="shared" si="3"/>
        <v>0</v>
      </c>
    </row>
    <row r="926">
      <c r="A926" s="80"/>
      <c r="B926" s="80"/>
      <c r="C926" s="80"/>
      <c r="D926" s="80"/>
      <c r="E926" s="82">
        <f>IFERROR(SUMIFS('Stock In'!F:F,'Stock In'!B:B,$A926,'Stock In'!C:C,$B926,'Stock In'!D:D,$C926,'Stock In'!E:E,$D926),0)</f>
        <v>0</v>
      </c>
      <c r="F926" s="82">
        <f>IFERROR(SUMIFS(Issues!H:H, Issues!F:F, $A926, Issues!C:C, $B926, Issues!D:D, $C926, Issues!E:E, $D926), 0)</f>
        <v>0</v>
      </c>
      <c r="G926" s="82">
        <f>IFERROR(SUMIFS(Returns!H:H, Returns!F:F, $A926, Returns!C:C, $B926, Returns!D:D, $C926, Returns!E:E, $D926), 0)</f>
        <v>0</v>
      </c>
      <c r="H926" s="82">
        <f t="shared" si="1"/>
        <v>0</v>
      </c>
      <c r="I926" s="82">
        <f t="shared" si="2"/>
        <v>0</v>
      </c>
      <c r="J926" s="82">
        <f>IFERROR( SUMIFS('Stock In'!I:I,'Stock In'!B:B,$A926,'Stock In'!C:C,$B926,'Stock In'!D:D,$C926,'Stock In'!E:E,$D926) / SUMIFS('Stock In'!H:H,'Stock In'!B:B,$A926,'Stock In'!C:C,$B926,'Stock In'!D:D,$C926,'Stock In'!E:E,$D926), 0)</f>
        <v>0</v>
      </c>
      <c r="K926" s="82">
        <f t="shared" si="3"/>
        <v>0</v>
      </c>
    </row>
    <row r="927">
      <c r="A927" s="80"/>
      <c r="B927" s="80"/>
      <c r="C927" s="80"/>
      <c r="D927" s="80"/>
      <c r="E927" s="82">
        <f>IFERROR(SUMIFS('Stock In'!F:F,'Stock In'!B:B,$A927,'Stock In'!C:C,$B927,'Stock In'!D:D,$C927,'Stock In'!E:E,$D927),0)</f>
        <v>0</v>
      </c>
      <c r="F927" s="82">
        <f>IFERROR(SUMIFS(Issues!H:H, Issues!F:F, $A927, Issues!C:C, $B927, Issues!D:D, $C927, Issues!E:E, $D927), 0)</f>
        <v>0</v>
      </c>
      <c r="G927" s="82">
        <f>IFERROR(SUMIFS(Returns!H:H, Returns!F:F, $A927, Returns!C:C, $B927, Returns!D:D, $C927, Returns!E:E, $D927), 0)</f>
        <v>0</v>
      </c>
      <c r="H927" s="82">
        <f t="shared" si="1"/>
        <v>0</v>
      </c>
      <c r="I927" s="82">
        <f t="shared" si="2"/>
        <v>0</v>
      </c>
      <c r="J927" s="82">
        <f>IFERROR( SUMIFS('Stock In'!I:I,'Stock In'!B:B,$A927,'Stock In'!C:C,$B927,'Stock In'!D:D,$C927,'Stock In'!E:E,$D927) / SUMIFS('Stock In'!H:H,'Stock In'!B:B,$A927,'Stock In'!C:C,$B927,'Stock In'!D:D,$C927,'Stock In'!E:E,$D927), 0)</f>
        <v>0</v>
      </c>
      <c r="K927" s="82">
        <f t="shared" si="3"/>
        <v>0</v>
      </c>
    </row>
    <row r="928">
      <c r="A928" s="80"/>
      <c r="B928" s="80"/>
      <c r="C928" s="80"/>
      <c r="D928" s="80"/>
      <c r="E928" s="82">
        <f>IFERROR(SUMIFS('Stock In'!F:F,'Stock In'!B:B,$A928,'Stock In'!C:C,$B928,'Stock In'!D:D,$C928,'Stock In'!E:E,$D928),0)</f>
        <v>0</v>
      </c>
      <c r="F928" s="82">
        <f>IFERROR(SUMIFS(Issues!H:H, Issues!F:F, $A928, Issues!C:C, $B928, Issues!D:D, $C928, Issues!E:E, $D928), 0)</f>
        <v>0</v>
      </c>
      <c r="G928" s="82">
        <f>IFERROR(SUMIFS(Returns!H:H, Returns!F:F, $A928, Returns!C:C, $B928, Returns!D:D, $C928, Returns!E:E, $D928), 0)</f>
        <v>0</v>
      </c>
      <c r="H928" s="82">
        <f t="shared" si="1"/>
        <v>0</v>
      </c>
      <c r="I928" s="82">
        <f t="shared" si="2"/>
        <v>0</v>
      </c>
      <c r="J928" s="82">
        <f>IFERROR( SUMIFS('Stock In'!I:I,'Stock In'!B:B,$A928,'Stock In'!C:C,$B928,'Stock In'!D:D,$C928,'Stock In'!E:E,$D928) / SUMIFS('Stock In'!H:H,'Stock In'!B:B,$A928,'Stock In'!C:C,$B928,'Stock In'!D:D,$C928,'Stock In'!E:E,$D928), 0)</f>
        <v>0</v>
      </c>
      <c r="K928" s="82">
        <f t="shared" si="3"/>
        <v>0</v>
      </c>
    </row>
    <row r="929">
      <c r="A929" s="80"/>
      <c r="B929" s="80"/>
      <c r="C929" s="80"/>
      <c r="D929" s="80"/>
      <c r="E929" s="82">
        <f>IFERROR(SUMIFS('Stock In'!F:F,'Stock In'!B:B,$A929,'Stock In'!C:C,$B929,'Stock In'!D:D,$C929,'Stock In'!E:E,$D929),0)</f>
        <v>0</v>
      </c>
      <c r="F929" s="82">
        <f>IFERROR(SUMIFS(Issues!H:H, Issues!F:F, $A929, Issues!C:C, $B929, Issues!D:D, $C929, Issues!E:E, $D929), 0)</f>
        <v>0</v>
      </c>
      <c r="G929" s="82">
        <f>IFERROR(SUMIFS(Returns!H:H, Returns!F:F, $A929, Returns!C:C, $B929, Returns!D:D, $C929, Returns!E:E, $D929), 0)</f>
        <v>0</v>
      </c>
      <c r="H929" s="82">
        <f t="shared" si="1"/>
        <v>0</v>
      </c>
      <c r="I929" s="82">
        <f t="shared" si="2"/>
        <v>0</v>
      </c>
      <c r="J929" s="82">
        <f>IFERROR( SUMIFS('Stock In'!I:I,'Stock In'!B:B,$A929,'Stock In'!C:C,$B929,'Stock In'!D:D,$C929,'Stock In'!E:E,$D929) / SUMIFS('Stock In'!H:H,'Stock In'!B:B,$A929,'Stock In'!C:C,$B929,'Stock In'!D:D,$C929,'Stock In'!E:E,$D929), 0)</f>
        <v>0</v>
      </c>
      <c r="K929" s="82">
        <f t="shared" si="3"/>
        <v>0</v>
      </c>
    </row>
    <row r="930">
      <c r="A930" s="80"/>
      <c r="B930" s="80"/>
      <c r="C930" s="80"/>
      <c r="D930" s="80"/>
      <c r="E930" s="82">
        <f>IFERROR(SUMIFS('Stock In'!F:F,'Stock In'!B:B,$A930,'Stock In'!C:C,$B930,'Stock In'!D:D,$C930,'Stock In'!E:E,$D930),0)</f>
        <v>0</v>
      </c>
      <c r="F930" s="82">
        <f>IFERROR(SUMIFS(Issues!H:H, Issues!F:F, $A930, Issues!C:C, $B930, Issues!D:D, $C930, Issues!E:E, $D930), 0)</f>
        <v>0</v>
      </c>
      <c r="G930" s="82">
        <f>IFERROR(SUMIFS(Returns!H:H, Returns!F:F, $A930, Returns!C:C, $B930, Returns!D:D, $C930, Returns!E:E, $D930), 0)</f>
        <v>0</v>
      </c>
      <c r="H930" s="82">
        <f t="shared" si="1"/>
        <v>0</v>
      </c>
      <c r="I930" s="82">
        <f t="shared" si="2"/>
        <v>0</v>
      </c>
      <c r="J930" s="82">
        <f>IFERROR( SUMIFS('Stock In'!I:I,'Stock In'!B:B,$A930,'Stock In'!C:C,$B930,'Stock In'!D:D,$C930,'Stock In'!E:E,$D930) / SUMIFS('Stock In'!H:H,'Stock In'!B:B,$A930,'Stock In'!C:C,$B930,'Stock In'!D:D,$C930,'Stock In'!E:E,$D930), 0)</f>
        <v>0</v>
      </c>
      <c r="K930" s="82">
        <f t="shared" si="3"/>
        <v>0</v>
      </c>
    </row>
    <row r="931">
      <c r="A931" s="80"/>
      <c r="B931" s="80"/>
      <c r="C931" s="80"/>
      <c r="D931" s="80"/>
      <c r="E931" s="82">
        <f>IFERROR(SUMIFS('Stock In'!F:F,'Stock In'!B:B,$A931,'Stock In'!C:C,$B931,'Stock In'!D:D,$C931,'Stock In'!E:E,$D931),0)</f>
        <v>0</v>
      </c>
      <c r="F931" s="82">
        <f>IFERROR(SUMIFS(Issues!H:H, Issues!F:F, $A931, Issues!C:C, $B931, Issues!D:D, $C931, Issues!E:E, $D931), 0)</f>
        <v>0</v>
      </c>
      <c r="G931" s="82">
        <f>IFERROR(SUMIFS(Returns!H:H, Returns!F:F, $A931, Returns!C:C, $B931, Returns!D:D, $C931, Returns!E:E, $D931), 0)</f>
        <v>0</v>
      </c>
      <c r="H931" s="82">
        <f t="shared" si="1"/>
        <v>0</v>
      </c>
      <c r="I931" s="82">
        <f t="shared" si="2"/>
        <v>0</v>
      </c>
      <c r="J931" s="82">
        <f>IFERROR( SUMIFS('Stock In'!I:I,'Stock In'!B:B,$A931,'Stock In'!C:C,$B931,'Stock In'!D:D,$C931,'Stock In'!E:E,$D931) / SUMIFS('Stock In'!H:H,'Stock In'!B:B,$A931,'Stock In'!C:C,$B931,'Stock In'!D:D,$C931,'Stock In'!E:E,$D931), 0)</f>
        <v>0</v>
      </c>
      <c r="K931" s="82">
        <f t="shared" si="3"/>
        <v>0</v>
      </c>
    </row>
    <row r="932">
      <c r="A932" s="80"/>
      <c r="B932" s="80"/>
      <c r="C932" s="80"/>
      <c r="D932" s="80"/>
      <c r="E932" s="82">
        <f>IFERROR(SUMIFS('Stock In'!F:F,'Stock In'!B:B,$A932,'Stock In'!C:C,$B932,'Stock In'!D:D,$C932,'Stock In'!E:E,$D932),0)</f>
        <v>0</v>
      </c>
      <c r="F932" s="82">
        <f>IFERROR(SUMIFS(Issues!H:H, Issues!F:F, $A932, Issues!C:C, $B932, Issues!D:D, $C932, Issues!E:E, $D932), 0)</f>
        <v>0</v>
      </c>
      <c r="G932" s="82">
        <f>IFERROR(SUMIFS(Returns!H:H, Returns!F:F, $A932, Returns!C:C, $B932, Returns!D:D, $C932, Returns!E:E, $D932), 0)</f>
        <v>0</v>
      </c>
      <c r="H932" s="82">
        <f t="shared" si="1"/>
        <v>0</v>
      </c>
      <c r="I932" s="82">
        <f t="shared" si="2"/>
        <v>0</v>
      </c>
      <c r="J932" s="82">
        <f>IFERROR( SUMIFS('Stock In'!I:I,'Stock In'!B:B,$A932,'Stock In'!C:C,$B932,'Stock In'!D:D,$C932,'Stock In'!E:E,$D932) / SUMIFS('Stock In'!H:H,'Stock In'!B:B,$A932,'Stock In'!C:C,$B932,'Stock In'!D:D,$C932,'Stock In'!E:E,$D932), 0)</f>
        <v>0</v>
      </c>
      <c r="K932" s="82">
        <f t="shared" si="3"/>
        <v>0</v>
      </c>
    </row>
    <row r="933">
      <c r="A933" s="80"/>
      <c r="B933" s="80"/>
      <c r="C933" s="80"/>
      <c r="D933" s="80"/>
      <c r="E933" s="82">
        <f>IFERROR(SUMIFS('Stock In'!F:F,'Stock In'!B:B,$A933,'Stock In'!C:C,$B933,'Stock In'!D:D,$C933,'Stock In'!E:E,$D933),0)</f>
        <v>0</v>
      </c>
      <c r="F933" s="82">
        <f>IFERROR(SUMIFS(Issues!H:H, Issues!F:F, $A933, Issues!C:C, $B933, Issues!D:D, $C933, Issues!E:E, $D933), 0)</f>
        <v>0</v>
      </c>
      <c r="G933" s="82">
        <f>IFERROR(SUMIFS(Returns!H:H, Returns!F:F, $A933, Returns!C:C, $B933, Returns!D:D, $C933, Returns!E:E, $D933), 0)</f>
        <v>0</v>
      </c>
      <c r="H933" s="82">
        <f t="shared" si="1"/>
        <v>0</v>
      </c>
      <c r="I933" s="82">
        <f t="shared" si="2"/>
        <v>0</v>
      </c>
      <c r="J933" s="82">
        <f>IFERROR( SUMIFS('Stock In'!I:I,'Stock In'!B:B,$A933,'Stock In'!C:C,$B933,'Stock In'!D:D,$C933,'Stock In'!E:E,$D933) / SUMIFS('Stock In'!H:H,'Stock In'!B:B,$A933,'Stock In'!C:C,$B933,'Stock In'!D:D,$C933,'Stock In'!E:E,$D933), 0)</f>
        <v>0</v>
      </c>
      <c r="K933" s="82">
        <f t="shared" si="3"/>
        <v>0</v>
      </c>
    </row>
    <row r="934">
      <c r="A934" s="80"/>
      <c r="B934" s="80"/>
      <c r="C934" s="80"/>
      <c r="D934" s="80"/>
      <c r="E934" s="82">
        <f>IFERROR(SUMIFS('Stock In'!F:F,'Stock In'!B:B,$A934,'Stock In'!C:C,$B934,'Stock In'!D:D,$C934,'Stock In'!E:E,$D934),0)</f>
        <v>0</v>
      </c>
      <c r="F934" s="82">
        <f>IFERROR(SUMIFS(Issues!H:H, Issues!F:F, $A934, Issues!C:C, $B934, Issues!D:D, $C934, Issues!E:E, $D934), 0)</f>
        <v>0</v>
      </c>
      <c r="G934" s="82">
        <f>IFERROR(SUMIFS(Returns!H:H, Returns!F:F, $A934, Returns!C:C, $B934, Returns!D:D, $C934, Returns!E:E, $D934), 0)</f>
        <v>0</v>
      </c>
      <c r="H934" s="82">
        <f t="shared" si="1"/>
        <v>0</v>
      </c>
      <c r="I934" s="82">
        <f t="shared" si="2"/>
        <v>0</v>
      </c>
      <c r="J934" s="82">
        <f>IFERROR( SUMIFS('Stock In'!I:I,'Stock In'!B:B,$A934,'Stock In'!C:C,$B934,'Stock In'!D:D,$C934,'Stock In'!E:E,$D934) / SUMIFS('Stock In'!H:H,'Stock In'!B:B,$A934,'Stock In'!C:C,$B934,'Stock In'!D:D,$C934,'Stock In'!E:E,$D934), 0)</f>
        <v>0</v>
      </c>
      <c r="K934" s="82">
        <f t="shared" si="3"/>
        <v>0</v>
      </c>
    </row>
    <row r="935">
      <c r="A935" s="80"/>
      <c r="B935" s="80"/>
      <c r="C935" s="80"/>
      <c r="D935" s="80"/>
      <c r="E935" s="82">
        <f>IFERROR(SUMIFS('Stock In'!F:F,'Stock In'!B:B,$A935,'Stock In'!C:C,$B935,'Stock In'!D:D,$C935,'Stock In'!E:E,$D935),0)</f>
        <v>0</v>
      </c>
      <c r="F935" s="82">
        <f>IFERROR(SUMIFS(Issues!H:H, Issues!F:F, $A935, Issues!C:C, $B935, Issues!D:D, $C935, Issues!E:E, $D935), 0)</f>
        <v>0</v>
      </c>
      <c r="G935" s="82">
        <f>IFERROR(SUMIFS(Returns!H:H, Returns!F:F, $A935, Returns!C:C, $B935, Returns!D:D, $C935, Returns!E:E, $D935), 0)</f>
        <v>0</v>
      </c>
      <c r="H935" s="82">
        <f t="shared" si="1"/>
        <v>0</v>
      </c>
      <c r="I935" s="82">
        <f t="shared" si="2"/>
        <v>0</v>
      </c>
      <c r="J935" s="82">
        <f>IFERROR( SUMIFS('Stock In'!I:I,'Stock In'!B:B,$A935,'Stock In'!C:C,$B935,'Stock In'!D:D,$C935,'Stock In'!E:E,$D935) / SUMIFS('Stock In'!H:H,'Stock In'!B:B,$A935,'Stock In'!C:C,$B935,'Stock In'!D:D,$C935,'Stock In'!E:E,$D935), 0)</f>
        <v>0</v>
      </c>
      <c r="K935" s="82">
        <f t="shared" si="3"/>
        <v>0</v>
      </c>
    </row>
    <row r="936">
      <c r="A936" s="80"/>
      <c r="B936" s="80"/>
      <c r="C936" s="80"/>
      <c r="D936" s="80"/>
      <c r="E936" s="82">
        <f>IFERROR(SUMIFS('Stock In'!F:F,'Stock In'!B:B,$A936,'Stock In'!C:C,$B936,'Stock In'!D:D,$C936,'Stock In'!E:E,$D936),0)</f>
        <v>0</v>
      </c>
      <c r="F936" s="82">
        <f>IFERROR(SUMIFS(Issues!H:H, Issues!F:F, $A936, Issues!C:C, $B936, Issues!D:D, $C936, Issues!E:E, $D936), 0)</f>
        <v>0</v>
      </c>
      <c r="G936" s="82">
        <f>IFERROR(SUMIFS(Returns!H:H, Returns!F:F, $A936, Returns!C:C, $B936, Returns!D:D, $C936, Returns!E:E, $D936), 0)</f>
        <v>0</v>
      </c>
      <c r="H936" s="82">
        <f t="shared" si="1"/>
        <v>0</v>
      </c>
      <c r="I936" s="82">
        <f t="shared" si="2"/>
        <v>0</v>
      </c>
      <c r="J936" s="82">
        <f>IFERROR( SUMIFS('Stock In'!I:I,'Stock In'!B:B,$A936,'Stock In'!C:C,$B936,'Stock In'!D:D,$C936,'Stock In'!E:E,$D936) / SUMIFS('Stock In'!H:H,'Stock In'!B:B,$A936,'Stock In'!C:C,$B936,'Stock In'!D:D,$C936,'Stock In'!E:E,$D936), 0)</f>
        <v>0</v>
      </c>
      <c r="K936" s="82">
        <f t="shared" si="3"/>
        <v>0</v>
      </c>
    </row>
    <row r="937">
      <c r="A937" s="80"/>
      <c r="B937" s="80"/>
      <c r="C937" s="80"/>
      <c r="D937" s="80"/>
      <c r="E937" s="82">
        <f>IFERROR(SUMIFS('Stock In'!F:F,'Stock In'!B:B,$A937,'Stock In'!C:C,$B937,'Stock In'!D:D,$C937,'Stock In'!E:E,$D937),0)</f>
        <v>0</v>
      </c>
      <c r="F937" s="82">
        <f>IFERROR(SUMIFS(Issues!H:H, Issues!F:F, $A937, Issues!C:C, $B937, Issues!D:D, $C937, Issues!E:E, $D937), 0)</f>
        <v>0</v>
      </c>
      <c r="G937" s="82">
        <f>IFERROR(SUMIFS(Returns!H:H, Returns!F:F, $A937, Returns!C:C, $B937, Returns!D:D, $C937, Returns!E:E, $D937), 0)</f>
        <v>0</v>
      </c>
      <c r="H937" s="82">
        <f t="shared" si="1"/>
        <v>0</v>
      </c>
      <c r="I937" s="82">
        <f t="shared" si="2"/>
        <v>0</v>
      </c>
      <c r="J937" s="82">
        <f>IFERROR( SUMIFS('Stock In'!I:I,'Stock In'!B:B,$A937,'Stock In'!C:C,$B937,'Stock In'!D:D,$C937,'Stock In'!E:E,$D937) / SUMIFS('Stock In'!H:H,'Stock In'!B:B,$A937,'Stock In'!C:C,$B937,'Stock In'!D:D,$C937,'Stock In'!E:E,$D937), 0)</f>
        <v>0</v>
      </c>
      <c r="K937" s="82">
        <f t="shared" si="3"/>
        <v>0</v>
      </c>
    </row>
    <row r="938">
      <c r="A938" s="80"/>
      <c r="B938" s="80"/>
      <c r="C938" s="80"/>
      <c r="D938" s="80"/>
      <c r="E938" s="82">
        <f>IFERROR(SUMIFS('Stock In'!F:F,'Stock In'!B:B,$A938,'Stock In'!C:C,$B938,'Stock In'!D:D,$C938,'Stock In'!E:E,$D938),0)</f>
        <v>0</v>
      </c>
      <c r="F938" s="82">
        <f>IFERROR(SUMIFS(Issues!H:H, Issues!F:F, $A938, Issues!C:C, $B938, Issues!D:D, $C938, Issues!E:E, $D938), 0)</f>
        <v>0</v>
      </c>
      <c r="G938" s="82">
        <f>IFERROR(SUMIFS(Returns!H:H, Returns!F:F, $A938, Returns!C:C, $B938, Returns!D:D, $C938, Returns!E:E, $D938), 0)</f>
        <v>0</v>
      </c>
      <c r="H938" s="82">
        <f t="shared" si="1"/>
        <v>0</v>
      </c>
      <c r="I938" s="82">
        <f t="shared" si="2"/>
        <v>0</v>
      </c>
      <c r="J938" s="82">
        <f>IFERROR( SUMIFS('Stock In'!I:I,'Stock In'!B:B,$A938,'Stock In'!C:C,$B938,'Stock In'!D:D,$C938,'Stock In'!E:E,$D938) / SUMIFS('Stock In'!H:H,'Stock In'!B:B,$A938,'Stock In'!C:C,$B938,'Stock In'!D:D,$C938,'Stock In'!E:E,$D938), 0)</f>
        <v>0</v>
      </c>
      <c r="K938" s="82">
        <f t="shared" si="3"/>
        <v>0</v>
      </c>
    </row>
    <row r="939">
      <c r="A939" s="80"/>
      <c r="B939" s="80"/>
      <c r="C939" s="80"/>
      <c r="D939" s="80"/>
      <c r="E939" s="82">
        <f>IFERROR(SUMIFS('Stock In'!F:F,'Stock In'!B:B,$A939,'Stock In'!C:C,$B939,'Stock In'!D:D,$C939,'Stock In'!E:E,$D939),0)</f>
        <v>0</v>
      </c>
      <c r="F939" s="82">
        <f>IFERROR(SUMIFS(Issues!H:H, Issues!F:F, $A939, Issues!C:C, $B939, Issues!D:D, $C939, Issues!E:E, $D939), 0)</f>
        <v>0</v>
      </c>
      <c r="G939" s="82">
        <f>IFERROR(SUMIFS(Returns!H:H, Returns!F:F, $A939, Returns!C:C, $B939, Returns!D:D, $C939, Returns!E:E, $D939), 0)</f>
        <v>0</v>
      </c>
      <c r="H939" s="82">
        <f t="shared" si="1"/>
        <v>0</v>
      </c>
      <c r="I939" s="82">
        <f t="shared" si="2"/>
        <v>0</v>
      </c>
      <c r="J939" s="82">
        <f>IFERROR( SUMIFS('Stock In'!I:I,'Stock In'!B:B,$A939,'Stock In'!C:C,$B939,'Stock In'!D:D,$C939,'Stock In'!E:E,$D939) / SUMIFS('Stock In'!H:H,'Stock In'!B:B,$A939,'Stock In'!C:C,$B939,'Stock In'!D:D,$C939,'Stock In'!E:E,$D939), 0)</f>
        <v>0</v>
      </c>
      <c r="K939" s="82">
        <f t="shared" si="3"/>
        <v>0</v>
      </c>
    </row>
    <row r="940">
      <c r="A940" s="80"/>
      <c r="B940" s="80"/>
      <c r="C940" s="80"/>
      <c r="D940" s="80"/>
      <c r="E940" s="82">
        <f>IFERROR(SUMIFS('Stock In'!F:F,'Stock In'!B:B,$A940,'Stock In'!C:C,$B940,'Stock In'!D:D,$C940,'Stock In'!E:E,$D940),0)</f>
        <v>0</v>
      </c>
      <c r="F940" s="82">
        <f>IFERROR(SUMIFS(Issues!H:H, Issues!F:F, $A940, Issues!C:C, $B940, Issues!D:D, $C940, Issues!E:E, $D940), 0)</f>
        <v>0</v>
      </c>
      <c r="G940" s="82">
        <f>IFERROR(SUMIFS(Returns!H:H, Returns!F:F, $A940, Returns!C:C, $B940, Returns!D:D, $C940, Returns!E:E, $D940), 0)</f>
        <v>0</v>
      </c>
      <c r="H940" s="82">
        <f t="shared" si="1"/>
        <v>0</v>
      </c>
      <c r="I940" s="82">
        <f t="shared" si="2"/>
        <v>0</v>
      </c>
      <c r="J940" s="82">
        <f>IFERROR( SUMIFS('Stock In'!I:I,'Stock In'!B:B,$A940,'Stock In'!C:C,$B940,'Stock In'!D:D,$C940,'Stock In'!E:E,$D940) / SUMIFS('Stock In'!H:H,'Stock In'!B:B,$A940,'Stock In'!C:C,$B940,'Stock In'!D:D,$C940,'Stock In'!E:E,$D940), 0)</f>
        <v>0</v>
      </c>
      <c r="K940" s="82">
        <f t="shared" si="3"/>
        <v>0</v>
      </c>
    </row>
    <row r="941">
      <c r="A941" s="80"/>
      <c r="B941" s="80"/>
      <c r="C941" s="80"/>
      <c r="D941" s="80"/>
      <c r="E941" s="82">
        <f>IFERROR(SUMIFS('Stock In'!F:F,'Stock In'!B:B,$A941,'Stock In'!C:C,$B941,'Stock In'!D:D,$C941,'Stock In'!E:E,$D941),0)</f>
        <v>0</v>
      </c>
      <c r="F941" s="82">
        <f>IFERROR(SUMIFS(Issues!H:H, Issues!F:F, $A941, Issues!C:C, $B941, Issues!D:D, $C941, Issues!E:E, $D941), 0)</f>
        <v>0</v>
      </c>
      <c r="G941" s="82">
        <f>IFERROR(SUMIFS(Returns!H:H, Returns!F:F, $A941, Returns!C:C, $B941, Returns!D:D, $C941, Returns!E:E, $D941), 0)</f>
        <v>0</v>
      </c>
      <c r="H941" s="82">
        <f t="shared" si="1"/>
        <v>0</v>
      </c>
      <c r="I941" s="82">
        <f t="shared" si="2"/>
        <v>0</v>
      </c>
      <c r="J941" s="82">
        <f>IFERROR( SUMIFS('Stock In'!I:I,'Stock In'!B:B,$A941,'Stock In'!C:C,$B941,'Stock In'!D:D,$C941,'Stock In'!E:E,$D941) / SUMIFS('Stock In'!H:H,'Stock In'!B:B,$A941,'Stock In'!C:C,$B941,'Stock In'!D:D,$C941,'Stock In'!E:E,$D941), 0)</f>
        <v>0</v>
      </c>
      <c r="K941" s="82">
        <f t="shared" si="3"/>
        <v>0</v>
      </c>
    </row>
    <row r="942">
      <c r="A942" s="80"/>
      <c r="B942" s="80"/>
      <c r="C942" s="80"/>
      <c r="D942" s="80"/>
      <c r="E942" s="82">
        <f>IFERROR(SUMIFS('Stock In'!F:F,'Stock In'!B:B,$A942,'Stock In'!C:C,$B942,'Stock In'!D:D,$C942,'Stock In'!E:E,$D942),0)</f>
        <v>0</v>
      </c>
      <c r="F942" s="82">
        <f>IFERROR(SUMIFS(Issues!H:H, Issues!F:F, $A942, Issues!C:C, $B942, Issues!D:D, $C942, Issues!E:E, $D942), 0)</f>
        <v>0</v>
      </c>
      <c r="G942" s="82">
        <f>IFERROR(SUMIFS(Returns!H:H, Returns!F:F, $A942, Returns!C:C, $B942, Returns!D:D, $C942, Returns!E:E, $D942), 0)</f>
        <v>0</v>
      </c>
      <c r="H942" s="82">
        <f t="shared" si="1"/>
        <v>0</v>
      </c>
      <c r="I942" s="82">
        <f t="shared" si="2"/>
        <v>0</v>
      </c>
      <c r="J942" s="82">
        <f>IFERROR( SUMIFS('Stock In'!I:I,'Stock In'!B:B,$A942,'Stock In'!C:C,$B942,'Stock In'!D:D,$C942,'Stock In'!E:E,$D942) / SUMIFS('Stock In'!H:H,'Stock In'!B:B,$A942,'Stock In'!C:C,$B942,'Stock In'!D:D,$C942,'Stock In'!E:E,$D942), 0)</f>
        <v>0</v>
      </c>
      <c r="K942" s="82">
        <f t="shared" si="3"/>
        <v>0</v>
      </c>
    </row>
    <row r="943">
      <c r="A943" s="80"/>
      <c r="B943" s="80"/>
      <c r="C943" s="80"/>
      <c r="D943" s="80"/>
      <c r="E943" s="82">
        <f>IFERROR(SUMIFS('Stock In'!F:F,'Stock In'!B:B,$A943,'Stock In'!C:C,$B943,'Stock In'!D:D,$C943,'Stock In'!E:E,$D943),0)</f>
        <v>0</v>
      </c>
      <c r="F943" s="82">
        <f>IFERROR(SUMIFS(Issues!H:H, Issues!F:F, $A943, Issues!C:C, $B943, Issues!D:D, $C943, Issues!E:E, $D943), 0)</f>
        <v>0</v>
      </c>
      <c r="G943" s="82">
        <f>IFERROR(SUMIFS(Returns!H:H, Returns!F:F, $A943, Returns!C:C, $B943, Returns!D:D, $C943, Returns!E:E, $D943), 0)</f>
        <v>0</v>
      </c>
      <c r="H943" s="82">
        <f t="shared" si="1"/>
        <v>0</v>
      </c>
      <c r="I943" s="82">
        <f t="shared" si="2"/>
        <v>0</v>
      </c>
      <c r="J943" s="82">
        <f>IFERROR( SUMIFS('Stock In'!I:I,'Stock In'!B:B,$A943,'Stock In'!C:C,$B943,'Stock In'!D:D,$C943,'Stock In'!E:E,$D943) / SUMIFS('Stock In'!H:H,'Stock In'!B:B,$A943,'Stock In'!C:C,$B943,'Stock In'!D:D,$C943,'Stock In'!E:E,$D943), 0)</f>
        <v>0</v>
      </c>
      <c r="K943" s="82">
        <f t="shared" si="3"/>
        <v>0</v>
      </c>
    </row>
    <row r="944">
      <c r="A944" s="80"/>
      <c r="B944" s="80"/>
      <c r="C944" s="80"/>
      <c r="D944" s="80"/>
      <c r="E944" s="82">
        <f>IFERROR(SUMIFS('Stock In'!F:F,'Stock In'!B:B,$A944,'Stock In'!C:C,$B944,'Stock In'!D:D,$C944,'Stock In'!E:E,$D944),0)</f>
        <v>0</v>
      </c>
      <c r="F944" s="82">
        <f>IFERROR(SUMIFS(Issues!H:H, Issues!F:F, $A944, Issues!C:C, $B944, Issues!D:D, $C944, Issues!E:E, $D944), 0)</f>
        <v>0</v>
      </c>
      <c r="G944" s="82">
        <f>IFERROR(SUMIFS(Returns!H:H, Returns!F:F, $A944, Returns!C:C, $B944, Returns!D:D, $C944, Returns!E:E, $D944), 0)</f>
        <v>0</v>
      </c>
      <c r="H944" s="82">
        <f t="shared" si="1"/>
        <v>0</v>
      </c>
      <c r="I944" s="82">
        <f t="shared" si="2"/>
        <v>0</v>
      </c>
      <c r="J944" s="82">
        <f>IFERROR( SUMIFS('Stock In'!I:I,'Stock In'!B:B,$A944,'Stock In'!C:C,$B944,'Stock In'!D:D,$C944,'Stock In'!E:E,$D944) / SUMIFS('Stock In'!H:H,'Stock In'!B:B,$A944,'Stock In'!C:C,$B944,'Stock In'!D:D,$C944,'Stock In'!E:E,$D944), 0)</f>
        <v>0</v>
      </c>
      <c r="K944" s="82">
        <f t="shared" si="3"/>
        <v>0</v>
      </c>
    </row>
    <row r="945">
      <c r="A945" s="80"/>
      <c r="B945" s="80"/>
      <c r="C945" s="80"/>
      <c r="D945" s="80"/>
      <c r="E945" s="82">
        <f>IFERROR(SUMIFS('Stock In'!F:F,'Stock In'!B:B,$A945,'Stock In'!C:C,$B945,'Stock In'!D:D,$C945,'Stock In'!E:E,$D945),0)</f>
        <v>0</v>
      </c>
      <c r="F945" s="82">
        <f>IFERROR(SUMIFS(Issues!H:H, Issues!F:F, $A945, Issues!C:C, $B945, Issues!D:D, $C945, Issues!E:E, $D945), 0)</f>
        <v>0</v>
      </c>
      <c r="G945" s="82">
        <f>IFERROR(SUMIFS(Returns!H:H, Returns!F:F, $A945, Returns!C:C, $B945, Returns!D:D, $C945, Returns!E:E, $D945), 0)</f>
        <v>0</v>
      </c>
      <c r="H945" s="82">
        <f t="shared" si="1"/>
        <v>0</v>
      </c>
      <c r="I945" s="82">
        <f t="shared" si="2"/>
        <v>0</v>
      </c>
      <c r="J945" s="82">
        <f>IFERROR( SUMIFS('Stock In'!I:I,'Stock In'!B:B,$A945,'Stock In'!C:C,$B945,'Stock In'!D:D,$C945,'Stock In'!E:E,$D945) / SUMIFS('Stock In'!H:H,'Stock In'!B:B,$A945,'Stock In'!C:C,$B945,'Stock In'!D:D,$C945,'Stock In'!E:E,$D945), 0)</f>
        <v>0</v>
      </c>
      <c r="K945" s="82">
        <f t="shared" si="3"/>
        <v>0</v>
      </c>
    </row>
    <row r="946">
      <c r="A946" s="80"/>
      <c r="B946" s="80"/>
      <c r="C946" s="80"/>
      <c r="D946" s="80"/>
      <c r="E946" s="82">
        <f>IFERROR(SUMIFS('Stock In'!F:F,'Stock In'!B:B,$A946,'Stock In'!C:C,$B946,'Stock In'!D:D,$C946,'Stock In'!E:E,$D946),0)</f>
        <v>0</v>
      </c>
      <c r="F946" s="82">
        <f>IFERROR(SUMIFS(Issues!H:H, Issues!F:F, $A946, Issues!C:C, $B946, Issues!D:D, $C946, Issues!E:E, $D946), 0)</f>
        <v>0</v>
      </c>
      <c r="G946" s="82">
        <f>IFERROR(SUMIFS(Returns!H:H, Returns!F:F, $A946, Returns!C:C, $B946, Returns!D:D, $C946, Returns!E:E, $D946), 0)</f>
        <v>0</v>
      </c>
      <c r="H946" s="82">
        <f t="shared" si="1"/>
        <v>0</v>
      </c>
      <c r="I946" s="82">
        <f t="shared" si="2"/>
        <v>0</v>
      </c>
      <c r="J946" s="82">
        <f>IFERROR( SUMIFS('Stock In'!I:I,'Stock In'!B:B,$A946,'Stock In'!C:C,$B946,'Stock In'!D:D,$C946,'Stock In'!E:E,$D946) / SUMIFS('Stock In'!H:H,'Stock In'!B:B,$A946,'Stock In'!C:C,$B946,'Stock In'!D:D,$C946,'Stock In'!E:E,$D946), 0)</f>
        <v>0</v>
      </c>
      <c r="K946" s="82">
        <f t="shared" si="3"/>
        <v>0</v>
      </c>
    </row>
    <row r="947">
      <c r="A947" s="80"/>
      <c r="B947" s="80"/>
      <c r="C947" s="80"/>
      <c r="D947" s="80"/>
      <c r="E947" s="82">
        <f>IFERROR(SUMIFS('Stock In'!F:F,'Stock In'!B:B,$A947,'Stock In'!C:C,$B947,'Stock In'!D:D,$C947,'Stock In'!E:E,$D947),0)</f>
        <v>0</v>
      </c>
      <c r="F947" s="82">
        <f>IFERROR(SUMIFS(Issues!H:H, Issues!F:F, $A947, Issues!C:C, $B947, Issues!D:D, $C947, Issues!E:E, $D947), 0)</f>
        <v>0</v>
      </c>
      <c r="G947" s="82">
        <f>IFERROR(SUMIFS(Returns!H:H, Returns!F:F, $A947, Returns!C:C, $B947, Returns!D:D, $C947, Returns!E:E, $D947), 0)</f>
        <v>0</v>
      </c>
      <c r="H947" s="82">
        <f t="shared" si="1"/>
        <v>0</v>
      </c>
      <c r="I947" s="82">
        <f t="shared" si="2"/>
        <v>0</v>
      </c>
      <c r="J947" s="82">
        <f>IFERROR( SUMIFS('Stock In'!I:I,'Stock In'!B:B,$A947,'Stock In'!C:C,$B947,'Stock In'!D:D,$C947,'Stock In'!E:E,$D947) / SUMIFS('Stock In'!H:H,'Stock In'!B:B,$A947,'Stock In'!C:C,$B947,'Stock In'!D:D,$C947,'Stock In'!E:E,$D947), 0)</f>
        <v>0</v>
      </c>
      <c r="K947" s="82">
        <f t="shared" si="3"/>
        <v>0</v>
      </c>
    </row>
    <row r="948">
      <c r="A948" s="80"/>
      <c r="B948" s="80"/>
      <c r="C948" s="80"/>
      <c r="D948" s="80"/>
      <c r="E948" s="82">
        <f>IFERROR(SUMIFS('Stock In'!F:F,'Stock In'!B:B,$A948,'Stock In'!C:C,$B948,'Stock In'!D:D,$C948,'Stock In'!E:E,$D948),0)</f>
        <v>0</v>
      </c>
      <c r="F948" s="82">
        <f>IFERROR(SUMIFS(Issues!H:H, Issues!F:F, $A948, Issues!C:C, $B948, Issues!D:D, $C948, Issues!E:E, $D948), 0)</f>
        <v>0</v>
      </c>
      <c r="G948" s="82">
        <f>IFERROR(SUMIFS(Returns!H:H, Returns!F:F, $A948, Returns!C:C, $B948, Returns!D:D, $C948, Returns!E:E, $D948), 0)</f>
        <v>0</v>
      </c>
      <c r="H948" s="82">
        <f t="shared" si="1"/>
        <v>0</v>
      </c>
      <c r="I948" s="82">
        <f t="shared" si="2"/>
        <v>0</v>
      </c>
      <c r="J948" s="82">
        <f>IFERROR( SUMIFS('Stock In'!I:I,'Stock In'!B:B,$A948,'Stock In'!C:C,$B948,'Stock In'!D:D,$C948,'Stock In'!E:E,$D948) / SUMIFS('Stock In'!H:H,'Stock In'!B:B,$A948,'Stock In'!C:C,$B948,'Stock In'!D:D,$C948,'Stock In'!E:E,$D948), 0)</f>
        <v>0</v>
      </c>
      <c r="K948" s="82">
        <f t="shared" si="3"/>
        <v>0</v>
      </c>
    </row>
    <row r="949">
      <c r="A949" s="80"/>
      <c r="B949" s="80"/>
      <c r="C949" s="80"/>
      <c r="D949" s="80"/>
      <c r="E949" s="82">
        <f>IFERROR(SUMIFS('Stock In'!F:F,'Stock In'!B:B,$A949,'Stock In'!C:C,$B949,'Stock In'!D:D,$C949,'Stock In'!E:E,$D949),0)</f>
        <v>0</v>
      </c>
      <c r="F949" s="82">
        <f>IFERROR(SUMIFS(Issues!H:H, Issues!F:F, $A949, Issues!C:C, $B949, Issues!D:D, $C949, Issues!E:E, $D949), 0)</f>
        <v>0</v>
      </c>
      <c r="G949" s="82">
        <f>IFERROR(SUMIFS(Returns!H:H, Returns!F:F, $A949, Returns!C:C, $B949, Returns!D:D, $C949, Returns!E:E, $D949), 0)</f>
        <v>0</v>
      </c>
      <c r="H949" s="82">
        <f t="shared" si="1"/>
        <v>0</v>
      </c>
      <c r="I949" s="82">
        <f t="shared" si="2"/>
        <v>0</v>
      </c>
      <c r="J949" s="82">
        <f>IFERROR( SUMIFS('Stock In'!I:I,'Stock In'!B:B,$A949,'Stock In'!C:C,$B949,'Stock In'!D:D,$C949,'Stock In'!E:E,$D949) / SUMIFS('Stock In'!H:H,'Stock In'!B:B,$A949,'Stock In'!C:C,$B949,'Stock In'!D:D,$C949,'Stock In'!E:E,$D949), 0)</f>
        <v>0</v>
      </c>
      <c r="K949" s="82">
        <f t="shared" si="3"/>
        <v>0</v>
      </c>
    </row>
    <row r="950">
      <c r="A950" s="80"/>
      <c r="B950" s="80"/>
      <c r="C950" s="80"/>
      <c r="D950" s="80"/>
      <c r="E950" s="82">
        <f>IFERROR(SUMIFS('Stock In'!F:F,'Stock In'!B:B,$A950,'Stock In'!C:C,$B950,'Stock In'!D:D,$C950,'Stock In'!E:E,$D950),0)</f>
        <v>0</v>
      </c>
      <c r="F950" s="82">
        <f>IFERROR(SUMIFS(Issues!H:H, Issues!F:F, $A950, Issues!C:C, $B950, Issues!D:D, $C950, Issues!E:E, $D950), 0)</f>
        <v>0</v>
      </c>
      <c r="G950" s="82">
        <f>IFERROR(SUMIFS(Returns!H:H, Returns!F:F, $A950, Returns!C:C, $B950, Returns!D:D, $C950, Returns!E:E, $D950), 0)</f>
        <v>0</v>
      </c>
      <c r="H950" s="82">
        <f t="shared" si="1"/>
        <v>0</v>
      </c>
      <c r="I950" s="82">
        <f t="shared" si="2"/>
        <v>0</v>
      </c>
      <c r="J950" s="82">
        <f>IFERROR( SUMIFS('Stock In'!I:I,'Stock In'!B:B,$A950,'Stock In'!C:C,$B950,'Stock In'!D:D,$C950,'Stock In'!E:E,$D950) / SUMIFS('Stock In'!H:H,'Stock In'!B:B,$A950,'Stock In'!C:C,$B950,'Stock In'!D:D,$C950,'Stock In'!E:E,$D950), 0)</f>
        <v>0</v>
      </c>
      <c r="K950" s="82">
        <f t="shared" si="3"/>
        <v>0</v>
      </c>
    </row>
    <row r="951">
      <c r="A951" s="80"/>
      <c r="B951" s="80"/>
      <c r="C951" s="80"/>
      <c r="D951" s="80"/>
      <c r="E951" s="82">
        <f>IFERROR(SUMIFS('Stock In'!F:F,'Stock In'!B:B,$A951,'Stock In'!C:C,$B951,'Stock In'!D:D,$C951,'Stock In'!E:E,$D951),0)</f>
        <v>0</v>
      </c>
      <c r="F951" s="82">
        <f>IFERROR(SUMIFS(Issues!H:H, Issues!F:F, $A951, Issues!C:C, $B951, Issues!D:D, $C951, Issues!E:E, $D951), 0)</f>
        <v>0</v>
      </c>
      <c r="G951" s="82">
        <f>IFERROR(SUMIFS(Returns!H:H, Returns!F:F, $A951, Returns!C:C, $B951, Returns!D:D, $C951, Returns!E:E, $D951), 0)</f>
        <v>0</v>
      </c>
      <c r="H951" s="82">
        <f t="shared" si="1"/>
        <v>0</v>
      </c>
      <c r="I951" s="82">
        <f t="shared" si="2"/>
        <v>0</v>
      </c>
      <c r="J951" s="82">
        <f>IFERROR( SUMIFS('Stock In'!I:I,'Stock In'!B:B,$A951,'Stock In'!C:C,$B951,'Stock In'!D:D,$C951,'Stock In'!E:E,$D951) / SUMIFS('Stock In'!H:H,'Stock In'!B:B,$A951,'Stock In'!C:C,$B951,'Stock In'!D:D,$C951,'Stock In'!E:E,$D951), 0)</f>
        <v>0</v>
      </c>
      <c r="K951" s="82">
        <f t="shared" si="3"/>
        <v>0</v>
      </c>
    </row>
    <row r="952">
      <c r="A952" s="80"/>
      <c r="B952" s="80"/>
      <c r="C952" s="80"/>
      <c r="D952" s="80"/>
      <c r="E952" s="82">
        <f>IFERROR(SUMIFS('Stock In'!F:F,'Stock In'!B:B,$A952,'Stock In'!C:C,$B952,'Stock In'!D:D,$C952,'Stock In'!E:E,$D952),0)</f>
        <v>0</v>
      </c>
      <c r="F952" s="82">
        <f>IFERROR(SUMIFS(Issues!H:H, Issues!F:F, $A952, Issues!C:C, $B952, Issues!D:D, $C952, Issues!E:E, $D952), 0)</f>
        <v>0</v>
      </c>
      <c r="G952" s="82">
        <f>IFERROR(SUMIFS(Returns!H:H, Returns!F:F, $A952, Returns!C:C, $B952, Returns!D:D, $C952, Returns!E:E, $D952), 0)</f>
        <v>0</v>
      </c>
      <c r="H952" s="82">
        <f t="shared" si="1"/>
        <v>0</v>
      </c>
      <c r="I952" s="82">
        <f t="shared" si="2"/>
        <v>0</v>
      </c>
      <c r="J952" s="82">
        <f>IFERROR( SUMIFS('Stock In'!I:I,'Stock In'!B:B,$A952,'Stock In'!C:C,$B952,'Stock In'!D:D,$C952,'Stock In'!E:E,$D952) / SUMIFS('Stock In'!H:H,'Stock In'!B:B,$A952,'Stock In'!C:C,$B952,'Stock In'!D:D,$C952,'Stock In'!E:E,$D952), 0)</f>
        <v>0</v>
      </c>
      <c r="K952" s="82">
        <f t="shared" si="3"/>
        <v>0</v>
      </c>
    </row>
    <row r="953">
      <c r="A953" s="80"/>
      <c r="B953" s="80"/>
      <c r="C953" s="80"/>
      <c r="D953" s="80"/>
      <c r="E953" s="82">
        <f>IFERROR(SUMIFS('Stock In'!F:F,'Stock In'!B:B,$A953,'Stock In'!C:C,$B953,'Stock In'!D:D,$C953,'Stock In'!E:E,$D953),0)</f>
        <v>0</v>
      </c>
      <c r="F953" s="82">
        <f>IFERROR(SUMIFS(Issues!H:H, Issues!F:F, $A953, Issues!C:C, $B953, Issues!D:D, $C953, Issues!E:E, $D953), 0)</f>
        <v>0</v>
      </c>
      <c r="G953" s="82">
        <f>IFERROR(SUMIFS(Returns!H:H, Returns!F:F, $A953, Returns!C:C, $B953, Returns!D:D, $C953, Returns!E:E, $D953), 0)</f>
        <v>0</v>
      </c>
      <c r="H953" s="82">
        <f t="shared" si="1"/>
        <v>0</v>
      </c>
      <c r="I953" s="82">
        <f t="shared" si="2"/>
        <v>0</v>
      </c>
      <c r="J953" s="82">
        <f>IFERROR( SUMIFS('Stock In'!I:I,'Stock In'!B:B,$A953,'Stock In'!C:C,$B953,'Stock In'!D:D,$C953,'Stock In'!E:E,$D953) / SUMIFS('Stock In'!H:H,'Stock In'!B:B,$A953,'Stock In'!C:C,$B953,'Stock In'!D:D,$C953,'Stock In'!E:E,$D953), 0)</f>
        <v>0</v>
      </c>
      <c r="K953" s="82">
        <f t="shared" si="3"/>
        <v>0</v>
      </c>
    </row>
    <row r="954">
      <c r="A954" s="80"/>
      <c r="B954" s="80"/>
      <c r="C954" s="80"/>
      <c r="D954" s="80"/>
      <c r="E954" s="82">
        <f>IFERROR(SUMIFS('Stock In'!F:F,'Stock In'!B:B,$A954,'Stock In'!C:C,$B954,'Stock In'!D:D,$C954,'Stock In'!E:E,$D954),0)</f>
        <v>0</v>
      </c>
      <c r="F954" s="82">
        <f>IFERROR(SUMIFS(Issues!H:H, Issues!F:F, $A954, Issues!C:C, $B954, Issues!D:D, $C954, Issues!E:E, $D954), 0)</f>
        <v>0</v>
      </c>
      <c r="G954" s="82">
        <f>IFERROR(SUMIFS(Returns!H:H, Returns!F:F, $A954, Returns!C:C, $B954, Returns!D:D, $C954, Returns!E:E, $D954), 0)</f>
        <v>0</v>
      </c>
      <c r="H954" s="82">
        <f t="shared" si="1"/>
        <v>0</v>
      </c>
      <c r="I954" s="82">
        <f t="shared" si="2"/>
        <v>0</v>
      </c>
      <c r="J954" s="82">
        <f>IFERROR( SUMIFS('Stock In'!I:I,'Stock In'!B:B,$A954,'Stock In'!C:C,$B954,'Stock In'!D:D,$C954,'Stock In'!E:E,$D954) / SUMIFS('Stock In'!H:H,'Stock In'!B:B,$A954,'Stock In'!C:C,$B954,'Stock In'!D:D,$C954,'Stock In'!E:E,$D954), 0)</f>
        <v>0</v>
      </c>
      <c r="K954" s="82">
        <f t="shared" si="3"/>
        <v>0</v>
      </c>
    </row>
    <row r="955">
      <c r="A955" s="80"/>
      <c r="B955" s="80"/>
      <c r="C955" s="80"/>
      <c r="D955" s="80"/>
      <c r="E955" s="82">
        <f>IFERROR(SUMIFS('Stock In'!F:F,'Stock In'!B:B,$A955,'Stock In'!C:C,$B955,'Stock In'!D:D,$C955,'Stock In'!E:E,$D955),0)</f>
        <v>0</v>
      </c>
      <c r="F955" s="82">
        <f>IFERROR(SUMIFS(Issues!H:H, Issues!F:F, $A955, Issues!C:C, $B955, Issues!D:D, $C955, Issues!E:E, $D955), 0)</f>
        <v>0</v>
      </c>
      <c r="G955" s="82">
        <f>IFERROR(SUMIFS(Returns!H:H, Returns!F:F, $A955, Returns!C:C, $B955, Returns!D:D, $C955, Returns!E:E, $D955), 0)</f>
        <v>0</v>
      </c>
      <c r="H955" s="82">
        <f t="shared" si="1"/>
        <v>0</v>
      </c>
      <c r="I955" s="82">
        <f t="shared" si="2"/>
        <v>0</v>
      </c>
      <c r="J955" s="82">
        <f>IFERROR( SUMIFS('Stock In'!I:I,'Stock In'!B:B,$A955,'Stock In'!C:C,$B955,'Stock In'!D:D,$C955,'Stock In'!E:E,$D955) / SUMIFS('Stock In'!H:H,'Stock In'!B:B,$A955,'Stock In'!C:C,$B955,'Stock In'!D:D,$C955,'Stock In'!E:E,$D955), 0)</f>
        <v>0</v>
      </c>
      <c r="K955" s="82">
        <f t="shared" si="3"/>
        <v>0</v>
      </c>
    </row>
    <row r="956">
      <c r="A956" s="80"/>
      <c r="B956" s="80"/>
      <c r="C956" s="80"/>
      <c r="D956" s="80"/>
      <c r="E956" s="82">
        <f>IFERROR(SUMIFS('Stock In'!F:F,'Stock In'!B:B,$A956,'Stock In'!C:C,$B956,'Stock In'!D:D,$C956,'Stock In'!E:E,$D956),0)</f>
        <v>0</v>
      </c>
      <c r="F956" s="82">
        <f>IFERROR(SUMIFS(Issues!H:H, Issues!F:F, $A956, Issues!C:C, $B956, Issues!D:D, $C956, Issues!E:E, $D956), 0)</f>
        <v>0</v>
      </c>
      <c r="G956" s="82">
        <f>IFERROR(SUMIFS(Returns!H:H, Returns!F:F, $A956, Returns!C:C, $B956, Returns!D:D, $C956, Returns!E:E, $D956), 0)</f>
        <v>0</v>
      </c>
      <c r="H956" s="82">
        <f t="shared" si="1"/>
        <v>0</v>
      </c>
      <c r="I956" s="82">
        <f t="shared" si="2"/>
        <v>0</v>
      </c>
      <c r="J956" s="82">
        <f>IFERROR( SUMIFS('Stock In'!I:I,'Stock In'!B:B,$A956,'Stock In'!C:C,$B956,'Stock In'!D:D,$C956,'Stock In'!E:E,$D956) / SUMIFS('Stock In'!H:H,'Stock In'!B:B,$A956,'Stock In'!C:C,$B956,'Stock In'!D:D,$C956,'Stock In'!E:E,$D956), 0)</f>
        <v>0</v>
      </c>
      <c r="K956" s="82">
        <f t="shared" si="3"/>
        <v>0</v>
      </c>
    </row>
    <row r="957">
      <c r="A957" s="80"/>
      <c r="B957" s="80"/>
      <c r="C957" s="80"/>
      <c r="D957" s="80"/>
      <c r="E957" s="82">
        <f>IFERROR(SUMIFS('Stock In'!F:F,'Stock In'!B:B,$A957,'Stock In'!C:C,$B957,'Stock In'!D:D,$C957,'Stock In'!E:E,$D957),0)</f>
        <v>0</v>
      </c>
      <c r="F957" s="82">
        <f>IFERROR(SUMIFS(Issues!H:H, Issues!F:F, $A957, Issues!C:C, $B957, Issues!D:D, $C957, Issues!E:E, $D957), 0)</f>
        <v>0</v>
      </c>
      <c r="G957" s="82">
        <f>IFERROR(SUMIFS(Returns!H:H, Returns!F:F, $A957, Returns!C:C, $B957, Returns!D:D, $C957, Returns!E:E, $D957), 0)</f>
        <v>0</v>
      </c>
      <c r="H957" s="82">
        <f t="shared" si="1"/>
        <v>0</v>
      </c>
      <c r="I957" s="82">
        <f t="shared" si="2"/>
        <v>0</v>
      </c>
      <c r="J957" s="82">
        <f>IFERROR( SUMIFS('Stock In'!I:I,'Stock In'!B:B,$A957,'Stock In'!C:C,$B957,'Stock In'!D:D,$C957,'Stock In'!E:E,$D957) / SUMIFS('Stock In'!H:H,'Stock In'!B:B,$A957,'Stock In'!C:C,$B957,'Stock In'!D:D,$C957,'Stock In'!E:E,$D957), 0)</f>
        <v>0</v>
      </c>
      <c r="K957" s="82">
        <f t="shared" si="3"/>
        <v>0</v>
      </c>
    </row>
    <row r="958">
      <c r="A958" s="80"/>
      <c r="B958" s="80"/>
      <c r="C958" s="80"/>
      <c r="D958" s="80"/>
      <c r="E958" s="82">
        <f>IFERROR(SUMIFS('Stock In'!F:F,'Stock In'!B:B,$A958,'Stock In'!C:C,$B958,'Stock In'!D:D,$C958,'Stock In'!E:E,$D958),0)</f>
        <v>0</v>
      </c>
      <c r="F958" s="82">
        <f>IFERROR(SUMIFS(Issues!H:H, Issues!F:F, $A958, Issues!C:C, $B958, Issues!D:D, $C958, Issues!E:E, $D958), 0)</f>
        <v>0</v>
      </c>
      <c r="G958" s="82">
        <f>IFERROR(SUMIFS(Returns!H:H, Returns!F:F, $A958, Returns!C:C, $B958, Returns!D:D, $C958, Returns!E:E, $D958), 0)</f>
        <v>0</v>
      </c>
      <c r="H958" s="82">
        <f t="shared" si="1"/>
        <v>0</v>
      </c>
      <c r="I958" s="82">
        <f t="shared" si="2"/>
        <v>0</v>
      </c>
      <c r="J958" s="82">
        <f>IFERROR( SUMIFS('Stock In'!I:I,'Stock In'!B:B,$A958,'Stock In'!C:C,$B958,'Stock In'!D:D,$C958,'Stock In'!E:E,$D958) / SUMIFS('Stock In'!H:H,'Stock In'!B:B,$A958,'Stock In'!C:C,$B958,'Stock In'!D:D,$C958,'Stock In'!E:E,$D958), 0)</f>
        <v>0</v>
      </c>
      <c r="K958" s="82">
        <f t="shared" si="3"/>
        <v>0</v>
      </c>
    </row>
    <row r="959">
      <c r="A959" s="80"/>
      <c r="B959" s="80"/>
      <c r="C959" s="80"/>
      <c r="D959" s="80"/>
      <c r="E959" s="82">
        <f>IFERROR(SUMIFS('Stock In'!F:F,'Stock In'!B:B,$A959,'Stock In'!C:C,$B959,'Stock In'!D:D,$C959,'Stock In'!E:E,$D959),0)</f>
        <v>0</v>
      </c>
      <c r="F959" s="82">
        <f>IFERROR(SUMIFS(Issues!H:H, Issues!F:F, $A959, Issues!C:C, $B959, Issues!D:D, $C959, Issues!E:E, $D959), 0)</f>
        <v>0</v>
      </c>
      <c r="G959" s="82">
        <f>IFERROR(SUMIFS(Returns!H:H, Returns!F:F, $A959, Returns!C:C, $B959, Returns!D:D, $C959, Returns!E:E, $D959), 0)</f>
        <v>0</v>
      </c>
      <c r="H959" s="82">
        <f t="shared" si="1"/>
        <v>0</v>
      </c>
      <c r="I959" s="82">
        <f t="shared" si="2"/>
        <v>0</v>
      </c>
      <c r="J959" s="82">
        <f>IFERROR( SUMIFS('Stock In'!I:I,'Stock In'!B:B,$A959,'Stock In'!C:C,$B959,'Stock In'!D:D,$C959,'Stock In'!E:E,$D959) / SUMIFS('Stock In'!H:H,'Stock In'!B:B,$A959,'Stock In'!C:C,$B959,'Stock In'!D:D,$C959,'Stock In'!E:E,$D959), 0)</f>
        <v>0</v>
      </c>
      <c r="K959" s="82">
        <f t="shared" si="3"/>
        <v>0</v>
      </c>
    </row>
    <row r="960">
      <c r="A960" s="80"/>
      <c r="B960" s="80"/>
      <c r="C960" s="80"/>
      <c r="D960" s="80"/>
      <c r="E960" s="82">
        <f>IFERROR(SUMIFS('Stock In'!F:F,'Stock In'!B:B,$A960,'Stock In'!C:C,$B960,'Stock In'!D:D,$C960,'Stock In'!E:E,$D960),0)</f>
        <v>0</v>
      </c>
      <c r="F960" s="82">
        <f>IFERROR(SUMIFS(Issues!H:H, Issues!F:F, $A960, Issues!C:C, $B960, Issues!D:D, $C960, Issues!E:E, $D960), 0)</f>
        <v>0</v>
      </c>
      <c r="G960" s="82">
        <f>IFERROR(SUMIFS(Returns!H:H, Returns!F:F, $A960, Returns!C:C, $B960, Returns!D:D, $C960, Returns!E:E, $D960), 0)</f>
        <v>0</v>
      </c>
      <c r="H960" s="82">
        <f t="shared" si="1"/>
        <v>0</v>
      </c>
      <c r="I960" s="82">
        <f t="shared" si="2"/>
        <v>0</v>
      </c>
      <c r="J960" s="82">
        <f>IFERROR( SUMIFS('Stock In'!I:I,'Stock In'!B:B,$A960,'Stock In'!C:C,$B960,'Stock In'!D:D,$C960,'Stock In'!E:E,$D960) / SUMIFS('Stock In'!H:H,'Stock In'!B:B,$A960,'Stock In'!C:C,$B960,'Stock In'!D:D,$C960,'Stock In'!E:E,$D960), 0)</f>
        <v>0</v>
      </c>
      <c r="K960" s="82">
        <f t="shared" si="3"/>
        <v>0</v>
      </c>
    </row>
    <row r="961">
      <c r="A961" s="80"/>
      <c r="B961" s="80"/>
      <c r="C961" s="80"/>
      <c r="D961" s="80"/>
      <c r="E961" s="82">
        <f>IFERROR(SUMIFS('Stock In'!F:F,'Stock In'!B:B,$A961,'Stock In'!C:C,$B961,'Stock In'!D:D,$C961,'Stock In'!E:E,$D961),0)</f>
        <v>0</v>
      </c>
      <c r="F961" s="82">
        <f>IFERROR(SUMIFS(Issues!H:H, Issues!F:F, $A961, Issues!C:C, $B961, Issues!D:D, $C961, Issues!E:E, $D961), 0)</f>
        <v>0</v>
      </c>
      <c r="G961" s="82">
        <f>IFERROR(SUMIFS(Returns!H:H, Returns!F:F, $A961, Returns!C:C, $B961, Returns!D:D, $C961, Returns!E:E, $D961), 0)</f>
        <v>0</v>
      </c>
      <c r="H961" s="82">
        <f t="shared" si="1"/>
        <v>0</v>
      </c>
      <c r="I961" s="82">
        <f t="shared" si="2"/>
        <v>0</v>
      </c>
      <c r="J961" s="82">
        <f>IFERROR( SUMIFS('Stock In'!I:I,'Stock In'!B:B,$A961,'Stock In'!C:C,$B961,'Stock In'!D:D,$C961,'Stock In'!E:E,$D961) / SUMIFS('Stock In'!H:H,'Stock In'!B:B,$A961,'Stock In'!C:C,$B961,'Stock In'!D:D,$C961,'Stock In'!E:E,$D961), 0)</f>
        <v>0</v>
      </c>
      <c r="K961" s="82">
        <f t="shared" si="3"/>
        <v>0</v>
      </c>
    </row>
    <row r="962">
      <c r="A962" s="80"/>
      <c r="B962" s="80"/>
      <c r="C962" s="80"/>
      <c r="D962" s="80"/>
      <c r="E962" s="82">
        <f>IFERROR(SUMIFS('Stock In'!F:F,'Stock In'!B:B,$A962,'Stock In'!C:C,$B962,'Stock In'!D:D,$C962,'Stock In'!E:E,$D962),0)</f>
        <v>0</v>
      </c>
      <c r="F962" s="82">
        <f>IFERROR(SUMIFS(Issues!H:H, Issues!F:F, $A962, Issues!C:C, $B962, Issues!D:D, $C962, Issues!E:E, $D962), 0)</f>
        <v>0</v>
      </c>
      <c r="G962" s="82">
        <f>IFERROR(SUMIFS(Returns!H:H, Returns!F:F, $A962, Returns!C:C, $B962, Returns!D:D, $C962, Returns!E:E, $D962), 0)</f>
        <v>0</v>
      </c>
      <c r="H962" s="82">
        <f t="shared" si="1"/>
        <v>0</v>
      </c>
      <c r="I962" s="82">
        <f t="shared" si="2"/>
        <v>0</v>
      </c>
      <c r="J962" s="82">
        <f>IFERROR( SUMIFS('Stock In'!I:I,'Stock In'!B:B,$A962,'Stock In'!C:C,$B962,'Stock In'!D:D,$C962,'Stock In'!E:E,$D962) / SUMIFS('Stock In'!H:H,'Stock In'!B:B,$A962,'Stock In'!C:C,$B962,'Stock In'!D:D,$C962,'Stock In'!E:E,$D962), 0)</f>
        <v>0</v>
      </c>
      <c r="K962" s="82">
        <f t="shared" si="3"/>
        <v>0</v>
      </c>
    </row>
    <row r="963">
      <c r="A963" s="80"/>
      <c r="B963" s="80"/>
      <c r="C963" s="80"/>
      <c r="D963" s="80"/>
      <c r="E963" s="82">
        <f>IFERROR(SUMIFS('Stock In'!F:F,'Stock In'!B:B,$A963,'Stock In'!C:C,$B963,'Stock In'!D:D,$C963,'Stock In'!E:E,$D963),0)</f>
        <v>0</v>
      </c>
      <c r="F963" s="82">
        <f>IFERROR(SUMIFS(Issues!H:H, Issues!F:F, $A963, Issues!C:C, $B963, Issues!D:D, $C963, Issues!E:E, $D963), 0)</f>
        <v>0</v>
      </c>
      <c r="G963" s="82">
        <f>IFERROR(SUMIFS(Returns!H:H, Returns!F:F, $A963, Returns!C:C, $B963, Returns!D:D, $C963, Returns!E:E, $D963), 0)</f>
        <v>0</v>
      </c>
      <c r="H963" s="82">
        <f t="shared" si="1"/>
        <v>0</v>
      </c>
      <c r="I963" s="82">
        <f t="shared" si="2"/>
        <v>0</v>
      </c>
      <c r="J963" s="82">
        <f>IFERROR( SUMIFS('Stock In'!I:I,'Stock In'!B:B,$A963,'Stock In'!C:C,$B963,'Stock In'!D:D,$C963,'Stock In'!E:E,$D963) / SUMIFS('Stock In'!H:H,'Stock In'!B:B,$A963,'Stock In'!C:C,$B963,'Stock In'!D:D,$C963,'Stock In'!E:E,$D963), 0)</f>
        <v>0</v>
      </c>
      <c r="K963" s="82">
        <f t="shared" si="3"/>
        <v>0</v>
      </c>
    </row>
    <row r="964">
      <c r="A964" s="80"/>
      <c r="B964" s="80"/>
      <c r="C964" s="80"/>
      <c r="D964" s="80"/>
      <c r="E964" s="82">
        <f>IFERROR(SUMIFS('Stock In'!F:F,'Stock In'!B:B,$A964,'Stock In'!C:C,$B964,'Stock In'!D:D,$C964,'Stock In'!E:E,$D964),0)</f>
        <v>0</v>
      </c>
      <c r="F964" s="82">
        <f>IFERROR(SUMIFS(Issues!H:H, Issues!F:F, $A964, Issues!C:C, $B964, Issues!D:D, $C964, Issues!E:E, $D964), 0)</f>
        <v>0</v>
      </c>
      <c r="G964" s="82">
        <f>IFERROR(SUMIFS(Returns!H:H, Returns!F:F, $A964, Returns!C:C, $B964, Returns!D:D, $C964, Returns!E:E, $D964), 0)</f>
        <v>0</v>
      </c>
      <c r="H964" s="82">
        <f t="shared" si="1"/>
        <v>0</v>
      </c>
      <c r="I964" s="82">
        <f t="shared" si="2"/>
        <v>0</v>
      </c>
      <c r="J964" s="82">
        <f>IFERROR( SUMIFS('Stock In'!I:I,'Stock In'!B:B,$A964,'Stock In'!C:C,$B964,'Stock In'!D:D,$C964,'Stock In'!E:E,$D964) / SUMIFS('Stock In'!H:H,'Stock In'!B:B,$A964,'Stock In'!C:C,$B964,'Stock In'!D:D,$C964,'Stock In'!E:E,$D964), 0)</f>
        <v>0</v>
      </c>
      <c r="K964" s="82">
        <f t="shared" si="3"/>
        <v>0</v>
      </c>
    </row>
    <row r="965">
      <c r="A965" s="80"/>
      <c r="B965" s="80"/>
      <c r="C965" s="80"/>
      <c r="D965" s="80"/>
      <c r="E965" s="82">
        <f>IFERROR(SUMIFS('Stock In'!F:F,'Stock In'!B:B,$A965,'Stock In'!C:C,$B965,'Stock In'!D:D,$C965,'Stock In'!E:E,$D965),0)</f>
        <v>0</v>
      </c>
      <c r="F965" s="82">
        <f>IFERROR(SUMIFS(Issues!H:H, Issues!F:F, $A965, Issues!C:C, $B965, Issues!D:D, $C965, Issues!E:E, $D965), 0)</f>
        <v>0</v>
      </c>
      <c r="G965" s="82">
        <f>IFERROR(SUMIFS(Returns!H:H, Returns!F:F, $A965, Returns!C:C, $B965, Returns!D:D, $C965, Returns!E:E, $D965), 0)</f>
        <v>0</v>
      </c>
      <c r="H965" s="82">
        <f t="shared" si="1"/>
        <v>0</v>
      </c>
      <c r="I965" s="82">
        <f t="shared" si="2"/>
        <v>0</v>
      </c>
      <c r="J965" s="82">
        <f>IFERROR( SUMIFS('Stock In'!I:I,'Stock In'!B:B,$A965,'Stock In'!C:C,$B965,'Stock In'!D:D,$C965,'Stock In'!E:E,$D965) / SUMIFS('Stock In'!H:H,'Stock In'!B:B,$A965,'Stock In'!C:C,$B965,'Stock In'!D:D,$C965,'Stock In'!E:E,$D965), 0)</f>
        <v>0</v>
      </c>
      <c r="K965" s="82">
        <f t="shared" si="3"/>
        <v>0</v>
      </c>
    </row>
    <row r="966">
      <c r="A966" s="80"/>
      <c r="B966" s="80"/>
      <c r="C966" s="80"/>
      <c r="D966" s="80"/>
      <c r="E966" s="82">
        <f>IFERROR(SUMIFS('Stock In'!F:F,'Stock In'!B:B,$A966,'Stock In'!C:C,$B966,'Stock In'!D:D,$C966,'Stock In'!E:E,$D966),0)</f>
        <v>0</v>
      </c>
      <c r="F966" s="82">
        <f>IFERROR(SUMIFS(Issues!H:H, Issues!F:F, $A966, Issues!C:C, $B966, Issues!D:D, $C966, Issues!E:E, $D966), 0)</f>
        <v>0</v>
      </c>
      <c r="G966" s="82">
        <f>IFERROR(SUMIFS(Returns!H:H, Returns!F:F, $A966, Returns!C:C, $B966, Returns!D:D, $C966, Returns!E:E, $D966), 0)</f>
        <v>0</v>
      </c>
      <c r="H966" s="82">
        <f t="shared" si="1"/>
        <v>0</v>
      </c>
      <c r="I966" s="82">
        <f t="shared" si="2"/>
        <v>0</v>
      </c>
      <c r="J966" s="82">
        <f>IFERROR( SUMIFS('Stock In'!I:I,'Stock In'!B:B,$A966,'Stock In'!C:C,$B966,'Stock In'!D:D,$C966,'Stock In'!E:E,$D966) / SUMIFS('Stock In'!H:H,'Stock In'!B:B,$A966,'Stock In'!C:C,$B966,'Stock In'!D:D,$C966,'Stock In'!E:E,$D966), 0)</f>
        <v>0</v>
      </c>
      <c r="K966" s="82">
        <f t="shared" si="3"/>
        <v>0</v>
      </c>
    </row>
    <row r="967">
      <c r="A967" s="80"/>
      <c r="B967" s="80"/>
      <c r="C967" s="80"/>
      <c r="D967" s="80"/>
      <c r="E967" s="82">
        <f>IFERROR(SUMIFS('Stock In'!F:F,'Stock In'!B:B,$A967,'Stock In'!C:C,$B967,'Stock In'!D:D,$C967,'Stock In'!E:E,$D967),0)</f>
        <v>0</v>
      </c>
      <c r="F967" s="82">
        <f>IFERROR(SUMIFS(Issues!H:H, Issues!F:F, $A967, Issues!C:C, $B967, Issues!D:D, $C967, Issues!E:E, $D967), 0)</f>
        <v>0</v>
      </c>
      <c r="G967" s="82">
        <f>IFERROR(SUMIFS(Returns!H:H, Returns!F:F, $A967, Returns!C:C, $B967, Returns!D:D, $C967, Returns!E:E, $D967), 0)</f>
        <v>0</v>
      </c>
      <c r="H967" s="82">
        <f t="shared" si="1"/>
        <v>0</v>
      </c>
      <c r="I967" s="82">
        <f t="shared" si="2"/>
        <v>0</v>
      </c>
      <c r="J967" s="82">
        <f>IFERROR( SUMIFS('Stock In'!I:I,'Stock In'!B:B,$A967,'Stock In'!C:C,$B967,'Stock In'!D:D,$C967,'Stock In'!E:E,$D967) / SUMIFS('Stock In'!H:H,'Stock In'!B:B,$A967,'Stock In'!C:C,$B967,'Stock In'!D:D,$C967,'Stock In'!E:E,$D967), 0)</f>
        <v>0</v>
      </c>
      <c r="K967" s="82">
        <f t="shared" si="3"/>
        <v>0</v>
      </c>
    </row>
    <row r="968">
      <c r="A968" s="80"/>
      <c r="B968" s="80"/>
      <c r="C968" s="80"/>
      <c r="D968" s="80"/>
      <c r="E968" s="82">
        <f>IFERROR(SUMIFS('Stock In'!F:F,'Stock In'!B:B,$A968,'Stock In'!C:C,$B968,'Stock In'!D:D,$C968,'Stock In'!E:E,$D968),0)</f>
        <v>0</v>
      </c>
      <c r="F968" s="82">
        <f>IFERROR(SUMIFS(Issues!H:H, Issues!F:F, $A968, Issues!C:C, $B968, Issues!D:D, $C968, Issues!E:E, $D968), 0)</f>
        <v>0</v>
      </c>
      <c r="G968" s="82">
        <f>IFERROR(SUMIFS(Returns!H:H, Returns!F:F, $A968, Returns!C:C, $B968, Returns!D:D, $C968, Returns!E:E, $D968), 0)</f>
        <v>0</v>
      </c>
      <c r="H968" s="82">
        <f t="shared" si="1"/>
        <v>0</v>
      </c>
      <c r="I968" s="82">
        <f t="shared" si="2"/>
        <v>0</v>
      </c>
      <c r="J968" s="82">
        <f>IFERROR( SUMIFS('Stock In'!I:I,'Stock In'!B:B,$A968,'Stock In'!C:C,$B968,'Stock In'!D:D,$C968,'Stock In'!E:E,$D968) / SUMIFS('Stock In'!H:H,'Stock In'!B:B,$A968,'Stock In'!C:C,$B968,'Stock In'!D:D,$C968,'Stock In'!E:E,$D968), 0)</f>
        <v>0</v>
      </c>
      <c r="K968" s="82">
        <f t="shared" si="3"/>
        <v>0</v>
      </c>
    </row>
    <row r="969">
      <c r="A969" s="80"/>
      <c r="B969" s="80"/>
      <c r="C969" s="80"/>
      <c r="D969" s="80"/>
      <c r="E969" s="82">
        <f>IFERROR(SUMIFS('Stock In'!F:F,'Stock In'!B:B,$A969,'Stock In'!C:C,$B969,'Stock In'!D:D,$C969,'Stock In'!E:E,$D969),0)</f>
        <v>0</v>
      </c>
      <c r="F969" s="82">
        <f>IFERROR(SUMIFS(Issues!H:H, Issues!F:F, $A969, Issues!C:C, $B969, Issues!D:D, $C969, Issues!E:E, $D969), 0)</f>
        <v>0</v>
      </c>
      <c r="G969" s="82">
        <f>IFERROR(SUMIFS(Returns!H:H, Returns!F:F, $A969, Returns!C:C, $B969, Returns!D:D, $C969, Returns!E:E, $D969), 0)</f>
        <v>0</v>
      </c>
      <c r="H969" s="82">
        <f t="shared" si="1"/>
        <v>0</v>
      </c>
      <c r="I969" s="82">
        <f t="shared" si="2"/>
        <v>0</v>
      </c>
      <c r="J969" s="82">
        <f>IFERROR( SUMIFS('Stock In'!I:I,'Stock In'!B:B,$A969,'Stock In'!C:C,$B969,'Stock In'!D:D,$C969,'Stock In'!E:E,$D969) / SUMIFS('Stock In'!H:H,'Stock In'!B:B,$A969,'Stock In'!C:C,$B969,'Stock In'!D:D,$C969,'Stock In'!E:E,$D969), 0)</f>
        <v>0</v>
      </c>
      <c r="K969" s="82">
        <f t="shared" si="3"/>
        <v>0</v>
      </c>
    </row>
    <row r="970">
      <c r="A970" s="80"/>
      <c r="B970" s="80"/>
      <c r="C970" s="80"/>
      <c r="D970" s="80"/>
      <c r="E970" s="82">
        <f>IFERROR(SUMIFS('Stock In'!F:F,'Stock In'!B:B,$A970,'Stock In'!C:C,$B970,'Stock In'!D:D,$C970,'Stock In'!E:E,$D970),0)</f>
        <v>0</v>
      </c>
      <c r="F970" s="82">
        <f>IFERROR(SUMIFS(Issues!H:H, Issues!F:F, $A970, Issues!C:C, $B970, Issues!D:D, $C970, Issues!E:E, $D970), 0)</f>
        <v>0</v>
      </c>
      <c r="G970" s="82">
        <f>IFERROR(SUMIFS(Returns!H:H, Returns!F:F, $A970, Returns!C:C, $B970, Returns!D:D, $C970, Returns!E:E, $D970), 0)</f>
        <v>0</v>
      </c>
      <c r="H970" s="82">
        <f t="shared" si="1"/>
        <v>0</v>
      </c>
      <c r="I970" s="82">
        <f t="shared" si="2"/>
        <v>0</v>
      </c>
      <c r="J970" s="82">
        <f>IFERROR( SUMIFS('Stock In'!I:I,'Stock In'!B:B,$A970,'Stock In'!C:C,$B970,'Stock In'!D:D,$C970,'Stock In'!E:E,$D970) / SUMIFS('Stock In'!H:H,'Stock In'!B:B,$A970,'Stock In'!C:C,$B970,'Stock In'!D:D,$C970,'Stock In'!E:E,$D970), 0)</f>
        <v>0</v>
      </c>
      <c r="K970" s="82">
        <f t="shared" si="3"/>
        <v>0</v>
      </c>
    </row>
    <row r="971">
      <c r="A971" s="80"/>
      <c r="B971" s="80"/>
      <c r="C971" s="80"/>
      <c r="D971" s="80"/>
      <c r="E971" s="82">
        <f>IFERROR(SUMIFS('Stock In'!F:F,'Stock In'!B:B,$A971,'Stock In'!C:C,$B971,'Stock In'!D:D,$C971,'Stock In'!E:E,$D971),0)</f>
        <v>0</v>
      </c>
      <c r="F971" s="82">
        <f>IFERROR(SUMIFS(Issues!H:H, Issues!F:F, $A971, Issues!C:C, $B971, Issues!D:D, $C971, Issues!E:E, $D971), 0)</f>
        <v>0</v>
      </c>
      <c r="G971" s="82">
        <f>IFERROR(SUMIFS(Returns!H:H, Returns!F:F, $A971, Returns!C:C, $B971, Returns!D:D, $C971, Returns!E:E, $D971), 0)</f>
        <v>0</v>
      </c>
      <c r="H971" s="82">
        <f t="shared" si="1"/>
        <v>0</v>
      </c>
      <c r="I971" s="82">
        <f t="shared" si="2"/>
        <v>0</v>
      </c>
      <c r="J971" s="82">
        <f>IFERROR( SUMIFS('Stock In'!I:I,'Stock In'!B:B,$A971,'Stock In'!C:C,$B971,'Stock In'!D:D,$C971,'Stock In'!E:E,$D971) / SUMIFS('Stock In'!H:H,'Stock In'!B:B,$A971,'Stock In'!C:C,$B971,'Stock In'!D:D,$C971,'Stock In'!E:E,$D971), 0)</f>
        <v>0</v>
      </c>
      <c r="K971" s="82">
        <f t="shared" si="3"/>
        <v>0</v>
      </c>
    </row>
    <row r="972">
      <c r="A972" s="80"/>
      <c r="B972" s="80"/>
      <c r="C972" s="80"/>
      <c r="D972" s="80"/>
      <c r="E972" s="82">
        <f>IFERROR(SUMIFS('Stock In'!F:F,'Stock In'!B:B,$A972,'Stock In'!C:C,$B972,'Stock In'!D:D,$C972,'Stock In'!E:E,$D972),0)</f>
        <v>0</v>
      </c>
      <c r="F972" s="82">
        <f>IFERROR(SUMIFS(Issues!H:H, Issues!F:F, $A972, Issues!C:C, $B972, Issues!D:D, $C972, Issues!E:E, $D972), 0)</f>
        <v>0</v>
      </c>
      <c r="G972" s="82">
        <f>IFERROR(SUMIFS(Returns!H:H, Returns!F:F, $A972, Returns!C:C, $B972, Returns!D:D, $C972, Returns!E:E, $D972), 0)</f>
        <v>0</v>
      </c>
      <c r="H972" s="82">
        <f t="shared" si="1"/>
        <v>0</v>
      </c>
      <c r="I972" s="82">
        <f t="shared" si="2"/>
        <v>0</v>
      </c>
      <c r="J972" s="82">
        <f>IFERROR( SUMIFS('Stock In'!I:I,'Stock In'!B:B,$A972,'Stock In'!C:C,$B972,'Stock In'!D:D,$C972,'Stock In'!E:E,$D972) / SUMIFS('Stock In'!H:H,'Stock In'!B:B,$A972,'Stock In'!C:C,$B972,'Stock In'!D:D,$C972,'Stock In'!E:E,$D972), 0)</f>
        <v>0</v>
      </c>
      <c r="K972" s="82">
        <f t="shared" si="3"/>
        <v>0</v>
      </c>
    </row>
    <row r="973">
      <c r="A973" s="80"/>
      <c r="B973" s="80"/>
      <c r="C973" s="80"/>
      <c r="D973" s="80"/>
      <c r="E973" s="82">
        <f>IFERROR(SUMIFS('Stock In'!F:F,'Stock In'!B:B,$A973,'Stock In'!C:C,$B973,'Stock In'!D:D,$C973,'Stock In'!E:E,$D973),0)</f>
        <v>0</v>
      </c>
      <c r="F973" s="82">
        <f>IFERROR(SUMIFS(Issues!H:H, Issues!F:F, $A973, Issues!C:C, $B973, Issues!D:D, $C973, Issues!E:E, $D973), 0)</f>
        <v>0</v>
      </c>
      <c r="G973" s="82">
        <f>IFERROR(SUMIFS(Returns!H:H, Returns!F:F, $A973, Returns!C:C, $B973, Returns!D:D, $C973, Returns!E:E, $D973), 0)</f>
        <v>0</v>
      </c>
      <c r="H973" s="82">
        <f t="shared" si="1"/>
        <v>0</v>
      </c>
      <c r="I973" s="82">
        <f t="shared" si="2"/>
        <v>0</v>
      </c>
      <c r="J973" s="82">
        <f>IFERROR( SUMIFS('Stock In'!I:I,'Stock In'!B:B,$A973,'Stock In'!C:C,$B973,'Stock In'!D:D,$C973,'Stock In'!E:E,$D973) / SUMIFS('Stock In'!H:H,'Stock In'!B:B,$A973,'Stock In'!C:C,$B973,'Stock In'!D:D,$C973,'Stock In'!E:E,$D973), 0)</f>
        <v>0</v>
      </c>
      <c r="K973" s="82">
        <f t="shared" si="3"/>
        <v>0</v>
      </c>
    </row>
    <row r="974">
      <c r="A974" s="80"/>
      <c r="B974" s="80"/>
      <c r="C974" s="80"/>
      <c r="D974" s="80"/>
      <c r="E974" s="82">
        <f>IFERROR(SUMIFS('Stock In'!F:F,'Stock In'!B:B,$A974,'Stock In'!C:C,$B974,'Stock In'!D:D,$C974,'Stock In'!E:E,$D974),0)</f>
        <v>0</v>
      </c>
      <c r="F974" s="82">
        <f>IFERROR(SUMIFS(Issues!H:H, Issues!F:F, $A974, Issues!C:C, $B974, Issues!D:D, $C974, Issues!E:E, $D974), 0)</f>
        <v>0</v>
      </c>
      <c r="G974" s="82">
        <f>IFERROR(SUMIFS(Returns!H:H, Returns!F:F, $A974, Returns!C:C, $B974, Returns!D:D, $C974, Returns!E:E, $D974), 0)</f>
        <v>0</v>
      </c>
      <c r="H974" s="82">
        <f t="shared" si="1"/>
        <v>0</v>
      </c>
      <c r="I974" s="82">
        <f t="shared" si="2"/>
        <v>0</v>
      </c>
      <c r="J974" s="82">
        <f>IFERROR( SUMIFS('Stock In'!I:I,'Stock In'!B:B,$A974,'Stock In'!C:C,$B974,'Stock In'!D:D,$C974,'Stock In'!E:E,$D974) / SUMIFS('Stock In'!H:H,'Stock In'!B:B,$A974,'Stock In'!C:C,$B974,'Stock In'!D:D,$C974,'Stock In'!E:E,$D974), 0)</f>
        <v>0</v>
      </c>
      <c r="K974" s="82">
        <f t="shared" si="3"/>
        <v>0</v>
      </c>
    </row>
    <row r="975">
      <c r="A975" s="80"/>
      <c r="B975" s="80"/>
      <c r="C975" s="80"/>
      <c r="D975" s="80"/>
      <c r="E975" s="82">
        <f>IFERROR(SUMIFS('Stock In'!F:F,'Stock In'!B:B,$A975,'Stock In'!C:C,$B975,'Stock In'!D:D,$C975,'Stock In'!E:E,$D975),0)</f>
        <v>0</v>
      </c>
      <c r="F975" s="82">
        <f>IFERROR(SUMIFS(Issues!H:H, Issues!F:F, $A975, Issues!C:C, $B975, Issues!D:D, $C975, Issues!E:E, $D975), 0)</f>
        <v>0</v>
      </c>
      <c r="G975" s="82">
        <f>IFERROR(SUMIFS(Returns!H:H, Returns!F:F, $A975, Returns!C:C, $B975, Returns!D:D, $C975, Returns!E:E, $D975), 0)</f>
        <v>0</v>
      </c>
      <c r="H975" s="82">
        <f t="shared" si="1"/>
        <v>0</v>
      </c>
      <c r="I975" s="82">
        <f t="shared" si="2"/>
        <v>0</v>
      </c>
      <c r="J975" s="82">
        <f>IFERROR( SUMIFS('Stock In'!I:I,'Stock In'!B:B,$A975,'Stock In'!C:C,$B975,'Stock In'!D:D,$C975,'Stock In'!E:E,$D975) / SUMIFS('Stock In'!H:H,'Stock In'!B:B,$A975,'Stock In'!C:C,$B975,'Stock In'!D:D,$C975,'Stock In'!E:E,$D975), 0)</f>
        <v>0</v>
      </c>
      <c r="K975" s="82">
        <f t="shared" si="3"/>
        <v>0</v>
      </c>
    </row>
    <row r="976">
      <c r="A976" s="80"/>
      <c r="B976" s="80"/>
      <c r="C976" s="80"/>
      <c r="D976" s="80"/>
      <c r="E976" s="82">
        <f>IFERROR(SUMIFS('Stock In'!F:F,'Stock In'!B:B,$A976,'Stock In'!C:C,$B976,'Stock In'!D:D,$C976,'Stock In'!E:E,$D976),0)</f>
        <v>0</v>
      </c>
      <c r="F976" s="82">
        <f>IFERROR(SUMIFS(Issues!H:H, Issues!F:F, $A976, Issues!C:C, $B976, Issues!D:D, $C976, Issues!E:E, $D976), 0)</f>
        <v>0</v>
      </c>
      <c r="G976" s="82">
        <f>IFERROR(SUMIFS(Returns!H:H, Returns!F:F, $A976, Returns!C:C, $B976, Returns!D:D, $C976, Returns!E:E, $D976), 0)</f>
        <v>0</v>
      </c>
      <c r="H976" s="82">
        <f t="shared" si="1"/>
        <v>0</v>
      </c>
      <c r="I976" s="82">
        <f t="shared" si="2"/>
        <v>0</v>
      </c>
      <c r="J976" s="82">
        <f>IFERROR( SUMIFS('Stock In'!I:I,'Stock In'!B:B,$A976,'Stock In'!C:C,$B976,'Stock In'!D:D,$C976,'Stock In'!E:E,$D976) / SUMIFS('Stock In'!H:H,'Stock In'!B:B,$A976,'Stock In'!C:C,$B976,'Stock In'!D:D,$C976,'Stock In'!E:E,$D976), 0)</f>
        <v>0</v>
      </c>
      <c r="K976" s="82">
        <f t="shared" si="3"/>
        <v>0</v>
      </c>
    </row>
    <row r="977">
      <c r="A977" s="80"/>
      <c r="B977" s="80"/>
      <c r="C977" s="80"/>
      <c r="D977" s="80"/>
      <c r="E977" s="82">
        <f>IFERROR(SUMIFS('Stock In'!F:F,'Stock In'!B:B,$A977,'Stock In'!C:C,$B977,'Stock In'!D:D,$C977,'Stock In'!E:E,$D977),0)</f>
        <v>0</v>
      </c>
      <c r="F977" s="82">
        <f>IFERROR(SUMIFS(Issues!H:H, Issues!F:F, $A977, Issues!C:C, $B977, Issues!D:D, $C977, Issues!E:E, $D977), 0)</f>
        <v>0</v>
      </c>
      <c r="G977" s="82">
        <f>IFERROR(SUMIFS(Returns!H:H, Returns!F:F, $A977, Returns!C:C, $B977, Returns!D:D, $C977, Returns!E:E, $D977), 0)</f>
        <v>0</v>
      </c>
      <c r="H977" s="82">
        <f t="shared" si="1"/>
        <v>0</v>
      </c>
      <c r="I977" s="82">
        <f t="shared" si="2"/>
        <v>0</v>
      </c>
      <c r="J977" s="82">
        <f>IFERROR( SUMIFS('Stock In'!I:I,'Stock In'!B:B,$A977,'Stock In'!C:C,$B977,'Stock In'!D:D,$C977,'Stock In'!E:E,$D977) / SUMIFS('Stock In'!H:H,'Stock In'!B:B,$A977,'Stock In'!C:C,$B977,'Stock In'!D:D,$C977,'Stock In'!E:E,$D977), 0)</f>
        <v>0</v>
      </c>
      <c r="K977" s="82">
        <f t="shared" si="3"/>
        <v>0</v>
      </c>
    </row>
    <row r="978">
      <c r="A978" s="80"/>
      <c r="B978" s="80"/>
      <c r="C978" s="80"/>
      <c r="D978" s="80"/>
      <c r="E978" s="82">
        <f>IFERROR(SUMIFS('Stock In'!F:F,'Stock In'!B:B,$A978,'Stock In'!C:C,$B978,'Stock In'!D:D,$C978,'Stock In'!E:E,$D978),0)</f>
        <v>0</v>
      </c>
      <c r="F978" s="82">
        <f>IFERROR(SUMIFS(Issues!H:H, Issues!F:F, $A978, Issues!C:C, $B978, Issues!D:D, $C978, Issues!E:E, $D978), 0)</f>
        <v>0</v>
      </c>
      <c r="G978" s="82">
        <f>IFERROR(SUMIFS(Returns!H:H, Returns!F:F, $A978, Returns!C:C, $B978, Returns!D:D, $C978, Returns!E:E, $D978), 0)</f>
        <v>0</v>
      </c>
      <c r="H978" s="82">
        <f t="shared" si="1"/>
        <v>0</v>
      </c>
      <c r="I978" s="82">
        <f t="shared" si="2"/>
        <v>0</v>
      </c>
      <c r="J978" s="82">
        <f>IFERROR( SUMIFS('Stock In'!I:I,'Stock In'!B:B,$A978,'Stock In'!C:C,$B978,'Stock In'!D:D,$C978,'Stock In'!E:E,$D978) / SUMIFS('Stock In'!H:H,'Stock In'!B:B,$A978,'Stock In'!C:C,$B978,'Stock In'!D:D,$C978,'Stock In'!E:E,$D978), 0)</f>
        <v>0</v>
      </c>
      <c r="K978" s="82">
        <f t="shared" si="3"/>
        <v>0</v>
      </c>
    </row>
    <row r="979">
      <c r="A979" s="80"/>
      <c r="B979" s="80"/>
      <c r="C979" s="80"/>
      <c r="D979" s="80"/>
      <c r="E979" s="82">
        <f>IFERROR(SUMIFS('Stock In'!F:F,'Stock In'!B:B,$A979,'Stock In'!C:C,$B979,'Stock In'!D:D,$C979,'Stock In'!E:E,$D979),0)</f>
        <v>0</v>
      </c>
      <c r="F979" s="82">
        <f>IFERROR(SUMIFS(Issues!H:H, Issues!F:F, $A979, Issues!C:C, $B979, Issues!D:D, $C979, Issues!E:E, $D979), 0)</f>
        <v>0</v>
      </c>
      <c r="G979" s="82">
        <f>IFERROR(SUMIFS(Returns!H:H, Returns!F:F, $A979, Returns!C:C, $B979, Returns!D:D, $C979, Returns!E:E, $D979), 0)</f>
        <v>0</v>
      </c>
      <c r="H979" s="82">
        <f t="shared" si="1"/>
        <v>0</v>
      </c>
      <c r="I979" s="82">
        <f t="shared" si="2"/>
        <v>0</v>
      </c>
      <c r="J979" s="82">
        <f>IFERROR( SUMIFS('Stock In'!I:I,'Stock In'!B:B,$A979,'Stock In'!C:C,$B979,'Stock In'!D:D,$C979,'Stock In'!E:E,$D979) / SUMIFS('Stock In'!H:H,'Stock In'!B:B,$A979,'Stock In'!C:C,$B979,'Stock In'!D:D,$C979,'Stock In'!E:E,$D979), 0)</f>
        <v>0</v>
      </c>
      <c r="K979" s="82">
        <f t="shared" si="3"/>
        <v>0</v>
      </c>
    </row>
    <row r="980">
      <c r="A980" s="80"/>
      <c r="B980" s="80"/>
      <c r="C980" s="80"/>
      <c r="D980" s="80"/>
      <c r="E980" s="82">
        <f>IFERROR(SUMIFS('Stock In'!F:F,'Stock In'!B:B,$A980,'Stock In'!C:C,$B980,'Stock In'!D:D,$C980,'Stock In'!E:E,$D980),0)</f>
        <v>0</v>
      </c>
      <c r="F980" s="82">
        <f>IFERROR(SUMIFS(Issues!H:H, Issues!F:F, $A980, Issues!C:C, $B980, Issues!D:D, $C980, Issues!E:E, $D980), 0)</f>
        <v>0</v>
      </c>
      <c r="G980" s="82">
        <f>IFERROR(SUMIFS(Returns!H:H, Returns!F:F, $A980, Returns!C:C, $B980, Returns!D:D, $C980, Returns!E:E, $D980), 0)</f>
        <v>0</v>
      </c>
      <c r="H980" s="82">
        <f t="shared" si="1"/>
        <v>0</v>
      </c>
      <c r="I980" s="82">
        <f t="shared" si="2"/>
        <v>0</v>
      </c>
      <c r="J980" s="82">
        <f>IFERROR( SUMIFS('Stock In'!I:I,'Stock In'!B:B,$A980,'Stock In'!C:C,$B980,'Stock In'!D:D,$C980,'Stock In'!E:E,$D980) / SUMIFS('Stock In'!H:H,'Stock In'!B:B,$A980,'Stock In'!C:C,$B980,'Stock In'!D:D,$C980,'Stock In'!E:E,$D980), 0)</f>
        <v>0</v>
      </c>
      <c r="K980" s="82">
        <f t="shared" si="3"/>
        <v>0</v>
      </c>
    </row>
    <row r="981">
      <c r="A981" s="80"/>
      <c r="B981" s="80"/>
      <c r="C981" s="80"/>
      <c r="D981" s="80"/>
      <c r="E981" s="82">
        <f>IFERROR(SUMIFS('Stock In'!F:F,'Stock In'!B:B,$A981,'Stock In'!C:C,$B981,'Stock In'!D:D,$C981,'Stock In'!E:E,$D981),0)</f>
        <v>0</v>
      </c>
      <c r="F981" s="82">
        <f>IFERROR(SUMIFS(Issues!H:H, Issues!F:F, $A981, Issues!C:C, $B981, Issues!D:D, $C981, Issues!E:E, $D981), 0)</f>
        <v>0</v>
      </c>
      <c r="G981" s="82">
        <f>IFERROR(SUMIFS(Returns!H:H, Returns!F:F, $A981, Returns!C:C, $B981, Returns!D:D, $C981, Returns!E:E, $D981), 0)</f>
        <v>0</v>
      </c>
      <c r="H981" s="82">
        <f t="shared" si="1"/>
        <v>0</v>
      </c>
      <c r="I981" s="82">
        <f t="shared" si="2"/>
        <v>0</v>
      </c>
      <c r="J981" s="82">
        <f>IFERROR( SUMIFS('Stock In'!I:I,'Stock In'!B:B,$A981,'Stock In'!C:C,$B981,'Stock In'!D:D,$C981,'Stock In'!E:E,$D981) / SUMIFS('Stock In'!H:H,'Stock In'!B:B,$A981,'Stock In'!C:C,$B981,'Stock In'!D:D,$C981,'Stock In'!E:E,$D981), 0)</f>
        <v>0</v>
      </c>
      <c r="K981" s="82">
        <f t="shared" si="3"/>
        <v>0</v>
      </c>
    </row>
    <row r="982">
      <c r="A982" s="80"/>
      <c r="B982" s="80"/>
      <c r="C982" s="80"/>
      <c r="D982" s="80"/>
      <c r="E982" s="82">
        <f>IFERROR(SUMIFS('Stock In'!F:F,'Stock In'!B:B,$A982,'Stock In'!C:C,$B982,'Stock In'!D:D,$C982,'Stock In'!E:E,$D982),0)</f>
        <v>0</v>
      </c>
      <c r="F982" s="82">
        <f>IFERROR(SUMIFS(Issues!H:H, Issues!F:F, $A982, Issues!C:C, $B982, Issues!D:D, $C982, Issues!E:E, $D982), 0)</f>
        <v>0</v>
      </c>
      <c r="G982" s="82">
        <f>IFERROR(SUMIFS(Returns!H:H, Returns!F:F, $A982, Returns!C:C, $B982, Returns!D:D, $C982, Returns!E:E, $D982), 0)</f>
        <v>0</v>
      </c>
      <c r="H982" s="82">
        <f t="shared" si="1"/>
        <v>0</v>
      </c>
      <c r="I982" s="82">
        <f t="shared" si="2"/>
        <v>0</v>
      </c>
      <c r="J982" s="82">
        <f>IFERROR( SUMIFS('Stock In'!I:I,'Stock In'!B:B,$A982,'Stock In'!C:C,$B982,'Stock In'!D:D,$C982,'Stock In'!E:E,$D982) / SUMIFS('Stock In'!H:H,'Stock In'!B:B,$A982,'Stock In'!C:C,$B982,'Stock In'!D:D,$C982,'Stock In'!E:E,$D982), 0)</f>
        <v>0</v>
      </c>
      <c r="K982" s="82">
        <f t="shared" si="3"/>
        <v>0</v>
      </c>
    </row>
    <row r="983">
      <c r="A983" s="80"/>
      <c r="B983" s="80"/>
      <c r="C983" s="80"/>
      <c r="D983" s="80"/>
      <c r="E983" s="82">
        <f>IFERROR(SUMIFS('Stock In'!F:F,'Stock In'!B:B,$A983,'Stock In'!C:C,$B983,'Stock In'!D:D,$C983,'Stock In'!E:E,$D983),0)</f>
        <v>0</v>
      </c>
      <c r="F983" s="82">
        <f>IFERROR(SUMIFS(Issues!H:H, Issues!F:F, $A983, Issues!C:C, $B983, Issues!D:D, $C983, Issues!E:E, $D983), 0)</f>
        <v>0</v>
      </c>
      <c r="G983" s="82">
        <f>IFERROR(SUMIFS(Returns!H:H, Returns!F:F, $A983, Returns!C:C, $B983, Returns!D:D, $C983, Returns!E:E, $D983), 0)</f>
        <v>0</v>
      </c>
      <c r="H983" s="82">
        <f t="shared" si="1"/>
        <v>0</v>
      </c>
      <c r="I983" s="82">
        <f t="shared" si="2"/>
        <v>0</v>
      </c>
      <c r="J983" s="82">
        <f>IFERROR( SUMIFS('Stock In'!I:I,'Stock In'!B:B,$A983,'Stock In'!C:C,$B983,'Stock In'!D:D,$C983,'Stock In'!E:E,$D983) / SUMIFS('Stock In'!H:H,'Stock In'!B:B,$A983,'Stock In'!C:C,$B983,'Stock In'!D:D,$C983,'Stock In'!E:E,$D983), 0)</f>
        <v>0</v>
      </c>
      <c r="K983" s="82">
        <f t="shared" si="3"/>
        <v>0</v>
      </c>
    </row>
    <row r="984">
      <c r="A984" s="80"/>
      <c r="B984" s="80"/>
      <c r="C984" s="80"/>
      <c r="D984" s="80"/>
      <c r="E984" s="82">
        <f>IFERROR(SUMIFS('Stock In'!F:F,'Stock In'!B:B,$A984,'Stock In'!C:C,$B984,'Stock In'!D:D,$C984,'Stock In'!E:E,$D984),0)</f>
        <v>0</v>
      </c>
      <c r="F984" s="82">
        <f>IFERROR(SUMIFS(Issues!H:H, Issues!F:F, $A984, Issues!C:C, $B984, Issues!D:D, $C984, Issues!E:E, $D984), 0)</f>
        <v>0</v>
      </c>
      <c r="G984" s="82">
        <f>IFERROR(SUMIFS(Returns!H:H, Returns!F:F, $A984, Returns!C:C, $B984, Returns!D:D, $C984, Returns!E:E, $D984), 0)</f>
        <v>0</v>
      </c>
      <c r="H984" s="82">
        <f t="shared" si="1"/>
        <v>0</v>
      </c>
      <c r="I984" s="82">
        <f t="shared" si="2"/>
        <v>0</v>
      </c>
      <c r="J984" s="82">
        <f>IFERROR( SUMIFS('Stock In'!I:I,'Stock In'!B:B,$A984,'Stock In'!C:C,$B984,'Stock In'!D:D,$C984,'Stock In'!E:E,$D984) / SUMIFS('Stock In'!H:H,'Stock In'!B:B,$A984,'Stock In'!C:C,$B984,'Stock In'!D:D,$C984,'Stock In'!E:E,$D984), 0)</f>
        <v>0</v>
      </c>
      <c r="K984" s="82">
        <f t="shared" si="3"/>
        <v>0</v>
      </c>
    </row>
    <row r="985">
      <c r="A985" s="80"/>
      <c r="B985" s="80"/>
      <c r="C985" s="80"/>
      <c r="D985" s="80"/>
      <c r="E985" s="82">
        <f>IFERROR(SUMIFS('Stock In'!F:F,'Stock In'!B:B,$A985,'Stock In'!C:C,$B985,'Stock In'!D:D,$C985,'Stock In'!E:E,$D985),0)</f>
        <v>0</v>
      </c>
      <c r="F985" s="82">
        <f>IFERROR(SUMIFS(Issues!H:H, Issues!F:F, $A985, Issues!C:C, $B985, Issues!D:D, $C985, Issues!E:E, $D985), 0)</f>
        <v>0</v>
      </c>
      <c r="G985" s="82">
        <f>IFERROR(SUMIFS(Returns!H:H, Returns!F:F, $A985, Returns!C:C, $B985, Returns!D:D, $C985, Returns!E:E, $D985), 0)</f>
        <v>0</v>
      </c>
      <c r="H985" s="82">
        <f t="shared" si="1"/>
        <v>0</v>
      </c>
      <c r="I985" s="82">
        <f t="shared" si="2"/>
        <v>0</v>
      </c>
      <c r="J985" s="82">
        <f>IFERROR( SUMIFS('Stock In'!I:I,'Stock In'!B:B,$A985,'Stock In'!C:C,$B985,'Stock In'!D:D,$C985,'Stock In'!E:E,$D985) / SUMIFS('Stock In'!H:H,'Stock In'!B:B,$A985,'Stock In'!C:C,$B985,'Stock In'!D:D,$C985,'Stock In'!E:E,$D985), 0)</f>
        <v>0</v>
      </c>
      <c r="K985" s="82">
        <f t="shared" si="3"/>
        <v>0</v>
      </c>
    </row>
    <row r="986">
      <c r="A986" s="80"/>
      <c r="B986" s="80"/>
      <c r="C986" s="80"/>
      <c r="D986" s="80"/>
      <c r="E986" s="82">
        <f>IFERROR(SUMIFS('Stock In'!F:F,'Stock In'!B:B,$A986,'Stock In'!C:C,$B986,'Stock In'!D:D,$C986,'Stock In'!E:E,$D986),0)</f>
        <v>0</v>
      </c>
      <c r="F986" s="82">
        <f>IFERROR(SUMIFS(Issues!H:H, Issues!F:F, $A986, Issues!C:C, $B986, Issues!D:D, $C986, Issues!E:E, $D986), 0)</f>
        <v>0</v>
      </c>
      <c r="G986" s="82">
        <f>IFERROR(SUMIFS(Returns!H:H, Returns!F:F, $A986, Returns!C:C, $B986, Returns!D:D, $C986, Returns!E:E, $D986), 0)</f>
        <v>0</v>
      </c>
      <c r="H986" s="82">
        <f t="shared" si="1"/>
        <v>0</v>
      </c>
      <c r="I986" s="82">
        <f t="shared" si="2"/>
        <v>0</v>
      </c>
      <c r="J986" s="82">
        <f>IFERROR( SUMIFS('Stock In'!I:I,'Stock In'!B:B,$A986,'Stock In'!C:C,$B986,'Stock In'!D:D,$C986,'Stock In'!E:E,$D986) / SUMIFS('Stock In'!H:H,'Stock In'!B:B,$A986,'Stock In'!C:C,$B986,'Stock In'!D:D,$C986,'Stock In'!E:E,$D986), 0)</f>
        <v>0</v>
      </c>
      <c r="K986" s="82">
        <f t="shared" si="3"/>
        <v>0</v>
      </c>
    </row>
    <row r="987">
      <c r="A987" s="80"/>
      <c r="B987" s="80"/>
      <c r="C987" s="80"/>
      <c r="D987" s="80"/>
      <c r="E987" s="82">
        <f>IFERROR(SUMIFS('Stock In'!F:F,'Stock In'!B:B,$A987,'Stock In'!C:C,$B987,'Stock In'!D:D,$C987,'Stock In'!E:E,$D987),0)</f>
        <v>0</v>
      </c>
      <c r="F987" s="82">
        <f>IFERROR(SUMIFS(Issues!H:H, Issues!F:F, $A987, Issues!C:C, $B987, Issues!D:D, $C987, Issues!E:E, $D987), 0)</f>
        <v>0</v>
      </c>
      <c r="G987" s="82">
        <f>IFERROR(SUMIFS(Returns!H:H, Returns!F:F, $A987, Returns!C:C, $B987, Returns!D:D, $C987, Returns!E:E, $D987), 0)</f>
        <v>0</v>
      </c>
      <c r="H987" s="82">
        <f t="shared" si="1"/>
        <v>0</v>
      </c>
      <c r="I987" s="82">
        <f t="shared" si="2"/>
        <v>0</v>
      </c>
      <c r="J987" s="82">
        <f>IFERROR( SUMIFS('Stock In'!I:I,'Stock In'!B:B,$A987,'Stock In'!C:C,$B987,'Stock In'!D:D,$C987,'Stock In'!E:E,$D987) / SUMIFS('Stock In'!H:H,'Stock In'!B:B,$A987,'Stock In'!C:C,$B987,'Stock In'!D:D,$C987,'Stock In'!E:E,$D987), 0)</f>
        <v>0</v>
      </c>
      <c r="K987" s="82">
        <f t="shared" si="3"/>
        <v>0</v>
      </c>
    </row>
    <row r="988">
      <c r="A988" s="80"/>
      <c r="B988" s="80"/>
      <c r="C988" s="80"/>
      <c r="D988" s="80"/>
      <c r="E988" s="82">
        <f>IFERROR(SUMIFS('Stock In'!F:F,'Stock In'!B:B,$A988,'Stock In'!C:C,$B988,'Stock In'!D:D,$C988,'Stock In'!E:E,$D988),0)</f>
        <v>0</v>
      </c>
      <c r="F988" s="82">
        <f>IFERROR(SUMIFS(Issues!H:H, Issues!F:F, $A988, Issues!C:C, $B988, Issues!D:D, $C988, Issues!E:E, $D988), 0)</f>
        <v>0</v>
      </c>
      <c r="G988" s="82">
        <f>IFERROR(SUMIFS(Returns!H:H, Returns!F:F, $A988, Returns!C:C, $B988, Returns!D:D, $C988, Returns!E:E, $D988), 0)</f>
        <v>0</v>
      </c>
      <c r="H988" s="82">
        <f t="shared" si="1"/>
        <v>0</v>
      </c>
      <c r="I988" s="82">
        <f t="shared" si="2"/>
        <v>0</v>
      </c>
      <c r="J988" s="82">
        <f>IFERROR( SUMIFS('Stock In'!I:I,'Stock In'!B:B,$A988,'Stock In'!C:C,$B988,'Stock In'!D:D,$C988,'Stock In'!E:E,$D988) / SUMIFS('Stock In'!H:H,'Stock In'!B:B,$A988,'Stock In'!C:C,$B988,'Stock In'!D:D,$C988,'Stock In'!E:E,$D988), 0)</f>
        <v>0</v>
      </c>
      <c r="K988" s="82">
        <f t="shared" si="3"/>
        <v>0</v>
      </c>
    </row>
    <row r="989">
      <c r="A989" s="80"/>
      <c r="B989" s="80"/>
      <c r="C989" s="80"/>
      <c r="D989" s="80"/>
      <c r="E989" s="82">
        <f>IFERROR(SUMIFS('Stock In'!F:F,'Stock In'!B:B,$A989,'Stock In'!C:C,$B989,'Stock In'!D:D,$C989,'Stock In'!E:E,$D989),0)</f>
        <v>0</v>
      </c>
      <c r="F989" s="82">
        <f>IFERROR(SUMIFS(Issues!H:H, Issues!F:F, $A989, Issues!C:C, $B989, Issues!D:D, $C989, Issues!E:E, $D989), 0)</f>
        <v>0</v>
      </c>
      <c r="G989" s="82">
        <f>IFERROR(SUMIFS(Returns!H:H, Returns!F:F, $A989, Returns!C:C, $B989, Returns!D:D, $C989, Returns!E:E, $D989), 0)</f>
        <v>0</v>
      </c>
      <c r="H989" s="82">
        <f t="shared" si="1"/>
        <v>0</v>
      </c>
      <c r="I989" s="82">
        <f t="shared" si="2"/>
        <v>0</v>
      </c>
      <c r="J989" s="82">
        <f>IFERROR( SUMIFS('Stock In'!I:I,'Stock In'!B:B,$A989,'Stock In'!C:C,$B989,'Stock In'!D:D,$C989,'Stock In'!E:E,$D989) / SUMIFS('Stock In'!H:H,'Stock In'!B:B,$A989,'Stock In'!C:C,$B989,'Stock In'!D:D,$C989,'Stock In'!E:E,$D989), 0)</f>
        <v>0</v>
      </c>
      <c r="K989" s="82">
        <f t="shared" si="3"/>
        <v>0</v>
      </c>
    </row>
    <row r="990">
      <c r="A990" s="80"/>
      <c r="B990" s="80"/>
      <c r="C990" s="80"/>
      <c r="D990" s="80"/>
      <c r="E990" s="82">
        <f>IFERROR(SUMIFS('Stock In'!F:F,'Stock In'!B:B,$A990,'Stock In'!C:C,$B990,'Stock In'!D:D,$C990,'Stock In'!E:E,$D990),0)</f>
        <v>0</v>
      </c>
      <c r="F990" s="82">
        <f>IFERROR(SUMIFS(Issues!H:H, Issues!F:F, $A990, Issues!C:C, $B990, Issues!D:D, $C990, Issues!E:E, $D990), 0)</f>
        <v>0</v>
      </c>
      <c r="G990" s="82">
        <f>IFERROR(SUMIFS(Returns!H:H, Returns!F:F, $A990, Returns!C:C, $B990, Returns!D:D, $C990, Returns!E:E, $D990), 0)</f>
        <v>0</v>
      </c>
      <c r="H990" s="82">
        <f t="shared" si="1"/>
        <v>0</v>
      </c>
      <c r="I990" s="82">
        <f t="shared" si="2"/>
        <v>0</v>
      </c>
      <c r="J990" s="82">
        <f>IFERROR( SUMIFS('Stock In'!I:I,'Stock In'!B:B,$A990,'Stock In'!C:C,$B990,'Stock In'!D:D,$C990,'Stock In'!E:E,$D990) / SUMIFS('Stock In'!H:H,'Stock In'!B:B,$A990,'Stock In'!C:C,$B990,'Stock In'!D:D,$C990,'Stock In'!E:E,$D990), 0)</f>
        <v>0</v>
      </c>
      <c r="K990" s="82">
        <f t="shared" si="3"/>
        <v>0</v>
      </c>
    </row>
    <row r="991">
      <c r="A991" s="80"/>
      <c r="B991" s="80"/>
      <c r="C991" s="80"/>
      <c r="D991" s="80"/>
      <c r="E991" s="82">
        <f>IFERROR(SUMIFS('Stock In'!F:F,'Stock In'!B:B,$A991,'Stock In'!C:C,$B991,'Stock In'!D:D,$C991,'Stock In'!E:E,$D991),0)</f>
        <v>0</v>
      </c>
      <c r="F991" s="82">
        <f>IFERROR(SUMIFS(Issues!H:H, Issues!F:F, $A991, Issues!C:C, $B991, Issues!D:D, $C991, Issues!E:E, $D991), 0)</f>
        <v>0</v>
      </c>
      <c r="G991" s="82">
        <f>IFERROR(SUMIFS(Returns!H:H, Returns!F:F, $A991, Returns!C:C, $B991, Returns!D:D, $C991, Returns!E:E, $D991), 0)</f>
        <v>0</v>
      </c>
      <c r="H991" s="82">
        <f t="shared" si="1"/>
        <v>0</v>
      </c>
      <c r="I991" s="82">
        <f t="shared" si="2"/>
        <v>0</v>
      </c>
      <c r="J991" s="82">
        <f>IFERROR( SUMIFS('Stock In'!I:I,'Stock In'!B:B,$A991,'Stock In'!C:C,$B991,'Stock In'!D:D,$C991,'Stock In'!E:E,$D991) / SUMIFS('Stock In'!H:H,'Stock In'!B:B,$A991,'Stock In'!C:C,$B991,'Stock In'!D:D,$C991,'Stock In'!E:E,$D991), 0)</f>
        <v>0</v>
      </c>
      <c r="K991" s="82">
        <f t="shared" si="3"/>
        <v>0</v>
      </c>
    </row>
    <row r="992">
      <c r="A992" s="80"/>
      <c r="B992" s="80"/>
      <c r="C992" s="80"/>
      <c r="D992" s="80"/>
      <c r="E992" s="82">
        <f>IFERROR(SUMIFS('Stock In'!F:F,'Stock In'!B:B,$A992,'Stock In'!C:C,$B992,'Stock In'!D:D,$C992,'Stock In'!E:E,$D992),0)</f>
        <v>0</v>
      </c>
      <c r="F992" s="82">
        <f>IFERROR(SUMIFS(Issues!H:H, Issues!F:F, $A992, Issues!C:C, $B992, Issues!D:D, $C992, Issues!E:E, $D992), 0)</f>
        <v>0</v>
      </c>
      <c r="G992" s="82">
        <f>IFERROR(SUMIFS(Returns!H:H, Returns!F:F, $A992, Returns!C:C, $B992, Returns!D:D, $C992, Returns!E:E, $D992), 0)</f>
        <v>0</v>
      </c>
      <c r="H992" s="82">
        <f t="shared" si="1"/>
        <v>0</v>
      </c>
      <c r="I992" s="82">
        <f t="shared" si="2"/>
        <v>0</v>
      </c>
      <c r="J992" s="82">
        <f>IFERROR( SUMIFS('Stock In'!I:I,'Stock In'!B:B,$A992,'Stock In'!C:C,$B992,'Stock In'!D:D,$C992,'Stock In'!E:E,$D992) / SUMIFS('Stock In'!H:H,'Stock In'!B:B,$A992,'Stock In'!C:C,$B992,'Stock In'!D:D,$C992,'Stock In'!E:E,$D992), 0)</f>
        <v>0</v>
      </c>
      <c r="K992" s="82">
        <f t="shared" si="3"/>
        <v>0</v>
      </c>
    </row>
    <row r="993">
      <c r="A993" s="80"/>
      <c r="B993" s="80"/>
      <c r="C993" s="80"/>
      <c r="D993" s="80"/>
      <c r="E993" s="82">
        <f>IFERROR(SUMIFS('Stock In'!F:F,'Stock In'!B:B,$A993,'Stock In'!C:C,$B993,'Stock In'!D:D,$C993,'Stock In'!E:E,$D993),0)</f>
        <v>0</v>
      </c>
      <c r="F993" s="82">
        <f>IFERROR(SUMIFS(Issues!H:H, Issues!F:F, $A993, Issues!C:C, $B993, Issues!D:D, $C993, Issues!E:E, $D993), 0)</f>
        <v>0</v>
      </c>
      <c r="G993" s="82">
        <f>IFERROR(SUMIFS(Returns!H:H, Returns!F:F, $A993, Returns!C:C, $B993, Returns!D:D, $C993, Returns!E:E, $D993), 0)</f>
        <v>0</v>
      </c>
      <c r="H993" s="82">
        <f t="shared" si="1"/>
        <v>0</v>
      </c>
      <c r="I993" s="82">
        <f t="shared" si="2"/>
        <v>0</v>
      </c>
      <c r="J993" s="82">
        <f>IFERROR( SUMIFS('Stock In'!I:I,'Stock In'!B:B,$A993,'Stock In'!C:C,$B993,'Stock In'!D:D,$C993,'Stock In'!E:E,$D993) / SUMIFS('Stock In'!H:H,'Stock In'!B:B,$A993,'Stock In'!C:C,$B993,'Stock In'!D:D,$C993,'Stock In'!E:E,$D993), 0)</f>
        <v>0</v>
      </c>
      <c r="K993" s="82">
        <f t="shared" si="3"/>
        <v>0</v>
      </c>
    </row>
    <row r="994">
      <c r="A994" s="80"/>
      <c r="B994" s="80"/>
      <c r="C994" s="80"/>
      <c r="D994" s="80"/>
      <c r="E994" s="82">
        <f>IFERROR(SUMIFS('Stock In'!F:F,'Stock In'!B:B,$A994,'Stock In'!C:C,$B994,'Stock In'!D:D,$C994,'Stock In'!E:E,$D994),0)</f>
        <v>0</v>
      </c>
      <c r="F994" s="82">
        <f>IFERROR(SUMIFS(Issues!H:H, Issues!F:F, $A994, Issues!C:C, $B994, Issues!D:D, $C994, Issues!E:E, $D994), 0)</f>
        <v>0</v>
      </c>
      <c r="G994" s="82">
        <f>IFERROR(SUMIFS(Returns!H:H, Returns!F:F, $A994, Returns!C:C, $B994, Returns!D:D, $C994, Returns!E:E, $D994), 0)</f>
        <v>0</v>
      </c>
      <c r="H994" s="82">
        <f t="shared" si="1"/>
        <v>0</v>
      </c>
      <c r="I994" s="82">
        <f t="shared" si="2"/>
        <v>0</v>
      </c>
      <c r="J994" s="82">
        <f>IFERROR( SUMIFS('Stock In'!I:I,'Stock In'!B:B,$A994,'Stock In'!C:C,$B994,'Stock In'!D:D,$C994,'Stock In'!E:E,$D994) / SUMIFS('Stock In'!H:H,'Stock In'!B:B,$A994,'Stock In'!C:C,$B994,'Stock In'!D:D,$C994,'Stock In'!E:E,$D994), 0)</f>
        <v>0</v>
      </c>
      <c r="K994" s="82">
        <f t="shared" si="3"/>
        <v>0</v>
      </c>
    </row>
    <row r="995">
      <c r="A995" s="80"/>
      <c r="B995" s="80"/>
      <c r="C995" s="80"/>
      <c r="D995" s="80"/>
      <c r="E995" s="82">
        <f>IFERROR(SUMIFS('Stock In'!F:F,'Stock In'!B:B,$A995,'Stock In'!C:C,$B995,'Stock In'!D:D,$C995,'Stock In'!E:E,$D995),0)</f>
        <v>0</v>
      </c>
      <c r="F995" s="82">
        <f>IFERROR(SUMIFS(Issues!H:H, Issues!F:F, $A995, Issues!C:C, $B995, Issues!D:D, $C995, Issues!E:E, $D995), 0)</f>
        <v>0</v>
      </c>
      <c r="G995" s="82">
        <f>IFERROR(SUMIFS(Returns!H:H, Returns!F:F, $A995, Returns!C:C, $B995, Returns!D:D, $C995, Returns!E:E, $D995), 0)</f>
        <v>0</v>
      </c>
      <c r="H995" s="82">
        <f t="shared" si="1"/>
        <v>0</v>
      </c>
      <c r="I995" s="82">
        <f t="shared" si="2"/>
        <v>0</v>
      </c>
      <c r="J995" s="82">
        <f>IFERROR( SUMIFS('Stock In'!I:I,'Stock In'!B:B,$A995,'Stock In'!C:C,$B995,'Stock In'!D:D,$C995,'Stock In'!E:E,$D995) / SUMIFS('Stock In'!H:H,'Stock In'!B:B,$A995,'Stock In'!C:C,$B995,'Stock In'!D:D,$C995,'Stock In'!E:E,$D995), 0)</f>
        <v>0</v>
      </c>
      <c r="K995" s="82">
        <f t="shared" si="3"/>
        <v>0</v>
      </c>
    </row>
    <row r="996">
      <c r="A996" s="80"/>
      <c r="B996" s="80"/>
      <c r="C996" s="80"/>
      <c r="D996" s="80"/>
      <c r="E996" s="82">
        <f>IFERROR(SUMIFS('Stock In'!F:F,'Stock In'!B:B,$A996,'Stock In'!C:C,$B996,'Stock In'!D:D,$C996,'Stock In'!E:E,$D996),0)</f>
        <v>0</v>
      </c>
      <c r="F996" s="82">
        <f>IFERROR(SUMIFS(Issues!H:H, Issues!F:F, $A996, Issues!C:C, $B996, Issues!D:D, $C996, Issues!E:E, $D996), 0)</f>
        <v>0</v>
      </c>
      <c r="G996" s="82">
        <f>IFERROR(SUMIFS(Returns!H:H, Returns!F:F, $A996, Returns!C:C, $B996, Returns!D:D, $C996, Returns!E:E, $D996), 0)</f>
        <v>0</v>
      </c>
      <c r="H996" s="82">
        <f t="shared" si="1"/>
        <v>0</v>
      </c>
      <c r="I996" s="82">
        <f t="shared" si="2"/>
        <v>0</v>
      </c>
      <c r="J996" s="82">
        <f>IFERROR( SUMIFS('Stock In'!I:I,'Stock In'!B:B,$A996,'Stock In'!C:C,$B996,'Stock In'!D:D,$C996,'Stock In'!E:E,$D996) / SUMIFS('Stock In'!H:H,'Stock In'!B:B,$A996,'Stock In'!C:C,$B996,'Stock In'!D:D,$C996,'Stock In'!E:E,$D996), 0)</f>
        <v>0</v>
      </c>
      <c r="K996" s="82">
        <f t="shared" si="3"/>
        <v>0</v>
      </c>
    </row>
    <row r="997">
      <c r="A997" s="80"/>
      <c r="B997" s="80"/>
      <c r="C997" s="80"/>
      <c r="D997" s="80"/>
      <c r="E997" s="82">
        <f>IFERROR(SUMIFS('Stock In'!F:F,'Stock In'!B:B,$A997,'Stock In'!C:C,$B997,'Stock In'!D:D,$C997,'Stock In'!E:E,$D997),0)</f>
        <v>0</v>
      </c>
      <c r="F997" s="82">
        <f>IFERROR(SUMIFS(Issues!H:H, Issues!F:F, $A997, Issues!C:C, $B997, Issues!D:D, $C997, Issues!E:E, $D997), 0)</f>
        <v>0</v>
      </c>
      <c r="G997" s="82">
        <f>IFERROR(SUMIFS(Returns!H:H, Returns!F:F, $A997, Returns!C:C, $B997, Returns!D:D, $C997, Returns!E:E, $D997), 0)</f>
        <v>0</v>
      </c>
      <c r="H997" s="82">
        <f t="shared" si="1"/>
        <v>0</v>
      </c>
      <c r="I997" s="82">
        <f t="shared" si="2"/>
        <v>0</v>
      </c>
      <c r="J997" s="82">
        <f>IFERROR( SUMIFS('Stock In'!I:I,'Stock In'!B:B,$A997,'Stock In'!C:C,$B997,'Stock In'!D:D,$C997,'Stock In'!E:E,$D997) / SUMIFS('Stock In'!H:H,'Stock In'!B:B,$A997,'Stock In'!C:C,$B997,'Stock In'!D:D,$C997,'Stock In'!E:E,$D997), 0)</f>
        <v>0</v>
      </c>
      <c r="K997" s="82">
        <f t="shared" si="3"/>
        <v>0</v>
      </c>
    </row>
    <row r="998">
      <c r="A998" s="80"/>
      <c r="B998" s="80"/>
      <c r="C998" s="80"/>
      <c r="D998" s="80"/>
      <c r="E998" s="82">
        <f>IFERROR(SUMIFS('Stock In'!F:F,'Stock In'!B:B,$A998,'Stock In'!C:C,$B998,'Stock In'!D:D,$C998,'Stock In'!E:E,$D998),0)</f>
        <v>0</v>
      </c>
      <c r="F998" s="82">
        <f>IFERROR(SUMIFS(Issues!H:H, Issues!F:F, $A998, Issues!C:C, $B998, Issues!D:D, $C998, Issues!E:E, $D998), 0)</f>
        <v>0</v>
      </c>
      <c r="G998" s="82">
        <f>IFERROR(SUMIFS(Returns!H:H, Returns!F:F, $A998, Returns!C:C, $B998, Returns!D:D, $C998, Returns!E:E, $D998), 0)</f>
        <v>0</v>
      </c>
      <c r="H998" s="82">
        <f t="shared" si="1"/>
        <v>0</v>
      </c>
      <c r="I998" s="82">
        <f t="shared" si="2"/>
        <v>0</v>
      </c>
      <c r="J998" s="82">
        <f>IFERROR( SUMIFS('Stock In'!I:I,'Stock In'!B:B,$A998,'Stock In'!C:C,$B998,'Stock In'!D:D,$C998,'Stock In'!E:E,$D998) / SUMIFS('Stock In'!H:H,'Stock In'!B:B,$A998,'Stock In'!C:C,$B998,'Stock In'!D:D,$C998,'Stock In'!E:E,$D998), 0)</f>
        <v>0</v>
      </c>
      <c r="K998" s="82">
        <f t="shared" si="3"/>
        <v>0</v>
      </c>
    </row>
    <row r="999">
      <c r="A999" s="80"/>
      <c r="B999" s="80"/>
      <c r="C999" s="80"/>
      <c r="D999" s="80"/>
      <c r="E999" s="82">
        <f>IFERROR(SUMIFS('Stock In'!F:F,'Stock In'!B:B,$A999,'Stock In'!C:C,$B999,'Stock In'!D:D,$C999,'Stock In'!E:E,$D999),0)</f>
        <v>0</v>
      </c>
      <c r="F999" s="82">
        <f>IFERROR(SUMIFS(Issues!H:H, Issues!F:F, $A999, Issues!C:C, $B999, Issues!D:D, $C999, Issues!E:E, $D999), 0)</f>
        <v>0</v>
      </c>
      <c r="G999" s="82">
        <f>IFERROR(SUMIFS(Returns!H:H, Returns!F:F, $A999, Returns!C:C, $B999, Returns!D:D, $C999, Returns!E:E, $D999), 0)</f>
        <v>0</v>
      </c>
      <c r="H999" s="82">
        <f t="shared" si="1"/>
        <v>0</v>
      </c>
      <c r="I999" s="82">
        <f t="shared" si="2"/>
        <v>0</v>
      </c>
      <c r="J999" s="82">
        <f>IFERROR( SUMIFS('Stock In'!I:I,'Stock In'!B:B,$A999,'Stock In'!C:C,$B999,'Stock In'!D:D,$C999,'Stock In'!E:E,$D999) / SUMIFS('Stock In'!H:H,'Stock In'!B:B,$A999,'Stock In'!C:C,$B999,'Stock In'!D:D,$C999,'Stock In'!E:E,$D999), 0)</f>
        <v>0</v>
      </c>
      <c r="K999" s="82">
        <f t="shared" si="3"/>
        <v>0</v>
      </c>
    </row>
    <row r="1000">
      <c r="A1000" s="80"/>
      <c r="B1000" s="80"/>
      <c r="C1000" s="80"/>
      <c r="D1000" s="80"/>
      <c r="E1000" s="82">
        <f>IFERROR(SUMIFS('Stock In'!F:F,'Stock In'!B:B,$A1000,'Stock In'!C:C,$B1000,'Stock In'!D:D,$C1000,'Stock In'!E:E,$D1000),0)</f>
        <v>0</v>
      </c>
      <c r="F1000" s="82">
        <f>IFERROR(SUMIFS(Issues!H:H, Issues!F:F, $A1000, Issues!C:C, $B1000, Issues!D:D, $C1000, Issues!E:E, $D1000), 0)</f>
        <v>0</v>
      </c>
      <c r="G1000" s="82">
        <f>IFERROR(SUMIFS(Returns!H:H, Returns!F:F, $A1000, Returns!C:C, $B1000, Returns!D:D, $C1000, Returns!E:E, $D1000), 0)</f>
        <v>0</v>
      </c>
      <c r="H1000" s="82">
        <f t="shared" si="1"/>
        <v>0</v>
      </c>
      <c r="I1000" s="82">
        <f t="shared" si="2"/>
        <v>0</v>
      </c>
      <c r="J1000" s="82">
        <f>IFERROR( SUMIFS('Stock In'!I:I,'Stock In'!B:B,$A1000,'Stock In'!C:C,$B1000,'Stock In'!D:D,$C1000,'Stock In'!E:E,$D1000) / SUMIFS('Stock In'!H:H,'Stock In'!B:B,$A1000,'Stock In'!C:C,$B1000,'Stock In'!D:D,$C1000,'Stock In'!E:E,$D1000), 0)</f>
        <v>0</v>
      </c>
      <c r="K1000" s="82">
        <f t="shared" si="3"/>
        <v>0</v>
      </c>
    </row>
  </sheetData>
  <dataValidations>
    <dataValidation type="custom" allowBlank="1" showDropDown="1" sqref="D2:D8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