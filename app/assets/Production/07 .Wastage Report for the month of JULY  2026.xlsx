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AMIT\FINAL PACKAGING\WASTAGE REPORT\"/>
    </mc:Choice>
  </mc:AlternateContent>
  <xr:revisionPtr revIDLastSave="0" documentId="13_ncr:1_{51B29D89-875A-4CE5-B078-D6F6FD5E6EFF}" xr6:coauthVersionLast="36" xr6:coauthVersionMax="47" xr10:uidLastSave="{00000000-0000-0000-0000-000000000000}"/>
  <bookViews>
    <workbookView xWindow="-120" yWindow="-120" windowWidth="20730" windowHeight="11160" tabRatio="552" xr2:uid="{00000000-000D-0000-FFFF-FFFF00000000}"/>
  </bookViews>
  <sheets>
    <sheet name="JUly  2026" sheetId="3" r:id="rId1"/>
    <sheet name="not yet dispatched 1" sheetId="5" state="hidden" r:id="rId2"/>
    <sheet name="NOT YET DISPATCHED" sheetId="4" state="hidden" r:id="rId3"/>
  </sheets>
  <definedNames>
    <definedName name="_xlnm._FilterDatabase" localSheetId="0" hidden="1">'JUly  2026'!$A$3:$W$169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3" l="1"/>
  <c r="K18" i="3"/>
  <c r="P62" i="3" l="1"/>
  <c r="K62" i="3"/>
  <c r="P63" i="3"/>
  <c r="K63" i="3"/>
  <c r="P41" i="3"/>
  <c r="K41" i="3"/>
  <c r="K16" i="3"/>
  <c r="P14" i="3"/>
  <c r="K14" i="3"/>
  <c r="P61" i="3"/>
  <c r="K61" i="3"/>
  <c r="P43" i="3"/>
  <c r="K43" i="3"/>
  <c r="P68" i="3"/>
  <c r="K68" i="3"/>
  <c r="P45" i="3"/>
  <c r="K45" i="3"/>
  <c r="P34" i="3"/>
  <c r="K34" i="3"/>
  <c r="P51" i="3"/>
  <c r="K51" i="3"/>
  <c r="P70" i="3"/>
  <c r="K70" i="3"/>
  <c r="P65" i="3"/>
  <c r="K65" i="3"/>
  <c r="P26" i="3"/>
  <c r="K26" i="3"/>
  <c r="P67" i="3"/>
  <c r="K67" i="3"/>
  <c r="P27" i="3"/>
  <c r="K27" i="3"/>
  <c r="P69" i="3"/>
  <c r="K69" i="3"/>
  <c r="P66" i="3"/>
  <c r="K66" i="3"/>
  <c r="P52" i="3"/>
  <c r="K52" i="3"/>
  <c r="P64" i="3" l="1"/>
  <c r="K64" i="3"/>
  <c r="P60" i="3" l="1"/>
  <c r="K60" i="3"/>
  <c r="P59" i="3"/>
  <c r="K59" i="3"/>
  <c r="P49" i="3"/>
  <c r="K49" i="3"/>
  <c r="P48" i="3"/>
  <c r="K48" i="3"/>
  <c r="T55" i="3"/>
  <c r="U55" i="3"/>
  <c r="V55" i="3" s="1"/>
  <c r="T54" i="3"/>
  <c r="U54" i="3"/>
  <c r="V54" i="3" s="1"/>
  <c r="U53" i="3"/>
  <c r="V53" i="3" s="1"/>
  <c r="T53" i="3"/>
  <c r="T47" i="3"/>
  <c r="U47" i="3"/>
  <c r="V47" i="3" s="1"/>
  <c r="T46" i="3"/>
  <c r="U46" i="3"/>
  <c r="V46" i="3"/>
  <c r="T44" i="3"/>
  <c r="U44" i="3"/>
  <c r="V44" i="3" s="1"/>
  <c r="T42" i="3"/>
  <c r="U42" i="3"/>
  <c r="V42" i="3" s="1"/>
  <c r="T40" i="3"/>
  <c r="U40" i="3"/>
  <c r="V40" i="3" s="1"/>
  <c r="T39" i="3"/>
  <c r="U39" i="3"/>
  <c r="V39" i="3" s="1"/>
  <c r="U38" i="3"/>
  <c r="V38" i="3" s="1"/>
  <c r="T38" i="3"/>
  <c r="T32" i="3"/>
  <c r="U32" i="3"/>
  <c r="V32" i="3" s="1"/>
  <c r="T31" i="3"/>
  <c r="U31" i="3"/>
  <c r="V31" i="3" s="1"/>
  <c r="U30" i="3"/>
  <c r="V30" i="3" s="1"/>
  <c r="T30" i="3"/>
  <c r="T22" i="3"/>
  <c r="U22" i="3"/>
  <c r="V22" i="3" s="1"/>
  <c r="T21" i="3"/>
  <c r="U21" i="3"/>
  <c r="V21" i="3"/>
  <c r="T20" i="3"/>
  <c r="U20" i="3"/>
  <c r="V20" i="3"/>
  <c r="T19" i="3"/>
  <c r="U19" i="3"/>
  <c r="V19" i="3" s="1"/>
  <c r="T15" i="3"/>
  <c r="U15" i="3"/>
  <c r="V15" i="3"/>
  <c r="T13" i="3"/>
  <c r="U13" i="3"/>
  <c r="V13" i="3" s="1"/>
  <c r="T11" i="3"/>
  <c r="U11" i="3"/>
  <c r="V11" i="3" s="1"/>
  <c r="T10" i="3"/>
  <c r="U10" i="3"/>
  <c r="V10" i="3" s="1"/>
  <c r="T9" i="3"/>
  <c r="U9" i="3"/>
  <c r="V9" i="3" s="1"/>
  <c r="T8" i="3"/>
  <c r="U8" i="3"/>
  <c r="V8" i="3" s="1"/>
  <c r="T7" i="3"/>
  <c r="U7" i="3"/>
  <c r="V7" i="3" s="1"/>
  <c r="T5" i="3"/>
  <c r="U5" i="3"/>
  <c r="V5" i="3" s="1"/>
  <c r="P58" i="3" l="1"/>
  <c r="K58" i="3"/>
  <c r="P54" i="3" l="1"/>
  <c r="K54" i="3"/>
  <c r="P50" i="3"/>
  <c r="K50" i="3"/>
  <c r="P56" i="3"/>
  <c r="K56" i="3"/>
  <c r="P57" i="3"/>
  <c r="K57" i="3"/>
  <c r="P25" i="3" l="1"/>
  <c r="K25" i="3"/>
  <c r="P53" i="3"/>
  <c r="K53" i="3"/>
  <c r="P55" i="3"/>
  <c r="K55" i="3"/>
  <c r="P35" i="3"/>
  <c r="K35" i="3"/>
  <c r="P23" i="3"/>
  <c r="K23" i="3"/>
  <c r="P28" i="3"/>
  <c r="K28" i="3"/>
  <c r="P24" i="3"/>
  <c r="K24" i="3"/>
  <c r="P37" i="3" l="1"/>
  <c r="K37" i="3"/>
  <c r="P36" i="3"/>
  <c r="K36" i="3"/>
  <c r="P33" i="3"/>
  <c r="K33" i="3"/>
  <c r="P40" i="3" l="1"/>
  <c r="K40" i="3"/>
  <c r="P44" i="3"/>
  <c r="K44" i="3"/>
  <c r="P47" i="3"/>
  <c r="K47" i="3"/>
  <c r="P46" i="3"/>
  <c r="K46" i="3"/>
  <c r="P38" i="3"/>
  <c r="K38" i="3"/>
  <c r="P42" i="3"/>
  <c r="K42" i="3"/>
  <c r="P32" i="3"/>
  <c r="K32" i="3"/>
  <c r="P29" i="3"/>
  <c r="K29" i="3"/>
  <c r="P21" i="3"/>
  <c r="K21" i="3"/>
  <c r="P39" i="3"/>
  <c r="K39" i="3"/>
  <c r="P22" i="3"/>
  <c r="K22" i="3"/>
  <c r="P31" i="3"/>
  <c r="K31" i="3"/>
  <c r="P30" i="3"/>
  <c r="K30" i="3"/>
  <c r="P20" i="3"/>
  <c r="K20" i="3"/>
  <c r="P19" i="3"/>
  <c r="K19" i="3"/>
  <c r="P15" i="3"/>
  <c r="K15" i="3"/>
  <c r="P13" i="3"/>
  <c r="K13" i="3"/>
  <c r="P11" i="3"/>
  <c r="K11" i="3"/>
  <c r="P10" i="3"/>
  <c r="K10" i="3"/>
  <c r="P9" i="3"/>
  <c r="K9" i="3"/>
  <c r="P8" i="3"/>
  <c r="K8" i="3"/>
  <c r="P7" i="3"/>
  <c r="K7" i="3"/>
  <c r="P5" i="3"/>
  <c r="K5" i="3"/>
  <c r="K12" i="3"/>
  <c r="T12" i="3" l="1"/>
  <c r="U12" i="3"/>
  <c r="V12" i="3" s="1"/>
  <c r="T6" i="3"/>
  <c r="U6" i="3"/>
  <c r="V6" i="3" s="1"/>
  <c r="P6" i="3" l="1"/>
  <c r="K6" i="3"/>
  <c r="P12" i="3"/>
  <c r="T4" i="3" l="1"/>
  <c r="U4" i="3" l="1"/>
  <c r="V4" i="3" s="1"/>
  <c r="P4" i="3" l="1"/>
  <c r="K4" i="3"/>
  <c r="P16" i="5" l="1"/>
  <c r="K16" i="5"/>
  <c r="P15" i="5"/>
  <c r="K15" i="5"/>
  <c r="P14" i="5"/>
  <c r="K14" i="5"/>
  <c r="P13" i="5"/>
  <c r="K13" i="5"/>
  <c r="P12" i="5"/>
  <c r="K12" i="5"/>
  <c r="P11" i="5"/>
  <c r="K11" i="5"/>
  <c r="P10" i="5"/>
  <c r="K10" i="5"/>
  <c r="P9" i="5"/>
  <c r="K9" i="5"/>
  <c r="P8" i="5"/>
  <c r="K8" i="5"/>
  <c r="P7" i="5"/>
  <c r="K7" i="5"/>
  <c r="P6" i="5"/>
  <c r="K6" i="5"/>
  <c r="P5" i="5"/>
  <c r="K5" i="5"/>
  <c r="P4" i="5"/>
  <c r="K4" i="5"/>
  <c r="P3" i="5"/>
  <c r="K3" i="5"/>
  <c r="P19" i="4" l="1"/>
  <c r="K19" i="4"/>
  <c r="P18" i="4"/>
  <c r="K18" i="4"/>
  <c r="P17" i="4"/>
  <c r="K17" i="4"/>
  <c r="P16" i="4"/>
  <c r="K16" i="4"/>
  <c r="P15" i="4"/>
  <c r="K15" i="4"/>
  <c r="P14" i="4"/>
  <c r="K14" i="4"/>
  <c r="P13" i="4"/>
  <c r="K13" i="4"/>
  <c r="K12" i="4"/>
  <c r="P11" i="4"/>
  <c r="K11" i="4"/>
  <c r="P10" i="4"/>
  <c r="K10" i="4"/>
  <c r="P9" i="4"/>
  <c r="K9" i="4"/>
  <c r="P8" i="4"/>
  <c r="K8" i="4"/>
  <c r="P7" i="4"/>
  <c r="K7" i="4"/>
  <c r="P6" i="4"/>
  <c r="K6" i="4"/>
  <c r="P5" i="4"/>
  <c r="K5" i="4"/>
  <c r="P4" i="4" l="1"/>
  <c r="K4" i="4"/>
  <c r="P3" i="4"/>
  <c r="K3" i="4"/>
  <c r="P2" i="4"/>
  <c r="K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N88" authorId="0" shapeId="0" xr:uid="{241BFF6A-217D-4C67-824A-DE6454EA46DD}">
      <text>
        <r>
          <rPr>
            <sz val="9"/>
            <color indexed="81"/>
            <rFont val="Tahoma"/>
            <family val="2"/>
          </rPr>
          <t xml:space="preserve">200M ( AVERY PP CLEAR &amp; 125M ( SURYA PP WHITE )
</t>
        </r>
      </text>
    </comment>
    <comment ref="L132" authorId="0" shapeId="0" xr:uid="{411063B6-7231-4C5E-AB55-13DC13BC0510}">
      <text>
        <r>
          <rPr>
            <sz val="9"/>
            <color indexed="81"/>
            <rFont val="Tahoma"/>
            <family val="2"/>
          </rPr>
          <t xml:space="preserve">395M CUT BY 215M
</t>
        </r>
      </text>
    </comment>
    <comment ref="L134" authorId="0" shapeId="0" xr:uid="{07EC8459-02E5-40BA-8FFD-30532A686E2F}">
      <text>
        <r>
          <rPr>
            <sz val="9"/>
            <color indexed="81"/>
            <rFont val="Tahoma"/>
            <family val="2"/>
          </rPr>
          <t xml:space="preserve">395M CUT BY 215 M 
</t>
        </r>
      </text>
    </comment>
    <comment ref="L135" authorId="0" shapeId="0" xr:uid="{C5092351-B1CB-439F-B5D0-338D6E10E848}">
      <text>
        <r>
          <rPr>
            <sz val="9"/>
            <color indexed="81"/>
            <rFont val="Tahoma"/>
            <family val="2"/>
          </rPr>
          <t xml:space="preserve">395 MM WAS CUT BY 215M 
</t>
        </r>
      </text>
    </comment>
    <comment ref="N166" authorId="0" shapeId="0" xr:uid="{1D0CC48E-B987-4497-881E-59509561F7D5}">
      <text>
        <r>
          <rPr>
            <sz val="9"/>
            <color indexed="81"/>
            <rFont val="Tahoma"/>
            <family val="2"/>
          </rPr>
          <t xml:space="preserve">180M  X 500 RMTR IS AVERY PAPER &amp; 180M X 270RMTR IS V - TECH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N11" authorId="0" shapeId="0" xr:uid="{636C0EBC-7030-4E3F-A85B-922CFC641859}">
      <text>
        <r>
          <rPr>
            <sz val="9"/>
            <color indexed="81"/>
            <rFont val="Tahoma"/>
            <family val="2"/>
          </rPr>
          <t xml:space="preserve">OLD ROLL ( NO NAME ON ROLL )
</t>
        </r>
      </text>
    </comment>
    <comment ref="N12" authorId="0" shapeId="0" xr:uid="{ED889CCC-39CF-4866-BC8B-5B42E8FC0ADF}">
      <text>
        <r>
          <rPr>
            <sz val="9"/>
            <color indexed="81"/>
            <rFont val="Tahoma"/>
            <family val="2"/>
          </rPr>
          <t xml:space="preserve">OLD ROLL ( NO NAME ON ROLL )
</t>
        </r>
      </text>
    </comment>
  </commentList>
</comments>
</file>

<file path=xl/sharedStrings.xml><?xml version="1.0" encoding="utf-8"?>
<sst xmlns="http://schemas.openxmlformats.org/spreadsheetml/2006/main" count="674" uniqueCount="407">
  <si>
    <t xml:space="preserve">DATE </t>
  </si>
  <si>
    <t xml:space="preserve">JOB CARD NO </t>
  </si>
  <si>
    <t xml:space="preserve">JOB NAME </t>
  </si>
  <si>
    <t xml:space="preserve">ORDER QTY </t>
  </si>
  <si>
    <t xml:space="preserve">LABLE SIZE </t>
  </si>
  <si>
    <t xml:space="preserve">REQUIED RMT </t>
  </si>
  <si>
    <t xml:space="preserve">ISSU RMT </t>
  </si>
  <si>
    <t xml:space="preserve">PRINT RMT </t>
  </si>
  <si>
    <t>RETURN</t>
  </si>
  <si>
    <t xml:space="preserve">DISPATCH </t>
  </si>
  <si>
    <t xml:space="preserve">DISPATCH IN METER </t>
  </si>
  <si>
    <t>WASTAGES</t>
  </si>
  <si>
    <t xml:space="preserve">GEAR SIZE </t>
  </si>
  <si>
    <t xml:space="preserve">UPS </t>
  </si>
  <si>
    <t xml:space="preserve">REMARK </t>
  </si>
  <si>
    <t xml:space="preserve">PAPER REQUIE SIZE </t>
  </si>
  <si>
    <t>PAPER NAME</t>
  </si>
  <si>
    <t>TOTAL ISSUE RMTR</t>
  </si>
  <si>
    <t>SQ RMTR</t>
  </si>
  <si>
    <t xml:space="preserve">CLIENT NAME </t>
  </si>
  <si>
    <t>RALLIS</t>
  </si>
  <si>
    <t>AVERY ( CHROMO PAPER )</t>
  </si>
  <si>
    <t>170 X 110</t>
  </si>
  <si>
    <t>233 X 73</t>
  </si>
  <si>
    <t>ANU IND</t>
  </si>
  <si>
    <t>165 X 150</t>
  </si>
  <si>
    <t>353 X 188</t>
  </si>
  <si>
    <t>210 X 2000 X 1 ROLL</t>
  </si>
  <si>
    <t>148 X 52</t>
  </si>
  <si>
    <t>WB- SURPLUS 400 ML (NB)</t>
  </si>
  <si>
    <t>PARAMOUNT</t>
  </si>
  <si>
    <t>01/110</t>
  </si>
  <si>
    <r>
      <t xml:space="preserve">COSTA CANISTER LABEL </t>
    </r>
    <r>
      <rPr>
        <b/>
        <sz val="9"/>
        <color rgb="FFFF0000"/>
        <rFont val="Cambria"/>
        <family val="1"/>
      </rPr>
      <t>( GOLD FOIL + LAMINATION )</t>
    </r>
  </si>
  <si>
    <t>335 X 305</t>
  </si>
  <si>
    <t>340 X 2000 X 1 ROLL</t>
  </si>
  <si>
    <t>SURYA ( ART PAPER )</t>
  </si>
  <si>
    <t>MANISH PACK ( PVC CAST FILM)</t>
  </si>
  <si>
    <t>01/084</t>
  </si>
  <si>
    <t>IGLOO</t>
  </si>
  <si>
    <t>IGLOO CARFT BEERS KONKAN 330 ML</t>
  </si>
  <si>
    <t>110 X 225</t>
  </si>
  <si>
    <t>240 X 3400 X 1 ROLL</t>
  </si>
  <si>
    <t>01/086</t>
  </si>
  <si>
    <t>IGLOO CARFT BEERS HEAVY HITTER 330 ML</t>
  </si>
  <si>
    <t>240 X 4300 X 1 ROLL</t>
  </si>
  <si>
    <t>01/085</t>
  </si>
  <si>
    <t>IGLOO CARFT BEERS HAPPY WITH SIN 330 ML</t>
  </si>
  <si>
    <t>240 X 900 X 1 ROLL</t>
  </si>
  <si>
    <t>01/126</t>
  </si>
  <si>
    <t>VIMONI</t>
  </si>
  <si>
    <t>9 AM CONTINENTAL SAUCE 900 ML BACK</t>
  </si>
  <si>
    <t>99.3 X 93</t>
  </si>
  <si>
    <t>205 X 300 X 1 ROLL &amp; 3000 X 2 ROLL</t>
  </si>
  <si>
    <t>MITSUBISHI ( POLYART ISF 105 )</t>
  </si>
  <si>
    <t>01/125</t>
  </si>
  <si>
    <t>9 AM CONTINENTAL SAUCE 900 ML FRONT</t>
  </si>
  <si>
    <t>205 X 3000 X 2 ROLL</t>
  </si>
  <si>
    <t>01/158</t>
  </si>
  <si>
    <t>BLOSSOM</t>
  </si>
  <si>
    <t>STK BIG KMB 594+43.56G ROUND</t>
  </si>
  <si>
    <t>352 X 68</t>
  </si>
  <si>
    <t>230 X 1500 X 1 ROLL &amp; 2000 X 3 ROLL</t>
  </si>
  <si>
    <t>01/161</t>
  </si>
  <si>
    <t>STK MELODY 586.5G ROUND</t>
  </si>
  <si>
    <t>230 X 960 X 1 ROLL &amp; 2000 X 4 ROLL</t>
  </si>
  <si>
    <t>233 X 103</t>
  </si>
  <si>
    <t>01/159</t>
  </si>
  <si>
    <t>STK BIG 2IN1 ECL 594+43.56G ROUND</t>
  </si>
  <si>
    <t>230 X 2000 X 5 ROLL &amp; 1700 X 1 ROLL</t>
  </si>
  <si>
    <t>330 X 2000 X 1 ROLL</t>
  </si>
  <si>
    <t>01/128</t>
  </si>
  <si>
    <t>TATA BAHAAR-100 ML(NB)</t>
  </si>
  <si>
    <t>170  X 1140 X 1 ROLL &amp; 210 X 600 X 1 ROLL</t>
  </si>
  <si>
    <t>01/152</t>
  </si>
  <si>
    <t>KAR- SURPLUS 200 ML (NB)</t>
  </si>
  <si>
    <t>180 X 70</t>
  </si>
  <si>
    <t>160 X 1000 X 1 ROLL</t>
  </si>
  <si>
    <t>01/148</t>
  </si>
  <si>
    <t>HUNK 1KG (NB)</t>
  </si>
  <si>
    <t>01/149</t>
  </si>
  <si>
    <t>250 X 650 X 1 ROLL</t>
  </si>
  <si>
    <t>01/143</t>
  </si>
  <si>
    <t>KP - DR. LADY STICKER</t>
  </si>
  <si>
    <t>44 X 32</t>
  </si>
  <si>
    <t>200 X 2125 X 1 ROLL</t>
  </si>
  <si>
    <t>V - TECH ( IML )</t>
  </si>
  <si>
    <t>01/153</t>
  </si>
  <si>
    <t>RALWET75 -100ML</t>
  </si>
  <si>
    <t>170 X 2000 X 1 ROLL</t>
  </si>
  <si>
    <t>01/127</t>
  </si>
  <si>
    <t>TATA BAHAAR-500 ML(NB)</t>
  </si>
  <si>
    <t>330 X 2000 X 1 ROLL &amp; 500 X 1 ROLL &amp; 1300 X 1 ROLL</t>
  </si>
  <si>
    <t>01/168</t>
  </si>
  <si>
    <t>BOX LABEL - RALWET 75</t>
  </si>
  <si>
    <t>125 X 960 X 1 ROLL</t>
  </si>
  <si>
    <t>01/145</t>
  </si>
  <si>
    <t>(F&amp;B) PANIDA 30E-5LTR(NB)</t>
  </si>
  <si>
    <t>SURYA ( CHROMO PAPER )</t>
  </si>
  <si>
    <t>HERBAL HILL</t>
  </si>
  <si>
    <t>ALLIED ( PP MATT )</t>
  </si>
  <si>
    <t>140 X 1700 X 1 ROLL</t>
  </si>
  <si>
    <t>02/022</t>
  </si>
  <si>
    <t>TRICIL</t>
  </si>
  <si>
    <t>YUMMZI SALTED PEANUTS LABEL</t>
  </si>
  <si>
    <t>135 X 200</t>
  </si>
  <si>
    <t>415 X 1 ROLL ( CLIENT PAPER )</t>
  </si>
  <si>
    <t>PROOFING</t>
  </si>
  <si>
    <t>02/021</t>
  </si>
  <si>
    <t>YUMMZI SALTED CASHEW &amp; ALMOND LABEL</t>
  </si>
  <si>
    <t>SURYA ( PP WHITE )</t>
  </si>
  <si>
    <t>02/071</t>
  </si>
  <si>
    <t>PROPIX</t>
  </si>
  <si>
    <t>MUDRANK NONDANI</t>
  </si>
  <si>
    <t>356 X 216</t>
  </si>
  <si>
    <t>254M X 5900 X 1 ROLL</t>
  </si>
  <si>
    <t>160 X 600 X 1 ROLL</t>
  </si>
  <si>
    <t>02/055</t>
  </si>
  <si>
    <t>TEMPLE</t>
  </si>
  <si>
    <t>PLACE STICKER</t>
  </si>
  <si>
    <t>26 X 46</t>
  </si>
  <si>
    <t>190 X 400 X 1 ROLL</t>
  </si>
  <si>
    <t>01/163</t>
  </si>
  <si>
    <t xml:space="preserve">160 M </t>
  </si>
  <si>
    <t>20 X 46</t>
  </si>
  <si>
    <t>PP WHITE</t>
  </si>
  <si>
    <t>02/054</t>
  </si>
  <si>
    <t>PRAKRUTI</t>
  </si>
  <si>
    <t>PGPL SECURITY LABEL</t>
  </si>
  <si>
    <t>145 X 65</t>
  </si>
  <si>
    <t>02/076</t>
  </si>
  <si>
    <t>PGPL INNER BOX LABEL</t>
  </si>
  <si>
    <t>140  X 50</t>
  </si>
  <si>
    <t>167 X 2000 X 1 ROLL</t>
  </si>
  <si>
    <t>GUM KILLING ONLY ( PROOFING )</t>
  </si>
  <si>
    <t>ALLIED ( PP WHITE )</t>
  </si>
  <si>
    <t>AXON PACKAGING (MAPLITHO PAPER )</t>
  </si>
  <si>
    <t>02/079</t>
  </si>
  <si>
    <t>COSMO WATER BOTTLE (SMALL) (NEOVEER)</t>
  </si>
  <si>
    <t>190 X 74</t>
  </si>
  <si>
    <t>V- TECH ( PP CLEAR )</t>
  </si>
  <si>
    <t>02/080</t>
  </si>
  <si>
    <t>COSMO BIG WATER BOTTLE (NEOVEER)</t>
  </si>
  <si>
    <t>238 X 94</t>
  </si>
  <si>
    <t>02/097</t>
  </si>
  <si>
    <t>OCTAGREEN</t>
  </si>
  <si>
    <t>INVINCIBLE VODKA KERLA 750 ML FRONT</t>
  </si>
  <si>
    <t>90 X 95</t>
  </si>
  <si>
    <t>132 X 500 X 1 ROLL</t>
  </si>
  <si>
    <t>CLEAR ON CLEAR</t>
  </si>
  <si>
    <t>02/098</t>
  </si>
  <si>
    <r>
      <t xml:space="preserve">INVINCIBLE VODKA KERLA 750 ML </t>
    </r>
    <r>
      <rPr>
        <b/>
        <sz val="11"/>
        <color theme="1"/>
        <rFont val="Cambria"/>
        <family val="1"/>
      </rPr>
      <t>BACK</t>
    </r>
  </si>
  <si>
    <t>68 X 95</t>
  </si>
  <si>
    <t>180 X 400 X 1 ROLL</t>
  </si>
  <si>
    <t>PP  CLEAR</t>
  </si>
  <si>
    <t>SAMPLE PRINTED</t>
  </si>
  <si>
    <t>405 X 1310 X 1 ROLL &amp; 1500 X 1 ROLL</t>
  </si>
  <si>
    <t>325 X 2800 X 1 ROLL</t>
  </si>
  <si>
    <t>02/117</t>
  </si>
  <si>
    <t xml:space="preserve">DXN SUPER GREEN 15 TAB (FT436) </t>
  </si>
  <si>
    <t>90 X 105</t>
  </si>
  <si>
    <t>125 X 1200 X 1 ROLL &amp; 1670 X 1 ROLL</t>
  </si>
  <si>
    <t>02/115</t>
  </si>
  <si>
    <t>ASLAM DAMANI</t>
  </si>
  <si>
    <t>GOLDEN CASK BOTTLE LABEL (LAMINATION+GOLD FOIL)</t>
  </si>
  <si>
    <t>75 X 110</t>
  </si>
  <si>
    <t>125 X 450 X 1 ROLL</t>
  </si>
  <si>
    <t>02/128</t>
  </si>
  <si>
    <t>GANGA AMPACHAN VATI LABEL</t>
  </si>
  <si>
    <t>GANGA PHARMA</t>
  </si>
  <si>
    <t>100 X 30</t>
  </si>
  <si>
    <t>02/132</t>
  </si>
  <si>
    <t>DXN NEEM 60 TABLETS  ( LAMINATION +GREEN  HOT FOIL )</t>
  </si>
  <si>
    <t>152 X 58</t>
  </si>
  <si>
    <t>140 X 1240 X 1 ROLL</t>
  </si>
  <si>
    <t>292 X 137</t>
  </si>
  <si>
    <t>LEAFLET OF ECL ZENATANE</t>
  </si>
  <si>
    <t>110 X 80</t>
  </si>
  <si>
    <t>AVERY ( PP WHITE )</t>
  </si>
  <si>
    <t>WASTAGE REPORT OF JUlY 2026</t>
  </si>
  <si>
    <t>06/164</t>
  </si>
  <si>
    <t>PANIDA 1 LTR (NB)</t>
  </si>
  <si>
    <t>290 X 2000 X 8 ROLL &amp; 360 X 1 ROLL</t>
  </si>
  <si>
    <t>07/002</t>
  </si>
  <si>
    <t>TEBU 430 SC- 500 ML EX ( DAZOL )</t>
  </si>
  <si>
    <t>223 X 110</t>
  </si>
  <si>
    <t>125 X 650 X 1 ROLL &amp; 2000 X 3 ROLL</t>
  </si>
  <si>
    <t>07/014</t>
  </si>
  <si>
    <t>190 X 2000 X 2 ROLL</t>
  </si>
  <si>
    <t>07/001</t>
  </si>
  <si>
    <t>DAZOL TEBU 430SC 1 LTR EXP</t>
  </si>
  <si>
    <t>280 X 143</t>
  </si>
  <si>
    <t>160 X 500 X 1 &amp; 170M X 1500 X 1 &amp; 180M X 1250 X 1 &amp; 2000 X 2 ROLL</t>
  </si>
  <si>
    <t>07/003</t>
  </si>
  <si>
    <t>DAZOL TEBU 430 SC 10 X 1 LTR BOX LABEL</t>
  </si>
  <si>
    <t>125 X 1200 X 1 ROLL</t>
  </si>
  <si>
    <t>07/004</t>
  </si>
  <si>
    <t>DAZOL TEBU 430 SC 20 X 500 ML BOX LABEL</t>
  </si>
  <si>
    <t>125 X 580 X  1ROLL</t>
  </si>
  <si>
    <t>07/005</t>
  </si>
  <si>
    <t>RALWET 75 250 ML</t>
  </si>
  <si>
    <t>180 X 92</t>
  </si>
  <si>
    <t>300 X 1500 X 1 ROLL</t>
  </si>
  <si>
    <t>07/006</t>
  </si>
  <si>
    <t>RALWET 75 500 ML</t>
  </si>
  <si>
    <t>330 X 750 X 1 ROLL</t>
  </si>
  <si>
    <t>07/007</t>
  </si>
  <si>
    <t>ARIES</t>
  </si>
  <si>
    <t>AGRONAA 500 ML</t>
  </si>
  <si>
    <t>215 X 120</t>
  </si>
  <si>
    <t>140 X 1500 X 2 ROLL</t>
  </si>
  <si>
    <t>07/015</t>
  </si>
  <si>
    <t>MARINO 500 ML</t>
  </si>
  <si>
    <t>226 X 82</t>
  </si>
  <si>
    <t>185 X 1800 X `1 ROLL &amp; 200 X 1 ROLL &amp; 200M X 1140 X 1 ROLL</t>
  </si>
  <si>
    <t>07/052</t>
  </si>
  <si>
    <t>RIMBO-230 ML(NB)</t>
  </si>
  <si>
    <t>300 X 650 X 1 ROLL &amp; 550 X 1 ROLL</t>
  </si>
  <si>
    <t>07/063</t>
  </si>
  <si>
    <t>AMINOCODE 1 LTR</t>
  </si>
  <si>
    <t>290 X 2000 X 1 ROLL</t>
  </si>
  <si>
    <t>07/064</t>
  </si>
  <si>
    <t>AMINOCODE 500 ML</t>
  </si>
  <si>
    <t>330 X 650 X 1 ROLL &amp; 2000 X 1 ROLL</t>
  </si>
  <si>
    <t>07/078</t>
  </si>
  <si>
    <t>ARIPOTASH 500 ML</t>
  </si>
  <si>
    <t>140 X 870 X 1 ROLL &amp; 1500 X 1 ROLL</t>
  </si>
  <si>
    <t>07/079</t>
  </si>
  <si>
    <t xml:space="preserve">200MM X 3860 RMTR </t>
  </si>
  <si>
    <t>07/070</t>
  </si>
  <si>
    <t>AQUARITE 100 ML</t>
  </si>
  <si>
    <t>150 X 37</t>
  </si>
  <si>
    <t>140 X 830 X 1 ROLL</t>
  </si>
  <si>
    <t>07/091</t>
  </si>
  <si>
    <t xml:space="preserve">ARMOUR ME </t>
  </si>
  <si>
    <t>KOPARO STAIN REMOVER LABEL</t>
  </si>
  <si>
    <t>119 X 80</t>
  </si>
  <si>
    <t>125 X 1450 X 1 ROLL</t>
  </si>
  <si>
    <t>07/069</t>
  </si>
  <si>
    <t>ZINCMAG 250 ML</t>
  </si>
  <si>
    <t>192 X 70</t>
  </si>
  <si>
    <t>230 X 1000 X 1 ROLL</t>
  </si>
  <si>
    <t>07/077</t>
  </si>
  <si>
    <t>190M X 2000 X 6 ROLL</t>
  </si>
  <si>
    <t>07/080</t>
  </si>
  <si>
    <t>MARINO 100 ML</t>
  </si>
  <si>
    <t>140 X 430 X 1 &amp; 1200 X 1 &amp; 400 X 1 ROLL</t>
  </si>
  <si>
    <t>07/094</t>
  </si>
  <si>
    <t>AGROMIN GOLD MADHYA PRADESH 250 ML</t>
  </si>
  <si>
    <t>230 X 190 X 1 ROLL &amp; 1000 X 1 ROLL</t>
  </si>
  <si>
    <t>07/090</t>
  </si>
  <si>
    <r>
      <t xml:space="preserve">HUMIBLACK 500 GM </t>
    </r>
    <r>
      <rPr>
        <b/>
        <sz val="11"/>
        <color rgb="FFFF0000"/>
        <rFont val="Cambria"/>
        <family val="1"/>
      </rPr>
      <t>( GOLD FOIL )</t>
    </r>
  </si>
  <si>
    <t>260 X 75</t>
  </si>
  <si>
    <t>260M X 1400 X 1 ROLL &amp; 1690 X 1 ROLL &amp; 670</t>
  </si>
  <si>
    <t>07/098</t>
  </si>
  <si>
    <t>AGROMIN GOLD TAMILNADU 50 ML</t>
  </si>
  <si>
    <t>135 X 36</t>
  </si>
  <si>
    <t>140 X 370 X 1 ROLL</t>
  </si>
  <si>
    <t>07/099</t>
  </si>
  <si>
    <t>AGROMIN LIQUID CHHATISGAARH 1 LTR</t>
  </si>
  <si>
    <t>272 X 145</t>
  </si>
  <si>
    <t>160 X 1490 X 1 ROLL</t>
  </si>
  <si>
    <t>07/096</t>
  </si>
  <si>
    <t>AGROMIN LIQUID CHHATISGAARH 500 ML</t>
  </si>
  <si>
    <t>140 X 1470 X 1 ROLL</t>
  </si>
  <si>
    <t>07/092</t>
  </si>
  <si>
    <t>PHOSPHOCOP 500 ML</t>
  </si>
  <si>
    <t>140 X 1400 X 1 ROLL &amp; 1500 X 1 &amp; 300 X 1 ROLL</t>
  </si>
  <si>
    <t>07/085</t>
  </si>
  <si>
    <r>
      <t xml:space="preserve">INVINCIBLE VODKA TAMILNADU 750 ML </t>
    </r>
    <r>
      <rPr>
        <b/>
        <sz val="11"/>
        <color theme="1"/>
        <rFont val="Cambria"/>
        <family val="1"/>
      </rPr>
      <t>BACK</t>
    </r>
  </si>
  <si>
    <t>210 X 1150 X 1 ROLL</t>
  </si>
  <si>
    <t>07/088</t>
  </si>
  <si>
    <r>
      <t xml:space="preserve">INVINCIBLE VODKA RAJASTHAN 750 ML </t>
    </r>
    <r>
      <rPr>
        <b/>
        <sz val="11"/>
        <color theme="1"/>
        <rFont val="Cambria"/>
        <family val="1"/>
      </rPr>
      <t>BACK</t>
    </r>
  </si>
  <si>
    <t>210 X 1530 X 1 ROLL</t>
  </si>
  <si>
    <t>07/089</t>
  </si>
  <si>
    <r>
      <t xml:space="preserve">INVINCIBLE VODKA GUJARAT 750 ML </t>
    </r>
    <r>
      <rPr>
        <b/>
        <sz val="11"/>
        <color theme="1"/>
        <rFont val="Cambria"/>
        <family val="1"/>
      </rPr>
      <t>BACK</t>
    </r>
  </si>
  <si>
    <t>07/072</t>
  </si>
  <si>
    <t>INVINCIBLE VODKA UTTRAKHAND CSD 750 ML FRONT</t>
  </si>
  <si>
    <t>90 x 95</t>
  </si>
  <si>
    <t>120 X 600 X  1 ROLL</t>
  </si>
  <si>
    <t>UPM ( CLEAR ON CLEAR )</t>
  </si>
  <si>
    <t>07/076</t>
  </si>
  <si>
    <r>
      <t xml:space="preserve">INVINCIBLE VODKA HARYANA CSD 750 ML </t>
    </r>
    <r>
      <rPr>
        <b/>
        <sz val="10"/>
        <color theme="1"/>
        <rFont val="Cambria"/>
        <family val="1"/>
      </rPr>
      <t>FRONT</t>
    </r>
  </si>
  <si>
    <t>210 X 700 X 1 ROLL</t>
  </si>
  <si>
    <t>07/071</t>
  </si>
  <si>
    <r>
      <t xml:space="preserve">INVINCIBLE VODKA MADHYA PRADESH 750 ML </t>
    </r>
    <r>
      <rPr>
        <b/>
        <sz val="10"/>
        <color theme="1"/>
        <rFont val="Cambria"/>
        <family val="1"/>
      </rPr>
      <t>BACK</t>
    </r>
  </si>
  <si>
    <t>210 X 220 X 1 ROLL &amp; 1500 X 1 ROLL</t>
  </si>
  <si>
    <r>
      <t xml:space="preserve">INVINCIBLE VODKA HARYANA  750 ML </t>
    </r>
    <r>
      <rPr>
        <b/>
        <sz val="10"/>
        <color theme="1"/>
        <rFont val="Cambria"/>
        <family val="1"/>
      </rPr>
      <t>FRONT</t>
    </r>
  </si>
  <si>
    <t>07/087</t>
  </si>
  <si>
    <r>
      <t xml:space="preserve">INVINCIBLE VODKA JAMMU &amp; KASHMIR 750 ML </t>
    </r>
    <r>
      <rPr>
        <b/>
        <sz val="10"/>
        <color theme="1"/>
        <rFont val="Cambria"/>
        <family val="1"/>
      </rPr>
      <t>BACK</t>
    </r>
  </si>
  <si>
    <t>210 X 1400 X 1 ROLL</t>
  </si>
  <si>
    <t>07/114</t>
  </si>
  <si>
    <t xml:space="preserve">INTERFECT 500 ML BOTTLE LABEL </t>
  </si>
  <si>
    <t>210 X 110</t>
  </si>
  <si>
    <t>250 X 1140 X 1 ROLL &amp; 2000 X 1 ROLL</t>
  </si>
  <si>
    <t>07/112</t>
  </si>
  <si>
    <t>TAFGOR-250ML(NB ALU)</t>
  </si>
  <si>
    <t>180 X 115</t>
  </si>
  <si>
    <t>250 X 2000 X 3 ROLL &amp; 300 X 1 ROLL</t>
  </si>
  <si>
    <t>120 X 1000 X 1 ROLL</t>
  </si>
  <si>
    <t>07/116</t>
  </si>
  <si>
    <t>ROCKER 100 ML</t>
  </si>
  <si>
    <t>Global Crop Care</t>
  </si>
  <si>
    <t>163 X 48</t>
  </si>
  <si>
    <t>125 X 100 X 1 ROLL &amp; 2000 X 1 ROLL</t>
  </si>
  <si>
    <t>07/115</t>
  </si>
  <si>
    <t>Impact-505 100 ML</t>
  </si>
  <si>
    <t>125 X 1740 X 1 ROLL</t>
  </si>
  <si>
    <t>07/104</t>
  </si>
  <si>
    <r>
      <t xml:space="preserve">FEAMA SOAP CASE LABEL </t>
    </r>
    <r>
      <rPr>
        <b/>
        <sz val="11"/>
        <color theme="1"/>
        <rFont val="Cambria"/>
        <family val="1"/>
      </rPr>
      <t>(SILVER FOIL)</t>
    </r>
  </si>
  <si>
    <t>120 X 70</t>
  </si>
  <si>
    <t>160 X 2000 X 2 ROLL</t>
  </si>
  <si>
    <t>07/113</t>
  </si>
  <si>
    <t xml:space="preserve">INTERFECT 250 ML BOTTLE LABEL </t>
  </si>
  <si>
    <t>192 X 74</t>
  </si>
  <si>
    <t>180 X 2000 X 1 ROLL &amp; 500 X 1 ROLL</t>
  </si>
  <si>
    <t>07/119</t>
  </si>
  <si>
    <t>07/102</t>
  </si>
  <si>
    <t>OXITECH</t>
  </si>
  <si>
    <t>WEEDOFF 1 LTR</t>
  </si>
  <si>
    <t>283 X 148</t>
  </si>
  <si>
    <t>167 X 1130 X 2 ROLL &amp; 1200 X 2 ROLL &amp; 1280 X 1 ROLL</t>
  </si>
  <si>
    <t>SURYA ( SILVER PAPER )</t>
  </si>
  <si>
    <t>07/103</t>
  </si>
  <si>
    <t>WEEDOFF 500 ML</t>
  </si>
  <si>
    <t>220 X 118</t>
  </si>
  <si>
    <t>140 X 1480 X 2 ROLL</t>
  </si>
  <si>
    <t>07/121</t>
  </si>
  <si>
    <t>205M X 3000 X 2 ROLL</t>
  </si>
  <si>
    <t>MITSUBISHI ( IML )</t>
  </si>
  <si>
    <t>07/122</t>
  </si>
  <si>
    <t>205 X 3000 X 1 ROLL</t>
  </si>
  <si>
    <t>07/129</t>
  </si>
  <si>
    <t>AGROMIN LIQUID UTTAR PRADESH 250 ML</t>
  </si>
  <si>
    <t>230 X 1420 X 1 ROLL &amp; 270 X 1 ROLL</t>
  </si>
  <si>
    <t>07/109</t>
  </si>
  <si>
    <t>AGROMIN LIQUID MADHYA PRADESH 500 ML</t>
  </si>
  <si>
    <t>140 X 1670 X X1 ROLL &amp; 1180 X 1 ROLL</t>
  </si>
  <si>
    <t>07/131</t>
  </si>
  <si>
    <t>AGROMIN LIQUID UTTARAKHAND 100 ML</t>
  </si>
  <si>
    <t>5000`</t>
  </si>
  <si>
    <t>141 X 62</t>
  </si>
  <si>
    <t>140 X 1670 X 1 ROLL</t>
  </si>
  <si>
    <t>07/156</t>
  </si>
  <si>
    <t>AGROMIN MAX HD 150 G ( Matt Lamination )</t>
  </si>
  <si>
    <t>167 X 1350 X 1 ROLL</t>
  </si>
  <si>
    <t>SURYA ( SILVER PAPER  )</t>
  </si>
  <si>
    <t>07/075</t>
  </si>
  <si>
    <r>
      <t xml:space="preserve">INVINCIBLE VODKA UTTRAKHAND 750 ML </t>
    </r>
    <r>
      <rPr>
        <b/>
        <sz val="11"/>
        <color theme="1"/>
        <rFont val="Cambria"/>
        <family val="1"/>
      </rPr>
      <t>BACK</t>
    </r>
  </si>
  <si>
    <t>210  X 700 X 1 ROLL</t>
  </si>
  <si>
    <t>07/146</t>
  </si>
  <si>
    <t>ZINC OXIDE 20% OINTMENT__KMF5119L-0 (GALENTIC)</t>
  </si>
  <si>
    <t>288 X 59</t>
  </si>
  <si>
    <t>195 X 1450 X 1 ROLL &amp; 1390 X 1 ROLL</t>
  </si>
  <si>
    <t>V- TECH ( MIRRORCOAT )</t>
  </si>
  <si>
    <t>07/073</t>
  </si>
  <si>
    <r>
      <t xml:space="preserve">INVINCIBLE VODKA MADHYA PRADESH CSD 750 ML </t>
    </r>
    <r>
      <rPr>
        <b/>
        <sz val="10"/>
        <color theme="1"/>
        <rFont val="Cambria"/>
        <family val="1"/>
      </rPr>
      <t>FRONT</t>
    </r>
  </si>
  <si>
    <t>07/130</t>
  </si>
  <si>
    <t>AGROMIN LIQUID UTTARAKHAND 250 ML</t>
  </si>
  <si>
    <t>230 X 1200 X 1 ROLL</t>
  </si>
  <si>
    <t>07/157</t>
  </si>
  <si>
    <t>HYDRO PRO GOLD 250 ML</t>
  </si>
  <si>
    <t>188 X 57</t>
  </si>
  <si>
    <t>220 X 1000 X 1 ROLL &amp; 150 X 1 ROLL</t>
  </si>
  <si>
    <t>07/105</t>
  </si>
  <si>
    <t>HORTICA B 500 ML</t>
  </si>
  <si>
    <t>187 X 1260 X 1 ROLL &amp; 1000 X 1 ROLL</t>
  </si>
  <si>
    <t>07/086</t>
  </si>
  <si>
    <r>
      <t xml:space="preserve">INVINCIBLE VODKA MAHARASHTRA 750 ML </t>
    </r>
    <r>
      <rPr>
        <b/>
        <sz val="10"/>
        <color theme="1"/>
        <rFont val="Cambria"/>
        <family val="1"/>
      </rPr>
      <t>BACK</t>
    </r>
  </si>
  <si>
    <t>105 X 500 X 1 ROLL</t>
  </si>
  <si>
    <t>07/097</t>
  </si>
  <si>
    <t>AGROMIN LIQUID TAMILNADU 1 LTR</t>
  </si>
  <si>
    <t>160 X 950 X 1 ROLL &amp; 1500 X 1 ROLL &amp; 1570 X 1 ROLL</t>
  </si>
  <si>
    <t>07/154</t>
  </si>
  <si>
    <t>HYDRO PRO GOLD 500 ML</t>
  </si>
  <si>
    <t>185 X 300 X 1 ROLL &amp; 1500 X 2 ROLL</t>
  </si>
  <si>
    <t>07/095</t>
  </si>
  <si>
    <t>ARIPOTASH FOR AQUA 1 LTR</t>
  </si>
  <si>
    <t>160 X 4350 RMTR</t>
  </si>
  <si>
    <t>07/125</t>
  </si>
  <si>
    <t>AGROMIN LIQUID RAJASTHAN 1 LTR</t>
  </si>
  <si>
    <t>160 X 1700 X 1 ROLL &amp; 710 X 1 ROLL</t>
  </si>
  <si>
    <t>07/046</t>
  </si>
  <si>
    <t>NIMISH</t>
  </si>
  <si>
    <t>BOB EXPRESS RUM BACK LABEL</t>
  </si>
  <si>
    <t>57 X 106.3</t>
  </si>
  <si>
    <t>SURYA ( MAPLITHO )</t>
  </si>
  <si>
    <t>07/057</t>
  </si>
  <si>
    <t xml:space="preserve">WESTERN GIN BACK </t>
  </si>
  <si>
    <t>58.9 X 110.4</t>
  </si>
  <si>
    <t>250MM</t>
  </si>
  <si>
    <t>07/093</t>
  </si>
  <si>
    <t>AQUARITE 250 ML</t>
  </si>
  <si>
    <t>220 X 1540 X 1 ROLL</t>
  </si>
  <si>
    <t>07/128</t>
  </si>
  <si>
    <t>AGROMIN GOLD MAHARASHTRA 250 ML</t>
  </si>
  <si>
    <t>230 X 730 X 1 ROLL &amp; 100 X 1 ROLL</t>
  </si>
  <si>
    <t>07/126</t>
  </si>
  <si>
    <t>AGROMIN GOLD RAJASTHAN 500 ML</t>
  </si>
  <si>
    <t>140 X 1690 X 1 ROLL &amp; 440 X 1 ROLL</t>
  </si>
  <si>
    <t>07/059</t>
  </si>
  <si>
    <t>FAMOUS BLUE BACK LABEL</t>
  </si>
  <si>
    <t>70 X 133.33</t>
  </si>
  <si>
    <t>TEXUTURE PAPER</t>
  </si>
  <si>
    <t>07/058</t>
  </si>
  <si>
    <t>FAMOUS BLUE FRONT LABEL</t>
  </si>
  <si>
    <t>74.7 X 160</t>
  </si>
  <si>
    <t xml:space="preserve">190M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</si>
</sst>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9"/>
      <color indexed="81"/>
      <name val="Tahoma"/>
      <family val="2"/>
    </font>
    <font>
      <sz val="9"/>
      <color theme="1"/>
      <name val="Cambria"/>
      <family val="1"/>
    </font>
    <font>
      <b/>
      <sz val="9"/>
      <color rgb="FFFF0000"/>
      <name val="Cambria"/>
      <family val="1"/>
    </font>
    <font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b/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8" fillId="0" borderId="1" xfId="0" applyFont="1" applyBorder="1"/>
    <xf numFmtId="0" fontId="10" fillId="0" borderId="1" xfId="0" applyFont="1" applyBorder="1"/>
    <xf numFmtId="0" fontId="6" fillId="0" borderId="0" xfId="0" applyFont="1"/>
    <xf numFmtId="14" fontId="0" fillId="0" borderId="1" xfId="0" applyNumberForma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10" fillId="0" borderId="3" xfId="0" applyFont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0" fillId="3" borderId="1" xfId="0" applyFont="1" applyFill="1" applyBorder="1"/>
    <xf numFmtId="0" fontId="0" fillId="3" borderId="2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10" fillId="3" borderId="3" xfId="0" applyFont="1" applyFill="1" applyBorder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wrapText="1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4" fillId="0" borderId="1" xfId="0" applyFont="1" applyBorder="1"/>
    <xf numFmtId="2" fontId="0" fillId="0" borderId="1" xfId="0" applyNumberFormat="1" applyBorder="1"/>
    <xf numFmtId="14" fontId="0" fillId="0" borderId="4" xfId="0" applyNumberFormat="1" applyBorder="1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vertical="center"/>
    </xf>
    <xf numFmtId="0" fontId="6" fillId="0" borderId="0" xfId="0" applyFont="1" applyAlignment="1">
      <alignment vertic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/>
    <xf numFmtId="2" fontId="4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/>
    <xf numFmtId="14" fontId="0" fillId="0" borderId="5" xfId="0" applyNumberFormat="1" applyBorder="1" applyAlignment="1">
      <alignment vertical="center"/>
    </xf>
    <xf numFmtId="0" fontId="6" fillId="0" borderId="4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6" fillId="0" borderId="3" xfId="0" applyFont="1" applyBorder="1"/>
    <xf numFmtId="0" fontId="0" fillId="0" borderId="3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78"/>
  <sheetViews>
    <sheetView tabSelected="1" topLeftCell="E1" workbookViewId="0">
      <pane ySplit="3" topLeftCell="A10" activePane="bottomLeft" state="frozen"/>
      <selection pane="bottomLeft" activeCell="O18" sqref="O18"/>
    </sheetView>
  </sheetViews>
  <sheetFormatPr defaultRowHeight="15" x14ac:dyDescent="0.25"/>
  <cols>
    <col min="1" max="1" width="11.5703125" customWidth="1"/>
    <col min="2" max="2" width="10.85546875" style="7" bestFit="1" customWidth="1"/>
    <col min="3" max="3" width="17.7109375" customWidth="1"/>
    <col min="4" max="4" width="46.140625" customWidth="1"/>
    <col min="5" max="5" width="10.28515625" customWidth="1"/>
    <col min="6" max="6" width="8.5703125" customWidth="1"/>
    <col min="7" max="7" width="6.85546875" customWidth="1"/>
    <col min="8" max="8" width="5.42578125" customWidth="1"/>
    <col min="9" max="9" width="12.7109375" customWidth="1"/>
    <col min="10" max="10" width="7.7109375" bestFit="1" customWidth="1"/>
    <col min="11" max="11" width="9" bestFit="1" customWidth="1"/>
    <col min="12" max="12" width="47.42578125" customWidth="1"/>
    <col min="13" max="13" width="15.140625" bestFit="1" customWidth="1"/>
    <col min="14" max="14" width="31" customWidth="1"/>
    <col min="15" max="15" width="9.140625" bestFit="1" customWidth="1"/>
    <col min="16" max="16" width="9" bestFit="1" customWidth="1"/>
    <col min="17" max="17" width="7" bestFit="1" customWidth="1"/>
    <col min="18" max="18" width="8.7109375" bestFit="1" customWidth="1"/>
    <col min="19" max="19" width="8.28515625" bestFit="1" customWidth="1"/>
    <col min="20" max="20" width="9" bestFit="1" customWidth="1"/>
    <col min="21" max="21" width="6.42578125" customWidth="1"/>
    <col min="22" max="22" width="9.140625" bestFit="1" customWidth="1"/>
    <col min="23" max="23" width="42.7109375" bestFit="1" customWidth="1"/>
    <col min="24" max="24" width="36.5703125" customWidth="1"/>
  </cols>
  <sheetData>
    <row r="1" spans="1:23" ht="21" x14ac:dyDescent="0.35">
      <c r="A1" s="74" t="s">
        <v>178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spans="1:23" ht="18.75" x14ac:dyDescent="0.3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4"/>
    </row>
    <row r="3" spans="1:23" ht="36" x14ac:dyDescent="0.25">
      <c r="A3" s="1" t="s">
        <v>0</v>
      </c>
      <c r="B3" s="2" t="s">
        <v>1</v>
      </c>
      <c r="C3" s="2" t="s">
        <v>19</v>
      </c>
      <c r="D3" s="2" t="s">
        <v>2</v>
      </c>
      <c r="E3" s="2" t="s">
        <v>3</v>
      </c>
      <c r="F3" s="2" t="s">
        <v>15</v>
      </c>
      <c r="G3" s="2" t="s">
        <v>12</v>
      </c>
      <c r="H3" s="2" t="s">
        <v>13</v>
      </c>
      <c r="I3" s="2" t="s">
        <v>4</v>
      </c>
      <c r="J3" s="2" t="s">
        <v>5</v>
      </c>
      <c r="K3" s="2" t="s">
        <v>18</v>
      </c>
      <c r="L3" s="1" t="s">
        <v>6</v>
      </c>
      <c r="M3" s="1" t="s">
        <v>17</v>
      </c>
      <c r="N3" s="1" t="s">
        <v>16</v>
      </c>
      <c r="O3" s="2" t="s">
        <v>7</v>
      </c>
      <c r="P3" s="2" t="s">
        <v>18</v>
      </c>
      <c r="Q3" s="1" t="s">
        <v>8</v>
      </c>
      <c r="R3" s="1" t="s">
        <v>9</v>
      </c>
      <c r="S3" s="2" t="s">
        <v>10</v>
      </c>
      <c r="T3" s="2" t="s">
        <v>18</v>
      </c>
      <c r="U3" s="3"/>
      <c r="V3" s="3" t="s">
        <v>11</v>
      </c>
      <c r="W3" s="1" t="s">
        <v>14</v>
      </c>
    </row>
    <row r="4" spans="1:23" x14ac:dyDescent="0.25">
      <c r="A4" s="19">
        <v>46204</v>
      </c>
      <c r="B4" s="6" t="s">
        <v>179</v>
      </c>
      <c r="C4" s="13" t="s">
        <v>20</v>
      </c>
      <c r="D4" s="17" t="s">
        <v>180</v>
      </c>
      <c r="E4" s="15">
        <v>100000</v>
      </c>
      <c r="F4" s="6">
        <v>290</v>
      </c>
      <c r="G4" s="6">
        <v>94</v>
      </c>
      <c r="H4" s="6">
        <v>2</v>
      </c>
      <c r="I4" s="6" t="s">
        <v>174</v>
      </c>
      <c r="J4" s="6">
        <v>14949</v>
      </c>
      <c r="K4" s="11">
        <f t="shared" ref="K4:K70" si="0">F4*J4/1000</f>
        <v>4335.21</v>
      </c>
      <c r="L4" s="20" t="s">
        <v>181</v>
      </c>
      <c r="M4" s="6">
        <v>16360</v>
      </c>
      <c r="N4" s="13" t="s">
        <v>21</v>
      </c>
      <c r="O4" s="6">
        <v>15376</v>
      </c>
      <c r="P4" s="11">
        <f t="shared" ref="P4:P70" si="1">O4*F4/1000</f>
        <v>4459.04</v>
      </c>
      <c r="Q4" s="6">
        <v>560</v>
      </c>
      <c r="R4" s="6">
        <v>101100</v>
      </c>
      <c r="S4" s="6">
        <v>15087</v>
      </c>
      <c r="T4" s="6">
        <f t="shared" ref="T4:T22" si="2">S4*F4/1000</f>
        <v>4375.2299999999996</v>
      </c>
      <c r="U4" s="9">
        <f t="shared" ref="U4" si="3">S4-O4</f>
        <v>-289</v>
      </c>
      <c r="V4" s="16">
        <f t="shared" ref="V4" si="4">U4/O4*100</f>
        <v>-1.8795525494276792</v>
      </c>
      <c r="W4" s="14"/>
    </row>
    <row r="5" spans="1:23" ht="30" x14ac:dyDescent="0.25">
      <c r="A5" s="19">
        <v>46205</v>
      </c>
      <c r="B5" s="6" t="s">
        <v>188</v>
      </c>
      <c r="C5" s="13" t="s">
        <v>20</v>
      </c>
      <c r="D5" s="17" t="s">
        <v>189</v>
      </c>
      <c r="E5" s="15">
        <v>22900</v>
      </c>
      <c r="F5" s="6">
        <v>160</v>
      </c>
      <c r="G5" s="6">
        <v>89</v>
      </c>
      <c r="H5" s="6">
        <v>1</v>
      </c>
      <c r="I5" s="6" t="s">
        <v>190</v>
      </c>
      <c r="J5" s="6">
        <v>6483</v>
      </c>
      <c r="K5" s="11">
        <f t="shared" si="0"/>
        <v>1037.28</v>
      </c>
      <c r="L5" s="20" t="s">
        <v>191</v>
      </c>
      <c r="M5" s="6">
        <v>7250</v>
      </c>
      <c r="N5" s="13" t="s">
        <v>21</v>
      </c>
      <c r="O5" s="6">
        <v>6978</v>
      </c>
      <c r="P5" s="11">
        <f t="shared" si="1"/>
        <v>1116.48</v>
      </c>
      <c r="Q5" s="6">
        <v>100</v>
      </c>
      <c r="R5" s="6">
        <v>23000</v>
      </c>
      <c r="S5" s="6">
        <v>6499</v>
      </c>
      <c r="T5" s="6">
        <f t="shared" ref="T5" si="5">S5*F5/1000</f>
        <v>1039.8399999999999</v>
      </c>
      <c r="U5" s="9">
        <f t="shared" ref="U5" si="6">S5-O5</f>
        <v>-479</v>
      </c>
      <c r="V5" s="16">
        <f t="shared" ref="V5" si="7">U5/O5*100</f>
        <v>-6.8644310690742341</v>
      </c>
      <c r="W5" s="14"/>
    </row>
    <row r="6" spans="1:23" x14ac:dyDescent="0.25">
      <c r="A6" s="19">
        <v>46204</v>
      </c>
      <c r="B6" s="6" t="s">
        <v>182</v>
      </c>
      <c r="C6" s="13" t="s">
        <v>20</v>
      </c>
      <c r="D6" s="17" t="s">
        <v>183</v>
      </c>
      <c r="E6" s="15">
        <v>21000</v>
      </c>
      <c r="F6" s="6">
        <v>125</v>
      </c>
      <c r="G6" s="6">
        <v>72</v>
      </c>
      <c r="H6" s="6">
        <v>1</v>
      </c>
      <c r="I6" s="6" t="s">
        <v>184</v>
      </c>
      <c r="J6" s="6">
        <v>4809</v>
      </c>
      <c r="K6" s="11">
        <f t="shared" si="0"/>
        <v>601.125</v>
      </c>
      <c r="L6" s="20" t="s">
        <v>185</v>
      </c>
      <c r="M6" s="6">
        <v>6650</v>
      </c>
      <c r="N6" s="13" t="s">
        <v>21</v>
      </c>
      <c r="O6" s="6">
        <v>5400</v>
      </c>
      <c r="P6" s="11">
        <f t="shared" si="1"/>
        <v>675</v>
      </c>
      <c r="Q6" s="6">
        <v>1250</v>
      </c>
      <c r="R6" s="6">
        <v>21000</v>
      </c>
      <c r="S6" s="6">
        <v>4801</v>
      </c>
      <c r="T6" s="6">
        <f t="shared" si="2"/>
        <v>600.125</v>
      </c>
      <c r="U6" s="9">
        <f t="shared" ref="U6" si="8">S6-O6</f>
        <v>-599</v>
      </c>
      <c r="V6" s="16">
        <f t="shared" ref="V6" si="9">U6/O6*100</f>
        <v>-11.092592592592593</v>
      </c>
      <c r="W6" s="14"/>
    </row>
    <row r="7" spans="1:23" x14ac:dyDescent="0.25">
      <c r="A7" s="19">
        <v>46205</v>
      </c>
      <c r="B7" s="6" t="s">
        <v>192</v>
      </c>
      <c r="C7" s="13" t="s">
        <v>20</v>
      </c>
      <c r="D7" s="17" t="s">
        <v>193</v>
      </c>
      <c r="E7" s="15">
        <v>2250</v>
      </c>
      <c r="F7" s="6">
        <v>125</v>
      </c>
      <c r="G7" s="6">
        <v>108</v>
      </c>
      <c r="H7" s="6">
        <v>2</v>
      </c>
      <c r="I7" s="6" t="s">
        <v>22</v>
      </c>
      <c r="J7" s="6">
        <v>386</v>
      </c>
      <c r="K7" s="11">
        <f t="shared" si="0"/>
        <v>48.25</v>
      </c>
      <c r="L7" s="20" t="s">
        <v>194</v>
      </c>
      <c r="M7" s="6">
        <v>1200</v>
      </c>
      <c r="N7" s="13" t="s">
        <v>21</v>
      </c>
      <c r="O7" s="6">
        <v>616</v>
      </c>
      <c r="P7" s="11">
        <f t="shared" si="1"/>
        <v>77</v>
      </c>
      <c r="Q7" s="6">
        <v>580</v>
      </c>
      <c r="R7" s="6">
        <v>2250</v>
      </c>
      <c r="S7" s="6">
        <v>386</v>
      </c>
      <c r="T7" s="6">
        <f t="shared" ref="T7:T11" si="10">S7*F7/1000</f>
        <v>48.25</v>
      </c>
      <c r="U7" s="9">
        <f t="shared" ref="U7:U11" si="11">S7-O7</f>
        <v>-230</v>
      </c>
      <c r="V7" s="16">
        <f t="shared" ref="V7:V11" si="12">U7/O7*100</f>
        <v>-37.337662337662337</v>
      </c>
      <c r="W7" s="14"/>
    </row>
    <row r="8" spans="1:23" x14ac:dyDescent="0.25">
      <c r="A8" s="19">
        <v>46205</v>
      </c>
      <c r="B8" s="6" t="s">
        <v>195</v>
      </c>
      <c r="C8" s="13" t="s">
        <v>20</v>
      </c>
      <c r="D8" s="17" t="s">
        <v>196</v>
      </c>
      <c r="E8" s="15">
        <v>1060</v>
      </c>
      <c r="F8" s="6">
        <v>125</v>
      </c>
      <c r="G8" s="6">
        <v>108</v>
      </c>
      <c r="H8" s="6">
        <v>2</v>
      </c>
      <c r="I8" s="6" t="s">
        <v>22</v>
      </c>
      <c r="J8" s="6">
        <v>182</v>
      </c>
      <c r="K8" s="11">
        <f t="shared" si="0"/>
        <v>22.75</v>
      </c>
      <c r="L8" s="20" t="s">
        <v>197</v>
      </c>
      <c r="M8" s="6">
        <v>580</v>
      </c>
      <c r="N8" s="13" t="s">
        <v>21</v>
      </c>
      <c r="O8" s="6">
        <v>363</v>
      </c>
      <c r="P8" s="11">
        <f t="shared" si="1"/>
        <v>45.375</v>
      </c>
      <c r="Q8" s="6">
        <v>210</v>
      </c>
      <c r="R8" s="6">
        <v>1060</v>
      </c>
      <c r="S8" s="6">
        <v>182</v>
      </c>
      <c r="T8" s="6">
        <f t="shared" si="10"/>
        <v>22.75</v>
      </c>
      <c r="U8" s="9">
        <f t="shared" si="11"/>
        <v>-181</v>
      </c>
      <c r="V8" s="16">
        <f t="shared" si="12"/>
        <v>-49.862258953168045</v>
      </c>
      <c r="W8" s="14"/>
    </row>
    <row r="9" spans="1:23" x14ac:dyDescent="0.25">
      <c r="A9" s="19">
        <v>46205</v>
      </c>
      <c r="B9" s="6" t="s">
        <v>198</v>
      </c>
      <c r="C9" s="13" t="s">
        <v>20</v>
      </c>
      <c r="D9" s="17" t="s">
        <v>199</v>
      </c>
      <c r="E9" s="15">
        <v>12000</v>
      </c>
      <c r="F9" s="6">
        <v>300</v>
      </c>
      <c r="G9" s="6">
        <v>116</v>
      </c>
      <c r="H9" s="6">
        <v>6</v>
      </c>
      <c r="I9" s="6" t="s">
        <v>200</v>
      </c>
      <c r="J9" s="6">
        <v>738</v>
      </c>
      <c r="K9" s="11">
        <f t="shared" si="0"/>
        <v>221.4</v>
      </c>
      <c r="L9" s="20" t="s">
        <v>201</v>
      </c>
      <c r="M9" s="6">
        <v>1500</v>
      </c>
      <c r="N9" s="13" t="s">
        <v>21</v>
      </c>
      <c r="O9" s="6">
        <v>888</v>
      </c>
      <c r="P9" s="11">
        <f t="shared" si="1"/>
        <v>266.39999999999998</v>
      </c>
      <c r="Q9" s="6">
        <v>610</v>
      </c>
      <c r="R9" s="6">
        <v>12150</v>
      </c>
      <c r="S9" s="6">
        <v>746</v>
      </c>
      <c r="T9" s="6">
        <f t="shared" si="10"/>
        <v>223.8</v>
      </c>
      <c r="U9" s="9">
        <f t="shared" si="11"/>
        <v>-142</v>
      </c>
      <c r="V9" s="16">
        <f t="shared" si="12"/>
        <v>-15.990990990990991</v>
      </c>
      <c r="W9" s="14"/>
    </row>
    <row r="10" spans="1:23" x14ac:dyDescent="0.25">
      <c r="A10" s="19">
        <v>46205</v>
      </c>
      <c r="B10" s="6" t="s">
        <v>202</v>
      </c>
      <c r="C10" s="13" t="s">
        <v>20</v>
      </c>
      <c r="D10" s="17" t="s">
        <v>203</v>
      </c>
      <c r="E10" s="15">
        <v>5000</v>
      </c>
      <c r="F10" s="6">
        <v>330</v>
      </c>
      <c r="G10" s="6">
        <v>75</v>
      </c>
      <c r="H10" s="6">
        <v>3</v>
      </c>
      <c r="I10" s="6" t="s">
        <v>65</v>
      </c>
      <c r="J10" s="6">
        <v>398</v>
      </c>
      <c r="K10" s="11">
        <f t="shared" si="0"/>
        <v>131.34</v>
      </c>
      <c r="L10" s="20" t="s">
        <v>204</v>
      </c>
      <c r="M10" s="6">
        <v>750</v>
      </c>
      <c r="N10" s="13" t="s">
        <v>21</v>
      </c>
      <c r="O10" s="6">
        <v>553</v>
      </c>
      <c r="P10" s="11">
        <f t="shared" si="1"/>
        <v>182.49</v>
      </c>
      <c r="Q10" s="6">
        <v>190</v>
      </c>
      <c r="R10" s="6">
        <v>4500</v>
      </c>
      <c r="S10" s="6">
        <v>357</v>
      </c>
      <c r="T10" s="6">
        <f t="shared" si="10"/>
        <v>117.81</v>
      </c>
      <c r="U10" s="9">
        <f t="shared" si="11"/>
        <v>-196</v>
      </c>
      <c r="V10" s="16">
        <f t="shared" si="12"/>
        <v>-35.443037974683541</v>
      </c>
      <c r="W10" s="14"/>
    </row>
    <row r="11" spans="1:23" x14ac:dyDescent="0.25">
      <c r="A11" s="19">
        <v>46205</v>
      </c>
      <c r="B11" s="6" t="s">
        <v>205</v>
      </c>
      <c r="C11" s="13" t="s">
        <v>206</v>
      </c>
      <c r="D11" s="17" t="s">
        <v>207</v>
      </c>
      <c r="E11" s="15">
        <v>11000</v>
      </c>
      <c r="F11" s="6">
        <v>135</v>
      </c>
      <c r="G11" s="6">
        <v>69</v>
      </c>
      <c r="H11" s="6">
        <v>1</v>
      </c>
      <c r="I11" s="6" t="s">
        <v>208</v>
      </c>
      <c r="J11" s="6">
        <v>2414</v>
      </c>
      <c r="K11" s="11">
        <f t="shared" si="0"/>
        <v>325.89</v>
      </c>
      <c r="L11" s="20" t="s">
        <v>209</v>
      </c>
      <c r="M11" s="6">
        <v>3000</v>
      </c>
      <c r="N11" s="13" t="s">
        <v>97</v>
      </c>
      <c r="O11" s="6">
        <v>2910</v>
      </c>
      <c r="P11" s="11">
        <f t="shared" si="1"/>
        <v>392.85</v>
      </c>
      <c r="Q11" s="6">
        <v>0</v>
      </c>
      <c r="R11" s="6">
        <v>11670</v>
      </c>
      <c r="S11" s="6">
        <v>2557</v>
      </c>
      <c r="T11" s="6">
        <f t="shared" si="10"/>
        <v>345.19499999999999</v>
      </c>
      <c r="U11" s="9">
        <f t="shared" si="11"/>
        <v>-353</v>
      </c>
      <c r="V11" s="16">
        <f t="shared" si="12"/>
        <v>-12.130584192439862</v>
      </c>
      <c r="W11" s="14"/>
    </row>
    <row r="12" spans="1:23" x14ac:dyDescent="0.25">
      <c r="A12" s="19">
        <v>46204</v>
      </c>
      <c r="B12" s="6" t="s">
        <v>186</v>
      </c>
      <c r="C12" s="13" t="s">
        <v>117</v>
      </c>
      <c r="D12" s="17" t="s">
        <v>175</v>
      </c>
      <c r="E12" s="15">
        <v>67000</v>
      </c>
      <c r="F12" s="6">
        <v>190</v>
      </c>
      <c r="G12" s="6">
        <v>75</v>
      </c>
      <c r="H12" s="6">
        <v>4</v>
      </c>
      <c r="I12" s="6" t="s">
        <v>176</v>
      </c>
      <c r="J12" s="6">
        <v>4000</v>
      </c>
      <c r="K12" s="11">
        <f t="shared" si="0"/>
        <v>760</v>
      </c>
      <c r="L12" s="20" t="s">
        <v>187</v>
      </c>
      <c r="M12" s="6">
        <v>4000</v>
      </c>
      <c r="N12" s="13" t="s">
        <v>177</v>
      </c>
      <c r="O12" s="6">
        <v>3964</v>
      </c>
      <c r="P12" s="11">
        <f t="shared" si="1"/>
        <v>753.16</v>
      </c>
      <c r="Q12" s="6">
        <v>0</v>
      </c>
      <c r="R12" s="6">
        <v>0</v>
      </c>
      <c r="S12" s="6">
        <v>0</v>
      </c>
      <c r="T12" s="6">
        <f t="shared" si="2"/>
        <v>0</v>
      </c>
      <c r="U12" s="9">
        <f t="shared" ref="U12:U22" si="13">S12-O12</f>
        <v>-3964</v>
      </c>
      <c r="V12" s="16">
        <f t="shared" ref="V12:V22" si="14">U12/O12*100</f>
        <v>-100</v>
      </c>
      <c r="W12" s="14"/>
    </row>
    <row r="13" spans="1:23" ht="30" customHeight="1" x14ac:dyDescent="0.25">
      <c r="A13" s="19">
        <v>46205</v>
      </c>
      <c r="B13" s="6" t="s">
        <v>210</v>
      </c>
      <c r="C13" s="13" t="s">
        <v>206</v>
      </c>
      <c r="D13" s="21" t="s">
        <v>211</v>
      </c>
      <c r="E13" s="15">
        <v>20000</v>
      </c>
      <c r="F13" s="6">
        <v>185</v>
      </c>
      <c r="G13" s="6">
        <v>72</v>
      </c>
      <c r="H13" s="6">
        <v>2</v>
      </c>
      <c r="I13" s="6" t="s">
        <v>212</v>
      </c>
      <c r="J13" s="6">
        <v>2290</v>
      </c>
      <c r="K13" s="11">
        <f t="shared" si="0"/>
        <v>423.65</v>
      </c>
      <c r="L13" s="20" t="s">
        <v>213</v>
      </c>
      <c r="M13" s="6">
        <v>3140</v>
      </c>
      <c r="N13" s="13" t="s">
        <v>97</v>
      </c>
      <c r="O13" s="6">
        <v>2500</v>
      </c>
      <c r="P13" s="11">
        <f t="shared" si="1"/>
        <v>462.5</v>
      </c>
      <c r="Q13" s="6">
        <v>840</v>
      </c>
      <c r="R13" s="6">
        <v>10060</v>
      </c>
      <c r="S13" s="6">
        <v>1150</v>
      </c>
      <c r="T13" s="6">
        <f t="shared" si="2"/>
        <v>212.75</v>
      </c>
      <c r="U13" s="9">
        <f t="shared" si="13"/>
        <v>-1350</v>
      </c>
      <c r="V13" s="16">
        <f t="shared" si="14"/>
        <v>-54</v>
      </c>
      <c r="W13" s="14"/>
    </row>
    <row r="14" spans="1:23" ht="26.25" customHeight="1" x14ac:dyDescent="0.25">
      <c r="A14" s="19">
        <v>46228</v>
      </c>
      <c r="B14" s="6" t="s">
        <v>381</v>
      </c>
      <c r="C14" s="13" t="s">
        <v>382</v>
      </c>
      <c r="D14" s="21" t="s">
        <v>383</v>
      </c>
      <c r="E14" s="15">
        <v>500</v>
      </c>
      <c r="F14" s="6">
        <v>250</v>
      </c>
      <c r="G14" s="6">
        <v>75</v>
      </c>
      <c r="H14" s="6">
        <v>4</v>
      </c>
      <c r="I14" s="6" t="s">
        <v>384</v>
      </c>
      <c r="J14" s="6">
        <v>30</v>
      </c>
      <c r="K14" s="11">
        <f t="shared" si="0"/>
        <v>7.5</v>
      </c>
      <c r="L14" s="20"/>
      <c r="M14" s="6"/>
      <c r="N14" s="13" t="s">
        <v>385</v>
      </c>
      <c r="O14" s="6">
        <v>300</v>
      </c>
      <c r="P14" s="11">
        <f t="shared" si="1"/>
        <v>75</v>
      </c>
      <c r="Q14" s="6"/>
      <c r="R14" s="6"/>
      <c r="S14" s="6"/>
      <c r="T14" s="6"/>
      <c r="U14" s="9"/>
      <c r="V14" s="16"/>
      <c r="W14" s="14" t="s">
        <v>154</v>
      </c>
    </row>
    <row r="15" spans="1:23" ht="15.75" x14ac:dyDescent="0.25">
      <c r="A15" s="19">
        <v>46214</v>
      </c>
      <c r="B15" s="6" t="s">
        <v>214</v>
      </c>
      <c r="C15" s="13" t="s">
        <v>20</v>
      </c>
      <c r="D15" s="24" t="s">
        <v>215</v>
      </c>
      <c r="E15" s="6">
        <v>9000</v>
      </c>
      <c r="F15" s="6">
        <v>300</v>
      </c>
      <c r="G15" s="6">
        <v>116</v>
      </c>
      <c r="H15" s="6">
        <v>6</v>
      </c>
      <c r="I15" s="6" t="s">
        <v>200</v>
      </c>
      <c r="J15" s="6">
        <v>553</v>
      </c>
      <c r="K15" s="11">
        <f t="shared" si="0"/>
        <v>165.9</v>
      </c>
      <c r="L15" s="20" t="s">
        <v>216</v>
      </c>
      <c r="M15" s="6">
        <v>1200</v>
      </c>
      <c r="N15" s="13" t="s">
        <v>21</v>
      </c>
      <c r="O15" s="6">
        <v>717</v>
      </c>
      <c r="P15" s="11">
        <f t="shared" si="1"/>
        <v>215.1</v>
      </c>
      <c r="Q15" s="6">
        <v>480</v>
      </c>
      <c r="R15" s="6">
        <v>9150</v>
      </c>
      <c r="S15" s="6">
        <v>562</v>
      </c>
      <c r="T15" s="6">
        <f t="shared" si="2"/>
        <v>168.6</v>
      </c>
      <c r="U15" s="9">
        <f t="shared" si="13"/>
        <v>-155</v>
      </c>
      <c r="V15" s="16">
        <f t="shared" si="14"/>
        <v>-21.617852161785216</v>
      </c>
      <c r="W15" s="14"/>
    </row>
    <row r="16" spans="1:23" ht="15.75" x14ac:dyDescent="0.25">
      <c r="A16" s="19">
        <v>46228</v>
      </c>
      <c r="B16" s="6" t="s">
        <v>386</v>
      </c>
      <c r="C16" s="13" t="s">
        <v>382</v>
      </c>
      <c r="D16" s="24" t="s">
        <v>387</v>
      </c>
      <c r="E16" s="6">
        <v>1000</v>
      </c>
      <c r="F16" s="6">
        <v>125</v>
      </c>
      <c r="G16" s="6">
        <v>79</v>
      </c>
      <c r="H16" s="6">
        <v>4</v>
      </c>
      <c r="I16" s="6" t="s">
        <v>388</v>
      </c>
      <c r="J16" s="6">
        <v>63</v>
      </c>
      <c r="K16" s="11">
        <f t="shared" si="0"/>
        <v>7.875</v>
      </c>
      <c r="L16" s="20" t="s">
        <v>389</v>
      </c>
      <c r="M16" s="6">
        <v>200</v>
      </c>
      <c r="N16" s="13" t="s">
        <v>385</v>
      </c>
      <c r="O16" s="6"/>
      <c r="P16" s="11"/>
      <c r="Q16" s="6"/>
      <c r="R16" s="6"/>
      <c r="S16" s="6"/>
      <c r="T16" s="6"/>
      <c r="U16" s="9"/>
      <c r="V16" s="16"/>
      <c r="W16" s="14" t="s">
        <v>154</v>
      </c>
    </row>
    <row r="17" spans="1:23" ht="15.75" x14ac:dyDescent="0.25">
      <c r="A17" s="19">
        <v>46234</v>
      </c>
      <c r="B17" s="6" t="s">
        <v>403</v>
      </c>
      <c r="C17" s="13" t="s">
        <v>382</v>
      </c>
      <c r="D17" s="24" t="s">
        <v>404</v>
      </c>
      <c r="E17" s="6">
        <v>1000</v>
      </c>
      <c r="F17" s="6">
        <v>175</v>
      </c>
      <c r="G17" s="6">
        <v>75</v>
      </c>
      <c r="H17" s="6">
        <v>3</v>
      </c>
      <c r="I17" s="6" t="s">
        <v>405</v>
      </c>
      <c r="J17" s="6">
        <v>80</v>
      </c>
      <c r="K17" s="11">
        <f t="shared" si="0"/>
        <v>14</v>
      </c>
      <c r="L17" s="20" t="s">
        <v>406</v>
      </c>
      <c r="M17" s="6">
        <v>200</v>
      </c>
      <c r="N17" s="13" t="s">
        <v>385</v>
      </c>
      <c r="O17" s="6">
        <v>200</v>
      </c>
      <c r="P17" s="11"/>
      <c r="Q17" s="6"/>
      <c r="R17" s="6"/>
      <c r="S17" s="6"/>
      <c r="T17" s="6"/>
      <c r="U17" s="9"/>
      <c r="V17" s="16"/>
      <c r="W17" s="14"/>
    </row>
    <row r="18" spans="1:23" ht="15.75" x14ac:dyDescent="0.25">
      <c r="A18" s="19">
        <v>46234</v>
      </c>
      <c r="B18" s="6" t="s">
        <v>399</v>
      </c>
      <c r="C18" s="13" t="s">
        <v>382</v>
      </c>
      <c r="D18" s="24" t="s">
        <v>400</v>
      </c>
      <c r="E18" s="6">
        <v>1000</v>
      </c>
      <c r="F18" s="6">
        <v>69</v>
      </c>
      <c r="G18" s="6">
        <v>69</v>
      </c>
      <c r="H18" s="6">
        <v>3</v>
      </c>
      <c r="I18" s="6" t="s">
        <v>401</v>
      </c>
      <c r="J18" s="6">
        <v>73</v>
      </c>
      <c r="K18" s="11">
        <f t="shared" si="0"/>
        <v>5.0369999999999999</v>
      </c>
      <c r="L18" s="20" t="s">
        <v>402</v>
      </c>
      <c r="M18" s="6">
        <v>200</v>
      </c>
      <c r="N18" s="13"/>
      <c r="O18" s="6"/>
      <c r="P18" s="11"/>
      <c r="Q18" s="6"/>
      <c r="R18" s="6"/>
      <c r="S18" s="6"/>
      <c r="T18" s="6"/>
      <c r="U18" s="9"/>
      <c r="V18" s="16"/>
      <c r="W18" s="14" t="s">
        <v>154</v>
      </c>
    </row>
    <row r="19" spans="1:23" x14ac:dyDescent="0.25">
      <c r="A19" s="19">
        <v>46219</v>
      </c>
      <c r="B19" s="6" t="s">
        <v>217</v>
      </c>
      <c r="C19" s="13" t="s">
        <v>20</v>
      </c>
      <c r="D19" s="17" t="s">
        <v>218</v>
      </c>
      <c r="E19" s="6">
        <v>10000</v>
      </c>
      <c r="F19" s="6">
        <v>290</v>
      </c>
      <c r="G19" s="6">
        <v>94</v>
      </c>
      <c r="H19" s="6">
        <v>2</v>
      </c>
      <c r="I19" s="6" t="s">
        <v>174</v>
      </c>
      <c r="J19" s="6">
        <v>1495</v>
      </c>
      <c r="K19" s="11">
        <f t="shared" si="0"/>
        <v>433.55</v>
      </c>
      <c r="L19" s="20" t="s">
        <v>219</v>
      </c>
      <c r="M19" s="6">
        <v>2000</v>
      </c>
      <c r="N19" s="13" t="s">
        <v>21</v>
      </c>
      <c r="O19" s="6">
        <v>1614</v>
      </c>
      <c r="P19" s="11">
        <f t="shared" si="1"/>
        <v>468.06</v>
      </c>
      <c r="Q19" s="6">
        <v>300</v>
      </c>
      <c r="R19" s="6">
        <v>10480</v>
      </c>
      <c r="S19" s="6">
        <v>1564</v>
      </c>
      <c r="T19" s="6">
        <f t="shared" si="2"/>
        <v>453.56</v>
      </c>
      <c r="U19" s="9">
        <f t="shared" si="13"/>
        <v>-50</v>
      </c>
      <c r="V19" s="16">
        <f t="shared" si="14"/>
        <v>-3.0978934324659235</v>
      </c>
      <c r="W19" s="14"/>
    </row>
    <row r="20" spans="1:23" x14ac:dyDescent="0.25">
      <c r="A20" s="19">
        <v>46219</v>
      </c>
      <c r="B20" s="6" t="s">
        <v>220</v>
      </c>
      <c r="C20" s="13" t="s">
        <v>20</v>
      </c>
      <c r="D20" s="17" t="s">
        <v>221</v>
      </c>
      <c r="E20" s="6">
        <v>10000</v>
      </c>
      <c r="F20" s="6">
        <v>330</v>
      </c>
      <c r="G20" s="6">
        <v>75</v>
      </c>
      <c r="H20" s="6">
        <v>3</v>
      </c>
      <c r="I20" s="6" t="s">
        <v>65</v>
      </c>
      <c r="J20" s="6">
        <v>795</v>
      </c>
      <c r="K20" s="11">
        <f t="shared" si="0"/>
        <v>262.35000000000002</v>
      </c>
      <c r="L20" s="20" t="s">
        <v>222</v>
      </c>
      <c r="M20" s="6">
        <v>2650</v>
      </c>
      <c r="N20" s="13" t="s">
        <v>21</v>
      </c>
      <c r="O20" s="6">
        <v>1040</v>
      </c>
      <c r="P20" s="11">
        <f t="shared" si="1"/>
        <v>343.2</v>
      </c>
      <c r="Q20" s="6">
        <v>1600</v>
      </c>
      <c r="R20" s="6">
        <v>10160</v>
      </c>
      <c r="S20" s="6">
        <v>806</v>
      </c>
      <c r="T20" s="6">
        <f t="shared" si="2"/>
        <v>265.98</v>
      </c>
      <c r="U20" s="9">
        <f t="shared" si="13"/>
        <v>-234</v>
      </c>
      <c r="V20" s="16">
        <f t="shared" si="14"/>
        <v>-22.5</v>
      </c>
      <c r="W20" s="14"/>
    </row>
    <row r="21" spans="1:23" x14ac:dyDescent="0.25">
      <c r="A21" s="19">
        <v>46220</v>
      </c>
      <c r="B21" s="6" t="s">
        <v>237</v>
      </c>
      <c r="C21" s="13" t="s">
        <v>206</v>
      </c>
      <c r="D21" s="17" t="s">
        <v>238</v>
      </c>
      <c r="E21" s="6">
        <v>10000</v>
      </c>
      <c r="F21" s="6">
        <v>230</v>
      </c>
      <c r="G21" s="6">
        <v>124</v>
      </c>
      <c r="H21" s="6">
        <v>6</v>
      </c>
      <c r="I21" s="6" t="s">
        <v>239</v>
      </c>
      <c r="J21" s="6">
        <v>657</v>
      </c>
      <c r="K21" s="11">
        <f t="shared" si="0"/>
        <v>151.11000000000001</v>
      </c>
      <c r="L21" s="20" t="s">
        <v>240</v>
      </c>
      <c r="M21" s="6">
        <v>1000</v>
      </c>
      <c r="N21" s="13" t="s">
        <v>97</v>
      </c>
      <c r="O21" s="6">
        <v>781</v>
      </c>
      <c r="P21" s="11">
        <f t="shared" si="1"/>
        <v>179.63</v>
      </c>
      <c r="Q21" s="6">
        <v>200</v>
      </c>
      <c r="R21" s="6">
        <v>9585</v>
      </c>
      <c r="S21" s="6">
        <v>629</v>
      </c>
      <c r="T21" s="6">
        <f t="shared" si="2"/>
        <v>144.66999999999999</v>
      </c>
      <c r="U21" s="9">
        <f t="shared" si="13"/>
        <v>-152</v>
      </c>
      <c r="V21" s="16">
        <f t="shared" si="14"/>
        <v>-19.462227912932139</v>
      </c>
      <c r="W21" s="14"/>
    </row>
    <row r="22" spans="1:23" x14ac:dyDescent="0.25">
      <c r="A22" s="19">
        <v>46220</v>
      </c>
      <c r="B22" s="6" t="s">
        <v>228</v>
      </c>
      <c r="C22" s="17" t="s">
        <v>206</v>
      </c>
      <c r="D22" s="17" t="s">
        <v>229</v>
      </c>
      <c r="E22" s="6">
        <v>5000</v>
      </c>
      <c r="F22" s="6">
        <v>135</v>
      </c>
      <c r="G22" s="6">
        <v>99</v>
      </c>
      <c r="H22" s="6">
        <v>6</v>
      </c>
      <c r="I22" s="6" t="s">
        <v>230</v>
      </c>
      <c r="J22" s="6">
        <v>262</v>
      </c>
      <c r="K22" s="11">
        <f t="shared" si="0"/>
        <v>35.369999999999997</v>
      </c>
      <c r="L22" s="20" t="s">
        <v>231</v>
      </c>
      <c r="M22" s="6">
        <v>830</v>
      </c>
      <c r="N22" s="13" t="s">
        <v>21</v>
      </c>
      <c r="O22" s="6">
        <v>394</v>
      </c>
      <c r="P22" s="11">
        <f t="shared" si="1"/>
        <v>53.19</v>
      </c>
      <c r="Q22" s="6">
        <v>430</v>
      </c>
      <c r="R22" s="6">
        <v>5835</v>
      </c>
      <c r="S22" s="6">
        <v>306</v>
      </c>
      <c r="T22" s="6">
        <f t="shared" si="2"/>
        <v>41.31</v>
      </c>
      <c r="U22" s="9">
        <f t="shared" si="13"/>
        <v>-88</v>
      </c>
      <c r="V22" s="16">
        <f t="shared" si="14"/>
        <v>-22.335025380710661</v>
      </c>
      <c r="W22" s="14"/>
    </row>
    <row r="23" spans="1:23" x14ac:dyDescent="0.25">
      <c r="A23" s="19">
        <v>46223</v>
      </c>
      <c r="B23" s="6" t="s">
        <v>283</v>
      </c>
      <c r="C23" s="17" t="s">
        <v>144</v>
      </c>
      <c r="D23" s="10" t="s">
        <v>284</v>
      </c>
      <c r="E23" s="6">
        <v>3700</v>
      </c>
      <c r="F23" s="6">
        <v>210</v>
      </c>
      <c r="G23" s="6">
        <v>118</v>
      </c>
      <c r="H23" s="6">
        <v>10</v>
      </c>
      <c r="I23" s="6" t="s">
        <v>151</v>
      </c>
      <c r="J23" s="6">
        <v>174</v>
      </c>
      <c r="K23" s="11">
        <f t="shared" si="0"/>
        <v>36.54</v>
      </c>
      <c r="L23" s="20" t="s">
        <v>285</v>
      </c>
      <c r="M23" s="6">
        <v>1720</v>
      </c>
      <c r="N23" s="13" t="s">
        <v>139</v>
      </c>
      <c r="O23" s="6">
        <v>220</v>
      </c>
      <c r="P23" s="11">
        <f t="shared" si="1"/>
        <v>46.2</v>
      </c>
      <c r="Q23" s="6">
        <v>1400</v>
      </c>
      <c r="R23" s="6"/>
      <c r="S23" s="6"/>
      <c r="T23" s="6"/>
      <c r="U23" s="9"/>
      <c r="V23" s="16"/>
      <c r="W23" s="14"/>
    </row>
    <row r="24" spans="1:23" x14ac:dyDescent="0.25">
      <c r="A24" s="19">
        <v>46223</v>
      </c>
      <c r="B24" s="6" t="s">
        <v>275</v>
      </c>
      <c r="C24" s="17" t="s">
        <v>144</v>
      </c>
      <c r="D24" s="10" t="s">
        <v>276</v>
      </c>
      <c r="E24" s="6">
        <v>3700</v>
      </c>
      <c r="F24" s="6">
        <v>210</v>
      </c>
      <c r="G24" s="6">
        <v>118</v>
      </c>
      <c r="H24" s="6">
        <v>4</v>
      </c>
      <c r="I24" s="6" t="s">
        <v>277</v>
      </c>
      <c r="J24" s="6">
        <v>347</v>
      </c>
      <c r="K24" s="11">
        <f t="shared" si="0"/>
        <v>72.87</v>
      </c>
      <c r="L24" s="20" t="s">
        <v>278</v>
      </c>
      <c r="M24" s="6">
        <v>600</v>
      </c>
      <c r="N24" s="13" t="s">
        <v>279</v>
      </c>
      <c r="O24" s="6">
        <v>489</v>
      </c>
      <c r="P24" s="11">
        <f t="shared" si="1"/>
        <v>102.69</v>
      </c>
      <c r="Q24" s="6">
        <v>0</v>
      </c>
      <c r="R24" s="6"/>
      <c r="S24" s="6"/>
      <c r="T24" s="6"/>
      <c r="U24" s="9"/>
      <c r="V24" s="16"/>
      <c r="W24" s="14"/>
    </row>
    <row r="25" spans="1:23" x14ac:dyDescent="0.25">
      <c r="A25" s="19">
        <v>46223</v>
      </c>
      <c r="B25" s="6" t="s">
        <v>275</v>
      </c>
      <c r="C25" s="17" t="s">
        <v>144</v>
      </c>
      <c r="D25" s="10" t="s">
        <v>281</v>
      </c>
      <c r="E25" s="6">
        <v>7400</v>
      </c>
      <c r="F25" s="6">
        <v>120</v>
      </c>
      <c r="G25" s="6">
        <v>118</v>
      </c>
      <c r="H25" s="6">
        <v>4</v>
      </c>
      <c r="I25" s="6" t="s">
        <v>277</v>
      </c>
      <c r="J25" s="6">
        <v>694</v>
      </c>
      <c r="K25" s="11">
        <f t="shared" si="0"/>
        <v>83.28</v>
      </c>
      <c r="L25" s="20" t="s">
        <v>298</v>
      </c>
      <c r="M25" s="6">
        <v>1000</v>
      </c>
      <c r="N25" s="13" t="s">
        <v>279</v>
      </c>
      <c r="O25" s="6">
        <v>985</v>
      </c>
      <c r="P25" s="11">
        <f t="shared" si="1"/>
        <v>118.2</v>
      </c>
      <c r="Q25" s="6">
        <v>0</v>
      </c>
      <c r="R25" s="6"/>
      <c r="S25" s="6"/>
      <c r="T25" s="6"/>
      <c r="U25" s="9"/>
      <c r="V25" s="16"/>
      <c r="W25" s="14"/>
    </row>
    <row r="26" spans="1:23" ht="26.25" x14ac:dyDescent="0.25">
      <c r="A26" s="19">
        <v>46231</v>
      </c>
      <c r="B26" s="6" t="s">
        <v>354</v>
      </c>
      <c r="C26" s="17" t="s">
        <v>144</v>
      </c>
      <c r="D26" s="48" t="s">
        <v>355</v>
      </c>
      <c r="E26" s="6">
        <v>3700</v>
      </c>
      <c r="F26" s="6">
        <v>120</v>
      </c>
      <c r="G26" s="6">
        <v>118</v>
      </c>
      <c r="H26" s="6">
        <v>4</v>
      </c>
      <c r="I26" s="6" t="s">
        <v>277</v>
      </c>
      <c r="J26" s="6">
        <v>347</v>
      </c>
      <c r="K26" s="11">
        <f t="shared" si="0"/>
        <v>41.64</v>
      </c>
      <c r="L26" s="20" t="s">
        <v>298</v>
      </c>
      <c r="M26" s="6">
        <v>1000</v>
      </c>
      <c r="N26" s="13" t="s">
        <v>279</v>
      </c>
      <c r="O26" s="6">
        <v>480</v>
      </c>
      <c r="P26" s="11">
        <f t="shared" si="1"/>
        <v>57.6</v>
      </c>
      <c r="Q26" s="6">
        <v>380</v>
      </c>
      <c r="R26" s="6"/>
      <c r="S26" s="6"/>
      <c r="T26" s="6"/>
      <c r="U26" s="9"/>
      <c r="V26" s="16"/>
      <c r="W26" s="14"/>
    </row>
    <row r="27" spans="1:23" x14ac:dyDescent="0.25">
      <c r="A27" s="19">
        <v>46231</v>
      </c>
      <c r="B27" s="6" t="s">
        <v>346</v>
      </c>
      <c r="C27" s="17" t="s">
        <v>144</v>
      </c>
      <c r="D27" s="17" t="s">
        <v>347</v>
      </c>
      <c r="E27" s="6">
        <v>4000</v>
      </c>
      <c r="F27" s="6">
        <v>210</v>
      </c>
      <c r="G27" s="6">
        <v>118</v>
      </c>
      <c r="H27" s="6">
        <v>10</v>
      </c>
      <c r="I27" s="6" t="s">
        <v>151</v>
      </c>
      <c r="J27" s="6">
        <v>188</v>
      </c>
      <c r="K27" s="11">
        <f t="shared" si="0"/>
        <v>39.479999999999997</v>
      </c>
      <c r="L27" s="20" t="s">
        <v>348</v>
      </c>
      <c r="M27" s="6">
        <v>700</v>
      </c>
      <c r="N27" s="13" t="s">
        <v>139</v>
      </c>
      <c r="O27" s="6">
        <v>226</v>
      </c>
      <c r="P27" s="11">
        <f t="shared" si="1"/>
        <v>47.46</v>
      </c>
      <c r="Q27" s="6">
        <v>330</v>
      </c>
      <c r="R27" s="6"/>
      <c r="S27" s="6"/>
      <c r="T27" s="6"/>
      <c r="U27" s="9"/>
      <c r="V27" s="16"/>
      <c r="W27" s="14"/>
    </row>
    <row r="28" spans="1:23" x14ac:dyDescent="0.25">
      <c r="A28" s="19">
        <v>46223</v>
      </c>
      <c r="B28" s="6" t="s">
        <v>280</v>
      </c>
      <c r="C28" s="17" t="s">
        <v>144</v>
      </c>
      <c r="D28" s="10" t="s">
        <v>286</v>
      </c>
      <c r="E28" s="6">
        <v>7400</v>
      </c>
      <c r="F28" s="6">
        <v>210</v>
      </c>
      <c r="G28" s="6">
        <v>118</v>
      </c>
      <c r="H28" s="6">
        <v>10</v>
      </c>
      <c r="I28" s="6" t="s">
        <v>151</v>
      </c>
      <c r="J28" s="6">
        <v>278</v>
      </c>
      <c r="K28" s="11">
        <f t="shared" si="0"/>
        <v>58.38</v>
      </c>
      <c r="L28" s="20" t="s">
        <v>282</v>
      </c>
      <c r="M28" s="6">
        <v>700</v>
      </c>
      <c r="N28" s="13" t="s">
        <v>139</v>
      </c>
      <c r="O28" s="6">
        <v>367</v>
      </c>
      <c r="P28" s="11">
        <f t="shared" si="1"/>
        <v>77.069999999999993</v>
      </c>
      <c r="Q28" s="6">
        <v>220</v>
      </c>
      <c r="R28" s="6"/>
      <c r="S28" s="6"/>
      <c r="T28" s="6"/>
      <c r="U28" s="9"/>
      <c r="V28" s="16"/>
      <c r="W28" s="14"/>
    </row>
    <row r="29" spans="1:23" x14ac:dyDescent="0.25">
      <c r="A29" s="19">
        <v>46219</v>
      </c>
      <c r="B29" s="6" t="s">
        <v>241</v>
      </c>
      <c r="C29" s="17" t="s">
        <v>117</v>
      </c>
      <c r="D29" s="17" t="s">
        <v>175</v>
      </c>
      <c r="E29" s="6">
        <v>167680</v>
      </c>
      <c r="F29" s="6">
        <v>190</v>
      </c>
      <c r="G29" s="6">
        <v>75</v>
      </c>
      <c r="H29" s="6">
        <v>4</v>
      </c>
      <c r="I29" s="6" t="s">
        <v>176</v>
      </c>
      <c r="J29" s="6">
        <v>10000</v>
      </c>
      <c r="K29" s="11">
        <f t="shared" si="0"/>
        <v>1900</v>
      </c>
      <c r="L29" s="20" t="s">
        <v>242</v>
      </c>
      <c r="M29" s="6">
        <v>12000</v>
      </c>
      <c r="N29" s="13" t="s">
        <v>177</v>
      </c>
      <c r="O29" s="6">
        <v>11837</v>
      </c>
      <c r="P29" s="11">
        <f t="shared" si="1"/>
        <v>2249.0300000000002</v>
      </c>
      <c r="Q29" s="6">
        <v>0</v>
      </c>
      <c r="R29" s="6"/>
      <c r="S29" s="6"/>
      <c r="T29" s="6"/>
      <c r="U29" s="9"/>
      <c r="V29" s="16"/>
      <c r="W29" s="14"/>
    </row>
    <row r="30" spans="1:23" x14ac:dyDescent="0.25">
      <c r="A30" s="19">
        <v>46220</v>
      </c>
      <c r="B30" s="6" t="s">
        <v>223</v>
      </c>
      <c r="C30" s="17" t="s">
        <v>206</v>
      </c>
      <c r="D30" s="17" t="s">
        <v>224</v>
      </c>
      <c r="E30" s="6">
        <v>8000</v>
      </c>
      <c r="F30" s="6">
        <v>135</v>
      </c>
      <c r="G30" s="6">
        <v>69</v>
      </c>
      <c r="H30" s="6">
        <v>1</v>
      </c>
      <c r="I30" s="6" t="s">
        <v>208</v>
      </c>
      <c r="J30" s="6">
        <v>1756</v>
      </c>
      <c r="K30" s="11">
        <f t="shared" si="0"/>
        <v>237.06</v>
      </c>
      <c r="L30" s="20" t="s">
        <v>225</v>
      </c>
      <c r="M30" s="6">
        <v>2370</v>
      </c>
      <c r="N30" s="13" t="s">
        <v>97</v>
      </c>
      <c r="O30" s="6">
        <v>1956</v>
      </c>
      <c r="P30" s="11">
        <f t="shared" si="1"/>
        <v>264.06</v>
      </c>
      <c r="Q30" s="6">
        <v>300</v>
      </c>
      <c r="R30" s="6">
        <v>7950</v>
      </c>
      <c r="S30" s="6">
        <v>1742</v>
      </c>
      <c r="T30" s="6">
        <f t="shared" ref="T30" si="15">S30*F30/1000</f>
        <v>235.17</v>
      </c>
      <c r="U30" s="9">
        <f t="shared" ref="U30" si="16">S30-O30</f>
        <v>-214</v>
      </c>
      <c r="V30" s="16">
        <f t="shared" ref="V30" si="17">U30/O30*100</f>
        <v>-10.940695296523517</v>
      </c>
      <c r="W30" s="14"/>
    </row>
    <row r="31" spans="1:23" x14ac:dyDescent="0.25">
      <c r="A31" s="19">
        <v>46220</v>
      </c>
      <c r="B31" s="6" t="s">
        <v>226</v>
      </c>
      <c r="C31" s="17" t="s">
        <v>206</v>
      </c>
      <c r="D31" s="17" t="s">
        <v>211</v>
      </c>
      <c r="E31" s="6">
        <v>30000</v>
      </c>
      <c r="F31" s="6">
        <v>185</v>
      </c>
      <c r="G31" s="6">
        <v>72</v>
      </c>
      <c r="H31" s="6">
        <v>2</v>
      </c>
      <c r="I31" s="6" t="s">
        <v>212</v>
      </c>
      <c r="J31" s="6">
        <v>3436</v>
      </c>
      <c r="K31" s="11">
        <f t="shared" si="0"/>
        <v>635.66</v>
      </c>
      <c r="L31" s="20" t="s">
        <v>227</v>
      </c>
      <c r="M31" s="6">
        <v>3860</v>
      </c>
      <c r="N31" s="13" t="s">
        <v>97</v>
      </c>
      <c r="O31" s="6">
        <v>3680</v>
      </c>
      <c r="P31" s="11">
        <f t="shared" si="1"/>
        <v>680.8</v>
      </c>
      <c r="Q31" s="6">
        <v>0</v>
      </c>
      <c r="R31" s="6">
        <v>31060</v>
      </c>
      <c r="S31" s="6">
        <v>3550</v>
      </c>
      <c r="T31" s="6">
        <f t="shared" ref="T31" si="18">S31*F31/1000</f>
        <v>656.75</v>
      </c>
      <c r="U31" s="9">
        <f t="shared" ref="U31" si="19">S31-O31</f>
        <v>-130</v>
      </c>
      <c r="V31" s="16">
        <f t="shared" ref="V31" si="20">U31/O31*100</f>
        <v>-3.5326086956521738</v>
      </c>
      <c r="W31" s="14"/>
    </row>
    <row r="32" spans="1:23" x14ac:dyDescent="0.25">
      <c r="A32" s="19">
        <v>46220</v>
      </c>
      <c r="B32" s="6" t="s">
        <v>243</v>
      </c>
      <c r="C32" s="17" t="s">
        <v>206</v>
      </c>
      <c r="D32" s="17" t="s">
        <v>244</v>
      </c>
      <c r="E32" s="6">
        <v>20000</v>
      </c>
      <c r="F32" s="6">
        <v>135</v>
      </c>
      <c r="G32" s="6">
        <v>99</v>
      </c>
      <c r="H32" s="6">
        <v>6</v>
      </c>
      <c r="I32" s="6" t="s">
        <v>230</v>
      </c>
      <c r="J32" s="6">
        <v>1050</v>
      </c>
      <c r="K32" s="11">
        <f t="shared" si="0"/>
        <v>141.75</v>
      </c>
      <c r="L32" s="20" t="s">
        <v>245</v>
      </c>
      <c r="M32" s="6">
        <v>2030</v>
      </c>
      <c r="N32" s="13" t="s">
        <v>97</v>
      </c>
      <c r="O32" s="6">
        <v>1160</v>
      </c>
      <c r="P32" s="11">
        <f t="shared" si="1"/>
        <v>156.6</v>
      </c>
      <c r="Q32" s="6">
        <v>870</v>
      </c>
      <c r="R32" s="6">
        <v>20535</v>
      </c>
      <c r="S32" s="6">
        <v>1076</v>
      </c>
      <c r="T32" s="6">
        <f t="shared" ref="T32" si="21">S32*F32/1000</f>
        <v>145.26</v>
      </c>
      <c r="U32" s="9">
        <f t="shared" ref="U32" si="22">S32-O32</f>
        <v>-84</v>
      </c>
      <c r="V32" s="16">
        <f t="shared" ref="V32" si="23">U32/O32*100</f>
        <v>-7.2413793103448283</v>
      </c>
      <c r="W32" s="14"/>
    </row>
    <row r="33" spans="1:23" x14ac:dyDescent="0.25">
      <c r="A33" s="19">
        <v>46223</v>
      </c>
      <c r="B33" s="6" t="s">
        <v>267</v>
      </c>
      <c r="C33" s="17" t="s">
        <v>144</v>
      </c>
      <c r="D33" s="17" t="s">
        <v>268</v>
      </c>
      <c r="E33" s="6">
        <v>5000</v>
      </c>
      <c r="F33" s="6">
        <v>210</v>
      </c>
      <c r="G33" s="6">
        <v>118</v>
      </c>
      <c r="H33" s="6">
        <v>8</v>
      </c>
      <c r="I33" s="6" t="s">
        <v>151</v>
      </c>
      <c r="J33" s="6">
        <v>235</v>
      </c>
      <c r="K33" s="11">
        <f t="shared" si="0"/>
        <v>49.35</v>
      </c>
      <c r="L33" s="20" t="s">
        <v>269</v>
      </c>
      <c r="M33" s="6">
        <v>1150</v>
      </c>
      <c r="N33" s="13" t="s">
        <v>139</v>
      </c>
      <c r="O33" s="6">
        <v>301</v>
      </c>
      <c r="P33" s="11">
        <f t="shared" si="1"/>
        <v>63.21</v>
      </c>
      <c r="Q33" s="6">
        <v>700</v>
      </c>
      <c r="R33" s="6"/>
      <c r="S33" s="6"/>
      <c r="T33" s="6"/>
      <c r="U33" s="9"/>
      <c r="V33" s="16"/>
      <c r="W33" s="14"/>
    </row>
    <row r="34" spans="1:23" x14ac:dyDescent="0.25">
      <c r="A34" s="19">
        <v>46234</v>
      </c>
      <c r="B34" s="6" t="s">
        <v>366</v>
      </c>
      <c r="C34" s="17" t="s">
        <v>144</v>
      </c>
      <c r="D34" s="67" t="s">
        <v>367</v>
      </c>
      <c r="E34" s="6">
        <v>2500</v>
      </c>
      <c r="F34" s="6">
        <v>105</v>
      </c>
      <c r="G34" s="6">
        <v>118</v>
      </c>
      <c r="H34" s="6">
        <v>5</v>
      </c>
      <c r="I34" s="6" t="s">
        <v>151</v>
      </c>
      <c r="J34" s="6">
        <v>187</v>
      </c>
      <c r="K34" s="11">
        <f t="shared" si="0"/>
        <v>19.635000000000002</v>
      </c>
      <c r="L34" s="20" t="s">
        <v>368</v>
      </c>
      <c r="M34" s="6">
        <v>500</v>
      </c>
      <c r="N34" s="13" t="s">
        <v>139</v>
      </c>
      <c r="O34" s="6">
        <v>355</v>
      </c>
      <c r="P34" s="11">
        <f t="shared" si="1"/>
        <v>37.274999999999999</v>
      </c>
      <c r="Q34" s="6">
        <v>0</v>
      </c>
      <c r="R34" s="6"/>
      <c r="S34" s="6"/>
      <c r="T34" s="6"/>
      <c r="U34" s="9"/>
      <c r="V34" s="16"/>
      <c r="W34" s="14"/>
    </row>
    <row r="35" spans="1:23" x14ac:dyDescent="0.25">
      <c r="A35" s="19">
        <v>46223</v>
      </c>
      <c r="B35" s="6" t="s">
        <v>287</v>
      </c>
      <c r="C35" s="17" t="s">
        <v>144</v>
      </c>
      <c r="D35" s="67" t="s">
        <v>288</v>
      </c>
      <c r="E35" s="6">
        <v>5000</v>
      </c>
      <c r="F35" s="6">
        <v>210</v>
      </c>
      <c r="G35" s="6">
        <v>118</v>
      </c>
      <c r="H35" s="6">
        <v>10</v>
      </c>
      <c r="I35" s="6" t="s">
        <v>151</v>
      </c>
      <c r="J35" s="6">
        <v>235</v>
      </c>
      <c r="K35" s="11">
        <f t="shared" si="0"/>
        <v>49.35</v>
      </c>
      <c r="L35" s="20" t="s">
        <v>289</v>
      </c>
      <c r="M35" s="6">
        <v>1400</v>
      </c>
      <c r="N35" s="13" t="s">
        <v>139</v>
      </c>
      <c r="O35" s="6">
        <v>345</v>
      </c>
      <c r="P35" s="11">
        <f t="shared" si="1"/>
        <v>72.45</v>
      </c>
      <c r="Q35" s="6">
        <v>1050</v>
      </c>
      <c r="R35" s="6"/>
      <c r="S35" s="6"/>
      <c r="T35" s="6"/>
      <c r="U35" s="9"/>
      <c r="V35" s="16"/>
      <c r="W35" s="14"/>
    </row>
    <row r="36" spans="1:23" x14ac:dyDescent="0.25">
      <c r="A36" s="19">
        <v>46160</v>
      </c>
      <c r="B36" s="6" t="s">
        <v>270</v>
      </c>
      <c r="C36" s="17" t="s">
        <v>144</v>
      </c>
      <c r="D36" s="17" t="s">
        <v>271</v>
      </c>
      <c r="E36" s="6">
        <v>5000</v>
      </c>
      <c r="F36" s="6">
        <v>210</v>
      </c>
      <c r="G36" s="6">
        <v>118</v>
      </c>
      <c r="H36" s="6">
        <v>10</v>
      </c>
      <c r="I36" s="6" t="s">
        <v>151</v>
      </c>
      <c r="J36" s="6">
        <v>235</v>
      </c>
      <c r="K36" s="11">
        <f t="shared" si="0"/>
        <v>49.35</v>
      </c>
      <c r="L36" s="20" t="s">
        <v>272</v>
      </c>
      <c r="M36" s="6">
        <v>1530</v>
      </c>
      <c r="N36" s="13" t="s">
        <v>139</v>
      </c>
      <c r="O36" s="6">
        <v>380</v>
      </c>
      <c r="P36" s="11">
        <f t="shared" si="1"/>
        <v>79.8</v>
      </c>
      <c r="Q36" s="6">
        <v>1150</v>
      </c>
      <c r="R36" s="6"/>
      <c r="S36" s="6"/>
      <c r="T36" s="6"/>
      <c r="U36" s="9"/>
      <c r="V36" s="16"/>
      <c r="W36" s="14"/>
    </row>
    <row r="37" spans="1:23" x14ac:dyDescent="0.25">
      <c r="A37" s="19">
        <v>46160</v>
      </c>
      <c r="B37" s="6" t="s">
        <v>273</v>
      </c>
      <c r="C37" s="17" t="s">
        <v>144</v>
      </c>
      <c r="D37" s="17" t="s">
        <v>274</v>
      </c>
      <c r="E37" s="6">
        <v>4000</v>
      </c>
      <c r="F37" s="6">
        <v>210</v>
      </c>
      <c r="G37" s="6">
        <v>118</v>
      </c>
      <c r="H37" s="6">
        <v>10</v>
      </c>
      <c r="I37" s="6" t="s">
        <v>151</v>
      </c>
      <c r="J37" s="6">
        <v>188</v>
      </c>
      <c r="K37" s="11">
        <f t="shared" si="0"/>
        <v>39.479999999999997</v>
      </c>
      <c r="L37" s="20" t="s">
        <v>27</v>
      </c>
      <c r="M37" s="6">
        <v>2000</v>
      </c>
      <c r="N37" s="13" t="s">
        <v>139</v>
      </c>
      <c r="O37" s="6">
        <v>465</v>
      </c>
      <c r="P37" s="11">
        <f t="shared" si="1"/>
        <v>97.65</v>
      </c>
      <c r="Q37" s="6">
        <v>1530</v>
      </c>
      <c r="R37" s="6"/>
      <c r="S37" s="6"/>
      <c r="T37" s="6"/>
      <c r="U37" s="9"/>
      <c r="V37" s="16"/>
      <c r="W37" s="14"/>
    </row>
    <row r="38" spans="1:23" x14ac:dyDescent="0.25">
      <c r="A38" s="19">
        <v>46220</v>
      </c>
      <c r="B38" s="6" t="s">
        <v>249</v>
      </c>
      <c r="C38" s="17" t="s">
        <v>206</v>
      </c>
      <c r="D38" s="17" t="s">
        <v>250</v>
      </c>
      <c r="E38" s="6">
        <v>28000</v>
      </c>
      <c r="F38" s="6">
        <v>260</v>
      </c>
      <c r="G38" s="6">
        <v>89</v>
      </c>
      <c r="H38" s="6">
        <v>3</v>
      </c>
      <c r="I38" s="6" t="s">
        <v>251</v>
      </c>
      <c r="J38" s="6">
        <v>2642</v>
      </c>
      <c r="K38" s="11">
        <f t="shared" si="0"/>
        <v>686.92</v>
      </c>
      <c r="L38" s="20" t="s">
        <v>252</v>
      </c>
      <c r="M38" s="6">
        <v>3760</v>
      </c>
      <c r="N38" s="13" t="s">
        <v>97</v>
      </c>
      <c r="O38" s="6">
        <v>3080</v>
      </c>
      <c r="P38" s="11">
        <f t="shared" si="1"/>
        <v>800.8</v>
      </c>
      <c r="Q38" s="6">
        <v>680</v>
      </c>
      <c r="R38" s="6">
        <v>26770</v>
      </c>
      <c r="S38" s="6">
        <v>2522</v>
      </c>
      <c r="T38" s="6">
        <f t="shared" ref="T38" si="24">S38*F38/1000</f>
        <v>655.72</v>
      </c>
      <c r="U38" s="9">
        <f t="shared" ref="U38" si="25">S38-O38</f>
        <v>-558</v>
      </c>
      <c r="V38" s="16">
        <f t="shared" ref="V38" si="26">U38/O38*100</f>
        <v>-18.116883116883116</v>
      </c>
      <c r="W38" s="14"/>
    </row>
    <row r="39" spans="1:23" x14ac:dyDescent="0.25">
      <c r="A39" s="19">
        <v>46220</v>
      </c>
      <c r="B39" s="6" t="s">
        <v>232</v>
      </c>
      <c r="C39" s="17" t="s">
        <v>233</v>
      </c>
      <c r="D39" s="17" t="s">
        <v>234</v>
      </c>
      <c r="E39" s="6">
        <v>8000</v>
      </c>
      <c r="F39" s="6">
        <v>95</v>
      </c>
      <c r="G39" s="6">
        <v>79</v>
      </c>
      <c r="H39" s="6">
        <v>2</v>
      </c>
      <c r="I39" s="6" t="s">
        <v>235</v>
      </c>
      <c r="J39" s="6">
        <v>1005</v>
      </c>
      <c r="K39" s="11">
        <f t="shared" si="0"/>
        <v>95.474999999999994</v>
      </c>
      <c r="L39" s="20" t="s">
        <v>236</v>
      </c>
      <c r="M39" s="6">
        <v>1450</v>
      </c>
      <c r="N39" s="13" t="s">
        <v>109</v>
      </c>
      <c r="O39" s="6">
        <v>1388</v>
      </c>
      <c r="P39" s="11">
        <f t="shared" si="1"/>
        <v>131.86000000000001</v>
      </c>
      <c r="Q39" s="6">
        <v>0</v>
      </c>
      <c r="R39" s="6">
        <v>9400</v>
      </c>
      <c r="S39" s="6">
        <v>1179</v>
      </c>
      <c r="T39" s="6">
        <f t="shared" ref="T39" si="27">S39*F39/1000</f>
        <v>112.005</v>
      </c>
      <c r="U39" s="9">
        <f t="shared" ref="U39" si="28">S39-O39</f>
        <v>-209</v>
      </c>
      <c r="V39" s="16">
        <f t="shared" ref="V39" si="29">U39/O39*100</f>
        <v>-15.057636887608069</v>
      </c>
      <c r="W39" s="14"/>
    </row>
    <row r="40" spans="1:23" x14ac:dyDescent="0.25">
      <c r="A40" s="19">
        <v>46220</v>
      </c>
      <c r="B40" s="6" t="s">
        <v>264</v>
      </c>
      <c r="C40" s="17" t="s">
        <v>206</v>
      </c>
      <c r="D40" s="17" t="s">
        <v>265</v>
      </c>
      <c r="E40" s="6">
        <v>7000</v>
      </c>
      <c r="F40" s="6">
        <v>135</v>
      </c>
      <c r="G40" s="6">
        <v>69</v>
      </c>
      <c r="H40" s="6">
        <v>1</v>
      </c>
      <c r="I40" s="6" t="s">
        <v>208</v>
      </c>
      <c r="J40" s="6">
        <v>1536</v>
      </c>
      <c r="K40" s="11">
        <f t="shared" si="0"/>
        <v>207.36</v>
      </c>
      <c r="L40" s="20" t="s">
        <v>266</v>
      </c>
      <c r="M40" s="6">
        <v>3200</v>
      </c>
      <c r="N40" s="13" t="s">
        <v>97</v>
      </c>
      <c r="O40" s="6">
        <v>1642</v>
      </c>
      <c r="P40" s="11">
        <f t="shared" si="1"/>
        <v>221.67</v>
      </c>
      <c r="Q40" s="6">
        <v>1470</v>
      </c>
      <c r="R40" s="6">
        <v>7510</v>
      </c>
      <c r="S40" s="6">
        <v>1645</v>
      </c>
      <c r="T40" s="6">
        <f t="shared" ref="T40" si="30">S40*F40/1000</f>
        <v>222.07499999999999</v>
      </c>
      <c r="U40" s="9">
        <f t="shared" ref="U40" si="31">S40-O40</f>
        <v>3</v>
      </c>
      <c r="V40" s="16">
        <f t="shared" ref="V40" si="32">U40/O40*100</f>
        <v>0.18270401948842874</v>
      </c>
      <c r="W40" s="14"/>
    </row>
    <row r="41" spans="1:23" x14ac:dyDescent="0.25">
      <c r="A41" s="19">
        <v>46232</v>
      </c>
      <c r="B41" s="6" t="s">
        <v>390</v>
      </c>
      <c r="C41" s="17" t="s">
        <v>206</v>
      </c>
      <c r="D41" s="25" t="s">
        <v>391</v>
      </c>
      <c r="E41" s="6">
        <v>5000</v>
      </c>
      <c r="F41" s="6">
        <v>195</v>
      </c>
      <c r="G41" s="6">
        <v>124</v>
      </c>
      <c r="H41" s="6">
        <v>6</v>
      </c>
      <c r="I41" s="6" t="s">
        <v>361</v>
      </c>
      <c r="J41" s="6">
        <v>329</v>
      </c>
      <c r="K41" s="11">
        <f t="shared" si="0"/>
        <v>64.155000000000001</v>
      </c>
      <c r="L41" s="20" t="s">
        <v>392</v>
      </c>
      <c r="M41" s="6">
        <v>1540</v>
      </c>
      <c r="N41" s="13" t="s">
        <v>97</v>
      </c>
      <c r="O41" s="6">
        <v>406</v>
      </c>
      <c r="P41" s="11">
        <f t="shared" si="1"/>
        <v>79.17</v>
      </c>
      <c r="Q41" s="6">
        <v>1050</v>
      </c>
      <c r="R41" s="6"/>
      <c r="S41" s="6"/>
      <c r="T41" s="6"/>
      <c r="U41" s="9"/>
      <c r="V41" s="16"/>
      <c r="W41" s="14"/>
    </row>
    <row r="42" spans="1:23" x14ac:dyDescent="0.25">
      <c r="A42" s="19">
        <v>46220</v>
      </c>
      <c r="B42" s="6" t="s">
        <v>246</v>
      </c>
      <c r="C42" s="17" t="s">
        <v>206</v>
      </c>
      <c r="D42" s="17" t="s">
        <v>247</v>
      </c>
      <c r="E42" s="6">
        <v>4000</v>
      </c>
      <c r="F42" s="6">
        <v>230</v>
      </c>
      <c r="G42" s="6">
        <v>124</v>
      </c>
      <c r="H42" s="6">
        <v>6</v>
      </c>
      <c r="I42" s="6" t="s">
        <v>239</v>
      </c>
      <c r="J42" s="6">
        <v>263</v>
      </c>
      <c r="K42" s="11">
        <f t="shared" si="0"/>
        <v>60.49</v>
      </c>
      <c r="L42" s="20" t="s">
        <v>248</v>
      </c>
      <c r="M42" s="6">
        <v>1190</v>
      </c>
      <c r="N42" s="13" t="s">
        <v>97</v>
      </c>
      <c r="O42" s="6">
        <v>451</v>
      </c>
      <c r="P42" s="11">
        <f t="shared" si="1"/>
        <v>103.73</v>
      </c>
      <c r="Q42" s="6">
        <v>730</v>
      </c>
      <c r="R42" s="6">
        <v>5030</v>
      </c>
      <c r="S42" s="6">
        <v>330</v>
      </c>
      <c r="T42" s="6">
        <f t="shared" ref="T42:T47" si="33">S42*F42/1000</f>
        <v>75.900000000000006</v>
      </c>
      <c r="U42" s="9">
        <f t="shared" ref="U42:U47" si="34">S42-O42</f>
        <v>-121</v>
      </c>
      <c r="V42" s="16">
        <f t="shared" ref="V42:V47" si="35">U42/O42*100</f>
        <v>-26.829268292682929</v>
      </c>
      <c r="W42" s="14"/>
    </row>
    <row r="43" spans="1:23" x14ac:dyDescent="0.25">
      <c r="A43" s="19">
        <v>46229</v>
      </c>
      <c r="B43" s="6" t="s">
        <v>375</v>
      </c>
      <c r="C43" s="17" t="s">
        <v>206</v>
      </c>
      <c r="D43" s="25" t="s">
        <v>376</v>
      </c>
      <c r="E43" s="6">
        <v>8000</v>
      </c>
      <c r="F43" s="6">
        <v>160</v>
      </c>
      <c r="G43" s="6">
        <v>89</v>
      </c>
      <c r="H43" s="6">
        <v>1</v>
      </c>
      <c r="I43" s="6" t="s">
        <v>259</v>
      </c>
      <c r="J43" s="6">
        <v>2265</v>
      </c>
      <c r="K43" s="11">
        <f t="shared" si="0"/>
        <v>362.4</v>
      </c>
      <c r="L43" s="20" t="s">
        <v>377</v>
      </c>
      <c r="M43" s="6">
        <v>4350</v>
      </c>
      <c r="N43" s="13" t="s">
        <v>97</v>
      </c>
      <c r="O43" s="6">
        <v>2688</v>
      </c>
      <c r="P43" s="11">
        <f t="shared" si="1"/>
        <v>430.08</v>
      </c>
      <c r="Q43" s="6">
        <v>1430</v>
      </c>
      <c r="R43" s="6"/>
      <c r="S43" s="6"/>
      <c r="T43" s="6"/>
      <c r="U43" s="9"/>
      <c r="V43" s="16"/>
      <c r="W43" s="14"/>
    </row>
    <row r="44" spans="1:23" x14ac:dyDescent="0.25">
      <c r="A44" s="19">
        <v>46220</v>
      </c>
      <c r="B44" s="6" t="s">
        <v>261</v>
      </c>
      <c r="C44" s="17" t="s">
        <v>206</v>
      </c>
      <c r="D44" s="17" t="s">
        <v>262</v>
      </c>
      <c r="E44" s="6">
        <v>4000</v>
      </c>
      <c r="F44" s="6">
        <v>135</v>
      </c>
      <c r="G44" s="6">
        <v>69</v>
      </c>
      <c r="H44" s="6">
        <v>1</v>
      </c>
      <c r="I44" s="6" t="s">
        <v>208</v>
      </c>
      <c r="J44" s="6">
        <v>878</v>
      </c>
      <c r="K44" s="11">
        <f t="shared" si="0"/>
        <v>118.53</v>
      </c>
      <c r="L44" s="20" t="s">
        <v>263</v>
      </c>
      <c r="M44" s="6">
        <v>1470</v>
      </c>
      <c r="N44" s="13" t="s">
        <v>97</v>
      </c>
      <c r="O44" s="6">
        <v>1033</v>
      </c>
      <c r="P44" s="11">
        <f t="shared" si="1"/>
        <v>139.45500000000001</v>
      </c>
      <c r="Q44" s="6">
        <v>370</v>
      </c>
      <c r="R44" s="6">
        <v>4560</v>
      </c>
      <c r="S44" s="6">
        <v>999</v>
      </c>
      <c r="T44" s="6">
        <f t="shared" si="33"/>
        <v>134.86500000000001</v>
      </c>
      <c r="U44" s="9">
        <f t="shared" si="34"/>
        <v>-34</v>
      </c>
      <c r="V44" s="16">
        <f t="shared" si="35"/>
        <v>-3.2913843175217812</v>
      </c>
      <c r="W44" s="14"/>
    </row>
    <row r="45" spans="1:23" x14ac:dyDescent="0.25">
      <c r="A45" s="19">
        <v>46229</v>
      </c>
      <c r="B45" s="6" t="s">
        <v>369</v>
      </c>
      <c r="C45" s="17" t="s">
        <v>206</v>
      </c>
      <c r="D45" s="25" t="s">
        <v>370</v>
      </c>
      <c r="E45" s="6">
        <v>10000</v>
      </c>
      <c r="F45" s="6">
        <v>160</v>
      </c>
      <c r="G45" s="6">
        <v>89</v>
      </c>
      <c r="H45" s="6">
        <v>1</v>
      </c>
      <c r="I45" s="6" t="s">
        <v>259</v>
      </c>
      <c r="J45" s="6">
        <v>2831</v>
      </c>
      <c r="K45" s="11">
        <f t="shared" si="0"/>
        <v>452.96</v>
      </c>
      <c r="L45" s="20" t="s">
        <v>371</v>
      </c>
      <c r="M45" s="6">
        <v>4020</v>
      </c>
      <c r="N45" s="13" t="s">
        <v>97</v>
      </c>
      <c r="O45" s="6">
        <v>3111</v>
      </c>
      <c r="P45" s="11">
        <f t="shared" si="1"/>
        <v>497.76</v>
      </c>
      <c r="Q45" s="6">
        <v>760</v>
      </c>
      <c r="R45" s="6"/>
      <c r="S45" s="6"/>
      <c r="T45" s="6"/>
      <c r="U45" s="9"/>
      <c r="V45" s="16"/>
      <c r="W45" s="14"/>
    </row>
    <row r="46" spans="1:23" x14ac:dyDescent="0.25">
      <c r="A46" s="19">
        <v>46220</v>
      </c>
      <c r="B46" s="6" t="s">
        <v>253</v>
      </c>
      <c r="C46" s="17" t="s">
        <v>206</v>
      </c>
      <c r="D46" s="17" t="s">
        <v>254</v>
      </c>
      <c r="E46" s="6">
        <v>4000</v>
      </c>
      <c r="F46" s="6">
        <v>130</v>
      </c>
      <c r="G46" s="6">
        <v>89</v>
      </c>
      <c r="H46" s="6">
        <v>6</v>
      </c>
      <c r="I46" s="6" t="s">
        <v>255</v>
      </c>
      <c r="J46" s="6">
        <v>189</v>
      </c>
      <c r="K46" s="11">
        <f t="shared" si="0"/>
        <v>24.57</v>
      </c>
      <c r="L46" s="20" t="s">
        <v>256</v>
      </c>
      <c r="M46" s="6">
        <v>370</v>
      </c>
      <c r="N46" s="13" t="s">
        <v>97</v>
      </c>
      <c r="O46" s="6">
        <v>260</v>
      </c>
      <c r="P46" s="11">
        <f t="shared" si="1"/>
        <v>33.799999999999997</v>
      </c>
      <c r="Q46" s="6">
        <v>0</v>
      </c>
      <c r="R46" s="6">
        <v>4400</v>
      </c>
      <c r="S46" s="6">
        <v>207</v>
      </c>
      <c r="T46" s="6">
        <f t="shared" si="33"/>
        <v>26.91</v>
      </c>
      <c r="U46" s="9">
        <f t="shared" si="34"/>
        <v>-53</v>
      </c>
      <c r="V46" s="16">
        <f t="shared" si="35"/>
        <v>-20.384615384615383</v>
      </c>
      <c r="W46" s="14"/>
    </row>
    <row r="47" spans="1:23" x14ac:dyDescent="0.25">
      <c r="A47" s="19">
        <v>46220</v>
      </c>
      <c r="B47" s="6" t="s">
        <v>257</v>
      </c>
      <c r="C47" s="17" t="s">
        <v>206</v>
      </c>
      <c r="D47" s="17" t="s">
        <v>258</v>
      </c>
      <c r="E47" s="6">
        <v>4000</v>
      </c>
      <c r="F47" s="6">
        <v>160</v>
      </c>
      <c r="G47" s="6">
        <v>89</v>
      </c>
      <c r="H47" s="6">
        <v>1</v>
      </c>
      <c r="I47" s="6" t="s">
        <v>259</v>
      </c>
      <c r="J47" s="6">
        <v>1132</v>
      </c>
      <c r="K47" s="11">
        <f t="shared" si="0"/>
        <v>181.12</v>
      </c>
      <c r="L47" s="20" t="s">
        <v>260</v>
      </c>
      <c r="M47" s="6">
        <v>1490</v>
      </c>
      <c r="N47" s="13" t="s">
        <v>97</v>
      </c>
      <c r="O47" s="6">
        <v>1414</v>
      </c>
      <c r="P47" s="11">
        <f t="shared" si="1"/>
        <v>226.24</v>
      </c>
      <c r="Q47" s="6">
        <v>0</v>
      </c>
      <c r="R47" s="6">
        <v>4700</v>
      </c>
      <c r="S47" s="6">
        <v>1328</v>
      </c>
      <c r="T47" s="6">
        <f t="shared" si="33"/>
        <v>212.48</v>
      </c>
      <c r="U47" s="9">
        <f t="shared" si="34"/>
        <v>-86</v>
      </c>
      <c r="V47" s="16">
        <f t="shared" si="35"/>
        <v>-6.082036775106082</v>
      </c>
      <c r="W47" s="14"/>
    </row>
    <row r="48" spans="1:23" x14ac:dyDescent="0.25">
      <c r="A48" s="19">
        <v>46226</v>
      </c>
      <c r="B48" s="55" t="s">
        <v>316</v>
      </c>
      <c r="C48" s="69" t="s">
        <v>317</v>
      </c>
      <c r="D48" s="17" t="s">
        <v>318</v>
      </c>
      <c r="E48" s="6">
        <v>20000</v>
      </c>
      <c r="F48" s="6">
        <v>160</v>
      </c>
      <c r="G48" s="6">
        <v>92</v>
      </c>
      <c r="H48" s="6">
        <v>1</v>
      </c>
      <c r="I48" s="6" t="s">
        <v>319</v>
      </c>
      <c r="J48" s="6">
        <v>5852</v>
      </c>
      <c r="K48" s="11">
        <f t="shared" si="0"/>
        <v>936.32</v>
      </c>
      <c r="L48" s="20" t="s">
        <v>320</v>
      </c>
      <c r="M48" s="6">
        <v>5940</v>
      </c>
      <c r="N48" s="13" t="s">
        <v>321</v>
      </c>
      <c r="O48" s="6">
        <v>5632</v>
      </c>
      <c r="P48" s="11">
        <f t="shared" si="1"/>
        <v>901.12</v>
      </c>
      <c r="Q48" s="6">
        <v>0</v>
      </c>
      <c r="R48" s="6"/>
      <c r="S48" s="6"/>
      <c r="T48" s="6"/>
      <c r="U48" s="9"/>
      <c r="V48" s="16"/>
      <c r="W48" s="14"/>
    </row>
    <row r="49" spans="1:23" x14ac:dyDescent="0.25">
      <c r="A49" s="19">
        <v>46226</v>
      </c>
      <c r="B49" s="55" t="s">
        <v>322</v>
      </c>
      <c r="C49" s="69" t="s">
        <v>317</v>
      </c>
      <c r="D49" s="17" t="s">
        <v>323</v>
      </c>
      <c r="E49" s="6">
        <v>10000</v>
      </c>
      <c r="F49" s="6">
        <v>135</v>
      </c>
      <c r="G49" s="6">
        <v>72</v>
      </c>
      <c r="H49" s="6">
        <v>1</v>
      </c>
      <c r="I49" s="6" t="s">
        <v>324</v>
      </c>
      <c r="J49" s="6">
        <v>2290</v>
      </c>
      <c r="K49" s="11">
        <f t="shared" si="0"/>
        <v>309.14999999999998</v>
      </c>
      <c r="L49" s="20" t="s">
        <v>325</v>
      </c>
      <c r="M49" s="6">
        <v>2960</v>
      </c>
      <c r="N49" s="13" t="s">
        <v>321</v>
      </c>
      <c r="O49" s="6">
        <v>2642</v>
      </c>
      <c r="P49" s="11">
        <f t="shared" si="1"/>
        <v>356.67</v>
      </c>
      <c r="Q49" s="6">
        <v>0</v>
      </c>
      <c r="R49" s="6"/>
      <c r="S49" s="6"/>
      <c r="T49" s="6"/>
      <c r="U49" s="9"/>
      <c r="V49" s="16"/>
      <c r="W49" s="14"/>
    </row>
    <row r="50" spans="1:23" x14ac:dyDescent="0.25">
      <c r="A50" s="19">
        <v>46225</v>
      </c>
      <c r="B50" s="55" t="s">
        <v>307</v>
      </c>
      <c r="C50" s="69" t="s">
        <v>24</v>
      </c>
      <c r="D50" s="17" t="s">
        <v>308</v>
      </c>
      <c r="E50" s="6">
        <v>62100</v>
      </c>
      <c r="F50" s="6">
        <v>160</v>
      </c>
      <c r="G50" s="6">
        <v>81</v>
      </c>
      <c r="H50" s="6">
        <v>4</v>
      </c>
      <c r="I50" s="6" t="s">
        <v>309</v>
      </c>
      <c r="J50" s="6">
        <v>4000</v>
      </c>
      <c r="K50" s="11">
        <f t="shared" si="0"/>
        <v>640</v>
      </c>
      <c r="L50" s="20" t="s">
        <v>310</v>
      </c>
      <c r="M50" s="6">
        <v>4000</v>
      </c>
      <c r="N50" s="13" t="s">
        <v>139</v>
      </c>
      <c r="O50" s="6">
        <v>3933</v>
      </c>
      <c r="P50" s="11">
        <f t="shared" si="1"/>
        <v>629.28</v>
      </c>
      <c r="Q50" s="6">
        <v>0</v>
      </c>
      <c r="R50" s="6"/>
      <c r="S50" s="6"/>
      <c r="T50" s="6"/>
      <c r="U50" s="9"/>
      <c r="V50" s="16"/>
      <c r="W50" s="14"/>
    </row>
    <row r="51" spans="1:23" x14ac:dyDescent="0.25">
      <c r="A51" s="19">
        <v>46233</v>
      </c>
      <c r="B51" s="55" t="s">
        <v>363</v>
      </c>
      <c r="C51" s="69" t="s">
        <v>206</v>
      </c>
      <c r="D51" s="25" t="s">
        <v>364</v>
      </c>
      <c r="E51" s="15">
        <v>10000</v>
      </c>
      <c r="F51" s="6">
        <v>185</v>
      </c>
      <c r="G51" s="6">
        <v>72</v>
      </c>
      <c r="H51" s="6">
        <v>2</v>
      </c>
      <c r="I51" s="6" t="s">
        <v>212</v>
      </c>
      <c r="J51" s="6">
        <v>1145</v>
      </c>
      <c r="K51" s="11">
        <f t="shared" si="0"/>
        <v>211.82499999999999</v>
      </c>
      <c r="L51" s="20" t="s">
        <v>365</v>
      </c>
      <c r="M51" s="6">
        <v>2260</v>
      </c>
      <c r="N51" s="13" t="s">
        <v>97</v>
      </c>
      <c r="O51" s="6">
        <v>1363</v>
      </c>
      <c r="P51" s="11">
        <f t="shared" si="1"/>
        <v>252.155</v>
      </c>
      <c r="Q51" s="6">
        <v>830</v>
      </c>
      <c r="R51" s="6"/>
      <c r="S51" s="6"/>
      <c r="T51" s="6"/>
      <c r="U51" s="9"/>
      <c r="V51" s="16"/>
      <c r="W51" s="14"/>
    </row>
    <row r="52" spans="1:23" x14ac:dyDescent="0.25">
      <c r="A52" s="19">
        <v>46232</v>
      </c>
      <c r="B52" s="55" t="s">
        <v>334</v>
      </c>
      <c r="C52" s="69" t="s">
        <v>206</v>
      </c>
      <c r="D52" s="17" t="s">
        <v>335</v>
      </c>
      <c r="E52" s="15">
        <v>10000</v>
      </c>
      <c r="F52" s="6">
        <v>135</v>
      </c>
      <c r="G52" s="6">
        <v>69</v>
      </c>
      <c r="H52" s="6">
        <v>1</v>
      </c>
      <c r="I52" s="6" t="s">
        <v>208</v>
      </c>
      <c r="J52" s="6">
        <v>2195</v>
      </c>
      <c r="K52" s="11">
        <f t="shared" si="0"/>
        <v>296.32499999999999</v>
      </c>
      <c r="L52" s="20" t="s">
        <v>336</v>
      </c>
      <c r="M52" s="6">
        <v>2850</v>
      </c>
      <c r="N52" s="13" t="s">
        <v>97</v>
      </c>
      <c r="O52" s="6">
        <v>2346</v>
      </c>
      <c r="P52" s="11">
        <f t="shared" si="1"/>
        <v>316.70999999999998</v>
      </c>
      <c r="Q52" s="6">
        <v>440</v>
      </c>
      <c r="R52" s="6"/>
      <c r="S52" s="6"/>
      <c r="T52" s="6"/>
      <c r="U52" s="9"/>
      <c r="V52" s="16"/>
      <c r="W52" s="14"/>
    </row>
    <row r="53" spans="1:23" x14ac:dyDescent="0.25">
      <c r="A53" s="68">
        <v>46223</v>
      </c>
      <c r="B53" s="6" t="s">
        <v>294</v>
      </c>
      <c r="C53" s="17" t="s">
        <v>20</v>
      </c>
      <c r="D53" s="17" t="s">
        <v>295</v>
      </c>
      <c r="E53" s="15">
        <v>50000</v>
      </c>
      <c r="F53" s="6">
        <v>250</v>
      </c>
      <c r="G53" s="6">
        <v>118</v>
      </c>
      <c r="H53" s="6">
        <v>4</v>
      </c>
      <c r="I53" s="6" t="s">
        <v>296</v>
      </c>
      <c r="J53" s="6">
        <v>4691</v>
      </c>
      <c r="K53" s="11">
        <f t="shared" si="0"/>
        <v>1172.75</v>
      </c>
      <c r="L53" s="20" t="s">
        <v>297</v>
      </c>
      <c r="M53" s="6">
        <v>6300</v>
      </c>
      <c r="N53" s="13" t="s">
        <v>21</v>
      </c>
      <c r="O53" s="6">
        <v>4967</v>
      </c>
      <c r="P53" s="11">
        <f t="shared" si="1"/>
        <v>1241.75</v>
      </c>
      <c r="Q53" s="6">
        <v>1140</v>
      </c>
      <c r="R53" s="6">
        <v>52250</v>
      </c>
      <c r="S53" s="6">
        <v>4894</v>
      </c>
      <c r="T53" s="6">
        <f t="shared" ref="T53:T55" si="36">S53*F53/1000</f>
        <v>1223.5</v>
      </c>
      <c r="U53" s="9">
        <f t="shared" ref="U53:U55" si="37">S53-O53</f>
        <v>-73</v>
      </c>
      <c r="V53" s="16">
        <f t="shared" ref="V53:V55" si="38">U53/O53*100</f>
        <v>-1.4697000201328769</v>
      </c>
      <c r="W53" s="14"/>
    </row>
    <row r="54" spans="1:23" x14ac:dyDescent="0.25">
      <c r="A54" s="68">
        <v>46224</v>
      </c>
      <c r="B54" s="6" t="s">
        <v>311</v>
      </c>
      <c r="C54" s="17" t="s">
        <v>58</v>
      </c>
      <c r="D54" s="17" t="s">
        <v>312</v>
      </c>
      <c r="E54" s="15">
        <v>19536</v>
      </c>
      <c r="F54" s="6">
        <v>1926</v>
      </c>
      <c r="G54" s="6">
        <v>124</v>
      </c>
      <c r="H54" s="6">
        <v>4</v>
      </c>
      <c r="I54" s="6" t="s">
        <v>313</v>
      </c>
      <c r="J54" s="6">
        <v>1926</v>
      </c>
      <c r="K54" s="11">
        <f t="shared" si="0"/>
        <v>3709.4760000000001</v>
      </c>
      <c r="L54" s="20" t="s">
        <v>314</v>
      </c>
      <c r="M54" s="6">
        <v>2130</v>
      </c>
      <c r="N54" s="13" t="s">
        <v>21</v>
      </c>
      <c r="O54" s="6">
        <v>2130</v>
      </c>
      <c r="P54" s="11">
        <f t="shared" si="1"/>
        <v>4102.38</v>
      </c>
      <c r="Q54" s="6">
        <v>370</v>
      </c>
      <c r="R54" s="6">
        <v>18820</v>
      </c>
      <c r="S54" s="6">
        <v>1852</v>
      </c>
      <c r="T54" s="6">
        <f t="shared" si="36"/>
        <v>3566.9520000000002</v>
      </c>
      <c r="U54" s="9">
        <f t="shared" si="37"/>
        <v>-278</v>
      </c>
      <c r="V54" s="16">
        <f t="shared" si="38"/>
        <v>-13.051643192488264</v>
      </c>
      <c r="W54" s="14"/>
    </row>
    <row r="55" spans="1:23" x14ac:dyDescent="0.25">
      <c r="A55" s="68">
        <v>46224</v>
      </c>
      <c r="B55" s="6" t="s">
        <v>290</v>
      </c>
      <c r="C55" s="13" t="s">
        <v>58</v>
      </c>
      <c r="D55" s="17" t="s">
        <v>291</v>
      </c>
      <c r="E55" s="15">
        <v>21000</v>
      </c>
      <c r="F55" s="6">
        <v>235</v>
      </c>
      <c r="G55" s="6">
        <v>69</v>
      </c>
      <c r="H55" s="6">
        <v>2</v>
      </c>
      <c r="I55" s="6" t="s">
        <v>292</v>
      </c>
      <c r="J55" s="6">
        <v>2304</v>
      </c>
      <c r="K55" s="11">
        <f t="shared" si="0"/>
        <v>541.44000000000005</v>
      </c>
      <c r="L55" s="20" t="s">
        <v>293</v>
      </c>
      <c r="M55" s="6">
        <v>3140</v>
      </c>
      <c r="N55" s="13" t="s">
        <v>21</v>
      </c>
      <c r="O55" s="6">
        <v>2522</v>
      </c>
      <c r="P55" s="11">
        <f t="shared" si="1"/>
        <v>592.66999999999996</v>
      </c>
      <c r="Q55" s="6">
        <v>480</v>
      </c>
      <c r="R55" s="6">
        <v>17590</v>
      </c>
      <c r="S55" s="6">
        <v>1927</v>
      </c>
      <c r="T55" s="6">
        <f t="shared" si="36"/>
        <v>452.84500000000003</v>
      </c>
      <c r="U55" s="9">
        <f t="shared" si="37"/>
        <v>-595</v>
      </c>
      <c r="V55" s="16">
        <f t="shared" si="38"/>
        <v>-23.592386994448848</v>
      </c>
      <c r="W55" s="14"/>
    </row>
    <row r="56" spans="1:23" x14ac:dyDescent="0.25">
      <c r="A56" s="68">
        <v>46224</v>
      </c>
      <c r="B56" s="6" t="s">
        <v>304</v>
      </c>
      <c r="C56" s="17" t="s">
        <v>301</v>
      </c>
      <c r="D56" s="17" t="s">
        <v>305</v>
      </c>
      <c r="E56" s="15">
        <v>3000</v>
      </c>
      <c r="F56" s="6">
        <v>115</v>
      </c>
      <c r="G56" s="6">
        <v>108</v>
      </c>
      <c r="H56" s="6">
        <v>4</v>
      </c>
      <c r="I56" s="6" t="s">
        <v>302</v>
      </c>
      <c r="J56" s="6">
        <v>258</v>
      </c>
      <c r="K56" s="11">
        <f t="shared" si="0"/>
        <v>29.67</v>
      </c>
      <c r="L56" s="20" t="s">
        <v>306</v>
      </c>
      <c r="M56" s="6">
        <v>1740</v>
      </c>
      <c r="N56" s="13" t="s">
        <v>21</v>
      </c>
      <c r="O56" s="6">
        <v>440</v>
      </c>
      <c r="P56" s="11">
        <f t="shared" si="1"/>
        <v>50.6</v>
      </c>
      <c r="Q56" s="6">
        <v>1300</v>
      </c>
      <c r="R56" s="6"/>
      <c r="S56" s="6"/>
      <c r="T56" s="6"/>
      <c r="U56" s="9"/>
      <c r="V56" s="16"/>
      <c r="W56" s="14"/>
    </row>
    <row r="57" spans="1:23" x14ac:dyDescent="0.25">
      <c r="A57" s="68">
        <v>46224</v>
      </c>
      <c r="B57" s="6" t="s">
        <v>299</v>
      </c>
      <c r="C57" s="17" t="s">
        <v>301</v>
      </c>
      <c r="D57" s="17" t="s">
        <v>300</v>
      </c>
      <c r="E57" s="15">
        <v>3000</v>
      </c>
      <c r="F57" s="6">
        <v>115</v>
      </c>
      <c r="G57" s="6">
        <v>108</v>
      </c>
      <c r="H57" s="6">
        <v>4</v>
      </c>
      <c r="I57" s="6" t="s">
        <v>302</v>
      </c>
      <c r="J57" s="6">
        <v>258</v>
      </c>
      <c r="K57" s="11">
        <f t="shared" si="0"/>
        <v>29.67</v>
      </c>
      <c r="L57" s="20" t="s">
        <v>303</v>
      </c>
      <c r="M57" s="6">
        <v>2100</v>
      </c>
      <c r="N57" s="13" t="s">
        <v>21</v>
      </c>
      <c r="O57" s="6">
        <v>353</v>
      </c>
      <c r="P57" s="11">
        <f t="shared" si="1"/>
        <v>40.594999999999999</v>
      </c>
      <c r="Q57" s="6">
        <v>1740</v>
      </c>
      <c r="R57" s="6"/>
      <c r="S57" s="6"/>
      <c r="T57" s="6"/>
      <c r="U57" s="9"/>
      <c r="V57" s="16"/>
      <c r="W57" s="14"/>
    </row>
    <row r="58" spans="1:23" x14ac:dyDescent="0.25">
      <c r="A58" s="19">
        <v>46225</v>
      </c>
      <c r="B58" s="70" t="s">
        <v>315</v>
      </c>
      <c r="C58" s="71" t="s">
        <v>117</v>
      </c>
      <c r="D58" s="72" t="s">
        <v>175</v>
      </c>
      <c r="E58" s="6">
        <v>67080</v>
      </c>
      <c r="F58" s="6">
        <v>190</v>
      </c>
      <c r="G58" s="6">
        <v>75</v>
      </c>
      <c r="H58" s="6">
        <v>4</v>
      </c>
      <c r="I58" s="6" t="s">
        <v>176</v>
      </c>
      <c r="J58" s="6">
        <v>4000</v>
      </c>
      <c r="K58" s="11">
        <f t="shared" si="0"/>
        <v>760</v>
      </c>
      <c r="L58" s="20" t="s">
        <v>187</v>
      </c>
      <c r="M58" s="6">
        <v>4000</v>
      </c>
      <c r="N58" s="13" t="s">
        <v>177</v>
      </c>
      <c r="O58" s="6">
        <v>3948</v>
      </c>
      <c r="P58" s="11">
        <f t="shared" si="1"/>
        <v>750.12</v>
      </c>
      <c r="Q58" s="6">
        <v>0</v>
      </c>
      <c r="R58" s="5"/>
      <c r="S58" s="6"/>
      <c r="T58" s="6"/>
      <c r="U58" s="9"/>
      <c r="V58" s="12"/>
      <c r="W58" s="14"/>
    </row>
    <row r="59" spans="1:23" x14ac:dyDescent="0.25">
      <c r="A59" s="19">
        <v>46226</v>
      </c>
      <c r="B59" s="6" t="s">
        <v>326</v>
      </c>
      <c r="C59" s="13" t="s">
        <v>49</v>
      </c>
      <c r="D59" s="10" t="s">
        <v>55</v>
      </c>
      <c r="E59" s="6">
        <v>100000</v>
      </c>
      <c r="F59" s="6">
        <v>205</v>
      </c>
      <c r="G59" s="6">
        <v>66</v>
      </c>
      <c r="H59" s="6">
        <v>4</v>
      </c>
      <c r="I59" s="6" t="s">
        <v>51</v>
      </c>
      <c r="J59" s="6">
        <v>5248</v>
      </c>
      <c r="K59" s="11">
        <f t="shared" si="0"/>
        <v>1075.8399999999999</v>
      </c>
      <c r="L59" s="20" t="s">
        <v>327</v>
      </c>
      <c r="M59" s="6">
        <v>6000</v>
      </c>
      <c r="N59" s="13" t="s">
        <v>328</v>
      </c>
      <c r="O59" s="6">
        <v>5455</v>
      </c>
      <c r="P59" s="11">
        <f t="shared" si="1"/>
        <v>1118.2750000000001</v>
      </c>
      <c r="Q59" s="6">
        <v>300</v>
      </c>
      <c r="R59" s="5"/>
      <c r="S59" s="5"/>
      <c r="T59" s="5"/>
      <c r="U59" s="5"/>
      <c r="V59" s="49"/>
      <c r="W59" s="4"/>
    </row>
    <row r="60" spans="1:23" x14ac:dyDescent="0.25">
      <c r="A60" s="19">
        <v>46226</v>
      </c>
      <c r="B60" s="6" t="s">
        <v>329</v>
      </c>
      <c r="C60" s="13" t="s">
        <v>49</v>
      </c>
      <c r="D60" s="17" t="s">
        <v>50</v>
      </c>
      <c r="E60" s="6">
        <v>100000</v>
      </c>
      <c r="F60" s="6">
        <v>205</v>
      </c>
      <c r="G60" s="6">
        <v>66</v>
      </c>
      <c r="H60" s="6">
        <v>4</v>
      </c>
      <c r="I60" s="6" t="s">
        <v>51</v>
      </c>
      <c r="J60" s="6">
        <v>5248</v>
      </c>
      <c r="K60" s="11">
        <f t="shared" si="0"/>
        <v>1075.8399999999999</v>
      </c>
      <c r="L60" s="44" t="s">
        <v>330</v>
      </c>
      <c r="M60" s="6">
        <v>3000</v>
      </c>
      <c r="N60" s="13" t="s">
        <v>328</v>
      </c>
      <c r="O60" s="6">
        <v>5450</v>
      </c>
      <c r="P60" s="11">
        <f t="shared" si="1"/>
        <v>1117.25</v>
      </c>
      <c r="Q60" s="6">
        <v>300</v>
      </c>
      <c r="R60" s="5"/>
      <c r="S60" s="5"/>
      <c r="T60" s="5"/>
      <c r="U60" s="5"/>
      <c r="V60" s="5"/>
      <c r="W60" s="4"/>
    </row>
    <row r="61" spans="1:23" x14ac:dyDescent="0.25">
      <c r="A61" s="19">
        <v>46229</v>
      </c>
      <c r="B61" s="6" t="s">
        <v>378</v>
      </c>
      <c r="C61" s="13" t="s">
        <v>206</v>
      </c>
      <c r="D61" s="17" t="s">
        <v>379</v>
      </c>
      <c r="E61" s="6">
        <v>5000</v>
      </c>
      <c r="F61" s="6">
        <v>160</v>
      </c>
      <c r="G61" s="6">
        <v>89</v>
      </c>
      <c r="H61" s="6">
        <v>1</v>
      </c>
      <c r="I61" s="6" t="s">
        <v>259</v>
      </c>
      <c r="J61" s="6">
        <v>1415</v>
      </c>
      <c r="K61" s="11">
        <f t="shared" si="0"/>
        <v>226.4</v>
      </c>
      <c r="L61" s="44" t="s">
        <v>380</v>
      </c>
      <c r="M61" s="6">
        <v>2410</v>
      </c>
      <c r="N61" s="22" t="s">
        <v>97</v>
      </c>
      <c r="O61" s="6">
        <v>1583</v>
      </c>
      <c r="P61" s="11">
        <f t="shared" si="1"/>
        <v>253.28</v>
      </c>
      <c r="Q61" s="6">
        <v>740</v>
      </c>
      <c r="R61" s="5"/>
      <c r="S61" s="5"/>
      <c r="T61" s="5"/>
      <c r="U61" s="5"/>
      <c r="V61" s="5"/>
      <c r="W61" s="4"/>
    </row>
    <row r="62" spans="1:23" x14ac:dyDescent="0.25">
      <c r="A62" s="19">
        <v>46232</v>
      </c>
      <c r="B62" s="6" t="s">
        <v>396</v>
      </c>
      <c r="C62" s="13" t="s">
        <v>206</v>
      </c>
      <c r="D62" s="25" t="s">
        <v>397</v>
      </c>
      <c r="E62" s="6">
        <v>4000</v>
      </c>
      <c r="F62" s="6">
        <v>135</v>
      </c>
      <c r="G62" s="6">
        <v>69</v>
      </c>
      <c r="H62" s="6">
        <v>1</v>
      </c>
      <c r="I62" s="6" t="s">
        <v>208</v>
      </c>
      <c r="J62" s="6">
        <v>878</v>
      </c>
      <c r="K62" s="11">
        <f t="shared" si="0"/>
        <v>118.53</v>
      </c>
      <c r="L62" s="44" t="s">
        <v>398</v>
      </c>
      <c r="M62" s="6">
        <v>2130</v>
      </c>
      <c r="N62" s="22" t="s">
        <v>97</v>
      </c>
      <c r="O62" s="6">
        <v>1009</v>
      </c>
      <c r="P62" s="11">
        <f t="shared" si="1"/>
        <v>136.215</v>
      </c>
      <c r="Q62" s="6">
        <v>1040</v>
      </c>
      <c r="R62" s="5"/>
      <c r="S62" s="5"/>
      <c r="T62" s="5"/>
      <c r="U62" s="5"/>
      <c r="V62" s="5"/>
      <c r="W62" s="4"/>
    </row>
    <row r="63" spans="1:23" x14ac:dyDescent="0.25">
      <c r="A63" s="19">
        <v>46232</v>
      </c>
      <c r="B63" s="6" t="s">
        <v>393</v>
      </c>
      <c r="C63" s="13" t="s">
        <v>206</v>
      </c>
      <c r="D63" s="17" t="s">
        <v>394</v>
      </c>
      <c r="E63" s="6">
        <v>6000</v>
      </c>
      <c r="F63" s="6">
        <v>230</v>
      </c>
      <c r="G63" s="6">
        <v>124</v>
      </c>
      <c r="H63" s="6">
        <v>6</v>
      </c>
      <c r="I63" s="6" t="s">
        <v>239</v>
      </c>
      <c r="J63" s="6">
        <v>394</v>
      </c>
      <c r="K63" s="11">
        <f t="shared" si="0"/>
        <v>90.62</v>
      </c>
      <c r="L63" s="44" t="s">
        <v>395</v>
      </c>
      <c r="M63" s="6">
        <v>830</v>
      </c>
      <c r="N63" s="22" t="s">
        <v>97</v>
      </c>
      <c r="O63" s="6">
        <v>442</v>
      </c>
      <c r="P63" s="11">
        <f t="shared" si="1"/>
        <v>101.66</v>
      </c>
      <c r="Q63" s="6">
        <v>290</v>
      </c>
      <c r="R63" s="5"/>
      <c r="S63" s="5"/>
      <c r="T63" s="5"/>
      <c r="U63" s="5"/>
      <c r="V63" s="5"/>
      <c r="W63" s="4"/>
    </row>
    <row r="64" spans="1:23" x14ac:dyDescent="0.25">
      <c r="A64" s="26">
        <v>46232</v>
      </c>
      <c r="B64" s="6" t="s">
        <v>331</v>
      </c>
      <c r="C64" s="22" t="s">
        <v>206</v>
      </c>
      <c r="D64" s="17" t="s">
        <v>332</v>
      </c>
      <c r="E64" s="6">
        <v>5000</v>
      </c>
      <c r="F64" s="6">
        <v>230</v>
      </c>
      <c r="G64" s="6">
        <v>124</v>
      </c>
      <c r="H64" s="6">
        <v>6</v>
      </c>
      <c r="I64" s="6" t="s">
        <v>239</v>
      </c>
      <c r="J64" s="6">
        <v>329</v>
      </c>
      <c r="K64" s="11">
        <f t="shared" si="0"/>
        <v>75.67</v>
      </c>
      <c r="L64" s="44" t="s">
        <v>333</v>
      </c>
      <c r="M64" s="6">
        <v>1690</v>
      </c>
      <c r="N64" s="22" t="s">
        <v>97</v>
      </c>
      <c r="O64" s="6">
        <v>448</v>
      </c>
      <c r="P64" s="11">
        <f t="shared" si="1"/>
        <v>103.04</v>
      </c>
      <c r="Q64" s="6">
        <v>1150</v>
      </c>
      <c r="R64" s="5"/>
      <c r="S64" s="5"/>
      <c r="T64" s="5"/>
      <c r="U64" s="5"/>
      <c r="V64" s="62"/>
      <c r="W64" s="4"/>
    </row>
    <row r="65" spans="1:23" x14ac:dyDescent="0.25">
      <c r="A65" s="26">
        <v>46232</v>
      </c>
      <c r="B65" s="6" t="s">
        <v>356</v>
      </c>
      <c r="C65" s="22" t="s">
        <v>206</v>
      </c>
      <c r="D65" s="17" t="s">
        <v>357</v>
      </c>
      <c r="E65" s="6">
        <v>5000</v>
      </c>
      <c r="F65" s="6">
        <v>230</v>
      </c>
      <c r="G65" s="6">
        <v>124</v>
      </c>
      <c r="H65" s="6">
        <v>6</v>
      </c>
      <c r="I65" s="6" t="s">
        <v>239</v>
      </c>
      <c r="J65" s="6">
        <v>329</v>
      </c>
      <c r="K65" s="11">
        <f t="shared" si="0"/>
        <v>75.67</v>
      </c>
      <c r="L65" s="44" t="s">
        <v>358</v>
      </c>
      <c r="M65" s="6">
        <v>1200</v>
      </c>
      <c r="N65" s="22" t="s">
        <v>97</v>
      </c>
      <c r="O65" s="6">
        <v>397</v>
      </c>
      <c r="P65" s="11">
        <f t="shared" si="1"/>
        <v>91.31</v>
      </c>
      <c r="Q65" s="6">
        <v>750</v>
      </c>
      <c r="R65" s="5"/>
      <c r="S65" s="5"/>
      <c r="T65" s="5"/>
      <c r="U65" s="5"/>
      <c r="V65" s="62"/>
      <c r="W65" s="4"/>
    </row>
    <row r="66" spans="1:23" x14ac:dyDescent="0.25">
      <c r="A66" s="26">
        <v>46232</v>
      </c>
      <c r="B66" s="6" t="s">
        <v>337</v>
      </c>
      <c r="C66" s="22" t="s">
        <v>206</v>
      </c>
      <c r="D66" s="17" t="s">
        <v>338</v>
      </c>
      <c r="E66" s="6" t="s">
        <v>339</v>
      </c>
      <c r="F66" s="6">
        <v>140</v>
      </c>
      <c r="G66" s="6">
        <v>92</v>
      </c>
      <c r="H66" s="6">
        <v>4</v>
      </c>
      <c r="I66" s="6" t="s">
        <v>340</v>
      </c>
      <c r="J66" s="6">
        <v>366</v>
      </c>
      <c r="K66" s="11">
        <f t="shared" si="0"/>
        <v>51.24</v>
      </c>
      <c r="L66" s="44" t="s">
        <v>341</v>
      </c>
      <c r="M66" s="6">
        <v>1670</v>
      </c>
      <c r="N66" s="22" t="s">
        <v>97</v>
      </c>
      <c r="O66" s="6">
        <v>441</v>
      </c>
      <c r="P66" s="11">
        <f t="shared" si="1"/>
        <v>61.74</v>
      </c>
      <c r="Q66" s="6">
        <v>1180</v>
      </c>
      <c r="R66" s="5"/>
      <c r="S66" s="5"/>
      <c r="T66" s="5"/>
      <c r="U66" s="5"/>
      <c r="V66" s="62"/>
      <c r="W66" s="4"/>
    </row>
    <row r="67" spans="1:23" x14ac:dyDescent="0.25">
      <c r="A67" s="26">
        <v>46230</v>
      </c>
      <c r="B67" s="6" t="s">
        <v>349</v>
      </c>
      <c r="C67" s="22" t="s">
        <v>24</v>
      </c>
      <c r="D67" s="10" t="s">
        <v>350</v>
      </c>
      <c r="E67" s="6">
        <v>15000</v>
      </c>
      <c r="F67" s="6">
        <v>200</v>
      </c>
      <c r="G67" s="6">
        <v>92</v>
      </c>
      <c r="H67" s="6">
        <v>3</v>
      </c>
      <c r="I67" s="6" t="s">
        <v>351</v>
      </c>
      <c r="J67" s="6">
        <v>1463</v>
      </c>
      <c r="K67" s="11">
        <f t="shared" si="0"/>
        <v>292.60000000000002</v>
      </c>
      <c r="L67" s="44" t="s">
        <v>352</v>
      </c>
      <c r="M67" s="6">
        <v>2840</v>
      </c>
      <c r="N67" s="22" t="s">
        <v>353</v>
      </c>
      <c r="O67" s="6">
        <v>1657</v>
      </c>
      <c r="P67" s="11">
        <f t="shared" si="1"/>
        <v>331.4</v>
      </c>
      <c r="Q67" s="6">
        <v>1060</v>
      </c>
      <c r="R67" s="5"/>
      <c r="S67" s="5"/>
      <c r="T67" s="5"/>
      <c r="U67" s="5"/>
      <c r="V67" s="62"/>
      <c r="W67" s="4"/>
    </row>
    <row r="68" spans="1:23" x14ac:dyDescent="0.25">
      <c r="A68" s="26">
        <v>46233</v>
      </c>
      <c r="B68" s="6" t="s">
        <v>372</v>
      </c>
      <c r="C68" s="22" t="s">
        <v>206</v>
      </c>
      <c r="D68" s="17" t="s">
        <v>373</v>
      </c>
      <c r="E68" s="6">
        <v>15000</v>
      </c>
      <c r="F68" s="6">
        <v>185</v>
      </c>
      <c r="G68" s="6">
        <v>72</v>
      </c>
      <c r="H68" s="6">
        <v>2</v>
      </c>
      <c r="I68" s="6" t="s">
        <v>212</v>
      </c>
      <c r="J68" s="6">
        <v>1718</v>
      </c>
      <c r="K68" s="11">
        <f t="shared" si="0"/>
        <v>317.83</v>
      </c>
      <c r="L68" s="44" t="s">
        <v>374</v>
      </c>
      <c r="M68" s="6">
        <v>3300</v>
      </c>
      <c r="N68" s="22" t="s">
        <v>97</v>
      </c>
      <c r="O68" s="6">
        <v>1945</v>
      </c>
      <c r="P68" s="11">
        <f t="shared" si="1"/>
        <v>359.82499999999999</v>
      </c>
      <c r="Q68" s="6">
        <v>1260</v>
      </c>
      <c r="R68" s="5"/>
      <c r="S68" s="5"/>
      <c r="T68" s="5"/>
      <c r="U68" s="5"/>
      <c r="V68" s="62"/>
      <c r="W68" s="4"/>
    </row>
    <row r="69" spans="1:23" x14ac:dyDescent="0.25">
      <c r="A69" s="26">
        <v>46233</v>
      </c>
      <c r="B69" s="6" t="s">
        <v>342</v>
      </c>
      <c r="C69" s="22" t="s">
        <v>206</v>
      </c>
      <c r="D69" s="17" t="s">
        <v>343</v>
      </c>
      <c r="E69" s="6">
        <v>5000</v>
      </c>
      <c r="F69" s="6">
        <v>170</v>
      </c>
      <c r="G69" s="6">
        <v>85</v>
      </c>
      <c r="H69" s="6">
        <v>2</v>
      </c>
      <c r="I69" s="6" t="s">
        <v>251</v>
      </c>
      <c r="J69" s="6">
        <v>676</v>
      </c>
      <c r="K69" s="11">
        <f t="shared" si="0"/>
        <v>114.92</v>
      </c>
      <c r="L69" s="44" t="s">
        <v>344</v>
      </c>
      <c r="M69" s="6">
        <v>1350</v>
      </c>
      <c r="N69" s="22" t="s">
        <v>345</v>
      </c>
      <c r="O69" s="6">
        <v>838</v>
      </c>
      <c r="P69" s="11">
        <f t="shared" si="1"/>
        <v>142.46</v>
      </c>
      <c r="Q69" s="6">
        <v>390</v>
      </c>
      <c r="R69" s="5"/>
      <c r="S69" s="5"/>
      <c r="T69" s="5"/>
      <c r="U69" s="5"/>
      <c r="V69" s="62"/>
      <c r="W69" s="4"/>
    </row>
    <row r="70" spans="1:23" x14ac:dyDescent="0.25">
      <c r="A70" s="26">
        <v>46232</v>
      </c>
      <c r="B70" s="6" t="s">
        <v>359</v>
      </c>
      <c r="C70" s="73" t="s">
        <v>206</v>
      </c>
      <c r="D70" s="25" t="s">
        <v>360</v>
      </c>
      <c r="E70" s="6">
        <v>15000</v>
      </c>
      <c r="F70" s="6">
        <v>195</v>
      </c>
      <c r="G70" s="6">
        <v>124</v>
      </c>
      <c r="H70" s="6">
        <v>6</v>
      </c>
      <c r="I70" s="6" t="s">
        <v>361</v>
      </c>
      <c r="J70" s="6">
        <v>986</v>
      </c>
      <c r="K70" s="11">
        <f t="shared" si="0"/>
        <v>192.27</v>
      </c>
      <c r="L70" s="44" t="s">
        <v>362</v>
      </c>
      <c r="M70" s="6">
        <v>1150</v>
      </c>
      <c r="N70" s="22" t="s">
        <v>97</v>
      </c>
      <c r="O70" s="6">
        <v>1048</v>
      </c>
      <c r="P70" s="11">
        <f t="shared" si="1"/>
        <v>204.36</v>
      </c>
      <c r="Q70" s="6">
        <v>0</v>
      </c>
      <c r="R70" s="5"/>
      <c r="S70" s="5"/>
      <c r="T70" s="5"/>
      <c r="U70" s="5"/>
      <c r="V70" s="62"/>
      <c r="W70" s="4"/>
    </row>
    <row r="71" spans="1:23" x14ac:dyDescent="0.25">
      <c r="A71" s="26"/>
      <c r="B71" s="6"/>
      <c r="C71" s="22"/>
      <c r="D71" s="17"/>
      <c r="E71" s="6"/>
      <c r="F71" s="6"/>
      <c r="G71" s="6"/>
      <c r="H71" s="6"/>
      <c r="I71" s="6"/>
      <c r="J71" s="6"/>
      <c r="K71" s="11"/>
      <c r="L71" s="44"/>
      <c r="M71" s="6"/>
      <c r="N71" s="22"/>
      <c r="O71" s="6"/>
      <c r="P71" s="11"/>
      <c r="Q71" s="6"/>
      <c r="R71" s="5"/>
      <c r="S71" s="5"/>
      <c r="T71" s="6"/>
      <c r="U71" s="9"/>
      <c r="V71" s="16"/>
      <c r="W71" s="4"/>
    </row>
    <row r="72" spans="1:23" x14ac:dyDescent="0.25">
      <c r="A72" s="26"/>
      <c r="B72" s="6"/>
      <c r="C72" s="22"/>
      <c r="D72" s="48"/>
      <c r="E72" s="6"/>
      <c r="F72" s="6"/>
      <c r="G72" s="6"/>
      <c r="H72" s="6"/>
      <c r="I72" s="6"/>
      <c r="J72" s="6"/>
      <c r="K72" s="11"/>
      <c r="L72" s="44"/>
      <c r="M72" s="6"/>
      <c r="N72" s="22"/>
      <c r="O72" s="6"/>
      <c r="P72" s="11"/>
      <c r="Q72" s="6"/>
      <c r="R72" s="6"/>
      <c r="S72" s="6"/>
      <c r="T72" s="6"/>
      <c r="U72" s="9"/>
      <c r="V72" s="16"/>
      <c r="W72" s="4"/>
    </row>
    <row r="73" spans="1:23" x14ac:dyDescent="0.25">
      <c r="A73" s="45"/>
      <c r="B73" s="6"/>
      <c r="C73" s="46"/>
      <c r="D73" s="47"/>
      <c r="E73" s="5"/>
      <c r="F73" s="5"/>
      <c r="G73" s="5"/>
      <c r="H73" s="5"/>
      <c r="I73" s="5"/>
      <c r="J73" s="5"/>
      <c r="K73" s="5"/>
      <c r="L73" s="46"/>
      <c r="M73" s="5"/>
      <c r="N73" s="46"/>
      <c r="O73" s="5"/>
      <c r="P73" s="5"/>
      <c r="Q73" s="5"/>
      <c r="R73" s="5"/>
      <c r="S73" s="5"/>
      <c r="T73" s="5"/>
      <c r="U73" s="5"/>
      <c r="V73" s="62"/>
      <c r="W73" s="4"/>
    </row>
    <row r="74" spans="1:23" x14ac:dyDescent="0.25">
      <c r="A74" s="45"/>
      <c r="B74" s="6"/>
      <c r="C74" s="46"/>
      <c r="D74" s="47"/>
      <c r="E74" s="5"/>
      <c r="F74" s="5"/>
      <c r="G74" s="5"/>
      <c r="H74" s="5"/>
      <c r="I74" s="5"/>
      <c r="J74" s="5"/>
      <c r="K74" s="5"/>
      <c r="L74" s="46"/>
      <c r="M74" s="5"/>
      <c r="N74" s="46"/>
      <c r="O74" s="5"/>
      <c r="P74" s="5"/>
      <c r="Q74" s="5"/>
      <c r="R74" s="4"/>
      <c r="S74" s="4"/>
      <c r="T74" s="4"/>
      <c r="U74" s="4"/>
      <c r="V74" s="53"/>
      <c r="W74" s="4"/>
    </row>
    <row r="75" spans="1:23" x14ac:dyDescent="0.25">
      <c r="A75" s="45"/>
      <c r="B75" s="6"/>
      <c r="C75" s="46"/>
      <c r="D75" s="47"/>
      <c r="E75" s="5"/>
      <c r="F75" s="5"/>
      <c r="G75" s="5"/>
      <c r="H75" s="5"/>
      <c r="I75" s="5"/>
      <c r="J75" s="5"/>
      <c r="K75" s="5"/>
      <c r="L75" s="46"/>
      <c r="M75" s="5"/>
      <c r="N75" s="46"/>
      <c r="O75" s="5"/>
      <c r="P75" s="5"/>
      <c r="Q75" s="5"/>
      <c r="R75" s="5"/>
      <c r="S75" s="5"/>
      <c r="T75" s="5"/>
      <c r="U75" s="5"/>
      <c r="V75" s="62"/>
      <c r="W75" s="4"/>
    </row>
    <row r="76" spans="1:23" x14ac:dyDescent="0.25">
      <c r="A76" s="45"/>
      <c r="B76" s="6"/>
      <c r="C76" s="46"/>
      <c r="D76" s="47"/>
      <c r="E76" s="5"/>
      <c r="F76" s="5"/>
      <c r="G76" s="5"/>
      <c r="H76" s="5"/>
      <c r="I76" s="5"/>
      <c r="J76" s="5"/>
      <c r="K76" s="5"/>
      <c r="L76" s="46"/>
      <c r="M76" s="5"/>
      <c r="N76" s="46"/>
      <c r="O76" s="5"/>
      <c r="P76" s="5"/>
      <c r="Q76" s="5"/>
      <c r="R76" s="5"/>
      <c r="S76" s="5"/>
      <c r="T76" s="5"/>
      <c r="U76" s="5"/>
      <c r="V76" s="62"/>
      <c r="W76" s="4"/>
    </row>
    <row r="77" spans="1:23" x14ac:dyDescent="0.25">
      <c r="A77" s="45"/>
      <c r="B77" s="6"/>
      <c r="C77" s="46"/>
      <c r="D77" s="47"/>
      <c r="E77" s="5"/>
      <c r="F77" s="5"/>
      <c r="G77" s="5"/>
      <c r="H77" s="5"/>
      <c r="I77" s="5"/>
      <c r="J77" s="5"/>
      <c r="K77" s="5"/>
      <c r="L77" s="46"/>
      <c r="M77" s="5"/>
      <c r="N77" s="46"/>
      <c r="O77" s="5"/>
      <c r="P77" s="5"/>
      <c r="Q77" s="5"/>
      <c r="R77" s="5"/>
      <c r="S77" s="5"/>
      <c r="T77" s="5"/>
      <c r="U77" s="5"/>
      <c r="V77" s="62"/>
      <c r="W77" s="4"/>
    </row>
    <row r="78" spans="1:23" x14ac:dyDescent="0.25">
      <c r="A78" s="45"/>
      <c r="B78" s="6"/>
      <c r="C78" s="46"/>
      <c r="D78" s="47"/>
      <c r="E78" s="5"/>
      <c r="F78" s="5"/>
      <c r="G78" s="5"/>
      <c r="H78" s="5"/>
      <c r="I78" s="5"/>
      <c r="J78" s="5"/>
      <c r="K78" s="5"/>
      <c r="L78" s="46"/>
      <c r="M78" s="5"/>
      <c r="N78" s="46"/>
      <c r="O78" s="5"/>
      <c r="P78" s="5"/>
      <c r="Q78" s="5"/>
      <c r="R78" s="5"/>
      <c r="S78" s="5"/>
      <c r="T78" s="5"/>
      <c r="U78" s="5"/>
      <c r="V78" s="62"/>
      <c r="W78" s="4"/>
    </row>
    <row r="79" spans="1:23" x14ac:dyDescent="0.25">
      <c r="A79" s="45"/>
      <c r="B79" s="6"/>
      <c r="C79" s="4"/>
      <c r="D79" s="17"/>
      <c r="E79" s="5"/>
      <c r="F79" s="5"/>
      <c r="G79" s="5"/>
      <c r="H79" s="5"/>
      <c r="I79" s="5"/>
      <c r="J79" s="5"/>
      <c r="K79" s="5"/>
      <c r="L79" s="4"/>
      <c r="M79" s="5"/>
      <c r="N79" s="22"/>
      <c r="O79" s="5"/>
      <c r="P79" s="5"/>
      <c r="Q79" s="5"/>
      <c r="R79" s="5"/>
      <c r="S79" s="5"/>
      <c r="T79" s="6"/>
      <c r="U79" s="9"/>
      <c r="V79" s="64"/>
      <c r="W79" s="4"/>
    </row>
    <row r="80" spans="1:23" x14ac:dyDescent="0.25">
      <c r="A80" s="8"/>
      <c r="B80" s="6"/>
      <c r="C80" s="4"/>
      <c r="D80" s="17"/>
      <c r="E80" s="5"/>
      <c r="F80" s="5"/>
      <c r="G80" s="5"/>
      <c r="H80" s="5"/>
      <c r="I80" s="5"/>
      <c r="J80" s="5"/>
      <c r="K80" s="5"/>
      <c r="L80" s="46"/>
      <c r="M80" s="5"/>
      <c r="N80" s="22"/>
      <c r="O80" s="5"/>
      <c r="P80" s="5"/>
      <c r="Q80" s="5"/>
      <c r="R80" s="5"/>
      <c r="S80" s="5"/>
      <c r="T80" s="5"/>
      <c r="U80" s="5"/>
      <c r="V80" s="62"/>
      <c r="W80" s="4"/>
    </row>
    <row r="81" spans="1:23" x14ac:dyDescent="0.25">
      <c r="A81" s="8"/>
      <c r="B81" s="6"/>
      <c r="C81" s="4"/>
      <c r="D81" s="17"/>
      <c r="E81" s="5"/>
      <c r="F81" s="5"/>
      <c r="G81" s="5"/>
      <c r="H81" s="5"/>
      <c r="I81" s="5"/>
      <c r="J81" s="5"/>
      <c r="K81" s="5"/>
      <c r="L81" s="46"/>
      <c r="M81" s="5"/>
      <c r="N81" s="22"/>
      <c r="O81" s="5"/>
      <c r="P81" s="5"/>
      <c r="Q81" s="5"/>
      <c r="R81" s="5"/>
      <c r="S81" s="5"/>
      <c r="T81" s="5"/>
      <c r="U81" s="5"/>
      <c r="V81" s="62"/>
      <c r="W81" s="4"/>
    </row>
    <row r="82" spans="1:23" x14ac:dyDescent="0.25">
      <c r="A82" s="8"/>
      <c r="B82" s="6"/>
      <c r="C82" s="4"/>
      <c r="D82" s="17"/>
      <c r="E82" s="5"/>
      <c r="F82" s="5"/>
      <c r="G82" s="5"/>
      <c r="H82" s="5"/>
      <c r="I82" s="5"/>
      <c r="J82" s="5"/>
      <c r="K82" s="5"/>
      <c r="L82" s="46"/>
      <c r="M82" s="5"/>
      <c r="N82" s="22"/>
      <c r="O82" s="5"/>
      <c r="P82" s="5"/>
      <c r="Q82" s="5"/>
      <c r="R82" s="5"/>
      <c r="S82" s="5"/>
      <c r="T82" s="5"/>
      <c r="U82" s="5"/>
      <c r="V82" s="62"/>
      <c r="W82" s="4"/>
    </row>
    <row r="83" spans="1:23" x14ac:dyDescent="0.25">
      <c r="A83" s="8"/>
      <c r="B83" s="6"/>
      <c r="C83" s="4"/>
      <c r="D83" s="17"/>
      <c r="E83" s="5"/>
      <c r="F83" s="5"/>
      <c r="G83" s="5"/>
      <c r="H83" s="5"/>
      <c r="I83" s="5"/>
      <c r="J83" s="5"/>
      <c r="K83" s="5"/>
      <c r="L83" s="46"/>
      <c r="M83" s="5"/>
      <c r="N83" s="22"/>
      <c r="O83" s="5"/>
      <c r="P83" s="5"/>
      <c r="Q83" s="5"/>
      <c r="R83" s="4"/>
      <c r="S83" s="4"/>
      <c r="T83" s="4"/>
      <c r="U83" s="4"/>
      <c r="V83" s="53"/>
      <c r="W83" s="4"/>
    </row>
    <row r="84" spans="1:23" x14ac:dyDescent="0.25">
      <c r="A84" s="8"/>
      <c r="B84" s="6"/>
      <c r="C84" s="4"/>
      <c r="D84" s="17"/>
      <c r="E84" s="5"/>
      <c r="F84" s="5"/>
      <c r="G84" s="5"/>
      <c r="H84" s="5"/>
      <c r="I84" s="5"/>
      <c r="J84" s="5"/>
      <c r="K84" s="5"/>
      <c r="L84" s="4"/>
      <c r="M84" s="5"/>
      <c r="N84" s="22"/>
      <c r="O84" s="5"/>
      <c r="P84" s="5"/>
      <c r="Q84" s="5"/>
      <c r="R84" s="4"/>
      <c r="S84" s="4"/>
      <c r="T84" s="5"/>
      <c r="U84" s="5"/>
      <c r="V84" s="62"/>
      <c r="W84" s="4"/>
    </row>
    <row r="85" spans="1:23" x14ac:dyDescent="0.25">
      <c r="A85" s="8"/>
      <c r="B85" s="6"/>
      <c r="C85" s="4"/>
      <c r="D85" s="17"/>
      <c r="E85" s="5"/>
      <c r="F85" s="5"/>
      <c r="G85" s="5"/>
      <c r="H85" s="5"/>
      <c r="I85" s="5"/>
      <c r="J85" s="5"/>
      <c r="K85" s="5"/>
      <c r="L85" s="4"/>
      <c r="M85" s="5"/>
      <c r="N85" s="22"/>
      <c r="O85" s="5"/>
      <c r="P85" s="5"/>
      <c r="Q85" s="5"/>
      <c r="R85" s="4"/>
      <c r="S85" s="4"/>
      <c r="T85" s="4"/>
      <c r="U85" s="4"/>
      <c r="V85" s="62"/>
      <c r="W85" s="4"/>
    </row>
    <row r="86" spans="1:23" x14ac:dyDescent="0.25">
      <c r="A86" s="8"/>
      <c r="B86" s="6"/>
      <c r="C86" s="4"/>
      <c r="D86" s="17"/>
      <c r="E86" s="5"/>
      <c r="F86" s="5"/>
      <c r="G86" s="5"/>
      <c r="H86" s="5"/>
      <c r="I86" s="5"/>
      <c r="J86" s="5"/>
      <c r="K86" s="5"/>
      <c r="L86" s="4"/>
      <c r="M86" s="5"/>
      <c r="N86" s="22"/>
      <c r="O86" s="5"/>
      <c r="P86" s="5"/>
      <c r="Q86" s="5"/>
      <c r="R86" s="4"/>
      <c r="S86" s="4"/>
      <c r="T86" s="4"/>
      <c r="U86" s="4"/>
      <c r="V86" s="62"/>
      <c r="W86" s="4"/>
    </row>
    <row r="87" spans="1:23" x14ac:dyDescent="0.25">
      <c r="A87" s="8"/>
      <c r="B87" s="6"/>
      <c r="C87" s="4"/>
      <c r="D87" s="17"/>
      <c r="E87" s="5"/>
      <c r="F87" s="5"/>
      <c r="G87" s="5"/>
      <c r="H87" s="5"/>
      <c r="I87" s="5"/>
      <c r="J87" s="5"/>
      <c r="K87" s="5"/>
      <c r="L87" s="4"/>
      <c r="M87" s="5"/>
      <c r="N87" s="22"/>
      <c r="O87" s="5"/>
      <c r="P87" s="5"/>
      <c r="Q87" s="5"/>
      <c r="R87" s="4"/>
      <c r="S87" s="4"/>
      <c r="T87" s="4"/>
      <c r="U87" s="4"/>
      <c r="V87" s="62"/>
      <c r="W87" s="4"/>
    </row>
    <row r="88" spans="1:23" x14ac:dyDescent="0.25">
      <c r="A88" s="19"/>
      <c r="B88" s="6"/>
      <c r="C88" s="13"/>
      <c r="D88" s="21"/>
      <c r="E88" s="6"/>
      <c r="F88" s="6"/>
      <c r="G88" s="6"/>
      <c r="H88" s="6"/>
      <c r="I88" s="6"/>
      <c r="J88" s="6"/>
      <c r="K88" s="6"/>
      <c r="L88" s="14"/>
      <c r="M88" s="5"/>
      <c r="N88" s="22"/>
      <c r="O88" s="6"/>
      <c r="P88" s="6"/>
      <c r="Q88" s="6"/>
      <c r="R88" s="4"/>
      <c r="S88" s="4"/>
      <c r="T88" s="4"/>
      <c r="U88" s="4"/>
      <c r="V88" s="62"/>
      <c r="W88" s="4"/>
    </row>
    <row r="89" spans="1:23" x14ac:dyDescent="0.25">
      <c r="A89" s="8"/>
      <c r="B89" s="6"/>
      <c r="C89" s="4"/>
      <c r="D89" s="17"/>
      <c r="E89" s="5"/>
      <c r="F89" s="5"/>
      <c r="G89" s="5"/>
      <c r="H89" s="5"/>
      <c r="I89" s="5"/>
      <c r="J89" s="5"/>
      <c r="K89" s="5"/>
      <c r="L89" s="4"/>
      <c r="M89" s="5"/>
      <c r="N89" s="22"/>
      <c r="O89" s="5"/>
      <c r="P89" s="5"/>
      <c r="Q89" s="5"/>
      <c r="R89" s="5"/>
      <c r="S89" s="5"/>
      <c r="T89" s="5"/>
      <c r="U89" s="5"/>
      <c r="V89" s="62"/>
      <c r="W89" s="4"/>
    </row>
    <row r="90" spans="1:23" x14ac:dyDescent="0.25">
      <c r="A90" s="8"/>
      <c r="B90" s="6"/>
      <c r="C90" s="4"/>
      <c r="D90" s="47"/>
      <c r="E90" s="5"/>
      <c r="F90" s="5"/>
      <c r="G90" s="5"/>
      <c r="H90" s="5"/>
      <c r="I90" s="5"/>
      <c r="J90" s="5"/>
      <c r="K90" s="5"/>
      <c r="L90" s="4"/>
      <c r="M90" s="5"/>
      <c r="N90" s="22"/>
      <c r="O90" s="5"/>
      <c r="P90" s="5"/>
      <c r="Q90" s="5"/>
      <c r="R90" s="5"/>
      <c r="S90" s="5"/>
      <c r="T90" s="5"/>
      <c r="U90" s="5"/>
      <c r="V90" s="62"/>
      <c r="W90" s="4"/>
    </row>
    <row r="91" spans="1:23" x14ac:dyDescent="0.25">
      <c r="A91" s="8"/>
      <c r="B91" s="6"/>
      <c r="C91" s="4"/>
      <c r="D91" s="47"/>
      <c r="E91" s="5"/>
      <c r="F91" s="5"/>
      <c r="G91" s="5"/>
      <c r="H91" s="5"/>
      <c r="I91" s="5"/>
      <c r="J91" s="5"/>
      <c r="K91" s="5"/>
      <c r="L91" s="46"/>
      <c r="M91" s="5"/>
      <c r="N91" s="22"/>
      <c r="O91" s="5"/>
      <c r="P91" s="5"/>
      <c r="Q91" s="5"/>
      <c r="R91" s="5"/>
      <c r="S91" s="5"/>
      <c r="T91" s="5"/>
      <c r="U91" s="5"/>
      <c r="V91" s="62"/>
      <c r="W91" s="4"/>
    </row>
    <row r="92" spans="1:23" x14ac:dyDescent="0.25">
      <c r="A92" s="50"/>
      <c r="B92" s="6"/>
      <c r="C92" s="46"/>
      <c r="D92" s="47"/>
      <c r="E92" s="5"/>
      <c r="F92" s="5"/>
      <c r="G92" s="5"/>
      <c r="H92" s="5"/>
      <c r="I92" s="5"/>
      <c r="J92" s="5"/>
      <c r="K92" s="5"/>
      <c r="L92" s="46"/>
      <c r="M92" s="5"/>
      <c r="N92" s="22"/>
      <c r="O92" s="5"/>
      <c r="P92" s="5"/>
      <c r="Q92" s="5"/>
      <c r="R92" s="5"/>
      <c r="S92" s="5"/>
      <c r="T92" s="5"/>
      <c r="U92" s="5"/>
      <c r="V92" s="62"/>
      <c r="W92" s="4"/>
    </row>
    <row r="93" spans="1:23" x14ac:dyDescent="0.25">
      <c r="A93" s="50"/>
      <c r="B93" s="6"/>
      <c r="C93" s="46"/>
      <c r="D93" s="17"/>
      <c r="E93" s="5"/>
      <c r="F93" s="5"/>
      <c r="G93" s="5"/>
      <c r="H93" s="5"/>
      <c r="I93" s="5"/>
      <c r="J93" s="5"/>
      <c r="K93" s="5"/>
      <c r="L93" s="46"/>
      <c r="M93" s="5"/>
      <c r="N93" s="22"/>
      <c r="O93" s="5"/>
      <c r="P93" s="5"/>
      <c r="Q93" s="5"/>
      <c r="R93" s="4"/>
      <c r="S93" s="4"/>
      <c r="T93" s="4"/>
      <c r="U93" s="4"/>
      <c r="V93" s="4"/>
      <c r="W93" s="4"/>
    </row>
    <row r="94" spans="1:23" x14ac:dyDescent="0.25">
      <c r="A94" s="50"/>
      <c r="B94" s="6"/>
      <c r="C94" s="46"/>
      <c r="D94" s="17"/>
      <c r="E94" s="5"/>
      <c r="F94" s="5"/>
      <c r="G94" s="5"/>
      <c r="H94" s="5"/>
      <c r="I94" s="5"/>
      <c r="J94" s="5"/>
      <c r="K94" s="5"/>
      <c r="L94" s="46"/>
      <c r="M94" s="5"/>
      <c r="N94" s="22"/>
      <c r="O94" s="5"/>
      <c r="P94" s="5"/>
      <c r="Q94" s="5"/>
      <c r="R94" s="5"/>
      <c r="S94" s="5"/>
      <c r="T94" s="5"/>
      <c r="U94" s="5"/>
      <c r="V94" s="49"/>
      <c r="W94" s="4"/>
    </row>
    <row r="95" spans="1:23" x14ac:dyDescent="0.25">
      <c r="A95" s="28"/>
      <c r="B95" s="6"/>
      <c r="C95" s="22"/>
      <c r="D95" s="21"/>
      <c r="E95" s="6"/>
      <c r="F95" s="6"/>
      <c r="G95" s="6"/>
      <c r="H95" s="6"/>
      <c r="I95" s="6"/>
      <c r="J95" s="6"/>
      <c r="K95" s="6"/>
      <c r="L95" s="51"/>
      <c r="M95" s="5"/>
      <c r="N95" s="22"/>
      <c r="O95" s="5"/>
      <c r="P95" s="5"/>
      <c r="Q95" s="5"/>
      <c r="R95" s="5"/>
      <c r="S95" s="5"/>
      <c r="T95" s="5"/>
      <c r="U95" s="5"/>
      <c r="V95" s="49"/>
      <c r="W95" s="4"/>
    </row>
    <row r="96" spans="1:23" x14ac:dyDescent="0.25">
      <c r="A96" s="50"/>
      <c r="B96" s="6"/>
      <c r="C96" s="46"/>
      <c r="D96" s="17"/>
      <c r="E96" s="5"/>
      <c r="F96" s="5"/>
      <c r="G96" s="5"/>
      <c r="H96" s="5"/>
      <c r="I96" s="5"/>
      <c r="J96" s="5"/>
      <c r="K96" s="5"/>
      <c r="L96" s="46"/>
      <c r="M96" s="5"/>
      <c r="N96" s="22"/>
      <c r="O96" s="5"/>
      <c r="P96" s="5"/>
      <c r="Q96" s="5"/>
      <c r="R96" s="5"/>
      <c r="S96" s="5"/>
      <c r="T96" s="5"/>
      <c r="U96" s="5"/>
      <c r="V96" s="49"/>
      <c r="W96" s="4"/>
    </row>
    <row r="97" spans="1:23" x14ac:dyDescent="0.25">
      <c r="A97" s="50"/>
      <c r="B97" s="6"/>
      <c r="C97" s="46"/>
      <c r="D97" s="10"/>
      <c r="E97" s="5"/>
      <c r="F97" s="5"/>
      <c r="G97" s="5"/>
      <c r="H97" s="5"/>
      <c r="I97" s="5"/>
      <c r="J97" s="5"/>
      <c r="K97" s="5"/>
      <c r="L97" s="46"/>
      <c r="M97" s="5"/>
      <c r="N97" s="22"/>
      <c r="O97" s="5"/>
      <c r="P97" s="5"/>
      <c r="Q97" s="5"/>
      <c r="R97" s="4"/>
      <c r="S97" s="4"/>
      <c r="T97" s="4"/>
      <c r="U97" s="4"/>
      <c r="V97" s="4"/>
      <c r="W97" s="4"/>
    </row>
    <row r="98" spans="1:23" x14ac:dyDescent="0.25">
      <c r="A98" s="50"/>
      <c r="B98" s="6"/>
      <c r="C98" s="46"/>
      <c r="D98" s="10"/>
      <c r="E98" s="5"/>
      <c r="F98" s="5"/>
      <c r="G98" s="5"/>
      <c r="H98" s="5"/>
      <c r="I98" s="5"/>
      <c r="J98" s="5"/>
      <c r="K98" s="5"/>
      <c r="L98" s="46"/>
      <c r="M98" s="5"/>
      <c r="N98" s="22"/>
      <c r="O98" s="5"/>
      <c r="P98" s="5"/>
      <c r="Q98" s="5"/>
      <c r="R98" s="4"/>
      <c r="S98" s="4"/>
      <c r="T98" s="4"/>
      <c r="U98" s="4"/>
      <c r="V98" s="4"/>
      <c r="W98" s="4"/>
    </row>
    <row r="99" spans="1:23" x14ac:dyDescent="0.25">
      <c r="A99" s="50"/>
      <c r="B99" s="6"/>
      <c r="C99" s="10"/>
      <c r="D99" s="17"/>
      <c r="E99" s="5"/>
      <c r="F99" s="5"/>
      <c r="G99" s="5"/>
      <c r="H99" s="5"/>
      <c r="I99" s="5"/>
      <c r="J99" s="5"/>
      <c r="K99" s="5"/>
      <c r="L99" s="46"/>
      <c r="M99" s="5"/>
      <c r="N99" s="22"/>
      <c r="O99" s="5"/>
      <c r="P99" s="5"/>
      <c r="Q99" s="5"/>
      <c r="R99" s="4"/>
      <c r="S99" s="4"/>
      <c r="T99" s="4"/>
      <c r="U99" s="4"/>
      <c r="V99" s="4"/>
      <c r="W99" s="4"/>
    </row>
    <row r="100" spans="1:23" x14ac:dyDescent="0.25">
      <c r="A100" s="50"/>
      <c r="B100" s="6"/>
      <c r="C100" s="10"/>
      <c r="D100" s="25"/>
      <c r="E100" s="5"/>
      <c r="F100" s="5"/>
      <c r="G100" s="5"/>
      <c r="H100" s="5"/>
      <c r="I100" s="5"/>
      <c r="J100" s="5"/>
      <c r="K100" s="5"/>
      <c r="L100" s="46"/>
      <c r="M100" s="5"/>
      <c r="N100" s="22"/>
      <c r="O100" s="5"/>
      <c r="P100" s="5"/>
      <c r="Q100" s="5"/>
      <c r="R100" s="5"/>
      <c r="S100" s="5"/>
      <c r="T100" s="5"/>
      <c r="U100" s="5"/>
      <c r="V100" s="49"/>
      <c r="W100" s="4"/>
    </row>
    <row r="101" spans="1:23" x14ac:dyDescent="0.25">
      <c r="A101" s="50"/>
      <c r="B101" s="6"/>
      <c r="C101" s="46"/>
      <c r="D101" s="17"/>
      <c r="E101" s="5"/>
      <c r="F101" s="5"/>
      <c r="G101" s="5"/>
      <c r="H101" s="5"/>
      <c r="I101" s="5"/>
      <c r="J101" s="5"/>
      <c r="K101" s="5"/>
      <c r="L101" s="46"/>
      <c r="M101" s="5"/>
      <c r="N101" s="22"/>
      <c r="O101" s="5"/>
      <c r="P101" s="5"/>
      <c r="Q101" s="5"/>
      <c r="R101" s="5"/>
      <c r="S101" s="5"/>
      <c r="T101" s="5"/>
      <c r="U101" s="5"/>
      <c r="V101" s="49"/>
      <c r="W101" s="4"/>
    </row>
    <row r="102" spans="1:23" x14ac:dyDescent="0.25">
      <c r="A102" s="8"/>
      <c r="B102" s="6"/>
      <c r="C102" s="46"/>
      <c r="D102" s="17"/>
      <c r="E102" s="5"/>
      <c r="F102" s="5"/>
      <c r="G102" s="5"/>
      <c r="H102" s="5"/>
      <c r="I102" s="5"/>
      <c r="J102" s="5"/>
      <c r="K102" s="5"/>
      <c r="L102" s="46"/>
      <c r="M102" s="5"/>
      <c r="N102" s="22"/>
      <c r="O102" s="5"/>
      <c r="P102" s="5"/>
      <c r="Q102" s="5"/>
      <c r="R102" s="5"/>
      <c r="S102" s="5"/>
      <c r="T102" s="5"/>
      <c r="U102" s="5"/>
      <c r="V102" s="49"/>
      <c r="W102" s="4"/>
    </row>
    <row r="103" spans="1:23" x14ac:dyDescent="0.25">
      <c r="A103" s="8"/>
      <c r="B103" s="6"/>
      <c r="C103" s="46"/>
      <c r="D103" s="17"/>
      <c r="E103" s="5"/>
      <c r="F103" s="5"/>
      <c r="G103" s="5"/>
      <c r="H103" s="5"/>
      <c r="I103" s="5"/>
      <c r="J103" s="5"/>
      <c r="K103" s="5"/>
      <c r="L103" s="46"/>
      <c r="M103" s="5"/>
      <c r="N103" s="22"/>
      <c r="O103" s="5"/>
      <c r="P103" s="5"/>
      <c r="Q103" s="5"/>
      <c r="R103" s="4"/>
      <c r="S103" s="4"/>
      <c r="T103" s="4"/>
      <c r="U103" s="4"/>
      <c r="V103" s="63"/>
      <c r="W103" s="4"/>
    </row>
    <row r="104" spans="1:23" x14ac:dyDescent="0.25">
      <c r="A104" s="8"/>
      <c r="B104" s="6"/>
      <c r="C104" s="46"/>
      <c r="D104" s="17"/>
      <c r="E104" s="5"/>
      <c r="F104" s="5"/>
      <c r="G104" s="5"/>
      <c r="H104" s="5"/>
      <c r="I104" s="5"/>
      <c r="J104" s="5"/>
      <c r="K104" s="5"/>
      <c r="L104" s="46"/>
      <c r="M104" s="5"/>
      <c r="N104" s="22"/>
      <c r="O104" s="5"/>
      <c r="P104" s="5"/>
      <c r="Q104" s="5"/>
      <c r="R104" s="4"/>
      <c r="S104" s="4"/>
      <c r="T104" s="5"/>
      <c r="U104" s="5"/>
      <c r="V104" s="49"/>
      <c r="W104" s="4"/>
    </row>
    <row r="105" spans="1:23" x14ac:dyDescent="0.25">
      <c r="A105" s="8"/>
      <c r="B105" s="6"/>
      <c r="C105" s="46"/>
      <c r="D105" s="17"/>
      <c r="E105" s="5"/>
      <c r="F105" s="5"/>
      <c r="G105" s="5"/>
      <c r="H105" s="5"/>
      <c r="I105" s="5"/>
      <c r="J105" s="5"/>
      <c r="K105" s="5"/>
      <c r="L105" s="46"/>
      <c r="M105" s="5"/>
      <c r="N105" s="22"/>
      <c r="O105" s="5"/>
      <c r="P105" s="5"/>
      <c r="Q105" s="5"/>
      <c r="R105" s="4"/>
      <c r="S105" s="4"/>
      <c r="T105" s="5"/>
      <c r="U105" s="5"/>
      <c r="V105" s="49"/>
      <c r="W105" s="4"/>
    </row>
    <row r="106" spans="1:23" x14ac:dyDescent="0.25">
      <c r="A106" s="8"/>
      <c r="B106" s="6"/>
      <c r="C106" s="46"/>
      <c r="D106" s="17"/>
      <c r="E106" s="5"/>
      <c r="F106" s="5"/>
      <c r="G106" s="5"/>
      <c r="H106" s="5"/>
      <c r="I106" s="5"/>
      <c r="J106" s="5"/>
      <c r="K106" s="5"/>
      <c r="L106" s="46"/>
      <c r="M106" s="5"/>
      <c r="N106" s="22"/>
      <c r="O106" s="5"/>
      <c r="P106" s="5"/>
      <c r="Q106" s="5"/>
      <c r="R106" s="4"/>
      <c r="S106" s="4"/>
      <c r="T106" s="4"/>
      <c r="U106" s="4"/>
      <c r="V106" s="49"/>
      <c r="W106" s="4"/>
    </row>
    <row r="107" spans="1:23" x14ac:dyDescent="0.25">
      <c r="A107" s="8"/>
      <c r="B107" s="6"/>
      <c r="C107" s="4"/>
      <c r="D107" s="10"/>
      <c r="E107" s="5"/>
      <c r="F107" s="5"/>
      <c r="G107" s="5"/>
      <c r="H107" s="5"/>
      <c r="I107" s="5"/>
      <c r="J107" s="5"/>
      <c r="K107" s="5"/>
      <c r="L107" s="46"/>
      <c r="M107" s="5"/>
      <c r="N107" s="22"/>
      <c r="O107" s="5"/>
      <c r="P107" s="5"/>
      <c r="Q107" s="5"/>
      <c r="R107" s="4"/>
      <c r="S107" s="4"/>
      <c r="T107" s="4"/>
      <c r="U107" s="4"/>
      <c r="V107" s="49"/>
      <c r="W107" s="4"/>
    </row>
    <row r="108" spans="1:23" x14ac:dyDescent="0.25">
      <c r="A108" s="8"/>
      <c r="B108" s="6"/>
      <c r="C108" s="4"/>
      <c r="D108" s="17"/>
      <c r="E108" s="5"/>
      <c r="F108" s="5"/>
      <c r="G108" s="5"/>
      <c r="H108" s="5"/>
      <c r="I108" s="5"/>
      <c r="J108" s="5"/>
      <c r="K108" s="5"/>
      <c r="L108" s="46"/>
      <c r="M108" s="5"/>
      <c r="N108" s="22"/>
      <c r="O108" s="5"/>
      <c r="P108" s="5"/>
      <c r="Q108" s="5"/>
      <c r="R108" s="4"/>
      <c r="S108" s="4"/>
      <c r="T108" s="4"/>
      <c r="U108" s="4"/>
      <c r="V108" s="49"/>
      <c r="W108" s="4"/>
    </row>
    <row r="109" spans="1:23" x14ac:dyDescent="0.25">
      <c r="A109" s="8"/>
      <c r="B109" s="6"/>
      <c r="C109" s="4"/>
      <c r="D109" s="10"/>
      <c r="E109" s="5"/>
      <c r="F109" s="5"/>
      <c r="G109" s="5"/>
      <c r="H109" s="5"/>
      <c r="I109" s="5"/>
      <c r="J109" s="5"/>
      <c r="K109" s="5"/>
      <c r="L109" s="46"/>
      <c r="M109" s="5"/>
      <c r="N109" s="22"/>
      <c r="O109" s="5"/>
      <c r="P109" s="5"/>
      <c r="Q109" s="5"/>
      <c r="R109" s="4"/>
      <c r="S109" s="4"/>
      <c r="T109" s="4"/>
      <c r="U109" s="4"/>
      <c r="V109" s="49"/>
      <c r="W109" s="4"/>
    </row>
    <row r="110" spans="1:23" x14ac:dyDescent="0.25">
      <c r="A110" s="8"/>
      <c r="B110" s="6"/>
      <c r="C110" s="4"/>
      <c r="D110" s="17"/>
      <c r="E110" s="5"/>
      <c r="F110" s="5"/>
      <c r="G110" s="5"/>
      <c r="H110" s="5"/>
      <c r="I110" s="5"/>
      <c r="J110" s="5"/>
      <c r="K110" s="5"/>
      <c r="L110" s="46"/>
      <c r="M110" s="5"/>
      <c r="N110" s="22"/>
      <c r="O110" s="5"/>
      <c r="P110" s="5"/>
      <c r="Q110" s="5"/>
      <c r="R110" s="4"/>
      <c r="S110" s="4"/>
      <c r="T110" s="4"/>
      <c r="U110" s="4"/>
      <c r="V110" s="49"/>
      <c r="W110" s="4"/>
    </row>
    <row r="111" spans="1:23" x14ac:dyDescent="0.25">
      <c r="A111" s="8"/>
      <c r="B111" s="6"/>
      <c r="C111" s="4"/>
      <c r="D111" s="17"/>
      <c r="E111" s="5"/>
      <c r="F111" s="5"/>
      <c r="G111" s="5"/>
      <c r="H111" s="5"/>
      <c r="I111" s="5"/>
      <c r="J111" s="5"/>
      <c r="K111" s="5"/>
      <c r="L111" s="4"/>
      <c r="M111" s="5"/>
      <c r="N111" s="22"/>
      <c r="O111" s="5"/>
      <c r="P111" s="5"/>
      <c r="Q111" s="5"/>
      <c r="R111" s="4"/>
      <c r="S111" s="4"/>
      <c r="T111" s="4"/>
      <c r="U111" s="4"/>
      <c r="V111" s="49"/>
      <c r="W111" s="4"/>
    </row>
    <row r="112" spans="1:23" x14ac:dyDescent="0.25">
      <c r="A112" s="8"/>
      <c r="B112" s="6"/>
      <c r="C112" s="4"/>
      <c r="D112" s="10"/>
      <c r="E112" s="5"/>
      <c r="F112" s="5"/>
      <c r="G112" s="5"/>
      <c r="H112" s="5"/>
      <c r="I112" s="5"/>
      <c r="J112" s="5"/>
      <c r="K112" s="5"/>
      <c r="L112" s="4"/>
      <c r="M112" s="5"/>
      <c r="N112" s="22"/>
      <c r="O112" s="5"/>
      <c r="P112" s="5"/>
      <c r="Q112" s="5"/>
      <c r="R112" s="4"/>
      <c r="S112" s="4"/>
      <c r="T112" s="4"/>
      <c r="U112" s="4"/>
      <c r="V112" s="49"/>
      <c r="W112" s="4"/>
    </row>
    <row r="113" spans="1:23" x14ac:dyDescent="0.25">
      <c r="A113" s="8"/>
      <c r="B113" s="6"/>
      <c r="C113" s="4"/>
      <c r="D113" s="10"/>
      <c r="E113" s="5"/>
      <c r="F113" s="5"/>
      <c r="G113" s="5"/>
      <c r="H113" s="5"/>
      <c r="I113" s="5"/>
      <c r="J113" s="5"/>
      <c r="K113" s="5"/>
      <c r="L113" s="4"/>
      <c r="M113" s="5"/>
      <c r="N113" s="22"/>
      <c r="O113" s="5"/>
      <c r="P113" s="5"/>
      <c r="Q113" s="5"/>
      <c r="R113" s="4"/>
      <c r="S113" s="4"/>
      <c r="T113" s="4"/>
      <c r="U113" s="4"/>
      <c r="V113" s="49"/>
      <c r="W113" s="4"/>
    </row>
    <row r="114" spans="1:23" x14ac:dyDescent="0.25">
      <c r="A114" s="8"/>
      <c r="B114" s="6"/>
      <c r="C114" s="4"/>
      <c r="D114" s="17"/>
      <c r="E114" s="5"/>
      <c r="F114" s="5"/>
      <c r="G114" s="5"/>
      <c r="H114" s="5"/>
      <c r="I114" s="5"/>
      <c r="J114" s="5"/>
      <c r="K114" s="5"/>
      <c r="L114" s="4"/>
      <c r="M114" s="5"/>
      <c r="N114" s="22"/>
      <c r="O114" s="5"/>
      <c r="P114" s="5"/>
      <c r="Q114" s="5"/>
      <c r="R114" s="4"/>
      <c r="S114" s="4"/>
      <c r="T114" s="4"/>
      <c r="U114" s="4"/>
      <c r="V114" s="63"/>
      <c r="W114" s="4"/>
    </row>
    <row r="115" spans="1:23" x14ac:dyDescent="0.25">
      <c r="A115" s="28"/>
      <c r="B115" s="6"/>
      <c r="C115" s="6"/>
      <c r="D115" s="27"/>
      <c r="E115" s="6"/>
      <c r="F115" s="6"/>
      <c r="G115" s="6"/>
      <c r="H115" s="6"/>
      <c r="I115" s="6"/>
      <c r="J115" s="6"/>
      <c r="K115" s="6"/>
      <c r="L115" s="14"/>
      <c r="M115" s="6"/>
      <c r="N115" s="22"/>
      <c r="O115" s="6"/>
      <c r="P115" s="6"/>
      <c r="Q115" s="6"/>
      <c r="R115" s="4"/>
      <c r="S115" s="4"/>
      <c r="T115" s="4"/>
      <c r="U115" s="4"/>
      <c r="V115" s="49"/>
      <c r="W115" s="4"/>
    </row>
    <row r="116" spans="1:23" x14ac:dyDescent="0.25">
      <c r="A116" s="8"/>
      <c r="B116" s="6"/>
      <c r="C116" s="4"/>
      <c r="D116" s="17"/>
      <c r="E116" s="5"/>
      <c r="F116" s="5"/>
      <c r="G116" s="5"/>
      <c r="H116" s="5"/>
      <c r="I116" s="5"/>
      <c r="J116" s="5"/>
      <c r="K116" s="5"/>
      <c r="L116" s="4"/>
      <c r="M116" s="5"/>
      <c r="N116" s="22"/>
      <c r="O116" s="5"/>
      <c r="P116" s="5"/>
      <c r="Q116" s="5"/>
      <c r="R116" s="4"/>
      <c r="S116" s="4"/>
      <c r="T116" s="4"/>
      <c r="U116" s="4"/>
      <c r="V116" s="49"/>
      <c r="W116" s="4"/>
    </row>
    <row r="117" spans="1:23" x14ac:dyDescent="0.25">
      <c r="A117" s="8"/>
      <c r="B117" s="6"/>
      <c r="C117" s="4"/>
      <c r="D117" s="17"/>
      <c r="E117" s="5"/>
      <c r="F117" s="5"/>
      <c r="G117" s="5"/>
      <c r="H117" s="5"/>
      <c r="I117" s="5"/>
      <c r="J117" s="5"/>
      <c r="K117" s="4"/>
      <c r="L117" s="52"/>
      <c r="M117" s="5"/>
      <c r="N117" s="22"/>
      <c r="O117" s="5"/>
      <c r="P117" s="5"/>
      <c r="Q117" s="5"/>
      <c r="R117" s="4"/>
      <c r="S117" s="4"/>
      <c r="T117" s="4"/>
      <c r="U117" s="4"/>
      <c r="V117" s="49"/>
      <c r="W117" s="4"/>
    </row>
    <row r="118" spans="1:23" x14ac:dyDescent="0.25">
      <c r="A118" s="8"/>
      <c r="B118" s="6"/>
      <c r="C118" s="4"/>
      <c r="D118" s="17"/>
      <c r="E118" s="5"/>
      <c r="F118" s="5"/>
      <c r="G118" s="5"/>
      <c r="H118" s="5"/>
      <c r="I118" s="5"/>
      <c r="J118" s="5"/>
      <c r="K118" s="4"/>
      <c r="L118" s="52"/>
      <c r="M118" s="5"/>
      <c r="N118" s="22"/>
      <c r="O118" s="5"/>
      <c r="P118" s="5"/>
      <c r="Q118" s="5"/>
      <c r="R118" s="5"/>
      <c r="S118" s="5"/>
      <c r="T118" s="5"/>
      <c r="U118" s="5"/>
      <c r="V118" s="49"/>
      <c r="W118" s="4"/>
    </row>
    <row r="119" spans="1:23" x14ac:dyDescent="0.25">
      <c r="A119" s="8"/>
      <c r="B119" s="6"/>
      <c r="C119" s="4"/>
      <c r="D119" s="17"/>
      <c r="E119" s="5"/>
      <c r="F119" s="5"/>
      <c r="G119" s="5"/>
      <c r="H119" s="5"/>
      <c r="I119" s="5"/>
      <c r="J119" s="5"/>
      <c r="K119" s="5"/>
      <c r="L119" s="52"/>
      <c r="M119" s="5"/>
      <c r="N119" s="22"/>
      <c r="O119" s="5"/>
      <c r="P119" s="5"/>
      <c r="Q119" s="5"/>
      <c r="R119" s="5"/>
      <c r="S119" s="5"/>
      <c r="T119" s="5"/>
      <c r="U119" s="5"/>
      <c r="V119" s="49"/>
      <c r="W119" s="4"/>
    </row>
    <row r="120" spans="1:23" x14ac:dyDescent="0.25">
      <c r="A120" s="8"/>
      <c r="B120" s="6"/>
      <c r="C120" s="4"/>
      <c r="D120" s="17"/>
      <c r="E120" s="5"/>
      <c r="F120" s="5"/>
      <c r="G120" s="5"/>
      <c r="H120" s="5"/>
      <c r="I120" s="5"/>
      <c r="J120" s="5"/>
      <c r="K120" s="5"/>
      <c r="L120" s="52"/>
      <c r="M120" s="5"/>
      <c r="N120" s="22"/>
      <c r="O120" s="5"/>
      <c r="P120" s="5"/>
      <c r="Q120" s="5"/>
      <c r="R120" s="4"/>
      <c r="S120" s="4"/>
      <c r="T120" s="4"/>
      <c r="U120" s="4"/>
      <c r="V120" s="4"/>
      <c r="W120" s="4"/>
    </row>
    <row r="121" spans="1:23" x14ac:dyDescent="0.25">
      <c r="A121" s="8"/>
      <c r="B121" s="6"/>
      <c r="C121" s="4"/>
      <c r="D121" s="17"/>
      <c r="E121" s="5"/>
      <c r="F121" s="5"/>
      <c r="G121" s="5"/>
      <c r="H121" s="5"/>
      <c r="I121" s="5"/>
      <c r="J121" s="5"/>
      <c r="K121" s="5"/>
      <c r="L121" s="52"/>
      <c r="M121" s="5"/>
      <c r="N121" s="22"/>
      <c r="O121" s="5"/>
      <c r="P121" s="5"/>
      <c r="Q121" s="5"/>
      <c r="R121" s="4"/>
      <c r="S121" s="4"/>
      <c r="T121" s="4"/>
      <c r="U121" s="4"/>
      <c r="V121" s="4"/>
      <c r="W121" s="4"/>
    </row>
    <row r="122" spans="1:23" x14ac:dyDescent="0.25">
      <c r="A122" s="8"/>
      <c r="B122" s="6"/>
      <c r="C122" s="4"/>
      <c r="D122" s="17"/>
      <c r="E122" s="5"/>
      <c r="F122" s="5"/>
      <c r="G122" s="5"/>
      <c r="H122" s="5"/>
      <c r="I122" s="5"/>
      <c r="J122" s="5"/>
      <c r="K122" s="5"/>
      <c r="L122" s="52"/>
      <c r="M122" s="5"/>
      <c r="N122" s="22"/>
      <c r="O122" s="5"/>
      <c r="P122" s="5"/>
      <c r="Q122" s="5"/>
      <c r="R122" s="4"/>
      <c r="S122" s="4"/>
      <c r="T122" s="4"/>
      <c r="U122" s="4"/>
      <c r="V122" s="4"/>
      <c r="W122" s="4"/>
    </row>
    <row r="123" spans="1:23" x14ac:dyDescent="0.25">
      <c r="A123" s="8"/>
      <c r="B123" s="6"/>
      <c r="C123" s="4"/>
      <c r="D123" s="17"/>
      <c r="E123" s="5"/>
      <c r="F123" s="5"/>
      <c r="G123" s="5"/>
      <c r="H123" s="5"/>
      <c r="I123" s="5"/>
      <c r="J123" s="5"/>
      <c r="K123" s="5"/>
      <c r="L123" s="46"/>
      <c r="M123" s="5"/>
      <c r="N123" s="22"/>
      <c r="O123" s="5"/>
      <c r="P123" s="5"/>
      <c r="Q123" s="5"/>
      <c r="R123" s="4"/>
      <c r="S123" s="4"/>
      <c r="T123" s="4"/>
      <c r="U123" s="4"/>
      <c r="V123" s="4"/>
      <c r="W123" s="4"/>
    </row>
    <row r="124" spans="1:23" x14ac:dyDescent="0.25">
      <c r="A124" s="8"/>
      <c r="B124" s="6"/>
      <c r="C124" s="4"/>
      <c r="D124" s="17"/>
      <c r="E124" s="5"/>
      <c r="F124" s="5"/>
      <c r="G124" s="5"/>
      <c r="H124" s="5"/>
      <c r="I124" s="5"/>
      <c r="J124" s="5"/>
      <c r="K124" s="5"/>
      <c r="L124" s="4"/>
      <c r="M124" s="5"/>
      <c r="N124" s="22"/>
      <c r="O124" s="5"/>
      <c r="P124" s="5"/>
      <c r="Q124" s="5"/>
      <c r="R124" s="4"/>
      <c r="S124" s="4"/>
      <c r="T124" s="4"/>
      <c r="U124" s="4"/>
      <c r="V124" s="4"/>
      <c r="W124" s="4"/>
    </row>
    <row r="125" spans="1:23" x14ac:dyDescent="0.25">
      <c r="A125" s="8"/>
      <c r="B125" s="6"/>
      <c r="C125" s="4"/>
      <c r="D125" s="17"/>
      <c r="E125" s="5"/>
      <c r="F125" s="5"/>
      <c r="G125" s="5"/>
      <c r="H125" s="5"/>
      <c r="I125" s="5"/>
      <c r="J125" s="5"/>
      <c r="K125" s="5"/>
      <c r="L125" s="4"/>
      <c r="M125" s="5"/>
      <c r="N125" s="22"/>
      <c r="O125" s="5"/>
      <c r="P125" s="5"/>
      <c r="Q125" s="5"/>
      <c r="R125" s="4"/>
      <c r="S125" s="4"/>
      <c r="T125" s="4"/>
      <c r="U125" s="4"/>
      <c r="V125" s="4"/>
      <c r="W125" s="4"/>
    </row>
    <row r="126" spans="1:23" x14ac:dyDescent="0.25">
      <c r="A126" s="8"/>
      <c r="B126" s="6"/>
      <c r="C126" s="4"/>
      <c r="D126" s="17"/>
      <c r="E126" s="5"/>
      <c r="F126" s="5"/>
      <c r="G126" s="5"/>
      <c r="H126" s="5"/>
      <c r="I126" s="5"/>
      <c r="J126" s="5"/>
      <c r="K126" s="5"/>
      <c r="L126" s="4"/>
      <c r="M126" s="5"/>
      <c r="N126" s="22"/>
      <c r="O126" s="5"/>
      <c r="P126" s="5"/>
      <c r="Q126" s="5"/>
      <c r="R126" s="4"/>
      <c r="S126" s="4"/>
      <c r="T126" s="4"/>
      <c r="U126" s="4"/>
      <c r="V126" s="4"/>
      <c r="W126" s="4"/>
    </row>
    <row r="127" spans="1:23" x14ac:dyDescent="0.25">
      <c r="A127" s="8"/>
      <c r="B127" s="6"/>
      <c r="C127" s="4"/>
      <c r="D127" s="4"/>
      <c r="E127" s="5"/>
      <c r="F127" s="5"/>
      <c r="G127" s="5"/>
      <c r="H127" s="5"/>
      <c r="I127" s="5"/>
      <c r="J127" s="5"/>
      <c r="K127" s="5"/>
      <c r="L127" s="46"/>
      <c r="M127" s="5"/>
      <c r="N127" s="22"/>
      <c r="O127" s="5"/>
      <c r="P127" s="5"/>
      <c r="Q127" s="5"/>
      <c r="R127" s="4"/>
      <c r="S127" s="4"/>
      <c r="T127" s="4"/>
      <c r="U127" s="4"/>
      <c r="V127" s="4"/>
      <c r="W127" s="4"/>
    </row>
    <row r="128" spans="1:23" x14ac:dyDescent="0.25">
      <c r="A128" s="8"/>
      <c r="B128" s="6"/>
      <c r="C128" s="4"/>
      <c r="D128" s="4"/>
      <c r="E128" s="5"/>
      <c r="F128" s="5"/>
      <c r="G128" s="5"/>
      <c r="H128" s="5"/>
      <c r="I128" s="5"/>
      <c r="J128" s="5"/>
      <c r="K128" s="5"/>
      <c r="L128" s="46"/>
      <c r="M128" s="5"/>
      <c r="N128" s="22"/>
      <c r="O128" s="5"/>
      <c r="P128" s="5"/>
      <c r="Q128" s="5"/>
      <c r="R128" s="4"/>
      <c r="S128" s="4"/>
      <c r="T128" s="4"/>
      <c r="U128" s="4"/>
      <c r="V128" s="4"/>
      <c r="W128" s="4"/>
    </row>
    <row r="129" spans="1:23" x14ac:dyDescent="0.25">
      <c r="A129" s="8"/>
      <c r="B129" s="6"/>
      <c r="C129" s="4"/>
      <c r="D129" s="4"/>
      <c r="E129" s="5"/>
      <c r="F129" s="5"/>
      <c r="G129" s="5"/>
      <c r="H129" s="5"/>
      <c r="I129" s="5"/>
      <c r="J129" s="5"/>
      <c r="K129" s="5"/>
      <c r="L129" s="46"/>
      <c r="M129" s="5"/>
      <c r="N129" s="22"/>
      <c r="O129" s="5"/>
      <c r="P129" s="5"/>
      <c r="Q129" s="5"/>
      <c r="R129" s="4"/>
      <c r="S129" s="4"/>
      <c r="T129" s="4"/>
      <c r="U129" s="4"/>
      <c r="V129" s="4"/>
      <c r="W129" s="4"/>
    </row>
    <row r="130" spans="1:23" x14ac:dyDescent="0.25">
      <c r="A130" s="8"/>
      <c r="B130" s="6"/>
      <c r="C130" s="4"/>
      <c r="D130" s="25"/>
      <c r="E130" s="5"/>
      <c r="F130" s="5"/>
      <c r="G130" s="5"/>
      <c r="H130" s="5"/>
      <c r="I130" s="5"/>
      <c r="J130" s="5"/>
      <c r="K130" s="5"/>
      <c r="L130" s="46"/>
      <c r="M130" s="5"/>
      <c r="N130" s="22"/>
      <c r="O130" s="5"/>
      <c r="P130" s="5"/>
      <c r="Q130" s="5"/>
      <c r="R130" s="4"/>
      <c r="S130" s="4"/>
      <c r="T130" s="4"/>
      <c r="U130" s="4"/>
      <c r="V130" s="4"/>
      <c r="W130" s="4"/>
    </row>
    <row r="131" spans="1:23" x14ac:dyDescent="0.25">
      <c r="A131" s="8"/>
      <c r="B131" s="6"/>
      <c r="C131" s="4"/>
      <c r="D131" s="4"/>
      <c r="E131" s="5"/>
      <c r="F131" s="5"/>
      <c r="G131" s="5"/>
      <c r="H131" s="5"/>
      <c r="I131" s="5"/>
      <c r="J131" s="5"/>
      <c r="K131" s="5"/>
      <c r="L131" s="46"/>
      <c r="M131" s="5"/>
      <c r="N131" s="22"/>
      <c r="O131" s="5"/>
      <c r="P131" s="5"/>
      <c r="Q131" s="5"/>
      <c r="R131" s="4"/>
      <c r="S131" s="4"/>
      <c r="T131" s="4"/>
      <c r="U131" s="4"/>
      <c r="V131" s="4"/>
      <c r="W131" s="4"/>
    </row>
    <row r="132" spans="1:23" x14ac:dyDescent="0.25">
      <c r="A132" s="8"/>
      <c r="B132" s="6"/>
      <c r="C132" s="4"/>
      <c r="D132" s="17"/>
      <c r="E132" s="5"/>
      <c r="F132" s="5"/>
      <c r="G132" s="5"/>
      <c r="H132" s="5"/>
      <c r="I132" s="5"/>
      <c r="J132" s="5"/>
      <c r="K132" s="5"/>
      <c r="L132" s="46"/>
      <c r="M132" s="5"/>
      <c r="N132" s="22"/>
      <c r="O132" s="5"/>
      <c r="P132" s="5"/>
      <c r="Q132" s="5"/>
      <c r="R132" s="4"/>
      <c r="S132" s="4"/>
      <c r="T132" s="4"/>
      <c r="U132" s="4"/>
      <c r="V132" s="4"/>
      <c r="W132" s="4"/>
    </row>
    <row r="133" spans="1:23" x14ac:dyDescent="0.25">
      <c r="A133" s="8"/>
      <c r="B133" s="6"/>
      <c r="C133" s="4"/>
      <c r="D133" s="25"/>
      <c r="E133" s="5"/>
      <c r="F133" s="5"/>
      <c r="G133" s="5"/>
      <c r="H133" s="5"/>
      <c r="I133" s="5"/>
      <c r="J133" s="5"/>
      <c r="K133" s="5"/>
      <c r="L133" s="46"/>
      <c r="M133" s="5"/>
      <c r="N133" s="22"/>
      <c r="O133" s="5"/>
      <c r="P133" s="5"/>
      <c r="Q133" s="5"/>
      <c r="R133" s="4"/>
      <c r="S133" s="4"/>
      <c r="T133" s="4"/>
      <c r="U133" s="4"/>
      <c r="V133" s="4"/>
      <c r="W133" s="4"/>
    </row>
    <row r="134" spans="1:23" x14ac:dyDescent="0.25">
      <c r="A134" s="8"/>
      <c r="B134" s="6"/>
      <c r="C134" s="4"/>
      <c r="D134" s="17"/>
      <c r="E134" s="5"/>
      <c r="F134" s="5"/>
      <c r="G134" s="5"/>
      <c r="H134" s="5"/>
      <c r="I134" s="5"/>
      <c r="J134" s="5"/>
      <c r="K134" s="5"/>
      <c r="L134" s="46"/>
      <c r="M134" s="5"/>
      <c r="N134" s="22"/>
      <c r="O134" s="5"/>
      <c r="P134" s="5"/>
      <c r="Q134" s="5"/>
      <c r="R134" s="4"/>
      <c r="S134" s="4"/>
      <c r="T134" s="4"/>
      <c r="U134" s="4"/>
      <c r="V134" s="4"/>
      <c r="W134" s="4"/>
    </row>
    <row r="135" spans="1:23" x14ac:dyDescent="0.25">
      <c r="A135" s="8"/>
      <c r="B135" s="6"/>
      <c r="C135" s="4"/>
      <c r="D135" s="17"/>
      <c r="E135" s="5"/>
      <c r="F135" s="5"/>
      <c r="G135" s="5"/>
      <c r="H135" s="5"/>
      <c r="I135" s="5"/>
      <c r="J135" s="5"/>
      <c r="K135" s="5"/>
      <c r="L135" s="46"/>
      <c r="M135" s="5"/>
      <c r="N135" s="22"/>
      <c r="O135" s="5"/>
      <c r="P135" s="5"/>
      <c r="Q135" s="5"/>
      <c r="R135" s="4"/>
      <c r="S135" s="4"/>
      <c r="T135" s="4"/>
      <c r="U135" s="4"/>
      <c r="V135" s="4"/>
      <c r="W135" s="4"/>
    </row>
    <row r="136" spans="1:23" x14ac:dyDescent="0.25">
      <c r="A136" s="8"/>
      <c r="B136" s="6"/>
      <c r="C136" s="4"/>
      <c r="D136" s="4"/>
      <c r="E136" s="5"/>
      <c r="F136" s="5"/>
      <c r="G136" s="5"/>
      <c r="H136" s="5"/>
      <c r="I136" s="5"/>
      <c r="J136" s="5"/>
      <c r="K136" s="5"/>
      <c r="L136" s="46"/>
      <c r="M136" s="5"/>
      <c r="N136" s="22"/>
      <c r="O136" s="5"/>
      <c r="P136" s="5"/>
      <c r="Q136" s="5"/>
      <c r="R136" s="4"/>
      <c r="S136" s="4"/>
      <c r="T136" s="4"/>
      <c r="U136" s="4"/>
      <c r="V136" s="4"/>
      <c r="W136" s="4"/>
    </row>
    <row r="137" spans="1:23" x14ac:dyDescent="0.25">
      <c r="A137" s="8"/>
      <c r="B137" s="6"/>
      <c r="C137" s="4"/>
      <c r="D137" s="4"/>
      <c r="E137" s="5"/>
      <c r="F137" s="5"/>
      <c r="G137" s="5"/>
      <c r="H137" s="5"/>
      <c r="I137" s="5"/>
      <c r="J137" s="5"/>
      <c r="K137" s="5"/>
      <c r="L137" s="46"/>
      <c r="M137" s="5"/>
      <c r="N137" s="22"/>
      <c r="O137" s="5"/>
      <c r="P137" s="5"/>
      <c r="Q137" s="5"/>
      <c r="R137" s="4"/>
      <c r="S137" s="4"/>
      <c r="T137" s="4"/>
      <c r="U137" s="4"/>
      <c r="V137" s="4"/>
      <c r="W137" s="4"/>
    </row>
    <row r="138" spans="1:23" x14ac:dyDescent="0.25">
      <c r="A138" s="8"/>
      <c r="B138" s="6"/>
      <c r="C138" s="4"/>
      <c r="D138" s="4"/>
      <c r="E138" s="5"/>
      <c r="F138" s="5"/>
      <c r="G138" s="5"/>
      <c r="H138" s="5"/>
      <c r="I138" s="5"/>
      <c r="J138" s="5"/>
      <c r="K138" s="5"/>
      <c r="L138" s="4"/>
      <c r="M138" s="5"/>
      <c r="N138" s="46"/>
      <c r="O138" s="5"/>
      <c r="P138" s="5"/>
      <c r="Q138" s="5"/>
      <c r="R138" s="4"/>
      <c r="S138" s="4"/>
      <c r="T138" s="4"/>
      <c r="U138" s="4"/>
      <c r="V138" s="4"/>
      <c r="W138" s="4"/>
    </row>
    <row r="139" spans="1:23" x14ac:dyDescent="0.25">
      <c r="A139" s="8"/>
      <c r="B139" s="6"/>
      <c r="C139" s="4"/>
      <c r="D139" s="17"/>
      <c r="E139" s="5"/>
      <c r="F139" s="5"/>
      <c r="G139" s="5"/>
      <c r="H139" s="5"/>
      <c r="I139" s="5"/>
      <c r="J139" s="5"/>
      <c r="K139" s="5"/>
      <c r="L139" s="4"/>
      <c r="M139" s="5"/>
      <c r="N139" s="22"/>
      <c r="O139" s="5"/>
      <c r="P139" s="5"/>
      <c r="Q139" s="5"/>
      <c r="R139" s="4"/>
      <c r="S139" s="4"/>
      <c r="T139" s="4"/>
      <c r="U139" s="4"/>
      <c r="V139" s="4"/>
      <c r="W139" s="4"/>
    </row>
    <row r="140" spans="1:23" x14ac:dyDescent="0.25">
      <c r="A140" s="8"/>
      <c r="B140" s="6"/>
      <c r="C140" s="4"/>
      <c r="D140" s="17"/>
      <c r="E140" s="5"/>
      <c r="F140" s="5"/>
      <c r="G140" s="5"/>
      <c r="H140" s="5"/>
      <c r="I140" s="5"/>
      <c r="J140" s="5"/>
      <c r="K140" s="5"/>
      <c r="L140" s="4"/>
      <c r="M140" s="5"/>
      <c r="N140" s="22"/>
      <c r="O140" s="5"/>
      <c r="P140" s="5"/>
      <c r="Q140" s="5"/>
      <c r="R140" s="4"/>
      <c r="S140" s="4"/>
      <c r="T140" s="4"/>
      <c r="U140" s="4"/>
      <c r="V140" s="4"/>
      <c r="W140" s="4"/>
    </row>
    <row r="141" spans="1:23" x14ac:dyDescent="0.25">
      <c r="A141" s="8"/>
      <c r="B141" s="6"/>
      <c r="C141" s="4"/>
      <c r="D141" s="17"/>
      <c r="E141" s="5"/>
      <c r="F141" s="5"/>
      <c r="G141" s="5"/>
      <c r="H141" s="5"/>
      <c r="I141" s="5"/>
      <c r="J141" s="5"/>
      <c r="K141" s="5"/>
      <c r="L141" s="4"/>
      <c r="M141" s="5"/>
      <c r="N141" s="22"/>
      <c r="O141" s="5"/>
      <c r="P141" s="5"/>
      <c r="Q141" s="5"/>
      <c r="R141" s="4"/>
      <c r="S141" s="4"/>
      <c r="T141" s="4"/>
      <c r="U141" s="4"/>
      <c r="V141" s="4"/>
      <c r="W141" s="4"/>
    </row>
    <row r="142" spans="1:23" x14ac:dyDescent="0.25">
      <c r="A142" s="8"/>
      <c r="B142" s="6"/>
      <c r="C142" s="4"/>
      <c r="D142" s="17"/>
      <c r="E142" s="5"/>
      <c r="F142" s="5"/>
      <c r="G142" s="5"/>
      <c r="H142" s="5"/>
      <c r="I142" s="5"/>
      <c r="J142" s="5"/>
      <c r="K142" s="5"/>
      <c r="L142" s="4"/>
      <c r="M142" s="5"/>
      <c r="N142" s="22"/>
      <c r="O142" s="5"/>
      <c r="P142" s="5"/>
      <c r="Q142" s="5"/>
      <c r="R142" s="4"/>
      <c r="S142" s="4"/>
      <c r="T142" s="4"/>
      <c r="U142" s="4"/>
      <c r="V142" s="4"/>
      <c r="W142" s="4"/>
    </row>
    <row r="143" spans="1:23" x14ac:dyDescent="0.25">
      <c r="A143" s="8"/>
      <c r="B143" s="6"/>
      <c r="C143" s="4"/>
      <c r="D143" s="17"/>
      <c r="E143" s="5"/>
      <c r="F143" s="5"/>
      <c r="G143" s="5"/>
      <c r="H143" s="5"/>
      <c r="I143" s="5"/>
      <c r="J143" s="5"/>
      <c r="K143" s="5"/>
      <c r="L143" s="4"/>
      <c r="M143" s="5"/>
      <c r="N143" s="22"/>
      <c r="O143" s="5"/>
      <c r="P143" s="5"/>
      <c r="Q143" s="5"/>
      <c r="R143" s="4"/>
      <c r="S143" s="4"/>
      <c r="T143" s="4"/>
      <c r="U143" s="4"/>
      <c r="V143" s="4"/>
      <c r="W143" s="4"/>
    </row>
    <row r="144" spans="1:23" x14ac:dyDescent="0.25">
      <c r="A144" s="8"/>
      <c r="B144" s="6"/>
      <c r="C144" s="4"/>
      <c r="D144" s="17"/>
      <c r="E144" s="5"/>
      <c r="F144" s="5"/>
      <c r="G144" s="5"/>
      <c r="H144" s="5"/>
      <c r="I144" s="5"/>
      <c r="J144" s="5"/>
      <c r="K144" s="5"/>
      <c r="L144" s="4"/>
      <c r="M144" s="5"/>
      <c r="N144" s="22"/>
      <c r="O144" s="5"/>
      <c r="P144" s="5"/>
      <c r="Q144" s="5"/>
      <c r="R144" s="4"/>
      <c r="S144" s="4"/>
      <c r="T144" s="4"/>
      <c r="U144" s="4"/>
      <c r="V144" s="4"/>
      <c r="W144" s="4"/>
    </row>
    <row r="145" spans="1:23" x14ac:dyDescent="0.25">
      <c r="A145" s="8"/>
      <c r="B145" s="6"/>
      <c r="C145" s="4"/>
      <c r="D145" s="17"/>
      <c r="E145" s="5"/>
      <c r="F145" s="5"/>
      <c r="G145" s="5"/>
      <c r="H145" s="5"/>
      <c r="I145" s="5"/>
      <c r="J145" s="5"/>
      <c r="K145" s="5"/>
      <c r="L145" s="4"/>
      <c r="M145" s="5"/>
      <c r="N145" s="22"/>
      <c r="O145" s="5"/>
      <c r="P145" s="5"/>
      <c r="Q145" s="5"/>
      <c r="R145" s="4"/>
      <c r="S145" s="4"/>
      <c r="T145" s="4"/>
      <c r="U145" s="4"/>
      <c r="V145" s="4"/>
      <c r="W145" s="4"/>
    </row>
    <row r="146" spans="1:23" x14ac:dyDescent="0.25">
      <c r="A146" s="8"/>
      <c r="B146" s="6"/>
      <c r="C146" s="4"/>
      <c r="D146" s="17"/>
      <c r="E146" s="5"/>
      <c r="F146" s="5"/>
      <c r="G146" s="5"/>
      <c r="H146" s="5"/>
      <c r="I146" s="5"/>
      <c r="J146" s="5"/>
      <c r="K146" s="5"/>
      <c r="L146" s="4"/>
      <c r="M146" s="5"/>
      <c r="N146" s="22"/>
      <c r="O146" s="5"/>
      <c r="P146" s="5"/>
      <c r="Q146" s="5"/>
      <c r="R146" s="4"/>
      <c r="S146" s="4"/>
      <c r="T146" s="4"/>
      <c r="U146" s="4"/>
      <c r="V146" s="4"/>
      <c r="W146" s="4"/>
    </row>
    <row r="147" spans="1:23" x14ac:dyDescent="0.25">
      <c r="A147" s="8"/>
      <c r="B147" s="6"/>
      <c r="C147" s="4"/>
      <c r="D147" s="17"/>
      <c r="E147" s="5"/>
      <c r="F147" s="5"/>
      <c r="G147" s="5"/>
      <c r="H147" s="5"/>
      <c r="I147" s="5"/>
      <c r="J147" s="5"/>
      <c r="K147" s="5"/>
      <c r="L147" s="4"/>
      <c r="M147" s="5"/>
      <c r="N147" s="22"/>
      <c r="O147" s="5"/>
      <c r="P147" s="5"/>
      <c r="Q147" s="5"/>
      <c r="R147" s="4"/>
      <c r="S147" s="4"/>
      <c r="T147" s="4"/>
      <c r="U147" s="4"/>
      <c r="V147" s="4"/>
      <c r="W147" s="4"/>
    </row>
    <row r="148" spans="1:23" x14ac:dyDescent="0.25">
      <c r="A148" s="8"/>
      <c r="B148" s="6"/>
      <c r="C148" s="4"/>
      <c r="D148" s="17"/>
      <c r="E148" s="5"/>
      <c r="F148" s="5"/>
      <c r="G148" s="5"/>
      <c r="H148" s="5"/>
      <c r="I148" s="5"/>
      <c r="J148" s="5"/>
      <c r="K148" s="5"/>
      <c r="L148" s="4"/>
      <c r="M148" s="5"/>
      <c r="N148" s="22"/>
      <c r="O148" s="5"/>
      <c r="P148" s="5"/>
      <c r="Q148" s="5"/>
      <c r="R148" s="4"/>
      <c r="S148" s="4"/>
      <c r="T148" s="4"/>
      <c r="U148" s="4"/>
      <c r="V148" s="4"/>
      <c r="W148" s="4"/>
    </row>
    <row r="149" spans="1:23" x14ac:dyDescent="0.25">
      <c r="A149" s="54"/>
      <c r="B149" s="55"/>
      <c r="C149" s="4"/>
      <c r="D149" s="17"/>
      <c r="E149" s="58"/>
      <c r="F149" s="58"/>
      <c r="G149" s="58"/>
      <c r="H149" s="58"/>
      <c r="I149" s="58"/>
      <c r="J149" s="58"/>
      <c r="K149" s="58"/>
      <c r="L149" s="56"/>
      <c r="M149" s="58"/>
      <c r="N149" s="22"/>
      <c r="O149" s="58"/>
      <c r="P149" s="58"/>
      <c r="Q149" s="58"/>
      <c r="R149" s="56"/>
      <c r="S149" s="56"/>
      <c r="T149" s="56"/>
      <c r="U149" s="56"/>
      <c r="V149" s="56"/>
      <c r="W149" s="56"/>
    </row>
    <row r="150" spans="1:23" x14ac:dyDescent="0.25">
      <c r="A150" s="54"/>
      <c r="B150" s="55"/>
      <c r="C150" s="4"/>
      <c r="D150" s="17"/>
      <c r="E150" s="58"/>
      <c r="F150" s="58"/>
      <c r="G150" s="58"/>
      <c r="H150" s="58"/>
      <c r="I150" s="58"/>
      <c r="J150" s="58"/>
      <c r="K150" s="58"/>
      <c r="L150" s="56"/>
      <c r="M150" s="58"/>
      <c r="N150" s="22"/>
      <c r="O150" s="58"/>
      <c r="P150" s="58"/>
      <c r="Q150" s="58"/>
      <c r="R150" s="56"/>
      <c r="S150" s="56"/>
      <c r="T150" s="56"/>
      <c r="U150" s="56"/>
      <c r="V150" s="56"/>
      <c r="W150" s="56"/>
    </row>
    <row r="151" spans="1:23" x14ac:dyDescent="0.25">
      <c r="A151" s="54"/>
      <c r="B151" s="55"/>
      <c r="C151" s="4"/>
      <c r="D151" s="17"/>
      <c r="E151" s="58"/>
      <c r="F151" s="58"/>
      <c r="G151" s="58"/>
      <c r="H151" s="58"/>
      <c r="I151" s="58"/>
      <c r="J151" s="58"/>
      <c r="K151" s="58"/>
      <c r="L151" s="56"/>
      <c r="M151" s="58"/>
      <c r="N151" s="22"/>
      <c r="O151" s="58"/>
      <c r="P151" s="58"/>
      <c r="Q151" s="58"/>
      <c r="R151" s="56"/>
      <c r="S151" s="56"/>
      <c r="T151" s="56"/>
      <c r="U151" s="56"/>
      <c r="V151" s="56"/>
      <c r="W151" s="56"/>
    </row>
    <row r="152" spans="1:23" x14ac:dyDescent="0.25">
      <c r="A152" s="54"/>
      <c r="B152" s="55"/>
      <c r="C152" s="4"/>
      <c r="D152" s="17"/>
      <c r="E152" s="58"/>
      <c r="F152" s="58"/>
      <c r="G152" s="58"/>
      <c r="H152" s="58"/>
      <c r="I152" s="58"/>
      <c r="J152" s="58"/>
      <c r="K152" s="58"/>
      <c r="L152" s="56"/>
      <c r="M152" s="58"/>
      <c r="N152" s="22"/>
      <c r="O152" s="58"/>
      <c r="P152" s="58"/>
      <c r="Q152" s="58"/>
      <c r="R152" s="56"/>
      <c r="S152" s="56"/>
      <c r="T152" s="56"/>
      <c r="U152" s="56"/>
      <c r="V152" s="56"/>
      <c r="W152" s="56"/>
    </row>
    <row r="153" spans="1:23" x14ac:dyDescent="0.25">
      <c r="A153" s="60"/>
      <c r="B153" s="55"/>
      <c r="C153" s="13"/>
      <c r="D153" s="61"/>
      <c r="E153" s="55"/>
      <c r="F153" s="55"/>
      <c r="G153" s="55"/>
      <c r="H153" s="55"/>
      <c r="I153" s="55"/>
      <c r="J153" s="55"/>
      <c r="K153" s="55"/>
      <c r="L153" s="59"/>
      <c r="M153" s="55"/>
      <c r="N153" s="22"/>
      <c r="O153" s="55"/>
      <c r="P153" s="55"/>
      <c r="Q153" s="55"/>
      <c r="R153" s="56"/>
      <c r="S153" s="56"/>
      <c r="T153" s="56"/>
      <c r="U153" s="56"/>
      <c r="V153" s="56"/>
      <c r="W153" s="56"/>
    </row>
    <row r="154" spans="1:23" x14ac:dyDescent="0.25">
      <c r="A154" s="54"/>
      <c r="B154" s="55"/>
      <c r="C154" s="4"/>
      <c r="D154" s="17"/>
      <c r="E154" s="58"/>
      <c r="F154" s="58"/>
      <c r="G154" s="58"/>
      <c r="H154" s="58"/>
      <c r="I154" s="58"/>
      <c r="J154" s="58"/>
      <c r="K154" s="58"/>
      <c r="L154" s="56"/>
      <c r="M154" s="58"/>
      <c r="N154" s="22"/>
      <c r="O154" s="58"/>
      <c r="P154" s="58"/>
      <c r="Q154" s="58"/>
      <c r="R154" s="56"/>
      <c r="S154" s="56"/>
      <c r="T154" s="56"/>
      <c r="U154" s="56"/>
      <c r="V154" s="56"/>
      <c r="W154" s="56"/>
    </row>
    <row r="155" spans="1:23" x14ac:dyDescent="0.25">
      <c r="A155" s="54"/>
      <c r="B155" s="55"/>
      <c r="C155" s="56"/>
      <c r="D155" s="17"/>
      <c r="E155" s="58"/>
      <c r="F155" s="58"/>
      <c r="G155" s="58"/>
      <c r="H155" s="58"/>
      <c r="I155" s="58"/>
      <c r="J155" s="58"/>
      <c r="K155" s="58"/>
      <c r="L155" s="56"/>
      <c r="M155" s="58"/>
      <c r="N155" s="57"/>
      <c r="O155" s="58"/>
      <c r="P155" s="58"/>
      <c r="Q155" s="58"/>
      <c r="R155" s="56"/>
      <c r="S155" s="56"/>
      <c r="T155" s="56"/>
      <c r="U155" s="56"/>
      <c r="V155" s="56"/>
      <c r="W155" s="56"/>
    </row>
    <row r="156" spans="1:23" x14ac:dyDescent="0.25">
      <c r="A156" s="8"/>
      <c r="B156" s="6"/>
      <c r="C156" s="4"/>
      <c r="D156" s="17"/>
      <c r="E156" s="5"/>
      <c r="F156" s="5"/>
      <c r="G156" s="5"/>
      <c r="H156" s="5"/>
      <c r="I156" s="5"/>
      <c r="J156" s="5"/>
      <c r="K156" s="5"/>
      <c r="L156" s="4"/>
      <c r="M156" s="4"/>
      <c r="N156" s="22"/>
      <c r="O156" s="5"/>
      <c r="P156" s="5"/>
      <c r="Q156" s="5"/>
      <c r="R156" s="4"/>
      <c r="S156" s="4"/>
      <c r="T156" s="4"/>
      <c r="U156" s="4"/>
      <c r="V156" s="4"/>
      <c r="W156" s="4"/>
    </row>
    <row r="157" spans="1:23" x14ac:dyDescent="0.25">
      <c r="A157" s="8"/>
      <c r="B157" s="6"/>
      <c r="C157" s="4"/>
      <c r="D157" s="17"/>
      <c r="E157" s="5"/>
      <c r="F157" s="5"/>
      <c r="G157" s="5"/>
      <c r="H157" s="5"/>
      <c r="I157" s="5"/>
      <c r="J157" s="5"/>
      <c r="K157" s="5"/>
      <c r="L157" s="4"/>
      <c r="M157" s="5"/>
      <c r="N157" s="22"/>
      <c r="O157" s="5"/>
      <c r="P157" s="5"/>
      <c r="Q157" s="5"/>
      <c r="R157" s="4"/>
      <c r="S157" s="4"/>
      <c r="T157" s="4"/>
      <c r="U157" s="4"/>
      <c r="V157" s="4"/>
      <c r="W157" s="4"/>
    </row>
    <row r="158" spans="1:23" x14ac:dyDescent="0.25">
      <c r="A158" s="8"/>
      <c r="B158" s="6"/>
      <c r="C158" s="4"/>
      <c r="D158" s="4"/>
      <c r="E158" s="5"/>
      <c r="F158" s="5"/>
      <c r="G158" s="5"/>
      <c r="H158" s="5"/>
      <c r="I158" s="5"/>
      <c r="J158" s="5"/>
      <c r="K158" s="5"/>
      <c r="L158" s="46"/>
      <c r="M158" s="5"/>
      <c r="N158" s="46"/>
      <c r="O158" s="5"/>
      <c r="P158" s="5"/>
      <c r="Q158" s="5"/>
      <c r="R158" s="4"/>
      <c r="S158" s="4"/>
      <c r="T158" s="4"/>
      <c r="U158" s="4"/>
      <c r="V158" s="4"/>
      <c r="W158" s="4"/>
    </row>
    <row r="159" spans="1:23" x14ac:dyDescent="0.25">
      <c r="A159" s="8"/>
      <c r="B159" s="6"/>
      <c r="C159" s="4"/>
      <c r="D159" s="10"/>
      <c r="E159" s="5"/>
      <c r="F159" s="5"/>
      <c r="G159" s="5"/>
      <c r="H159" s="5"/>
      <c r="I159" s="5"/>
      <c r="J159" s="5"/>
      <c r="K159" s="5"/>
      <c r="L159" s="46"/>
      <c r="M159" s="5"/>
      <c r="N159" s="57"/>
      <c r="O159" s="5"/>
      <c r="P159" s="5"/>
      <c r="Q159" s="5"/>
      <c r="R159" s="4"/>
      <c r="S159" s="4"/>
      <c r="T159" s="4"/>
      <c r="U159" s="4"/>
      <c r="V159" s="4"/>
      <c r="W159" s="4"/>
    </row>
    <row r="160" spans="1:23" x14ac:dyDescent="0.25">
      <c r="A160" s="8"/>
      <c r="B160" s="6"/>
      <c r="C160" s="4"/>
      <c r="D160" s="10"/>
      <c r="E160" s="5"/>
      <c r="F160" s="5"/>
      <c r="G160" s="5"/>
      <c r="H160" s="5"/>
      <c r="I160" s="5"/>
      <c r="J160" s="5"/>
      <c r="K160" s="5"/>
      <c r="L160" s="46"/>
      <c r="M160" s="5"/>
      <c r="N160" s="57"/>
      <c r="O160" s="5"/>
      <c r="P160" s="5"/>
      <c r="Q160" s="5"/>
      <c r="R160" s="4"/>
      <c r="S160" s="4"/>
      <c r="T160" s="4"/>
      <c r="U160" s="4"/>
      <c r="V160" s="4"/>
      <c r="W160" s="4"/>
    </row>
    <row r="161" spans="1:23" x14ac:dyDescent="0.25">
      <c r="A161" s="8"/>
      <c r="B161" s="6"/>
      <c r="C161" s="4"/>
      <c r="D161" s="17"/>
      <c r="E161" s="5"/>
      <c r="F161" s="5"/>
      <c r="G161" s="5"/>
      <c r="H161" s="5"/>
      <c r="I161" s="5"/>
      <c r="J161" s="5"/>
      <c r="K161" s="5"/>
      <c r="L161" s="46"/>
      <c r="M161" s="5"/>
      <c r="N161" s="57"/>
      <c r="O161" s="5"/>
      <c r="P161" s="5"/>
      <c r="Q161" s="5"/>
      <c r="R161" s="4"/>
      <c r="S161" s="4"/>
      <c r="T161" s="4"/>
      <c r="U161" s="4"/>
      <c r="V161" s="4"/>
      <c r="W161" s="4"/>
    </row>
    <row r="162" spans="1:23" x14ac:dyDescent="0.25">
      <c r="A162" s="8"/>
      <c r="B162" s="6"/>
      <c r="C162" s="4"/>
      <c r="D162" s="48"/>
      <c r="E162" s="5"/>
      <c r="F162" s="5"/>
      <c r="G162" s="5"/>
      <c r="H162" s="5"/>
      <c r="I162" s="5"/>
      <c r="J162" s="5"/>
      <c r="K162" s="5"/>
      <c r="L162" s="46"/>
      <c r="M162" s="5"/>
      <c r="N162" s="57"/>
      <c r="O162" s="5"/>
      <c r="P162" s="5"/>
      <c r="Q162" s="5"/>
      <c r="R162" s="4"/>
      <c r="S162" s="4"/>
      <c r="T162" s="4"/>
      <c r="U162" s="4"/>
      <c r="V162" s="4"/>
      <c r="W162" s="4"/>
    </row>
    <row r="163" spans="1:23" x14ac:dyDescent="0.25">
      <c r="A163" s="8"/>
      <c r="B163" s="6"/>
      <c r="C163" s="4"/>
      <c r="D163" s="10"/>
      <c r="E163" s="5"/>
      <c r="F163" s="5"/>
      <c r="G163" s="5"/>
      <c r="H163" s="5"/>
      <c r="I163" s="5"/>
      <c r="J163" s="5"/>
      <c r="K163" s="5"/>
      <c r="L163" s="4"/>
      <c r="M163" s="5"/>
      <c r="N163" s="57"/>
      <c r="O163" s="5"/>
      <c r="P163" s="5"/>
      <c r="Q163" s="5"/>
      <c r="R163" s="4"/>
      <c r="S163" s="4"/>
      <c r="T163" s="4"/>
      <c r="U163" s="4"/>
      <c r="V163" s="4"/>
      <c r="W163" s="4"/>
    </row>
    <row r="164" spans="1:23" x14ac:dyDescent="0.25">
      <c r="A164" s="8"/>
      <c r="B164" s="6"/>
      <c r="C164" s="4"/>
      <c r="D164" s="17"/>
      <c r="E164" s="5"/>
      <c r="F164" s="5"/>
      <c r="G164" s="5"/>
      <c r="H164" s="5"/>
      <c r="I164" s="5"/>
      <c r="J164" s="5"/>
      <c r="K164" s="5"/>
      <c r="L164" s="4"/>
      <c r="M164" s="5"/>
      <c r="N164" s="57"/>
      <c r="O164" s="5"/>
      <c r="P164" s="5"/>
      <c r="Q164" s="5"/>
      <c r="R164" s="4"/>
      <c r="S164" s="4"/>
      <c r="T164" s="4"/>
      <c r="U164" s="4"/>
      <c r="V164" s="4"/>
      <c r="W164" s="4"/>
    </row>
    <row r="165" spans="1:23" x14ac:dyDescent="0.25">
      <c r="A165" s="19"/>
      <c r="B165" s="6"/>
      <c r="C165" s="13"/>
      <c r="D165" s="48"/>
      <c r="E165" s="6"/>
      <c r="F165" s="6"/>
      <c r="G165" s="6"/>
      <c r="H165" s="6"/>
      <c r="I165" s="6"/>
      <c r="J165" s="6"/>
      <c r="K165" s="6"/>
      <c r="L165" s="4"/>
      <c r="M165" s="5"/>
      <c r="N165" s="57"/>
      <c r="O165" s="5"/>
      <c r="P165" s="5"/>
      <c r="Q165" s="5"/>
      <c r="R165" s="4"/>
      <c r="S165" s="4"/>
      <c r="T165" s="4"/>
      <c r="U165" s="4"/>
      <c r="V165" s="4"/>
      <c r="W165" s="4"/>
    </row>
    <row r="166" spans="1:23" x14ac:dyDescent="0.25">
      <c r="A166" s="19"/>
      <c r="B166" s="6"/>
      <c r="C166" s="13"/>
      <c r="D166" s="66"/>
      <c r="E166" s="6"/>
      <c r="F166" s="6"/>
      <c r="G166" s="6"/>
      <c r="H166" s="6"/>
      <c r="I166" s="6"/>
      <c r="J166" s="6"/>
      <c r="K166" s="6"/>
      <c r="L166" s="4"/>
      <c r="M166" s="5"/>
      <c r="N166" s="65"/>
      <c r="O166" s="5"/>
      <c r="P166" s="5"/>
      <c r="Q166" s="5"/>
      <c r="R166" s="4"/>
      <c r="S166" s="4"/>
      <c r="T166" s="4"/>
      <c r="U166" s="4"/>
      <c r="V166" s="4"/>
      <c r="W166" s="4"/>
    </row>
    <row r="167" spans="1:23" x14ac:dyDescent="0.25">
      <c r="A167" s="8"/>
      <c r="B167" s="6"/>
      <c r="C167" s="4"/>
      <c r="D167" s="10"/>
      <c r="E167" s="5"/>
      <c r="F167" s="5"/>
      <c r="G167" s="5"/>
      <c r="H167" s="5"/>
      <c r="I167" s="5"/>
      <c r="J167" s="5"/>
      <c r="K167" s="5"/>
      <c r="L167" s="4"/>
      <c r="M167" s="5"/>
      <c r="N167" s="57"/>
      <c r="O167" s="5"/>
      <c r="P167" s="5"/>
      <c r="Q167" s="5"/>
      <c r="R167" s="4"/>
      <c r="S167" s="4"/>
      <c r="T167" s="4"/>
      <c r="U167" s="4"/>
      <c r="V167" s="4"/>
      <c r="W167" s="4"/>
    </row>
    <row r="168" spans="1:23" x14ac:dyDescent="0.25">
      <c r="A168" s="8"/>
      <c r="B168" s="6"/>
      <c r="C168" s="4"/>
      <c r="D168" s="10"/>
      <c r="E168" s="5"/>
      <c r="F168" s="5"/>
      <c r="G168" s="5"/>
      <c r="H168" s="5"/>
      <c r="I168" s="5"/>
      <c r="J168" s="5"/>
      <c r="K168" s="5"/>
      <c r="L168" s="4"/>
      <c r="M168" s="5"/>
      <c r="N168" s="57"/>
      <c r="O168" s="5"/>
      <c r="P168" s="5"/>
      <c r="Q168" s="5"/>
      <c r="R168" s="4"/>
      <c r="S168" s="4"/>
      <c r="T168" s="4"/>
      <c r="U168" s="4"/>
      <c r="V168" s="4"/>
      <c r="W168" s="4"/>
    </row>
    <row r="169" spans="1:23" x14ac:dyDescent="0.25">
      <c r="A169" s="8"/>
      <c r="B169" s="6"/>
      <c r="C169" s="4"/>
      <c r="D169" s="4"/>
      <c r="E169" s="5"/>
      <c r="F169" s="5"/>
      <c r="G169" s="5"/>
      <c r="H169" s="5"/>
      <c r="I169" s="5"/>
      <c r="J169" s="5"/>
      <c r="K169" s="5"/>
      <c r="L169" s="4"/>
      <c r="M169" s="5"/>
      <c r="N169" s="57"/>
      <c r="O169" s="5"/>
      <c r="P169" s="5"/>
      <c r="Q169" s="5"/>
      <c r="R169" s="4"/>
      <c r="S169" s="4"/>
      <c r="T169" s="4"/>
      <c r="U169" s="4"/>
      <c r="V169" s="4"/>
      <c r="W169" s="4"/>
    </row>
    <row r="170" spans="1:23" x14ac:dyDescent="0.25">
      <c r="A170" s="4"/>
      <c r="B170" s="6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x14ac:dyDescent="0.25">
      <c r="A171" s="4"/>
      <c r="B171" s="6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x14ac:dyDescent="0.25">
      <c r="A172" s="4"/>
      <c r="B172" s="6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x14ac:dyDescent="0.25">
      <c r="A173" s="4"/>
      <c r="B173" s="6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x14ac:dyDescent="0.25">
      <c r="A174" s="4"/>
      <c r="B174" s="6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x14ac:dyDescent="0.25">
      <c r="A175" s="4"/>
      <c r="B175" s="6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x14ac:dyDescent="0.25">
      <c r="A176" s="4"/>
      <c r="B176" s="6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x14ac:dyDescent="0.25">
      <c r="A177" s="4"/>
      <c r="B177" s="6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x14ac:dyDescent="0.25">
      <c r="A178" s="4"/>
      <c r="B178" s="6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</sheetData>
  <autoFilter ref="A3:W169" xr:uid="{00000000-0001-0000-0000-000000000000}"/>
  <mergeCells count="2">
    <mergeCell ref="A1:V1"/>
    <mergeCell ref="A2:V2"/>
  </mergeCells>
  <pageMargins left="0.24" right="0.2" top="1.5" bottom="0.48" header="0.31496062992125984" footer="0.31496062992125984"/>
  <pageSetup scale="1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C0E4-5801-44E4-8850-06DE872BCD45}">
  <sheetPr codeName="Sheet2"/>
  <dimension ref="A1:W16"/>
  <sheetViews>
    <sheetView workbookViewId="0">
      <selection activeCell="C16" sqref="C16"/>
    </sheetView>
  </sheetViews>
  <sheetFormatPr defaultRowHeight="15" x14ac:dyDescent="0.25"/>
  <cols>
    <col min="1" max="1" width="11" customWidth="1"/>
    <col min="2" max="2" width="13.5703125" customWidth="1"/>
    <col min="3" max="3" width="14.5703125" customWidth="1"/>
    <col min="4" max="4" width="50.85546875" customWidth="1"/>
    <col min="5" max="5" width="12.5703125" customWidth="1"/>
    <col min="6" max="6" width="21.5703125" customWidth="1"/>
    <col min="10" max="10" width="14.85546875" customWidth="1"/>
    <col min="11" max="11" width="18.140625" customWidth="1"/>
    <col min="13" max="13" width="22.85546875" customWidth="1"/>
    <col min="14" max="14" width="25.7109375" customWidth="1"/>
    <col min="19" max="19" width="19.28515625" customWidth="1"/>
  </cols>
  <sheetData>
    <row r="1" spans="1:23" ht="36" x14ac:dyDescent="0.25">
      <c r="A1" s="1" t="s">
        <v>0</v>
      </c>
      <c r="B1" s="2" t="s">
        <v>1</v>
      </c>
      <c r="C1" s="2" t="s">
        <v>19</v>
      </c>
      <c r="D1" s="2" t="s">
        <v>2</v>
      </c>
      <c r="E1" s="2" t="s">
        <v>3</v>
      </c>
      <c r="F1" s="2" t="s">
        <v>15</v>
      </c>
      <c r="G1" s="2" t="s">
        <v>12</v>
      </c>
      <c r="H1" s="2" t="s">
        <v>13</v>
      </c>
      <c r="I1" s="2" t="s">
        <v>4</v>
      </c>
      <c r="J1" s="2" t="s">
        <v>5</v>
      </c>
      <c r="K1" s="2" t="s">
        <v>18</v>
      </c>
      <c r="L1" s="1" t="s">
        <v>6</v>
      </c>
      <c r="M1" s="1" t="s">
        <v>17</v>
      </c>
      <c r="N1" s="1" t="s">
        <v>16</v>
      </c>
      <c r="O1" s="2" t="s">
        <v>7</v>
      </c>
      <c r="P1" s="2" t="s">
        <v>18</v>
      </c>
      <c r="Q1" s="1" t="s">
        <v>8</v>
      </c>
      <c r="R1" s="1" t="s">
        <v>9</v>
      </c>
      <c r="S1" s="2" t="s">
        <v>10</v>
      </c>
      <c r="T1" s="2" t="s">
        <v>18</v>
      </c>
      <c r="U1" s="3"/>
      <c r="V1" s="3" t="s">
        <v>11</v>
      </c>
      <c r="W1" s="1" t="s">
        <v>14</v>
      </c>
    </row>
    <row r="2" spans="1:23" x14ac:dyDescent="0.25">
      <c r="A2" s="8">
        <v>46070</v>
      </c>
      <c r="B2" s="6" t="s">
        <v>121</v>
      </c>
      <c r="C2" s="13" t="s">
        <v>118</v>
      </c>
      <c r="D2" s="17" t="s">
        <v>118</v>
      </c>
      <c r="E2" s="18">
        <v>0</v>
      </c>
      <c r="F2" s="5">
        <v>160</v>
      </c>
      <c r="G2" s="5">
        <v>66</v>
      </c>
      <c r="H2" s="5">
        <v>14</v>
      </c>
      <c r="I2" s="5" t="s">
        <v>123</v>
      </c>
      <c r="J2" s="5"/>
      <c r="K2" s="11"/>
      <c r="L2" s="4" t="s">
        <v>122</v>
      </c>
      <c r="M2" s="5"/>
      <c r="N2" s="13" t="s">
        <v>124</v>
      </c>
      <c r="O2" s="5">
        <v>335</v>
      </c>
      <c r="P2" s="11"/>
      <c r="Q2" s="5"/>
      <c r="R2" s="5"/>
      <c r="S2" s="6"/>
      <c r="T2" s="6"/>
      <c r="U2" s="9"/>
      <c r="V2" s="12"/>
      <c r="W2" s="4"/>
    </row>
    <row r="3" spans="1:23" x14ac:dyDescent="0.25">
      <c r="A3" s="8">
        <v>46058</v>
      </c>
      <c r="B3" s="6" t="s">
        <v>107</v>
      </c>
      <c r="C3" s="13" t="s">
        <v>102</v>
      </c>
      <c r="D3" s="17" t="s">
        <v>108</v>
      </c>
      <c r="E3" s="15">
        <v>0</v>
      </c>
      <c r="F3" s="6">
        <v>415</v>
      </c>
      <c r="G3" s="6">
        <v>85</v>
      </c>
      <c r="H3" s="6">
        <v>2</v>
      </c>
      <c r="I3" s="6" t="s">
        <v>104</v>
      </c>
      <c r="J3" s="6">
        <v>0</v>
      </c>
      <c r="K3" s="11">
        <f t="shared" ref="K3:K16" si="0">F3*J3/1000</f>
        <v>0</v>
      </c>
      <c r="L3" s="14" t="s">
        <v>105</v>
      </c>
      <c r="M3" s="5"/>
      <c r="N3" s="13"/>
      <c r="O3" s="5">
        <v>680</v>
      </c>
      <c r="P3" s="11">
        <f t="shared" ref="P3:P16" si="1">O3*F3/1000</f>
        <v>282.2</v>
      </c>
      <c r="Q3" s="5">
        <v>0</v>
      </c>
      <c r="R3" s="5"/>
      <c r="S3" s="6"/>
      <c r="T3" s="6"/>
      <c r="U3" s="9"/>
      <c r="V3" s="12"/>
      <c r="W3" s="4" t="s">
        <v>106</v>
      </c>
    </row>
    <row r="4" spans="1:23" ht="15.75" x14ac:dyDescent="0.25">
      <c r="A4" s="8">
        <v>46058</v>
      </c>
      <c r="B4" s="6" t="s">
        <v>101</v>
      </c>
      <c r="C4" s="13" t="s">
        <v>102</v>
      </c>
      <c r="D4" s="24" t="s">
        <v>103</v>
      </c>
      <c r="E4" s="15">
        <v>5000</v>
      </c>
      <c r="F4" s="6">
        <v>415</v>
      </c>
      <c r="G4" s="6">
        <v>85</v>
      </c>
      <c r="H4" s="6">
        <v>2</v>
      </c>
      <c r="I4" s="6" t="s">
        <v>104</v>
      </c>
      <c r="J4" s="6">
        <v>676</v>
      </c>
      <c r="K4" s="11">
        <f t="shared" si="0"/>
        <v>280.54000000000002</v>
      </c>
      <c r="L4" s="14" t="s">
        <v>105</v>
      </c>
      <c r="M4" s="5"/>
      <c r="N4" s="13"/>
      <c r="O4" s="5">
        <v>522</v>
      </c>
      <c r="P4" s="11">
        <f t="shared" si="1"/>
        <v>216.63</v>
      </c>
      <c r="Q4" s="5"/>
      <c r="R4" s="5"/>
      <c r="S4" s="6"/>
      <c r="T4" s="6"/>
      <c r="U4" s="9"/>
      <c r="V4" s="12"/>
      <c r="W4" s="4" t="s">
        <v>106</v>
      </c>
    </row>
    <row r="5" spans="1:23" ht="15.75" x14ac:dyDescent="0.25">
      <c r="A5" s="8">
        <v>46070</v>
      </c>
      <c r="B5" s="6" t="s">
        <v>125</v>
      </c>
      <c r="C5" s="13" t="s">
        <v>126</v>
      </c>
      <c r="D5" s="29" t="s">
        <v>127</v>
      </c>
      <c r="E5" s="15">
        <v>0</v>
      </c>
      <c r="F5" s="6">
        <v>150</v>
      </c>
      <c r="G5" s="6">
        <v>94</v>
      </c>
      <c r="H5" s="6">
        <v>4</v>
      </c>
      <c r="I5" s="6" t="s">
        <v>128</v>
      </c>
      <c r="J5" s="6">
        <v>0</v>
      </c>
      <c r="K5" s="11">
        <f t="shared" si="0"/>
        <v>0</v>
      </c>
      <c r="L5" s="14" t="s">
        <v>115</v>
      </c>
      <c r="M5" s="5">
        <v>600</v>
      </c>
      <c r="N5" s="13" t="s">
        <v>97</v>
      </c>
      <c r="O5" s="5">
        <v>450</v>
      </c>
      <c r="P5" s="11">
        <f t="shared" si="1"/>
        <v>67.5</v>
      </c>
      <c r="Q5" s="5">
        <v>150</v>
      </c>
      <c r="R5" s="5"/>
      <c r="S5" s="6"/>
      <c r="T5" s="6"/>
      <c r="U5" s="9"/>
      <c r="V5" s="12"/>
      <c r="W5" s="4"/>
    </row>
    <row r="6" spans="1:23" s="41" customFormat="1" ht="15.75" x14ac:dyDescent="0.25">
      <c r="A6" s="30">
        <v>46065</v>
      </c>
      <c r="B6" s="31" t="s">
        <v>116</v>
      </c>
      <c r="C6" s="32" t="s">
        <v>117</v>
      </c>
      <c r="D6" s="42" t="s">
        <v>118</v>
      </c>
      <c r="E6" s="34">
        <v>5000</v>
      </c>
      <c r="F6" s="31">
        <v>118</v>
      </c>
      <c r="G6" s="31">
        <v>66</v>
      </c>
      <c r="H6" s="31">
        <v>14</v>
      </c>
      <c r="I6" s="31" t="s">
        <v>119</v>
      </c>
      <c r="J6" s="31">
        <v>0</v>
      </c>
      <c r="K6" s="35">
        <f t="shared" si="0"/>
        <v>0</v>
      </c>
      <c r="L6" s="36" t="s">
        <v>120</v>
      </c>
      <c r="M6" s="37">
        <v>400</v>
      </c>
      <c r="N6" s="32" t="s">
        <v>134</v>
      </c>
      <c r="O6" s="37">
        <v>400</v>
      </c>
      <c r="P6" s="35">
        <f t="shared" si="1"/>
        <v>47.2</v>
      </c>
      <c r="Q6" s="37">
        <v>0</v>
      </c>
      <c r="R6" s="37"/>
      <c r="S6" s="31"/>
      <c r="T6" s="31"/>
      <c r="U6" s="38"/>
      <c r="V6" s="39"/>
      <c r="W6" s="40" t="s">
        <v>106</v>
      </c>
    </row>
    <row r="7" spans="1:23" s="41" customFormat="1" ht="15.75" x14ac:dyDescent="0.25">
      <c r="A7" s="30">
        <v>46066</v>
      </c>
      <c r="B7" s="31" t="s">
        <v>110</v>
      </c>
      <c r="C7" s="32" t="s">
        <v>111</v>
      </c>
      <c r="D7" s="33" t="s">
        <v>112</v>
      </c>
      <c r="E7" s="31">
        <v>0</v>
      </c>
      <c r="F7" s="31">
        <v>230</v>
      </c>
      <c r="G7" s="31">
        <v>116</v>
      </c>
      <c r="H7" s="31">
        <v>1</v>
      </c>
      <c r="I7" s="31" t="s">
        <v>113</v>
      </c>
      <c r="J7" s="31">
        <v>0</v>
      </c>
      <c r="K7" s="35">
        <f t="shared" si="0"/>
        <v>0</v>
      </c>
      <c r="L7" s="36" t="s">
        <v>114</v>
      </c>
      <c r="M7" s="37">
        <v>5900</v>
      </c>
      <c r="N7" s="32" t="s">
        <v>135</v>
      </c>
      <c r="O7" s="37">
        <v>1100</v>
      </c>
      <c r="P7" s="35">
        <f t="shared" si="1"/>
        <v>253</v>
      </c>
      <c r="Q7" s="37">
        <v>4800</v>
      </c>
      <c r="R7" s="37"/>
      <c r="S7" s="31"/>
      <c r="T7" s="31"/>
      <c r="U7" s="38"/>
      <c r="V7" s="39"/>
      <c r="W7" s="40" t="s">
        <v>106</v>
      </c>
    </row>
    <row r="8" spans="1:23" ht="15.75" x14ac:dyDescent="0.25">
      <c r="A8" s="8">
        <v>46070</v>
      </c>
      <c r="B8" s="6" t="s">
        <v>129</v>
      </c>
      <c r="C8" s="13" t="s">
        <v>126</v>
      </c>
      <c r="D8" s="24" t="s">
        <v>130</v>
      </c>
      <c r="E8" s="15">
        <v>0</v>
      </c>
      <c r="F8" s="6">
        <v>170</v>
      </c>
      <c r="G8" s="6">
        <v>94</v>
      </c>
      <c r="H8" s="6">
        <v>6</v>
      </c>
      <c r="I8" s="6" t="s">
        <v>131</v>
      </c>
      <c r="J8" s="6">
        <v>0</v>
      </c>
      <c r="K8" s="11">
        <f t="shared" si="0"/>
        <v>0</v>
      </c>
      <c r="L8" s="14" t="s">
        <v>132</v>
      </c>
      <c r="M8" s="5">
        <v>2000</v>
      </c>
      <c r="N8" s="13" t="s">
        <v>99</v>
      </c>
      <c r="O8" s="5">
        <v>1400</v>
      </c>
      <c r="P8" s="11">
        <f t="shared" si="1"/>
        <v>238</v>
      </c>
      <c r="Q8" s="5">
        <v>600</v>
      </c>
      <c r="R8" s="5"/>
      <c r="S8" s="6"/>
      <c r="T8" s="6"/>
      <c r="U8" s="9"/>
      <c r="V8" s="12"/>
      <c r="W8" s="4" t="s">
        <v>133</v>
      </c>
    </row>
    <row r="9" spans="1:23" x14ac:dyDescent="0.25">
      <c r="A9" s="8">
        <v>46074</v>
      </c>
      <c r="B9" s="6" t="s">
        <v>136</v>
      </c>
      <c r="C9" s="13" t="s">
        <v>24</v>
      </c>
      <c r="D9" s="21" t="s">
        <v>137</v>
      </c>
      <c r="E9" s="15">
        <v>60850</v>
      </c>
      <c r="F9" s="6">
        <v>325</v>
      </c>
      <c r="G9" s="6">
        <v>124</v>
      </c>
      <c r="H9" s="6">
        <v>8</v>
      </c>
      <c r="I9" s="6" t="s">
        <v>138</v>
      </c>
      <c r="J9" s="6">
        <v>3000</v>
      </c>
      <c r="K9" s="11">
        <f t="shared" si="0"/>
        <v>975</v>
      </c>
      <c r="L9" s="14" t="s">
        <v>156</v>
      </c>
      <c r="M9" s="5">
        <v>2800</v>
      </c>
      <c r="N9" s="13" t="s">
        <v>139</v>
      </c>
      <c r="O9" s="5">
        <v>2760</v>
      </c>
      <c r="P9" s="11">
        <f t="shared" si="1"/>
        <v>897</v>
      </c>
      <c r="Q9" s="5">
        <v>2270</v>
      </c>
      <c r="R9" s="5"/>
      <c r="S9" s="6"/>
      <c r="T9" s="6"/>
      <c r="U9" s="9"/>
      <c r="V9" s="12"/>
      <c r="W9" s="4"/>
    </row>
    <row r="10" spans="1:23" x14ac:dyDescent="0.25">
      <c r="A10" s="8">
        <v>46074</v>
      </c>
      <c r="B10" s="6" t="s">
        <v>140</v>
      </c>
      <c r="C10" s="13" t="s">
        <v>24</v>
      </c>
      <c r="D10" s="17" t="s">
        <v>141</v>
      </c>
      <c r="E10" s="15">
        <v>47750</v>
      </c>
      <c r="F10" s="6">
        <v>405</v>
      </c>
      <c r="G10" s="6">
        <v>79</v>
      </c>
      <c r="H10" s="6">
        <v>4</v>
      </c>
      <c r="I10" s="6" t="s">
        <v>142</v>
      </c>
      <c r="J10" s="6">
        <v>3000</v>
      </c>
      <c r="K10" s="11">
        <f t="shared" si="0"/>
        <v>1215</v>
      </c>
      <c r="L10" s="14" t="s">
        <v>155</v>
      </c>
      <c r="M10" s="5">
        <v>2800</v>
      </c>
      <c r="N10" s="13" t="s">
        <v>139</v>
      </c>
      <c r="O10" s="5">
        <v>2592</v>
      </c>
      <c r="P10" s="11">
        <f t="shared" si="1"/>
        <v>1049.76</v>
      </c>
      <c r="Q10" s="5">
        <v>0</v>
      </c>
      <c r="R10" s="5"/>
      <c r="S10" s="6"/>
      <c r="T10" s="6"/>
      <c r="U10" s="9"/>
      <c r="V10" s="12"/>
      <c r="W10" s="4"/>
    </row>
    <row r="11" spans="1:23" x14ac:dyDescent="0.25">
      <c r="A11" s="19">
        <v>46076</v>
      </c>
      <c r="B11" s="6" t="s">
        <v>143</v>
      </c>
      <c r="C11" s="13" t="s">
        <v>144</v>
      </c>
      <c r="D11" s="21" t="s">
        <v>145</v>
      </c>
      <c r="E11" s="15">
        <v>3000</v>
      </c>
      <c r="F11" s="6">
        <v>210</v>
      </c>
      <c r="G11" s="6">
        <v>118</v>
      </c>
      <c r="H11" s="6">
        <v>8</v>
      </c>
      <c r="I11" s="6" t="s">
        <v>146</v>
      </c>
      <c r="J11" s="6">
        <v>281</v>
      </c>
      <c r="K11" s="11">
        <f t="shared" si="0"/>
        <v>59.01</v>
      </c>
      <c r="L11" s="14" t="s">
        <v>147</v>
      </c>
      <c r="M11" s="5">
        <v>500</v>
      </c>
      <c r="N11" s="13" t="s">
        <v>148</v>
      </c>
      <c r="O11" s="6">
        <v>600</v>
      </c>
      <c r="P11" s="11">
        <f t="shared" si="1"/>
        <v>126</v>
      </c>
      <c r="Q11" s="6">
        <v>50</v>
      </c>
      <c r="R11" s="6"/>
      <c r="S11" s="6"/>
      <c r="T11" s="6"/>
      <c r="U11" s="9"/>
      <c r="V11" s="16"/>
      <c r="W11" s="4" t="s">
        <v>154</v>
      </c>
    </row>
    <row r="12" spans="1:23" ht="30" x14ac:dyDescent="0.25">
      <c r="A12" s="19">
        <v>46076</v>
      </c>
      <c r="B12" s="6" t="s">
        <v>149</v>
      </c>
      <c r="C12" s="13" t="s">
        <v>144</v>
      </c>
      <c r="D12" s="17" t="s">
        <v>150</v>
      </c>
      <c r="E12" s="15">
        <v>3000</v>
      </c>
      <c r="F12" s="6">
        <v>210</v>
      </c>
      <c r="G12" s="6">
        <v>118</v>
      </c>
      <c r="H12" s="6">
        <v>10</v>
      </c>
      <c r="I12" s="6" t="s">
        <v>151</v>
      </c>
      <c r="J12" s="6">
        <v>113</v>
      </c>
      <c r="K12" s="11">
        <f t="shared" si="0"/>
        <v>23.73</v>
      </c>
      <c r="L12" s="14" t="s">
        <v>152</v>
      </c>
      <c r="M12" s="5">
        <v>400</v>
      </c>
      <c r="N12" s="13" t="s">
        <v>153</v>
      </c>
      <c r="O12" s="6">
        <v>70</v>
      </c>
      <c r="P12" s="11">
        <f t="shared" si="1"/>
        <v>14.7</v>
      </c>
      <c r="Q12" s="6">
        <v>350</v>
      </c>
      <c r="R12" s="6"/>
      <c r="S12" s="6"/>
      <c r="T12" s="6"/>
      <c r="U12" s="9"/>
      <c r="V12" s="16"/>
      <c r="W12" s="4" t="s">
        <v>154</v>
      </c>
    </row>
    <row r="13" spans="1:23" ht="30" x14ac:dyDescent="0.25">
      <c r="A13" s="19">
        <v>46081</v>
      </c>
      <c r="B13" s="6" t="s">
        <v>161</v>
      </c>
      <c r="C13" s="13" t="s">
        <v>162</v>
      </c>
      <c r="D13" s="23" t="s">
        <v>163</v>
      </c>
      <c r="E13" s="6">
        <v>3000</v>
      </c>
      <c r="F13" s="6">
        <v>120</v>
      </c>
      <c r="G13" s="6">
        <v>94</v>
      </c>
      <c r="H13" s="6">
        <v>4</v>
      </c>
      <c r="I13" s="6" t="s">
        <v>164</v>
      </c>
      <c r="J13" s="6">
        <v>224</v>
      </c>
      <c r="K13" s="11">
        <f t="shared" si="0"/>
        <v>26.88</v>
      </c>
      <c r="L13" s="14" t="s">
        <v>165</v>
      </c>
      <c r="M13" s="5">
        <v>450</v>
      </c>
      <c r="N13" s="13" t="s">
        <v>21</v>
      </c>
      <c r="O13" s="6">
        <v>410</v>
      </c>
      <c r="P13" s="11">
        <f t="shared" si="1"/>
        <v>49.2</v>
      </c>
      <c r="Q13" s="6">
        <v>0</v>
      </c>
      <c r="R13" s="6"/>
      <c r="S13" s="6"/>
      <c r="T13" s="6"/>
      <c r="U13" s="9"/>
      <c r="V13" s="16"/>
      <c r="W13" s="4"/>
    </row>
    <row r="14" spans="1:23" ht="75" x14ac:dyDescent="0.25">
      <c r="A14" s="19">
        <v>46079</v>
      </c>
      <c r="B14" s="6" t="s">
        <v>157</v>
      </c>
      <c r="C14" s="17" t="s">
        <v>98</v>
      </c>
      <c r="D14" s="24" t="s">
        <v>158</v>
      </c>
      <c r="E14" s="6">
        <v>13300</v>
      </c>
      <c r="F14" s="6">
        <v>125</v>
      </c>
      <c r="G14" s="6">
        <v>89</v>
      </c>
      <c r="H14" s="6">
        <v>3</v>
      </c>
      <c r="I14" s="6" t="s">
        <v>159</v>
      </c>
      <c r="J14" s="6">
        <v>1255</v>
      </c>
      <c r="K14" s="11">
        <f t="shared" si="0"/>
        <v>156.875</v>
      </c>
      <c r="L14" s="14" t="s">
        <v>160</v>
      </c>
      <c r="M14" s="5">
        <v>2870</v>
      </c>
      <c r="N14" s="13" t="s">
        <v>109</v>
      </c>
      <c r="O14" s="6">
        <v>1660</v>
      </c>
      <c r="P14" s="11">
        <f t="shared" si="1"/>
        <v>207.5</v>
      </c>
      <c r="Q14" s="6">
        <v>1200</v>
      </c>
      <c r="R14" s="6"/>
      <c r="S14" s="6"/>
      <c r="T14" s="6"/>
      <c r="U14" s="9"/>
      <c r="V14" s="16"/>
      <c r="W14" s="4"/>
    </row>
    <row r="15" spans="1:23" ht="45" x14ac:dyDescent="0.25">
      <c r="A15" s="19">
        <v>46081</v>
      </c>
      <c r="B15" s="6" t="s">
        <v>166</v>
      </c>
      <c r="C15" s="17" t="s">
        <v>168</v>
      </c>
      <c r="D15" s="24" t="s">
        <v>167</v>
      </c>
      <c r="E15" s="15">
        <v>35000</v>
      </c>
      <c r="F15" s="6">
        <v>110</v>
      </c>
      <c r="G15" s="6">
        <v>66</v>
      </c>
      <c r="H15" s="6">
        <v>6</v>
      </c>
      <c r="I15" s="6" t="s">
        <v>169</v>
      </c>
      <c r="J15" s="6">
        <v>1225</v>
      </c>
      <c r="K15" s="11">
        <f t="shared" si="0"/>
        <v>134.75</v>
      </c>
      <c r="L15" s="14" t="s">
        <v>100</v>
      </c>
      <c r="M15" s="5">
        <v>1700</v>
      </c>
      <c r="N15" s="13" t="s">
        <v>97</v>
      </c>
      <c r="O15" s="6">
        <v>1440</v>
      </c>
      <c r="P15" s="11">
        <f t="shared" si="1"/>
        <v>158.4</v>
      </c>
      <c r="Q15" s="6">
        <v>260</v>
      </c>
      <c r="R15" s="6"/>
      <c r="S15" s="6"/>
      <c r="T15" s="6"/>
      <c r="U15" s="9"/>
      <c r="V15" s="16"/>
      <c r="W15" s="4"/>
    </row>
    <row r="16" spans="1:23" ht="45" x14ac:dyDescent="0.25">
      <c r="A16" s="19">
        <v>46081</v>
      </c>
      <c r="B16" s="6" t="s">
        <v>170</v>
      </c>
      <c r="C16" s="21" t="s">
        <v>98</v>
      </c>
      <c r="D16" s="43" t="s">
        <v>171</v>
      </c>
      <c r="E16" s="15">
        <v>6900</v>
      </c>
      <c r="F16" s="6">
        <v>135</v>
      </c>
      <c r="G16" s="6">
        <v>99</v>
      </c>
      <c r="H16" s="6">
        <v>4</v>
      </c>
      <c r="I16" s="6" t="s">
        <v>172</v>
      </c>
      <c r="J16" s="6">
        <v>543</v>
      </c>
      <c r="K16" s="11">
        <f t="shared" si="0"/>
        <v>73.305000000000007</v>
      </c>
      <c r="L16" s="20" t="s">
        <v>173</v>
      </c>
      <c r="M16" s="5">
        <v>1240</v>
      </c>
      <c r="N16" s="13" t="s">
        <v>97</v>
      </c>
      <c r="O16" s="6">
        <v>830</v>
      </c>
      <c r="P16" s="11">
        <f t="shared" si="1"/>
        <v>112.05</v>
      </c>
      <c r="Q16" s="6">
        <v>400</v>
      </c>
      <c r="R16" s="6"/>
      <c r="S16" s="6"/>
      <c r="T16" s="6"/>
      <c r="U16" s="9"/>
      <c r="V16" s="16"/>
      <c r="W16" s="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4282-3961-4AEC-81C7-0D258FC7C20F}">
  <sheetPr codeName="Sheet3"/>
  <dimension ref="A1:W19"/>
  <sheetViews>
    <sheetView workbookViewId="0"/>
  </sheetViews>
  <sheetFormatPr defaultRowHeight="15" x14ac:dyDescent="0.25"/>
  <cols>
    <col min="1" max="1" width="14.42578125" customWidth="1"/>
    <col min="2" max="2" width="12" customWidth="1"/>
    <col min="3" max="3" width="15" customWidth="1"/>
    <col min="4" max="4" width="44.85546875" bestFit="1" customWidth="1"/>
    <col min="6" max="6" width="15.28515625" customWidth="1"/>
    <col min="12" max="12" width="24.5703125" customWidth="1"/>
    <col min="13" max="13" width="26.140625" customWidth="1"/>
    <col min="14" max="14" width="31.42578125" customWidth="1"/>
    <col min="17" max="17" width="12" customWidth="1"/>
  </cols>
  <sheetData>
    <row r="1" spans="1:23" ht="36" x14ac:dyDescent="0.25">
      <c r="A1" s="1" t="s">
        <v>0</v>
      </c>
      <c r="B1" s="2" t="s">
        <v>1</v>
      </c>
      <c r="C1" s="2" t="s">
        <v>19</v>
      </c>
      <c r="D1" s="2" t="s">
        <v>2</v>
      </c>
      <c r="E1" s="2" t="s">
        <v>3</v>
      </c>
      <c r="F1" s="2" t="s">
        <v>15</v>
      </c>
      <c r="G1" s="2" t="s">
        <v>12</v>
      </c>
      <c r="H1" s="2" t="s">
        <v>13</v>
      </c>
      <c r="I1" s="2" t="s">
        <v>4</v>
      </c>
      <c r="J1" s="2" t="s">
        <v>5</v>
      </c>
      <c r="K1" s="2" t="s">
        <v>18</v>
      </c>
      <c r="L1" s="1" t="s">
        <v>6</v>
      </c>
      <c r="M1" s="1" t="s">
        <v>17</v>
      </c>
      <c r="N1" s="1" t="s">
        <v>16</v>
      </c>
      <c r="O1" s="2" t="s">
        <v>7</v>
      </c>
      <c r="P1" s="2" t="s">
        <v>18</v>
      </c>
      <c r="Q1" s="1" t="s">
        <v>8</v>
      </c>
      <c r="R1" s="1" t="s">
        <v>9</v>
      </c>
      <c r="S1" s="2" t="s">
        <v>10</v>
      </c>
      <c r="T1" s="2" t="s">
        <v>18</v>
      </c>
      <c r="U1" s="3"/>
      <c r="V1" s="3" t="s">
        <v>11</v>
      </c>
      <c r="W1" s="1" t="s">
        <v>14</v>
      </c>
    </row>
    <row r="2" spans="1:23" ht="26.25" customHeight="1" x14ac:dyDescent="0.25">
      <c r="A2" s="28">
        <v>46043</v>
      </c>
      <c r="B2" s="6" t="s">
        <v>37</v>
      </c>
      <c r="C2" s="6" t="s">
        <v>38</v>
      </c>
      <c r="D2" s="17" t="s">
        <v>39</v>
      </c>
      <c r="E2" s="18">
        <v>10000</v>
      </c>
      <c r="F2" s="5">
        <v>240</v>
      </c>
      <c r="G2" s="5">
        <v>72</v>
      </c>
      <c r="H2" s="5">
        <v>2</v>
      </c>
      <c r="I2" s="5" t="s">
        <v>40</v>
      </c>
      <c r="J2" s="5">
        <v>1145</v>
      </c>
      <c r="K2" s="11">
        <f t="shared" ref="K2:K4" si="0">F2*J2/1000</f>
        <v>274.8</v>
      </c>
      <c r="L2" s="14" t="s">
        <v>41</v>
      </c>
      <c r="M2" s="5">
        <v>3400</v>
      </c>
      <c r="N2" s="13" t="s">
        <v>36</v>
      </c>
      <c r="O2" s="5">
        <v>1538</v>
      </c>
      <c r="P2" s="11">
        <f t="shared" ref="P2:P4" si="1">O2*F2/1000</f>
        <v>369.12</v>
      </c>
      <c r="Q2" s="5">
        <v>1860</v>
      </c>
      <c r="R2" s="4"/>
      <c r="S2" s="4"/>
      <c r="T2" s="4"/>
      <c r="U2" s="4"/>
      <c r="V2" s="4"/>
      <c r="W2" s="4"/>
    </row>
    <row r="3" spans="1:23" ht="22.5" customHeight="1" x14ac:dyDescent="0.25">
      <c r="A3" s="28">
        <v>46044</v>
      </c>
      <c r="B3" s="6" t="s">
        <v>45</v>
      </c>
      <c r="C3" s="6" t="s">
        <v>38</v>
      </c>
      <c r="D3" s="17" t="s">
        <v>46</v>
      </c>
      <c r="E3" s="18">
        <v>5000</v>
      </c>
      <c r="F3" s="5">
        <v>240</v>
      </c>
      <c r="G3" s="5">
        <v>72</v>
      </c>
      <c r="H3" s="5">
        <v>2</v>
      </c>
      <c r="I3" s="5" t="s">
        <v>40</v>
      </c>
      <c r="J3" s="5">
        <v>573</v>
      </c>
      <c r="K3" s="11">
        <f t="shared" si="0"/>
        <v>137.52000000000001</v>
      </c>
      <c r="L3" s="14" t="s">
        <v>47</v>
      </c>
      <c r="M3" s="5">
        <v>900</v>
      </c>
      <c r="N3" s="13" t="s">
        <v>36</v>
      </c>
      <c r="O3" s="5">
        <v>900</v>
      </c>
      <c r="P3" s="11">
        <f t="shared" si="1"/>
        <v>216</v>
      </c>
      <c r="Q3" s="5">
        <v>0</v>
      </c>
      <c r="R3" s="4"/>
      <c r="S3" s="4"/>
      <c r="T3" s="4"/>
      <c r="U3" s="4"/>
      <c r="V3" s="4"/>
      <c r="W3" s="4"/>
    </row>
    <row r="4" spans="1:23" ht="15.75" customHeight="1" x14ac:dyDescent="0.25">
      <c r="A4" s="28">
        <v>46043</v>
      </c>
      <c r="B4" s="6" t="s">
        <v>42</v>
      </c>
      <c r="C4" s="6" t="s">
        <v>38</v>
      </c>
      <c r="D4" s="17" t="s">
        <v>43</v>
      </c>
      <c r="E4" s="18">
        <v>5000</v>
      </c>
      <c r="F4" s="5">
        <v>240</v>
      </c>
      <c r="G4" s="5">
        <v>72</v>
      </c>
      <c r="H4" s="5">
        <v>2</v>
      </c>
      <c r="I4" s="5" t="s">
        <v>40</v>
      </c>
      <c r="J4" s="5">
        <v>573</v>
      </c>
      <c r="K4" s="11">
        <f t="shared" si="0"/>
        <v>137.52000000000001</v>
      </c>
      <c r="L4" s="14" t="s">
        <v>44</v>
      </c>
      <c r="M4" s="5">
        <v>4300</v>
      </c>
      <c r="N4" s="13" t="s">
        <v>36</v>
      </c>
      <c r="O4" s="5">
        <v>900</v>
      </c>
      <c r="P4" s="11">
        <f t="shared" si="1"/>
        <v>216</v>
      </c>
      <c r="Q4" s="5">
        <v>3400</v>
      </c>
      <c r="R4" s="4"/>
      <c r="S4" s="4"/>
      <c r="T4" s="4"/>
      <c r="U4" s="4"/>
      <c r="V4" s="4"/>
      <c r="W4" s="4"/>
    </row>
    <row r="5" spans="1:23" x14ac:dyDescent="0.25">
      <c r="A5" s="8">
        <v>46039</v>
      </c>
      <c r="B5" s="6" t="s">
        <v>31</v>
      </c>
      <c r="C5" s="22" t="s">
        <v>30</v>
      </c>
      <c r="D5" s="23" t="s">
        <v>32</v>
      </c>
      <c r="E5" s="18">
        <v>3000</v>
      </c>
      <c r="F5" s="5">
        <v>340</v>
      </c>
      <c r="G5" s="5">
        <v>108</v>
      </c>
      <c r="H5" s="5">
        <v>1</v>
      </c>
      <c r="I5" s="5" t="s">
        <v>33</v>
      </c>
      <c r="J5" s="5">
        <v>1031</v>
      </c>
      <c r="K5" s="11">
        <f t="shared" ref="K5:K19" si="2">F5*J5/1000</f>
        <v>350.54</v>
      </c>
      <c r="L5" s="14" t="s">
        <v>34</v>
      </c>
      <c r="M5" s="5">
        <v>2000</v>
      </c>
      <c r="N5" s="13" t="s">
        <v>35</v>
      </c>
      <c r="O5" s="5">
        <v>1390</v>
      </c>
      <c r="P5" s="11">
        <f t="shared" ref="P5:P11" si="3">O5*F5/1000</f>
        <v>472.6</v>
      </c>
      <c r="Q5" s="5">
        <v>560</v>
      </c>
      <c r="R5" s="6"/>
      <c r="S5" s="6"/>
      <c r="T5" s="6"/>
      <c r="U5" s="9"/>
      <c r="V5" s="16"/>
      <c r="W5" s="13"/>
    </row>
    <row r="6" spans="1:23" x14ac:dyDescent="0.25">
      <c r="A6" s="8">
        <v>46045</v>
      </c>
      <c r="B6" s="6" t="s">
        <v>54</v>
      </c>
      <c r="C6" s="13" t="s">
        <v>49</v>
      </c>
      <c r="D6" s="17" t="s">
        <v>55</v>
      </c>
      <c r="E6" s="18">
        <v>100000</v>
      </c>
      <c r="F6" s="5">
        <v>205</v>
      </c>
      <c r="G6" s="5">
        <v>66</v>
      </c>
      <c r="H6" s="5">
        <v>4</v>
      </c>
      <c r="I6" s="5" t="s">
        <v>51</v>
      </c>
      <c r="J6" s="5">
        <v>5248</v>
      </c>
      <c r="K6" s="11">
        <f t="shared" si="2"/>
        <v>1075.8399999999999</v>
      </c>
      <c r="L6" s="14" t="s">
        <v>56</v>
      </c>
      <c r="M6" s="5">
        <v>6000</v>
      </c>
      <c r="N6" s="13" t="s">
        <v>53</v>
      </c>
      <c r="O6" s="5">
        <v>5700</v>
      </c>
      <c r="P6" s="11">
        <f t="shared" si="3"/>
        <v>1168.5</v>
      </c>
      <c r="Q6" s="5">
        <v>300</v>
      </c>
      <c r="R6" s="6"/>
      <c r="S6" s="6"/>
      <c r="T6" s="6"/>
      <c r="U6" s="9"/>
      <c r="V6" s="16"/>
      <c r="W6" s="13"/>
    </row>
    <row r="7" spans="1:23" x14ac:dyDescent="0.25">
      <c r="A7" s="8">
        <v>46045</v>
      </c>
      <c r="B7" s="6" t="s">
        <v>48</v>
      </c>
      <c r="C7" s="13" t="s">
        <v>49</v>
      </c>
      <c r="D7" s="17" t="s">
        <v>50</v>
      </c>
      <c r="E7" s="18">
        <v>100000</v>
      </c>
      <c r="F7" s="5">
        <v>205</v>
      </c>
      <c r="G7" s="5">
        <v>66</v>
      </c>
      <c r="H7" s="5">
        <v>4</v>
      </c>
      <c r="I7" s="5" t="s">
        <v>51</v>
      </c>
      <c r="J7" s="5">
        <v>5248</v>
      </c>
      <c r="K7" s="11">
        <f t="shared" si="2"/>
        <v>1075.8399999999999</v>
      </c>
      <c r="L7" s="14" t="s">
        <v>52</v>
      </c>
      <c r="M7" s="5">
        <v>6300</v>
      </c>
      <c r="N7" s="13" t="s">
        <v>53</v>
      </c>
      <c r="O7" s="5">
        <v>5643</v>
      </c>
      <c r="P7" s="11">
        <f t="shared" si="3"/>
        <v>1156.8150000000001</v>
      </c>
      <c r="Q7" s="5">
        <v>600</v>
      </c>
      <c r="R7" s="6"/>
      <c r="S7" s="6"/>
      <c r="T7" s="6"/>
      <c r="U7" s="9"/>
      <c r="V7" s="16"/>
      <c r="W7" s="13"/>
    </row>
    <row r="8" spans="1:23" x14ac:dyDescent="0.25">
      <c r="A8" s="8">
        <v>46052</v>
      </c>
      <c r="B8" s="6" t="s">
        <v>81</v>
      </c>
      <c r="C8" s="13" t="s">
        <v>24</v>
      </c>
      <c r="D8" s="17" t="s">
        <v>82</v>
      </c>
      <c r="E8" s="18">
        <v>236800</v>
      </c>
      <c r="F8" s="5">
        <v>200</v>
      </c>
      <c r="G8" s="5">
        <v>79</v>
      </c>
      <c r="H8" s="5">
        <v>28</v>
      </c>
      <c r="I8" s="5" t="s">
        <v>83</v>
      </c>
      <c r="J8" s="5">
        <v>2125</v>
      </c>
      <c r="K8" s="11">
        <f t="shared" si="2"/>
        <v>425</v>
      </c>
      <c r="L8" s="14" t="s">
        <v>84</v>
      </c>
      <c r="M8" s="5">
        <v>2125</v>
      </c>
      <c r="N8" s="13" t="s">
        <v>85</v>
      </c>
      <c r="O8" s="5">
        <v>2065</v>
      </c>
      <c r="P8" s="11">
        <f t="shared" si="3"/>
        <v>413</v>
      </c>
      <c r="Q8" s="5">
        <v>0</v>
      </c>
      <c r="R8" s="6"/>
      <c r="S8" s="6"/>
      <c r="T8" s="6"/>
      <c r="U8" s="9"/>
      <c r="V8" s="16"/>
      <c r="W8" s="13"/>
    </row>
    <row r="9" spans="1:23" x14ac:dyDescent="0.25">
      <c r="A9" s="8">
        <v>46051</v>
      </c>
      <c r="B9" s="6" t="s">
        <v>66</v>
      </c>
      <c r="C9" s="13" t="s">
        <v>58</v>
      </c>
      <c r="D9" s="17" t="s">
        <v>67</v>
      </c>
      <c r="E9" s="18">
        <v>85000</v>
      </c>
      <c r="F9" s="5">
        <v>225</v>
      </c>
      <c r="G9" s="5">
        <v>112</v>
      </c>
      <c r="H9" s="5">
        <v>3</v>
      </c>
      <c r="I9" s="5" t="s">
        <v>60</v>
      </c>
      <c r="J9" s="5">
        <v>10093</v>
      </c>
      <c r="K9" s="11">
        <f t="shared" si="2"/>
        <v>2270.9250000000002</v>
      </c>
      <c r="L9" s="14" t="s">
        <v>68</v>
      </c>
      <c r="M9" s="5">
        <v>11600</v>
      </c>
      <c r="N9" s="13" t="s">
        <v>21</v>
      </c>
      <c r="O9" s="5">
        <v>11000</v>
      </c>
      <c r="P9" s="11">
        <f t="shared" si="3"/>
        <v>2475</v>
      </c>
      <c r="Q9" s="5">
        <v>450</v>
      </c>
      <c r="R9" s="6"/>
      <c r="S9" s="6"/>
      <c r="T9" s="6"/>
      <c r="U9" s="9"/>
      <c r="V9" s="16"/>
      <c r="W9" s="13"/>
    </row>
    <row r="10" spans="1:23" x14ac:dyDescent="0.25">
      <c r="A10" s="8">
        <v>46050</v>
      </c>
      <c r="B10" s="6" t="s">
        <v>62</v>
      </c>
      <c r="C10" s="13" t="s">
        <v>58</v>
      </c>
      <c r="D10" s="17" t="s">
        <v>63</v>
      </c>
      <c r="E10" s="18">
        <v>55000</v>
      </c>
      <c r="F10" s="5">
        <v>225</v>
      </c>
      <c r="G10" s="5">
        <v>112</v>
      </c>
      <c r="H10" s="5">
        <v>3</v>
      </c>
      <c r="I10" s="5" t="s">
        <v>60</v>
      </c>
      <c r="J10" s="5">
        <v>6531</v>
      </c>
      <c r="K10" s="11">
        <f t="shared" si="2"/>
        <v>1469.4749999999999</v>
      </c>
      <c r="L10" s="14" t="s">
        <v>64</v>
      </c>
      <c r="M10" s="5">
        <v>8960</v>
      </c>
      <c r="N10" s="13" t="s">
        <v>21</v>
      </c>
      <c r="O10" s="5">
        <v>7055</v>
      </c>
      <c r="P10" s="11">
        <f t="shared" si="3"/>
        <v>1587.375</v>
      </c>
      <c r="Q10" s="5">
        <v>1850</v>
      </c>
      <c r="R10" s="6"/>
      <c r="S10" s="6"/>
      <c r="T10" s="6"/>
      <c r="U10" s="9"/>
      <c r="V10" s="16"/>
      <c r="W10" s="13"/>
    </row>
    <row r="11" spans="1:23" ht="30" x14ac:dyDescent="0.25">
      <c r="A11" s="8">
        <v>46049</v>
      </c>
      <c r="B11" s="6" t="s">
        <v>57</v>
      </c>
      <c r="C11" s="13" t="s">
        <v>58</v>
      </c>
      <c r="D11" s="17" t="s">
        <v>59</v>
      </c>
      <c r="E11" s="18">
        <v>51000</v>
      </c>
      <c r="F11" s="5">
        <v>225</v>
      </c>
      <c r="G11" s="5">
        <v>112</v>
      </c>
      <c r="H11" s="5">
        <v>3</v>
      </c>
      <c r="I11" s="5" t="s">
        <v>60</v>
      </c>
      <c r="J11" s="5">
        <v>6056</v>
      </c>
      <c r="K11" s="11">
        <f t="shared" si="2"/>
        <v>1362.6</v>
      </c>
      <c r="L11" s="14" t="s">
        <v>61</v>
      </c>
      <c r="M11" s="5">
        <v>7500</v>
      </c>
      <c r="N11" s="13" t="s">
        <v>21</v>
      </c>
      <c r="O11" s="5">
        <v>6496</v>
      </c>
      <c r="P11" s="11">
        <f t="shared" si="3"/>
        <v>1461.6</v>
      </c>
      <c r="Q11" s="5">
        <v>960</v>
      </c>
      <c r="R11" s="6"/>
      <c r="S11" s="6"/>
      <c r="T11" s="6"/>
      <c r="U11" s="9"/>
      <c r="V11" s="16"/>
      <c r="W11" s="13"/>
    </row>
    <row r="12" spans="1:23" ht="30" x14ac:dyDescent="0.25">
      <c r="A12" s="26">
        <v>46053</v>
      </c>
      <c r="B12" s="6" t="s">
        <v>89</v>
      </c>
      <c r="C12" s="22" t="s">
        <v>20</v>
      </c>
      <c r="D12" s="27" t="s">
        <v>90</v>
      </c>
      <c r="E12" s="15">
        <v>41200</v>
      </c>
      <c r="F12" s="6">
        <v>330</v>
      </c>
      <c r="G12" s="6">
        <v>75</v>
      </c>
      <c r="H12" s="6">
        <v>3</v>
      </c>
      <c r="I12" s="6" t="s">
        <v>65</v>
      </c>
      <c r="J12" s="6">
        <v>3276</v>
      </c>
      <c r="K12" s="11">
        <f t="shared" si="2"/>
        <v>1081.08</v>
      </c>
      <c r="L12" s="14" t="s">
        <v>91</v>
      </c>
      <c r="M12" s="6">
        <v>3800</v>
      </c>
      <c r="N12" s="13" t="s">
        <v>21</v>
      </c>
      <c r="O12" s="6">
        <v>3625</v>
      </c>
      <c r="P12" s="7">
        <v>170</v>
      </c>
      <c r="Q12" s="11">
        <v>170</v>
      </c>
      <c r="R12" s="6"/>
      <c r="S12" s="6"/>
      <c r="T12" s="6"/>
      <c r="U12" s="9"/>
      <c r="V12" s="16"/>
      <c r="W12" s="13"/>
    </row>
    <row r="13" spans="1:23" ht="30" x14ac:dyDescent="0.25">
      <c r="A13" s="8">
        <v>46052</v>
      </c>
      <c r="B13" s="6" t="s">
        <v>70</v>
      </c>
      <c r="C13" s="13" t="s">
        <v>20</v>
      </c>
      <c r="D13" s="10" t="s">
        <v>71</v>
      </c>
      <c r="E13" s="18">
        <v>20600</v>
      </c>
      <c r="F13" s="5">
        <v>180</v>
      </c>
      <c r="G13" s="5">
        <v>99</v>
      </c>
      <c r="H13" s="5">
        <v>6</v>
      </c>
      <c r="I13" s="5" t="s">
        <v>28</v>
      </c>
      <c r="J13" s="5">
        <v>1081</v>
      </c>
      <c r="K13" s="11">
        <f t="shared" si="2"/>
        <v>194.58</v>
      </c>
      <c r="L13" s="14" t="s">
        <v>72</v>
      </c>
      <c r="M13" s="5">
        <v>1740</v>
      </c>
      <c r="N13" s="13" t="s">
        <v>21</v>
      </c>
      <c r="O13" s="5">
        <v>1290</v>
      </c>
      <c r="P13" s="11">
        <f t="shared" ref="P13:P19" si="4">O13*F13/1000</f>
        <v>232.2</v>
      </c>
      <c r="Q13" s="5">
        <v>450</v>
      </c>
      <c r="R13" s="6"/>
      <c r="S13" s="6"/>
      <c r="T13" s="6"/>
      <c r="U13" s="9"/>
      <c r="V13" s="16"/>
      <c r="W13" s="13"/>
    </row>
    <row r="14" spans="1:23" x14ac:dyDescent="0.25">
      <c r="A14" s="8">
        <v>46052</v>
      </c>
      <c r="B14" s="6" t="s">
        <v>77</v>
      </c>
      <c r="C14" s="13" t="s">
        <v>20</v>
      </c>
      <c r="D14" s="17" t="s">
        <v>78</v>
      </c>
      <c r="E14" s="18">
        <v>2000</v>
      </c>
      <c r="F14" s="5">
        <v>210</v>
      </c>
      <c r="G14" s="5">
        <v>112</v>
      </c>
      <c r="H14" s="5">
        <v>1</v>
      </c>
      <c r="I14" s="5" t="s">
        <v>26</v>
      </c>
      <c r="J14" s="5">
        <v>712</v>
      </c>
      <c r="K14" s="11">
        <f t="shared" si="2"/>
        <v>149.52000000000001</v>
      </c>
      <c r="L14" s="14" t="s">
        <v>27</v>
      </c>
      <c r="M14" s="5">
        <v>2000</v>
      </c>
      <c r="N14" s="13" t="s">
        <v>21</v>
      </c>
      <c r="O14" s="5">
        <v>1010</v>
      </c>
      <c r="P14" s="11">
        <f t="shared" si="4"/>
        <v>212.1</v>
      </c>
      <c r="Q14" s="5">
        <v>1490</v>
      </c>
      <c r="R14" s="6"/>
      <c r="S14" s="6"/>
      <c r="T14" s="6"/>
      <c r="U14" s="9"/>
      <c r="V14" s="16"/>
      <c r="W14" s="13"/>
    </row>
    <row r="15" spans="1:23" x14ac:dyDescent="0.25">
      <c r="A15" s="8">
        <v>46052</v>
      </c>
      <c r="B15" s="6" t="s">
        <v>79</v>
      </c>
      <c r="C15" s="13" t="s">
        <v>20</v>
      </c>
      <c r="D15" s="17" t="s">
        <v>29</v>
      </c>
      <c r="E15" s="18">
        <v>5000</v>
      </c>
      <c r="F15" s="5">
        <v>240</v>
      </c>
      <c r="G15" s="5">
        <v>75</v>
      </c>
      <c r="H15" s="5">
        <v>3</v>
      </c>
      <c r="I15" s="5" t="s">
        <v>23</v>
      </c>
      <c r="J15" s="5">
        <v>398</v>
      </c>
      <c r="K15" s="11">
        <f t="shared" si="2"/>
        <v>95.52</v>
      </c>
      <c r="L15" s="14" t="s">
        <v>80</v>
      </c>
      <c r="M15" s="5">
        <v>650</v>
      </c>
      <c r="N15" s="13" t="s">
        <v>21</v>
      </c>
      <c r="O15" s="5">
        <v>543</v>
      </c>
      <c r="P15" s="11">
        <f t="shared" si="4"/>
        <v>130.32</v>
      </c>
      <c r="Q15" s="5">
        <v>100</v>
      </c>
      <c r="R15" s="6"/>
      <c r="S15" s="6"/>
      <c r="T15" s="6"/>
      <c r="U15" s="9"/>
      <c r="V15" s="16"/>
      <c r="W15" s="13"/>
    </row>
    <row r="16" spans="1:23" x14ac:dyDescent="0.25">
      <c r="A16" s="8">
        <v>46053</v>
      </c>
      <c r="B16" s="6" t="s">
        <v>95</v>
      </c>
      <c r="C16" s="13" t="s">
        <v>20</v>
      </c>
      <c r="D16" s="17" t="s">
        <v>96</v>
      </c>
      <c r="E16" s="18">
        <v>3000</v>
      </c>
      <c r="F16" s="5">
        <v>320</v>
      </c>
      <c r="G16" s="5">
        <v>108</v>
      </c>
      <c r="H16" s="5">
        <v>2</v>
      </c>
      <c r="I16" s="5" t="s">
        <v>25</v>
      </c>
      <c r="J16" s="5">
        <v>515</v>
      </c>
      <c r="K16" s="11">
        <f t="shared" si="2"/>
        <v>164.8</v>
      </c>
      <c r="L16" s="14" t="s">
        <v>69</v>
      </c>
      <c r="M16" s="5">
        <v>2000</v>
      </c>
      <c r="N16" s="13" t="s">
        <v>21</v>
      </c>
      <c r="O16" s="5">
        <v>670</v>
      </c>
      <c r="P16" s="11">
        <f t="shared" si="4"/>
        <v>214.4</v>
      </c>
      <c r="Q16" s="5">
        <v>1330</v>
      </c>
      <c r="R16" s="6"/>
      <c r="S16" s="6"/>
      <c r="T16" s="6"/>
      <c r="U16" s="9"/>
      <c r="V16" s="16"/>
      <c r="W16" s="13"/>
    </row>
    <row r="17" spans="1:23" x14ac:dyDescent="0.25">
      <c r="A17" s="8">
        <v>46052</v>
      </c>
      <c r="B17" s="6" t="s">
        <v>86</v>
      </c>
      <c r="C17" s="13" t="s">
        <v>20</v>
      </c>
      <c r="D17" s="17" t="s">
        <v>87</v>
      </c>
      <c r="E17" s="18">
        <v>13000</v>
      </c>
      <c r="F17" s="5">
        <v>176</v>
      </c>
      <c r="G17" s="5">
        <v>99</v>
      </c>
      <c r="H17" s="5">
        <v>6</v>
      </c>
      <c r="I17" s="5" t="s">
        <v>28</v>
      </c>
      <c r="J17" s="5">
        <v>682</v>
      </c>
      <c r="K17" s="11">
        <f t="shared" si="2"/>
        <v>120.032</v>
      </c>
      <c r="L17" s="14" t="s">
        <v>88</v>
      </c>
      <c r="M17" s="5">
        <v>2000</v>
      </c>
      <c r="N17" s="13" t="s">
        <v>21</v>
      </c>
      <c r="O17" s="5">
        <v>853</v>
      </c>
      <c r="P17" s="11">
        <f t="shared" si="4"/>
        <v>150.12799999999999</v>
      </c>
      <c r="Q17" s="5">
        <v>1140</v>
      </c>
      <c r="R17" s="6"/>
      <c r="S17" s="6"/>
      <c r="T17" s="6"/>
      <c r="U17" s="9"/>
      <c r="V17" s="16"/>
      <c r="W17" s="13"/>
    </row>
    <row r="18" spans="1:23" x14ac:dyDescent="0.25">
      <c r="A18" s="8">
        <v>46053</v>
      </c>
      <c r="B18" s="6" t="s">
        <v>92</v>
      </c>
      <c r="C18" s="13" t="s">
        <v>20</v>
      </c>
      <c r="D18" s="17" t="s">
        <v>93</v>
      </c>
      <c r="E18" s="18">
        <v>3000</v>
      </c>
      <c r="F18" s="5">
        <v>125</v>
      </c>
      <c r="G18" s="5">
        <v>108</v>
      </c>
      <c r="H18" s="5">
        <v>2</v>
      </c>
      <c r="I18" s="5" t="s">
        <v>22</v>
      </c>
      <c r="J18" s="5">
        <v>515</v>
      </c>
      <c r="K18" s="11">
        <f t="shared" si="2"/>
        <v>64.375</v>
      </c>
      <c r="L18" s="14" t="s">
        <v>94</v>
      </c>
      <c r="M18" s="5">
        <v>960</v>
      </c>
      <c r="N18" s="13" t="s">
        <v>21</v>
      </c>
      <c r="O18" s="5">
        <v>699</v>
      </c>
      <c r="P18" s="11">
        <f t="shared" si="4"/>
        <v>87.375</v>
      </c>
      <c r="Q18" s="5">
        <v>260</v>
      </c>
      <c r="R18" s="6"/>
      <c r="S18" s="6"/>
      <c r="T18" s="6"/>
      <c r="U18" s="9"/>
      <c r="V18" s="16"/>
      <c r="W18" s="13"/>
    </row>
    <row r="19" spans="1:23" x14ac:dyDescent="0.25">
      <c r="A19" s="8">
        <v>46052</v>
      </c>
      <c r="B19" s="6" t="s">
        <v>73</v>
      </c>
      <c r="C19" s="13" t="s">
        <v>20</v>
      </c>
      <c r="D19" s="17" t="s">
        <v>74</v>
      </c>
      <c r="E19" s="18">
        <v>5000</v>
      </c>
      <c r="F19" s="5">
        <v>160</v>
      </c>
      <c r="G19" s="5">
        <v>116</v>
      </c>
      <c r="H19" s="5">
        <v>4</v>
      </c>
      <c r="I19" s="5" t="s">
        <v>75</v>
      </c>
      <c r="J19" s="5">
        <v>461</v>
      </c>
      <c r="K19" s="11">
        <f t="shared" si="2"/>
        <v>73.760000000000005</v>
      </c>
      <c r="L19" s="14" t="s">
        <v>76</v>
      </c>
      <c r="M19" s="5">
        <v>1000</v>
      </c>
      <c r="N19" s="13" t="s">
        <v>21</v>
      </c>
      <c r="O19" s="5">
        <v>617</v>
      </c>
      <c r="P19" s="11">
        <f t="shared" si="4"/>
        <v>98.72</v>
      </c>
      <c r="Q19" s="5">
        <v>380</v>
      </c>
      <c r="R19" s="6"/>
      <c r="S19" s="6"/>
      <c r="T19" s="6"/>
      <c r="U19" s="9"/>
      <c r="V19" s="16"/>
      <c r="W1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 2026</vt:lpstr>
      <vt:lpstr>not yet dispatched 1</vt:lpstr>
      <vt:lpstr>NOT YET DISPATCHED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2026-05-11T09:01:44Z</cp:lastPrinted>
  <dcterms:created xsi:type="dcterms:W3CDTF">2024-12-04T06:36:11Z</dcterms:created>
  <dcterms:modified xsi:type="dcterms:W3CDTF">2026-08-04T05:40:55Z</dcterms:modified>
</cp:coreProperties>
</file>