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ing" sheetId="1" r:id="rId5"/>
    <sheet state="visible" name="Shedule" sheetId="2" r:id="rId6"/>
    <sheet state="visible" name="Postpress" sheetId="3" r:id="rId7"/>
    <sheet state="visible" name="Dispatched" sheetId="4" r:id="rId8"/>
    <sheet state="visible" name="Finished Goods Stock" sheetId="5" r:id="rId9"/>
  </sheets>
  <definedNames/>
  <calcPr/>
</workbook>
</file>

<file path=xl/sharedStrings.xml><?xml version="1.0" encoding="utf-8"?>
<sst xmlns="http://schemas.openxmlformats.org/spreadsheetml/2006/main" count="4275" uniqueCount="1518">
  <si>
    <t>SR,NO</t>
  </si>
  <si>
    <t>SR</t>
  </si>
  <si>
    <t xml:space="preserve">Current Date </t>
  </si>
  <si>
    <t>Job Doc. No</t>
  </si>
  <si>
    <t>Client Name</t>
  </si>
  <si>
    <t>Order Date</t>
  </si>
  <si>
    <t>PO NO</t>
  </si>
  <si>
    <t>PO Date</t>
  </si>
  <si>
    <t>Pending PO QTY</t>
  </si>
  <si>
    <t>Approval Date</t>
  </si>
  <si>
    <t>Client  Name</t>
  </si>
  <si>
    <t>Approved Date</t>
  </si>
  <si>
    <t>Sr. No.</t>
  </si>
  <si>
    <t>MATERIAL DESCRIPTION</t>
  </si>
  <si>
    <t>Plant</t>
  </si>
  <si>
    <t>TOTAL Req Qty</t>
  </si>
  <si>
    <t>Gear</t>
  </si>
  <si>
    <t>Ups</t>
  </si>
  <si>
    <t>Paper Size</t>
  </si>
  <si>
    <t>Material</t>
  </si>
  <si>
    <t>Label Size</t>
  </si>
  <si>
    <t>ORDER DATE</t>
  </si>
  <si>
    <t>L.P. Meter</t>
  </si>
  <si>
    <t>Req Rmt</t>
  </si>
  <si>
    <t>Running mtr</t>
  </si>
  <si>
    <t>Remark</t>
  </si>
  <si>
    <t>Paper Status</t>
  </si>
  <si>
    <t>From Order</t>
  </si>
  <si>
    <t>Stock R/m</t>
  </si>
  <si>
    <t xml:space="preserve">Remark From Purchase </t>
  </si>
  <si>
    <t>Order Qty</t>
  </si>
  <si>
    <t>lamination</t>
  </si>
  <si>
    <t>foil</t>
  </si>
  <si>
    <t>PLATE</t>
  </si>
  <si>
    <t>punch</t>
  </si>
  <si>
    <t>Dispatch Qty</t>
  </si>
  <si>
    <t xml:space="preserve">Stetus </t>
  </si>
  <si>
    <t>Balance Qty</t>
  </si>
  <si>
    <t>Order for</t>
  </si>
  <si>
    <t>Disp Date</t>
  </si>
  <si>
    <t>Delivery By</t>
  </si>
  <si>
    <t>16.04.2026</t>
  </si>
  <si>
    <t>Short Qty</t>
  </si>
  <si>
    <t>06/021</t>
  </si>
  <si>
    <t>Box Qty</t>
  </si>
  <si>
    <t>TEMPLE</t>
  </si>
  <si>
    <t>Bill No</t>
  </si>
  <si>
    <t>25-05-2026</t>
  </si>
  <si>
    <t>LEAFLET OF ECL ZENATANE</t>
  </si>
  <si>
    <t>DAMAN</t>
  </si>
  <si>
    <t>PP WHITE</t>
  </si>
  <si>
    <t>110 X 80</t>
  </si>
  <si>
    <t>16-04-2026</t>
  </si>
  <si>
    <t>07.07.2026</t>
  </si>
  <si>
    <t>07/048</t>
  </si>
  <si>
    <t>NIMISH</t>
  </si>
  <si>
    <t>IGLOO VODKA FRONT LABEL</t>
  </si>
  <si>
    <t>04/020</t>
  </si>
  <si>
    <t>BIRLA</t>
  </si>
  <si>
    <t>TEXTURE PAPER</t>
  </si>
  <si>
    <t>110 X 200</t>
  </si>
  <si>
    <t>PO/RM/015/26-27</t>
  </si>
  <si>
    <t>OPUS STICKER ( Series 6 )</t>
  </si>
  <si>
    <t>CHROMO</t>
  </si>
  <si>
    <t>30 X 30</t>
  </si>
  <si>
    <t>22.06.2026</t>
  </si>
  <si>
    <t>06/131</t>
  </si>
  <si>
    <t>RALLIS</t>
  </si>
  <si>
    <t>06/086</t>
  </si>
  <si>
    <t>SEEJAR PHARMA</t>
  </si>
  <si>
    <t>RALLIS QR CODE LABEL</t>
  </si>
  <si>
    <t>80 X 40</t>
  </si>
  <si>
    <t>MAPAFIN PLUS SUSPENSION 170 ML</t>
  </si>
  <si>
    <t>PVC CAST FILM</t>
  </si>
  <si>
    <t>180 X 117</t>
  </si>
  <si>
    <t>27 06 2026</t>
  </si>
  <si>
    <t>07/049</t>
  </si>
  <si>
    <t>07/021</t>
  </si>
  <si>
    <t>ANU IND</t>
  </si>
  <si>
    <t>WITH NUMBERING &amp; LSD</t>
  </si>
  <si>
    <t>IGLOO VODKA BACK LABEL</t>
  </si>
  <si>
    <t>CLUE 250 GM (NB)</t>
  </si>
  <si>
    <t>67.8 X 200</t>
  </si>
  <si>
    <t>130 X 49</t>
  </si>
  <si>
    <t>19 05 2026</t>
  </si>
  <si>
    <t>06/088</t>
  </si>
  <si>
    <t>04/021</t>
  </si>
  <si>
    <t>FORGEL-MPS SUSP GEL 200 ML</t>
  </si>
  <si>
    <t>07/043</t>
  </si>
  <si>
    <t>Silver foil</t>
  </si>
  <si>
    <t>DOUBLE DECKER LUNCH BOX - BIG</t>
  </si>
  <si>
    <t>128 X 193</t>
  </si>
  <si>
    <t>154 x 90</t>
  </si>
  <si>
    <r>
      <rPr>
        <rFont val="Cambria"/>
        <color theme="1"/>
        <sz val="12.0"/>
      </rPr>
      <t xml:space="preserve">BOB'S VODKA FRONT LABEL </t>
    </r>
    <r>
      <rPr>
        <rFont val="Cambria"/>
        <b/>
        <color theme="1"/>
        <sz val="12.0"/>
      </rPr>
      <t xml:space="preserve"> (SILVER FOIL)</t>
    </r>
  </si>
  <si>
    <t>07/050</t>
  </si>
  <si>
    <t>90.6 X 155</t>
  </si>
  <si>
    <t>IGLOO PREMIUM VODKA 750 ML FRONT</t>
  </si>
  <si>
    <t>120.1 X 139</t>
  </si>
  <si>
    <t>07/044</t>
  </si>
  <si>
    <t>06/089</t>
  </si>
  <si>
    <t>ONTAGEL-MPS SUSP GEL 200 ML</t>
  </si>
  <si>
    <r>
      <rPr>
        <rFont val="Cambria"/>
        <color theme="1"/>
        <sz val="12.0"/>
      </rPr>
      <t xml:space="preserve">BOB'S VODKA BACK LABEL </t>
    </r>
    <r>
      <rPr>
        <rFont val="Cambria"/>
        <b/>
        <color theme="1"/>
        <sz val="12.0"/>
      </rPr>
      <t xml:space="preserve"> (SILVER FOIL)</t>
    </r>
  </si>
  <si>
    <t>04/027</t>
  </si>
  <si>
    <t>COLOR PACK</t>
  </si>
  <si>
    <t>57 X 106.3</t>
  </si>
  <si>
    <t>B CLEAR LITCHI DRICK</t>
  </si>
  <si>
    <t>BOPP 38 MIRON</t>
  </si>
  <si>
    <t>171 X 42</t>
  </si>
  <si>
    <t>09.07.2026</t>
  </si>
  <si>
    <t>07/088</t>
  </si>
  <si>
    <t>OCTAGREEN</t>
  </si>
  <si>
    <t>15-05-2026</t>
  </si>
  <si>
    <t>SILVER FOIL 200 MM</t>
  </si>
  <si>
    <t>07/051</t>
  </si>
  <si>
    <r>
      <rPr>
        <rFont val="Cambria"/>
        <color theme="1"/>
        <sz val="11.0"/>
      </rPr>
      <t xml:space="preserve">INVINCIBLE VODKA RAJASTHAN 750 ML </t>
    </r>
    <r>
      <rPr>
        <rFont val="Cambria"/>
        <b/>
        <color theme="1"/>
        <sz val="11.0"/>
      </rPr>
      <t>BACK</t>
    </r>
  </si>
  <si>
    <t>PP CLEAR</t>
  </si>
  <si>
    <t>68 X 95</t>
  </si>
  <si>
    <t>06/087</t>
  </si>
  <si>
    <t>IGLOO PREMIUM VODKA 750 ML BACK</t>
  </si>
  <si>
    <t>LACTOWEL 150 ML</t>
  </si>
  <si>
    <t>04/043</t>
  </si>
  <si>
    <t>65.9 X 139</t>
  </si>
  <si>
    <t>07/115</t>
  </si>
  <si>
    <t>Global Crop Care</t>
  </si>
  <si>
    <t>BOX LABEL (FRONT)-2X5L REDTURTLE 450CS EXP</t>
  </si>
  <si>
    <t>270 X 190</t>
  </si>
  <si>
    <t>Impact-505 100 ML</t>
  </si>
  <si>
    <t>163 X 48</t>
  </si>
  <si>
    <t>04/044</t>
  </si>
  <si>
    <t>07/116</t>
  </si>
  <si>
    <t>BOX LABEL (BACK)-2X5L REDTURTLE 450CS EXP</t>
  </si>
  <si>
    <t>29.07.2026</t>
  </si>
  <si>
    <t>29 06 2026</t>
  </si>
  <si>
    <t>07/160</t>
  </si>
  <si>
    <t>PROPIX</t>
  </si>
  <si>
    <t>ROCKER 100 ML</t>
  </si>
  <si>
    <t>LAXIRUS PLUS SUSPENSION 170 ML</t>
  </si>
  <si>
    <t>RUDERPUR POWER</t>
  </si>
  <si>
    <t>SPL</t>
  </si>
  <si>
    <t>120 X 75</t>
  </si>
  <si>
    <t>07/104</t>
  </si>
  <si>
    <t>04/045</t>
  </si>
  <si>
    <t>27.07.2026</t>
  </si>
  <si>
    <r>
      <rPr>
        <rFont val="Cambria"/>
        <color theme="1"/>
        <sz val="11.0"/>
      </rPr>
      <t xml:space="preserve">FEAMA SOAP CASE LABEL </t>
    </r>
    <r>
      <rPr>
        <rFont val="Cambria"/>
        <b/>
        <color theme="1"/>
        <sz val="11.0"/>
      </rPr>
      <t>(SILVER FOIL)</t>
    </r>
  </si>
  <si>
    <t>07/148</t>
  </si>
  <si>
    <t xml:space="preserve">PP CLEAR </t>
  </si>
  <si>
    <t>(F&amp;B)-REDTURTLE 450CS- 5L EXP</t>
  </si>
  <si>
    <t>120 X 70</t>
  </si>
  <si>
    <t>WITH NUMBERING</t>
  </si>
  <si>
    <t>165 X 150</t>
  </si>
  <si>
    <t>ALS-I-07A-263-ALB0 01 ASHOXY 10% 100 ML ZIMBABWE</t>
  </si>
  <si>
    <t>TACLAC ORAL SOLUTION 150 ML</t>
  </si>
  <si>
    <t>03.04.2026</t>
  </si>
  <si>
    <t>04/049</t>
  </si>
  <si>
    <t>MICRO PACK</t>
  </si>
  <si>
    <t>HONEY HANGER 100 G HEXAGON</t>
  </si>
  <si>
    <r>
      <rPr>
        <rFont val="Cambria"/>
        <color theme="1"/>
        <sz val="11.0"/>
      </rPr>
      <t xml:space="preserve">CHROMO + </t>
    </r>
    <r>
      <rPr>
        <rFont val="Cambria"/>
        <color rgb="FFFF0000"/>
        <sz val="11.0"/>
      </rPr>
      <t>LAMINATION</t>
    </r>
  </si>
  <si>
    <t>69 X 61</t>
  </si>
  <si>
    <t>07/102</t>
  </si>
  <si>
    <t>OXITEC</t>
  </si>
  <si>
    <t>WEEDOFF 1 LTR</t>
  </si>
  <si>
    <t>ANK</t>
  </si>
  <si>
    <t>SILVER PAPER</t>
  </si>
  <si>
    <t>283 x 148</t>
  </si>
  <si>
    <t>WEL RAFT SUSPENSION 150 ML LABEL</t>
  </si>
  <si>
    <t>07/149</t>
  </si>
  <si>
    <t>07/103</t>
  </si>
  <si>
    <t>ALS-I-14A-7KZ-ALB1 ASHOXY 20 LA KAZAKH 100 ML</t>
  </si>
  <si>
    <t>WEEDOFF 500 ML</t>
  </si>
  <si>
    <t>220 X 118</t>
  </si>
  <si>
    <t>04/081</t>
  </si>
  <si>
    <t>15-07-2025</t>
  </si>
  <si>
    <t>BOX LABEL - GLYTAF 71</t>
  </si>
  <si>
    <t>WICL</t>
  </si>
  <si>
    <t>19.06.2026</t>
  </si>
  <si>
    <t>07/121</t>
  </si>
  <si>
    <t>VIMONI</t>
  </si>
  <si>
    <t>VIPL/PO/68</t>
  </si>
  <si>
    <t>170 X 110</t>
  </si>
  <si>
    <t>9 AM CONTINENTAL SAUCE 900 ML FRONT</t>
  </si>
  <si>
    <t>Delhi</t>
  </si>
  <si>
    <t>Polyart</t>
  </si>
  <si>
    <t>99.3 X 93</t>
  </si>
  <si>
    <t>FO-RAFT SUSPENSION 150 ML</t>
  </si>
  <si>
    <t>07/150</t>
  </si>
  <si>
    <t>ALS/I/07A/91/ALB2 ASHOXY 10% INJECTION 100 ML</t>
  </si>
  <si>
    <t>07/122</t>
  </si>
  <si>
    <t>26 06 2026</t>
  </si>
  <si>
    <t>06.04.2026</t>
  </si>
  <si>
    <t>9 AM CONTINENTAL SAUCE 900 ML BACK</t>
  </si>
  <si>
    <t>04/064</t>
  </si>
  <si>
    <t>TEMPLE PKG</t>
  </si>
  <si>
    <t>MEDROX RAFT SOLUTION 150 ML</t>
  </si>
  <si>
    <t>PLACE STICKER</t>
  </si>
  <si>
    <t>07/158</t>
  </si>
  <si>
    <t xml:space="preserve">FERRARI POLICE CAR TOY STICKER </t>
  </si>
  <si>
    <t>PP WHITE +PP CLEAR</t>
  </si>
  <si>
    <t>26 X 46</t>
  </si>
  <si>
    <t>82 X 106</t>
  </si>
  <si>
    <t>07/107</t>
  </si>
  <si>
    <t>METRO PACKAGING</t>
  </si>
  <si>
    <t>MAX AQUA REFRESH DEODORANT SPRAY 200 ML LABEL</t>
  </si>
  <si>
    <t>149.225 X 186</t>
  </si>
  <si>
    <t>RUSGEL ANTACID ANTIGAS GEL 200 ML</t>
  </si>
  <si>
    <t>07/159</t>
  </si>
  <si>
    <t>14.04.2026</t>
  </si>
  <si>
    <t>04/089</t>
  </si>
  <si>
    <t xml:space="preserve">LAMBORGHINI CAR TOY STICKER </t>
  </si>
  <si>
    <t>14-04-2026</t>
  </si>
  <si>
    <t>96 X 102</t>
  </si>
  <si>
    <t>TROT-1 LTR(NB)</t>
  </si>
  <si>
    <t>UCPL</t>
  </si>
  <si>
    <t>07/045</t>
  </si>
  <si>
    <t>C-MIRRORCOAT</t>
  </si>
  <si>
    <t>292 X 137</t>
  </si>
  <si>
    <r>
      <rPr>
        <rFont val="Cambria"/>
        <color theme="1"/>
        <sz val="11.0"/>
      </rPr>
      <t xml:space="preserve">BOB'S EXPRESS RUM FRONT LABEL </t>
    </r>
    <r>
      <rPr>
        <rFont val="Cambria"/>
        <b/>
        <color theme="1"/>
        <sz val="11.0"/>
      </rPr>
      <t xml:space="preserve"> (SILVER FOIL)</t>
    </r>
  </si>
  <si>
    <t>21.07.2026</t>
  </si>
  <si>
    <t xml:space="preserve">BENCHMARK </t>
  </si>
  <si>
    <t>BAT STICKERS FOR MYNTRA</t>
  </si>
  <si>
    <t>20 X110</t>
  </si>
  <si>
    <t>07/058</t>
  </si>
  <si>
    <t>04/087</t>
  </si>
  <si>
    <t>WESTERN LONDON DRY GIN 1 LTR FRONT</t>
  </si>
  <si>
    <t>TROT-250 ML(NB)</t>
  </si>
  <si>
    <t>180 X 92</t>
  </si>
  <si>
    <t>89.9 X 155</t>
  </si>
  <si>
    <t>29-07-2026</t>
  </si>
  <si>
    <t>AKOLA</t>
  </si>
  <si>
    <t>07/059</t>
  </si>
  <si>
    <t>WESTERN LONDON DRY GIN 1 LTR BACK</t>
  </si>
  <si>
    <t>04/086</t>
  </si>
  <si>
    <t xml:space="preserve">58.9 X 110.4 </t>
  </si>
  <si>
    <t>TROT-100 ML(NB)</t>
  </si>
  <si>
    <t>148 X 52</t>
  </si>
  <si>
    <t>DCHZ</t>
  </si>
  <si>
    <t>07/046</t>
  </si>
  <si>
    <r>
      <rPr>
        <rFont val="Cambria"/>
        <color theme="1"/>
        <sz val="11.0"/>
      </rPr>
      <t xml:space="preserve">BOB'S EXPRESS RUM BACK LABEL </t>
    </r>
    <r>
      <rPr>
        <rFont val="Cambria"/>
        <b/>
        <color theme="1"/>
        <sz val="11.0"/>
      </rPr>
      <t xml:space="preserve"> (SILVER FOIL)</t>
    </r>
  </si>
  <si>
    <t>25.07.2026</t>
  </si>
  <si>
    <t>04/088</t>
  </si>
  <si>
    <t>07/140</t>
  </si>
  <si>
    <t>TROT-500 ML(NB)</t>
  </si>
  <si>
    <t>233 X 103</t>
  </si>
  <si>
    <t>ZINC OXIDE 20% OINTMENT__150Z ( 425G)-KTM5717L-0 (GALENTIC)</t>
  </si>
  <si>
    <t>MIRRORCOAT</t>
  </si>
  <si>
    <t>288 X 59</t>
  </si>
  <si>
    <t>03.07.2026</t>
  </si>
  <si>
    <t>07/097</t>
  </si>
  <si>
    <t>ARIES</t>
  </si>
  <si>
    <t>PK/MUM/121/2026-2027</t>
  </si>
  <si>
    <t>04/090</t>
  </si>
  <si>
    <t>URGRNT 02</t>
  </si>
  <si>
    <t>AGROMIN LIQUID TAMILNADU 1 LTR</t>
  </si>
  <si>
    <t>GOVANDI</t>
  </si>
  <si>
    <t>BOX LABEL-TROT (NB)</t>
  </si>
  <si>
    <t>272 X 145</t>
  </si>
  <si>
    <t>24.07.2026</t>
  </si>
  <si>
    <t>31-07-2026</t>
  </si>
  <si>
    <t>TATAMIDA 17.8 SL 50ML (NB)</t>
  </si>
  <si>
    <t>AKL1</t>
  </si>
  <si>
    <t>140 x 32</t>
  </si>
  <si>
    <t>04/095</t>
  </si>
  <si>
    <t>13.07.2026</t>
  </si>
  <si>
    <t>PLAIN LABEL</t>
  </si>
  <si>
    <t>07/125</t>
  </si>
  <si>
    <t>AKL</t>
  </si>
  <si>
    <t>PK/MUM/133/2026-2027</t>
  </si>
  <si>
    <t>13-07-2026</t>
  </si>
  <si>
    <t>AGROMIN LIQUID RAJASTHAN 1 LTR</t>
  </si>
  <si>
    <t>22 X 35</t>
  </si>
  <si>
    <t>15-07-2026</t>
  </si>
  <si>
    <t>PANIDA 1 LTR (NB)</t>
  </si>
  <si>
    <t>04/092</t>
  </si>
  <si>
    <t>ODIS DAHEJ BOX LABEL</t>
  </si>
  <si>
    <t>SCGJ</t>
  </si>
  <si>
    <t>25 05 2026</t>
  </si>
  <si>
    <t>07/095</t>
  </si>
  <si>
    <t>PK/MUM/044/2026-2027</t>
  </si>
  <si>
    <t>19-05-2026</t>
  </si>
  <si>
    <t>ARIPOTASH FOR AQUA 1 LTR</t>
  </si>
  <si>
    <t>5400093774 / 5400094026</t>
  </si>
  <si>
    <t>04/083</t>
  </si>
  <si>
    <t>15-07-2026 / 31-07-2026</t>
  </si>
  <si>
    <t>PARIMAN</t>
  </si>
  <si>
    <t>2600/10000</t>
  </si>
  <si>
    <r>
      <rPr>
        <rFont val="Cambria"/>
        <color theme="1"/>
        <sz val="11.0"/>
      </rPr>
      <t>ANOLIP 50 MG LABEL</t>
    </r>
    <r>
      <rPr>
        <rFont val="Cambria"/>
        <b/>
        <color theme="1"/>
        <sz val="11.0"/>
      </rPr>
      <t xml:space="preserve"> ( WITH NUMBERING )</t>
    </r>
  </si>
  <si>
    <t>Bhiwandi</t>
  </si>
  <si>
    <t>90 X 35</t>
  </si>
  <si>
    <t>04/098</t>
  </si>
  <si>
    <t>07/146</t>
  </si>
  <si>
    <t>STOCK</t>
  </si>
  <si>
    <t>5400093380/5400094026</t>
  </si>
  <si>
    <t>23-06-2026/31-07-2026</t>
  </si>
  <si>
    <t>ZINC OXIDE 20% OINTMENT__KMF5119L-0 (GALENTIC)</t>
  </si>
  <si>
    <t>BLITOX 25 KG</t>
  </si>
  <si>
    <t>2780/20000</t>
  </si>
  <si>
    <t>CLUE 500 GM (NB)</t>
  </si>
  <si>
    <t>290 X 165</t>
  </si>
  <si>
    <t>07/073</t>
  </si>
  <si>
    <t>04/046</t>
  </si>
  <si>
    <t>ALS L 46D 91 LB1 ASHIENRO BH SUSPN GENERAL 100 ML</t>
  </si>
  <si>
    <r>
      <rPr>
        <rFont val="Cambria"/>
        <color theme="1"/>
        <sz val="11.0"/>
      </rPr>
      <t xml:space="preserve">INVINCIBLE VODKA MADHYA PRADESH CSD 750 ML </t>
    </r>
    <r>
      <rPr>
        <rFont val="Cambria"/>
        <b/>
        <color theme="1"/>
        <sz val="11.0"/>
      </rPr>
      <t>FRONT</t>
    </r>
  </si>
  <si>
    <t>HONCHO-100 ML (NB ALU)</t>
  </si>
  <si>
    <t>150 X 60</t>
  </si>
  <si>
    <t>CLEAR ON CLEAR</t>
  </si>
  <si>
    <t>90 X 95</t>
  </si>
  <si>
    <t>146.5 X 74</t>
  </si>
  <si>
    <t>07/075</t>
  </si>
  <si>
    <r>
      <rPr>
        <rFont val="Cambria"/>
        <color theme="1"/>
        <sz val="11.0"/>
      </rPr>
      <t xml:space="preserve">INVINCIBLE VODKA UTTRAKHAND 750 ML </t>
    </r>
    <r>
      <rPr>
        <rFont val="Cambria"/>
        <b/>
        <color theme="1"/>
        <sz val="11.0"/>
      </rPr>
      <t>BACK</t>
    </r>
  </si>
  <si>
    <t>04/048</t>
  </si>
  <si>
    <t>ASA L 46D 263 LB1 ASHIENRO BH SUSPN ZIMBABWE 100 ML</t>
  </si>
  <si>
    <t>PO PENDING</t>
  </si>
  <si>
    <t>HONCHO-1 LTR (NB ALU)</t>
  </si>
  <si>
    <t>290 x 162</t>
  </si>
  <si>
    <t>07/093</t>
  </si>
  <si>
    <t>AQUARITE 250 ML</t>
  </si>
  <si>
    <t>188 X 57</t>
  </si>
  <si>
    <t>07/151</t>
  </si>
  <si>
    <t>04/047</t>
  </si>
  <si>
    <t>GATEWAY SC 60 ML</t>
  </si>
  <si>
    <t>ALS L 46D 255 LB1 ASHIENRO BH SUSPN TANZANIA 100 ML</t>
  </si>
  <si>
    <t>07/109</t>
  </si>
  <si>
    <t>PK/MUM/112/2026-2027</t>
  </si>
  <si>
    <t>URGENT 01</t>
  </si>
  <si>
    <t>AGROMIN LIQUID MADHYA PRADESH 500 ML</t>
  </si>
  <si>
    <t>215 X 120</t>
  </si>
  <si>
    <r>
      <rPr>
        <rFont val="Cambria"/>
        <color rgb="FF000000"/>
        <sz val="11.0"/>
      </rPr>
      <t xml:space="preserve">DAKSH PLUS 500 ML </t>
    </r>
    <r>
      <rPr>
        <rFont val="Cambria"/>
        <b/>
        <color rgb="FFFF0000"/>
        <sz val="11.0"/>
      </rPr>
      <t>( GOLD FOIL 40 MM )</t>
    </r>
  </si>
  <si>
    <t>15.04.2026</t>
  </si>
  <si>
    <t>04/097</t>
  </si>
  <si>
    <t>PK/MUM/008/2026-2027</t>
  </si>
  <si>
    <t>HORTICA B 1 LTR</t>
  </si>
  <si>
    <t>290 X 101</t>
  </si>
  <si>
    <t>07/126</t>
  </si>
  <si>
    <t>TATAFEN - 5 LTR</t>
  </si>
  <si>
    <t>AGROMIN GOLD RAJASTHAN 500 ML</t>
  </si>
  <si>
    <t>568 x 130</t>
  </si>
  <si>
    <t>07/106</t>
  </si>
  <si>
    <t>07/128</t>
  </si>
  <si>
    <t>04/101</t>
  </si>
  <si>
    <t>URBAN OUD FORCE DEODORANT SPRAY 200 ML LABEL</t>
  </si>
  <si>
    <t>AGROMIN GOLD MAHARASHTRA 250 ML</t>
  </si>
  <si>
    <t>Matt Lamination</t>
  </si>
  <si>
    <t>192 X 70</t>
  </si>
  <si>
    <r>
      <rPr>
        <rFont val="Cambria"/>
        <color theme="1"/>
        <sz val="11.0"/>
      </rPr>
      <t xml:space="preserve">AGROMIN MAX HD 300 G </t>
    </r>
    <r>
      <rPr>
        <rFont val="Cambria"/>
        <b/>
        <color rgb="FFFF0000"/>
        <sz val="11.0"/>
      </rPr>
      <t>( OLD )</t>
    </r>
  </si>
  <si>
    <t>265 X 105</t>
  </si>
  <si>
    <t>07/129</t>
  </si>
  <si>
    <t>AGROMIN LIQUID UTTAR PRADESH 250 ML</t>
  </si>
  <si>
    <t>23.07.2026</t>
  </si>
  <si>
    <t>WYNK</t>
  </si>
  <si>
    <t>04/102</t>
  </si>
  <si>
    <r>
      <rPr>
        <rFont val="Cambria"/>
        <color theme="1"/>
        <sz val="11.0"/>
      </rPr>
      <t>KIDS STICKER</t>
    </r>
    <r>
      <rPr>
        <rFont val="Cambria"/>
        <b/>
        <color theme="1"/>
        <sz val="11.0"/>
      </rPr>
      <t xml:space="preserve"> ( LAMINATION )</t>
    </r>
  </si>
  <si>
    <t>GOREGAON</t>
  </si>
  <si>
    <t>AGROMIN MAX HD 150 G ( Matt Lamination )</t>
  </si>
  <si>
    <t>70 X 90</t>
  </si>
  <si>
    <t>260 X 75</t>
  </si>
  <si>
    <t>07/130</t>
  </si>
  <si>
    <t>AGROMIN LIQUID UTTARAKHAND 250 ML</t>
  </si>
  <si>
    <t>28.07.2026</t>
  </si>
  <si>
    <t>04/106</t>
  </si>
  <si>
    <t>5400087515 / 5400092171</t>
  </si>
  <si>
    <t>14-06-2025 /16-04-2026</t>
  </si>
  <si>
    <t>1720/ 5000</t>
  </si>
  <si>
    <t>HORTICA B 250 ML</t>
  </si>
  <si>
    <t>REEVA 5% INNER BOX LABEL (NB)</t>
  </si>
  <si>
    <t>140 X 50</t>
  </si>
  <si>
    <t>07/131</t>
  </si>
  <si>
    <t>AGROMIN LIQUID UTTARAKHAND 100 ML</t>
  </si>
  <si>
    <t>141 X 62</t>
  </si>
  <si>
    <t>17 04 2026</t>
  </si>
  <si>
    <t>04/100</t>
  </si>
  <si>
    <t>07/157</t>
  </si>
  <si>
    <t>17-03-2026</t>
  </si>
  <si>
    <t>PK/MUM/033/2026-2027 / PK/MUM/133/2026-2027</t>
  </si>
  <si>
    <t xml:space="preserve">Urgent </t>
  </si>
  <si>
    <t>06-05-2026 / 13-07-2026</t>
  </si>
  <si>
    <t>580 / 15000</t>
  </si>
  <si>
    <t>INNER BOX LABEL- RIMBO</t>
  </si>
  <si>
    <t>DAHEJ</t>
  </si>
  <si>
    <t>15 07 2026</t>
  </si>
  <si>
    <t>HYDRO PRO GOLD 250 ML</t>
  </si>
  <si>
    <r>
      <rPr>
        <rFont val="Cambria"/>
        <color theme="1"/>
        <sz val="11.0"/>
      </rPr>
      <t xml:space="preserve">HUMIBLACK 500 GM </t>
    </r>
    <r>
      <rPr>
        <rFont val="Cambria"/>
        <b/>
        <color rgb="FFFF0000"/>
        <sz val="11.0"/>
      </rPr>
      <t>( GOLD FOIL )</t>
    </r>
  </si>
  <si>
    <t>07/154</t>
  </si>
  <si>
    <t>04/104</t>
  </si>
  <si>
    <t>HYDRO PRO GOLD 500 ML</t>
  </si>
  <si>
    <t>MEDICHECK 2% SHAMPOO 100 ML ( F &amp; B )</t>
  </si>
  <si>
    <t>226 X 82</t>
  </si>
  <si>
    <t>45.97 X 85.85</t>
  </si>
  <si>
    <t>16.07.2026</t>
  </si>
  <si>
    <t>07/105</t>
  </si>
  <si>
    <t>04/103</t>
  </si>
  <si>
    <t>CASPICHECK SHAMPOO 130 ML ( F &amp; B )</t>
  </si>
  <si>
    <t>HORTICA B 500 ML</t>
  </si>
  <si>
    <t>38 X 85</t>
  </si>
  <si>
    <t>04/105</t>
  </si>
  <si>
    <t>07/156</t>
  </si>
  <si>
    <t>BONAGEO SHAMPOO 100 ML ( F &amp; B )</t>
  </si>
  <si>
    <t>17.06.2026</t>
  </si>
  <si>
    <t>06/095</t>
  </si>
  <si>
    <t>11.04.2026</t>
  </si>
  <si>
    <t>04/094</t>
  </si>
  <si>
    <t>GLORY SOAP CASE ( PLAST WORLD )</t>
  </si>
  <si>
    <t>58.5 X 14</t>
  </si>
  <si>
    <t>07/086</t>
  </si>
  <si>
    <t>04/093</t>
  </si>
  <si>
    <r>
      <rPr>
        <rFont val="Cambria"/>
        <color theme="1"/>
        <sz val="11.0"/>
      </rPr>
      <t xml:space="preserve">INVINCIBLE VODKA MAHARASHTRA 750 ML </t>
    </r>
    <r>
      <rPr>
        <rFont val="Cambria"/>
        <b/>
        <color theme="1"/>
        <sz val="11.0"/>
      </rPr>
      <t>BACK</t>
    </r>
  </si>
  <si>
    <t>07/056</t>
  </si>
  <si>
    <t>FAMOUS BLUE WHISKY 1 LTR FRONT LABEL</t>
  </si>
  <si>
    <t>74.7 X 160</t>
  </si>
  <si>
    <t>15 04 2026</t>
  </si>
  <si>
    <t>04/099</t>
  </si>
  <si>
    <t>HERBAL HILL</t>
  </si>
  <si>
    <t>PO-PPM1/000053</t>
  </si>
  <si>
    <r>
      <rPr>
        <rFont val="Cambria"/>
        <color theme="1"/>
        <sz val="11.0"/>
      </rPr>
      <t xml:space="preserve">AYUVYA I GAIN 90 TABLETS </t>
    </r>
    <r>
      <rPr>
        <rFont val="Cambria"/>
        <b/>
        <color theme="1"/>
        <sz val="11.0"/>
      </rPr>
      <t>( BATCH NO 165)</t>
    </r>
  </si>
  <si>
    <t>168 X 55</t>
  </si>
  <si>
    <t>07/057</t>
  </si>
  <si>
    <t>FAMOUS BLUE WHISKY 1 LTR BACK LABEL</t>
  </si>
  <si>
    <t>70 X 133</t>
  </si>
  <si>
    <t>04/042</t>
  </si>
  <si>
    <t>DIGITAL PRINTOUT</t>
  </si>
  <si>
    <t>BOX LABEL - SUPROLT (CORTEVA)</t>
  </si>
  <si>
    <t>Under Approval</t>
  </si>
  <si>
    <t>02.06.2026</t>
  </si>
  <si>
    <t>ORIGINAL IMPERIAL WHISKY 750 ML EXPORT OVERSEAS FRONT</t>
  </si>
  <si>
    <t>68 X 98</t>
  </si>
  <si>
    <t>18 04 2026</t>
  </si>
  <si>
    <t>04/119</t>
  </si>
  <si>
    <t>MOBOMIN 100 G</t>
  </si>
  <si>
    <t>165 X 55</t>
  </si>
  <si>
    <t>ORIGINAL IMPERIAL WHISKY 750 ML EXPORT OVERSEAS BACK</t>
  </si>
  <si>
    <t>68 X 75.5</t>
  </si>
  <si>
    <t>04/120</t>
  </si>
  <si>
    <t>PK/MUM/019/2026-2027</t>
  </si>
  <si>
    <t>23-04-2026</t>
  </si>
  <si>
    <t>MOBOMIN PLUS ANDHRA PRADESH 100 G</t>
  </si>
  <si>
    <t>ORIGINAL IMPERIAL WHISKY 750 ML MAHARASHTRA FRONT</t>
  </si>
  <si>
    <t>04/107</t>
  </si>
  <si>
    <t>5400091672 / 5400091815</t>
  </si>
  <si>
    <t>26-03-2026 / 31-03-2026</t>
  </si>
  <si>
    <t>3000 / 5000</t>
  </si>
  <si>
    <t>CASTELLO 1 L (NB)</t>
  </si>
  <si>
    <t>290 x 130</t>
  </si>
  <si>
    <t>ORIGINAL IMPERIAL WHISKY 750 ML MAHARASHTRA BACK</t>
  </si>
  <si>
    <t>04/121</t>
  </si>
  <si>
    <t>17-04-2026</t>
  </si>
  <si>
    <t>ORIGINAL IMPERIAL WHISKY 750 ML GOA FRONT</t>
  </si>
  <si>
    <t>04/122</t>
  </si>
  <si>
    <t>ORIGINAL IMPERIAL WHISKY 750 ML GOA BACK</t>
  </si>
  <si>
    <t>04/123</t>
  </si>
  <si>
    <t>13.06.2026</t>
  </si>
  <si>
    <t>PK/MUM/085/2026-2027</t>
  </si>
  <si>
    <t>MARINO 1 LTR</t>
  </si>
  <si>
    <t>21.04.2026</t>
  </si>
  <si>
    <t>04/125</t>
  </si>
  <si>
    <t xml:space="preserve">ANU IND </t>
  </si>
  <si>
    <t xml:space="preserve">RUCHI MUNCH LUNCH BOX LABEL (SILVER FOIL) </t>
  </si>
  <si>
    <t xml:space="preserve">OPAQUE IML </t>
  </si>
  <si>
    <t>204X131</t>
  </si>
  <si>
    <t>TOTAL 500 ML</t>
  </si>
  <si>
    <t>04/112</t>
  </si>
  <si>
    <t>SAI DHUDH</t>
  </si>
  <si>
    <t>SR NO.</t>
  </si>
  <si>
    <t>CLIENT NAME</t>
  </si>
  <si>
    <t xml:space="preserve"> </t>
  </si>
  <si>
    <t>PRODUCT NAME</t>
  </si>
  <si>
    <t>OPENING STOCK 14.11.2022</t>
  </si>
  <si>
    <t>CHAAS 500 ML LABEL</t>
  </si>
  <si>
    <t>PRINT QTY</t>
  </si>
  <si>
    <t>194 X 60</t>
  </si>
  <si>
    <t>ISSUE QTY</t>
  </si>
  <si>
    <t>NEMOCHECK TRIPLE ACTION 500 ML</t>
  </si>
  <si>
    <t>BALANCE QTY</t>
  </si>
  <si>
    <t>Qty</t>
  </si>
  <si>
    <t>Date</t>
  </si>
  <si>
    <t>04/113</t>
  </si>
  <si>
    <t>CHAAS 250 ML LABEL</t>
  </si>
  <si>
    <t>150 X 50</t>
  </si>
  <si>
    <t>AGROMIN GOLD ANDHRA PRADESH 1 LTR</t>
  </si>
  <si>
    <t>20 04 2026</t>
  </si>
  <si>
    <t>04/124</t>
  </si>
  <si>
    <t>PPM12627/000109</t>
  </si>
  <si>
    <t>30-04-2026</t>
  </si>
  <si>
    <t>HOT FOIL GREEN</t>
  </si>
  <si>
    <t xml:space="preserve">DXN SUPER GREEN 15 TAB (FT453) </t>
  </si>
  <si>
    <t>90 X 105</t>
  </si>
  <si>
    <t>ARIPOTASH 1 LTR</t>
  </si>
  <si>
    <t>23.04.2026</t>
  </si>
  <si>
    <t>04/128</t>
  </si>
  <si>
    <t xml:space="preserve">SHREE PRINT </t>
  </si>
  <si>
    <t>LISALINE - DEGRITE STICKER</t>
  </si>
  <si>
    <t>P P WHITE</t>
  </si>
  <si>
    <t>43.22 X 85.5</t>
  </si>
  <si>
    <t>PRIMA SULF 500 ML</t>
  </si>
  <si>
    <t>20.04.2026</t>
  </si>
  <si>
    <t>04/129</t>
  </si>
  <si>
    <t>18-04-2026</t>
  </si>
  <si>
    <t>ARIPOTASH 500 ML</t>
  </si>
  <si>
    <t>10.04.2026</t>
  </si>
  <si>
    <t>04/134</t>
  </si>
  <si>
    <t>AGRONAA 250 ML</t>
  </si>
  <si>
    <t>AGROMIN LIQUID JHARKHAND 100 ML</t>
  </si>
  <si>
    <t>04/135</t>
  </si>
  <si>
    <t>AGRONAA 100 ML</t>
  </si>
  <si>
    <t>141X62</t>
  </si>
  <si>
    <t>ANTOX 250 ML</t>
  </si>
  <si>
    <t>04/127</t>
  </si>
  <si>
    <t>2026/27/01</t>
  </si>
  <si>
    <r>
      <rPr>
        <rFont val="Cambria"/>
        <color theme="1"/>
        <sz val="11.0"/>
      </rPr>
      <t xml:space="preserve">TRANSTRACKER CYAN BLUE </t>
    </r>
    <r>
      <rPr>
        <rFont val="Cambria"/>
        <b/>
        <color theme="1"/>
        <sz val="11.0"/>
      </rPr>
      <t>( LAMINATION )</t>
    </r>
  </si>
  <si>
    <t>40 X 45</t>
  </si>
  <si>
    <t>HYDRO PRO GOLD 1 LTR</t>
  </si>
  <si>
    <t>25 04 2026</t>
  </si>
  <si>
    <t>04/138</t>
  </si>
  <si>
    <t>NAVLAI PRINT</t>
  </si>
  <si>
    <t>BAG TAG FINAL</t>
  </si>
  <si>
    <t>NT</t>
  </si>
  <si>
    <t>529 X 51</t>
  </si>
  <si>
    <t>01.08.2026</t>
  </si>
  <si>
    <t xml:space="preserve">HARBAL HILLS </t>
  </si>
  <si>
    <t>04/140</t>
  </si>
  <si>
    <t>I GAIN 90 TABLETS WITHOUT BATCH</t>
  </si>
  <si>
    <t>Lonavala</t>
  </si>
  <si>
    <t>5400091353 / 5400091672</t>
  </si>
  <si>
    <t>168 X 53</t>
  </si>
  <si>
    <t>08-03-2026 / 26-03-2026</t>
  </si>
  <si>
    <t>1730 / 35000</t>
  </si>
  <si>
    <t>TAFGOR BOX LABEL (NB)</t>
  </si>
  <si>
    <t xml:space="preserve">CHROMO </t>
  </si>
  <si>
    <t>04/137</t>
  </si>
  <si>
    <t>5400091672 / 5400091815 / 5400092171</t>
  </si>
  <si>
    <t>26-03-2026 / 31-03-2026 / 16-04-2026</t>
  </si>
  <si>
    <t>350 / 3000 / 5000</t>
  </si>
  <si>
    <t>RILON BOX LABEL (NB)</t>
  </si>
  <si>
    <t>04/136</t>
  </si>
  <si>
    <t>08-03-2026 /26-03-2026</t>
  </si>
  <si>
    <t>3000 / 3000</t>
  </si>
  <si>
    <t>ANANT BOX LABEL (NB)</t>
  </si>
  <si>
    <t>04/139</t>
  </si>
  <si>
    <t>26-03-2026</t>
  </si>
  <si>
    <t>TATAPANIDA BOX LABEL (NB)</t>
  </si>
  <si>
    <t>Approval Recd</t>
  </si>
  <si>
    <t>24 04 2026</t>
  </si>
  <si>
    <t>04/141</t>
  </si>
  <si>
    <t>27-04-2026</t>
  </si>
  <si>
    <t>04/142</t>
  </si>
  <si>
    <t>BOX LABEL - RALWET 75</t>
  </si>
  <si>
    <t>21 04 2026</t>
  </si>
  <si>
    <t>04/126</t>
  </si>
  <si>
    <t>TRICIL</t>
  </si>
  <si>
    <t xml:space="preserve">YUMMZI SALTED ROASTED CHANA &amp; MASALA CHANA DAL SMALL PACK 25 G </t>
  </si>
  <si>
    <t>125 X 210</t>
  </si>
  <si>
    <t>27.04.2026</t>
  </si>
  <si>
    <t>04/144</t>
  </si>
  <si>
    <t>25.04.2026</t>
  </si>
  <si>
    <t>04/145</t>
  </si>
  <si>
    <t>25-04-2026</t>
  </si>
  <si>
    <t>Digital Print</t>
  </si>
  <si>
    <t>PENDALIN 500 EC 20 LTR FRONT EXP</t>
  </si>
  <si>
    <t>180 X 220</t>
  </si>
  <si>
    <t>04/146</t>
  </si>
  <si>
    <t>PENDALIN 500 EC 20 LTR BACK EXP</t>
  </si>
  <si>
    <t>UNDER PLATE</t>
  </si>
  <si>
    <t>04/147</t>
  </si>
  <si>
    <t>PENDALIN 500 EC 20 LTR EXP IMDG LABEL</t>
  </si>
  <si>
    <t>150 X 295</t>
  </si>
  <si>
    <t>17.07.2026</t>
  </si>
  <si>
    <t>MUDRANK CERIFICATE</t>
  </si>
  <si>
    <t>356 X 216</t>
  </si>
  <si>
    <t>04/148</t>
  </si>
  <si>
    <t>RALWET75 - 1 L</t>
  </si>
  <si>
    <t>04/157</t>
  </si>
  <si>
    <t>04/150</t>
  </si>
  <si>
    <t>RALWET75 -25 ML</t>
  </si>
  <si>
    <t>102 X 42</t>
  </si>
  <si>
    <t>04/158</t>
  </si>
  <si>
    <t>ST-BK-POLICE STICKER (NOOR)</t>
  </si>
  <si>
    <t>77 X 76</t>
  </si>
  <si>
    <t>04/155</t>
  </si>
  <si>
    <t>YUMMZI SALTED PEANUTS &amp; MASALA PEANUTS SMALL PACK 25 G</t>
  </si>
  <si>
    <t>HOLD JOB</t>
  </si>
  <si>
    <t>04/133</t>
  </si>
  <si>
    <t>HAYAT PHARMA</t>
  </si>
  <si>
    <t>17.03.2026</t>
  </si>
  <si>
    <t>GOLD FOIL</t>
  </si>
  <si>
    <t>CAPTAIN SELECT 3 YEARS KERALA 750 ML FRONT</t>
  </si>
  <si>
    <t>SHARBAT-E-NISHAT SYRUP 300 ML</t>
  </si>
  <si>
    <t>PP SILVER</t>
  </si>
  <si>
    <t>90 X 145</t>
  </si>
  <si>
    <t>180 X 85</t>
  </si>
  <si>
    <t>04/149</t>
  </si>
  <si>
    <t>RALWET75 -100ML</t>
  </si>
  <si>
    <t>CAPTAIN SELECT 3 YEARS KERALA 750 ML BACK</t>
  </si>
  <si>
    <t>50 X 76</t>
  </si>
  <si>
    <t>29.04.2026</t>
  </si>
  <si>
    <t>04/161</t>
  </si>
  <si>
    <t>29-04-2026</t>
  </si>
  <si>
    <t>PENDIM 455 CS 20 LTR</t>
  </si>
  <si>
    <t>200 X 155</t>
  </si>
  <si>
    <t>24.05.2026</t>
  </si>
  <si>
    <t>05/134</t>
  </si>
  <si>
    <t>PRODIM-1L(NB)</t>
  </si>
  <si>
    <t>282 X 142</t>
  </si>
  <si>
    <t>04/132</t>
  </si>
  <si>
    <t>WOMB GUARD SYRUP 200 ML</t>
  </si>
  <si>
    <t>180 X 45</t>
  </si>
  <si>
    <t>10.06.2026</t>
  </si>
  <si>
    <t>RILON 10 GM</t>
  </si>
  <si>
    <t>04/131</t>
  </si>
  <si>
    <t>REDTIDE SYRUP 200 ML LABEL</t>
  </si>
  <si>
    <t>25.05.2026</t>
  </si>
  <si>
    <t>PRODIM MIX 5 L (NB)</t>
  </si>
  <si>
    <t>05/009</t>
  </si>
  <si>
    <t>05/010</t>
  </si>
  <si>
    <t>04/156</t>
  </si>
  <si>
    <t>YUMMZI SALTED PEANUTS &amp; ROASTED CHANA PACK 50 G LABEL</t>
  </si>
  <si>
    <t>04/151</t>
  </si>
  <si>
    <t>RALWET75 -250ML</t>
  </si>
  <si>
    <t>04/152</t>
  </si>
  <si>
    <t>RALWET75 -500 ML</t>
  </si>
  <si>
    <t>233 x 103</t>
  </si>
  <si>
    <t>04/153</t>
  </si>
  <si>
    <t>RALWET75 -50ML</t>
  </si>
  <si>
    <t>140 X 32</t>
  </si>
  <si>
    <t>04/130</t>
  </si>
  <si>
    <t>DAILY PHARMA</t>
  </si>
  <si>
    <t>DAILY KALONJI 100 ML LABEL</t>
  </si>
  <si>
    <t>114 X 76</t>
  </si>
  <si>
    <t>05/008</t>
  </si>
  <si>
    <t>TAARAK 500 ML (NB)</t>
  </si>
  <si>
    <t>05/005</t>
  </si>
  <si>
    <t>5400091815 / 5400092171</t>
  </si>
  <si>
    <t>31-03-2026 / 16-04-2026</t>
  </si>
  <si>
    <t>8420 / 30000</t>
  </si>
  <si>
    <t>PANIDA 250 ML (NB)</t>
  </si>
  <si>
    <t>05/002</t>
  </si>
  <si>
    <t>KORANDA 505 - 5 LTR</t>
  </si>
  <si>
    <t>568 X 130</t>
  </si>
  <si>
    <t>05/004</t>
  </si>
  <si>
    <t>5400091672 / 5400092171</t>
  </si>
  <si>
    <t>26-03-2026 / 16-04-2026</t>
  </si>
  <si>
    <t>4100 / 15000</t>
  </si>
  <si>
    <t>LAAFA 250 ML (NB)</t>
  </si>
  <si>
    <t>05/006</t>
  </si>
  <si>
    <t>5400091029 / 5400091672 / 5400091742</t>
  </si>
  <si>
    <t>11-02-2026/26-03-2026/28-03-2026</t>
  </si>
  <si>
    <t>5085/3000/2860</t>
  </si>
  <si>
    <t>CLUE 1 KG (NB)</t>
  </si>
  <si>
    <t>353 X 188</t>
  </si>
  <si>
    <t>05/007</t>
  </si>
  <si>
    <t>HONCHO 50 ML (NB ALU)</t>
  </si>
  <si>
    <t>147 X 46.5</t>
  </si>
  <si>
    <t>04.05.2026</t>
  </si>
  <si>
    <t>05/014</t>
  </si>
  <si>
    <t>05/015</t>
  </si>
  <si>
    <t>ALS L 46D 234 LB2 ASHIENRO BH SUSPENSION NIGERIA 100 ML</t>
  </si>
  <si>
    <t>29 04 2026</t>
  </si>
  <si>
    <t>05/019</t>
  </si>
  <si>
    <t>13-05-2026</t>
  </si>
  <si>
    <t>NANOFCODE 400 ML -MAHARASHTRA</t>
  </si>
  <si>
    <t>233 X 73</t>
  </si>
  <si>
    <t>05/020</t>
  </si>
  <si>
    <t>NANOFCODE 400 ML - KARNATAKA</t>
  </si>
  <si>
    <t>05/024</t>
  </si>
  <si>
    <t>NANOFCODE 400 ML - RAJASTHAN</t>
  </si>
  <si>
    <t>05/022</t>
  </si>
  <si>
    <t>NANOFCODE 400 ML - MP</t>
  </si>
  <si>
    <t>05/021</t>
  </si>
  <si>
    <t>NANOFCODE 1 LT - MP</t>
  </si>
  <si>
    <t>05/012</t>
  </si>
  <si>
    <t>NANOFCODE 1 LT - KARNATAKA</t>
  </si>
  <si>
    <t>05/023</t>
  </si>
  <si>
    <t>NANOFCODE 1 LT - RAJASTHAN</t>
  </si>
  <si>
    <t>05/016</t>
  </si>
  <si>
    <t>BANKIM FOREST BRUSH RIVER</t>
  </si>
  <si>
    <t>143.5 X 39</t>
  </si>
  <si>
    <t>05/017</t>
  </si>
  <si>
    <t>NEXON MEDIUM PENCIL BOX</t>
  </si>
  <si>
    <t>184 X 54</t>
  </si>
  <si>
    <t>05/018</t>
  </si>
  <si>
    <t>NANOFCODE 1 LT - MAHARASHTRA</t>
  </si>
  <si>
    <t>30 04 2026</t>
  </si>
  <si>
    <t>05/025</t>
  </si>
  <si>
    <t>PPM12627/000114</t>
  </si>
  <si>
    <r>
      <rPr>
        <rFont val="Cambria"/>
        <color theme="1"/>
        <sz val="11.0"/>
      </rPr>
      <t xml:space="preserve">AYUVYA I GAIN 90 TABLETS </t>
    </r>
    <r>
      <rPr>
        <rFont val="Cambria"/>
        <b/>
        <color theme="1"/>
        <sz val="11.0"/>
      </rPr>
      <t>( BATCH NO 175)</t>
    </r>
  </si>
  <si>
    <t>05/013</t>
  </si>
  <si>
    <t>NANOFCODE 5 LT - KARNATAKA</t>
  </si>
  <si>
    <t>05/026</t>
  </si>
  <si>
    <t>NANOFCODE 200 ML - KERLA</t>
  </si>
  <si>
    <t>180 X 70</t>
  </si>
  <si>
    <t>05/011</t>
  </si>
  <si>
    <t>NANOFCODE 200 ML - KARNATAKA</t>
  </si>
  <si>
    <t>05/027</t>
  </si>
  <si>
    <t>NANOFCODE 400 ML - KERLA</t>
  </si>
  <si>
    <t>05/036</t>
  </si>
  <si>
    <t>300 ML GATEWAY SC</t>
  </si>
  <si>
    <t>GSP2</t>
  </si>
  <si>
    <t>05/037</t>
  </si>
  <si>
    <t>BOX LABEL- GATEWAY SC</t>
  </si>
  <si>
    <t>05/042</t>
  </si>
  <si>
    <t>KRISHNA ART</t>
  </si>
  <si>
    <r>
      <rPr>
        <rFont val="Cambria"/>
        <color theme="1"/>
        <sz val="11.0"/>
      </rPr>
      <t xml:space="preserve">MEGATONE SYRUP 200 ML </t>
    </r>
    <r>
      <rPr>
        <rFont val="Cambria"/>
        <b/>
        <color theme="1"/>
        <sz val="11.0"/>
      </rPr>
      <t>( GOLD FOIL )</t>
    </r>
  </si>
  <si>
    <t>125 X 45</t>
  </si>
  <si>
    <t>05/043</t>
  </si>
  <si>
    <t>HAEM PLUS 200 ML</t>
  </si>
  <si>
    <t>05/045</t>
  </si>
  <si>
    <t>DR COLD SIROP 100 ML</t>
  </si>
  <si>
    <t>105 X 55</t>
  </si>
  <si>
    <t>05/034</t>
  </si>
  <si>
    <t xml:space="preserve">ARIES PRO 1 LTR </t>
  </si>
  <si>
    <t>05/035</t>
  </si>
  <si>
    <t xml:space="preserve">AQUA SHELL 1 LTR </t>
  </si>
  <si>
    <t>30.04.2026</t>
  </si>
  <si>
    <t>05/030</t>
  </si>
  <si>
    <t>PK/MUM/026/2026-2027</t>
  </si>
  <si>
    <t>AQUA ZINCMAG 1 LTR</t>
  </si>
  <si>
    <t>05/028</t>
  </si>
  <si>
    <t>AGROMIN GOLD UTTAR PRADESH 500 ML</t>
  </si>
  <si>
    <t>05/029</t>
  </si>
  <si>
    <t>AGROMIN GOLD WEST BENGAL 100 ML</t>
  </si>
  <si>
    <t>05/031</t>
  </si>
  <si>
    <t>PHOSPHOCOP 250 ML</t>
  </si>
  <si>
    <t>05/032</t>
  </si>
  <si>
    <t>TOTAL 100 ML</t>
  </si>
  <si>
    <t>05/033</t>
  </si>
  <si>
    <t>TOTAL 250 ML</t>
  </si>
  <si>
    <t>05/044</t>
  </si>
  <si>
    <t>CIPROFLOXACIN 0.3% OTHTHALMIC SOLUTION</t>
  </si>
  <si>
    <t>67 X 18</t>
  </si>
  <si>
    <t>05/038</t>
  </si>
  <si>
    <t>GLOBAL CORP</t>
  </si>
  <si>
    <t>CLEARIT 1 LTR</t>
  </si>
  <si>
    <t>AURANGABAD</t>
  </si>
  <si>
    <t>270 X 146</t>
  </si>
  <si>
    <t>05/039</t>
  </si>
  <si>
    <t>CLEARIT 500 ML</t>
  </si>
  <si>
    <t>213 X 117</t>
  </si>
  <si>
    <t>05/052</t>
  </si>
  <si>
    <t>TATAMIDA 17.8 SL 500 ML (NB)</t>
  </si>
  <si>
    <t>05/049</t>
  </si>
  <si>
    <t>ANANT 100 GM (NB)</t>
  </si>
  <si>
    <t>233 X 37</t>
  </si>
  <si>
    <t>05/054</t>
  </si>
  <si>
    <t>HUNK 1KG (NB)</t>
  </si>
  <si>
    <t>BCPL</t>
  </si>
  <si>
    <t>05/055</t>
  </si>
  <si>
    <t>5400092627 / 5400092639</t>
  </si>
  <si>
    <t>12-05-2026 / 13-05-2026</t>
  </si>
  <si>
    <t>1000 / 3500</t>
  </si>
  <si>
    <t>05/056</t>
  </si>
  <si>
    <t>LABEL (INNER)-REEVA 5% (NB)</t>
  </si>
  <si>
    <t>05/057</t>
  </si>
  <si>
    <t>LABEL (FOR INNER) - CONTAF 5EC (NB)</t>
  </si>
  <si>
    <t>05/058</t>
  </si>
  <si>
    <t>LABEL (INNER) - RALWET 75</t>
  </si>
  <si>
    <t>05/059</t>
  </si>
  <si>
    <t>300 /3500</t>
  </si>
  <si>
    <t>LABEL (FOR INNER) - HONCHO</t>
  </si>
  <si>
    <t>05/051</t>
  </si>
  <si>
    <t>PANIDA GRANDE 350 ML (NB)</t>
  </si>
  <si>
    <t>05/050</t>
  </si>
  <si>
    <t>12920 / 30000</t>
  </si>
  <si>
    <t>PANIDA GRANDE 3.5 LTR (NB)</t>
  </si>
  <si>
    <t>165 X 90</t>
  </si>
  <si>
    <t>05/053</t>
  </si>
  <si>
    <t>(F &amp; B) - LAAFA 5 L</t>
  </si>
  <si>
    <t>04/108</t>
  </si>
  <si>
    <t>31-03-2026</t>
  </si>
  <si>
    <t>PACLO 1 L (NB)</t>
  </si>
  <si>
    <t>290 X 130</t>
  </si>
  <si>
    <t>05/064</t>
  </si>
  <si>
    <t>CASTELLO 100 ML (NB)</t>
  </si>
  <si>
    <t>05/065</t>
  </si>
  <si>
    <t>5400092348 / 5400092639</t>
  </si>
  <si>
    <t>27-04-2026 / 13-05-2026</t>
  </si>
  <si>
    <t>2000 / 10000</t>
  </si>
  <si>
    <t>CASTELLO 250 ML (NB)</t>
  </si>
  <si>
    <t>177 x 88</t>
  </si>
  <si>
    <t>05/047</t>
  </si>
  <si>
    <t>2025-26/03</t>
  </si>
  <si>
    <r>
      <rPr>
        <rFont val="Cambria"/>
        <color theme="1"/>
        <sz val="11.0"/>
      </rPr>
      <t xml:space="preserve">TRANSTRACKER CYAN BLUE </t>
    </r>
    <r>
      <rPr>
        <rFont val="Cambria"/>
        <b/>
        <color theme="1"/>
        <sz val="11.0"/>
      </rPr>
      <t>( LAMINATION )</t>
    </r>
  </si>
  <si>
    <t>05/048</t>
  </si>
  <si>
    <t>BORTEZOMIB 150102980 PIGGYBACK LABEL</t>
  </si>
  <si>
    <t>24.04.2026</t>
  </si>
  <si>
    <t>05/060</t>
  </si>
  <si>
    <t>OXY ROUND LUNCH BOX ( NAKODA )</t>
  </si>
  <si>
    <t>SOLID GLOSSY WHITE</t>
  </si>
  <si>
    <t>142 X 142</t>
  </si>
  <si>
    <t>05/068</t>
  </si>
  <si>
    <t>CLICK 800 LUNCH BOX SET 01 LABEL</t>
  </si>
  <si>
    <t>180 X 109.5</t>
  </si>
  <si>
    <t>05/069</t>
  </si>
  <si>
    <t>CLICK 800 LUNCH BOX SET 02 LABEL</t>
  </si>
  <si>
    <t>05/067</t>
  </si>
  <si>
    <t>PO-PPM1/000140</t>
  </si>
  <si>
    <r>
      <rPr>
        <rFont val="Cambria"/>
        <color theme="1"/>
        <sz val="11.0"/>
      </rPr>
      <t xml:space="preserve">I GAIN 90 TABLETS </t>
    </r>
    <r>
      <rPr>
        <rFont val="Cambria"/>
        <b/>
        <color theme="1"/>
        <sz val="11.0"/>
      </rPr>
      <t>( BATCH NO 183)</t>
    </r>
  </si>
  <si>
    <t>05/070</t>
  </si>
  <si>
    <t>PO-PPM1/000148</t>
  </si>
  <si>
    <r>
      <rPr>
        <rFont val="Cambria"/>
        <color theme="1"/>
        <sz val="11.0"/>
      </rPr>
      <t xml:space="preserve">I GAIN 90 TABLETS </t>
    </r>
    <r>
      <rPr>
        <rFont val="Cambria"/>
        <b/>
        <color theme="1"/>
        <sz val="11.0"/>
      </rPr>
      <t>( BATCH NO 190)</t>
    </r>
  </si>
  <si>
    <t>05/071</t>
  </si>
  <si>
    <r>
      <rPr>
        <rFont val="Cambria"/>
        <color theme="1"/>
        <sz val="11.0"/>
      </rPr>
      <t xml:space="preserve">I GAIN 90 TABLETS </t>
    </r>
    <r>
      <rPr>
        <rFont val="Cambria"/>
        <b/>
        <color theme="1"/>
        <sz val="11.0"/>
      </rPr>
      <t>( BATCH NO 191)</t>
    </r>
  </si>
  <si>
    <t>05/074</t>
  </si>
  <si>
    <t>ARMOUR ME</t>
  </si>
  <si>
    <t>KOPARO STAIN REMOVER LABEL</t>
  </si>
  <si>
    <t>119 X 80</t>
  </si>
  <si>
    <t>05/062</t>
  </si>
  <si>
    <r>
      <rPr>
        <rFont val="Cambria"/>
        <color theme="1"/>
        <sz val="11.0"/>
      </rPr>
      <t xml:space="preserve">SAFARI TRAY STICKER ( BHAWANI ) </t>
    </r>
    <r>
      <rPr>
        <rFont val="Cambria"/>
        <color rgb="FFFF0000"/>
        <sz val="11.0"/>
      </rPr>
      <t>( LAMINATION )</t>
    </r>
  </si>
  <si>
    <t>266.024 X 237.052</t>
  </si>
  <si>
    <t>05/063</t>
  </si>
  <si>
    <t>PLASTOWORLD IVY SOAP CASE LABEL</t>
  </si>
  <si>
    <t>79.24 X 50</t>
  </si>
  <si>
    <t>05/077</t>
  </si>
  <si>
    <t>GATEWAY SC 30 ML</t>
  </si>
  <si>
    <t>05/078</t>
  </si>
  <si>
    <t>05/079</t>
  </si>
  <si>
    <t>SHUBHSHREE ARTS</t>
  </si>
  <si>
    <t>MATT VARNISH</t>
  </si>
  <si>
    <t>REPAIR AND NOURISHING 200 ML</t>
  </si>
  <si>
    <t>165 X 95</t>
  </si>
  <si>
    <t>05/093</t>
  </si>
  <si>
    <t>PK/MUM/033/2026-2027</t>
  </si>
  <si>
    <t>05/090</t>
  </si>
  <si>
    <t>AGROMIN GOLD ANDHRA PRADESH 100 ML</t>
  </si>
  <si>
    <t>05/095</t>
  </si>
  <si>
    <t>AGROMIN GOLD CHHATISGARH 100 ML</t>
  </si>
  <si>
    <t>21 05 2026</t>
  </si>
  <si>
    <t>05/113</t>
  </si>
  <si>
    <t>AQUACAL 1 LTR</t>
  </si>
  <si>
    <t>05/110</t>
  </si>
  <si>
    <t>AGROMIN GOLD WEST BENGAL 50 ML</t>
  </si>
  <si>
    <t>135 X 36</t>
  </si>
  <si>
    <t>05/111</t>
  </si>
  <si>
    <t>AGROMIN GOLD UTTAR PRADESH 1 LTR</t>
  </si>
  <si>
    <t>16.05.2026</t>
  </si>
  <si>
    <t>05/101</t>
  </si>
  <si>
    <t xml:space="preserve">AMAZE TIFIN BOX  (LAMINATION) </t>
  </si>
  <si>
    <t xml:space="preserve">CLEAR IML </t>
  </si>
  <si>
    <t>183 X 50</t>
  </si>
  <si>
    <t>20-05-2026</t>
  </si>
  <si>
    <t>CLIENT</t>
  </si>
  <si>
    <t>23 03 2026</t>
  </si>
  <si>
    <t>05/096</t>
  </si>
  <si>
    <t>PK/MUM/555/2025-2026</t>
  </si>
  <si>
    <t>21-03-2026</t>
  </si>
  <si>
    <r>
      <rPr>
        <rFont val="Cambria"/>
        <color theme="1"/>
        <sz val="11.0"/>
      </rPr>
      <t xml:space="preserve">MARINO 1 LTR </t>
    </r>
    <r>
      <rPr>
        <rFont val="Cambria"/>
        <b/>
        <color theme="1"/>
        <sz val="11.0"/>
      </rPr>
      <t>( OLD ARTWORK )</t>
    </r>
  </si>
  <si>
    <t>PORTER</t>
  </si>
  <si>
    <t>05/097</t>
  </si>
  <si>
    <r>
      <rPr>
        <rFont val="Cambria"/>
        <color theme="1"/>
        <sz val="11.0"/>
      </rPr>
      <t xml:space="preserve">MARINO 500 ML </t>
    </r>
    <r>
      <rPr>
        <rFont val="Cambria"/>
        <b/>
        <color theme="1"/>
        <sz val="11.0"/>
      </rPr>
      <t>( OLD ARTWORK )</t>
    </r>
  </si>
  <si>
    <t>05/080</t>
  </si>
  <si>
    <t>1300 / 2000 / 5000</t>
  </si>
  <si>
    <t>HONCHO 500 ML (NB ALU)</t>
  </si>
  <si>
    <t>205 X162</t>
  </si>
  <si>
    <t>ARCO</t>
  </si>
  <si>
    <t>05/081</t>
  </si>
  <si>
    <t>KAR- SURPLUS 400 ML (NB)</t>
  </si>
  <si>
    <t>05/083</t>
  </si>
  <si>
    <t>RALLIZIN -1 L</t>
  </si>
  <si>
    <t>292 x 137</t>
  </si>
  <si>
    <t>05/084</t>
  </si>
  <si>
    <t>BOX LABEL - CLUE (NB)</t>
  </si>
  <si>
    <t>05/085</t>
  </si>
  <si>
    <t>5400092423 / 5400092627</t>
  </si>
  <si>
    <t>04-05-2026 / 12-05-2026</t>
  </si>
  <si>
    <t>3000 / 21000</t>
  </si>
  <si>
    <t>HONCHO-50ML(NB ALU)</t>
  </si>
  <si>
    <t>05/086</t>
  </si>
  <si>
    <t>KAR- SURPLUS 200 ML (NB)</t>
  </si>
  <si>
    <t>05/087</t>
  </si>
  <si>
    <t>(F&amp;B) SURPLUS (KN)-5 L</t>
  </si>
  <si>
    <t>05/088</t>
  </si>
  <si>
    <t>PACLO-50ML</t>
  </si>
  <si>
    <t>127 X 66</t>
  </si>
  <si>
    <t>05/082</t>
  </si>
  <si>
    <t>14-05-2026</t>
  </si>
  <si>
    <t>10690/ 400000</t>
  </si>
  <si>
    <t>TATA BAHAAR 1 LTR (NB)</t>
  </si>
  <si>
    <t>05/109</t>
  </si>
  <si>
    <t>21-05-2025</t>
  </si>
  <si>
    <t>UP-II SURPLUS 1 LTR (NB)</t>
  </si>
  <si>
    <t>BORIVALI BUS</t>
  </si>
  <si>
    <t>05/108</t>
  </si>
  <si>
    <t>24 03 2026</t>
  </si>
  <si>
    <t>05/106</t>
  </si>
  <si>
    <t>5400091170 / 5400091672</t>
  </si>
  <si>
    <t>20-02-2026 / 26-03-2026</t>
  </si>
  <si>
    <t>5000 / 5000</t>
  </si>
  <si>
    <t>RILON 1 KG (NB)</t>
  </si>
  <si>
    <t>22.05.2026</t>
  </si>
  <si>
    <t>05/122</t>
  </si>
  <si>
    <t>22-05-2026</t>
  </si>
  <si>
    <t>RILON 500 GM (NB)</t>
  </si>
  <si>
    <t>05/121</t>
  </si>
  <si>
    <t>MALATHION 1 LTR EXPORT  ( MALATAF )</t>
  </si>
  <si>
    <t>AKL 1</t>
  </si>
  <si>
    <t>284 X 163</t>
  </si>
  <si>
    <t>15 05 2026</t>
  </si>
  <si>
    <t>05/118</t>
  </si>
  <si>
    <t>MALATHION 500 ML EXPORT ( MALATAF )</t>
  </si>
  <si>
    <t>204 X 163</t>
  </si>
  <si>
    <t>05/120</t>
  </si>
  <si>
    <t>250ML HEXA10+DIFEN20SC UG. EXP ( ANVIL PLUS )</t>
  </si>
  <si>
    <t>204 X 70</t>
  </si>
  <si>
    <t>CHAMUNDA</t>
  </si>
  <si>
    <t>05/117</t>
  </si>
  <si>
    <t>22-05-2062</t>
  </si>
  <si>
    <t>500ML HEXA10+DIFEN20SC UG. ( ANVIL PLUS )</t>
  </si>
  <si>
    <t>223 X 110</t>
  </si>
  <si>
    <t>05/119</t>
  </si>
  <si>
    <t>1 L HEXA10+DIFEN20SC UG. EXP ( ANVIL PLUS )</t>
  </si>
  <si>
    <t>280 X 143</t>
  </si>
  <si>
    <t>100ML HEXA10+DIFEN20SC UG. ( ANVIL PLUS )</t>
  </si>
  <si>
    <t>159 X 52</t>
  </si>
  <si>
    <t>20 05 2026</t>
  </si>
  <si>
    <t>05/116</t>
  </si>
  <si>
    <t>PO-PPM1/000174</t>
  </si>
  <si>
    <t>20-5-2026</t>
  </si>
  <si>
    <r>
      <rPr>
        <rFont val="Cambria"/>
        <color theme="1"/>
        <sz val="11.0"/>
      </rPr>
      <t xml:space="preserve">I GAIN 90 TABLETS </t>
    </r>
    <r>
      <rPr>
        <rFont val="Cambria"/>
        <b/>
        <color theme="1"/>
        <sz val="11.0"/>
      </rPr>
      <t>( BATCH NO 198)</t>
    </r>
  </si>
  <si>
    <t>26-05-2026</t>
  </si>
  <si>
    <t>ACPL</t>
  </si>
  <si>
    <t>23.05.2026</t>
  </si>
  <si>
    <t>05/124</t>
  </si>
  <si>
    <t>27-05-2026</t>
  </si>
  <si>
    <t>CLIENT VEHICLE</t>
  </si>
  <si>
    <t>05/138</t>
  </si>
  <si>
    <t>30-05-2026</t>
  </si>
  <si>
    <t>05/139</t>
  </si>
  <si>
    <t>05/137</t>
  </si>
  <si>
    <t>CLUE 120 GM (NB)</t>
  </si>
  <si>
    <t>05/145</t>
  </si>
  <si>
    <t>TATAFEN - 100ML(NB)</t>
  </si>
  <si>
    <t>05/133</t>
  </si>
  <si>
    <t>BOX LABEL-NAGATA (NB)</t>
  </si>
  <si>
    <t>05/129</t>
  </si>
  <si>
    <t>BUS</t>
  </si>
  <si>
    <t>05/130</t>
  </si>
  <si>
    <t>05/136</t>
  </si>
  <si>
    <t>TS- SURPLUS 400 ML (NB)</t>
  </si>
  <si>
    <t>05/143</t>
  </si>
  <si>
    <t>PANIDA GRANDE 3.5LTR(NB)</t>
  </si>
  <si>
    <t>05/144</t>
  </si>
  <si>
    <t>PANIDA GRANDE 350ML (NB)</t>
  </si>
  <si>
    <t>05/142</t>
  </si>
  <si>
    <t>31-05-2026</t>
  </si>
  <si>
    <t>CONTAF 5E- 5 LTR (NB)</t>
  </si>
  <si>
    <t>560 X 220</t>
  </si>
  <si>
    <t>05/140</t>
  </si>
  <si>
    <t>AGRONAA 1 LTR</t>
  </si>
  <si>
    <t>05/150</t>
  </si>
  <si>
    <t xml:space="preserve">ANTOX 1 LTR </t>
  </si>
  <si>
    <t>05/151</t>
  </si>
  <si>
    <t>ANTOX 500 ML</t>
  </si>
  <si>
    <t>05/141</t>
  </si>
  <si>
    <t>AGRONAA 500 ML</t>
  </si>
  <si>
    <t>05/157</t>
  </si>
  <si>
    <t>MARINO 500 ML</t>
  </si>
  <si>
    <t>05/158</t>
  </si>
  <si>
    <t>MARINO 250 ML</t>
  </si>
  <si>
    <t>09.03.2026</t>
  </si>
  <si>
    <t>05/159</t>
  </si>
  <si>
    <t>MARINO 100 ML</t>
  </si>
  <si>
    <t>150 X 37</t>
  </si>
  <si>
    <t>05/147</t>
  </si>
  <si>
    <t>HEADWIN 200 ML (NB)</t>
  </si>
  <si>
    <t>05/148</t>
  </si>
  <si>
    <t>HEADWIN 500 ML (NB)</t>
  </si>
  <si>
    <t>06/001</t>
  </si>
  <si>
    <t>SARTHAK 250 GM (NB)</t>
  </si>
  <si>
    <t>06/002</t>
  </si>
  <si>
    <t>SARTHAK 500 GM (NB)</t>
  </si>
  <si>
    <t>292 X 97</t>
  </si>
  <si>
    <t>06/003</t>
  </si>
  <si>
    <t>SEDNA 250 ML (NB)</t>
  </si>
  <si>
    <t>06/004</t>
  </si>
  <si>
    <t>AYAAN 500 GM (NB)</t>
  </si>
  <si>
    <t>28.05.2026</t>
  </si>
  <si>
    <t>05/154</t>
  </si>
  <si>
    <r>
      <rPr>
        <rFont val="Cambria"/>
        <color theme="1"/>
        <sz val="11.0"/>
      </rPr>
      <t xml:space="preserve">CHROMO + </t>
    </r>
    <r>
      <rPr>
        <rFont val="Cambria"/>
        <color rgb="FFFF0000"/>
        <sz val="11.0"/>
      </rPr>
      <t>LAMINATION</t>
    </r>
  </si>
  <si>
    <t>26 05 2026</t>
  </si>
  <si>
    <t>05/155</t>
  </si>
  <si>
    <t>GROMO ZONE 1 LTR</t>
  </si>
  <si>
    <t xml:space="preserve">BUS </t>
  </si>
  <si>
    <t>05/153</t>
  </si>
  <si>
    <t xml:space="preserve">PREVENT DAY STICKER 0-35 MG </t>
  </si>
  <si>
    <t>Piggyback</t>
  </si>
  <si>
    <t>40 X 85</t>
  </si>
  <si>
    <t xml:space="preserve">SRINIVAS ROADLINE </t>
  </si>
  <si>
    <t>05/152</t>
  </si>
  <si>
    <t>05/156</t>
  </si>
  <si>
    <t>290 X 98</t>
  </si>
  <si>
    <t>05/160</t>
  </si>
  <si>
    <t>06/005</t>
  </si>
  <si>
    <t>AGROMIN GOLD ANDHRA PRADESH 500 ML</t>
  </si>
  <si>
    <t>05/161</t>
  </si>
  <si>
    <r>
      <rPr>
        <rFont val="Cambria"/>
        <color theme="1"/>
        <sz val="11.0"/>
      </rPr>
      <t xml:space="preserve">HUMIBLACK 500 GM </t>
    </r>
    <r>
      <rPr>
        <rFont val="Cambria"/>
        <b/>
        <color rgb="FFFF0000"/>
        <sz val="11.0"/>
      </rPr>
      <t>( GOLD FOIL )</t>
    </r>
  </si>
  <si>
    <t>27 05 2026</t>
  </si>
  <si>
    <t>06/007</t>
  </si>
  <si>
    <t>PURE IMP</t>
  </si>
  <si>
    <t>BEST 22 200 ML (BATCH NO BPE 2606)</t>
  </si>
  <si>
    <t>110 X 55</t>
  </si>
  <si>
    <t>SELF DELIVERY</t>
  </si>
  <si>
    <t>26.05.2026</t>
  </si>
  <si>
    <t>06/010</t>
  </si>
  <si>
    <t>BLOSSOM</t>
  </si>
  <si>
    <t xml:space="preserve">INTERFECT 500 ML BOTTLE LABEL </t>
  </si>
  <si>
    <t>210 X 110</t>
  </si>
  <si>
    <t>06/006</t>
  </si>
  <si>
    <t xml:space="preserve">INTERFECT 250 ML BOTTLE LABEL </t>
  </si>
  <si>
    <t>192 X 74</t>
  </si>
  <si>
    <t>06/008</t>
  </si>
  <si>
    <t>5400092628 / 5400092955</t>
  </si>
  <si>
    <t>12-05-2026/31-05-2026</t>
  </si>
  <si>
    <t>800/3000</t>
  </si>
  <si>
    <t>06/013</t>
  </si>
  <si>
    <t>GATEWAY SC 150 ML</t>
  </si>
  <si>
    <t>185 X 47</t>
  </si>
  <si>
    <t>05/114</t>
  </si>
  <si>
    <t>Propix</t>
  </si>
  <si>
    <t>PO/RM/411/26-27</t>
  </si>
  <si>
    <t>21-05-2026</t>
  </si>
  <si>
    <t>05/115</t>
  </si>
  <si>
    <t>OPUS STICKER ( Series 8 )</t>
  </si>
  <si>
    <t>05/149</t>
  </si>
  <si>
    <t>HEADWIN 1 L (NB)</t>
  </si>
  <si>
    <t>06/016</t>
  </si>
  <si>
    <t>ALS-I-70A-234-LB0 MELOVIN INJECTION GENERAL 100 ML</t>
  </si>
  <si>
    <t>06/017</t>
  </si>
  <si>
    <t>28 05 2026</t>
  </si>
  <si>
    <t>06/018</t>
  </si>
  <si>
    <t>ALS-I-23A-91F-ALB2 MAXIVIT INJ. ENG &amp; FRENCH GENERAL 100 ML</t>
  </si>
  <si>
    <t>06/019</t>
  </si>
  <si>
    <t>ALS-I-23A-998R-ALB2 MAXIVIT INJECTION UZBEK 100 ML</t>
  </si>
  <si>
    <t>04.06.2026</t>
  </si>
  <si>
    <t>06/020</t>
  </si>
  <si>
    <t>06.06.2026</t>
  </si>
  <si>
    <t>06/026</t>
  </si>
  <si>
    <t>ALS/I/04A/255/ALBO ASHIENRO 10% INJ 100 ML TZ</t>
  </si>
  <si>
    <t>06/027</t>
  </si>
  <si>
    <t>ALS/I/67A/255/ALBO DIMINASHISH RTU INJ 100 ML TANZANIA</t>
  </si>
  <si>
    <t>08.06.2026</t>
  </si>
  <si>
    <t>06/034</t>
  </si>
  <si>
    <t>BOX LABEL - MANIK</t>
  </si>
  <si>
    <t>COURIER</t>
  </si>
  <si>
    <t>06/009</t>
  </si>
  <si>
    <t>ANANT 1 KG (NB)</t>
  </si>
  <si>
    <t>353 X 136</t>
  </si>
  <si>
    <t xml:space="preserve"> BORIVALI BUS </t>
  </si>
  <si>
    <t>20.03.2026</t>
  </si>
  <si>
    <t>06/032</t>
  </si>
  <si>
    <t>IGLOO</t>
  </si>
  <si>
    <t>IGLOO CARFT BEERS KONKAN 330 ML</t>
  </si>
  <si>
    <t>NAVI MUMBAI</t>
  </si>
  <si>
    <t>110 x 225</t>
  </si>
  <si>
    <t>06/014</t>
  </si>
  <si>
    <t xml:space="preserve">ARCO &amp; BORIVALI BUS </t>
  </si>
  <si>
    <t>172 &amp; 173</t>
  </si>
  <si>
    <t>06/015</t>
  </si>
  <si>
    <r>
      <rPr>
        <rFont val="Cambria"/>
        <color theme="1"/>
        <sz val="11.0"/>
      </rPr>
      <t>1 L DAKSH PLUS</t>
    </r>
    <r>
      <rPr>
        <rFont val="Cambria"/>
        <b/>
        <color rgb="FFFF0000"/>
        <sz val="11.0"/>
      </rPr>
      <t xml:space="preserve"> ( GOLD FOIL )</t>
    </r>
  </si>
  <si>
    <t xml:space="preserve">ARCO </t>
  </si>
  <si>
    <t>01.06.2026</t>
  </si>
  <si>
    <t>06/025</t>
  </si>
  <si>
    <t>(BACK)- 20 L PENDALIN 500EC EXP</t>
  </si>
  <si>
    <t>06/035</t>
  </si>
  <si>
    <t>REDTURTLE 450CS- 5L EXP ( ONLY BLACK )</t>
  </si>
  <si>
    <t>06/022</t>
  </si>
  <si>
    <t>1L PENDALIN 50EC- ZIM EXP</t>
  </si>
  <si>
    <t>282 X 152</t>
  </si>
  <si>
    <t>06/023</t>
  </si>
  <si>
    <t>(F&amp;B)-5L PENDALIN 50EC-ZIM EXP</t>
  </si>
  <si>
    <t>06/024</t>
  </si>
  <si>
    <t>(FRONT)- 20 L PENDALIN 500EC EXP</t>
  </si>
  <si>
    <t>06/046</t>
  </si>
  <si>
    <t>BOX LABEL- 10 X 1L PENDALIN 50EC- ZIM EXP</t>
  </si>
  <si>
    <t>06/047</t>
  </si>
  <si>
    <t>03.06.2026</t>
  </si>
  <si>
    <t>06/028</t>
  </si>
  <si>
    <t>PO-PPM1/000229</t>
  </si>
  <si>
    <r>
      <rPr>
        <rFont val="Cambria"/>
        <color theme="1"/>
        <sz val="11.0"/>
      </rPr>
      <t>I GAIN 90 TABLETS</t>
    </r>
    <r>
      <rPr>
        <rFont val="Cambria"/>
        <b/>
        <color theme="1"/>
        <sz val="11.0"/>
      </rPr>
      <t xml:space="preserve"> ( BATCH NO AT 215 )</t>
    </r>
  </si>
  <si>
    <t>06/039</t>
  </si>
  <si>
    <t>13-06-2026</t>
  </si>
  <si>
    <t>29.05.2026</t>
  </si>
  <si>
    <t>06/036</t>
  </si>
  <si>
    <t>PK/MUM/057/2026-2027</t>
  </si>
  <si>
    <t>29-05-2026</t>
  </si>
  <si>
    <t>06/037</t>
  </si>
  <si>
    <t>HORTICA B 100 ML</t>
  </si>
  <si>
    <t>06/042</t>
  </si>
  <si>
    <t>BUS BORIVALI</t>
  </si>
  <si>
    <t>06/041</t>
  </si>
  <si>
    <t>5400092822/5400093219</t>
  </si>
  <si>
    <t>25-05-2026/13-06-2026</t>
  </si>
  <si>
    <t>14720/30000</t>
  </si>
  <si>
    <t>06/040</t>
  </si>
  <si>
    <t>TATAMIDA 17.8 SL 50 ML (NB)</t>
  </si>
  <si>
    <t>06/051</t>
  </si>
  <si>
    <t>STICK. LABEL- 1L PENDI 34 EC MACT EXP NB</t>
  </si>
  <si>
    <t>06/048</t>
  </si>
  <si>
    <t>ANANT 250 GM (NB)</t>
  </si>
  <si>
    <t>06/044</t>
  </si>
  <si>
    <t>TATA BAHAAR 250 ML (NB)</t>
  </si>
  <si>
    <t>06/049</t>
  </si>
  <si>
    <t>FLOWBOR 100 ML (NB)</t>
  </si>
  <si>
    <t>06/045</t>
  </si>
  <si>
    <t>GJ- SURPLUS 1 LTR (NB)</t>
  </si>
  <si>
    <t>06/050</t>
  </si>
  <si>
    <t>PENDI 34 EC 1L CHIN INDICATI0N LABEL THAI</t>
  </si>
  <si>
    <t>168 X 67</t>
  </si>
  <si>
    <t>13 06 2026</t>
  </si>
  <si>
    <t>06/057</t>
  </si>
  <si>
    <t>15-06-2026</t>
  </si>
  <si>
    <t>06/054</t>
  </si>
  <si>
    <t>ALS/I/14A/263/ALBO ASHOXY 20% LA 100 ML ZIMBABWE</t>
  </si>
  <si>
    <t>16-06-2026</t>
  </si>
  <si>
    <t>12.06.2026</t>
  </si>
  <si>
    <t>06/055</t>
  </si>
  <si>
    <t>06/056</t>
  </si>
  <si>
    <t>SHUBHASHREE ARTS</t>
  </si>
  <si>
    <t>IGOL PLUS ORANGE LEMON 250 G_LA 0705 RO</t>
  </si>
  <si>
    <t>180 X 65</t>
  </si>
  <si>
    <t>06/058</t>
  </si>
  <si>
    <t>18-06-2026</t>
  </si>
  <si>
    <t>06/060</t>
  </si>
  <si>
    <t>06/061</t>
  </si>
  <si>
    <t>06/063</t>
  </si>
  <si>
    <t>06/064</t>
  </si>
  <si>
    <t>06/029</t>
  </si>
  <si>
    <t>IGLOO CARFT BEERS MUMBAI DAZE 330 ML</t>
  </si>
  <si>
    <t>06/030</t>
  </si>
  <si>
    <t>IGLOO CARFT BEERS HAPPY WITH SIN 330 ML</t>
  </si>
  <si>
    <t>06/031</t>
  </si>
  <si>
    <t>IGLOO CARFT BEERS HEAVY HITTER 330 ML</t>
  </si>
  <si>
    <t>06/033</t>
  </si>
  <si>
    <t>IGLOO CARFT BEERS WIT &amp; WISDOM 330 ML</t>
  </si>
  <si>
    <t>06/053</t>
  </si>
  <si>
    <t>20-06-2026</t>
  </si>
  <si>
    <t xml:space="preserve">BORIVALI BUS </t>
  </si>
  <si>
    <t>06/068</t>
  </si>
  <si>
    <t>ALS-I-14A-998R-ALB1 01 ASHOXY 20% LA 100 ML UZBEK</t>
  </si>
  <si>
    <t>06/069</t>
  </si>
  <si>
    <r>
      <rPr>
        <rFont val="Cambria"/>
        <color theme="1"/>
        <sz val="11.0"/>
      </rPr>
      <t xml:space="preserve">SONAL NEXA SOAP CASE LABEL </t>
    </r>
    <r>
      <rPr>
        <rFont val="Cambria"/>
        <b/>
        <color rgb="FFFF0000"/>
        <sz val="11.0"/>
      </rPr>
      <t>( SILVER FOIL )</t>
    </r>
  </si>
  <si>
    <t>64.4 X 35</t>
  </si>
  <si>
    <t>06/066</t>
  </si>
  <si>
    <t>06/067</t>
  </si>
  <si>
    <t xml:space="preserve">ALS-I-69-91-ALB0 ASHOXY 12% 100 ML </t>
  </si>
  <si>
    <t>15.06.2026</t>
  </si>
  <si>
    <t>06/070</t>
  </si>
  <si>
    <t>ST. LABEL PENDI 455 CS - 1 L EGYPT EXP (NB)</t>
  </si>
  <si>
    <t>06/071</t>
  </si>
  <si>
    <t>ST. LABELS (FRONT) PENDI 455 CS - 10 L EGYPT EXP (NB)</t>
  </si>
  <si>
    <t>185 X 185</t>
  </si>
  <si>
    <t>06/072</t>
  </si>
  <si>
    <t>ST. LABELS (BACK) PENDI 455 CS - 10 L EGYPT EXP (NB)</t>
  </si>
  <si>
    <t>06/084</t>
  </si>
  <si>
    <t>BOX LABEL 10 X 1 L PENDI 455 CS EXP</t>
  </si>
  <si>
    <t>06/085</t>
  </si>
  <si>
    <t>BOX LABEL 2 X 10 L PENDI 455 CS EXP</t>
  </si>
  <si>
    <t>06/077</t>
  </si>
  <si>
    <t>BARCODE LABEL</t>
  </si>
  <si>
    <t>11.06.2026</t>
  </si>
  <si>
    <t>06/065</t>
  </si>
  <si>
    <t>PREGNA</t>
  </si>
  <si>
    <t>PREGNA + T CU 380A ENGLISH LANGUAGE</t>
  </si>
  <si>
    <t>80 GSM CHROMO</t>
  </si>
  <si>
    <t>245 X 40</t>
  </si>
  <si>
    <t>22-06-2026</t>
  </si>
  <si>
    <t>VISHAL PARIVAHAN</t>
  </si>
  <si>
    <t>06/052</t>
  </si>
  <si>
    <r>
      <rPr>
        <rFont val="Cambria"/>
        <color theme="1"/>
        <sz val="11.0"/>
      </rPr>
      <t xml:space="preserve">CHROMO + </t>
    </r>
    <r>
      <rPr>
        <rFont val="Cambria"/>
        <color rgb="FFFF0000"/>
        <sz val="11.0"/>
      </rPr>
      <t>LAMINATION</t>
    </r>
  </si>
  <si>
    <t>06/079</t>
  </si>
  <si>
    <t>PO-PPM1/000285</t>
  </si>
  <si>
    <t>17-06-2026</t>
  </si>
  <si>
    <r>
      <rPr>
        <rFont val="Cambria"/>
        <color theme="1"/>
        <sz val="11.0"/>
      </rPr>
      <t>I GAIN 90 TABLETS</t>
    </r>
    <r>
      <rPr>
        <rFont val="Cambria"/>
        <b/>
        <color theme="1"/>
        <sz val="11.0"/>
      </rPr>
      <t xml:space="preserve"> ( 227 )</t>
    </r>
  </si>
  <si>
    <t>25-06-2026</t>
  </si>
  <si>
    <t>PLASTO VISION</t>
  </si>
  <si>
    <t>06/080</t>
  </si>
  <si>
    <r>
      <rPr>
        <rFont val="Cambria"/>
        <color theme="1"/>
        <sz val="11.0"/>
      </rPr>
      <t>I GAIN 90 TABLETS</t>
    </r>
    <r>
      <rPr>
        <rFont val="Cambria"/>
        <b/>
        <color theme="1"/>
        <sz val="11.0"/>
      </rPr>
      <t xml:space="preserve"> ( 228 )</t>
    </r>
  </si>
  <si>
    <t>06/078</t>
  </si>
  <si>
    <t>26-06-2026</t>
  </si>
  <si>
    <t>06/059</t>
  </si>
  <si>
    <t>ANTOX 1 LTR</t>
  </si>
  <si>
    <t>06/074</t>
  </si>
  <si>
    <t>06/091</t>
  </si>
  <si>
    <r>
      <rPr>
        <rFont val="Cambria"/>
        <color theme="1"/>
        <sz val="11.0"/>
      </rPr>
      <t xml:space="preserve">HUMIBLACK 500 GM </t>
    </r>
    <r>
      <rPr>
        <rFont val="Cambria"/>
        <b/>
        <color rgb="FFFF0000"/>
        <sz val="11.0"/>
      </rPr>
      <t>( GOLD FOIL )</t>
    </r>
  </si>
  <si>
    <t>06/090</t>
  </si>
  <si>
    <r>
      <rPr>
        <rFont val="Cambria"/>
        <color theme="1"/>
        <sz val="11.0"/>
      </rPr>
      <t xml:space="preserve">HUMIBLACK 50 G  </t>
    </r>
    <r>
      <rPr>
        <rFont val="Cambria"/>
        <b/>
        <color rgb="FFFF0000"/>
        <sz val="11.0"/>
      </rPr>
      <t>( GOLD FOIL + LAMINATION )</t>
    </r>
  </si>
  <si>
    <t>165 X 25</t>
  </si>
  <si>
    <t>06/092</t>
  </si>
  <si>
    <t>MOBOMIN PLUS ANDHRA PRADESH 1 KG</t>
  </si>
  <si>
    <t>260 X 150</t>
  </si>
  <si>
    <t>06/094</t>
  </si>
  <si>
    <t>MOBOMIN 1 KG</t>
  </si>
  <si>
    <t>06/093</t>
  </si>
  <si>
    <t>MOBOMIN PLUS 1 KG</t>
  </si>
  <si>
    <t>06/099</t>
  </si>
  <si>
    <t>5400092822 / 5400093380</t>
  </si>
  <si>
    <t>25-05-2026 / 23-06-2026</t>
  </si>
  <si>
    <t>4200 / 45000</t>
  </si>
  <si>
    <t>06/101</t>
  </si>
  <si>
    <t>2780 / 10000</t>
  </si>
  <si>
    <t>06/102</t>
  </si>
  <si>
    <t>3000 / 4000</t>
  </si>
  <si>
    <t>06/106</t>
  </si>
  <si>
    <t>06/104</t>
  </si>
  <si>
    <t>5400092465 / 5400093351</t>
  </si>
  <si>
    <t>06-05-2026 / 22-06-2026</t>
  </si>
  <si>
    <t>2050 / 2050</t>
  </si>
  <si>
    <t>06/105</t>
  </si>
  <si>
    <t>06/081</t>
  </si>
  <si>
    <r>
      <rPr>
        <rFont val="Cambria"/>
        <color theme="1"/>
        <sz val="11.0"/>
      </rPr>
      <t>I GAIN 90 TABLETS</t>
    </r>
    <r>
      <rPr>
        <rFont val="Cambria"/>
        <b/>
        <color theme="1"/>
        <sz val="11.0"/>
      </rPr>
      <t xml:space="preserve"> ( 229 )</t>
    </r>
  </si>
  <si>
    <t>29-06-2026</t>
  </si>
  <si>
    <t>06/082</t>
  </si>
  <si>
    <r>
      <rPr>
        <rFont val="Cambria"/>
        <color theme="1"/>
        <sz val="11.0"/>
      </rPr>
      <t>I GAIN 90 TABLETS</t>
    </r>
    <r>
      <rPr>
        <rFont val="Cambria"/>
        <b/>
        <color theme="1"/>
        <sz val="11.0"/>
      </rPr>
      <t xml:space="preserve"> (230 )</t>
    </r>
  </si>
  <si>
    <t>06/100</t>
  </si>
  <si>
    <t>5400092639 / 5400093380</t>
  </si>
  <si>
    <t>13-05-2026 / 23-06-2026</t>
  </si>
  <si>
    <t>1200 / 10000</t>
  </si>
  <si>
    <t>30-06-2026</t>
  </si>
  <si>
    <t>06/103</t>
  </si>
  <si>
    <t>23-06-2026</t>
  </si>
  <si>
    <t>TATA BAHAAR-500 ML(NB)</t>
  </si>
  <si>
    <t>06/115</t>
  </si>
  <si>
    <t>AP- SURPLUS 1 LTR (NB)</t>
  </si>
  <si>
    <t>06/116</t>
  </si>
  <si>
    <t>RAJ- SURPLUS 1 LTR (NB)</t>
  </si>
  <si>
    <t>06/117</t>
  </si>
  <si>
    <t>900 / 8000</t>
  </si>
  <si>
    <t>06/118</t>
  </si>
  <si>
    <t>06/119</t>
  </si>
  <si>
    <t>TS- SURPLUS 1 LTR (NB)</t>
  </si>
  <si>
    <t>06/110</t>
  </si>
  <si>
    <t>REEVA 5 - 100ML(NB)</t>
  </si>
  <si>
    <t>06/111</t>
  </si>
  <si>
    <t>REEVA 5 - 250ML(NB)</t>
  </si>
  <si>
    <t>177 X 88</t>
  </si>
  <si>
    <t>06/112</t>
  </si>
  <si>
    <t>TAFGOR-250ML(NB ALU)</t>
  </si>
  <si>
    <t>180 X 115</t>
  </si>
  <si>
    <t>06/113</t>
  </si>
  <si>
    <t>5400092966 / 5400093380</t>
  </si>
  <si>
    <t>01-06-2026 / 23-06-2026</t>
  </si>
  <si>
    <t>3400 / 25000</t>
  </si>
  <si>
    <t>06/114</t>
  </si>
  <si>
    <t>06/133</t>
  </si>
  <si>
    <t>ALS-I-25B-91-ALB1 BUTACURE INJ. 50 ML INHOUSE</t>
  </si>
  <si>
    <t>85 X 39</t>
  </si>
  <si>
    <t>06/139</t>
  </si>
  <si>
    <t>ALS-L-26A-998R-ALB1 ASHIVER FORTE INJ. 100 ML UZBEK</t>
  </si>
  <si>
    <t>06/143</t>
  </si>
  <si>
    <t>ALS-I-26A-91F-ALB2 ASHIVER FORTE GENERAL 100 ML</t>
  </si>
  <si>
    <t>06/140</t>
  </si>
  <si>
    <t>ALS-L-42A-255-ALB0 DUROTIC TANZANIA 100 ML</t>
  </si>
  <si>
    <t>16.06.2026</t>
  </si>
  <si>
    <t>06/141</t>
  </si>
  <si>
    <t>ALS-I-14A-91-ALB1 ASHOXY 20% LA 100 ML GENERAL INHOUSE</t>
  </si>
  <si>
    <t>06/135</t>
  </si>
  <si>
    <t>06/136</t>
  </si>
  <si>
    <t>ALS/I/07A/263/ALBO ASHOXY 10% LA 100 ML ZIMBABWE</t>
  </si>
  <si>
    <t>06/137</t>
  </si>
  <si>
    <t>06/138</t>
  </si>
  <si>
    <t>06/142</t>
  </si>
  <si>
    <t>ALS-I-26B-91F-ALB2 ASHIVER FORTE GENERAL 50 ML</t>
  </si>
  <si>
    <t>27.06.2026</t>
  </si>
  <si>
    <t>06/144</t>
  </si>
  <si>
    <t>18.06.2026</t>
  </si>
  <si>
    <t>06/083</t>
  </si>
  <si>
    <t>BOX LABEL–10X1.05KG WIDE (ACE20SP) EXP</t>
  </si>
  <si>
    <t>110 X 170</t>
  </si>
  <si>
    <t>23.06.2026</t>
  </si>
  <si>
    <t>06/121</t>
  </si>
  <si>
    <t>DIGITAL</t>
  </si>
  <si>
    <t>(F&amp;B)-TEBU 430 SC-5 L EXP</t>
  </si>
  <si>
    <t>145 X 140</t>
  </si>
  <si>
    <t>06/122</t>
  </si>
  <si>
    <t>BOX LABEL-TEBU 430 SC- 2x5 L (EXP)</t>
  </si>
  <si>
    <t>06/130</t>
  </si>
  <si>
    <t>FULSTOP-D BOX LABEL</t>
  </si>
  <si>
    <t>170 X110</t>
  </si>
  <si>
    <t>06/123</t>
  </si>
  <si>
    <t>5400092627 / 5400093380</t>
  </si>
  <si>
    <t>12-05-2026 / 23-06-2026</t>
  </si>
  <si>
    <t>1920 / 4000</t>
  </si>
  <si>
    <t>06/124</t>
  </si>
  <si>
    <t>HONCHO-100ML(NB ALU)</t>
  </si>
  <si>
    <t>06/125</t>
  </si>
  <si>
    <t>06/129</t>
  </si>
  <si>
    <t>FULSTOP-D 500 GM</t>
  </si>
  <si>
    <t>280 X 122</t>
  </si>
  <si>
    <t>06/128</t>
  </si>
  <si>
    <t>TEBU 430 SC- 600 ML X 16 (EXP) BOX LABEL</t>
  </si>
  <si>
    <t>06/127</t>
  </si>
  <si>
    <t>TEBU 430 SC-600 ML EXP</t>
  </si>
  <si>
    <t>255 X 132</t>
  </si>
  <si>
    <t>06/146</t>
  </si>
  <si>
    <t>07/002</t>
  </si>
  <si>
    <t>TEBU 430 SC- 500 ML EX ( DAZOL )</t>
  </si>
  <si>
    <t>07/001</t>
  </si>
  <si>
    <t>DAZOL TEBU430SC- 1 L EXP</t>
  </si>
  <si>
    <t>07/003</t>
  </si>
  <si>
    <t>BOX LABEL-DAZOL (TEBU430SC)- 10x1 L (EXP</t>
  </si>
  <si>
    <t>07/004</t>
  </si>
  <si>
    <t>BOX LABEL-TEBU 430 SC- 20x500 ml EXP ( DAZOL )</t>
  </si>
  <si>
    <t>07/015</t>
  </si>
  <si>
    <t>07/007</t>
  </si>
  <si>
    <t>07/013</t>
  </si>
  <si>
    <t>PK/MUM/096/2026-2027</t>
  </si>
  <si>
    <t>AGROMIN GOLD MAHARASHTRA 500 ML</t>
  </si>
  <si>
    <t>07/010</t>
  </si>
  <si>
    <t>07/011</t>
  </si>
  <si>
    <t>AQUACAL 500 ML</t>
  </si>
  <si>
    <t>07/008</t>
  </si>
  <si>
    <t>AGROMIN GOLD ODISHA 100 ML</t>
  </si>
  <si>
    <t>07/009</t>
  </si>
  <si>
    <t>AGROMIN GOLD WITHOUT STATE 1 LTR</t>
  </si>
  <si>
    <t>07/012</t>
  </si>
  <si>
    <t>AGROMIN GOLD MAHARASHTRA 1 LTR</t>
  </si>
  <si>
    <t>07/027</t>
  </si>
  <si>
    <t>SHUBHSHRI ART</t>
  </si>
  <si>
    <t xml:space="preserve">RAPGROW DROPS 15 ML (LA0605 R0) </t>
  </si>
  <si>
    <t>Goregaon</t>
  </si>
  <si>
    <t>80 X 28</t>
  </si>
  <si>
    <t>07/055</t>
  </si>
  <si>
    <t>PO- PPM1/000351</t>
  </si>
  <si>
    <r>
      <rPr>
        <rFont val="Cambria"/>
        <color theme="1"/>
        <sz val="11.0"/>
      </rPr>
      <t>I GAIN 90 TABLETS</t>
    </r>
    <r>
      <rPr>
        <rFont val="Cambria"/>
        <b/>
        <color theme="1"/>
        <sz val="11.0"/>
      </rPr>
      <t xml:space="preserve"> ( 237 )</t>
    </r>
  </si>
  <si>
    <t>06/096</t>
  </si>
  <si>
    <t>DAZZLE SOAP CASE ( PLAST WORLD )</t>
  </si>
  <si>
    <t>37.5 X 37.5</t>
  </si>
  <si>
    <t>07/026</t>
  </si>
  <si>
    <t>06/126</t>
  </si>
  <si>
    <t>TERMEX 50 ML (NB)</t>
  </si>
  <si>
    <t>01.07.2026</t>
  </si>
  <si>
    <t>07/005</t>
  </si>
  <si>
    <t>5400093380/5400093774</t>
  </si>
  <si>
    <t>23-06-2026/15-07-2026</t>
  </si>
  <si>
    <t>4790/30000</t>
  </si>
  <si>
    <t>07/006</t>
  </si>
  <si>
    <t>07/029</t>
  </si>
  <si>
    <t>07/031</t>
  </si>
  <si>
    <t>5400093219 / 5400093774</t>
  </si>
  <si>
    <t>13-06-2026 / 15-07-2026</t>
  </si>
  <si>
    <t>23000 / 12000</t>
  </si>
  <si>
    <t>07/030</t>
  </si>
  <si>
    <t>07/037</t>
  </si>
  <si>
    <t>5400093380/ 5400093774</t>
  </si>
  <si>
    <t>23-06-2026 /15-07-2026</t>
  </si>
  <si>
    <t>60000/70000</t>
  </si>
  <si>
    <t>07/039</t>
  </si>
  <si>
    <t>07/040</t>
  </si>
  <si>
    <t>260/21000</t>
  </si>
  <si>
    <t>07/036</t>
  </si>
  <si>
    <t>5400093380 / 5400093774</t>
  </si>
  <si>
    <t>23-06-2026 / 15-07-2026</t>
  </si>
  <si>
    <t>2800/13000</t>
  </si>
  <si>
    <t>07/038</t>
  </si>
  <si>
    <t>07/042</t>
  </si>
  <si>
    <t>5400092822/5400093774</t>
  </si>
  <si>
    <t>25-05-2026 / 15-07-2026</t>
  </si>
  <si>
    <t>300000 / 15000</t>
  </si>
  <si>
    <t>TATAMIDA 17.8 SL 100 ML (NB)</t>
  </si>
  <si>
    <t>148 x 52</t>
  </si>
  <si>
    <t>07/035</t>
  </si>
  <si>
    <t>07/054</t>
  </si>
  <si>
    <r>
      <rPr>
        <rFont val="Cambria"/>
        <color theme="1"/>
        <sz val="11.0"/>
      </rPr>
      <t>I GAIN 90 TABLETS</t>
    </r>
    <r>
      <rPr>
        <rFont val="Cambria"/>
        <b/>
        <color theme="1"/>
        <sz val="11.0"/>
      </rPr>
      <t xml:space="preserve"> ( 232 )</t>
    </r>
  </si>
  <si>
    <t>07/061</t>
  </si>
  <si>
    <r>
      <rPr>
        <rFont val="Cambria"/>
        <color theme="1"/>
        <sz val="11.0"/>
      </rPr>
      <t xml:space="preserve">INVINCIBLE VODKA DELHI CSD 750 ML </t>
    </r>
    <r>
      <rPr>
        <rFont val="Cambria"/>
        <b/>
        <color theme="1"/>
        <sz val="11.0"/>
      </rPr>
      <t>FRONT</t>
    </r>
  </si>
  <si>
    <t>07/062</t>
  </si>
  <si>
    <r>
      <rPr>
        <rFont val="Cambria"/>
        <color theme="1"/>
        <sz val="11.0"/>
      </rPr>
      <t xml:space="preserve">INVINCIBLE VODKA DELHI 750 ML </t>
    </r>
    <r>
      <rPr>
        <rFont val="Cambria"/>
        <b/>
        <color theme="1"/>
        <sz val="11.0"/>
      </rPr>
      <t>BACK</t>
    </r>
  </si>
  <si>
    <t>07/041</t>
  </si>
  <si>
    <t>07/067</t>
  </si>
  <si>
    <t>PHOSPHOCOP 1 LTR</t>
  </si>
  <si>
    <t>06/062</t>
  </si>
  <si>
    <t>PK/MUM/008/2026-2027/ PK/MUM/121/2026-2027</t>
  </si>
  <si>
    <t>10-04-2026 / 03-07-2026</t>
  </si>
  <si>
    <t>240 / 6000</t>
  </si>
  <si>
    <t>07/081</t>
  </si>
  <si>
    <t>07/083</t>
  </si>
  <si>
    <t>07/082</t>
  </si>
  <si>
    <t>07/020</t>
  </si>
  <si>
    <t>ALS-I-01A-234-ALB1 ASHIVER 100 ML NIGERIA</t>
  </si>
  <si>
    <t>11.07.2026</t>
  </si>
  <si>
    <t>07/022</t>
  </si>
  <si>
    <t>06/097</t>
  </si>
  <si>
    <t>SPLASH SOAP CASE ( PLAST WORLD )</t>
  </si>
  <si>
    <t>57 X 25</t>
  </si>
  <si>
    <t>07/019</t>
  </si>
  <si>
    <r>
      <rPr>
        <rFont val="Cambria"/>
        <color theme="1"/>
        <sz val="11.0"/>
      </rPr>
      <t xml:space="preserve">BUNNY SIPPER BOTTLE STICKER ( SHREEJI PLASTIC ) </t>
    </r>
    <r>
      <rPr>
        <rFont val="Cambria"/>
        <b/>
        <color rgb="FFFF0000"/>
        <sz val="11.0"/>
      </rPr>
      <t>( SILVER FOIL )</t>
    </r>
  </si>
  <si>
    <t>CLEAR PP</t>
  </si>
  <si>
    <t>46.5 X 65</t>
  </si>
  <si>
    <t>15.07.2026</t>
  </si>
  <si>
    <t>07/053</t>
  </si>
  <si>
    <t>Day sticker Label Product code 2112108</t>
  </si>
  <si>
    <t>38 X 86</t>
  </si>
  <si>
    <t>16-07-2026</t>
  </si>
  <si>
    <t>07/052</t>
  </si>
  <si>
    <t>PO Pending</t>
  </si>
  <si>
    <t>RIMBO-230 ML(NB)</t>
  </si>
  <si>
    <t>IIL</t>
  </si>
  <si>
    <t>18-07-2026</t>
  </si>
  <si>
    <t>07/065</t>
  </si>
  <si>
    <r>
      <rPr>
        <rFont val="Cambria"/>
        <color theme="1"/>
        <sz val="11.0"/>
      </rPr>
      <t>I GAIN 90 TABLETS</t>
    </r>
    <r>
      <rPr>
        <rFont val="Cambria"/>
        <b/>
        <color theme="1"/>
        <sz val="11.0"/>
      </rPr>
      <t xml:space="preserve"> ( 238 )</t>
    </r>
  </si>
  <si>
    <t>20-07-2026</t>
  </si>
  <si>
    <t>07/091</t>
  </si>
  <si>
    <t>07/066</t>
  </si>
  <si>
    <r>
      <rPr>
        <rFont val="Cambria"/>
        <color theme="1"/>
        <sz val="11.0"/>
      </rPr>
      <t>I GAIN 90 TABLETS</t>
    </r>
    <r>
      <rPr>
        <rFont val="Cambria"/>
        <b/>
        <color theme="1"/>
        <sz val="11.0"/>
      </rPr>
      <t xml:space="preserve"> ( 241 )</t>
    </r>
  </si>
  <si>
    <t>07/060</t>
  </si>
  <si>
    <t>Numbering</t>
  </si>
  <si>
    <t>ALSL45A91LB1 ALBECTIN SUSPENSION 1000 Ml GENERAL LABEL</t>
  </si>
  <si>
    <t>285 X 103</t>
  </si>
  <si>
    <t>29.06.2026</t>
  </si>
  <si>
    <t>07/024</t>
  </si>
  <si>
    <t>22-07-2026</t>
  </si>
  <si>
    <t>07/025</t>
  </si>
  <si>
    <t>07/068</t>
  </si>
  <si>
    <t>ZINCMAG 1 LTR</t>
  </si>
  <si>
    <t>07/063</t>
  </si>
  <si>
    <t>AMINOCODE 1 LTR</t>
  </si>
  <si>
    <t>07/064</t>
  </si>
  <si>
    <t>AMINOCODE 500 ML</t>
  </si>
  <si>
    <t>07/069</t>
  </si>
  <si>
    <t>ZINCMAG 250 ML</t>
  </si>
  <si>
    <t>07/070</t>
  </si>
  <si>
    <t>AQUARITE 100 ML</t>
  </si>
  <si>
    <t>07/079</t>
  </si>
  <si>
    <t xml:space="preserve">PK/MUM/112/2026-2027 / PK/MUM/133/2026-2027        </t>
  </si>
  <si>
    <t>02-07-2026 / 13-07-2026</t>
  </si>
  <si>
    <t>9940 / 20000</t>
  </si>
  <si>
    <t>07/080</t>
  </si>
  <si>
    <t>07/078</t>
  </si>
  <si>
    <t>07/090</t>
  </si>
  <si>
    <t>URGENT JOB</t>
  </si>
  <si>
    <r>
      <rPr>
        <rFont val="Cambria"/>
        <color theme="1"/>
        <sz val="11.0"/>
      </rPr>
      <t xml:space="preserve">HUMIBLACK 500 GM </t>
    </r>
    <r>
      <rPr>
        <rFont val="Cambria"/>
        <b/>
        <color rgb="FFFF0000"/>
        <sz val="11.0"/>
      </rPr>
      <t>( GOLD FOIL )</t>
    </r>
  </si>
  <si>
    <t>07/092</t>
  </si>
  <si>
    <t>PHOSPHOCOP 500 ML</t>
  </si>
  <si>
    <t>07/098</t>
  </si>
  <si>
    <t>AGROMIN GOLD TAMILNADU 50 ML</t>
  </si>
  <si>
    <t>07/096</t>
  </si>
  <si>
    <t>AGROMIN LIQUID CHHATISGAARH 500 ML</t>
  </si>
  <si>
    <t>07/094</t>
  </si>
  <si>
    <t>AGROMIN GOLD MADHYA PRADESH 250 ML</t>
  </si>
  <si>
    <t>07/099</t>
  </si>
  <si>
    <t>AGROMIN LIQUID CHHATISGAARH 1 LTR</t>
  </si>
  <si>
    <t>07/112</t>
  </si>
  <si>
    <t>23-07-2026</t>
  </si>
  <si>
    <t>07/120</t>
  </si>
  <si>
    <r>
      <rPr>
        <rFont val="Cambria"/>
        <color theme="1"/>
        <sz val="11.0"/>
      </rPr>
      <t>I GAIN 90 TABLETS</t>
    </r>
    <r>
      <rPr>
        <rFont val="Cambria"/>
        <b/>
        <color theme="1"/>
        <sz val="11.0"/>
      </rPr>
      <t xml:space="preserve"> ( 238 )</t>
    </r>
  </si>
  <si>
    <t>07/032</t>
  </si>
  <si>
    <t>MAMAFEED 100 G BATCH FGF001</t>
  </si>
  <si>
    <t>92.075 X 236</t>
  </si>
  <si>
    <t>07/033</t>
  </si>
  <si>
    <t>MAMAFEED 100 G BATCH FGF002</t>
  </si>
  <si>
    <t>07/034</t>
  </si>
  <si>
    <t>MAMAFEED 100 G BATCH FGF003</t>
  </si>
  <si>
    <t>07/089</t>
  </si>
  <si>
    <r>
      <rPr>
        <rFont val="Cambria"/>
        <color theme="1"/>
        <sz val="11.0"/>
      </rPr>
      <t xml:space="preserve">INVINCIBLE VODKA GUJARAT 750 ML </t>
    </r>
    <r>
      <rPr>
        <rFont val="Cambria"/>
        <b/>
        <color theme="1"/>
        <sz val="11.0"/>
      </rPr>
      <t>BACK</t>
    </r>
  </si>
  <si>
    <t>07/085</t>
  </si>
  <si>
    <r>
      <rPr>
        <rFont val="Cambria"/>
        <color theme="1"/>
        <sz val="11.0"/>
      </rPr>
      <t xml:space="preserve">INVINCIBLE VODKA TAMILNADU 750 ML </t>
    </r>
    <r>
      <rPr>
        <rFont val="Cambria"/>
        <b/>
        <color theme="1"/>
        <sz val="11.0"/>
      </rPr>
      <t>BACK</t>
    </r>
  </si>
  <si>
    <t>07/076</t>
  </si>
  <si>
    <r>
      <rPr>
        <rFont val="Cambria"/>
        <color theme="1"/>
        <sz val="11.0"/>
      </rPr>
      <t xml:space="preserve">INVINCIBLE VODKA HARYANA 750 ML </t>
    </r>
    <r>
      <rPr>
        <rFont val="Cambria"/>
        <b/>
        <color theme="1"/>
        <sz val="11.0"/>
      </rPr>
      <t>BACK</t>
    </r>
  </si>
  <si>
    <t>07/071</t>
  </si>
  <si>
    <r>
      <rPr>
        <rFont val="Cambria"/>
        <color theme="1"/>
        <sz val="11.0"/>
      </rPr>
      <t xml:space="preserve">INVINCIBLE VODKA MADHYA PRADESH 750 ML </t>
    </r>
    <r>
      <rPr>
        <rFont val="Cambria"/>
        <b/>
        <color theme="1"/>
        <sz val="11.0"/>
      </rPr>
      <t>BACK</t>
    </r>
  </si>
  <si>
    <t>07/087</t>
  </si>
  <si>
    <r>
      <rPr>
        <rFont val="Cambria"/>
        <color theme="1"/>
        <sz val="11.0"/>
      </rPr>
      <t xml:space="preserve">INVINCIBLE VODKA JAMMU &amp; KASHMIR 750 ML </t>
    </r>
    <r>
      <rPr>
        <rFont val="Cambria"/>
        <b/>
        <color theme="1"/>
        <sz val="11.0"/>
      </rPr>
      <t>BACK</t>
    </r>
  </si>
  <si>
    <t>07/072</t>
  </si>
  <si>
    <r>
      <rPr>
        <rFont val="Cambria"/>
        <color theme="1"/>
        <sz val="11.0"/>
      </rPr>
      <t xml:space="preserve">INVINCIBLE VODKA UTTRAKHAND CSD 750 ML </t>
    </r>
    <r>
      <rPr>
        <rFont val="Cambria"/>
        <b/>
        <color theme="1"/>
        <sz val="11.0"/>
      </rPr>
      <t>FRONT</t>
    </r>
  </si>
  <si>
    <t>07/074</t>
  </si>
  <si>
    <r>
      <rPr>
        <rFont val="Cambria"/>
        <color theme="1"/>
        <sz val="11.0"/>
      </rPr>
      <t xml:space="preserve">INVINCIBLE VODKA HARYANA CSD 750 ML </t>
    </r>
    <r>
      <rPr>
        <rFont val="Cambria"/>
        <b/>
        <color theme="1"/>
        <sz val="11.0"/>
      </rPr>
      <t>FRONT</t>
    </r>
  </si>
  <si>
    <t>07/114</t>
  </si>
  <si>
    <t>07/113</t>
  </si>
  <si>
    <t>07/110</t>
  </si>
  <si>
    <t>URGRNT 01</t>
  </si>
  <si>
    <t>AGROMIN LIQUID KARNATAKA 1 LTR</t>
  </si>
  <si>
    <t>07/100</t>
  </si>
  <si>
    <t>AGROMIN LIQUID MADHYA PRADESH 1 LTR</t>
  </si>
  <si>
    <t>07/101</t>
  </si>
  <si>
    <t>AGROMIN LIQUID MAHARASHTRA 1 LTR</t>
  </si>
  <si>
    <t>07/127</t>
  </si>
  <si>
    <t>AGROMIN LIQUID UTTARAKHAND 1 LTR</t>
  </si>
  <si>
    <t>07/108</t>
  </si>
  <si>
    <t>AGROMIN LIQUID CHHATISGARH 100 ML</t>
  </si>
  <si>
    <t>07/138</t>
  </si>
  <si>
    <t>PO/RM/1202/26-27</t>
  </si>
  <si>
    <t>OPUS STICKER ( Series L )</t>
  </si>
  <si>
    <t>07/134</t>
  </si>
  <si>
    <t>GLOBAL CORP CARE</t>
  </si>
  <si>
    <t>VITAL IN 50 ML LABEL</t>
  </si>
  <si>
    <t>140 X 35</t>
  </si>
  <si>
    <t>07/133</t>
  </si>
  <si>
    <t>ALIK 200 ML LABEL</t>
  </si>
  <si>
    <t>194 X 63</t>
  </si>
  <si>
    <t>07/136</t>
  </si>
  <si>
    <t>VITAL IN 250 ML LABEL</t>
  </si>
  <si>
    <t>07/132</t>
  </si>
  <si>
    <t>ALIK 80 ML LABEL</t>
  </si>
  <si>
    <t>160 X 40</t>
  </si>
  <si>
    <t>07/135</t>
  </si>
  <si>
    <t>VITAL IN 100 ML LABEL</t>
  </si>
  <si>
    <t>07/155</t>
  </si>
  <si>
    <t>BIN FARUQ KALONJI OIL 100 ML</t>
  </si>
  <si>
    <t>07/152</t>
  </si>
  <si>
    <t>07/153</t>
  </si>
  <si>
    <t>07/124</t>
  </si>
  <si>
    <t>KISMI ASSO 736.5+54.01G ROUND</t>
  </si>
  <si>
    <t>380 X 72</t>
  </si>
  <si>
    <t>07/123</t>
  </si>
  <si>
    <t>STK MELODY 586.5G ROUND</t>
  </si>
  <si>
    <t>352 X 68</t>
  </si>
  <si>
    <t>06/134</t>
  </si>
  <si>
    <t>ALS-I-01A-91-ALB1 01 ASHIVER 1% INJ 100 ML GENERAL</t>
  </si>
  <si>
    <t>07/118</t>
  </si>
  <si>
    <t>ALS-I-31A-255-ALB0 CATACURE INJECTION 100 ML TANZANIA</t>
  </si>
  <si>
    <t>07/117</t>
  </si>
  <si>
    <t>ALS-I-23A-7KZ-ALB0 MAXIVIT INJECTION 100 ML KAZAKHATAN</t>
  </si>
  <si>
    <t>07/147</t>
  </si>
  <si>
    <t>07/137</t>
  </si>
  <si>
    <t>ALS-I-70A-234-LB0 MELOVIN INJ. 100 ML NIGERIA</t>
  </si>
  <si>
    <t>07/139</t>
  </si>
  <si>
    <t>07/047</t>
  </si>
  <si>
    <t>PG PREGENCY BAG</t>
  </si>
  <si>
    <t>PIGI BACK</t>
  </si>
  <si>
    <t>79 X 44</t>
  </si>
  <si>
    <t>07/143</t>
  </si>
  <si>
    <t>PO-PPM1/000406</t>
  </si>
  <si>
    <t>24-07-2026</t>
  </si>
  <si>
    <r>
      <rPr>
        <rFont val="Cambria"/>
        <color theme="1"/>
        <sz val="11.0"/>
      </rPr>
      <t>I GAIN 90 TABLETS</t>
    </r>
    <r>
      <rPr>
        <rFont val="Cambria"/>
        <b/>
        <color theme="1"/>
        <sz val="11.0"/>
      </rPr>
      <t xml:space="preserve"> ( AT 252 )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</si>
</sst>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 dd yyyy"/>
    <numFmt numFmtId="165" formatCode="mm-dd-yyyy"/>
  </numFmts>
  <fonts count="31">
    <font>
      <sz val="10.0"/>
      <color rgb="FF000000"/>
      <name val="Arial"/>
      <scheme val="minor"/>
    </font>
    <font>
      <b/>
      <sz val="11.0"/>
      <color theme="1"/>
      <name val="Cambria"/>
    </font>
    <font>
      <b/>
      <sz val="12.0"/>
      <color theme="1"/>
      <name val="Cambria"/>
    </font>
    <font>
      <b/>
      <color theme="1"/>
      <name val="Cambria"/>
    </font>
    <font>
      <sz val="11.0"/>
      <color theme="1"/>
      <name val="Cambria"/>
    </font>
    <font>
      <b/>
      <sz val="9.0"/>
      <color theme="1"/>
      <name val="Cambria"/>
    </font>
    <font>
      <sz val="12.0"/>
      <color theme="1"/>
      <name val="Cambria"/>
    </font>
    <font>
      <color theme="1"/>
      <name val="Arial"/>
    </font>
    <font>
      <color theme="1"/>
      <name val="Arial"/>
      <scheme val="minor"/>
    </font>
    <font/>
    <font>
      <sz val="11.0"/>
      <color rgb="FF000000"/>
      <name val="Cambria"/>
    </font>
    <font>
      <sz val="12.0"/>
      <color rgb="FFFF0000"/>
      <name val="Cambria"/>
    </font>
    <font>
      <b/>
      <sz val="11.0"/>
      <color theme="1"/>
      <name val="Arial"/>
    </font>
    <font>
      <b/>
      <sz val="11.0"/>
      <color rgb="FFFF0000"/>
      <name val="Cambria"/>
    </font>
    <font>
      <color theme="1"/>
      <name val="Cambria"/>
    </font>
    <font>
      <sz val="9.0"/>
      <color theme="1"/>
      <name val="Cambria"/>
    </font>
    <font>
      <i/>
      <sz val="11.0"/>
      <color theme="1"/>
      <name val="Cambria"/>
    </font>
    <font>
      <sz val="11.0"/>
      <color rgb="FFFF0000"/>
      <name val="Cambria"/>
    </font>
    <font>
      <sz val="9.0"/>
      <color theme="1"/>
      <name val="Arial"/>
    </font>
    <font>
      <b/>
      <sz val="12.0"/>
      <color rgb="FFFF0000"/>
      <name val="Cambria"/>
    </font>
    <font>
      <color rgb="FFFF0000"/>
      <name val="Cambria"/>
    </font>
    <font>
      <b/>
      <color theme="1"/>
      <name val="Times New Roman"/>
    </font>
    <font>
      <sz val="11.0"/>
      <color theme="1"/>
      <name val="Arial"/>
    </font>
    <font>
      <b/>
      <sz val="11.0"/>
      <color rgb="FFFFFFFF"/>
      <name val="Cambria"/>
    </font>
    <font>
      <color rgb="FF000000"/>
      <name val="Arial"/>
    </font>
    <font>
      <b/>
      <color rgb="FF000000"/>
      <name val="Arial"/>
    </font>
    <font>
      <b/>
      <sz val="11.0"/>
      <color rgb="FF000000"/>
      <name val="Cambria"/>
    </font>
    <font>
      <b/>
      <color theme="1"/>
      <name val="Arial"/>
    </font>
    <font>
      <sz val="10.0"/>
      <color theme="1"/>
      <name val="Cambria"/>
    </font>
    <font>
      <color rgb="FF000000"/>
      <name val="Arial"/>
      <scheme val="minor"/>
    </font>
    <font>
      <sz val="11.0"/>
      <color rgb="FF222222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31">
    <border/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shrinkToFit="0" vertical="center" wrapText="1"/>
    </xf>
    <xf borderId="4" fillId="2" fontId="1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shrinkToFit="0" wrapText="1"/>
    </xf>
    <xf borderId="3" fillId="2" fontId="2" numFmtId="0" xfId="0" applyAlignment="1" applyBorder="1" applyFont="1">
      <alignment horizontal="center" shrinkToFit="0" wrapText="1"/>
    </xf>
    <xf borderId="6" fillId="2" fontId="1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/>
    </xf>
    <xf borderId="0" fillId="2" fontId="3" numFmtId="0" xfId="0" applyAlignment="1" applyFont="1">
      <alignment readingOrder="0" vertical="bottom"/>
    </xf>
    <xf borderId="3" fillId="2" fontId="1" numFmtId="0" xfId="0" applyAlignment="1" applyBorder="1" applyFont="1">
      <alignment horizontal="center"/>
    </xf>
    <xf borderId="1" fillId="2" fontId="3" numFmtId="0" xfId="0" applyAlignment="1" applyBorder="1" applyFont="1">
      <alignment horizontal="center" shrinkToFit="0" wrapText="1"/>
    </xf>
    <xf borderId="8" fillId="2" fontId="1" numFmtId="0" xfId="0" applyAlignment="1" applyBorder="1" applyFont="1">
      <alignment horizontal="center" shrinkToFit="0" wrapText="1"/>
    </xf>
    <xf borderId="9" fillId="2" fontId="3" numFmtId="0" xfId="0" applyAlignment="1" applyBorder="1" applyFont="1">
      <alignment horizontal="center" shrinkToFit="0" vertical="bottom" wrapText="1"/>
    </xf>
    <xf borderId="10" fillId="2" fontId="1" numFmtId="0" xfId="0" applyAlignment="1" applyBorder="1" applyFont="1">
      <alignment horizontal="center" shrinkToFit="0" wrapText="1"/>
    </xf>
    <xf borderId="1" fillId="2" fontId="4" numFmtId="2" xfId="0" applyAlignment="1" applyBorder="1" applyFont="1" applyNumberFormat="1">
      <alignment vertical="center"/>
    </xf>
    <xf borderId="11" fillId="2" fontId="1" numFmtId="0" xfId="0" applyAlignment="1" applyBorder="1" applyFont="1">
      <alignment horizontal="center" shrinkToFit="0" wrapText="1"/>
    </xf>
    <xf borderId="9" fillId="2" fontId="3" numFmtId="0" xfId="0" applyAlignment="1" applyBorder="1" applyFont="1">
      <alignment horizontal="center" readingOrder="0" shrinkToFit="0" vertical="bottom" wrapText="1"/>
    </xf>
    <xf borderId="1" fillId="2" fontId="1" numFmtId="2" xfId="0" applyAlignment="1" applyBorder="1" applyFont="1" applyNumberFormat="1">
      <alignment horizontal="center" shrinkToFit="0" vertical="center" wrapText="1"/>
    </xf>
    <xf borderId="3" fillId="2" fontId="3" numFmtId="0" xfId="0" applyAlignment="1" applyBorder="1" applyFont="1">
      <alignment horizontal="center" shrinkToFit="0" wrapText="1"/>
    </xf>
    <xf borderId="1" fillId="2" fontId="1" numFmtId="1" xfId="0" applyAlignment="1" applyBorder="1" applyFont="1" applyNumberForma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3" fillId="2" fontId="5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horizontal="center"/>
    </xf>
    <xf borderId="3" fillId="2" fontId="6" numFmtId="0" xfId="0" applyAlignment="1" applyBorder="1" applyFont="1">
      <alignment shrinkToFit="0" wrapText="1"/>
    </xf>
    <xf borderId="12" fillId="2" fontId="1" numFmtId="0" xfId="0" applyAlignment="1" applyBorder="1" applyFont="1">
      <alignment horizontal="center" shrinkToFit="0" wrapText="1"/>
    </xf>
    <xf borderId="3" fillId="2" fontId="2" numFmtId="0" xfId="0" applyAlignment="1" applyBorder="1" applyFont="1">
      <alignment shrinkToFit="0" wrapText="1"/>
    </xf>
    <xf borderId="13" fillId="2" fontId="1" numFmtId="0" xfId="0" applyAlignment="1" applyBorder="1" applyFont="1">
      <alignment horizontal="center"/>
    </xf>
    <xf borderId="14" fillId="2" fontId="4" numFmtId="0" xfId="0" applyAlignment="1" applyBorder="1" applyFont="1">
      <alignment horizontal="center"/>
    </xf>
    <xf borderId="3" fillId="2" fontId="4" numFmtId="0" xfId="0" applyAlignment="1" applyBorder="1" applyFont="1">
      <alignment horizontal="center" vertical="center"/>
    </xf>
    <xf borderId="0" fillId="2" fontId="4" numFmtId="0" xfId="0" applyAlignment="1" applyFont="1">
      <alignment horizontal="center"/>
    </xf>
    <xf borderId="0" fillId="3" fontId="4" numFmtId="0" xfId="0" applyAlignment="1" applyFill="1" applyFont="1">
      <alignment vertical="bottom"/>
    </xf>
    <xf borderId="9" fillId="2" fontId="7" numFmtId="0" xfId="0" applyAlignment="1" applyBorder="1" applyFont="1">
      <alignment vertical="bottom"/>
    </xf>
    <xf borderId="3" fillId="2" fontId="7" numFmtId="0" xfId="0" applyBorder="1" applyFont="1"/>
    <xf borderId="0" fillId="0" fontId="4" numFmtId="0" xfId="0" applyFont="1"/>
    <xf borderId="15" fillId="2" fontId="3" numFmtId="0" xfId="0" applyAlignment="1" applyBorder="1" applyFont="1">
      <alignment horizontal="center" shrinkToFit="0" vertical="bottom" wrapText="1"/>
    </xf>
    <xf borderId="14" fillId="2" fontId="3" numFmtId="0" xfId="0" applyAlignment="1" applyBorder="1" applyFont="1">
      <alignment horizontal="center" shrinkToFit="0" vertical="bottom" wrapText="1"/>
    </xf>
    <xf borderId="14" fillId="3" fontId="4" numFmtId="0" xfId="0" applyAlignment="1" applyBorder="1" applyFont="1">
      <alignment horizontal="center" readingOrder="0" vertical="bottom"/>
    </xf>
    <xf borderId="16" fillId="0" fontId="4" numFmtId="0" xfId="0" applyAlignment="1" applyBorder="1" applyFont="1">
      <alignment horizontal="center" shrinkToFit="0" vertical="bottom" wrapText="0"/>
    </xf>
    <xf borderId="14" fillId="0" fontId="4" numFmtId="0" xfId="0" applyAlignment="1" applyBorder="1" applyFont="1">
      <alignment vertical="bottom"/>
    </xf>
    <xf borderId="0" fillId="2" fontId="3" numFmtId="0" xfId="0" applyAlignment="1" applyFont="1">
      <alignment horizontal="center" shrinkToFit="0" vertical="bottom" wrapText="1"/>
    </xf>
    <xf borderId="14" fillId="0" fontId="7" numFmtId="0" xfId="0" applyAlignment="1" applyBorder="1" applyFont="1">
      <alignment vertical="bottom"/>
    </xf>
    <xf borderId="14" fillId="0" fontId="4" numFmtId="0" xfId="0" applyAlignment="1" applyBorder="1" applyFont="1">
      <alignment horizontal="center" readingOrder="0" vertical="bottom"/>
    </xf>
    <xf borderId="14" fillId="2" fontId="4" numFmtId="0" xfId="0" applyAlignment="1" applyBorder="1" applyFont="1">
      <alignment vertical="bottom"/>
    </xf>
    <xf borderId="14" fillId="0" fontId="4" numFmtId="0" xfId="0" applyAlignment="1" applyBorder="1" applyFont="1">
      <alignment horizontal="center" vertical="bottom"/>
    </xf>
    <xf borderId="14" fillId="3" fontId="4" numFmtId="0" xfId="0" applyAlignment="1" applyBorder="1" applyFont="1">
      <alignment vertical="bottom"/>
    </xf>
    <xf borderId="14" fillId="0" fontId="4" numFmtId="0" xfId="0" applyAlignment="1" applyBorder="1" applyFont="1">
      <alignment horizontal="center"/>
    </xf>
    <xf borderId="14" fillId="0" fontId="4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left" readingOrder="0" vertical="bottom"/>
    </xf>
    <xf borderId="14" fillId="0" fontId="4" numFmtId="2" xfId="0" applyAlignment="1" applyBorder="1" applyFont="1" applyNumberFormat="1">
      <alignment horizontal="center"/>
    </xf>
    <xf borderId="14" fillId="0" fontId="4" numFmtId="0" xfId="0" applyAlignment="1" applyBorder="1" applyFont="1">
      <alignment readingOrder="0" vertical="bottom"/>
    </xf>
    <xf borderId="14" fillId="0" fontId="4" numFmtId="164" xfId="0" applyAlignment="1" applyBorder="1" applyFont="1" applyNumberFormat="1">
      <alignment horizontal="center" vertical="bottom"/>
    </xf>
    <xf borderId="14" fillId="0" fontId="4" numFmtId="1" xfId="0" applyAlignment="1" applyBorder="1" applyFont="1" applyNumberFormat="1">
      <alignment horizontal="center"/>
    </xf>
    <xf borderId="14" fillId="0" fontId="4" numFmtId="0" xfId="0" applyAlignment="1" applyBorder="1" applyFont="1">
      <alignment shrinkToFit="0" vertical="bottom" wrapText="0"/>
    </xf>
    <xf borderId="14" fillId="3" fontId="7" numFmtId="0" xfId="0" applyAlignment="1" applyBorder="1" applyFont="1">
      <alignment vertical="bottom"/>
    </xf>
    <xf borderId="14" fillId="3" fontId="3" numFmtId="0" xfId="0" applyAlignment="1" applyBorder="1" applyFont="1">
      <alignment horizontal="center" vertical="bottom"/>
    </xf>
    <xf borderId="14" fillId="3" fontId="5" numFmtId="165" xfId="0" applyAlignment="1" applyBorder="1" applyFont="1" applyNumberFormat="1">
      <alignment horizontal="center" vertical="bottom"/>
    </xf>
    <xf borderId="0" fillId="0" fontId="7" numFmtId="0" xfId="0" applyAlignment="1" applyFont="1">
      <alignment vertical="bottom"/>
    </xf>
    <xf borderId="14" fillId="3" fontId="1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4" fillId="3" fontId="4" numFmtId="0" xfId="0" applyAlignment="1" applyBorder="1" applyFont="1">
      <alignment horizontal="center" vertical="bottom"/>
    </xf>
    <xf borderId="16" fillId="3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center" vertical="bottom"/>
    </xf>
    <xf borderId="14" fillId="0" fontId="4" numFmtId="2" xfId="0" applyAlignment="1" applyBorder="1" applyFont="1" applyNumberFormat="1">
      <alignment horizontal="center" vertical="bottom"/>
    </xf>
    <xf borderId="14" fillId="0" fontId="4" numFmtId="1" xfId="0" applyAlignment="1" applyBorder="1" applyFont="1" applyNumberFormat="1">
      <alignment horizontal="center" vertical="bottom"/>
    </xf>
    <xf borderId="14" fillId="0" fontId="4" numFmtId="0" xfId="0" applyBorder="1" applyFont="1"/>
    <xf borderId="14" fillId="0" fontId="6" numFmtId="0" xfId="0" applyAlignment="1" applyBorder="1" applyFont="1">
      <alignment horizontal="center" vertical="bottom"/>
    </xf>
    <xf borderId="14" fillId="0" fontId="1" numFmtId="0" xfId="0" applyAlignment="1" applyBorder="1" applyFont="1">
      <alignment vertical="bottom"/>
    </xf>
    <xf borderId="14" fillId="0" fontId="6" numFmtId="2" xfId="0" applyAlignment="1" applyBorder="1" applyFont="1" applyNumberFormat="1">
      <alignment horizontal="center" vertical="bottom"/>
    </xf>
    <xf borderId="14" fillId="0" fontId="6" numFmtId="1" xfId="0" applyAlignment="1" applyBorder="1" applyFont="1" applyNumberFormat="1">
      <alignment horizontal="center" vertical="bottom"/>
    </xf>
    <xf borderId="14" fillId="0" fontId="8" numFmtId="0" xfId="0" applyBorder="1" applyFont="1"/>
    <xf borderId="9" fillId="0" fontId="7" numFmtId="0" xfId="0" applyAlignment="1" applyBorder="1" applyFont="1">
      <alignment readingOrder="0" vertical="bottom"/>
    </xf>
    <xf borderId="15" fillId="0" fontId="7" numFmtId="0" xfId="0" applyAlignment="1" applyBorder="1" applyFont="1">
      <alignment vertical="bottom"/>
    </xf>
    <xf borderId="14" fillId="0" fontId="7" numFmtId="0" xfId="0" applyAlignment="1" applyBorder="1" applyFont="1">
      <alignment readingOrder="0" vertical="bottom"/>
    </xf>
    <xf borderId="9" fillId="0" fontId="7" numFmtId="0" xfId="0" applyAlignment="1" applyBorder="1" applyFont="1">
      <alignment vertical="bottom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14" fillId="0" fontId="8" numFmtId="0" xfId="0" applyAlignment="1" applyBorder="1" applyFont="1">
      <alignment horizontal="center"/>
    </xf>
    <xf borderId="17" fillId="0" fontId="1" numFmtId="0" xfId="0" applyAlignment="1" applyBorder="1" applyFont="1">
      <alignment horizontal="center" readingOrder="0" vertical="bottom"/>
    </xf>
    <xf borderId="9" fillId="0" fontId="9" numFmtId="0" xfId="0" applyBorder="1" applyFont="1"/>
    <xf borderId="14" fillId="0" fontId="10" numFmtId="3" xfId="0" applyAlignment="1" applyBorder="1" applyFont="1" applyNumberFormat="1">
      <alignment horizontal="center" readingOrder="0" vertical="bottom"/>
    </xf>
    <xf borderId="14" fillId="0" fontId="8" numFmtId="0" xfId="0" applyAlignment="1" applyBorder="1" applyFont="1">
      <alignment horizontal="center" readingOrder="0"/>
    </xf>
    <xf borderId="14" fillId="0" fontId="8" numFmtId="165" xfId="0" applyAlignment="1" applyBorder="1" applyFont="1" applyNumberFormat="1">
      <alignment horizontal="center" readingOrder="0"/>
    </xf>
    <xf borderId="14" fillId="0" fontId="8" numFmtId="0" xfId="0" applyAlignment="1" applyBorder="1" applyFont="1">
      <alignment horizontal="left" readingOrder="0"/>
    </xf>
    <xf borderId="14" fillId="3" fontId="4" numFmtId="0" xfId="0" applyBorder="1" applyFont="1"/>
    <xf borderId="14" fillId="3" fontId="11" numFmtId="0" xfId="0" applyAlignment="1" applyBorder="1" applyFont="1">
      <alignment horizontal="center" vertical="bottom"/>
    </xf>
    <xf borderId="14" fillId="0" fontId="6" numFmtId="0" xfId="0" applyAlignment="1" applyBorder="1" applyFont="1">
      <alignment horizontal="left" readingOrder="0" vertical="bottom"/>
    </xf>
    <xf borderId="14" fillId="0" fontId="7" numFmtId="0" xfId="0" applyAlignment="1" applyBorder="1" applyFont="1">
      <alignment horizontal="center" vertical="bottom"/>
    </xf>
    <xf borderId="14" fillId="0" fontId="6" numFmtId="0" xfId="0" applyAlignment="1" applyBorder="1" applyFont="1">
      <alignment readingOrder="0" vertical="bottom"/>
    </xf>
    <xf borderId="14" fillId="0" fontId="6" numFmtId="0" xfId="0" applyAlignment="1" applyBorder="1" applyFont="1">
      <alignment horizontal="center" readingOrder="0" vertical="bottom"/>
    </xf>
    <xf borderId="14" fillId="0" fontId="4" numFmtId="0" xfId="0" applyAlignment="1" applyBorder="1" applyFont="1">
      <alignment horizontal="left" vertical="bottom"/>
    </xf>
    <xf borderId="14" fillId="0" fontId="12" numFmtId="0" xfId="0" applyAlignment="1" applyBorder="1" applyFont="1">
      <alignment horizontal="center" readingOrder="0" vertical="bottom"/>
    </xf>
    <xf borderId="14" fillId="0" fontId="1" numFmtId="0" xfId="0" applyAlignment="1" applyBorder="1" applyFont="1">
      <alignment horizontal="center" readingOrder="0" vertical="bottom"/>
    </xf>
    <xf borderId="17" fillId="0" fontId="13" numFmtId="0" xfId="0" applyAlignment="1" applyBorder="1" applyFont="1">
      <alignment horizontal="center" readingOrder="0" vertical="bottom"/>
    </xf>
    <xf borderId="16" fillId="0" fontId="4" numFmtId="0" xfId="0" applyAlignment="1" applyBorder="1" applyFont="1">
      <alignment horizontal="center" vertical="bottom"/>
    </xf>
    <xf borderId="18" fillId="0" fontId="14" numFmtId="0" xfId="0" applyAlignment="1" applyBorder="1" applyFont="1">
      <alignment horizontal="center"/>
    </xf>
    <xf borderId="18" fillId="0" fontId="15" numFmtId="165" xfId="0" applyAlignment="1" applyBorder="1" applyFont="1" applyNumberFormat="1">
      <alignment horizontal="center"/>
    </xf>
    <xf borderId="18" fillId="0" fontId="4" numFmtId="0" xfId="0" applyAlignment="1" applyBorder="1" applyFont="1">
      <alignment horizontal="center"/>
    </xf>
    <xf borderId="19" fillId="0" fontId="9" numFmtId="0" xfId="0" applyBorder="1" applyFont="1"/>
    <xf borderId="14" fillId="0" fontId="4" numFmtId="0" xfId="0" applyAlignment="1" applyBorder="1" applyFont="1">
      <alignment readingOrder="0"/>
    </xf>
    <xf borderId="14" fillId="3" fontId="1" numFmtId="0" xfId="0" applyAlignment="1" applyBorder="1" applyFont="1">
      <alignment horizontal="center" readingOrder="0" vertical="bottom"/>
    </xf>
    <xf borderId="14" fillId="0" fontId="1" numFmtId="0" xfId="0" applyBorder="1" applyFont="1"/>
    <xf borderId="14" fillId="0" fontId="14" numFmtId="0" xfId="0" applyBorder="1" applyFont="1"/>
    <xf borderId="14" fillId="0" fontId="14" numFmtId="0" xfId="0" applyAlignment="1" applyBorder="1" applyFont="1">
      <alignment horizontal="center" vertical="bottom"/>
    </xf>
    <xf borderId="14" fillId="0" fontId="15" numFmtId="165" xfId="0" applyAlignment="1" applyBorder="1" applyFont="1" applyNumberFormat="1">
      <alignment horizontal="center" vertical="bottom"/>
    </xf>
    <xf borderId="17" fillId="0" fontId="1" numFmtId="0" xfId="0" applyAlignment="1" applyBorder="1" applyFont="1">
      <alignment horizontal="center" vertical="bottom"/>
    </xf>
    <xf borderId="0" fillId="0" fontId="14" numFmtId="0" xfId="0" applyFont="1"/>
    <xf borderId="14" fillId="3" fontId="4" numFmtId="2" xfId="0" applyAlignment="1" applyBorder="1" applyFont="1" applyNumberFormat="1">
      <alignment horizontal="center" vertical="bottom"/>
    </xf>
    <xf borderId="14" fillId="3" fontId="4" numFmtId="1" xfId="0" applyAlignment="1" applyBorder="1" applyFont="1" applyNumberFormat="1">
      <alignment horizontal="center" vertical="bottom"/>
    </xf>
    <xf borderId="14" fillId="0" fontId="4" numFmtId="164" xfId="0" applyAlignment="1" applyBorder="1" applyFont="1" applyNumberFormat="1">
      <alignment horizontal="center" readingOrder="0" vertical="bottom"/>
    </xf>
    <xf borderId="14" fillId="0" fontId="14" numFmtId="0" xfId="0" applyAlignment="1" applyBorder="1" applyFont="1">
      <alignment horizontal="center" readingOrder="0"/>
    </xf>
    <xf borderId="14" fillId="3" fontId="4" numFmtId="164" xfId="0" applyAlignment="1" applyBorder="1" applyFont="1" applyNumberFormat="1">
      <alignment horizontal="center" vertical="bottom"/>
    </xf>
    <xf borderId="0" fillId="3" fontId="4" numFmtId="0" xfId="0" applyAlignment="1" applyFont="1">
      <alignment horizontal="center" vertical="bottom"/>
    </xf>
    <xf borderId="14" fillId="3" fontId="14" numFmtId="0" xfId="0" applyAlignment="1" applyBorder="1" applyFont="1">
      <alignment horizontal="center" vertical="bottom"/>
    </xf>
    <xf borderId="14" fillId="3" fontId="15" numFmtId="0" xfId="0" applyAlignment="1" applyBorder="1" applyFont="1">
      <alignment horizontal="center" vertical="bottom"/>
    </xf>
    <xf borderId="14" fillId="3" fontId="16" numFmtId="0" xfId="0" applyAlignment="1" applyBorder="1" applyFont="1">
      <alignment horizontal="center" vertical="bottom"/>
    </xf>
    <xf borderId="14" fillId="3" fontId="4" numFmtId="3" xfId="0" applyAlignment="1" applyBorder="1" applyFont="1" applyNumberFormat="1">
      <alignment horizontal="center" vertical="bottom"/>
    </xf>
    <xf borderId="14" fillId="0" fontId="4" numFmtId="165" xfId="0" applyAlignment="1" applyBorder="1" applyFont="1" applyNumberFormat="1">
      <alignment horizontal="center" shrinkToFit="0" wrapText="0"/>
    </xf>
    <xf borderId="14" fillId="0" fontId="4" numFmtId="0" xfId="0" applyAlignment="1" applyBorder="1" applyFont="1">
      <alignment horizontal="center" shrinkToFit="0" wrapText="0"/>
    </xf>
    <xf borderId="14" fillId="0" fontId="1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9" fillId="0" fontId="4" numFmtId="2" xfId="0" applyAlignment="1" applyBorder="1" applyFont="1" applyNumberFormat="1">
      <alignment horizontal="center" vertical="bottom"/>
    </xf>
    <xf borderId="9" fillId="0" fontId="4" numFmtId="1" xfId="0" applyAlignment="1" applyBorder="1" applyFont="1" applyNumberFormat="1">
      <alignment horizontal="center" vertical="bottom"/>
    </xf>
    <xf borderId="14" fillId="0" fontId="4" numFmtId="3" xfId="0" applyAlignment="1" applyBorder="1" applyFont="1" applyNumberFormat="1">
      <alignment horizontal="center" readingOrder="0" vertical="bottom"/>
    </xf>
    <xf borderId="14" fillId="0" fontId="12" numFmtId="0" xfId="0" applyAlignment="1" applyBorder="1" applyFont="1">
      <alignment vertical="bottom"/>
    </xf>
    <xf borderId="14" fillId="0" fontId="4" numFmtId="0" xfId="0" applyAlignment="1" applyBorder="1" applyFont="1">
      <alignment vertical="bottom"/>
    </xf>
    <xf borderId="14" fillId="0" fontId="15" numFmtId="0" xfId="0" applyAlignment="1" applyBorder="1" applyFont="1">
      <alignment horizontal="center" vertical="bottom"/>
    </xf>
    <xf borderId="14" fillId="0" fontId="4" numFmtId="0" xfId="0" applyAlignment="1" applyBorder="1" applyFont="1">
      <alignment horizontal="center" vertical="bottom"/>
    </xf>
    <xf borderId="19" fillId="3" fontId="4" numFmtId="0" xfId="0" applyAlignment="1" applyBorder="1" applyFont="1">
      <alignment horizontal="center" vertical="bottom"/>
    </xf>
    <xf borderId="16" fillId="3" fontId="4" numFmtId="0" xfId="0" applyAlignment="1" applyBorder="1" applyFont="1">
      <alignment vertical="bottom"/>
    </xf>
    <xf borderId="16" fillId="3" fontId="4" numFmtId="0" xfId="0" applyAlignment="1" applyBorder="1" applyFont="1">
      <alignment horizontal="center" vertical="bottom"/>
    </xf>
    <xf borderId="14" fillId="3" fontId="4" numFmtId="165" xfId="0" applyAlignment="1" applyBorder="1" applyFont="1" applyNumberFormat="1">
      <alignment horizontal="center" readingOrder="0" vertical="bottom"/>
    </xf>
    <xf borderId="14" fillId="0" fontId="13" numFmtId="0" xfId="0" applyAlignment="1" applyBorder="1" applyFont="1">
      <alignment horizontal="center" readingOrder="0" vertical="bottom"/>
    </xf>
    <xf borderId="14" fillId="0" fontId="10" numFmtId="0" xfId="0" applyAlignment="1" applyBorder="1" applyFont="1">
      <alignment horizontal="center" readingOrder="0"/>
    </xf>
    <xf borderId="14" fillId="3" fontId="10" numFmtId="0" xfId="0" applyAlignment="1" applyBorder="1" applyFont="1">
      <alignment horizontal="center" readingOrder="0" shrinkToFit="0" wrapText="0"/>
    </xf>
    <xf borderId="14" fillId="3" fontId="10" numFmtId="0" xfId="0" applyAlignment="1" applyBorder="1" applyFont="1">
      <alignment readingOrder="0" shrinkToFit="0" wrapText="0"/>
    </xf>
    <xf borderId="14" fillId="3" fontId="10" numFmtId="3" xfId="0" applyAlignment="1" applyBorder="1" applyFont="1" applyNumberFormat="1">
      <alignment horizontal="center" readingOrder="0" shrinkToFit="0" wrapText="0"/>
    </xf>
    <xf borderId="14" fillId="0" fontId="4" numFmtId="0" xfId="0" applyAlignment="1" applyBorder="1" applyFont="1">
      <alignment horizontal="center" shrinkToFit="0" vertical="bottom" wrapText="1"/>
    </xf>
    <xf borderId="14" fillId="0" fontId="7" numFmtId="3" xfId="0" applyBorder="1" applyFont="1" applyNumberFormat="1"/>
    <xf borderId="16" fillId="0" fontId="4" numFmtId="0" xfId="0" applyAlignment="1" applyBorder="1" applyFont="1">
      <alignment vertical="bottom"/>
    </xf>
    <xf borderId="14" fillId="3" fontId="7" numFmtId="0" xfId="0" applyBorder="1" applyFont="1"/>
    <xf borderId="14" fillId="3" fontId="14" numFmtId="0" xfId="0" applyAlignment="1" applyBorder="1" applyFont="1">
      <alignment horizontal="center"/>
    </xf>
    <xf borderId="14" fillId="3" fontId="15" numFmtId="0" xfId="0" applyAlignment="1" applyBorder="1" applyFont="1">
      <alignment horizontal="center"/>
    </xf>
    <xf borderId="14" fillId="3" fontId="1" numFmtId="0" xfId="0" applyAlignment="1" applyBorder="1" applyFont="1">
      <alignment horizontal="center"/>
    </xf>
    <xf borderId="15" fillId="3" fontId="4" numFmtId="3" xfId="0" applyAlignment="1" applyBorder="1" applyFont="1" applyNumberFormat="1">
      <alignment horizontal="center" vertical="bottom"/>
    </xf>
    <xf borderId="16" fillId="0" fontId="4" numFmtId="0" xfId="0" applyAlignment="1" applyBorder="1" applyFont="1">
      <alignment horizontal="center"/>
    </xf>
    <xf borderId="14" fillId="0" fontId="17" numFmtId="0" xfId="0" applyAlignment="1" applyBorder="1" applyFont="1">
      <alignment horizontal="center" readingOrder="0"/>
    </xf>
    <xf borderId="14" fillId="0" fontId="4" numFmtId="165" xfId="0" applyAlignment="1" applyBorder="1" applyFont="1" applyNumberFormat="1">
      <alignment horizontal="center" vertical="bottom"/>
    </xf>
    <xf borderId="16" fillId="0" fontId="4" numFmtId="0" xfId="0" applyAlignment="1" applyBorder="1" applyFont="1">
      <alignment horizontal="center" readingOrder="0" vertical="bottom"/>
    </xf>
    <xf borderId="14" fillId="0" fontId="1" numFmtId="165" xfId="0" applyAlignment="1" applyBorder="1" applyFont="1" applyNumberFormat="1">
      <alignment horizontal="center" vertical="bottom"/>
    </xf>
    <xf borderId="16" fillId="3" fontId="4" numFmtId="0" xfId="0" applyAlignment="1" applyBorder="1" applyFont="1">
      <alignment readingOrder="0" vertical="bottom"/>
    </xf>
    <xf borderId="14" fillId="3" fontId="4" numFmtId="3" xfId="0" applyAlignment="1" applyBorder="1" applyFont="1" applyNumberFormat="1">
      <alignment horizontal="center" readingOrder="0" vertical="bottom"/>
    </xf>
    <xf borderId="14" fillId="0" fontId="18" numFmtId="165" xfId="0" applyAlignment="1" applyBorder="1" applyFont="1" applyNumberFormat="1">
      <alignment horizontal="right" vertical="bottom"/>
    </xf>
    <xf borderId="14" fillId="0" fontId="7" numFmtId="0" xfId="0" applyAlignment="1" applyBorder="1" applyFont="1">
      <alignment horizontal="right" vertical="bottom"/>
    </xf>
    <xf borderId="14" fillId="0" fontId="4" numFmtId="0" xfId="0" applyAlignment="1" applyBorder="1" applyFont="1">
      <alignment horizontal="center" shrinkToFit="0" vertical="bottom" wrapText="0"/>
    </xf>
    <xf borderId="14" fillId="0" fontId="4" numFmtId="3" xfId="0" applyAlignment="1" applyBorder="1" applyFont="1" applyNumberFormat="1">
      <alignment horizontal="center"/>
    </xf>
    <xf borderId="14" fillId="3" fontId="4" numFmtId="0" xfId="0" applyAlignment="1" applyBorder="1" applyFont="1">
      <alignment horizontal="center"/>
    </xf>
    <xf borderId="14" fillId="3" fontId="4" numFmtId="0" xfId="0" applyAlignment="1" applyBorder="1" applyFont="1">
      <alignment readingOrder="0" vertical="bottom"/>
    </xf>
    <xf borderId="14" fillId="3" fontId="7" numFmtId="0" xfId="0" applyAlignment="1" applyBorder="1" applyFont="1">
      <alignment horizontal="center" vertical="bottom"/>
    </xf>
    <xf borderId="14" fillId="0" fontId="19" numFmtId="0" xfId="0" applyAlignment="1" applyBorder="1" applyFont="1">
      <alignment horizontal="center" readingOrder="0" vertical="bottom"/>
    </xf>
    <xf borderId="14" fillId="0" fontId="4" numFmtId="3" xfId="0" applyAlignment="1" applyBorder="1" applyFont="1" applyNumberFormat="1">
      <alignment horizontal="center" vertical="bottom"/>
    </xf>
    <xf borderId="14" fillId="0" fontId="7" numFmtId="0" xfId="0" applyBorder="1" applyFont="1"/>
    <xf borderId="14" fillId="0" fontId="4" numFmtId="0" xfId="0" applyAlignment="1" applyBorder="1" applyFont="1">
      <alignment horizontal="left" readingOrder="0"/>
    </xf>
    <xf borderId="14" fillId="0" fontId="20" numFmtId="0" xfId="0" applyAlignment="1" applyBorder="1" applyFont="1">
      <alignment horizontal="center" vertical="bottom"/>
    </xf>
    <xf borderId="14" fillId="0" fontId="7" numFmtId="165" xfId="0" applyAlignment="1" applyBorder="1" applyFont="1" applyNumberFormat="1">
      <alignment vertical="bottom"/>
    </xf>
    <xf borderId="16" fillId="0" fontId="7" numFmtId="0" xfId="0" applyAlignment="1" applyBorder="1" applyFont="1">
      <alignment vertical="bottom"/>
    </xf>
    <xf borderId="0" fillId="4" fontId="1" numFmtId="0" xfId="0" applyAlignment="1" applyFill="1" applyFont="1">
      <alignment horizontal="center" vertical="bottom"/>
    </xf>
    <xf borderId="9" fillId="0" fontId="7" numFmtId="2" xfId="0" applyAlignment="1" applyBorder="1" applyFont="1" applyNumberFormat="1">
      <alignment vertical="bottom"/>
    </xf>
    <xf borderId="0" fillId="3" fontId="1" numFmtId="0" xfId="0" applyAlignment="1" applyFont="1">
      <alignment horizontal="center" vertical="bottom"/>
    </xf>
    <xf borderId="9" fillId="0" fontId="7" numFmtId="1" xfId="0" applyAlignment="1" applyBorder="1" applyFont="1" applyNumberFormat="1">
      <alignment vertical="bottom"/>
    </xf>
    <xf borderId="14" fillId="0" fontId="4" numFmtId="165" xfId="0" applyAlignment="1" applyBorder="1" applyFont="1" applyNumberFormat="1">
      <alignment horizontal="center" readingOrder="0" vertical="bottom"/>
    </xf>
    <xf borderId="18" fillId="5" fontId="21" numFmtId="0" xfId="0" applyAlignment="1" applyBorder="1" applyFill="1" applyFont="1">
      <alignment horizontal="center"/>
    </xf>
    <xf borderId="18" fillId="5" fontId="21" numFmtId="0" xfId="0" applyAlignment="1" applyBorder="1" applyFont="1">
      <alignment horizontal="center" vertical="bottom"/>
    </xf>
    <xf borderId="14" fillId="0" fontId="22" numFmtId="0" xfId="0" applyAlignment="1" applyBorder="1" applyFont="1">
      <alignment vertical="bottom"/>
    </xf>
    <xf borderId="18" fillId="5" fontId="21" numFmtId="0" xfId="0" applyAlignment="1" applyBorder="1" applyFont="1">
      <alignment horizontal="center" shrinkToFit="0" vertical="bottom" wrapText="1"/>
    </xf>
    <xf borderId="15" fillId="5" fontId="21" numFmtId="0" xfId="0" applyAlignment="1" applyBorder="1" applyFont="1">
      <alignment horizontal="center" vertical="bottom"/>
    </xf>
    <xf borderId="15" fillId="0" fontId="9" numFmtId="0" xfId="0" applyBorder="1" applyFont="1"/>
    <xf borderId="9" fillId="5" fontId="7" numFmtId="0" xfId="0" applyAlignment="1" applyBorder="1" applyFont="1">
      <alignment vertical="bottom"/>
    </xf>
    <xf borderId="16" fillId="5" fontId="21" numFmtId="0" xfId="0" applyAlignment="1" applyBorder="1" applyFont="1">
      <alignment horizontal="center" vertical="bottom"/>
    </xf>
    <xf borderId="16" fillId="5" fontId="7" numFmtId="0" xfId="0" applyAlignment="1" applyBorder="1" applyFont="1">
      <alignment vertical="bottom"/>
    </xf>
    <xf borderId="17" fillId="0" fontId="17" numFmtId="0" xfId="0" applyAlignment="1" applyBorder="1" applyFont="1">
      <alignment horizontal="center" vertical="bottom"/>
    </xf>
    <xf borderId="14" fillId="3" fontId="1" numFmtId="165" xfId="0" applyAlignment="1" applyBorder="1" applyFont="1" applyNumberFormat="1">
      <alignment horizontal="center" vertical="bottom"/>
    </xf>
    <xf borderId="16" fillId="0" fontId="1" numFmtId="0" xfId="0" applyAlignment="1" applyBorder="1" applyFont="1">
      <alignment horizontal="center" vertical="bottom"/>
    </xf>
    <xf borderId="14" fillId="0" fontId="3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center" vertical="bottom"/>
    </xf>
    <xf borderId="17" fillId="2" fontId="1" numFmtId="0" xfId="0" applyAlignment="1" applyBorder="1" applyFont="1">
      <alignment horizontal="center"/>
    </xf>
    <xf borderId="20" fillId="3" fontId="4" numFmtId="3" xfId="0" applyAlignment="1" applyBorder="1" applyFont="1" applyNumberFormat="1">
      <alignment horizontal="center" vertical="bottom"/>
    </xf>
    <xf borderId="0" fillId="3" fontId="4" numFmtId="0" xfId="0" applyFont="1"/>
    <xf borderId="14" fillId="0" fontId="4" numFmtId="0" xfId="0" applyAlignment="1" applyBorder="1" applyFont="1">
      <alignment horizontal="right" vertical="bottom"/>
    </xf>
    <xf borderId="21" fillId="2" fontId="1" numFmtId="0" xfId="0" applyAlignment="1" applyBorder="1" applyFont="1">
      <alignment horizontal="center"/>
    </xf>
    <xf borderId="22" fillId="0" fontId="9" numFmtId="0" xfId="0" applyBorder="1" applyFont="1"/>
    <xf borderId="23" fillId="0" fontId="9" numFmtId="0" xfId="0" applyBorder="1" applyFont="1"/>
    <xf borderId="4" fillId="4" fontId="23" numFmtId="0" xfId="0" applyAlignment="1" applyBorder="1" applyFont="1">
      <alignment horizontal="center"/>
    </xf>
    <xf borderId="8" fillId="0" fontId="9" numFmtId="0" xfId="0" applyBorder="1" applyFont="1"/>
    <xf borderId="24" fillId="0" fontId="9" numFmtId="0" xfId="0" applyBorder="1" applyFont="1"/>
    <xf borderId="14" fillId="3" fontId="13" numFmtId="0" xfId="0" applyAlignment="1" applyBorder="1" applyFont="1">
      <alignment horizontal="center"/>
    </xf>
    <xf borderId="17" fillId="0" fontId="4" numFmtId="0" xfId="0" applyAlignment="1" applyBorder="1" applyFont="1">
      <alignment vertical="bottom"/>
    </xf>
    <xf borderId="14" fillId="0" fontId="13" numFmtId="0" xfId="0" applyAlignment="1" applyBorder="1" applyFont="1">
      <alignment horizontal="center" vertical="bottom"/>
    </xf>
    <xf borderId="19" fillId="0" fontId="4" numFmtId="0" xfId="0" applyAlignment="1" applyBorder="1" applyFont="1">
      <alignment horizontal="center" vertical="bottom"/>
    </xf>
    <xf borderId="16" fillId="3" fontId="4" numFmtId="3" xfId="0" applyAlignment="1" applyBorder="1" applyFont="1" applyNumberFormat="1">
      <alignment horizontal="center" vertical="bottom"/>
    </xf>
    <xf borderId="16" fillId="0" fontId="4" numFmtId="0" xfId="0" applyAlignment="1" applyBorder="1" applyFont="1">
      <alignment readingOrder="0" vertical="bottom"/>
    </xf>
    <xf borderId="14" fillId="3" fontId="4" numFmtId="165" xfId="0" applyAlignment="1" applyBorder="1" applyFont="1" applyNumberFormat="1">
      <alignment horizontal="center"/>
    </xf>
    <xf borderId="16" fillId="0" fontId="7" numFmtId="0" xfId="0" applyBorder="1" applyFont="1"/>
    <xf borderId="14" fillId="0" fontId="7" numFmtId="165" xfId="0" applyAlignment="1" applyBorder="1" applyFont="1" applyNumberFormat="1">
      <alignment horizontal="right" vertical="bottom"/>
    </xf>
    <xf borderId="14" fillId="3" fontId="17" numFmtId="0" xfId="0" applyAlignment="1" applyBorder="1" applyFont="1">
      <alignment horizontal="center"/>
    </xf>
    <xf borderId="14" fillId="0" fontId="5" numFmtId="165" xfId="0" applyAlignment="1" applyBorder="1" applyFont="1" applyNumberFormat="1">
      <alignment horizontal="center" vertical="bottom"/>
    </xf>
    <xf borderId="14" fillId="3" fontId="4" numFmtId="165" xfId="0" applyAlignment="1" applyBorder="1" applyFont="1" applyNumberFormat="1">
      <alignment horizontal="center" vertical="bottom"/>
    </xf>
    <xf borderId="16" fillId="2" fontId="4" numFmtId="0" xfId="0" applyAlignment="1" applyBorder="1" applyFont="1">
      <alignment vertical="bottom"/>
    </xf>
    <xf borderId="17" fillId="0" fontId="13" numFmtId="0" xfId="0" applyAlignment="1" applyBorder="1" applyFont="1">
      <alignment horizontal="center" vertical="bottom"/>
    </xf>
    <xf borderId="14" fillId="0" fontId="7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readingOrder="0"/>
    </xf>
    <xf borderId="9" fillId="3" fontId="4" numFmtId="0" xfId="0" applyAlignment="1" applyBorder="1" applyFont="1">
      <alignment vertical="bottom"/>
    </xf>
    <xf borderId="9" fillId="3" fontId="4" numFmtId="0" xfId="0" applyAlignment="1" applyBorder="1" applyFont="1">
      <alignment horizontal="center" vertical="bottom"/>
    </xf>
    <xf borderId="9" fillId="3" fontId="4" numFmtId="2" xfId="0" applyAlignment="1" applyBorder="1" applyFont="1" applyNumberFormat="1">
      <alignment horizontal="center" vertical="bottom"/>
    </xf>
    <xf borderId="15" fillId="3" fontId="4" numFmtId="1" xfId="0" applyAlignment="1" applyBorder="1" applyFont="1" applyNumberFormat="1">
      <alignment horizontal="center" vertical="bottom"/>
    </xf>
    <xf borderId="25" fillId="0" fontId="4" numFmtId="0" xfId="0" applyAlignment="1" applyBorder="1" applyFont="1">
      <alignment horizontal="center" readingOrder="0" vertical="bottom"/>
    </xf>
    <xf borderId="26" fillId="0" fontId="9" numFmtId="0" xfId="0" applyBorder="1" applyFont="1"/>
    <xf borderId="27" fillId="0" fontId="9" numFmtId="0" xfId="0" applyBorder="1" applyFont="1"/>
    <xf borderId="28" fillId="0" fontId="9" numFmtId="0" xfId="0" applyBorder="1" applyFont="1"/>
    <xf borderId="29" fillId="0" fontId="9" numFmtId="0" xfId="0" applyBorder="1" applyFont="1"/>
    <xf borderId="30" fillId="0" fontId="9" numFmtId="0" xfId="0" applyBorder="1" applyFont="1"/>
    <xf borderId="20" fillId="0" fontId="9" numFmtId="0" xfId="0" applyBorder="1" applyFont="1"/>
    <xf borderId="16" fillId="0" fontId="9" numFmtId="0" xfId="0" applyBorder="1" applyFont="1"/>
    <xf borderId="17" fillId="3" fontId="4" numFmtId="1" xfId="0" applyAlignment="1" applyBorder="1" applyFont="1" applyNumberFormat="1">
      <alignment horizontal="center" vertical="bottom"/>
    </xf>
    <xf borderId="14" fillId="0" fontId="7" numFmtId="0" xfId="0" applyAlignment="1" applyBorder="1" applyFont="1">
      <alignment horizontal="left" readingOrder="0" vertical="bottom"/>
    </xf>
    <xf borderId="14" fillId="0" fontId="10" numFmtId="0" xfId="0" applyAlignment="1" applyBorder="1" applyFont="1">
      <alignment horizontal="center" readingOrder="0" shrinkToFit="0" vertical="bottom" wrapText="0"/>
    </xf>
    <xf borderId="14" fillId="3" fontId="1" numFmtId="0" xfId="0" applyAlignment="1" applyBorder="1" applyFont="1">
      <alignment horizontal="left" readingOrder="0" vertical="bottom"/>
    </xf>
    <xf borderId="14" fillId="3" fontId="1" numFmtId="0" xfId="0" applyAlignment="1" applyBorder="1" applyFont="1">
      <alignment horizontal="center" readingOrder="0"/>
    </xf>
    <xf borderId="14" fillId="3" fontId="4" numFmtId="0" xfId="0" applyAlignment="1" applyBorder="1" applyFont="1">
      <alignment horizontal="left" readingOrder="0"/>
    </xf>
    <xf borderId="16" fillId="0" fontId="1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/>
    </xf>
    <xf borderId="9" fillId="0" fontId="4" numFmtId="2" xfId="0" applyAlignment="1" applyBorder="1" applyFont="1" applyNumberFormat="1">
      <alignment horizontal="center"/>
    </xf>
    <xf borderId="9" fillId="0" fontId="4" numFmtId="1" xfId="0" applyAlignment="1" applyBorder="1" applyFont="1" applyNumberFormat="1">
      <alignment horizontal="center"/>
    </xf>
    <xf borderId="14" fillId="2" fontId="4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/>
    </xf>
    <xf borderId="14" fillId="3" fontId="7" numFmtId="0" xfId="0" applyAlignment="1" applyBorder="1" applyFont="1">
      <alignment horizontal="center" readingOrder="0" vertical="bottom"/>
    </xf>
    <xf borderId="14" fillId="0" fontId="24" numFmtId="0" xfId="0" applyAlignment="1" applyBorder="1" applyFont="1">
      <alignment horizontal="center" readingOrder="0" vertical="bottom"/>
    </xf>
    <xf borderId="14" fillId="0" fontId="25" numFmtId="0" xfId="0" applyAlignment="1" applyBorder="1" applyFont="1">
      <alignment horizontal="center" readingOrder="0" vertical="bottom"/>
    </xf>
    <xf borderId="14" fillId="0" fontId="7" numFmtId="165" xfId="0" applyAlignment="1" applyBorder="1" applyFont="1" applyNumberFormat="1">
      <alignment horizontal="center" readingOrder="0" vertical="bottom"/>
    </xf>
    <xf borderId="14" fillId="0" fontId="26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horizontal="left"/>
    </xf>
    <xf borderId="14" fillId="0" fontId="27" numFmtId="0" xfId="0" applyAlignment="1" applyBorder="1" applyFont="1">
      <alignment horizontal="center" readingOrder="0" vertical="bottom"/>
    </xf>
    <xf borderId="14" fillId="3" fontId="4" numFmtId="0" xfId="0" applyAlignment="1" applyBorder="1" applyFont="1">
      <alignment horizontal="left" vertical="bottom"/>
    </xf>
    <xf borderId="14" fillId="3" fontId="7" numFmtId="0" xfId="0" applyAlignment="1" applyBorder="1" applyFont="1">
      <alignment horizontal="center" vertical="top"/>
    </xf>
    <xf borderId="14" fillId="3" fontId="4" numFmtId="0" xfId="0" applyAlignment="1" applyBorder="1" applyFont="1">
      <alignment horizontal="left" readingOrder="0" vertical="top"/>
    </xf>
    <xf borderId="14" fillId="0" fontId="4" numFmtId="3" xfId="0" applyAlignment="1" applyBorder="1" applyFont="1" applyNumberFormat="1">
      <alignment horizontal="center" readingOrder="0" vertical="top"/>
    </xf>
    <xf borderId="14" fillId="3" fontId="3" numFmtId="0" xfId="0" applyAlignment="1" applyBorder="1" applyFont="1">
      <alignment horizontal="center" readingOrder="0"/>
    </xf>
    <xf borderId="14" fillId="3" fontId="4" numFmtId="0" xfId="0" applyAlignment="1" applyBorder="1" applyFont="1">
      <alignment horizontal="center" readingOrder="0"/>
    </xf>
    <xf borderId="14" fillId="3" fontId="7" numFmtId="165" xfId="0" applyAlignment="1" applyBorder="1" applyFont="1" applyNumberFormat="1">
      <alignment horizontal="center" readingOrder="0" vertical="bottom"/>
    </xf>
    <xf borderId="16" fillId="3" fontId="4" numFmtId="0" xfId="0" applyAlignment="1" applyBorder="1" applyFont="1">
      <alignment horizontal="center" readingOrder="0" vertical="bottom"/>
    </xf>
    <xf borderId="14" fillId="0" fontId="4" numFmtId="0" xfId="0" applyAlignment="1" applyBorder="1" applyFont="1">
      <alignment readingOrder="0" shrinkToFit="0" vertical="bottom" wrapText="0"/>
    </xf>
    <xf borderId="14" fillId="0" fontId="28" numFmtId="0" xfId="0" applyAlignment="1" applyBorder="1" applyFont="1">
      <alignment horizontal="center" readingOrder="0" vertical="bottom"/>
    </xf>
    <xf borderId="14" fillId="0" fontId="14" numFmtId="3" xfId="0" applyAlignment="1" applyBorder="1" applyFont="1" applyNumberFormat="1">
      <alignment horizontal="center" readingOrder="0" vertical="bottom"/>
    </xf>
    <xf borderId="14" fillId="0" fontId="7" numFmtId="165" xfId="0" applyAlignment="1" applyBorder="1" applyFont="1" applyNumberFormat="1">
      <alignment readingOrder="0" vertical="bottom"/>
    </xf>
    <xf borderId="14" fillId="3" fontId="10" numFmtId="0" xfId="0" applyAlignment="1" applyBorder="1" applyFont="1">
      <alignment readingOrder="0"/>
    </xf>
    <xf borderId="14" fillId="3" fontId="10" numFmtId="0" xfId="0" applyAlignment="1" applyBorder="1" applyFont="1">
      <alignment horizontal="center" readingOrder="0" shrinkToFit="0" wrapText="0"/>
    </xf>
    <xf borderId="18" fillId="0" fontId="8" numFmtId="0" xfId="0" applyAlignment="1" applyBorder="1" applyFont="1">
      <alignment horizontal="center" readingOrder="0"/>
    </xf>
    <xf borderId="14" fillId="0" fontId="29" numFmtId="0" xfId="0" applyAlignment="1" applyBorder="1" applyFont="1">
      <alignment horizontal="center" readingOrder="0"/>
    </xf>
    <xf borderId="16" fillId="3" fontId="4" numFmtId="3" xfId="0" applyAlignment="1" applyBorder="1" applyFont="1" applyNumberFormat="1">
      <alignment horizontal="center" readingOrder="0" vertical="bottom"/>
    </xf>
    <xf borderId="19" fillId="0" fontId="4" numFmtId="0" xfId="0" applyAlignment="1" applyBorder="1" applyFont="1">
      <alignment horizontal="center" readingOrder="0" vertical="bottom"/>
    </xf>
    <xf borderId="14" fillId="3" fontId="1" numFmtId="165" xfId="0" applyAlignment="1" applyBorder="1" applyFont="1" applyNumberFormat="1">
      <alignment horizontal="center" readingOrder="0" vertical="bottom"/>
    </xf>
    <xf borderId="14" fillId="3" fontId="4" numFmtId="0" xfId="0" applyAlignment="1" applyBorder="1" applyFont="1">
      <alignment horizontal="center" vertical="bottom"/>
    </xf>
    <xf borderId="17" fillId="0" fontId="19" numFmtId="0" xfId="0" applyAlignment="1" applyBorder="1" applyFont="1">
      <alignment horizontal="center" readingOrder="0"/>
    </xf>
    <xf borderId="16" fillId="0" fontId="4" numFmtId="0" xfId="0" applyAlignment="1" applyBorder="1" applyFont="1">
      <alignment horizontal="center" readingOrder="0" shrinkToFit="0" vertical="bottom" wrapText="1"/>
    </xf>
    <xf borderId="16" fillId="0" fontId="4" numFmtId="0" xfId="0" applyAlignment="1" applyBorder="1" applyFont="1">
      <alignment horizontal="left" vertical="bottom"/>
    </xf>
    <xf borderId="16" fillId="0" fontId="7" numFmtId="3" xfId="0" applyBorder="1" applyFont="1" applyNumberFormat="1"/>
    <xf borderId="14" fillId="0" fontId="22" numFmtId="0" xfId="0" applyAlignment="1" applyBorder="1" applyFont="1">
      <alignment horizontal="center" vertical="bottom"/>
    </xf>
    <xf borderId="14" fillId="0" fontId="22" numFmtId="165" xfId="0" applyAlignment="1" applyBorder="1" applyFont="1" applyNumberFormat="1">
      <alignment horizontal="right" vertical="bottom"/>
    </xf>
    <xf borderId="14" fillId="3" fontId="10" numFmtId="0" xfId="0" applyAlignment="1" applyBorder="1" applyFont="1">
      <alignment readingOrder="0" shrinkToFit="0" wrapText="0"/>
    </xf>
    <xf borderId="14" fillId="3" fontId="10" numFmtId="3" xfId="0" applyAlignment="1" applyBorder="1" applyFont="1" applyNumberFormat="1">
      <alignment horizontal="center" readingOrder="0" shrinkToFit="0" wrapText="0"/>
    </xf>
    <xf borderId="14" fillId="0" fontId="14" numFmtId="0" xfId="0" applyAlignment="1" applyBorder="1" applyFont="1">
      <alignment horizontal="center" readingOrder="0" vertical="bottom"/>
    </xf>
    <xf borderId="14" fillId="0" fontId="15" numFmtId="0" xfId="0" applyAlignment="1" applyBorder="1" applyFont="1">
      <alignment horizontal="center" readingOrder="0" vertical="bottom"/>
    </xf>
    <xf borderId="18" fillId="0" fontId="14" numFmtId="0" xfId="0" applyAlignment="1" applyBorder="1" applyFont="1">
      <alignment horizontal="center" readingOrder="0" shrinkToFit="0" wrapText="0"/>
    </xf>
    <xf borderId="18" fillId="0" fontId="15" numFmtId="0" xfId="0" applyAlignment="1" applyBorder="1" applyFont="1">
      <alignment horizontal="center" readingOrder="0" shrinkToFit="0" wrapText="0"/>
    </xf>
    <xf borderId="18" fillId="0" fontId="4" numFmtId="0" xfId="0" applyAlignment="1" applyBorder="1" applyFont="1">
      <alignment horizontal="center" readingOrder="0" shrinkToFit="0" wrapText="0"/>
    </xf>
    <xf borderId="16" fillId="3" fontId="4" numFmtId="0" xfId="0" applyAlignment="1" applyBorder="1" applyFont="1">
      <alignment horizontal="center"/>
    </xf>
    <xf borderId="14" fillId="0" fontId="4" numFmtId="3" xfId="0" applyAlignment="1" applyBorder="1" applyFont="1" applyNumberFormat="1">
      <alignment horizontal="center" readingOrder="0"/>
    </xf>
    <xf borderId="14" fillId="3" fontId="10" numFmtId="0" xfId="0" applyAlignment="1" applyBorder="1" applyFont="1">
      <alignment horizontal="center" readingOrder="0" vertical="bottom"/>
    </xf>
    <xf borderId="14" fillId="3" fontId="19" numFmtId="0" xfId="0" applyAlignment="1" applyBorder="1" applyFont="1">
      <alignment horizontal="center" vertical="bottom"/>
    </xf>
    <xf borderId="19" fillId="3" fontId="10" numFmtId="0" xfId="0" applyAlignment="1" applyBorder="1" applyFont="1">
      <alignment horizontal="center" readingOrder="0" shrinkToFit="0" wrapText="0"/>
    </xf>
    <xf borderId="16" fillId="3" fontId="10" numFmtId="0" xfId="0" applyAlignment="1" applyBorder="1" applyFont="1">
      <alignment horizontal="left" readingOrder="0" shrinkToFit="0" wrapText="0"/>
    </xf>
    <xf borderId="16" fillId="3" fontId="10" numFmtId="0" xfId="0" applyAlignment="1" applyBorder="1" applyFont="1">
      <alignment horizontal="center" readingOrder="0" shrinkToFit="0" wrapText="0"/>
    </xf>
    <xf borderId="14" fillId="0" fontId="30" numFmtId="0" xfId="0" applyAlignment="1" applyBorder="1" applyFont="1">
      <alignment readingOrder="0" vertical="bottom"/>
    </xf>
    <xf borderId="19" fillId="0" fontId="4" numFmtId="3" xfId="0" applyAlignment="1" applyBorder="1" applyFont="1" applyNumberFormat="1">
      <alignment horizontal="center" readingOrder="0" vertical="bottom"/>
    </xf>
    <xf borderId="14" fillId="0" fontId="24" numFmtId="165" xfId="0" applyAlignment="1" applyBorder="1" applyFont="1" applyNumberFormat="1">
      <alignment horizontal="center" readingOrder="0" vertical="bottom"/>
    </xf>
    <xf borderId="9" fillId="0" fontId="4" numFmtId="0" xfId="0" applyAlignment="1" applyBorder="1" applyFont="1">
      <alignment horizontal="center" readingOrder="0" vertical="bottom"/>
    </xf>
    <xf borderId="14" fillId="0" fontId="10" numFmtId="0" xfId="0" applyAlignment="1" applyBorder="1" applyFont="1">
      <alignment horizontal="center" readingOrder="0" vertical="bottom"/>
    </xf>
    <xf borderId="16" fillId="0" fontId="4" numFmtId="0" xfId="0" applyAlignment="1" applyBorder="1" applyFont="1">
      <alignment horizontal="left" shrinkToFit="0" vertical="bottom" wrapText="1"/>
    </xf>
    <xf borderId="14" fillId="3" fontId="26" numFmtId="0" xfId="0" applyAlignment="1" applyBorder="1" applyFont="1">
      <alignment horizontal="center" readingOrder="0" vertical="bottom"/>
    </xf>
    <xf borderId="14" fillId="3" fontId="6" numFmtId="0" xfId="0" applyAlignment="1" applyBorder="1" applyFont="1">
      <alignment horizontal="left" vertical="bottom"/>
    </xf>
    <xf borderId="14" fillId="3" fontId="13" numFmtId="0" xfId="0" applyAlignment="1" applyBorder="1" applyFont="1">
      <alignment horizontal="center" readingOrder="0" vertical="bottom"/>
    </xf>
    <xf borderId="14" fillId="3" fontId="7" numFmtId="0" xfId="0" applyAlignment="1" applyBorder="1" applyFont="1">
      <alignment horizontal="center"/>
    </xf>
    <xf borderId="14" fillId="3" fontId="6" numFmtId="0" xfId="0" applyAlignment="1" applyBorder="1" applyFont="1">
      <alignment horizontal="center"/>
    </xf>
    <xf borderId="14" fillId="3" fontId="6" numFmtId="0" xfId="0" applyAlignment="1" applyBorder="1" applyFont="1">
      <alignment readingOrder="0" vertical="bottom"/>
    </xf>
    <xf borderId="14" fillId="0" fontId="6" numFmtId="3" xfId="0" applyAlignment="1" applyBorder="1" applyFont="1" applyNumberFormat="1">
      <alignment horizontal="center" readingOrder="0" vertical="bottom"/>
    </xf>
    <xf borderId="14" fillId="3" fontId="6" numFmtId="0" xfId="0" applyAlignment="1" applyBorder="1" applyFont="1">
      <alignment horizontal="center" vertical="bottom"/>
    </xf>
    <xf borderId="14" fillId="0" fontId="13" numFmtId="0" xfId="0" applyAlignment="1" applyBorder="1" applyFont="1">
      <alignment vertical="bottom"/>
    </xf>
    <xf borderId="14" fillId="0" fontId="19" numFmtId="0" xfId="0" applyAlignment="1" applyBorder="1" applyFont="1">
      <alignment horizontal="center" readingOrder="0"/>
    </xf>
    <xf borderId="0" fillId="3" fontId="7" numFmtId="0" xfId="0" applyAlignment="1" applyFont="1">
      <alignment vertical="bottom"/>
    </xf>
    <xf borderId="14" fillId="0" fontId="4" numFmtId="0" xfId="0" applyAlignment="1" applyBorder="1" applyFont="1">
      <alignment horizontal="left" shrinkToFit="0" vertical="bottom" wrapText="0"/>
    </xf>
    <xf borderId="16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3" max="3" width="8.88"/>
    <col customWidth="1" min="4" max="4" width="17.13"/>
    <col customWidth="1" min="6" max="6" width="22.75"/>
    <col customWidth="1" min="7" max="7" width="23.88"/>
    <col customWidth="1" min="11" max="11" width="46.88"/>
    <col customWidth="1" min="14" max="14" width="6.75"/>
    <col customWidth="1" min="15" max="15" width="7.5"/>
    <col customWidth="1" min="16" max="16" width="9.75"/>
    <col customWidth="1" min="17" max="17" width="15.38"/>
    <col customWidth="1" min="19" max="19" width="9.5"/>
    <col customWidth="1" min="20" max="20" width="9.25"/>
    <col customWidth="1" min="21" max="21" width="9.75"/>
    <col customWidth="1" min="22" max="22" width="14.5"/>
    <col customWidth="1" min="23" max="23" width="12.5"/>
  </cols>
  <sheetData>
    <row r="1">
      <c r="A1" s="1" t="s">
        <v>0</v>
      </c>
      <c r="B1" s="3" t="s">
        <v>2</v>
      </c>
      <c r="C1" s="3" t="s">
        <v>3</v>
      </c>
      <c r="D1" s="5" t="s">
        <v>4</v>
      </c>
      <c r="E1" s="3" t="s">
        <v>5</v>
      </c>
      <c r="F1" s="8" t="s">
        <v>6</v>
      </c>
      <c r="G1" s="8" t="s">
        <v>7</v>
      </c>
      <c r="H1" s="3" t="s">
        <v>8</v>
      </c>
      <c r="I1" s="3" t="s">
        <v>9</v>
      </c>
      <c r="J1" s="3" t="s">
        <v>11</v>
      </c>
      <c r="K1" s="8" t="s">
        <v>13</v>
      </c>
      <c r="L1" s="8" t="s">
        <v>14</v>
      </c>
      <c r="M1" s="3" t="s">
        <v>15</v>
      </c>
      <c r="N1" s="8" t="s">
        <v>16</v>
      </c>
      <c r="O1" s="8" t="s">
        <v>17</v>
      </c>
      <c r="P1" s="3" t="s">
        <v>18</v>
      </c>
      <c r="Q1" s="8" t="s">
        <v>19</v>
      </c>
      <c r="R1" s="3" t="s">
        <v>20</v>
      </c>
      <c r="S1" s="19"/>
      <c r="T1" s="19"/>
      <c r="U1" s="22" t="s">
        <v>22</v>
      </c>
      <c r="V1" s="24" t="s">
        <v>23</v>
      </c>
      <c r="W1" s="3" t="s">
        <v>24</v>
      </c>
      <c r="X1" s="8" t="s">
        <v>25</v>
      </c>
      <c r="Y1" s="3" t="s">
        <v>26</v>
      </c>
      <c r="Z1" s="8" t="s">
        <v>27</v>
      </c>
      <c r="AA1" s="29" t="s">
        <v>28</v>
      </c>
      <c r="AB1" s="31" t="s">
        <v>29</v>
      </c>
      <c r="AC1" s="29" t="s">
        <v>31</v>
      </c>
      <c r="AD1" s="33" t="s">
        <v>32</v>
      </c>
      <c r="AE1" s="34" t="s">
        <v>33</v>
      </c>
      <c r="AF1" s="36" t="s">
        <v>34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</row>
    <row r="2">
      <c r="A2" s="50">
        <v>1.0</v>
      </c>
      <c r="B2" s="44" t="s">
        <v>41</v>
      </c>
      <c r="C2" s="43" t="s">
        <v>43</v>
      </c>
      <c r="D2" s="45" t="s">
        <v>45</v>
      </c>
      <c r="E2" s="45"/>
      <c r="F2" s="50">
        <v>5.200030082E9</v>
      </c>
      <c r="G2" s="50" t="s">
        <v>52</v>
      </c>
      <c r="H2" s="50">
        <v>592250.0</v>
      </c>
      <c r="I2" s="45"/>
      <c r="J2" s="45"/>
      <c r="K2" s="51" t="s">
        <v>48</v>
      </c>
      <c r="L2" s="50" t="s">
        <v>49</v>
      </c>
      <c r="M2" s="48">
        <v>600000.0</v>
      </c>
      <c r="N2" s="50">
        <v>75.0</v>
      </c>
      <c r="O2" s="48">
        <v>4.0</v>
      </c>
      <c r="P2" s="48">
        <v>190.0</v>
      </c>
      <c r="Q2" s="50" t="s">
        <v>50</v>
      </c>
      <c r="R2" s="50" t="s">
        <v>51</v>
      </c>
      <c r="S2" s="52">
        <f t="shared" ref="S2:S29" si="1">N2/8</f>
        <v>9.375</v>
      </c>
      <c r="T2" s="52">
        <f t="shared" ref="T2:T29" si="2">39.3*O2</f>
        <v>157.2</v>
      </c>
      <c r="U2" s="55">
        <f t="shared" ref="U2:U29" si="3">T2/S2</f>
        <v>16.768</v>
      </c>
      <c r="V2" s="58">
        <f t="shared" ref="V2:V29" si="4">M2/U2</f>
        <v>35782.44275</v>
      </c>
      <c r="W2" s="45"/>
      <c r="X2" s="45"/>
      <c r="Y2" s="45"/>
      <c r="Z2" s="45"/>
      <c r="AA2" s="45"/>
      <c r="AB2" s="45"/>
      <c r="AC2" s="45"/>
      <c r="AD2" s="45"/>
      <c r="AE2" s="45"/>
      <c r="AF2" s="4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</row>
    <row r="3">
      <c r="A3" s="48">
        <v>2.0</v>
      </c>
      <c r="B3" s="57">
        <v>46270.0</v>
      </c>
      <c r="C3" s="48" t="s">
        <v>68</v>
      </c>
      <c r="D3" s="45" t="s">
        <v>69</v>
      </c>
      <c r="E3" s="45"/>
      <c r="F3" s="73"/>
      <c r="G3" s="45"/>
      <c r="H3" s="45"/>
      <c r="I3" s="45"/>
      <c r="J3" s="45"/>
      <c r="K3" s="45" t="s">
        <v>72</v>
      </c>
      <c r="L3" s="45"/>
      <c r="M3" s="50">
        <v>10000.0</v>
      </c>
      <c r="N3" s="50">
        <v>75.0</v>
      </c>
      <c r="O3" s="50">
        <v>2.0</v>
      </c>
      <c r="P3" s="50">
        <v>195.0</v>
      </c>
      <c r="Q3" s="50" t="s">
        <v>73</v>
      </c>
      <c r="R3" s="50" t="s">
        <v>74</v>
      </c>
      <c r="S3" s="50">
        <f t="shared" si="1"/>
        <v>9.375</v>
      </c>
      <c r="T3" s="50">
        <f t="shared" si="2"/>
        <v>78.6</v>
      </c>
      <c r="U3" s="69">
        <f t="shared" si="3"/>
        <v>8.384</v>
      </c>
      <c r="V3" s="70">
        <f t="shared" si="4"/>
        <v>1192.748092</v>
      </c>
      <c r="W3" s="45"/>
      <c r="X3" s="45"/>
      <c r="Y3" s="45"/>
      <c r="Z3" s="45"/>
      <c r="AA3" s="45"/>
      <c r="AB3" s="45"/>
      <c r="AC3" s="45"/>
      <c r="AD3" s="45"/>
      <c r="AE3" s="45"/>
      <c r="AF3" s="4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</row>
    <row r="4">
      <c r="A4" s="50">
        <v>3.0</v>
      </c>
      <c r="B4" s="50" t="s">
        <v>84</v>
      </c>
      <c r="C4" s="48" t="s">
        <v>85</v>
      </c>
      <c r="D4" s="45" t="s">
        <v>69</v>
      </c>
      <c r="E4" s="45"/>
      <c r="F4" s="73"/>
      <c r="G4" s="45"/>
      <c r="H4" s="45"/>
      <c r="I4" s="45"/>
      <c r="J4" s="45"/>
      <c r="K4" s="45" t="s">
        <v>87</v>
      </c>
      <c r="L4" s="45"/>
      <c r="M4" s="50">
        <v>10000.0</v>
      </c>
      <c r="N4" s="50">
        <v>81.0</v>
      </c>
      <c r="O4" s="50">
        <v>2.0</v>
      </c>
      <c r="P4" s="50">
        <v>210.0</v>
      </c>
      <c r="Q4" s="50" t="s">
        <v>73</v>
      </c>
      <c r="R4" s="50" t="s">
        <v>91</v>
      </c>
      <c r="S4" s="50">
        <f t="shared" si="1"/>
        <v>10.125</v>
      </c>
      <c r="T4" s="50">
        <f t="shared" si="2"/>
        <v>78.6</v>
      </c>
      <c r="U4" s="69">
        <f t="shared" si="3"/>
        <v>7.762962963</v>
      </c>
      <c r="V4" s="70">
        <f t="shared" si="4"/>
        <v>1288.167939</v>
      </c>
      <c r="W4" s="45"/>
      <c r="X4" s="45"/>
      <c r="Y4" s="45"/>
      <c r="Z4" s="45"/>
      <c r="AA4" s="45"/>
      <c r="AB4" s="45"/>
      <c r="AC4" s="45"/>
      <c r="AD4" s="45"/>
      <c r="AE4" s="45"/>
      <c r="AF4" s="4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</row>
    <row r="5">
      <c r="A5" s="48">
        <v>4.0</v>
      </c>
      <c r="B5" s="50" t="s">
        <v>84</v>
      </c>
      <c r="C5" s="48" t="s">
        <v>99</v>
      </c>
      <c r="D5" s="45" t="s">
        <v>69</v>
      </c>
      <c r="E5" s="45"/>
      <c r="F5" s="73"/>
      <c r="G5" s="45"/>
      <c r="H5" s="45"/>
      <c r="I5" s="45"/>
      <c r="J5" s="45"/>
      <c r="K5" s="45" t="s">
        <v>100</v>
      </c>
      <c r="L5" s="45"/>
      <c r="M5" s="50">
        <v>10000.0</v>
      </c>
      <c r="N5" s="50">
        <v>81.0</v>
      </c>
      <c r="O5" s="50">
        <v>2.0</v>
      </c>
      <c r="P5" s="50">
        <v>210.0</v>
      </c>
      <c r="Q5" s="66" t="s">
        <v>73</v>
      </c>
      <c r="R5" s="50" t="s">
        <v>91</v>
      </c>
      <c r="S5" s="50">
        <f t="shared" si="1"/>
        <v>10.125</v>
      </c>
      <c r="T5" s="50">
        <f t="shared" si="2"/>
        <v>78.6</v>
      </c>
      <c r="U5" s="69">
        <f t="shared" si="3"/>
        <v>7.762962963</v>
      </c>
      <c r="V5" s="70">
        <f t="shared" si="4"/>
        <v>1288.167939</v>
      </c>
      <c r="W5" s="45"/>
      <c r="X5" s="45"/>
      <c r="Y5" s="45"/>
      <c r="Z5" s="45"/>
      <c r="AA5" s="45"/>
      <c r="AB5" s="45"/>
      <c r="AC5" s="45"/>
      <c r="AD5" s="45"/>
      <c r="AE5" s="45"/>
      <c r="AF5" s="4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</row>
    <row r="6">
      <c r="A6" s="50">
        <v>5.0</v>
      </c>
      <c r="B6" s="50" t="s">
        <v>84</v>
      </c>
      <c r="C6" s="48" t="s">
        <v>117</v>
      </c>
      <c r="D6" s="45" t="s">
        <v>69</v>
      </c>
      <c r="E6" s="45"/>
      <c r="F6" s="73"/>
      <c r="G6" s="45"/>
      <c r="H6" s="45"/>
      <c r="I6" s="45"/>
      <c r="J6" s="45"/>
      <c r="K6" s="45" t="s">
        <v>119</v>
      </c>
      <c r="L6" s="45"/>
      <c r="M6" s="50">
        <v>10000.0</v>
      </c>
      <c r="N6" s="50">
        <v>75.0</v>
      </c>
      <c r="O6" s="50">
        <v>2.0</v>
      </c>
      <c r="P6" s="50">
        <v>195.0</v>
      </c>
      <c r="Q6" s="66" t="s">
        <v>73</v>
      </c>
      <c r="R6" s="50" t="s">
        <v>74</v>
      </c>
      <c r="S6" s="50">
        <f t="shared" si="1"/>
        <v>9.375</v>
      </c>
      <c r="T6" s="50">
        <f t="shared" si="2"/>
        <v>78.6</v>
      </c>
      <c r="U6" s="69">
        <f t="shared" si="3"/>
        <v>8.384</v>
      </c>
      <c r="V6" s="70">
        <f t="shared" si="4"/>
        <v>1192.748092</v>
      </c>
      <c r="W6" s="45"/>
      <c r="X6" s="45"/>
      <c r="Y6" s="45"/>
      <c r="Z6" s="45"/>
      <c r="AA6" s="45"/>
      <c r="AB6" s="45"/>
      <c r="AC6" s="45"/>
      <c r="AD6" s="45"/>
      <c r="AE6" s="45"/>
      <c r="AF6" s="4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</row>
    <row r="7">
      <c r="A7" s="48">
        <v>6.0</v>
      </c>
      <c r="B7" s="48" t="s">
        <v>132</v>
      </c>
      <c r="C7" s="48"/>
      <c r="D7" s="45" t="s">
        <v>69</v>
      </c>
      <c r="E7" s="45"/>
      <c r="F7" s="73"/>
      <c r="G7" s="45"/>
      <c r="H7" s="45"/>
      <c r="I7" s="45"/>
      <c r="J7" s="45"/>
      <c r="K7" s="56" t="s">
        <v>136</v>
      </c>
      <c r="L7" s="45"/>
      <c r="M7" s="50">
        <v>10000.0</v>
      </c>
      <c r="N7" s="50">
        <v>75.0</v>
      </c>
      <c r="O7" s="50">
        <v>2.0</v>
      </c>
      <c r="P7" s="50">
        <v>195.0</v>
      </c>
      <c r="Q7" s="50" t="s">
        <v>73</v>
      </c>
      <c r="R7" s="50" t="s">
        <v>74</v>
      </c>
      <c r="S7" s="50">
        <f t="shared" si="1"/>
        <v>9.375</v>
      </c>
      <c r="T7" s="50">
        <f t="shared" si="2"/>
        <v>78.6</v>
      </c>
      <c r="U7" s="69">
        <f t="shared" si="3"/>
        <v>8.384</v>
      </c>
      <c r="V7" s="70">
        <f t="shared" si="4"/>
        <v>1192.748092</v>
      </c>
      <c r="W7" s="45"/>
      <c r="X7" s="45"/>
      <c r="Y7" s="45"/>
      <c r="Z7" s="45"/>
      <c r="AA7" s="45"/>
      <c r="AB7" s="45"/>
      <c r="AC7" s="45"/>
      <c r="AD7" s="45"/>
      <c r="AE7" s="45"/>
      <c r="AF7" s="4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</row>
    <row r="8">
      <c r="A8" s="50">
        <v>7.0</v>
      </c>
      <c r="B8" s="48" t="s">
        <v>132</v>
      </c>
      <c r="C8" s="48"/>
      <c r="D8" s="45" t="s">
        <v>69</v>
      </c>
      <c r="E8" s="45"/>
      <c r="F8" s="73"/>
      <c r="G8" s="45"/>
      <c r="H8" s="45"/>
      <c r="I8" s="45"/>
      <c r="J8" s="45"/>
      <c r="K8" s="56" t="s">
        <v>151</v>
      </c>
      <c r="L8" s="45"/>
      <c r="M8" s="50">
        <v>10000.0</v>
      </c>
      <c r="N8" s="50">
        <v>75.0</v>
      </c>
      <c r="O8" s="50">
        <v>2.0</v>
      </c>
      <c r="P8" s="50">
        <v>195.0</v>
      </c>
      <c r="Q8" s="50" t="s">
        <v>73</v>
      </c>
      <c r="R8" s="50" t="s">
        <v>74</v>
      </c>
      <c r="S8" s="50">
        <f t="shared" si="1"/>
        <v>9.375</v>
      </c>
      <c r="T8" s="50">
        <f t="shared" si="2"/>
        <v>78.6</v>
      </c>
      <c r="U8" s="69">
        <f t="shared" si="3"/>
        <v>8.384</v>
      </c>
      <c r="V8" s="70">
        <f t="shared" si="4"/>
        <v>1192.748092</v>
      </c>
      <c r="W8" s="45"/>
      <c r="X8" s="45"/>
      <c r="Y8" s="45"/>
      <c r="Z8" s="45"/>
      <c r="AA8" s="45"/>
      <c r="AB8" s="45"/>
      <c r="AC8" s="45"/>
      <c r="AD8" s="45"/>
      <c r="AE8" s="45"/>
      <c r="AF8" s="4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</row>
    <row r="9">
      <c r="A9" s="48">
        <v>8.0</v>
      </c>
      <c r="B9" s="115">
        <v>46029.0</v>
      </c>
      <c r="C9" s="48"/>
      <c r="D9" s="45" t="s">
        <v>69</v>
      </c>
      <c r="E9" s="45"/>
      <c r="F9" s="73"/>
      <c r="G9" s="45"/>
      <c r="H9" s="45"/>
      <c r="I9" s="45"/>
      <c r="J9" s="45"/>
      <c r="K9" s="56" t="s">
        <v>164</v>
      </c>
      <c r="L9" s="45"/>
      <c r="M9" s="50"/>
      <c r="N9" s="50">
        <v>75.0</v>
      </c>
      <c r="O9" s="50">
        <v>2.0</v>
      </c>
      <c r="P9" s="50">
        <v>195.0</v>
      </c>
      <c r="Q9" s="50" t="s">
        <v>73</v>
      </c>
      <c r="R9" s="50" t="s">
        <v>74</v>
      </c>
      <c r="S9" s="50">
        <f t="shared" si="1"/>
        <v>9.375</v>
      </c>
      <c r="T9" s="50">
        <f t="shared" si="2"/>
        <v>78.6</v>
      </c>
      <c r="U9" s="69">
        <f t="shared" si="3"/>
        <v>8.384</v>
      </c>
      <c r="V9" s="70">
        <f t="shared" si="4"/>
        <v>0</v>
      </c>
      <c r="W9" s="71"/>
      <c r="X9" s="71"/>
      <c r="Y9" s="71"/>
      <c r="Z9" s="71"/>
      <c r="AA9" s="71"/>
      <c r="AB9" s="71"/>
      <c r="AC9" s="71"/>
      <c r="AD9" s="71"/>
      <c r="AE9" s="71"/>
      <c r="AF9" s="71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</row>
    <row r="10">
      <c r="A10" s="50">
        <v>9.0</v>
      </c>
      <c r="B10" s="115">
        <v>46029.0</v>
      </c>
      <c r="C10" s="48"/>
      <c r="D10" s="45" t="s">
        <v>69</v>
      </c>
      <c r="E10" s="45"/>
      <c r="F10" s="73"/>
      <c r="G10" s="45"/>
      <c r="H10" s="45"/>
      <c r="I10" s="45"/>
      <c r="J10" s="45"/>
      <c r="K10" s="56" t="s">
        <v>183</v>
      </c>
      <c r="L10" s="45"/>
      <c r="M10" s="50"/>
      <c r="N10" s="50">
        <v>75.0</v>
      </c>
      <c r="O10" s="50">
        <v>2.0</v>
      </c>
      <c r="P10" s="50">
        <v>195.0</v>
      </c>
      <c r="Q10" s="50" t="s">
        <v>73</v>
      </c>
      <c r="R10" s="50" t="s">
        <v>74</v>
      </c>
      <c r="S10" s="50">
        <f t="shared" si="1"/>
        <v>9.375</v>
      </c>
      <c r="T10" s="50">
        <f t="shared" si="2"/>
        <v>78.6</v>
      </c>
      <c r="U10" s="69">
        <f t="shared" si="3"/>
        <v>8.384</v>
      </c>
      <c r="V10" s="70">
        <f t="shared" si="4"/>
        <v>0</v>
      </c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</row>
    <row r="11">
      <c r="A11" s="48">
        <v>10.0</v>
      </c>
      <c r="B11" s="48" t="s">
        <v>187</v>
      </c>
      <c r="C11" s="48"/>
      <c r="D11" s="45" t="s">
        <v>69</v>
      </c>
      <c r="E11" s="45"/>
      <c r="F11" s="73"/>
      <c r="G11" s="45"/>
      <c r="H11" s="45"/>
      <c r="I11" s="45"/>
      <c r="J11" s="45"/>
      <c r="K11" s="56" t="s">
        <v>192</v>
      </c>
      <c r="L11" s="45"/>
      <c r="M11" s="50">
        <v>10000.0</v>
      </c>
      <c r="N11" s="50">
        <v>75.0</v>
      </c>
      <c r="O11" s="50">
        <v>2.0</v>
      </c>
      <c r="P11" s="50">
        <v>195.0</v>
      </c>
      <c r="Q11" s="50" t="s">
        <v>73</v>
      </c>
      <c r="R11" s="50" t="s">
        <v>74</v>
      </c>
      <c r="S11" s="50">
        <f t="shared" si="1"/>
        <v>9.375</v>
      </c>
      <c r="T11" s="50">
        <f t="shared" si="2"/>
        <v>78.6</v>
      </c>
      <c r="U11" s="69">
        <f t="shared" si="3"/>
        <v>8.384</v>
      </c>
      <c r="V11" s="70">
        <f t="shared" si="4"/>
        <v>1192.748092</v>
      </c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</row>
    <row r="12">
      <c r="A12" s="50">
        <v>11.0</v>
      </c>
      <c r="B12" s="48" t="s">
        <v>132</v>
      </c>
      <c r="C12" s="48"/>
      <c r="D12" s="45" t="s">
        <v>69</v>
      </c>
      <c r="E12" s="45"/>
      <c r="F12" s="73"/>
      <c r="G12" s="45"/>
      <c r="H12" s="45"/>
      <c r="I12" s="45"/>
      <c r="J12" s="45"/>
      <c r="K12" s="56" t="s">
        <v>203</v>
      </c>
      <c r="L12" s="45"/>
      <c r="M12" s="50">
        <v>10000.0</v>
      </c>
      <c r="N12" s="50">
        <v>81.0</v>
      </c>
      <c r="O12" s="50">
        <v>2.0</v>
      </c>
      <c r="P12" s="50">
        <v>210.0</v>
      </c>
      <c r="Q12" s="50" t="s">
        <v>73</v>
      </c>
      <c r="R12" s="50" t="s">
        <v>91</v>
      </c>
      <c r="S12" s="50">
        <f t="shared" si="1"/>
        <v>10.125</v>
      </c>
      <c r="T12" s="50">
        <f t="shared" si="2"/>
        <v>78.6</v>
      </c>
      <c r="U12" s="69">
        <f t="shared" si="3"/>
        <v>7.762962963</v>
      </c>
      <c r="V12" s="70">
        <f t="shared" si="4"/>
        <v>1288.167939</v>
      </c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</row>
    <row r="13">
      <c r="A13" s="48">
        <v>12.0</v>
      </c>
      <c r="B13" s="43" t="s">
        <v>216</v>
      </c>
      <c r="C13" s="66"/>
      <c r="D13" s="45" t="s">
        <v>217</v>
      </c>
      <c r="E13" s="45"/>
      <c r="F13" s="50"/>
      <c r="G13" s="50"/>
      <c r="H13" s="50"/>
      <c r="I13" s="45"/>
      <c r="J13" s="45"/>
      <c r="K13" s="56" t="s">
        <v>218</v>
      </c>
      <c r="L13" s="45"/>
      <c r="M13" s="48">
        <v>500000.0</v>
      </c>
      <c r="N13" s="50">
        <v>66.0</v>
      </c>
      <c r="O13" s="50">
        <v>9.0</v>
      </c>
      <c r="P13" s="48">
        <v>145.0</v>
      </c>
      <c r="Q13" s="50" t="s">
        <v>50</v>
      </c>
      <c r="R13" s="100" t="s">
        <v>219</v>
      </c>
      <c r="S13" s="50">
        <f t="shared" si="1"/>
        <v>8.25</v>
      </c>
      <c r="T13" s="50">
        <f t="shared" si="2"/>
        <v>353.7</v>
      </c>
      <c r="U13" s="69">
        <f t="shared" si="3"/>
        <v>42.87272727</v>
      </c>
      <c r="V13" s="70">
        <f t="shared" si="4"/>
        <v>11662.42578</v>
      </c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</row>
    <row r="14">
      <c r="A14" s="50">
        <v>13.0</v>
      </c>
      <c r="B14" s="43" t="s">
        <v>216</v>
      </c>
      <c r="C14" s="66"/>
      <c r="D14" s="45" t="s">
        <v>67</v>
      </c>
      <c r="E14" s="45"/>
      <c r="F14" s="48">
        <v>5.400093969E9</v>
      </c>
      <c r="G14" s="48" t="s">
        <v>226</v>
      </c>
      <c r="H14" s="48">
        <v>100000.0</v>
      </c>
      <c r="I14" s="45"/>
      <c r="J14" s="48">
        <v>208271.0</v>
      </c>
      <c r="K14" s="45" t="s">
        <v>70</v>
      </c>
      <c r="L14" s="48" t="s">
        <v>227</v>
      </c>
      <c r="M14" s="48">
        <v>100000.0</v>
      </c>
      <c r="N14" s="50">
        <v>79.0</v>
      </c>
      <c r="O14" s="50">
        <v>3.0</v>
      </c>
      <c r="P14" s="50">
        <v>100.0</v>
      </c>
      <c r="Q14" s="50" t="s">
        <v>50</v>
      </c>
      <c r="R14" s="50" t="s">
        <v>71</v>
      </c>
      <c r="S14" s="50">
        <f t="shared" si="1"/>
        <v>9.875</v>
      </c>
      <c r="T14" s="50">
        <f t="shared" si="2"/>
        <v>117.9</v>
      </c>
      <c r="U14" s="69">
        <f t="shared" si="3"/>
        <v>11.93924051</v>
      </c>
      <c r="V14" s="70">
        <f t="shared" si="4"/>
        <v>8375.742154</v>
      </c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</row>
    <row r="15">
      <c r="A15" s="48">
        <v>14.0</v>
      </c>
      <c r="B15" s="43" t="s">
        <v>216</v>
      </c>
      <c r="C15" s="66"/>
      <c r="D15" s="45" t="s">
        <v>67</v>
      </c>
      <c r="E15" s="45"/>
      <c r="F15" s="48">
        <v>5.40009397E9</v>
      </c>
      <c r="G15" s="48" t="s">
        <v>226</v>
      </c>
      <c r="H15" s="48">
        <v>100000.0</v>
      </c>
      <c r="I15" s="45"/>
      <c r="J15" s="48">
        <v>208271.0</v>
      </c>
      <c r="K15" s="45" t="s">
        <v>70</v>
      </c>
      <c r="L15" s="48" t="s">
        <v>234</v>
      </c>
      <c r="M15" s="48">
        <v>100000.0</v>
      </c>
      <c r="N15" s="50">
        <v>79.0</v>
      </c>
      <c r="O15" s="50">
        <v>3.0</v>
      </c>
      <c r="P15" s="50">
        <v>100.0</v>
      </c>
      <c r="Q15" s="50" t="s">
        <v>50</v>
      </c>
      <c r="R15" s="50" t="s">
        <v>71</v>
      </c>
      <c r="S15" s="50">
        <f t="shared" si="1"/>
        <v>9.875</v>
      </c>
      <c r="T15" s="50">
        <f t="shared" si="2"/>
        <v>117.9</v>
      </c>
      <c r="U15" s="69">
        <f t="shared" si="3"/>
        <v>11.93924051</v>
      </c>
      <c r="V15" s="70">
        <f t="shared" si="4"/>
        <v>8375.742154</v>
      </c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</row>
    <row r="16">
      <c r="A16" s="50">
        <v>15.0</v>
      </c>
      <c r="B16" s="48" t="s">
        <v>237</v>
      </c>
      <c r="C16" s="43" t="s">
        <v>239</v>
      </c>
      <c r="D16" s="96" t="s">
        <v>78</v>
      </c>
      <c r="E16" s="51"/>
      <c r="F16" s="51"/>
      <c r="G16" s="51"/>
      <c r="H16" s="51"/>
      <c r="I16" s="111" t="s">
        <v>148</v>
      </c>
      <c r="J16" s="85"/>
      <c r="K16" s="56" t="s">
        <v>242</v>
      </c>
      <c r="L16" s="45"/>
      <c r="M16" s="48">
        <v>28710.0</v>
      </c>
      <c r="N16" s="48">
        <v>92.0</v>
      </c>
      <c r="O16" s="48">
        <v>3.0</v>
      </c>
      <c r="P16" s="48">
        <v>200.0</v>
      </c>
      <c r="Q16" s="48" t="s">
        <v>243</v>
      </c>
      <c r="R16" s="48" t="s">
        <v>244</v>
      </c>
      <c r="S16" s="50">
        <f t="shared" si="1"/>
        <v>11.5</v>
      </c>
      <c r="T16" s="50">
        <f t="shared" si="2"/>
        <v>117.9</v>
      </c>
      <c r="U16" s="69">
        <f t="shared" si="3"/>
        <v>10.25217391</v>
      </c>
      <c r="V16" s="70">
        <f t="shared" si="4"/>
        <v>2800.381679</v>
      </c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</row>
    <row r="17">
      <c r="A17" s="48">
        <v>16.0</v>
      </c>
      <c r="B17" s="43" t="s">
        <v>255</v>
      </c>
      <c r="C17" s="71"/>
      <c r="D17" s="105" t="s">
        <v>67</v>
      </c>
      <c r="E17" s="71"/>
      <c r="F17" s="139">
        <v>5.400094026E9</v>
      </c>
      <c r="G17" s="53" t="s">
        <v>256</v>
      </c>
      <c r="H17" s="53">
        <v>10000.0</v>
      </c>
      <c r="I17" s="71"/>
      <c r="J17" s="140">
        <v>204446.0</v>
      </c>
      <c r="K17" s="141" t="s">
        <v>257</v>
      </c>
      <c r="L17" s="140" t="s">
        <v>258</v>
      </c>
      <c r="M17" s="142">
        <v>10000.0</v>
      </c>
      <c r="N17" s="100">
        <v>92.0</v>
      </c>
      <c r="O17" s="100">
        <v>8.0</v>
      </c>
      <c r="P17" s="100">
        <v>150.0</v>
      </c>
      <c r="Q17" s="52" t="s">
        <v>213</v>
      </c>
      <c r="R17" s="100" t="s">
        <v>259</v>
      </c>
      <c r="S17" s="126">
        <f t="shared" si="1"/>
        <v>11.5</v>
      </c>
      <c r="T17" s="126">
        <f t="shared" si="2"/>
        <v>314.4</v>
      </c>
      <c r="U17" s="127">
        <f t="shared" si="3"/>
        <v>27.33913043</v>
      </c>
      <c r="V17" s="128">
        <f t="shared" si="4"/>
        <v>365.7760814</v>
      </c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</row>
    <row r="18">
      <c r="A18" s="50">
        <v>17.0</v>
      </c>
      <c r="B18" s="43" t="s">
        <v>255</v>
      </c>
      <c r="C18" s="71"/>
      <c r="D18" s="105" t="s">
        <v>67</v>
      </c>
      <c r="E18" s="71"/>
      <c r="F18" s="53">
        <v>5.400093774E9</v>
      </c>
      <c r="G18" s="53" t="s">
        <v>269</v>
      </c>
      <c r="H18" s="53">
        <v>120000.0</v>
      </c>
      <c r="I18" s="71"/>
      <c r="J18" s="140">
        <v>205940.0</v>
      </c>
      <c r="K18" s="141" t="s">
        <v>270</v>
      </c>
      <c r="L18" s="140" t="s">
        <v>258</v>
      </c>
      <c r="M18" s="142">
        <v>75000.0</v>
      </c>
      <c r="N18" s="100">
        <v>94.0</v>
      </c>
      <c r="O18" s="100">
        <v>2.0</v>
      </c>
      <c r="P18" s="100">
        <v>290.0</v>
      </c>
      <c r="Q18" s="50" t="s">
        <v>213</v>
      </c>
      <c r="R18" s="100" t="s">
        <v>214</v>
      </c>
      <c r="S18" s="126">
        <f t="shared" si="1"/>
        <v>11.75</v>
      </c>
      <c r="T18" s="126">
        <f t="shared" si="2"/>
        <v>78.6</v>
      </c>
      <c r="U18" s="127">
        <f t="shared" si="3"/>
        <v>6.689361702</v>
      </c>
      <c r="V18" s="128">
        <f t="shared" si="4"/>
        <v>11211.83206</v>
      </c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</row>
    <row r="19">
      <c r="A19" s="48">
        <v>18.0</v>
      </c>
      <c r="B19" s="43" t="s">
        <v>255</v>
      </c>
      <c r="C19" s="71"/>
      <c r="D19" s="105" t="s">
        <v>67</v>
      </c>
      <c r="E19" s="71"/>
      <c r="F19" s="53" t="s">
        <v>279</v>
      </c>
      <c r="G19" s="53" t="s">
        <v>281</v>
      </c>
      <c r="H19" s="139" t="s">
        <v>283</v>
      </c>
      <c r="I19" s="71"/>
      <c r="J19" s="140">
        <v>206557.0</v>
      </c>
      <c r="K19" s="141" t="s">
        <v>81</v>
      </c>
      <c r="L19" s="140" t="s">
        <v>258</v>
      </c>
      <c r="M19" s="142">
        <v>10000.0</v>
      </c>
      <c r="N19" s="50">
        <v>75.0</v>
      </c>
      <c r="O19" s="50">
        <v>3.0</v>
      </c>
      <c r="P19" s="50">
        <v>330.0</v>
      </c>
      <c r="Q19" s="50" t="s">
        <v>213</v>
      </c>
      <c r="R19" s="50" t="s">
        <v>241</v>
      </c>
      <c r="S19" s="126">
        <f t="shared" si="1"/>
        <v>9.375</v>
      </c>
      <c r="T19" s="126">
        <f t="shared" si="2"/>
        <v>117.9</v>
      </c>
      <c r="U19" s="127">
        <f t="shared" si="3"/>
        <v>12.576</v>
      </c>
      <c r="V19" s="128">
        <f t="shared" si="4"/>
        <v>795.1653944</v>
      </c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</row>
    <row r="20">
      <c r="A20" s="50">
        <v>19.0</v>
      </c>
      <c r="B20" s="43" t="s">
        <v>255</v>
      </c>
      <c r="C20" s="71"/>
      <c r="D20" s="105" t="s">
        <v>67</v>
      </c>
      <c r="E20" s="71"/>
      <c r="F20" s="53" t="s">
        <v>290</v>
      </c>
      <c r="G20" s="53" t="s">
        <v>291</v>
      </c>
      <c r="H20" s="139" t="s">
        <v>294</v>
      </c>
      <c r="I20" s="71"/>
      <c r="J20" s="140">
        <v>206558.0</v>
      </c>
      <c r="K20" s="141" t="s">
        <v>295</v>
      </c>
      <c r="L20" s="140" t="s">
        <v>258</v>
      </c>
      <c r="M20" s="142">
        <v>10000.0</v>
      </c>
      <c r="N20" s="151">
        <v>94.0</v>
      </c>
      <c r="O20" s="151">
        <v>2.0</v>
      </c>
      <c r="P20" s="151">
        <v>290.0</v>
      </c>
      <c r="Q20" s="50" t="s">
        <v>213</v>
      </c>
      <c r="R20" s="151" t="s">
        <v>214</v>
      </c>
      <c r="S20" s="126">
        <f t="shared" si="1"/>
        <v>11.75</v>
      </c>
      <c r="T20" s="126">
        <f t="shared" si="2"/>
        <v>78.6</v>
      </c>
      <c r="U20" s="127">
        <f t="shared" si="3"/>
        <v>6.689361702</v>
      </c>
      <c r="V20" s="128">
        <f t="shared" si="4"/>
        <v>1494.910941</v>
      </c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</row>
    <row r="21">
      <c r="A21" s="48">
        <v>20.0</v>
      </c>
      <c r="B21" s="43" t="s">
        <v>255</v>
      </c>
      <c r="C21" s="71"/>
      <c r="D21" s="105" t="s">
        <v>67</v>
      </c>
      <c r="E21" s="71"/>
      <c r="F21" s="53">
        <v>5.400093774E9</v>
      </c>
      <c r="G21" s="53" t="s">
        <v>269</v>
      </c>
      <c r="H21" s="53">
        <v>60500.0</v>
      </c>
      <c r="I21" s="71"/>
      <c r="J21" s="140">
        <v>206779.0</v>
      </c>
      <c r="K21" s="141" t="s">
        <v>301</v>
      </c>
      <c r="L21" s="140" t="s">
        <v>258</v>
      </c>
      <c r="M21" s="142">
        <v>60000.0</v>
      </c>
      <c r="N21" s="66">
        <v>94.0</v>
      </c>
      <c r="O21" s="66">
        <v>4.0</v>
      </c>
      <c r="P21" s="66">
        <v>165.0</v>
      </c>
      <c r="Q21" s="50" t="s">
        <v>63</v>
      </c>
      <c r="R21" s="66" t="s">
        <v>305</v>
      </c>
      <c r="S21" s="126">
        <f t="shared" si="1"/>
        <v>11.75</v>
      </c>
      <c r="T21" s="126">
        <f t="shared" si="2"/>
        <v>157.2</v>
      </c>
      <c r="U21" s="127">
        <f t="shared" si="3"/>
        <v>13.3787234</v>
      </c>
      <c r="V21" s="128">
        <f t="shared" si="4"/>
        <v>4484.732824</v>
      </c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</row>
    <row r="22">
      <c r="A22" s="50">
        <v>21.0</v>
      </c>
      <c r="B22" s="43" t="s">
        <v>255</v>
      </c>
      <c r="C22" s="71"/>
      <c r="D22" s="105" t="s">
        <v>67</v>
      </c>
      <c r="E22" s="71"/>
      <c r="F22" s="152" t="s">
        <v>310</v>
      </c>
      <c r="G22" s="52"/>
      <c r="H22" s="52"/>
      <c r="I22" s="71"/>
      <c r="J22" s="140">
        <v>206792.0</v>
      </c>
      <c r="K22" s="141" t="s">
        <v>311</v>
      </c>
      <c r="L22" s="140" t="s">
        <v>258</v>
      </c>
      <c r="M22" s="142">
        <v>5000.0</v>
      </c>
      <c r="N22" s="50">
        <v>92.0</v>
      </c>
      <c r="O22" s="50">
        <v>1.0</v>
      </c>
      <c r="P22" s="50">
        <v>180.0</v>
      </c>
      <c r="Q22" s="50" t="s">
        <v>213</v>
      </c>
      <c r="R22" s="50" t="s">
        <v>312</v>
      </c>
      <c r="S22" s="126">
        <f t="shared" si="1"/>
        <v>11.5</v>
      </c>
      <c r="T22" s="126">
        <f t="shared" si="2"/>
        <v>39.3</v>
      </c>
      <c r="U22" s="127">
        <f t="shared" si="3"/>
        <v>3.417391304</v>
      </c>
      <c r="V22" s="128">
        <f t="shared" si="4"/>
        <v>1463.104326</v>
      </c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</row>
    <row r="23">
      <c r="A23" s="48">
        <v>22.0</v>
      </c>
      <c r="B23" s="43" t="s">
        <v>255</v>
      </c>
      <c r="C23" s="53" t="s">
        <v>316</v>
      </c>
      <c r="D23" s="105" t="s">
        <v>67</v>
      </c>
      <c r="E23" s="71"/>
      <c r="F23" s="139">
        <v>5.400094027E9</v>
      </c>
      <c r="G23" s="53" t="s">
        <v>256</v>
      </c>
      <c r="H23" s="53">
        <v>10000.0</v>
      </c>
      <c r="I23" s="71"/>
      <c r="J23" s="140">
        <v>207359.0</v>
      </c>
      <c r="K23" s="141" t="s">
        <v>318</v>
      </c>
      <c r="L23" s="140" t="s">
        <v>273</v>
      </c>
      <c r="M23" s="142">
        <v>10000.0</v>
      </c>
      <c r="N23" s="52">
        <v>92.0</v>
      </c>
      <c r="O23" s="52">
        <v>8.0</v>
      </c>
      <c r="P23" s="52">
        <v>150.0</v>
      </c>
      <c r="Q23" s="50" t="s">
        <v>213</v>
      </c>
      <c r="R23" s="151" t="s">
        <v>259</v>
      </c>
      <c r="S23" s="126">
        <f t="shared" si="1"/>
        <v>11.5</v>
      </c>
      <c r="T23" s="126">
        <f t="shared" si="2"/>
        <v>314.4</v>
      </c>
      <c r="U23" s="127">
        <f t="shared" si="3"/>
        <v>27.33913043</v>
      </c>
      <c r="V23" s="128">
        <f t="shared" si="4"/>
        <v>365.7760814</v>
      </c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</row>
    <row r="24">
      <c r="A24" s="50">
        <v>23.0</v>
      </c>
      <c r="B24" s="43" t="s">
        <v>255</v>
      </c>
      <c r="C24" s="71"/>
      <c r="D24" s="105" t="s">
        <v>67</v>
      </c>
      <c r="E24" s="71"/>
      <c r="F24" s="139">
        <v>5.400094026E9</v>
      </c>
      <c r="G24" s="53" t="s">
        <v>256</v>
      </c>
      <c r="H24" s="53">
        <v>5000.0</v>
      </c>
      <c r="I24" s="53"/>
      <c r="J24" s="140">
        <v>206559.0</v>
      </c>
      <c r="K24" s="141" t="s">
        <v>325</v>
      </c>
      <c r="L24" s="140" t="s">
        <v>258</v>
      </c>
      <c r="M24" s="142">
        <v>5000.0</v>
      </c>
      <c r="N24" s="100">
        <v>75.0</v>
      </c>
      <c r="O24" s="100">
        <v>1.0</v>
      </c>
      <c r="P24" s="154">
        <v>120.0</v>
      </c>
      <c r="Q24" s="100" t="s">
        <v>213</v>
      </c>
      <c r="R24" s="100" t="s">
        <v>241</v>
      </c>
      <c r="S24" s="126">
        <f t="shared" si="1"/>
        <v>9.375</v>
      </c>
      <c r="T24" s="126">
        <f t="shared" si="2"/>
        <v>39.3</v>
      </c>
      <c r="U24" s="127">
        <f t="shared" si="3"/>
        <v>4.192</v>
      </c>
      <c r="V24" s="128">
        <f t="shared" si="4"/>
        <v>1192.748092</v>
      </c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</row>
    <row r="25">
      <c r="A25" s="48">
        <v>24.0</v>
      </c>
      <c r="B25" s="43" t="s">
        <v>131</v>
      </c>
      <c r="C25" s="71"/>
      <c r="D25" s="56" t="s">
        <v>67</v>
      </c>
      <c r="E25" s="71"/>
      <c r="F25" s="53">
        <v>5.400093973E9</v>
      </c>
      <c r="G25" s="53" t="s">
        <v>226</v>
      </c>
      <c r="H25" s="53">
        <v>1000.0</v>
      </c>
      <c r="I25" s="71"/>
      <c r="J25" s="53">
        <v>200603.0</v>
      </c>
      <c r="K25" s="156" t="s">
        <v>332</v>
      </c>
      <c r="L25" s="100" t="s">
        <v>258</v>
      </c>
      <c r="M25" s="157">
        <v>1000.0</v>
      </c>
      <c r="N25" s="151">
        <v>180.0</v>
      </c>
      <c r="O25" s="151">
        <v>1.0</v>
      </c>
      <c r="P25" s="151">
        <v>145.0</v>
      </c>
      <c r="Q25" s="151" t="s">
        <v>213</v>
      </c>
      <c r="R25" s="151" t="s">
        <v>334</v>
      </c>
      <c r="S25" s="50">
        <f t="shared" si="1"/>
        <v>22.5</v>
      </c>
      <c r="T25" s="50">
        <f t="shared" si="2"/>
        <v>39.3</v>
      </c>
      <c r="U25" s="69">
        <f t="shared" si="3"/>
        <v>1.746666667</v>
      </c>
      <c r="V25" s="70">
        <f t="shared" si="4"/>
        <v>572.519084</v>
      </c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</row>
    <row r="26">
      <c r="A26" s="50">
        <v>25.0</v>
      </c>
      <c r="B26" s="115">
        <v>46302.0</v>
      </c>
      <c r="C26" s="48" t="s">
        <v>335</v>
      </c>
      <c r="D26" s="56" t="s">
        <v>200</v>
      </c>
      <c r="E26" s="45"/>
      <c r="F26" s="73"/>
      <c r="G26" s="73"/>
      <c r="H26" s="73"/>
      <c r="I26" s="45"/>
      <c r="J26" s="45"/>
      <c r="K26" s="56" t="s">
        <v>338</v>
      </c>
      <c r="L26" s="45"/>
      <c r="M26" s="50">
        <v>10000.0</v>
      </c>
      <c r="N26" s="48">
        <v>94.0</v>
      </c>
      <c r="O26" s="50">
        <v>2.0</v>
      </c>
      <c r="P26" s="48">
        <v>200.0</v>
      </c>
      <c r="Q26" s="50" t="s">
        <v>73</v>
      </c>
      <c r="R26" s="48" t="s">
        <v>202</v>
      </c>
      <c r="S26" s="50">
        <f t="shared" si="1"/>
        <v>11.75</v>
      </c>
      <c r="T26" s="50">
        <f t="shared" si="2"/>
        <v>78.6</v>
      </c>
      <c r="U26" s="69">
        <f t="shared" si="3"/>
        <v>6.689361702</v>
      </c>
      <c r="V26" s="70">
        <f t="shared" si="4"/>
        <v>1494.910941</v>
      </c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</row>
    <row r="27">
      <c r="A27" s="48">
        <v>26.0</v>
      </c>
      <c r="B27" s="43" t="s">
        <v>346</v>
      </c>
      <c r="C27" s="71"/>
      <c r="D27" s="59" t="s">
        <v>347</v>
      </c>
      <c r="E27" s="45"/>
      <c r="F27" s="160"/>
      <c r="G27" s="50"/>
      <c r="H27" s="50"/>
      <c r="I27" s="45"/>
      <c r="J27" s="45"/>
      <c r="K27" s="135" t="s">
        <v>349</v>
      </c>
      <c r="L27" s="100" t="s">
        <v>350</v>
      </c>
      <c r="M27" s="50">
        <v>100000.0</v>
      </c>
      <c r="N27" s="50">
        <v>66.0</v>
      </c>
      <c r="O27" s="50">
        <v>3.0</v>
      </c>
      <c r="P27" s="50">
        <v>110.0</v>
      </c>
      <c r="Q27" s="50" t="s">
        <v>50</v>
      </c>
      <c r="R27" s="48" t="s">
        <v>352</v>
      </c>
      <c r="S27" s="66">
        <f t="shared" si="1"/>
        <v>8.25</v>
      </c>
      <c r="T27" s="66">
        <f t="shared" si="2"/>
        <v>117.9</v>
      </c>
      <c r="U27" s="113">
        <f t="shared" si="3"/>
        <v>14.29090909</v>
      </c>
      <c r="V27" s="114">
        <f t="shared" si="4"/>
        <v>6997.455471</v>
      </c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</row>
    <row r="28">
      <c r="A28" s="50">
        <v>27.0</v>
      </c>
      <c r="B28" s="43" t="s">
        <v>356</v>
      </c>
      <c r="C28" s="71"/>
      <c r="D28" s="45" t="s">
        <v>247</v>
      </c>
      <c r="E28" s="71"/>
      <c r="F28" s="71"/>
      <c r="G28" s="71"/>
      <c r="H28" s="71"/>
      <c r="I28" s="71"/>
      <c r="J28" s="71"/>
      <c r="K28" s="163" t="s">
        <v>361</v>
      </c>
      <c r="L28" s="50" t="s">
        <v>252</v>
      </c>
      <c r="M28" s="48">
        <v>10000.0</v>
      </c>
      <c r="N28" s="100">
        <v>124.0</v>
      </c>
      <c r="O28" s="100">
        <v>6.0</v>
      </c>
      <c r="P28" s="100">
        <v>195.0</v>
      </c>
      <c r="Q28" s="50" t="s">
        <v>63</v>
      </c>
      <c r="R28" s="100" t="s">
        <v>315</v>
      </c>
      <c r="S28" s="50">
        <f t="shared" si="1"/>
        <v>15.5</v>
      </c>
      <c r="T28" s="50">
        <f t="shared" si="2"/>
        <v>235.8</v>
      </c>
      <c r="U28" s="69">
        <f t="shared" si="3"/>
        <v>15.21290323</v>
      </c>
      <c r="V28" s="70">
        <f t="shared" si="4"/>
        <v>657.336726</v>
      </c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</row>
    <row r="29">
      <c r="A29" s="48">
        <v>28.0</v>
      </c>
      <c r="B29" s="43" t="s">
        <v>131</v>
      </c>
      <c r="C29" s="53"/>
      <c r="D29" s="45" t="s">
        <v>247</v>
      </c>
      <c r="E29" s="71"/>
      <c r="F29" s="48"/>
      <c r="G29" s="53"/>
      <c r="H29" s="53"/>
      <c r="I29" s="71"/>
      <c r="J29" s="165" t="s">
        <v>372</v>
      </c>
      <c r="K29" s="45" t="s">
        <v>379</v>
      </c>
      <c r="L29" s="50" t="s">
        <v>252</v>
      </c>
      <c r="M29" s="166">
        <v>20000.0</v>
      </c>
      <c r="N29" s="50">
        <v>89.0</v>
      </c>
      <c r="O29" s="50">
        <v>3.0</v>
      </c>
      <c r="P29" s="50">
        <v>260.0</v>
      </c>
      <c r="Q29" s="50" t="s">
        <v>63</v>
      </c>
      <c r="R29" s="50" t="s">
        <v>353</v>
      </c>
      <c r="S29" s="50">
        <f t="shared" si="1"/>
        <v>11.125</v>
      </c>
      <c r="T29" s="50">
        <f t="shared" si="2"/>
        <v>117.9</v>
      </c>
      <c r="U29" s="69">
        <f t="shared" si="3"/>
        <v>10.59775281</v>
      </c>
      <c r="V29" s="70">
        <f t="shared" si="4"/>
        <v>1887.192536</v>
      </c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</row>
    <row r="39" ht="16.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</row>
    <row r="40">
      <c r="A40" s="172" t="s">
        <v>419</v>
      </c>
      <c r="AG40" s="174"/>
      <c r="AH40" s="174"/>
      <c r="AI40" s="174"/>
      <c r="AJ40" s="174"/>
      <c r="AK40" s="174"/>
      <c r="AL40" s="174"/>
      <c r="AM40" s="174"/>
      <c r="AN40" s="174"/>
      <c r="AO40" s="174"/>
      <c r="AP40" s="174"/>
      <c r="AQ40" s="174"/>
      <c r="AR40" s="174"/>
      <c r="AS40" s="174"/>
      <c r="AT40" s="174"/>
      <c r="AU40" s="174"/>
      <c r="AV40" s="174"/>
      <c r="AW40" s="174"/>
      <c r="AX40" s="174"/>
      <c r="AY40" s="174"/>
      <c r="AZ40" s="174"/>
      <c r="BA40" s="174"/>
      <c r="BB40" s="174"/>
      <c r="BC40" s="174"/>
      <c r="BD40" s="174"/>
      <c r="BE40" s="174"/>
      <c r="BF40" s="174"/>
      <c r="BG40" s="174"/>
      <c r="BH40" s="174"/>
      <c r="BI40" s="174"/>
      <c r="BJ40" s="174"/>
      <c r="BK40" s="174"/>
      <c r="BL40" s="174"/>
      <c r="BM40" s="174"/>
      <c r="BN40" s="174"/>
      <c r="BO40" s="174"/>
      <c r="BP40" s="174"/>
      <c r="BQ40" s="174"/>
      <c r="BR40" s="174"/>
      <c r="BS40" s="174"/>
      <c r="BT40" s="174"/>
      <c r="BU40" s="174"/>
      <c r="BV40" s="174"/>
      <c r="BW40" s="174"/>
      <c r="BX40" s="174"/>
      <c r="BY40" s="174"/>
      <c r="BZ40" s="174"/>
      <c r="CA40" s="174"/>
      <c r="CB40" s="174"/>
      <c r="CC40" s="174"/>
      <c r="CD40" s="174"/>
      <c r="CE40" s="174"/>
      <c r="CF40" s="174"/>
      <c r="CG40" s="174"/>
      <c r="CH40" s="174"/>
      <c r="CI40" s="174"/>
      <c r="CJ40" s="174"/>
      <c r="CK40" s="174"/>
      <c r="CL40" s="174"/>
      <c r="CM40" s="174"/>
      <c r="CN40" s="174"/>
      <c r="CO40" s="174"/>
      <c r="CP40" s="174"/>
      <c r="CQ40" s="174"/>
      <c r="CR40" s="174"/>
      <c r="CS40" s="174"/>
      <c r="CT40" s="174"/>
      <c r="CU40" s="174"/>
      <c r="CV40" s="174"/>
    </row>
    <row r="41">
      <c r="A41" s="53">
        <v>1.0</v>
      </c>
      <c r="B41" s="43" t="s">
        <v>420</v>
      </c>
      <c r="C41" s="45"/>
      <c r="D41" s="45" t="s">
        <v>110</v>
      </c>
      <c r="E41" s="45"/>
      <c r="F41" s="50"/>
      <c r="G41" s="153"/>
      <c r="H41" s="50"/>
      <c r="I41" s="45"/>
      <c r="J41" s="45"/>
      <c r="K41" s="56" t="s">
        <v>421</v>
      </c>
      <c r="L41" s="45"/>
      <c r="M41" s="48">
        <v>12100.0</v>
      </c>
      <c r="N41" s="48">
        <v>112.0</v>
      </c>
      <c r="O41" s="48">
        <v>5.0</v>
      </c>
      <c r="P41" s="48">
        <v>112.0</v>
      </c>
      <c r="Q41" s="154" t="s">
        <v>162</v>
      </c>
      <c r="R41" s="48" t="s">
        <v>422</v>
      </c>
      <c r="S41" s="66">
        <f t="shared" ref="S41:S57" si="5">N41/8</f>
        <v>14</v>
      </c>
      <c r="T41" s="66">
        <f t="shared" ref="T41:T57" si="6">39.3*O41</f>
        <v>196.5</v>
      </c>
      <c r="U41" s="113">
        <f t="shared" ref="U41:U57" si="7">T41/S41</f>
        <v>14.03571429</v>
      </c>
      <c r="V41" s="114">
        <f t="shared" ref="V41:V57" si="8">M41/U41</f>
        <v>862.086514</v>
      </c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</row>
    <row r="42">
      <c r="A42" s="48">
        <v>2.0</v>
      </c>
      <c r="B42" s="43" t="s">
        <v>420</v>
      </c>
      <c r="C42" s="45"/>
      <c r="D42" s="45" t="s">
        <v>110</v>
      </c>
      <c r="E42" s="45"/>
      <c r="F42" s="50"/>
      <c r="G42" s="153"/>
      <c r="H42" s="50"/>
      <c r="I42" s="45"/>
      <c r="J42" s="45"/>
      <c r="K42" s="56" t="s">
        <v>427</v>
      </c>
      <c r="L42" s="45"/>
      <c r="M42" s="48">
        <v>12100.0</v>
      </c>
      <c r="N42" s="48">
        <v>112.0</v>
      </c>
      <c r="O42" s="48">
        <v>5.0</v>
      </c>
      <c r="P42" s="48">
        <v>95.0</v>
      </c>
      <c r="Q42" s="154" t="s">
        <v>162</v>
      </c>
      <c r="R42" s="48" t="s">
        <v>428</v>
      </c>
      <c r="S42" s="66">
        <f t="shared" si="5"/>
        <v>14</v>
      </c>
      <c r="T42" s="66">
        <f t="shared" si="6"/>
        <v>196.5</v>
      </c>
      <c r="U42" s="113">
        <f t="shared" si="7"/>
        <v>14.03571429</v>
      </c>
      <c r="V42" s="114">
        <f t="shared" si="8"/>
        <v>862.086514</v>
      </c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</row>
    <row r="43">
      <c r="A43" s="53">
        <v>3.0</v>
      </c>
      <c r="B43" s="43" t="s">
        <v>420</v>
      </c>
      <c r="C43" s="45"/>
      <c r="D43" s="45" t="s">
        <v>110</v>
      </c>
      <c r="E43" s="45"/>
      <c r="F43" s="50"/>
      <c r="G43" s="153"/>
      <c r="H43" s="50"/>
      <c r="I43" s="45"/>
      <c r="J43" s="45"/>
      <c r="K43" s="56" t="s">
        <v>433</v>
      </c>
      <c r="L43" s="45"/>
      <c r="M43" s="48">
        <v>3700.0</v>
      </c>
      <c r="N43" s="48">
        <v>112.0</v>
      </c>
      <c r="O43" s="48">
        <v>5.0</v>
      </c>
      <c r="P43" s="48">
        <v>112.0</v>
      </c>
      <c r="Q43" s="154" t="s">
        <v>162</v>
      </c>
      <c r="R43" s="48" t="s">
        <v>422</v>
      </c>
      <c r="S43" s="66">
        <f t="shared" si="5"/>
        <v>14</v>
      </c>
      <c r="T43" s="66">
        <f t="shared" si="6"/>
        <v>196.5</v>
      </c>
      <c r="U43" s="113">
        <f t="shared" si="7"/>
        <v>14.03571429</v>
      </c>
      <c r="V43" s="114">
        <f t="shared" si="8"/>
        <v>263.6132316</v>
      </c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65"/>
      <c r="CQ43" s="65"/>
      <c r="CR43" s="65"/>
      <c r="CS43" s="65"/>
      <c r="CT43" s="65"/>
      <c r="CU43" s="65"/>
      <c r="CV43" s="65"/>
    </row>
    <row r="44">
      <c r="A44" s="53">
        <v>4.0</v>
      </c>
      <c r="B44" s="43" t="s">
        <v>420</v>
      </c>
      <c r="C44" s="45"/>
      <c r="D44" s="45" t="s">
        <v>110</v>
      </c>
      <c r="E44" s="45"/>
      <c r="F44" s="50"/>
      <c r="G44" s="153"/>
      <c r="H44" s="50"/>
      <c r="I44" s="45"/>
      <c r="J44" s="45"/>
      <c r="K44" s="56" t="s">
        <v>440</v>
      </c>
      <c r="L44" s="45"/>
      <c r="M44" s="48">
        <v>3700.0</v>
      </c>
      <c r="N44" s="48">
        <v>112.0</v>
      </c>
      <c r="O44" s="48">
        <v>5.0</v>
      </c>
      <c r="P44" s="48">
        <v>95.0</v>
      </c>
      <c r="Q44" s="154" t="s">
        <v>162</v>
      </c>
      <c r="R44" s="48" t="s">
        <v>428</v>
      </c>
      <c r="S44" s="66">
        <f t="shared" si="5"/>
        <v>14</v>
      </c>
      <c r="T44" s="66">
        <f t="shared" si="6"/>
        <v>196.5</v>
      </c>
      <c r="U44" s="113">
        <f t="shared" si="7"/>
        <v>14.03571429</v>
      </c>
      <c r="V44" s="114">
        <f t="shared" si="8"/>
        <v>263.6132316</v>
      </c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65"/>
      <c r="CV44" s="65"/>
    </row>
    <row r="45">
      <c r="A45" s="48">
        <v>5.0</v>
      </c>
      <c r="B45" s="43" t="s">
        <v>420</v>
      </c>
      <c r="C45" s="45"/>
      <c r="D45" s="45" t="s">
        <v>110</v>
      </c>
      <c r="E45" s="45"/>
      <c r="F45" s="50"/>
      <c r="G45" s="153"/>
      <c r="H45" s="50"/>
      <c r="I45" s="45"/>
      <c r="J45" s="45"/>
      <c r="K45" s="56" t="s">
        <v>443</v>
      </c>
      <c r="L45" s="45"/>
      <c r="M45" s="48">
        <v>3700.0</v>
      </c>
      <c r="N45" s="48">
        <v>112.0</v>
      </c>
      <c r="O45" s="48">
        <v>5.0</v>
      </c>
      <c r="P45" s="48">
        <v>112.0</v>
      </c>
      <c r="Q45" s="154" t="s">
        <v>162</v>
      </c>
      <c r="R45" s="48" t="s">
        <v>422</v>
      </c>
      <c r="S45" s="66">
        <f t="shared" si="5"/>
        <v>14</v>
      </c>
      <c r="T45" s="66">
        <f t="shared" si="6"/>
        <v>196.5</v>
      </c>
      <c r="U45" s="113">
        <f t="shared" si="7"/>
        <v>14.03571429</v>
      </c>
      <c r="V45" s="114">
        <f t="shared" si="8"/>
        <v>263.6132316</v>
      </c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5"/>
      <c r="CQ45" s="65"/>
      <c r="CR45" s="65"/>
      <c r="CS45" s="65"/>
      <c r="CT45" s="65"/>
      <c r="CU45" s="65"/>
      <c r="CV45" s="65"/>
    </row>
    <row r="46">
      <c r="A46" s="53">
        <v>6.0</v>
      </c>
      <c r="B46" s="43" t="s">
        <v>420</v>
      </c>
      <c r="C46" s="45"/>
      <c r="D46" s="45" t="s">
        <v>110</v>
      </c>
      <c r="E46" s="45"/>
      <c r="F46" s="50"/>
      <c r="G46" s="153"/>
      <c r="H46" s="50"/>
      <c r="I46" s="45"/>
      <c r="J46" s="45"/>
      <c r="K46" s="56" t="s">
        <v>445</v>
      </c>
      <c r="L46" s="45"/>
      <c r="M46" s="48">
        <v>3700.0</v>
      </c>
      <c r="N46" s="48">
        <v>112.0</v>
      </c>
      <c r="O46" s="48">
        <v>5.0</v>
      </c>
      <c r="P46" s="48">
        <v>95.0</v>
      </c>
      <c r="Q46" s="154" t="s">
        <v>162</v>
      </c>
      <c r="R46" s="48" t="s">
        <v>428</v>
      </c>
      <c r="S46" s="66">
        <f t="shared" si="5"/>
        <v>14</v>
      </c>
      <c r="T46" s="66">
        <f t="shared" si="6"/>
        <v>196.5</v>
      </c>
      <c r="U46" s="113">
        <f t="shared" si="7"/>
        <v>14.03571429</v>
      </c>
      <c r="V46" s="114">
        <f t="shared" si="8"/>
        <v>263.6132316</v>
      </c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65"/>
      <c r="CO46" s="65"/>
      <c r="CP46" s="65"/>
      <c r="CQ46" s="65"/>
      <c r="CR46" s="65"/>
      <c r="CS46" s="65"/>
      <c r="CT46" s="65"/>
      <c r="CU46" s="65"/>
      <c r="CV46" s="65"/>
    </row>
    <row r="47">
      <c r="A47" s="53">
        <v>7.0</v>
      </c>
      <c r="B47" s="43" t="s">
        <v>447</v>
      </c>
      <c r="C47" s="71"/>
      <c r="D47" s="45" t="s">
        <v>247</v>
      </c>
      <c r="E47" s="45"/>
      <c r="F47" s="48" t="s">
        <v>448</v>
      </c>
      <c r="G47" s="176">
        <v>46362.0</v>
      </c>
      <c r="H47" s="48">
        <v>50000.0</v>
      </c>
      <c r="I47" s="45"/>
      <c r="J47" s="45"/>
      <c r="K47" s="51" t="s">
        <v>449</v>
      </c>
      <c r="L47" s="50" t="s">
        <v>252</v>
      </c>
      <c r="M47" s="43">
        <v>25000.0</v>
      </c>
      <c r="N47" s="50">
        <v>92.0</v>
      </c>
      <c r="O47" s="50">
        <v>2.0</v>
      </c>
      <c r="P47" s="50">
        <v>220.0</v>
      </c>
      <c r="Q47" s="50" t="s">
        <v>63</v>
      </c>
      <c r="R47" s="48" t="s">
        <v>330</v>
      </c>
      <c r="S47" s="126">
        <f t="shared" si="5"/>
        <v>11.5</v>
      </c>
      <c r="T47" s="126">
        <f t="shared" si="6"/>
        <v>78.6</v>
      </c>
      <c r="U47" s="127">
        <f t="shared" si="7"/>
        <v>6.834782609</v>
      </c>
      <c r="V47" s="128">
        <f t="shared" si="8"/>
        <v>3657.760814</v>
      </c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</row>
    <row r="48">
      <c r="A48" s="48">
        <v>8.0</v>
      </c>
      <c r="B48" s="43" t="s">
        <v>261</v>
      </c>
      <c r="C48" s="71"/>
      <c r="D48" s="45" t="s">
        <v>247</v>
      </c>
      <c r="E48" s="71"/>
      <c r="F48" s="48" t="s">
        <v>265</v>
      </c>
      <c r="G48" s="53" t="s">
        <v>266</v>
      </c>
      <c r="H48" s="53">
        <v>3000.0</v>
      </c>
      <c r="I48" s="71"/>
      <c r="J48" s="71"/>
      <c r="K48" s="56" t="s">
        <v>456</v>
      </c>
      <c r="L48" s="50" t="s">
        <v>252</v>
      </c>
      <c r="M48" s="48">
        <v>3000.0</v>
      </c>
      <c r="N48" s="100">
        <v>69.0</v>
      </c>
      <c r="O48" s="100">
        <v>1.0</v>
      </c>
      <c r="P48" s="100">
        <v>135.0</v>
      </c>
      <c r="Q48" s="50" t="s">
        <v>63</v>
      </c>
      <c r="R48" s="100" t="s">
        <v>324</v>
      </c>
      <c r="S48" s="50">
        <f t="shared" si="5"/>
        <v>8.625</v>
      </c>
      <c r="T48" s="50">
        <f t="shared" si="6"/>
        <v>39.3</v>
      </c>
      <c r="U48" s="69">
        <f t="shared" si="7"/>
        <v>4.556521739</v>
      </c>
      <c r="V48" s="70">
        <f t="shared" si="8"/>
        <v>658.3969466</v>
      </c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</row>
    <row r="49">
      <c r="A49" s="53">
        <v>9.0</v>
      </c>
      <c r="B49" s="43" t="s">
        <v>356</v>
      </c>
      <c r="C49" s="71"/>
      <c r="D49" s="45" t="s">
        <v>247</v>
      </c>
      <c r="E49" s="71"/>
      <c r="F49" s="71"/>
      <c r="G49" s="71"/>
      <c r="H49" s="71"/>
      <c r="I49" s="71"/>
      <c r="J49" s="71"/>
      <c r="K49" s="145" t="s">
        <v>468</v>
      </c>
      <c r="L49" s="50" t="s">
        <v>252</v>
      </c>
      <c r="M49" s="100">
        <v>6000.0</v>
      </c>
      <c r="N49" s="66">
        <v>69.0</v>
      </c>
      <c r="O49" s="66">
        <v>1.0</v>
      </c>
      <c r="P49" s="66">
        <v>140.0</v>
      </c>
      <c r="Q49" s="66" t="s">
        <v>162</v>
      </c>
      <c r="R49" s="66" t="s">
        <v>324</v>
      </c>
      <c r="S49" s="50">
        <f t="shared" si="5"/>
        <v>8.625</v>
      </c>
      <c r="T49" s="50">
        <f t="shared" si="6"/>
        <v>39.3</v>
      </c>
      <c r="U49" s="69">
        <f t="shared" si="7"/>
        <v>4.556521739</v>
      </c>
      <c r="V49" s="70">
        <f t="shared" si="8"/>
        <v>1316.793893</v>
      </c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</row>
    <row r="50">
      <c r="A50" s="53">
        <v>10.0</v>
      </c>
      <c r="B50" s="43" t="s">
        <v>356</v>
      </c>
      <c r="C50" s="71"/>
      <c r="D50" s="45" t="s">
        <v>247</v>
      </c>
      <c r="E50" s="71"/>
      <c r="F50" s="71"/>
      <c r="G50" s="71"/>
      <c r="H50" s="71"/>
      <c r="I50" s="71"/>
      <c r="J50" s="71"/>
      <c r="K50" s="56" t="s">
        <v>475</v>
      </c>
      <c r="L50" s="50" t="s">
        <v>252</v>
      </c>
      <c r="M50" s="129">
        <v>5000.0</v>
      </c>
      <c r="N50" s="100">
        <v>89.0</v>
      </c>
      <c r="O50" s="100">
        <v>1.0</v>
      </c>
      <c r="P50" s="100">
        <v>160.0</v>
      </c>
      <c r="Q50" s="50" t="s">
        <v>63</v>
      </c>
      <c r="R50" s="100" t="s">
        <v>254</v>
      </c>
      <c r="S50" s="50">
        <f t="shared" si="5"/>
        <v>11.125</v>
      </c>
      <c r="T50" s="50">
        <f t="shared" si="6"/>
        <v>39.3</v>
      </c>
      <c r="U50" s="69">
        <f t="shared" si="7"/>
        <v>3.53258427</v>
      </c>
      <c r="V50" s="70">
        <f t="shared" si="8"/>
        <v>1415.394402</v>
      </c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</row>
    <row r="51">
      <c r="A51" s="48">
        <v>11.0</v>
      </c>
      <c r="B51" s="43" t="s">
        <v>356</v>
      </c>
      <c r="C51" s="71"/>
      <c r="D51" s="45" t="s">
        <v>247</v>
      </c>
      <c r="E51" s="71"/>
      <c r="F51" s="71"/>
      <c r="G51" s="71"/>
      <c r="H51" s="71"/>
      <c r="I51" s="71"/>
      <c r="J51" s="71"/>
      <c r="K51" s="56" t="s">
        <v>483</v>
      </c>
      <c r="L51" s="50" t="s">
        <v>252</v>
      </c>
      <c r="M51" s="129">
        <v>15000.0</v>
      </c>
      <c r="N51" s="100">
        <v>89.0</v>
      </c>
      <c r="O51" s="100">
        <v>1.0</v>
      </c>
      <c r="P51" s="100">
        <v>160.0</v>
      </c>
      <c r="Q51" s="50" t="s">
        <v>63</v>
      </c>
      <c r="R51" s="100" t="s">
        <v>254</v>
      </c>
      <c r="S51" s="50">
        <f t="shared" si="5"/>
        <v>11.125</v>
      </c>
      <c r="T51" s="50">
        <f t="shared" si="6"/>
        <v>39.3</v>
      </c>
      <c r="U51" s="69">
        <f t="shared" si="7"/>
        <v>3.53258427</v>
      </c>
      <c r="V51" s="70">
        <f t="shared" si="8"/>
        <v>4246.183206</v>
      </c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</row>
    <row r="52">
      <c r="A52" s="53">
        <v>12.0</v>
      </c>
      <c r="B52" s="43" t="s">
        <v>356</v>
      </c>
      <c r="C52" s="71"/>
      <c r="D52" s="45" t="s">
        <v>247</v>
      </c>
      <c r="E52" s="71"/>
      <c r="F52" s="71"/>
      <c r="G52" s="71"/>
      <c r="H52" s="71"/>
      <c r="I52" s="71"/>
      <c r="J52" s="71"/>
      <c r="K52" s="56" t="s">
        <v>490</v>
      </c>
      <c r="L52" s="50" t="s">
        <v>252</v>
      </c>
      <c r="M52" s="48">
        <v>6000.0</v>
      </c>
      <c r="N52" s="100">
        <v>69.0</v>
      </c>
      <c r="O52" s="100">
        <v>1.0</v>
      </c>
      <c r="P52" s="100">
        <v>135.0</v>
      </c>
      <c r="Q52" s="50" t="s">
        <v>63</v>
      </c>
      <c r="R52" s="100" t="s">
        <v>324</v>
      </c>
      <c r="S52" s="50">
        <f t="shared" si="5"/>
        <v>8.625</v>
      </c>
      <c r="T52" s="50">
        <f t="shared" si="6"/>
        <v>39.3</v>
      </c>
      <c r="U52" s="69">
        <f t="shared" si="7"/>
        <v>4.556521739</v>
      </c>
      <c r="V52" s="70">
        <f t="shared" si="8"/>
        <v>1316.793893</v>
      </c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</row>
    <row r="53">
      <c r="A53" s="53">
        <v>13.0</v>
      </c>
      <c r="B53" s="43" t="s">
        <v>356</v>
      </c>
      <c r="C53" s="71"/>
      <c r="D53" s="45" t="s">
        <v>247</v>
      </c>
      <c r="E53" s="71"/>
      <c r="F53" s="71"/>
      <c r="G53" s="71"/>
      <c r="H53" s="71"/>
      <c r="I53" s="71"/>
      <c r="J53" s="71"/>
      <c r="K53" s="56" t="s">
        <v>494</v>
      </c>
      <c r="L53" s="50" t="s">
        <v>252</v>
      </c>
      <c r="M53" s="48">
        <v>12000.0</v>
      </c>
      <c r="N53" s="100">
        <v>69.0</v>
      </c>
      <c r="O53" s="100">
        <v>1.0</v>
      </c>
      <c r="P53" s="100">
        <v>135.0</v>
      </c>
      <c r="Q53" s="50" t="s">
        <v>63</v>
      </c>
      <c r="R53" s="100" t="s">
        <v>324</v>
      </c>
      <c r="S53" s="50">
        <f t="shared" si="5"/>
        <v>8.625</v>
      </c>
      <c r="T53" s="50">
        <f t="shared" si="6"/>
        <v>39.3</v>
      </c>
      <c r="U53" s="69">
        <f t="shared" si="7"/>
        <v>4.556521739</v>
      </c>
      <c r="V53" s="70">
        <f t="shared" si="8"/>
        <v>2633.587786</v>
      </c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</row>
    <row r="54">
      <c r="A54" s="48">
        <v>14.0</v>
      </c>
      <c r="B54" s="43" t="s">
        <v>356</v>
      </c>
      <c r="C54" s="71"/>
      <c r="D54" s="45" t="s">
        <v>247</v>
      </c>
      <c r="E54" s="71"/>
      <c r="F54" s="71"/>
      <c r="G54" s="71"/>
      <c r="H54" s="71"/>
      <c r="I54" s="71"/>
      <c r="J54" s="71"/>
      <c r="K54" s="56" t="s">
        <v>498</v>
      </c>
      <c r="L54" s="50" t="s">
        <v>252</v>
      </c>
      <c r="M54" s="48">
        <v>5000.0</v>
      </c>
      <c r="N54" s="100">
        <v>92.0</v>
      </c>
      <c r="O54" s="100">
        <v>4.0</v>
      </c>
      <c r="P54" s="100">
        <v>140.0</v>
      </c>
      <c r="Q54" s="50" t="s">
        <v>63</v>
      </c>
      <c r="R54" s="100" t="s">
        <v>366</v>
      </c>
      <c r="S54" s="50">
        <f t="shared" si="5"/>
        <v>11.5</v>
      </c>
      <c r="T54" s="50">
        <f t="shared" si="6"/>
        <v>157.2</v>
      </c>
      <c r="U54" s="69">
        <f t="shared" si="7"/>
        <v>13.66956522</v>
      </c>
      <c r="V54" s="70">
        <f t="shared" si="8"/>
        <v>365.7760814</v>
      </c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</row>
    <row r="55">
      <c r="A55" s="53">
        <v>15.0</v>
      </c>
      <c r="B55" s="43" t="s">
        <v>216</v>
      </c>
      <c r="C55" s="48"/>
      <c r="D55" s="45" t="s">
        <v>247</v>
      </c>
      <c r="E55" s="45"/>
      <c r="F55" s="98"/>
      <c r="G55" s="98"/>
      <c r="H55" s="98"/>
      <c r="I55" s="45"/>
      <c r="J55" s="45"/>
      <c r="K55" s="45" t="s">
        <v>502</v>
      </c>
      <c r="L55" s="50" t="s">
        <v>252</v>
      </c>
      <c r="M55" s="129">
        <v>10000.0</v>
      </c>
      <c r="N55" s="50">
        <v>124.0</v>
      </c>
      <c r="O55" s="50">
        <v>6.0</v>
      </c>
      <c r="P55" s="50">
        <v>230.0</v>
      </c>
      <c r="Q55" s="50" t="s">
        <v>63</v>
      </c>
      <c r="R55" s="50" t="s">
        <v>341</v>
      </c>
      <c r="S55" s="50">
        <f t="shared" si="5"/>
        <v>15.5</v>
      </c>
      <c r="T55" s="50">
        <f t="shared" si="6"/>
        <v>235.8</v>
      </c>
      <c r="U55" s="69">
        <f t="shared" si="7"/>
        <v>15.21290323</v>
      </c>
      <c r="V55" s="70">
        <f t="shared" si="8"/>
        <v>657.336726</v>
      </c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</row>
    <row r="56">
      <c r="A56" s="53">
        <v>16.0</v>
      </c>
      <c r="B56" s="43" t="s">
        <v>131</v>
      </c>
      <c r="C56" s="48"/>
      <c r="D56" s="45" t="s">
        <v>247</v>
      </c>
      <c r="E56" s="76"/>
      <c r="F56" s="48"/>
      <c r="G56" s="153"/>
      <c r="H56" s="50"/>
      <c r="I56" s="76"/>
      <c r="J56" s="76"/>
      <c r="K56" s="56" t="s">
        <v>507</v>
      </c>
      <c r="L56" s="50" t="s">
        <v>252</v>
      </c>
      <c r="M56" s="48">
        <v>15000.0</v>
      </c>
      <c r="N56" s="50">
        <v>92.0</v>
      </c>
      <c r="O56" s="50">
        <v>2.0</v>
      </c>
      <c r="P56" s="50">
        <v>220.0</v>
      </c>
      <c r="Q56" s="50" t="s">
        <v>63</v>
      </c>
      <c r="R56" s="48" t="s">
        <v>330</v>
      </c>
      <c r="S56" s="50">
        <f t="shared" si="5"/>
        <v>11.5</v>
      </c>
      <c r="T56" s="50">
        <f t="shared" si="6"/>
        <v>78.6</v>
      </c>
      <c r="U56" s="69">
        <f t="shared" si="7"/>
        <v>6.834782609</v>
      </c>
      <c r="V56" s="70">
        <f t="shared" si="8"/>
        <v>2194.656489</v>
      </c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</row>
    <row r="57">
      <c r="A57" s="48">
        <v>17.0</v>
      </c>
      <c r="B57" s="43" t="s">
        <v>514</v>
      </c>
      <c r="C57" s="71"/>
      <c r="D57" s="96" t="s">
        <v>515</v>
      </c>
      <c r="E57" s="71"/>
      <c r="F57" s="48"/>
      <c r="G57" s="48"/>
      <c r="H57" s="48"/>
      <c r="I57" s="71"/>
      <c r="J57" s="71"/>
      <c r="K57" s="56" t="s">
        <v>517</v>
      </c>
      <c r="L57" s="50" t="s">
        <v>518</v>
      </c>
      <c r="M57" s="48">
        <v>5000.0</v>
      </c>
      <c r="N57" s="50">
        <v>108.0</v>
      </c>
      <c r="O57" s="50">
        <v>4.0</v>
      </c>
      <c r="P57" s="50">
        <v>125.0</v>
      </c>
      <c r="Q57" s="100" t="s">
        <v>50</v>
      </c>
      <c r="R57" s="50" t="s">
        <v>520</v>
      </c>
      <c r="S57" s="126">
        <f t="shared" si="5"/>
        <v>13.5</v>
      </c>
      <c r="T57" s="126">
        <f t="shared" si="6"/>
        <v>157.2</v>
      </c>
      <c r="U57" s="69">
        <f t="shared" si="7"/>
        <v>11.64444444</v>
      </c>
      <c r="V57" s="70">
        <f t="shared" si="8"/>
        <v>429.389313</v>
      </c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</row>
    <row r="63">
      <c r="A63" s="191" t="s">
        <v>537</v>
      </c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85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</row>
    <row r="69">
      <c r="A69" s="193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</row>
    <row r="70">
      <c r="A70" s="193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</row>
    <row r="71">
      <c r="A71" s="193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</row>
    <row r="72">
      <c r="A72" s="195" t="s">
        <v>558</v>
      </c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  <c r="AD72" s="197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/>
      <c r="CR72" s="65"/>
      <c r="CS72" s="65"/>
      <c r="CT72" s="65"/>
      <c r="CU72" s="65"/>
      <c r="CV72" s="65"/>
    </row>
    <row r="73">
      <c r="A73" s="48">
        <v>1.0</v>
      </c>
      <c r="B73" s="43" t="s">
        <v>562</v>
      </c>
      <c r="C73" s="71"/>
      <c r="D73" s="56" t="s">
        <v>134</v>
      </c>
      <c r="E73" s="45"/>
      <c r="F73" s="45"/>
      <c r="G73" s="45"/>
      <c r="H73" s="45"/>
      <c r="I73" s="45"/>
      <c r="J73" s="71"/>
      <c r="K73" s="56" t="s">
        <v>563</v>
      </c>
      <c r="L73" s="50"/>
      <c r="M73" s="50">
        <v>3000.0</v>
      </c>
      <c r="N73" s="43">
        <v>116.0</v>
      </c>
      <c r="O73" s="43">
        <v>1.0</v>
      </c>
      <c r="P73" s="43">
        <v>230.0</v>
      </c>
      <c r="Q73" s="50" t="s">
        <v>63</v>
      </c>
      <c r="R73" s="43" t="s">
        <v>564</v>
      </c>
      <c r="S73" s="50">
        <f>N73/8</f>
        <v>14.5</v>
      </c>
      <c r="T73" s="50">
        <f>39.3*O73</f>
        <v>39.3</v>
      </c>
      <c r="U73" s="69">
        <f>T73/S73</f>
        <v>2.710344828</v>
      </c>
      <c r="V73" s="70">
        <f>M73/U73</f>
        <v>1106.870229</v>
      </c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65"/>
      <c r="CV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</row>
    <row r="81">
      <c r="A81" s="198" t="s">
        <v>576</v>
      </c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199"/>
      <c r="AB81" s="199"/>
      <c r="AC81" s="199"/>
      <c r="AD81" s="200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</row>
    <row r="82">
      <c r="A82" s="48">
        <v>1.0</v>
      </c>
      <c r="B82" s="50" t="s">
        <v>579</v>
      </c>
      <c r="C82" s="45"/>
      <c r="D82" s="45" t="s">
        <v>110</v>
      </c>
      <c r="E82" s="45"/>
      <c r="F82" s="45"/>
      <c r="G82" s="45"/>
      <c r="H82" s="45"/>
      <c r="I82" s="45"/>
      <c r="J82" s="45"/>
      <c r="K82" s="45" t="s">
        <v>581</v>
      </c>
      <c r="L82" s="45"/>
      <c r="M82" s="45"/>
      <c r="N82" s="50">
        <v>89.0</v>
      </c>
      <c r="O82" s="50">
        <v>3.0</v>
      </c>
      <c r="P82" s="50">
        <v>160.0</v>
      </c>
      <c r="Q82" s="50" t="s">
        <v>583</v>
      </c>
      <c r="R82" s="50" t="s">
        <v>584</v>
      </c>
      <c r="S82" s="126">
        <f t="shared" ref="S82:S84" si="9">N82/8</f>
        <v>11.125</v>
      </c>
      <c r="T82" s="126">
        <f t="shared" ref="T82:T84" si="10">39.3*O82</f>
        <v>117.9</v>
      </c>
      <c r="U82" s="127">
        <f t="shared" ref="U82:U84" si="11">T82/S82</f>
        <v>10.59775281</v>
      </c>
      <c r="V82" s="128">
        <f t="shared" ref="V82:V84" si="12">M82/U82</f>
        <v>0</v>
      </c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</row>
    <row r="83">
      <c r="A83" s="48">
        <v>2.0</v>
      </c>
      <c r="B83" s="50" t="s">
        <v>579</v>
      </c>
      <c r="C83" s="45"/>
      <c r="D83" s="45" t="s">
        <v>110</v>
      </c>
      <c r="E83" s="45"/>
      <c r="F83" s="45"/>
      <c r="G83" s="45"/>
      <c r="H83" s="45"/>
      <c r="I83" s="45"/>
      <c r="J83" s="45"/>
      <c r="K83" s="202" t="s">
        <v>588</v>
      </c>
      <c r="L83" s="85"/>
      <c r="M83" s="45"/>
      <c r="N83" s="50">
        <v>85.0</v>
      </c>
      <c r="O83" s="50">
        <v>10.0</v>
      </c>
      <c r="P83" s="50">
        <v>170.0</v>
      </c>
      <c r="Q83" s="50" t="s">
        <v>583</v>
      </c>
      <c r="R83" s="50" t="s">
        <v>589</v>
      </c>
      <c r="S83" s="126">
        <f t="shared" si="9"/>
        <v>10.625</v>
      </c>
      <c r="T83" s="126">
        <f t="shared" si="10"/>
        <v>393</v>
      </c>
      <c r="U83" s="127">
        <f t="shared" si="11"/>
        <v>36.98823529</v>
      </c>
      <c r="V83" s="128">
        <f t="shared" si="12"/>
        <v>0</v>
      </c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</row>
    <row r="84">
      <c r="A84" s="43">
        <v>3.0</v>
      </c>
      <c r="B84" s="50" t="s">
        <v>595</v>
      </c>
      <c r="C84" s="50" t="s">
        <v>596</v>
      </c>
      <c r="D84" s="45" t="s">
        <v>67</v>
      </c>
      <c r="E84" s="45"/>
      <c r="F84" s="48">
        <v>5.400092822E9</v>
      </c>
      <c r="G84" s="48" t="s">
        <v>47</v>
      </c>
      <c r="H84" s="48">
        <v>10000.0</v>
      </c>
      <c r="I84" s="45"/>
      <c r="J84" s="204">
        <v>206335.0</v>
      </c>
      <c r="K84" s="145" t="s">
        <v>597</v>
      </c>
      <c r="L84" s="100" t="s">
        <v>258</v>
      </c>
      <c r="M84" s="205">
        <v>9600.0</v>
      </c>
      <c r="N84" s="50">
        <v>92.0</v>
      </c>
      <c r="O84" s="50">
        <v>2.0</v>
      </c>
      <c r="P84" s="50">
        <v>305.0</v>
      </c>
      <c r="Q84" s="52" t="s">
        <v>213</v>
      </c>
      <c r="R84" s="50" t="s">
        <v>598</v>
      </c>
      <c r="S84" s="50">
        <f t="shared" si="9"/>
        <v>11.5</v>
      </c>
      <c r="T84" s="50">
        <f t="shared" si="10"/>
        <v>78.6</v>
      </c>
      <c r="U84" s="69">
        <f t="shared" si="11"/>
        <v>6.834782609</v>
      </c>
      <c r="V84" s="70">
        <f t="shared" si="12"/>
        <v>1404.580153</v>
      </c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</row>
    <row r="85">
      <c r="A85" s="48">
        <v>4.0</v>
      </c>
      <c r="B85" s="43" t="s">
        <v>602</v>
      </c>
      <c r="C85" s="71"/>
      <c r="D85" s="45" t="s">
        <v>67</v>
      </c>
      <c r="E85" s="71"/>
      <c r="F85" s="152" t="s">
        <v>310</v>
      </c>
      <c r="G85" s="71"/>
      <c r="H85" s="71"/>
      <c r="I85" s="71"/>
      <c r="J85" s="53">
        <v>207660.0</v>
      </c>
      <c r="K85" s="105" t="s">
        <v>603</v>
      </c>
      <c r="L85" s="71"/>
      <c r="M85" s="53">
        <v>50000.0</v>
      </c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  <c r="CH85" s="40"/>
      <c r="CI85" s="40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</row>
    <row r="86">
      <c r="A86" s="48">
        <v>5.0</v>
      </c>
      <c r="B86" s="133" t="s">
        <v>606</v>
      </c>
      <c r="C86" s="45"/>
      <c r="D86" s="45" t="s">
        <v>67</v>
      </c>
      <c r="E86" s="45"/>
      <c r="F86" s="48">
        <v>5.400092822E9</v>
      </c>
      <c r="G86" s="48" t="s">
        <v>47</v>
      </c>
      <c r="H86" s="48">
        <v>10000.0</v>
      </c>
      <c r="I86" s="45"/>
      <c r="J86" s="204">
        <v>206341.0</v>
      </c>
      <c r="K86" s="206" t="s">
        <v>607</v>
      </c>
      <c r="L86" s="100" t="s">
        <v>258</v>
      </c>
      <c r="M86" s="205">
        <v>10000.0</v>
      </c>
      <c r="N86" s="50">
        <v>108.0</v>
      </c>
      <c r="O86" s="50">
        <v>2.0</v>
      </c>
      <c r="P86" s="50">
        <v>320.0</v>
      </c>
      <c r="Q86" s="50" t="s">
        <v>213</v>
      </c>
      <c r="R86" s="50" t="s">
        <v>149</v>
      </c>
      <c r="S86" s="50">
        <f>N86/8</f>
        <v>13.5</v>
      </c>
      <c r="T86" s="50">
        <f>39.3*O86</f>
        <v>78.6</v>
      </c>
      <c r="U86" s="69">
        <f>T86/S86</f>
        <v>5.822222222</v>
      </c>
      <c r="V86" s="70">
        <f>M86/U86</f>
        <v>1717.557252</v>
      </c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40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40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  <c r="CD99" s="40"/>
      <c r="CE99" s="40"/>
      <c r="CF99" s="40"/>
      <c r="CG99" s="40"/>
      <c r="CH99" s="40"/>
      <c r="CI99" s="40"/>
      <c r="CJ99" s="40"/>
      <c r="CK99" s="40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40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40"/>
      <c r="CO102" s="40"/>
      <c r="CP102" s="40"/>
      <c r="CQ102" s="40"/>
      <c r="CR102" s="40"/>
      <c r="CS102" s="40"/>
      <c r="CT102" s="40"/>
      <c r="CU102" s="40"/>
      <c r="CV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40"/>
      <c r="CP103" s="40"/>
      <c r="CQ103" s="40"/>
      <c r="CR103" s="40"/>
      <c r="CS103" s="40"/>
      <c r="CT103" s="40"/>
      <c r="CU103" s="40"/>
      <c r="CV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40"/>
      <c r="CQ104" s="40"/>
      <c r="CR104" s="40"/>
      <c r="CS104" s="40"/>
      <c r="CT104" s="40"/>
      <c r="CU104" s="40"/>
      <c r="CV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40"/>
      <c r="CR105" s="40"/>
      <c r="CS105" s="40"/>
      <c r="CT105" s="40"/>
      <c r="CU105" s="40"/>
      <c r="CV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40"/>
      <c r="CS106" s="40"/>
      <c r="CT106" s="40"/>
      <c r="CU106" s="40"/>
      <c r="CV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40"/>
      <c r="CT107" s="40"/>
      <c r="CU107" s="40"/>
      <c r="CV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40"/>
      <c r="CU108" s="40"/>
      <c r="CV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40"/>
      <c r="CV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40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40"/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40"/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40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40"/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40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40"/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40"/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  <c r="CK145" s="40"/>
      <c r="CL145" s="40"/>
      <c r="CM145" s="40"/>
      <c r="CN145" s="40"/>
      <c r="CO145" s="40"/>
      <c r="CP145" s="40"/>
      <c r="CQ145" s="40"/>
      <c r="CR145" s="40"/>
      <c r="CS145" s="40"/>
      <c r="CT145" s="40"/>
      <c r="CU145" s="40"/>
      <c r="CV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  <c r="CK146" s="40"/>
      <c r="CL146" s="40"/>
      <c r="CM146" s="40"/>
      <c r="CN146" s="40"/>
      <c r="CO146" s="40"/>
      <c r="CP146" s="40"/>
      <c r="CQ146" s="40"/>
      <c r="CR146" s="40"/>
      <c r="CS146" s="40"/>
      <c r="CT146" s="40"/>
      <c r="CU146" s="40"/>
      <c r="CV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G147" s="40"/>
      <c r="CH147" s="40"/>
      <c r="CI147" s="40"/>
      <c r="CJ147" s="40"/>
      <c r="CK147" s="40"/>
      <c r="CL147" s="40"/>
      <c r="CM147" s="40"/>
      <c r="CN147" s="40"/>
      <c r="CO147" s="40"/>
      <c r="CP147" s="40"/>
      <c r="CQ147" s="40"/>
      <c r="CR147" s="40"/>
      <c r="CS147" s="40"/>
      <c r="CT147" s="40"/>
      <c r="CU147" s="40"/>
      <c r="CV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G148" s="40"/>
      <c r="CH148" s="40"/>
      <c r="CI148" s="40"/>
      <c r="CJ148" s="40"/>
      <c r="CK148" s="40"/>
      <c r="CL148" s="40"/>
      <c r="CM148" s="40"/>
      <c r="CN148" s="40"/>
      <c r="CO148" s="40"/>
      <c r="CP148" s="40"/>
      <c r="CQ148" s="40"/>
      <c r="CR148" s="40"/>
      <c r="CS148" s="40"/>
      <c r="CT148" s="40"/>
      <c r="CU148" s="40"/>
      <c r="CV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  <c r="CI149" s="40"/>
      <c r="CJ149" s="40"/>
      <c r="CK149" s="40"/>
      <c r="CL149" s="40"/>
      <c r="CM149" s="40"/>
      <c r="CN149" s="40"/>
      <c r="CO149" s="40"/>
      <c r="CP149" s="40"/>
      <c r="CQ149" s="40"/>
      <c r="CR149" s="40"/>
      <c r="CS149" s="40"/>
      <c r="CT149" s="40"/>
      <c r="CU149" s="40"/>
      <c r="CV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  <c r="CI150" s="40"/>
      <c r="CJ150" s="40"/>
      <c r="CK150" s="40"/>
      <c r="CL150" s="40"/>
      <c r="CM150" s="40"/>
      <c r="CN150" s="40"/>
      <c r="CO150" s="40"/>
      <c r="CP150" s="40"/>
      <c r="CQ150" s="40"/>
      <c r="CR150" s="40"/>
      <c r="CS150" s="40"/>
      <c r="CT150" s="40"/>
      <c r="CU150" s="40"/>
      <c r="CV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G151" s="40"/>
      <c r="CH151" s="40"/>
      <c r="CI151" s="40"/>
      <c r="CJ151" s="40"/>
      <c r="CK151" s="40"/>
      <c r="CL151" s="40"/>
      <c r="CM151" s="40"/>
      <c r="CN151" s="40"/>
      <c r="CO151" s="40"/>
      <c r="CP151" s="40"/>
      <c r="CQ151" s="40"/>
      <c r="CR151" s="40"/>
      <c r="CS151" s="40"/>
      <c r="CT151" s="40"/>
      <c r="CU151" s="40"/>
      <c r="CV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G152" s="40"/>
      <c r="CH152" s="40"/>
      <c r="CI152" s="40"/>
      <c r="CJ152" s="40"/>
      <c r="CK152" s="40"/>
      <c r="CL152" s="40"/>
      <c r="CM152" s="40"/>
      <c r="CN152" s="40"/>
      <c r="CO152" s="40"/>
      <c r="CP152" s="40"/>
      <c r="CQ152" s="40"/>
      <c r="CR152" s="40"/>
      <c r="CS152" s="40"/>
      <c r="CT152" s="40"/>
      <c r="CU152" s="40"/>
      <c r="CV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C153" s="40"/>
      <c r="CD153" s="40"/>
      <c r="CE153" s="40"/>
      <c r="CF153" s="40"/>
      <c r="CG153" s="40"/>
      <c r="CH153" s="40"/>
      <c r="CI153" s="40"/>
      <c r="CJ153" s="40"/>
      <c r="CK153" s="40"/>
      <c r="CL153" s="40"/>
      <c r="CM153" s="40"/>
      <c r="CN153" s="40"/>
      <c r="CO153" s="40"/>
      <c r="CP153" s="40"/>
      <c r="CQ153" s="40"/>
      <c r="CR153" s="40"/>
      <c r="CS153" s="40"/>
      <c r="CT153" s="40"/>
      <c r="CU153" s="40"/>
      <c r="CV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40"/>
      <c r="CE154" s="40"/>
      <c r="CF154" s="40"/>
      <c r="CG154" s="40"/>
      <c r="CH154" s="40"/>
      <c r="CI154" s="40"/>
      <c r="CJ154" s="40"/>
      <c r="CK154" s="40"/>
      <c r="CL154" s="40"/>
      <c r="CM154" s="40"/>
      <c r="CN154" s="40"/>
      <c r="CO154" s="40"/>
      <c r="CP154" s="40"/>
      <c r="CQ154" s="40"/>
      <c r="CR154" s="40"/>
      <c r="CS154" s="40"/>
      <c r="CT154" s="40"/>
      <c r="CU154" s="40"/>
      <c r="CV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G156" s="40"/>
      <c r="CH156" s="40"/>
      <c r="CI156" s="40"/>
      <c r="CJ156" s="40"/>
      <c r="CK156" s="40"/>
      <c r="CL156" s="40"/>
      <c r="CM156" s="40"/>
      <c r="CN156" s="40"/>
      <c r="CO156" s="40"/>
      <c r="CP156" s="40"/>
      <c r="CQ156" s="40"/>
      <c r="CR156" s="40"/>
      <c r="CS156" s="40"/>
      <c r="CT156" s="40"/>
      <c r="CU156" s="40"/>
      <c r="CV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G157" s="40"/>
      <c r="CH157" s="40"/>
      <c r="CI157" s="40"/>
      <c r="CJ157" s="40"/>
      <c r="CK157" s="40"/>
      <c r="CL157" s="40"/>
      <c r="CM157" s="40"/>
      <c r="CN157" s="40"/>
      <c r="CO157" s="40"/>
      <c r="CP157" s="40"/>
      <c r="CQ157" s="40"/>
      <c r="CR157" s="40"/>
      <c r="CS157" s="40"/>
      <c r="CT157" s="40"/>
      <c r="CU157" s="40"/>
      <c r="CV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  <c r="CK158" s="40"/>
      <c r="CL158" s="40"/>
      <c r="CM158" s="40"/>
      <c r="CN158" s="40"/>
      <c r="CO158" s="40"/>
      <c r="CP158" s="40"/>
      <c r="CQ158" s="40"/>
      <c r="CR158" s="40"/>
      <c r="CS158" s="40"/>
      <c r="CT158" s="40"/>
      <c r="CU158" s="40"/>
      <c r="CV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  <c r="CD159" s="40"/>
      <c r="CE159" s="40"/>
      <c r="CF159" s="40"/>
      <c r="CG159" s="40"/>
      <c r="CH159" s="40"/>
      <c r="CI159" s="40"/>
      <c r="CJ159" s="40"/>
      <c r="CK159" s="40"/>
      <c r="CL159" s="40"/>
      <c r="CM159" s="40"/>
      <c r="CN159" s="40"/>
      <c r="CO159" s="40"/>
      <c r="CP159" s="40"/>
      <c r="CQ159" s="40"/>
      <c r="CR159" s="40"/>
      <c r="CS159" s="40"/>
      <c r="CT159" s="40"/>
      <c r="CU159" s="40"/>
      <c r="CV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  <c r="CB160" s="40"/>
      <c r="CC160" s="40"/>
      <c r="CD160" s="40"/>
      <c r="CE160" s="40"/>
      <c r="CF160" s="40"/>
      <c r="CG160" s="40"/>
      <c r="CH160" s="40"/>
      <c r="CI160" s="40"/>
      <c r="CJ160" s="40"/>
      <c r="CK160" s="40"/>
      <c r="CL160" s="40"/>
      <c r="CM160" s="40"/>
      <c r="CN160" s="40"/>
      <c r="CO160" s="40"/>
      <c r="CP160" s="40"/>
      <c r="CQ160" s="40"/>
      <c r="CR160" s="40"/>
      <c r="CS160" s="40"/>
      <c r="CT160" s="40"/>
      <c r="CU160" s="40"/>
      <c r="CV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0"/>
      <c r="CA161" s="40"/>
      <c r="CB161" s="40"/>
      <c r="CC161" s="40"/>
      <c r="CD161" s="40"/>
      <c r="CE161" s="40"/>
      <c r="CF161" s="40"/>
      <c r="CG161" s="40"/>
      <c r="CH161" s="40"/>
      <c r="CI161" s="40"/>
      <c r="CJ161" s="40"/>
      <c r="CK161" s="40"/>
      <c r="CL161" s="40"/>
      <c r="CM161" s="40"/>
      <c r="CN161" s="40"/>
      <c r="CO161" s="40"/>
      <c r="CP161" s="40"/>
      <c r="CQ161" s="40"/>
      <c r="CR161" s="40"/>
      <c r="CS161" s="40"/>
      <c r="CT161" s="40"/>
      <c r="CU161" s="40"/>
      <c r="CV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0"/>
      <c r="CA162" s="40"/>
      <c r="CB162" s="40"/>
      <c r="CC162" s="40"/>
      <c r="CD162" s="40"/>
      <c r="CE162" s="40"/>
      <c r="CF162" s="40"/>
      <c r="CG162" s="40"/>
      <c r="CH162" s="40"/>
      <c r="CI162" s="40"/>
      <c r="CJ162" s="40"/>
      <c r="CK162" s="40"/>
      <c r="CL162" s="40"/>
      <c r="CM162" s="40"/>
      <c r="CN162" s="40"/>
      <c r="CO162" s="40"/>
      <c r="CP162" s="40"/>
      <c r="CQ162" s="40"/>
      <c r="CR162" s="40"/>
      <c r="CS162" s="40"/>
      <c r="CT162" s="40"/>
      <c r="CU162" s="40"/>
      <c r="CV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  <c r="BW163" s="40"/>
      <c r="BX163" s="40"/>
      <c r="BY163" s="40"/>
      <c r="BZ163" s="40"/>
      <c r="CA163" s="40"/>
      <c r="CB163" s="40"/>
      <c r="CC163" s="40"/>
      <c r="CD163" s="40"/>
      <c r="CE163" s="40"/>
      <c r="CF163" s="40"/>
      <c r="CG163" s="40"/>
      <c r="CH163" s="40"/>
      <c r="CI163" s="40"/>
      <c r="CJ163" s="40"/>
      <c r="CK163" s="40"/>
      <c r="CL163" s="40"/>
      <c r="CM163" s="40"/>
      <c r="CN163" s="40"/>
      <c r="CO163" s="40"/>
      <c r="CP163" s="40"/>
      <c r="CQ163" s="40"/>
      <c r="CR163" s="40"/>
      <c r="CS163" s="40"/>
      <c r="CT163" s="40"/>
      <c r="CU163" s="40"/>
      <c r="CV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40"/>
      <c r="BX164" s="40"/>
      <c r="BY164" s="40"/>
      <c r="BZ164" s="40"/>
      <c r="CA164" s="40"/>
      <c r="CB164" s="40"/>
      <c r="CC164" s="40"/>
      <c r="CD164" s="40"/>
      <c r="CE164" s="40"/>
      <c r="CF164" s="40"/>
      <c r="CG164" s="40"/>
      <c r="CH164" s="40"/>
      <c r="CI164" s="40"/>
      <c r="CJ164" s="40"/>
      <c r="CK164" s="40"/>
      <c r="CL164" s="40"/>
      <c r="CM164" s="40"/>
      <c r="CN164" s="40"/>
      <c r="CO164" s="40"/>
      <c r="CP164" s="40"/>
      <c r="CQ164" s="40"/>
      <c r="CR164" s="40"/>
      <c r="CS164" s="40"/>
      <c r="CT164" s="40"/>
      <c r="CU164" s="40"/>
      <c r="CV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  <c r="BW165" s="40"/>
      <c r="BX165" s="40"/>
      <c r="BY165" s="40"/>
      <c r="BZ165" s="40"/>
      <c r="CA165" s="40"/>
      <c r="CB165" s="40"/>
      <c r="CC165" s="40"/>
      <c r="CD165" s="40"/>
      <c r="CE165" s="40"/>
      <c r="CF165" s="40"/>
      <c r="CG165" s="40"/>
      <c r="CH165" s="40"/>
      <c r="CI165" s="40"/>
      <c r="CJ165" s="40"/>
      <c r="CK165" s="40"/>
      <c r="CL165" s="40"/>
      <c r="CM165" s="40"/>
      <c r="CN165" s="40"/>
      <c r="CO165" s="40"/>
      <c r="CP165" s="40"/>
      <c r="CQ165" s="40"/>
      <c r="CR165" s="40"/>
      <c r="CS165" s="40"/>
      <c r="CT165" s="40"/>
      <c r="CU165" s="40"/>
      <c r="CV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  <c r="BW166" s="40"/>
      <c r="BX166" s="40"/>
      <c r="BY166" s="40"/>
      <c r="BZ166" s="40"/>
      <c r="CA166" s="40"/>
      <c r="CB166" s="40"/>
      <c r="CC166" s="40"/>
      <c r="CD166" s="40"/>
      <c r="CE166" s="40"/>
      <c r="CF166" s="40"/>
      <c r="CG166" s="40"/>
      <c r="CH166" s="40"/>
      <c r="CI166" s="40"/>
      <c r="CJ166" s="40"/>
      <c r="CK166" s="40"/>
      <c r="CL166" s="40"/>
      <c r="CM166" s="40"/>
      <c r="CN166" s="40"/>
      <c r="CO166" s="40"/>
      <c r="CP166" s="40"/>
      <c r="CQ166" s="40"/>
      <c r="CR166" s="40"/>
      <c r="CS166" s="40"/>
      <c r="CT166" s="40"/>
      <c r="CU166" s="40"/>
      <c r="CV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  <c r="BW167" s="40"/>
      <c r="BX167" s="40"/>
      <c r="BY167" s="40"/>
      <c r="BZ167" s="40"/>
      <c r="CA167" s="40"/>
      <c r="CB167" s="40"/>
      <c r="CC167" s="40"/>
      <c r="CD167" s="40"/>
      <c r="CE167" s="40"/>
      <c r="CF167" s="40"/>
      <c r="CG167" s="40"/>
      <c r="CH167" s="40"/>
      <c r="CI167" s="40"/>
      <c r="CJ167" s="40"/>
      <c r="CK167" s="40"/>
      <c r="CL167" s="40"/>
      <c r="CM167" s="40"/>
      <c r="CN167" s="40"/>
      <c r="CO167" s="40"/>
      <c r="CP167" s="40"/>
      <c r="CQ167" s="40"/>
      <c r="CR167" s="40"/>
      <c r="CS167" s="40"/>
      <c r="CT167" s="40"/>
      <c r="CU167" s="40"/>
      <c r="CV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  <c r="CD168" s="40"/>
      <c r="CE168" s="40"/>
      <c r="CF168" s="40"/>
      <c r="CG168" s="40"/>
      <c r="CH168" s="40"/>
      <c r="CI168" s="40"/>
      <c r="CJ168" s="40"/>
      <c r="CK168" s="40"/>
      <c r="CL168" s="40"/>
      <c r="CM168" s="40"/>
      <c r="CN168" s="40"/>
      <c r="CO168" s="40"/>
      <c r="CP168" s="40"/>
      <c r="CQ168" s="40"/>
      <c r="CR168" s="40"/>
      <c r="CS168" s="40"/>
      <c r="CT168" s="40"/>
      <c r="CU168" s="40"/>
      <c r="CV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0"/>
      <c r="CA169" s="40"/>
      <c r="CB169" s="40"/>
      <c r="CC169" s="40"/>
      <c r="CD169" s="40"/>
      <c r="CE169" s="40"/>
      <c r="CF169" s="40"/>
      <c r="CG169" s="40"/>
      <c r="CH169" s="40"/>
      <c r="CI169" s="40"/>
      <c r="CJ169" s="40"/>
      <c r="CK169" s="40"/>
      <c r="CL169" s="40"/>
      <c r="CM169" s="40"/>
      <c r="CN169" s="40"/>
      <c r="CO169" s="40"/>
      <c r="CP169" s="40"/>
      <c r="CQ169" s="40"/>
      <c r="CR169" s="40"/>
      <c r="CS169" s="40"/>
      <c r="CT169" s="40"/>
      <c r="CU169" s="40"/>
      <c r="CV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  <c r="CH170" s="40"/>
      <c r="CI170" s="40"/>
      <c r="CJ170" s="40"/>
      <c r="CK170" s="40"/>
      <c r="CL170" s="40"/>
      <c r="CM170" s="40"/>
      <c r="CN170" s="40"/>
      <c r="CO170" s="40"/>
      <c r="CP170" s="40"/>
      <c r="CQ170" s="40"/>
      <c r="CR170" s="40"/>
      <c r="CS170" s="40"/>
      <c r="CT170" s="40"/>
      <c r="CU170" s="40"/>
      <c r="CV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  <c r="CD171" s="40"/>
      <c r="CE171" s="40"/>
      <c r="CF171" s="40"/>
      <c r="CG171" s="40"/>
      <c r="CH171" s="40"/>
      <c r="CI171" s="40"/>
      <c r="CJ171" s="40"/>
      <c r="CK171" s="40"/>
      <c r="CL171" s="40"/>
      <c r="CM171" s="40"/>
      <c r="CN171" s="40"/>
      <c r="CO171" s="40"/>
      <c r="CP171" s="40"/>
      <c r="CQ171" s="40"/>
      <c r="CR171" s="40"/>
      <c r="CS171" s="40"/>
      <c r="CT171" s="40"/>
      <c r="CU171" s="40"/>
      <c r="CV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  <c r="BW172" s="40"/>
      <c r="BX172" s="40"/>
      <c r="BY172" s="40"/>
      <c r="BZ172" s="40"/>
      <c r="CA172" s="40"/>
      <c r="CB172" s="40"/>
      <c r="CC172" s="40"/>
      <c r="CD172" s="40"/>
      <c r="CE172" s="40"/>
      <c r="CF172" s="40"/>
      <c r="CG172" s="40"/>
      <c r="CH172" s="40"/>
      <c r="CI172" s="40"/>
      <c r="CJ172" s="40"/>
      <c r="CK172" s="40"/>
      <c r="CL172" s="40"/>
      <c r="CM172" s="40"/>
      <c r="CN172" s="40"/>
      <c r="CO172" s="40"/>
      <c r="CP172" s="40"/>
      <c r="CQ172" s="40"/>
      <c r="CR172" s="40"/>
      <c r="CS172" s="40"/>
      <c r="CT172" s="40"/>
      <c r="CU172" s="40"/>
      <c r="CV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  <c r="BW173" s="40"/>
      <c r="BX173" s="40"/>
      <c r="BY173" s="40"/>
      <c r="BZ173" s="40"/>
      <c r="CA173" s="40"/>
      <c r="CB173" s="40"/>
      <c r="CC173" s="40"/>
      <c r="CD173" s="40"/>
      <c r="CE173" s="40"/>
      <c r="CF173" s="40"/>
      <c r="CG173" s="40"/>
      <c r="CH173" s="40"/>
      <c r="CI173" s="40"/>
      <c r="CJ173" s="40"/>
      <c r="CK173" s="40"/>
      <c r="CL173" s="40"/>
      <c r="CM173" s="40"/>
      <c r="CN173" s="40"/>
      <c r="CO173" s="40"/>
      <c r="CP173" s="40"/>
      <c r="CQ173" s="40"/>
      <c r="CR173" s="40"/>
      <c r="CS173" s="40"/>
      <c r="CT173" s="40"/>
      <c r="CU173" s="40"/>
      <c r="CV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  <c r="BW175" s="40"/>
      <c r="BX175" s="40"/>
      <c r="BY175" s="40"/>
      <c r="BZ175" s="40"/>
      <c r="CA175" s="40"/>
      <c r="CB175" s="40"/>
      <c r="CC175" s="40"/>
      <c r="CD175" s="40"/>
      <c r="CE175" s="40"/>
      <c r="CF175" s="40"/>
      <c r="CG175" s="40"/>
      <c r="CH175" s="40"/>
      <c r="CI175" s="40"/>
      <c r="CJ175" s="40"/>
      <c r="CK175" s="40"/>
      <c r="CL175" s="40"/>
      <c r="CM175" s="40"/>
      <c r="CN175" s="40"/>
      <c r="CO175" s="40"/>
      <c r="CP175" s="40"/>
      <c r="CQ175" s="40"/>
      <c r="CR175" s="40"/>
      <c r="CS175" s="40"/>
      <c r="CT175" s="40"/>
      <c r="CU175" s="40"/>
      <c r="CV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  <c r="BW176" s="40"/>
      <c r="BX176" s="40"/>
      <c r="BY176" s="40"/>
      <c r="BZ176" s="40"/>
      <c r="CA176" s="40"/>
      <c r="CB176" s="40"/>
      <c r="CC176" s="40"/>
      <c r="CD176" s="40"/>
      <c r="CE176" s="40"/>
      <c r="CF176" s="40"/>
      <c r="CG176" s="40"/>
      <c r="CH176" s="40"/>
      <c r="CI176" s="40"/>
      <c r="CJ176" s="40"/>
      <c r="CK176" s="40"/>
      <c r="CL176" s="40"/>
      <c r="CM176" s="40"/>
      <c r="CN176" s="40"/>
      <c r="CO176" s="40"/>
      <c r="CP176" s="40"/>
      <c r="CQ176" s="40"/>
      <c r="CR176" s="40"/>
      <c r="CS176" s="40"/>
      <c r="CT176" s="40"/>
      <c r="CU176" s="40"/>
      <c r="CV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  <c r="BW177" s="40"/>
      <c r="BX177" s="40"/>
      <c r="BY177" s="40"/>
      <c r="BZ177" s="40"/>
      <c r="CA177" s="40"/>
      <c r="CB177" s="40"/>
      <c r="CC177" s="40"/>
      <c r="CD177" s="40"/>
      <c r="CE177" s="40"/>
      <c r="CF177" s="40"/>
      <c r="CG177" s="40"/>
      <c r="CH177" s="40"/>
      <c r="CI177" s="40"/>
      <c r="CJ177" s="40"/>
      <c r="CK177" s="40"/>
      <c r="CL177" s="40"/>
      <c r="CM177" s="40"/>
      <c r="CN177" s="40"/>
      <c r="CO177" s="40"/>
      <c r="CP177" s="40"/>
      <c r="CQ177" s="40"/>
      <c r="CR177" s="40"/>
      <c r="CS177" s="40"/>
      <c r="CT177" s="40"/>
      <c r="CU177" s="40"/>
      <c r="CV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  <c r="BW178" s="40"/>
      <c r="BX178" s="40"/>
      <c r="BY178" s="40"/>
      <c r="BZ178" s="40"/>
      <c r="CA178" s="40"/>
      <c r="CB178" s="40"/>
      <c r="CC178" s="40"/>
      <c r="CD178" s="40"/>
      <c r="CE178" s="40"/>
      <c r="CF178" s="40"/>
      <c r="CG178" s="40"/>
      <c r="CH178" s="40"/>
      <c r="CI178" s="40"/>
      <c r="CJ178" s="40"/>
      <c r="CK178" s="40"/>
      <c r="CL178" s="40"/>
      <c r="CM178" s="40"/>
      <c r="CN178" s="40"/>
      <c r="CO178" s="40"/>
      <c r="CP178" s="40"/>
      <c r="CQ178" s="40"/>
      <c r="CR178" s="40"/>
      <c r="CS178" s="40"/>
      <c r="CT178" s="40"/>
      <c r="CU178" s="40"/>
      <c r="CV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  <c r="BW179" s="40"/>
      <c r="BX179" s="40"/>
      <c r="BY179" s="40"/>
      <c r="BZ179" s="40"/>
      <c r="CA179" s="40"/>
      <c r="CB179" s="40"/>
      <c r="CC179" s="40"/>
      <c r="CD179" s="40"/>
      <c r="CE179" s="40"/>
      <c r="CF179" s="40"/>
      <c r="CG179" s="40"/>
      <c r="CH179" s="40"/>
      <c r="CI179" s="40"/>
      <c r="CJ179" s="40"/>
      <c r="CK179" s="40"/>
      <c r="CL179" s="40"/>
      <c r="CM179" s="40"/>
      <c r="CN179" s="40"/>
      <c r="CO179" s="40"/>
      <c r="CP179" s="40"/>
      <c r="CQ179" s="40"/>
      <c r="CR179" s="40"/>
      <c r="CS179" s="40"/>
      <c r="CT179" s="40"/>
      <c r="CU179" s="40"/>
      <c r="CV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  <c r="BW180" s="40"/>
      <c r="BX180" s="40"/>
      <c r="BY180" s="40"/>
      <c r="BZ180" s="40"/>
      <c r="CA180" s="40"/>
      <c r="CB180" s="40"/>
      <c r="CC180" s="40"/>
      <c r="CD180" s="40"/>
      <c r="CE180" s="40"/>
      <c r="CF180" s="40"/>
      <c r="CG180" s="40"/>
      <c r="CH180" s="40"/>
      <c r="CI180" s="40"/>
      <c r="CJ180" s="40"/>
      <c r="CK180" s="40"/>
      <c r="CL180" s="40"/>
      <c r="CM180" s="40"/>
      <c r="CN180" s="40"/>
      <c r="CO180" s="40"/>
      <c r="CP180" s="40"/>
      <c r="CQ180" s="40"/>
      <c r="CR180" s="40"/>
      <c r="CS180" s="40"/>
      <c r="CT180" s="40"/>
      <c r="CU180" s="40"/>
      <c r="CV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  <c r="BW181" s="40"/>
      <c r="BX181" s="40"/>
      <c r="BY181" s="40"/>
      <c r="BZ181" s="40"/>
      <c r="CA181" s="40"/>
      <c r="CB181" s="40"/>
      <c r="CC181" s="40"/>
      <c r="CD181" s="40"/>
      <c r="CE181" s="40"/>
      <c r="CF181" s="40"/>
      <c r="CG181" s="40"/>
      <c r="CH181" s="40"/>
      <c r="CI181" s="40"/>
      <c r="CJ181" s="40"/>
      <c r="CK181" s="40"/>
      <c r="CL181" s="40"/>
      <c r="CM181" s="40"/>
      <c r="CN181" s="40"/>
      <c r="CO181" s="40"/>
      <c r="CP181" s="40"/>
      <c r="CQ181" s="40"/>
      <c r="CR181" s="40"/>
      <c r="CS181" s="40"/>
      <c r="CT181" s="40"/>
      <c r="CU181" s="40"/>
      <c r="CV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0"/>
      <c r="BX182" s="40"/>
      <c r="BY182" s="40"/>
      <c r="BZ182" s="40"/>
      <c r="CA182" s="40"/>
      <c r="CB182" s="40"/>
      <c r="CC182" s="40"/>
      <c r="CD182" s="40"/>
      <c r="CE182" s="40"/>
      <c r="CF182" s="40"/>
      <c r="CG182" s="40"/>
      <c r="CH182" s="40"/>
      <c r="CI182" s="40"/>
      <c r="CJ182" s="40"/>
      <c r="CK182" s="40"/>
      <c r="CL182" s="40"/>
      <c r="CM182" s="40"/>
      <c r="CN182" s="40"/>
      <c r="CO182" s="40"/>
      <c r="CP182" s="40"/>
      <c r="CQ182" s="40"/>
      <c r="CR182" s="40"/>
      <c r="CS182" s="40"/>
      <c r="CT182" s="40"/>
      <c r="CU182" s="40"/>
      <c r="CV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  <c r="BW183" s="40"/>
      <c r="BX183" s="40"/>
      <c r="BY183" s="40"/>
      <c r="BZ183" s="40"/>
      <c r="CA183" s="40"/>
      <c r="CB183" s="40"/>
      <c r="CC183" s="40"/>
      <c r="CD183" s="40"/>
      <c r="CE183" s="40"/>
      <c r="CF183" s="40"/>
      <c r="CG183" s="40"/>
      <c r="CH183" s="40"/>
      <c r="CI183" s="40"/>
      <c r="CJ183" s="40"/>
      <c r="CK183" s="40"/>
      <c r="CL183" s="40"/>
      <c r="CM183" s="40"/>
      <c r="CN183" s="40"/>
      <c r="CO183" s="40"/>
      <c r="CP183" s="40"/>
      <c r="CQ183" s="40"/>
      <c r="CR183" s="40"/>
      <c r="CS183" s="40"/>
      <c r="CT183" s="40"/>
      <c r="CU183" s="40"/>
      <c r="CV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  <c r="BW184" s="40"/>
      <c r="BX184" s="40"/>
      <c r="BY184" s="40"/>
      <c r="BZ184" s="40"/>
      <c r="CA184" s="40"/>
      <c r="CB184" s="40"/>
      <c r="CC184" s="40"/>
      <c r="CD184" s="40"/>
      <c r="CE184" s="40"/>
      <c r="CF184" s="40"/>
      <c r="CG184" s="40"/>
      <c r="CH184" s="40"/>
      <c r="CI184" s="40"/>
      <c r="CJ184" s="40"/>
      <c r="CK184" s="40"/>
      <c r="CL184" s="40"/>
      <c r="CM184" s="40"/>
      <c r="CN184" s="40"/>
      <c r="CO184" s="40"/>
      <c r="CP184" s="40"/>
      <c r="CQ184" s="40"/>
      <c r="CR184" s="40"/>
      <c r="CS184" s="40"/>
      <c r="CT184" s="40"/>
      <c r="CU184" s="40"/>
      <c r="CV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  <c r="BW185" s="40"/>
      <c r="BX185" s="40"/>
      <c r="BY185" s="40"/>
      <c r="BZ185" s="40"/>
      <c r="CA185" s="40"/>
      <c r="CB185" s="40"/>
      <c r="CC185" s="40"/>
      <c r="CD185" s="40"/>
      <c r="CE185" s="40"/>
      <c r="CF185" s="40"/>
      <c r="CG185" s="40"/>
      <c r="CH185" s="40"/>
      <c r="CI185" s="40"/>
      <c r="CJ185" s="40"/>
      <c r="CK185" s="40"/>
      <c r="CL185" s="40"/>
      <c r="CM185" s="40"/>
      <c r="CN185" s="40"/>
      <c r="CO185" s="40"/>
      <c r="CP185" s="40"/>
      <c r="CQ185" s="40"/>
      <c r="CR185" s="40"/>
      <c r="CS185" s="40"/>
      <c r="CT185" s="40"/>
      <c r="CU185" s="40"/>
      <c r="CV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  <c r="BW186" s="40"/>
      <c r="BX186" s="40"/>
      <c r="BY186" s="40"/>
      <c r="BZ186" s="40"/>
      <c r="CA186" s="40"/>
      <c r="CB186" s="40"/>
      <c r="CC186" s="40"/>
      <c r="CD186" s="40"/>
      <c r="CE186" s="40"/>
      <c r="CF186" s="40"/>
      <c r="CG186" s="40"/>
      <c r="CH186" s="40"/>
      <c r="CI186" s="40"/>
      <c r="CJ186" s="40"/>
      <c r="CK186" s="40"/>
      <c r="CL186" s="40"/>
      <c r="CM186" s="40"/>
      <c r="CN186" s="40"/>
      <c r="CO186" s="40"/>
      <c r="CP186" s="40"/>
      <c r="CQ186" s="40"/>
      <c r="CR186" s="40"/>
      <c r="CS186" s="40"/>
      <c r="CT186" s="40"/>
      <c r="CU186" s="40"/>
      <c r="CV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  <c r="BW187" s="40"/>
      <c r="BX187" s="40"/>
      <c r="BY187" s="40"/>
      <c r="BZ187" s="40"/>
      <c r="CA187" s="40"/>
      <c r="CB187" s="40"/>
      <c r="CC187" s="40"/>
      <c r="CD187" s="40"/>
      <c r="CE187" s="40"/>
      <c r="CF187" s="40"/>
      <c r="CG187" s="40"/>
      <c r="CH187" s="40"/>
      <c r="CI187" s="40"/>
      <c r="CJ187" s="40"/>
      <c r="CK187" s="40"/>
      <c r="CL187" s="40"/>
      <c r="CM187" s="40"/>
      <c r="CN187" s="40"/>
      <c r="CO187" s="40"/>
      <c r="CP187" s="40"/>
      <c r="CQ187" s="40"/>
      <c r="CR187" s="40"/>
      <c r="CS187" s="40"/>
      <c r="CT187" s="40"/>
      <c r="CU187" s="40"/>
      <c r="CV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  <c r="BW188" s="40"/>
      <c r="BX188" s="40"/>
      <c r="BY188" s="40"/>
      <c r="BZ188" s="40"/>
      <c r="CA188" s="40"/>
      <c r="CB188" s="40"/>
      <c r="CC188" s="40"/>
      <c r="CD188" s="40"/>
      <c r="CE188" s="40"/>
      <c r="CF188" s="40"/>
      <c r="CG188" s="40"/>
      <c r="CH188" s="40"/>
      <c r="CI188" s="40"/>
      <c r="CJ188" s="40"/>
      <c r="CK188" s="40"/>
      <c r="CL188" s="40"/>
      <c r="CM188" s="40"/>
      <c r="CN188" s="40"/>
      <c r="CO188" s="40"/>
      <c r="CP188" s="40"/>
      <c r="CQ188" s="40"/>
      <c r="CR188" s="40"/>
      <c r="CS188" s="40"/>
      <c r="CT188" s="40"/>
      <c r="CU188" s="40"/>
      <c r="CV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  <c r="BW189" s="40"/>
      <c r="BX189" s="40"/>
      <c r="BY189" s="40"/>
      <c r="BZ189" s="40"/>
      <c r="CA189" s="40"/>
      <c r="CB189" s="40"/>
      <c r="CC189" s="40"/>
      <c r="CD189" s="40"/>
      <c r="CE189" s="40"/>
      <c r="CF189" s="40"/>
      <c r="CG189" s="40"/>
      <c r="CH189" s="40"/>
      <c r="CI189" s="40"/>
      <c r="CJ189" s="40"/>
      <c r="CK189" s="40"/>
      <c r="CL189" s="40"/>
      <c r="CM189" s="40"/>
      <c r="CN189" s="40"/>
      <c r="CO189" s="40"/>
      <c r="CP189" s="40"/>
      <c r="CQ189" s="40"/>
      <c r="CR189" s="40"/>
      <c r="CS189" s="40"/>
      <c r="CT189" s="40"/>
      <c r="CU189" s="40"/>
      <c r="CV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  <c r="BW190" s="40"/>
      <c r="BX190" s="40"/>
      <c r="BY190" s="40"/>
      <c r="BZ190" s="40"/>
      <c r="CA190" s="40"/>
      <c r="CB190" s="40"/>
      <c r="CC190" s="40"/>
      <c r="CD190" s="40"/>
      <c r="CE190" s="40"/>
      <c r="CF190" s="40"/>
      <c r="CG190" s="40"/>
      <c r="CH190" s="40"/>
      <c r="CI190" s="40"/>
      <c r="CJ190" s="40"/>
      <c r="CK190" s="40"/>
      <c r="CL190" s="40"/>
      <c r="CM190" s="40"/>
      <c r="CN190" s="40"/>
      <c r="CO190" s="40"/>
      <c r="CP190" s="40"/>
      <c r="CQ190" s="40"/>
      <c r="CR190" s="40"/>
      <c r="CS190" s="40"/>
      <c r="CT190" s="40"/>
      <c r="CU190" s="40"/>
      <c r="CV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  <c r="BW191" s="40"/>
      <c r="BX191" s="40"/>
      <c r="BY191" s="40"/>
      <c r="BZ191" s="40"/>
      <c r="CA191" s="40"/>
      <c r="CB191" s="40"/>
      <c r="CC191" s="40"/>
      <c r="CD191" s="40"/>
      <c r="CE191" s="40"/>
      <c r="CF191" s="40"/>
      <c r="CG191" s="40"/>
      <c r="CH191" s="40"/>
      <c r="CI191" s="40"/>
      <c r="CJ191" s="40"/>
      <c r="CK191" s="40"/>
      <c r="CL191" s="40"/>
      <c r="CM191" s="40"/>
      <c r="CN191" s="40"/>
      <c r="CO191" s="40"/>
      <c r="CP191" s="40"/>
      <c r="CQ191" s="40"/>
      <c r="CR191" s="40"/>
      <c r="CS191" s="40"/>
      <c r="CT191" s="40"/>
      <c r="CU191" s="40"/>
      <c r="CV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  <c r="BW192" s="40"/>
      <c r="BX192" s="40"/>
      <c r="BY192" s="40"/>
      <c r="BZ192" s="40"/>
      <c r="CA192" s="40"/>
      <c r="CB192" s="40"/>
      <c r="CC192" s="40"/>
      <c r="CD192" s="40"/>
      <c r="CE192" s="40"/>
      <c r="CF192" s="40"/>
      <c r="CG192" s="40"/>
      <c r="CH192" s="40"/>
      <c r="CI192" s="40"/>
      <c r="CJ192" s="40"/>
      <c r="CK192" s="40"/>
      <c r="CL192" s="40"/>
      <c r="CM192" s="40"/>
      <c r="CN192" s="40"/>
      <c r="CO192" s="40"/>
      <c r="CP192" s="40"/>
      <c r="CQ192" s="40"/>
      <c r="CR192" s="40"/>
      <c r="CS192" s="40"/>
      <c r="CT192" s="40"/>
      <c r="CU192" s="40"/>
      <c r="CV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  <c r="BW194" s="40"/>
      <c r="BX194" s="40"/>
      <c r="BY194" s="40"/>
      <c r="BZ194" s="40"/>
      <c r="CA194" s="40"/>
      <c r="CB194" s="40"/>
      <c r="CC194" s="40"/>
      <c r="CD194" s="40"/>
      <c r="CE194" s="40"/>
      <c r="CF194" s="40"/>
      <c r="CG194" s="40"/>
      <c r="CH194" s="40"/>
      <c r="CI194" s="40"/>
      <c r="CJ194" s="40"/>
      <c r="CK194" s="40"/>
      <c r="CL194" s="40"/>
      <c r="CM194" s="40"/>
      <c r="CN194" s="40"/>
      <c r="CO194" s="40"/>
      <c r="CP194" s="40"/>
      <c r="CQ194" s="40"/>
      <c r="CR194" s="40"/>
      <c r="CS194" s="40"/>
      <c r="CT194" s="40"/>
      <c r="CU194" s="40"/>
      <c r="CV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  <c r="BW195" s="40"/>
      <c r="BX195" s="40"/>
      <c r="BY195" s="40"/>
      <c r="BZ195" s="40"/>
      <c r="CA195" s="40"/>
      <c r="CB195" s="40"/>
      <c r="CC195" s="40"/>
      <c r="CD195" s="40"/>
      <c r="CE195" s="40"/>
      <c r="CF195" s="40"/>
      <c r="CG195" s="40"/>
      <c r="CH195" s="40"/>
      <c r="CI195" s="40"/>
      <c r="CJ195" s="40"/>
      <c r="CK195" s="40"/>
      <c r="CL195" s="40"/>
      <c r="CM195" s="40"/>
      <c r="CN195" s="40"/>
      <c r="CO195" s="40"/>
      <c r="CP195" s="40"/>
      <c r="CQ195" s="40"/>
      <c r="CR195" s="40"/>
      <c r="CS195" s="40"/>
      <c r="CT195" s="40"/>
      <c r="CU195" s="40"/>
      <c r="CV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  <c r="BW196" s="40"/>
      <c r="BX196" s="40"/>
      <c r="BY196" s="40"/>
      <c r="BZ196" s="40"/>
      <c r="CA196" s="40"/>
      <c r="CB196" s="40"/>
      <c r="CC196" s="40"/>
      <c r="CD196" s="40"/>
      <c r="CE196" s="40"/>
      <c r="CF196" s="40"/>
      <c r="CG196" s="40"/>
      <c r="CH196" s="40"/>
      <c r="CI196" s="40"/>
      <c r="CJ196" s="40"/>
      <c r="CK196" s="40"/>
      <c r="CL196" s="40"/>
      <c r="CM196" s="40"/>
      <c r="CN196" s="40"/>
      <c r="CO196" s="40"/>
      <c r="CP196" s="40"/>
      <c r="CQ196" s="40"/>
      <c r="CR196" s="40"/>
      <c r="CS196" s="40"/>
      <c r="CT196" s="40"/>
      <c r="CU196" s="40"/>
      <c r="CV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  <c r="BW197" s="40"/>
      <c r="BX197" s="40"/>
      <c r="BY197" s="40"/>
      <c r="BZ197" s="40"/>
      <c r="CA197" s="40"/>
      <c r="CB197" s="40"/>
      <c r="CC197" s="40"/>
      <c r="CD197" s="40"/>
      <c r="CE197" s="40"/>
      <c r="CF197" s="40"/>
      <c r="CG197" s="40"/>
      <c r="CH197" s="40"/>
      <c r="CI197" s="40"/>
      <c r="CJ197" s="40"/>
      <c r="CK197" s="40"/>
      <c r="CL197" s="40"/>
      <c r="CM197" s="40"/>
      <c r="CN197" s="40"/>
      <c r="CO197" s="40"/>
      <c r="CP197" s="40"/>
      <c r="CQ197" s="40"/>
      <c r="CR197" s="40"/>
      <c r="CS197" s="40"/>
      <c r="CT197" s="40"/>
      <c r="CU197" s="40"/>
      <c r="CV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  <c r="BW198" s="40"/>
      <c r="BX198" s="40"/>
      <c r="BY198" s="40"/>
      <c r="BZ198" s="40"/>
      <c r="CA198" s="40"/>
      <c r="CB198" s="40"/>
      <c r="CC198" s="40"/>
      <c r="CD198" s="40"/>
      <c r="CE198" s="40"/>
      <c r="CF198" s="40"/>
      <c r="CG198" s="40"/>
      <c r="CH198" s="40"/>
      <c r="CI198" s="40"/>
      <c r="CJ198" s="40"/>
      <c r="CK198" s="40"/>
      <c r="CL198" s="40"/>
      <c r="CM198" s="40"/>
      <c r="CN198" s="40"/>
      <c r="CO198" s="40"/>
      <c r="CP198" s="40"/>
      <c r="CQ198" s="40"/>
      <c r="CR198" s="40"/>
      <c r="CS198" s="40"/>
      <c r="CT198" s="40"/>
      <c r="CU198" s="40"/>
      <c r="CV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  <c r="BW199" s="40"/>
      <c r="BX199" s="40"/>
      <c r="BY199" s="40"/>
      <c r="BZ199" s="40"/>
      <c r="CA199" s="40"/>
      <c r="CB199" s="40"/>
      <c r="CC199" s="40"/>
      <c r="CD199" s="40"/>
      <c r="CE199" s="40"/>
      <c r="CF199" s="40"/>
      <c r="CG199" s="40"/>
      <c r="CH199" s="40"/>
      <c r="CI199" s="40"/>
      <c r="CJ199" s="40"/>
      <c r="CK199" s="40"/>
      <c r="CL199" s="40"/>
      <c r="CM199" s="40"/>
      <c r="CN199" s="40"/>
      <c r="CO199" s="40"/>
      <c r="CP199" s="40"/>
      <c r="CQ199" s="40"/>
      <c r="CR199" s="40"/>
      <c r="CS199" s="40"/>
      <c r="CT199" s="40"/>
      <c r="CU199" s="40"/>
      <c r="CV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  <c r="BW200" s="40"/>
      <c r="BX200" s="40"/>
      <c r="BY200" s="40"/>
      <c r="BZ200" s="40"/>
      <c r="CA200" s="40"/>
      <c r="CB200" s="40"/>
      <c r="CC200" s="40"/>
      <c r="CD200" s="40"/>
      <c r="CE200" s="40"/>
      <c r="CF200" s="40"/>
      <c r="CG200" s="40"/>
      <c r="CH200" s="40"/>
      <c r="CI200" s="40"/>
      <c r="CJ200" s="40"/>
      <c r="CK200" s="40"/>
      <c r="CL200" s="40"/>
      <c r="CM200" s="40"/>
      <c r="CN200" s="40"/>
      <c r="CO200" s="40"/>
      <c r="CP200" s="40"/>
      <c r="CQ200" s="40"/>
      <c r="CR200" s="40"/>
      <c r="CS200" s="40"/>
      <c r="CT200" s="40"/>
      <c r="CU200" s="40"/>
      <c r="CV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  <c r="BW201" s="40"/>
      <c r="BX201" s="40"/>
      <c r="BY201" s="40"/>
      <c r="BZ201" s="40"/>
      <c r="CA201" s="40"/>
      <c r="CB201" s="40"/>
      <c r="CC201" s="40"/>
      <c r="CD201" s="40"/>
      <c r="CE201" s="40"/>
      <c r="CF201" s="40"/>
      <c r="CG201" s="40"/>
      <c r="CH201" s="40"/>
      <c r="CI201" s="40"/>
      <c r="CJ201" s="40"/>
      <c r="CK201" s="40"/>
      <c r="CL201" s="40"/>
      <c r="CM201" s="40"/>
      <c r="CN201" s="40"/>
      <c r="CO201" s="40"/>
      <c r="CP201" s="40"/>
      <c r="CQ201" s="40"/>
      <c r="CR201" s="40"/>
      <c r="CS201" s="40"/>
      <c r="CT201" s="40"/>
      <c r="CU201" s="40"/>
      <c r="CV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  <c r="BW202" s="40"/>
      <c r="BX202" s="40"/>
      <c r="BY202" s="40"/>
      <c r="BZ202" s="40"/>
      <c r="CA202" s="40"/>
      <c r="CB202" s="40"/>
      <c r="CC202" s="40"/>
      <c r="CD202" s="40"/>
      <c r="CE202" s="40"/>
      <c r="CF202" s="40"/>
      <c r="CG202" s="40"/>
      <c r="CH202" s="40"/>
      <c r="CI202" s="40"/>
      <c r="CJ202" s="40"/>
      <c r="CK202" s="40"/>
      <c r="CL202" s="40"/>
      <c r="CM202" s="40"/>
      <c r="CN202" s="40"/>
      <c r="CO202" s="40"/>
      <c r="CP202" s="40"/>
      <c r="CQ202" s="40"/>
      <c r="CR202" s="40"/>
      <c r="CS202" s="40"/>
      <c r="CT202" s="40"/>
      <c r="CU202" s="40"/>
      <c r="CV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  <c r="BW203" s="40"/>
      <c r="BX203" s="40"/>
      <c r="BY203" s="40"/>
      <c r="BZ203" s="40"/>
      <c r="CA203" s="40"/>
      <c r="CB203" s="40"/>
      <c r="CC203" s="40"/>
      <c r="CD203" s="40"/>
      <c r="CE203" s="40"/>
      <c r="CF203" s="40"/>
      <c r="CG203" s="40"/>
      <c r="CH203" s="40"/>
      <c r="CI203" s="40"/>
      <c r="CJ203" s="40"/>
      <c r="CK203" s="40"/>
      <c r="CL203" s="40"/>
      <c r="CM203" s="40"/>
      <c r="CN203" s="40"/>
      <c r="CO203" s="40"/>
      <c r="CP203" s="40"/>
      <c r="CQ203" s="40"/>
      <c r="CR203" s="40"/>
      <c r="CS203" s="40"/>
      <c r="CT203" s="40"/>
      <c r="CU203" s="40"/>
      <c r="CV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  <c r="BW204" s="40"/>
      <c r="BX204" s="40"/>
      <c r="BY204" s="40"/>
      <c r="BZ204" s="40"/>
      <c r="CA204" s="40"/>
      <c r="CB204" s="40"/>
      <c r="CC204" s="40"/>
      <c r="CD204" s="40"/>
      <c r="CE204" s="40"/>
      <c r="CF204" s="40"/>
      <c r="CG204" s="40"/>
      <c r="CH204" s="40"/>
      <c r="CI204" s="40"/>
      <c r="CJ204" s="40"/>
      <c r="CK204" s="40"/>
      <c r="CL204" s="40"/>
      <c r="CM204" s="40"/>
      <c r="CN204" s="40"/>
      <c r="CO204" s="40"/>
      <c r="CP204" s="40"/>
      <c r="CQ204" s="40"/>
      <c r="CR204" s="40"/>
      <c r="CS204" s="40"/>
      <c r="CT204" s="40"/>
      <c r="CU204" s="40"/>
      <c r="CV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  <c r="BW205" s="40"/>
      <c r="BX205" s="40"/>
      <c r="BY205" s="40"/>
      <c r="BZ205" s="40"/>
      <c r="CA205" s="40"/>
      <c r="CB205" s="40"/>
      <c r="CC205" s="40"/>
      <c r="CD205" s="40"/>
      <c r="CE205" s="40"/>
      <c r="CF205" s="40"/>
      <c r="CG205" s="40"/>
      <c r="CH205" s="40"/>
      <c r="CI205" s="40"/>
      <c r="CJ205" s="40"/>
      <c r="CK205" s="40"/>
      <c r="CL205" s="40"/>
      <c r="CM205" s="40"/>
      <c r="CN205" s="40"/>
      <c r="CO205" s="40"/>
      <c r="CP205" s="40"/>
      <c r="CQ205" s="40"/>
      <c r="CR205" s="40"/>
      <c r="CS205" s="40"/>
      <c r="CT205" s="40"/>
      <c r="CU205" s="40"/>
      <c r="CV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  <c r="BW206" s="40"/>
      <c r="BX206" s="40"/>
      <c r="BY206" s="40"/>
      <c r="BZ206" s="40"/>
      <c r="CA206" s="40"/>
      <c r="CB206" s="40"/>
      <c r="CC206" s="40"/>
      <c r="CD206" s="40"/>
      <c r="CE206" s="40"/>
      <c r="CF206" s="40"/>
      <c r="CG206" s="40"/>
      <c r="CH206" s="40"/>
      <c r="CI206" s="40"/>
      <c r="CJ206" s="40"/>
      <c r="CK206" s="40"/>
      <c r="CL206" s="40"/>
      <c r="CM206" s="40"/>
      <c r="CN206" s="40"/>
      <c r="CO206" s="40"/>
      <c r="CP206" s="40"/>
      <c r="CQ206" s="40"/>
      <c r="CR206" s="40"/>
      <c r="CS206" s="40"/>
      <c r="CT206" s="40"/>
      <c r="CU206" s="40"/>
      <c r="CV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  <c r="BW207" s="40"/>
      <c r="BX207" s="40"/>
      <c r="BY207" s="40"/>
      <c r="BZ207" s="40"/>
      <c r="CA207" s="40"/>
      <c r="CB207" s="40"/>
      <c r="CC207" s="40"/>
      <c r="CD207" s="40"/>
      <c r="CE207" s="40"/>
      <c r="CF207" s="40"/>
      <c r="CG207" s="40"/>
      <c r="CH207" s="40"/>
      <c r="CI207" s="40"/>
      <c r="CJ207" s="40"/>
      <c r="CK207" s="40"/>
      <c r="CL207" s="40"/>
      <c r="CM207" s="40"/>
      <c r="CN207" s="40"/>
      <c r="CO207" s="40"/>
      <c r="CP207" s="40"/>
      <c r="CQ207" s="40"/>
      <c r="CR207" s="40"/>
      <c r="CS207" s="40"/>
      <c r="CT207" s="40"/>
      <c r="CU207" s="40"/>
      <c r="CV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  <c r="BW208" s="40"/>
      <c r="BX208" s="40"/>
      <c r="BY208" s="40"/>
      <c r="BZ208" s="40"/>
      <c r="CA208" s="40"/>
      <c r="CB208" s="40"/>
      <c r="CC208" s="40"/>
      <c r="CD208" s="40"/>
      <c r="CE208" s="40"/>
      <c r="CF208" s="40"/>
      <c r="CG208" s="40"/>
      <c r="CH208" s="40"/>
      <c r="CI208" s="40"/>
      <c r="CJ208" s="40"/>
      <c r="CK208" s="40"/>
      <c r="CL208" s="40"/>
      <c r="CM208" s="40"/>
      <c r="CN208" s="40"/>
      <c r="CO208" s="40"/>
      <c r="CP208" s="40"/>
      <c r="CQ208" s="40"/>
      <c r="CR208" s="40"/>
      <c r="CS208" s="40"/>
      <c r="CT208" s="40"/>
      <c r="CU208" s="40"/>
      <c r="CV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  <c r="BW209" s="40"/>
      <c r="BX209" s="40"/>
      <c r="BY209" s="40"/>
      <c r="BZ209" s="40"/>
      <c r="CA209" s="40"/>
      <c r="CB209" s="40"/>
      <c r="CC209" s="40"/>
      <c r="CD209" s="40"/>
      <c r="CE209" s="40"/>
      <c r="CF209" s="40"/>
      <c r="CG209" s="40"/>
      <c r="CH209" s="40"/>
      <c r="CI209" s="40"/>
      <c r="CJ209" s="40"/>
      <c r="CK209" s="40"/>
      <c r="CL209" s="40"/>
      <c r="CM209" s="40"/>
      <c r="CN209" s="40"/>
      <c r="CO209" s="40"/>
      <c r="CP209" s="40"/>
      <c r="CQ209" s="40"/>
      <c r="CR209" s="40"/>
      <c r="CS209" s="40"/>
      <c r="CT209" s="40"/>
      <c r="CU209" s="40"/>
      <c r="CV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  <c r="BW210" s="40"/>
      <c r="BX210" s="40"/>
      <c r="BY210" s="40"/>
      <c r="BZ210" s="40"/>
      <c r="CA210" s="40"/>
      <c r="CB210" s="40"/>
      <c r="CC210" s="40"/>
      <c r="CD210" s="40"/>
      <c r="CE210" s="40"/>
      <c r="CF210" s="40"/>
      <c r="CG210" s="40"/>
      <c r="CH210" s="40"/>
      <c r="CI210" s="40"/>
      <c r="CJ210" s="40"/>
      <c r="CK210" s="40"/>
      <c r="CL210" s="40"/>
      <c r="CM210" s="40"/>
      <c r="CN210" s="40"/>
      <c r="CO210" s="40"/>
      <c r="CP210" s="40"/>
      <c r="CQ210" s="40"/>
      <c r="CR210" s="40"/>
      <c r="CS210" s="40"/>
      <c r="CT210" s="40"/>
      <c r="CU210" s="40"/>
      <c r="CV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  <c r="BW211" s="40"/>
      <c r="BX211" s="40"/>
      <c r="BY211" s="40"/>
      <c r="BZ211" s="40"/>
      <c r="CA211" s="40"/>
      <c r="CB211" s="40"/>
      <c r="CC211" s="40"/>
      <c r="CD211" s="40"/>
      <c r="CE211" s="40"/>
      <c r="CF211" s="40"/>
      <c r="CG211" s="40"/>
      <c r="CH211" s="40"/>
      <c r="CI211" s="40"/>
      <c r="CJ211" s="40"/>
      <c r="CK211" s="40"/>
      <c r="CL211" s="40"/>
      <c r="CM211" s="40"/>
      <c r="CN211" s="40"/>
      <c r="CO211" s="40"/>
      <c r="CP211" s="40"/>
      <c r="CQ211" s="40"/>
      <c r="CR211" s="40"/>
      <c r="CS211" s="40"/>
      <c r="CT211" s="40"/>
      <c r="CU211" s="40"/>
      <c r="CV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  <c r="BW212" s="40"/>
      <c r="BX212" s="40"/>
      <c r="BY212" s="40"/>
      <c r="BZ212" s="40"/>
      <c r="CA212" s="40"/>
      <c r="CB212" s="40"/>
      <c r="CC212" s="40"/>
      <c r="CD212" s="40"/>
      <c r="CE212" s="40"/>
      <c r="CF212" s="40"/>
      <c r="CG212" s="40"/>
      <c r="CH212" s="40"/>
      <c r="CI212" s="40"/>
      <c r="CJ212" s="40"/>
      <c r="CK212" s="40"/>
      <c r="CL212" s="40"/>
      <c r="CM212" s="40"/>
      <c r="CN212" s="40"/>
      <c r="CO212" s="40"/>
      <c r="CP212" s="40"/>
      <c r="CQ212" s="40"/>
      <c r="CR212" s="40"/>
      <c r="CS212" s="40"/>
      <c r="CT212" s="40"/>
      <c r="CU212" s="40"/>
      <c r="CV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  <c r="BW213" s="40"/>
      <c r="BX213" s="40"/>
      <c r="BY213" s="40"/>
      <c r="BZ213" s="40"/>
      <c r="CA213" s="40"/>
      <c r="CB213" s="40"/>
      <c r="CC213" s="40"/>
      <c r="CD213" s="40"/>
      <c r="CE213" s="40"/>
      <c r="CF213" s="40"/>
      <c r="CG213" s="40"/>
      <c r="CH213" s="40"/>
      <c r="CI213" s="40"/>
      <c r="CJ213" s="40"/>
      <c r="CK213" s="40"/>
      <c r="CL213" s="40"/>
      <c r="CM213" s="40"/>
      <c r="CN213" s="40"/>
      <c r="CO213" s="40"/>
      <c r="CP213" s="40"/>
      <c r="CQ213" s="40"/>
      <c r="CR213" s="40"/>
      <c r="CS213" s="40"/>
      <c r="CT213" s="40"/>
      <c r="CU213" s="40"/>
      <c r="CV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  <c r="BW214" s="40"/>
      <c r="BX214" s="40"/>
      <c r="BY214" s="40"/>
      <c r="BZ214" s="40"/>
      <c r="CA214" s="40"/>
      <c r="CB214" s="40"/>
      <c r="CC214" s="40"/>
      <c r="CD214" s="40"/>
      <c r="CE214" s="40"/>
      <c r="CF214" s="40"/>
      <c r="CG214" s="40"/>
      <c r="CH214" s="40"/>
      <c r="CI214" s="40"/>
      <c r="CJ214" s="40"/>
      <c r="CK214" s="40"/>
      <c r="CL214" s="40"/>
      <c r="CM214" s="40"/>
      <c r="CN214" s="40"/>
      <c r="CO214" s="40"/>
      <c r="CP214" s="40"/>
      <c r="CQ214" s="40"/>
      <c r="CR214" s="40"/>
      <c r="CS214" s="40"/>
      <c r="CT214" s="40"/>
      <c r="CU214" s="40"/>
      <c r="CV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  <c r="BW215" s="40"/>
      <c r="BX215" s="40"/>
      <c r="BY215" s="40"/>
      <c r="BZ215" s="40"/>
      <c r="CA215" s="40"/>
      <c r="CB215" s="40"/>
      <c r="CC215" s="40"/>
      <c r="CD215" s="40"/>
      <c r="CE215" s="40"/>
      <c r="CF215" s="40"/>
      <c r="CG215" s="40"/>
      <c r="CH215" s="40"/>
      <c r="CI215" s="40"/>
      <c r="CJ215" s="40"/>
      <c r="CK215" s="40"/>
      <c r="CL215" s="40"/>
      <c r="CM215" s="40"/>
      <c r="CN215" s="40"/>
      <c r="CO215" s="40"/>
      <c r="CP215" s="40"/>
      <c r="CQ215" s="40"/>
      <c r="CR215" s="40"/>
      <c r="CS215" s="40"/>
      <c r="CT215" s="40"/>
      <c r="CU215" s="40"/>
      <c r="CV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  <c r="BW216" s="40"/>
      <c r="BX216" s="40"/>
      <c r="BY216" s="40"/>
      <c r="BZ216" s="40"/>
      <c r="CA216" s="40"/>
      <c r="CB216" s="40"/>
      <c r="CC216" s="40"/>
      <c r="CD216" s="40"/>
      <c r="CE216" s="40"/>
      <c r="CF216" s="40"/>
      <c r="CG216" s="40"/>
      <c r="CH216" s="40"/>
      <c r="CI216" s="40"/>
      <c r="CJ216" s="40"/>
      <c r="CK216" s="40"/>
      <c r="CL216" s="40"/>
      <c r="CM216" s="40"/>
      <c r="CN216" s="40"/>
      <c r="CO216" s="40"/>
      <c r="CP216" s="40"/>
      <c r="CQ216" s="40"/>
      <c r="CR216" s="40"/>
      <c r="CS216" s="40"/>
      <c r="CT216" s="40"/>
      <c r="CU216" s="40"/>
      <c r="CV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  <c r="BW217" s="40"/>
      <c r="BX217" s="40"/>
      <c r="BY217" s="40"/>
      <c r="BZ217" s="40"/>
      <c r="CA217" s="40"/>
      <c r="CB217" s="40"/>
      <c r="CC217" s="40"/>
      <c r="CD217" s="40"/>
      <c r="CE217" s="40"/>
      <c r="CF217" s="40"/>
      <c r="CG217" s="40"/>
      <c r="CH217" s="40"/>
      <c r="CI217" s="40"/>
      <c r="CJ217" s="40"/>
      <c r="CK217" s="40"/>
      <c r="CL217" s="40"/>
      <c r="CM217" s="40"/>
      <c r="CN217" s="40"/>
      <c r="CO217" s="40"/>
      <c r="CP217" s="40"/>
      <c r="CQ217" s="40"/>
      <c r="CR217" s="40"/>
      <c r="CS217" s="40"/>
      <c r="CT217" s="40"/>
      <c r="CU217" s="40"/>
      <c r="CV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  <c r="BW218" s="40"/>
      <c r="BX218" s="40"/>
      <c r="BY218" s="40"/>
      <c r="BZ218" s="40"/>
      <c r="CA218" s="40"/>
      <c r="CB218" s="40"/>
      <c r="CC218" s="40"/>
      <c r="CD218" s="40"/>
      <c r="CE218" s="40"/>
      <c r="CF218" s="40"/>
      <c r="CG218" s="40"/>
      <c r="CH218" s="40"/>
      <c r="CI218" s="40"/>
      <c r="CJ218" s="40"/>
      <c r="CK218" s="40"/>
      <c r="CL218" s="40"/>
      <c r="CM218" s="40"/>
      <c r="CN218" s="40"/>
      <c r="CO218" s="40"/>
      <c r="CP218" s="40"/>
      <c r="CQ218" s="40"/>
      <c r="CR218" s="40"/>
      <c r="CS218" s="40"/>
      <c r="CT218" s="40"/>
      <c r="CU218" s="40"/>
      <c r="CV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  <c r="BW219" s="40"/>
      <c r="BX219" s="40"/>
      <c r="BY219" s="40"/>
      <c r="BZ219" s="40"/>
      <c r="CA219" s="40"/>
      <c r="CB219" s="40"/>
      <c r="CC219" s="40"/>
      <c r="CD219" s="40"/>
      <c r="CE219" s="40"/>
      <c r="CF219" s="40"/>
      <c r="CG219" s="40"/>
      <c r="CH219" s="40"/>
      <c r="CI219" s="40"/>
      <c r="CJ219" s="40"/>
      <c r="CK219" s="40"/>
      <c r="CL219" s="40"/>
      <c r="CM219" s="40"/>
      <c r="CN219" s="40"/>
      <c r="CO219" s="40"/>
      <c r="CP219" s="40"/>
      <c r="CQ219" s="40"/>
      <c r="CR219" s="40"/>
      <c r="CS219" s="40"/>
      <c r="CT219" s="40"/>
      <c r="CU219" s="40"/>
      <c r="CV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  <c r="BW220" s="40"/>
      <c r="BX220" s="40"/>
      <c r="BY220" s="40"/>
      <c r="BZ220" s="40"/>
      <c r="CA220" s="40"/>
      <c r="CB220" s="40"/>
      <c r="CC220" s="40"/>
      <c r="CD220" s="40"/>
      <c r="CE220" s="40"/>
      <c r="CF220" s="40"/>
      <c r="CG220" s="40"/>
      <c r="CH220" s="40"/>
      <c r="CI220" s="40"/>
      <c r="CJ220" s="40"/>
      <c r="CK220" s="40"/>
      <c r="CL220" s="40"/>
      <c r="CM220" s="40"/>
      <c r="CN220" s="40"/>
      <c r="CO220" s="40"/>
      <c r="CP220" s="40"/>
      <c r="CQ220" s="40"/>
      <c r="CR220" s="40"/>
      <c r="CS220" s="40"/>
      <c r="CT220" s="40"/>
      <c r="CU220" s="40"/>
      <c r="CV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  <c r="BW221" s="40"/>
      <c r="BX221" s="40"/>
      <c r="BY221" s="40"/>
      <c r="BZ221" s="40"/>
      <c r="CA221" s="40"/>
      <c r="CB221" s="40"/>
      <c r="CC221" s="40"/>
      <c r="CD221" s="40"/>
      <c r="CE221" s="40"/>
      <c r="CF221" s="40"/>
      <c r="CG221" s="40"/>
      <c r="CH221" s="40"/>
      <c r="CI221" s="40"/>
      <c r="CJ221" s="40"/>
      <c r="CK221" s="40"/>
      <c r="CL221" s="40"/>
      <c r="CM221" s="40"/>
      <c r="CN221" s="40"/>
      <c r="CO221" s="40"/>
      <c r="CP221" s="40"/>
      <c r="CQ221" s="40"/>
      <c r="CR221" s="40"/>
      <c r="CS221" s="40"/>
      <c r="CT221" s="40"/>
      <c r="CU221" s="40"/>
      <c r="CV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  <c r="BW222" s="40"/>
      <c r="BX222" s="40"/>
      <c r="BY222" s="40"/>
      <c r="BZ222" s="40"/>
      <c r="CA222" s="40"/>
      <c r="CB222" s="40"/>
      <c r="CC222" s="40"/>
      <c r="CD222" s="40"/>
      <c r="CE222" s="40"/>
      <c r="CF222" s="40"/>
      <c r="CG222" s="40"/>
      <c r="CH222" s="40"/>
      <c r="CI222" s="40"/>
      <c r="CJ222" s="40"/>
      <c r="CK222" s="40"/>
      <c r="CL222" s="40"/>
      <c r="CM222" s="40"/>
      <c r="CN222" s="40"/>
      <c r="CO222" s="40"/>
      <c r="CP222" s="40"/>
      <c r="CQ222" s="40"/>
      <c r="CR222" s="40"/>
      <c r="CS222" s="40"/>
      <c r="CT222" s="40"/>
      <c r="CU222" s="40"/>
      <c r="CV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  <c r="BW223" s="40"/>
      <c r="BX223" s="40"/>
      <c r="BY223" s="40"/>
      <c r="BZ223" s="40"/>
      <c r="CA223" s="40"/>
      <c r="CB223" s="40"/>
      <c r="CC223" s="40"/>
      <c r="CD223" s="40"/>
      <c r="CE223" s="40"/>
      <c r="CF223" s="40"/>
      <c r="CG223" s="40"/>
      <c r="CH223" s="40"/>
      <c r="CI223" s="40"/>
      <c r="CJ223" s="40"/>
      <c r="CK223" s="40"/>
      <c r="CL223" s="40"/>
      <c r="CM223" s="40"/>
      <c r="CN223" s="40"/>
      <c r="CO223" s="40"/>
      <c r="CP223" s="40"/>
      <c r="CQ223" s="40"/>
      <c r="CR223" s="40"/>
      <c r="CS223" s="40"/>
      <c r="CT223" s="40"/>
      <c r="CU223" s="40"/>
      <c r="CV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  <c r="BW224" s="40"/>
      <c r="BX224" s="40"/>
      <c r="BY224" s="40"/>
      <c r="BZ224" s="40"/>
      <c r="CA224" s="40"/>
      <c r="CB224" s="40"/>
      <c r="CC224" s="40"/>
      <c r="CD224" s="40"/>
      <c r="CE224" s="40"/>
      <c r="CF224" s="40"/>
      <c r="CG224" s="40"/>
      <c r="CH224" s="40"/>
      <c r="CI224" s="40"/>
      <c r="CJ224" s="40"/>
      <c r="CK224" s="40"/>
      <c r="CL224" s="40"/>
      <c r="CM224" s="40"/>
      <c r="CN224" s="40"/>
      <c r="CO224" s="40"/>
      <c r="CP224" s="40"/>
      <c r="CQ224" s="40"/>
      <c r="CR224" s="40"/>
      <c r="CS224" s="40"/>
      <c r="CT224" s="40"/>
      <c r="CU224" s="40"/>
      <c r="CV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0"/>
      <c r="CA225" s="40"/>
      <c r="CB225" s="40"/>
      <c r="CC225" s="40"/>
      <c r="CD225" s="40"/>
      <c r="CE225" s="40"/>
      <c r="CF225" s="40"/>
      <c r="CG225" s="40"/>
      <c r="CH225" s="40"/>
      <c r="CI225" s="40"/>
      <c r="CJ225" s="40"/>
      <c r="CK225" s="40"/>
      <c r="CL225" s="40"/>
      <c r="CM225" s="40"/>
      <c r="CN225" s="40"/>
      <c r="CO225" s="40"/>
      <c r="CP225" s="40"/>
      <c r="CQ225" s="40"/>
      <c r="CR225" s="40"/>
      <c r="CS225" s="40"/>
      <c r="CT225" s="40"/>
      <c r="CU225" s="40"/>
      <c r="CV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  <c r="BW226" s="40"/>
      <c r="BX226" s="40"/>
      <c r="BY226" s="40"/>
      <c r="BZ226" s="40"/>
      <c r="CA226" s="40"/>
      <c r="CB226" s="40"/>
      <c r="CC226" s="40"/>
      <c r="CD226" s="40"/>
      <c r="CE226" s="40"/>
      <c r="CF226" s="40"/>
      <c r="CG226" s="40"/>
      <c r="CH226" s="40"/>
      <c r="CI226" s="40"/>
      <c r="CJ226" s="40"/>
      <c r="CK226" s="40"/>
      <c r="CL226" s="40"/>
      <c r="CM226" s="40"/>
      <c r="CN226" s="40"/>
      <c r="CO226" s="40"/>
      <c r="CP226" s="40"/>
      <c r="CQ226" s="40"/>
      <c r="CR226" s="40"/>
      <c r="CS226" s="40"/>
      <c r="CT226" s="40"/>
      <c r="CU226" s="40"/>
      <c r="CV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  <c r="BW227" s="40"/>
      <c r="BX227" s="40"/>
      <c r="BY227" s="40"/>
      <c r="BZ227" s="40"/>
      <c r="CA227" s="40"/>
      <c r="CB227" s="40"/>
      <c r="CC227" s="40"/>
      <c r="CD227" s="40"/>
      <c r="CE227" s="40"/>
      <c r="CF227" s="40"/>
      <c r="CG227" s="40"/>
      <c r="CH227" s="40"/>
      <c r="CI227" s="40"/>
      <c r="CJ227" s="40"/>
      <c r="CK227" s="40"/>
      <c r="CL227" s="40"/>
      <c r="CM227" s="40"/>
      <c r="CN227" s="40"/>
      <c r="CO227" s="40"/>
      <c r="CP227" s="40"/>
      <c r="CQ227" s="40"/>
      <c r="CR227" s="40"/>
      <c r="CS227" s="40"/>
      <c r="CT227" s="40"/>
      <c r="CU227" s="40"/>
      <c r="CV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  <c r="BW228" s="40"/>
      <c r="BX228" s="40"/>
      <c r="BY228" s="40"/>
      <c r="BZ228" s="40"/>
      <c r="CA228" s="40"/>
      <c r="CB228" s="40"/>
      <c r="CC228" s="40"/>
      <c r="CD228" s="40"/>
      <c r="CE228" s="40"/>
      <c r="CF228" s="40"/>
      <c r="CG228" s="40"/>
      <c r="CH228" s="40"/>
      <c r="CI228" s="40"/>
      <c r="CJ228" s="40"/>
      <c r="CK228" s="40"/>
      <c r="CL228" s="40"/>
      <c r="CM228" s="40"/>
      <c r="CN228" s="40"/>
      <c r="CO228" s="40"/>
      <c r="CP228" s="40"/>
      <c r="CQ228" s="40"/>
      <c r="CR228" s="40"/>
      <c r="CS228" s="40"/>
      <c r="CT228" s="40"/>
      <c r="CU228" s="40"/>
      <c r="CV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  <c r="BW229" s="40"/>
      <c r="BX229" s="40"/>
      <c r="BY229" s="40"/>
      <c r="BZ229" s="40"/>
      <c r="CA229" s="40"/>
      <c r="CB229" s="40"/>
      <c r="CC229" s="40"/>
      <c r="CD229" s="40"/>
      <c r="CE229" s="40"/>
      <c r="CF229" s="40"/>
      <c r="CG229" s="40"/>
      <c r="CH229" s="40"/>
      <c r="CI229" s="40"/>
      <c r="CJ229" s="40"/>
      <c r="CK229" s="40"/>
      <c r="CL229" s="40"/>
      <c r="CM229" s="40"/>
      <c r="CN229" s="40"/>
      <c r="CO229" s="40"/>
      <c r="CP229" s="40"/>
      <c r="CQ229" s="40"/>
      <c r="CR229" s="40"/>
      <c r="CS229" s="40"/>
      <c r="CT229" s="40"/>
      <c r="CU229" s="40"/>
      <c r="CV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  <c r="BW230" s="40"/>
      <c r="BX230" s="40"/>
      <c r="BY230" s="40"/>
      <c r="BZ230" s="40"/>
      <c r="CA230" s="40"/>
      <c r="CB230" s="40"/>
      <c r="CC230" s="40"/>
      <c r="CD230" s="40"/>
      <c r="CE230" s="40"/>
      <c r="CF230" s="40"/>
      <c r="CG230" s="40"/>
      <c r="CH230" s="40"/>
      <c r="CI230" s="40"/>
      <c r="CJ230" s="40"/>
      <c r="CK230" s="40"/>
      <c r="CL230" s="40"/>
      <c r="CM230" s="40"/>
      <c r="CN230" s="40"/>
      <c r="CO230" s="40"/>
      <c r="CP230" s="40"/>
      <c r="CQ230" s="40"/>
      <c r="CR230" s="40"/>
      <c r="CS230" s="40"/>
      <c r="CT230" s="40"/>
      <c r="CU230" s="40"/>
      <c r="CV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  <c r="BW231" s="40"/>
      <c r="BX231" s="40"/>
      <c r="BY231" s="40"/>
      <c r="BZ231" s="40"/>
      <c r="CA231" s="40"/>
      <c r="CB231" s="40"/>
      <c r="CC231" s="40"/>
      <c r="CD231" s="40"/>
      <c r="CE231" s="40"/>
      <c r="CF231" s="40"/>
      <c r="CG231" s="40"/>
      <c r="CH231" s="40"/>
      <c r="CI231" s="40"/>
      <c r="CJ231" s="40"/>
      <c r="CK231" s="40"/>
      <c r="CL231" s="40"/>
      <c r="CM231" s="40"/>
      <c r="CN231" s="40"/>
      <c r="CO231" s="40"/>
      <c r="CP231" s="40"/>
      <c r="CQ231" s="40"/>
      <c r="CR231" s="40"/>
      <c r="CS231" s="40"/>
      <c r="CT231" s="40"/>
      <c r="CU231" s="40"/>
      <c r="CV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0"/>
      <c r="BX232" s="40"/>
      <c r="BY232" s="40"/>
      <c r="BZ232" s="40"/>
      <c r="CA232" s="40"/>
      <c r="CB232" s="40"/>
      <c r="CC232" s="40"/>
      <c r="CD232" s="40"/>
      <c r="CE232" s="40"/>
      <c r="CF232" s="40"/>
      <c r="CG232" s="40"/>
      <c r="CH232" s="40"/>
      <c r="CI232" s="40"/>
      <c r="CJ232" s="40"/>
      <c r="CK232" s="40"/>
      <c r="CL232" s="40"/>
      <c r="CM232" s="40"/>
      <c r="CN232" s="40"/>
      <c r="CO232" s="40"/>
      <c r="CP232" s="40"/>
      <c r="CQ232" s="40"/>
      <c r="CR232" s="40"/>
      <c r="CS232" s="40"/>
      <c r="CT232" s="40"/>
      <c r="CU232" s="40"/>
      <c r="CV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  <c r="BW233" s="40"/>
      <c r="BX233" s="40"/>
      <c r="BY233" s="40"/>
      <c r="BZ233" s="40"/>
      <c r="CA233" s="40"/>
      <c r="CB233" s="40"/>
      <c r="CC233" s="40"/>
      <c r="CD233" s="40"/>
      <c r="CE233" s="40"/>
      <c r="CF233" s="40"/>
      <c r="CG233" s="40"/>
      <c r="CH233" s="40"/>
      <c r="CI233" s="40"/>
      <c r="CJ233" s="40"/>
      <c r="CK233" s="40"/>
      <c r="CL233" s="40"/>
      <c r="CM233" s="40"/>
      <c r="CN233" s="40"/>
      <c r="CO233" s="40"/>
      <c r="CP233" s="40"/>
      <c r="CQ233" s="40"/>
      <c r="CR233" s="40"/>
      <c r="CS233" s="40"/>
      <c r="CT233" s="40"/>
      <c r="CU233" s="40"/>
      <c r="CV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  <c r="BW234" s="40"/>
      <c r="BX234" s="40"/>
      <c r="BY234" s="40"/>
      <c r="BZ234" s="40"/>
      <c r="CA234" s="40"/>
      <c r="CB234" s="40"/>
      <c r="CC234" s="40"/>
      <c r="CD234" s="40"/>
      <c r="CE234" s="40"/>
      <c r="CF234" s="40"/>
      <c r="CG234" s="40"/>
      <c r="CH234" s="40"/>
      <c r="CI234" s="40"/>
      <c r="CJ234" s="40"/>
      <c r="CK234" s="40"/>
      <c r="CL234" s="40"/>
      <c r="CM234" s="40"/>
      <c r="CN234" s="40"/>
      <c r="CO234" s="40"/>
      <c r="CP234" s="40"/>
      <c r="CQ234" s="40"/>
      <c r="CR234" s="40"/>
      <c r="CS234" s="40"/>
      <c r="CT234" s="40"/>
      <c r="CU234" s="40"/>
      <c r="CV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  <c r="BW235" s="40"/>
      <c r="BX235" s="40"/>
      <c r="BY235" s="40"/>
      <c r="BZ235" s="40"/>
      <c r="CA235" s="40"/>
      <c r="CB235" s="40"/>
      <c r="CC235" s="40"/>
      <c r="CD235" s="40"/>
      <c r="CE235" s="40"/>
      <c r="CF235" s="40"/>
      <c r="CG235" s="40"/>
      <c r="CH235" s="40"/>
      <c r="CI235" s="40"/>
      <c r="CJ235" s="40"/>
      <c r="CK235" s="40"/>
      <c r="CL235" s="40"/>
      <c r="CM235" s="40"/>
      <c r="CN235" s="40"/>
      <c r="CO235" s="40"/>
      <c r="CP235" s="40"/>
      <c r="CQ235" s="40"/>
      <c r="CR235" s="40"/>
      <c r="CS235" s="40"/>
      <c r="CT235" s="40"/>
      <c r="CU235" s="40"/>
      <c r="CV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  <c r="BW236" s="40"/>
      <c r="BX236" s="40"/>
      <c r="BY236" s="40"/>
      <c r="BZ236" s="40"/>
      <c r="CA236" s="40"/>
      <c r="CB236" s="40"/>
      <c r="CC236" s="40"/>
      <c r="CD236" s="40"/>
      <c r="CE236" s="40"/>
      <c r="CF236" s="40"/>
      <c r="CG236" s="40"/>
      <c r="CH236" s="40"/>
      <c r="CI236" s="40"/>
      <c r="CJ236" s="40"/>
      <c r="CK236" s="40"/>
      <c r="CL236" s="40"/>
      <c r="CM236" s="40"/>
      <c r="CN236" s="40"/>
      <c r="CO236" s="40"/>
      <c r="CP236" s="40"/>
      <c r="CQ236" s="40"/>
      <c r="CR236" s="40"/>
      <c r="CS236" s="40"/>
      <c r="CT236" s="40"/>
      <c r="CU236" s="40"/>
      <c r="CV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  <c r="BW237" s="40"/>
      <c r="BX237" s="40"/>
      <c r="BY237" s="40"/>
      <c r="BZ237" s="40"/>
      <c r="CA237" s="40"/>
      <c r="CB237" s="40"/>
      <c r="CC237" s="40"/>
      <c r="CD237" s="40"/>
      <c r="CE237" s="40"/>
      <c r="CF237" s="40"/>
      <c r="CG237" s="40"/>
      <c r="CH237" s="40"/>
      <c r="CI237" s="40"/>
      <c r="CJ237" s="40"/>
      <c r="CK237" s="40"/>
      <c r="CL237" s="40"/>
      <c r="CM237" s="40"/>
      <c r="CN237" s="40"/>
      <c r="CO237" s="40"/>
      <c r="CP237" s="40"/>
      <c r="CQ237" s="40"/>
      <c r="CR237" s="40"/>
      <c r="CS237" s="40"/>
      <c r="CT237" s="40"/>
      <c r="CU237" s="40"/>
      <c r="CV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  <c r="BW238" s="40"/>
      <c r="BX238" s="40"/>
      <c r="BY238" s="40"/>
      <c r="BZ238" s="40"/>
      <c r="CA238" s="40"/>
      <c r="CB238" s="40"/>
      <c r="CC238" s="40"/>
      <c r="CD238" s="40"/>
      <c r="CE238" s="40"/>
      <c r="CF238" s="40"/>
      <c r="CG238" s="40"/>
      <c r="CH238" s="40"/>
      <c r="CI238" s="40"/>
      <c r="CJ238" s="40"/>
      <c r="CK238" s="40"/>
      <c r="CL238" s="40"/>
      <c r="CM238" s="40"/>
      <c r="CN238" s="40"/>
      <c r="CO238" s="40"/>
      <c r="CP238" s="40"/>
      <c r="CQ238" s="40"/>
      <c r="CR238" s="40"/>
      <c r="CS238" s="40"/>
      <c r="CT238" s="40"/>
      <c r="CU238" s="40"/>
      <c r="CV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  <c r="BW239" s="40"/>
      <c r="BX239" s="40"/>
      <c r="BY239" s="40"/>
      <c r="BZ239" s="40"/>
      <c r="CA239" s="40"/>
      <c r="CB239" s="40"/>
      <c r="CC239" s="40"/>
      <c r="CD239" s="40"/>
      <c r="CE239" s="40"/>
      <c r="CF239" s="40"/>
      <c r="CG239" s="40"/>
      <c r="CH239" s="40"/>
      <c r="CI239" s="40"/>
      <c r="CJ239" s="40"/>
      <c r="CK239" s="40"/>
      <c r="CL239" s="40"/>
      <c r="CM239" s="40"/>
      <c r="CN239" s="40"/>
      <c r="CO239" s="40"/>
      <c r="CP239" s="40"/>
      <c r="CQ239" s="40"/>
      <c r="CR239" s="40"/>
      <c r="CS239" s="40"/>
      <c r="CT239" s="40"/>
      <c r="CU239" s="40"/>
      <c r="CV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  <c r="BW240" s="40"/>
      <c r="BX240" s="40"/>
      <c r="BY240" s="40"/>
      <c r="BZ240" s="40"/>
      <c r="CA240" s="40"/>
      <c r="CB240" s="40"/>
      <c r="CC240" s="40"/>
      <c r="CD240" s="40"/>
      <c r="CE240" s="40"/>
      <c r="CF240" s="40"/>
      <c r="CG240" s="40"/>
      <c r="CH240" s="40"/>
      <c r="CI240" s="40"/>
      <c r="CJ240" s="40"/>
      <c r="CK240" s="40"/>
      <c r="CL240" s="40"/>
      <c r="CM240" s="40"/>
      <c r="CN240" s="40"/>
      <c r="CO240" s="40"/>
      <c r="CP240" s="40"/>
      <c r="CQ240" s="40"/>
      <c r="CR240" s="40"/>
      <c r="CS240" s="40"/>
      <c r="CT240" s="40"/>
      <c r="CU240" s="40"/>
      <c r="CV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  <c r="BW241" s="40"/>
      <c r="BX241" s="40"/>
      <c r="BY241" s="40"/>
      <c r="BZ241" s="40"/>
      <c r="CA241" s="40"/>
      <c r="CB241" s="40"/>
      <c r="CC241" s="40"/>
      <c r="CD241" s="40"/>
      <c r="CE241" s="40"/>
      <c r="CF241" s="40"/>
      <c r="CG241" s="40"/>
      <c r="CH241" s="40"/>
      <c r="CI241" s="40"/>
      <c r="CJ241" s="40"/>
      <c r="CK241" s="40"/>
      <c r="CL241" s="40"/>
      <c r="CM241" s="40"/>
      <c r="CN241" s="40"/>
      <c r="CO241" s="40"/>
      <c r="CP241" s="40"/>
      <c r="CQ241" s="40"/>
      <c r="CR241" s="40"/>
      <c r="CS241" s="40"/>
      <c r="CT241" s="40"/>
      <c r="CU241" s="40"/>
      <c r="CV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  <c r="BW242" s="40"/>
      <c r="BX242" s="40"/>
      <c r="BY242" s="40"/>
      <c r="BZ242" s="40"/>
      <c r="CA242" s="40"/>
      <c r="CB242" s="40"/>
      <c r="CC242" s="40"/>
      <c r="CD242" s="40"/>
      <c r="CE242" s="40"/>
      <c r="CF242" s="40"/>
      <c r="CG242" s="40"/>
      <c r="CH242" s="40"/>
      <c r="CI242" s="40"/>
      <c r="CJ242" s="40"/>
      <c r="CK242" s="40"/>
      <c r="CL242" s="40"/>
      <c r="CM242" s="40"/>
      <c r="CN242" s="40"/>
      <c r="CO242" s="40"/>
      <c r="CP242" s="40"/>
      <c r="CQ242" s="40"/>
      <c r="CR242" s="40"/>
      <c r="CS242" s="40"/>
      <c r="CT242" s="40"/>
      <c r="CU242" s="40"/>
      <c r="CV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  <c r="BW243" s="40"/>
      <c r="BX243" s="40"/>
      <c r="BY243" s="40"/>
      <c r="BZ243" s="40"/>
      <c r="CA243" s="40"/>
      <c r="CB243" s="40"/>
      <c r="CC243" s="40"/>
      <c r="CD243" s="40"/>
      <c r="CE243" s="40"/>
      <c r="CF243" s="40"/>
      <c r="CG243" s="40"/>
      <c r="CH243" s="40"/>
      <c r="CI243" s="40"/>
      <c r="CJ243" s="40"/>
      <c r="CK243" s="40"/>
      <c r="CL243" s="40"/>
      <c r="CM243" s="40"/>
      <c r="CN243" s="40"/>
      <c r="CO243" s="40"/>
      <c r="CP243" s="40"/>
      <c r="CQ243" s="40"/>
      <c r="CR243" s="40"/>
      <c r="CS243" s="40"/>
      <c r="CT243" s="40"/>
      <c r="CU243" s="40"/>
      <c r="CV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  <c r="BW244" s="40"/>
      <c r="BX244" s="40"/>
      <c r="BY244" s="40"/>
      <c r="BZ244" s="40"/>
      <c r="CA244" s="40"/>
      <c r="CB244" s="40"/>
      <c r="CC244" s="40"/>
      <c r="CD244" s="40"/>
      <c r="CE244" s="40"/>
      <c r="CF244" s="40"/>
      <c r="CG244" s="40"/>
      <c r="CH244" s="40"/>
      <c r="CI244" s="40"/>
      <c r="CJ244" s="40"/>
      <c r="CK244" s="40"/>
      <c r="CL244" s="40"/>
      <c r="CM244" s="40"/>
      <c r="CN244" s="40"/>
      <c r="CO244" s="40"/>
      <c r="CP244" s="40"/>
      <c r="CQ244" s="40"/>
      <c r="CR244" s="40"/>
      <c r="CS244" s="40"/>
      <c r="CT244" s="40"/>
      <c r="CU244" s="40"/>
      <c r="CV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  <c r="BW245" s="40"/>
      <c r="BX245" s="40"/>
      <c r="BY245" s="40"/>
      <c r="BZ245" s="40"/>
      <c r="CA245" s="40"/>
      <c r="CB245" s="40"/>
      <c r="CC245" s="40"/>
      <c r="CD245" s="40"/>
      <c r="CE245" s="40"/>
      <c r="CF245" s="40"/>
      <c r="CG245" s="40"/>
      <c r="CH245" s="40"/>
      <c r="CI245" s="40"/>
      <c r="CJ245" s="40"/>
      <c r="CK245" s="40"/>
      <c r="CL245" s="40"/>
      <c r="CM245" s="40"/>
      <c r="CN245" s="40"/>
      <c r="CO245" s="40"/>
      <c r="CP245" s="40"/>
      <c r="CQ245" s="40"/>
      <c r="CR245" s="40"/>
      <c r="CS245" s="40"/>
      <c r="CT245" s="40"/>
      <c r="CU245" s="40"/>
      <c r="CV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  <c r="BW246" s="40"/>
      <c r="BX246" s="40"/>
      <c r="BY246" s="40"/>
      <c r="BZ246" s="40"/>
      <c r="CA246" s="40"/>
      <c r="CB246" s="40"/>
      <c r="CC246" s="40"/>
      <c r="CD246" s="40"/>
      <c r="CE246" s="40"/>
      <c r="CF246" s="40"/>
      <c r="CG246" s="40"/>
      <c r="CH246" s="40"/>
      <c r="CI246" s="40"/>
      <c r="CJ246" s="40"/>
      <c r="CK246" s="40"/>
      <c r="CL246" s="40"/>
      <c r="CM246" s="40"/>
      <c r="CN246" s="40"/>
      <c r="CO246" s="40"/>
      <c r="CP246" s="40"/>
      <c r="CQ246" s="40"/>
      <c r="CR246" s="40"/>
      <c r="CS246" s="40"/>
      <c r="CT246" s="40"/>
      <c r="CU246" s="40"/>
      <c r="CV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  <c r="BW247" s="40"/>
      <c r="BX247" s="40"/>
      <c r="BY247" s="40"/>
      <c r="BZ247" s="40"/>
      <c r="CA247" s="40"/>
      <c r="CB247" s="40"/>
      <c r="CC247" s="40"/>
      <c r="CD247" s="40"/>
      <c r="CE247" s="40"/>
      <c r="CF247" s="40"/>
      <c r="CG247" s="40"/>
      <c r="CH247" s="40"/>
      <c r="CI247" s="40"/>
      <c r="CJ247" s="40"/>
      <c r="CK247" s="40"/>
      <c r="CL247" s="40"/>
      <c r="CM247" s="40"/>
      <c r="CN247" s="40"/>
      <c r="CO247" s="40"/>
      <c r="CP247" s="40"/>
      <c r="CQ247" s="40"/>
      <c r="CR247" s="40"/>
      <c r="CS247" s="40"/>
      <c r="CT247" s="40"/>
      <c r="CU247" s="40"/>
      <c r="CV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  <c r="BW248" s="40"/>
      <c r="BX248" s="40"/>
      <c r="BY248" s="40"/>
      <c r="BZ248" s="40"/>
      <c r="CA248" s="40"/>
      <c r="CB248" s="40"/>
      <c r="CC248" s="40"/>
      <c r="CD248" s="40"/>
      <c r="CE248" s="40"/>
      <c r="CF248" s="40"/>
      <c r="CG248" s="40"/>
      <c r="CH248" s="40"/>
      <c r="CI248" s="40"/>
      <c r="CJ248" s="40"/>
      <c r="CK248" s="40"/>
      <c r="CL248" s="40"/>
      <c r="CM248" s="40"/>
      <c r="CN248" s="40"/>
      <c r="CO248" s="40"/>
      <c r="CP248" s="40"/>
      <c r="CQ248" s="40"/>
      <c r="CR248" s="40"/>
      <c r="CS248" s="40"/>
      <c r="CT248" s="40"/>
      <c r="CU248" s="40"/>
      <c r="CV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  <c r="BW249" s="40"/>
      <c r="BX249" s="40"/>
      <c r="BY249" s="40"/>
      <c r="BZ249" s="40"/>
      <c r="CA249" s="40"/>
      <c r="CB249" s="40"/>
      <c r="CC249" s="40"/>
      <c r="CD249" s="40"/>
      <c r="CE249" s="40"/>
      <c r="CF249" s="40"/>
      <c r="CG249" s="40"/>
      <c r="CH249" s="40"/>
      <c r="CI249" s="40"/>
      <c r="CJ249" s="40"/>
      <c r="CK249" s="40"/>
      <c r="CL249" s="40"/>
      <c r="CM249" s="40"/>
      <c r="CN249" s="40"/>
      <c r="CO249" s="40"/>
      <c r="CP249" s="40"/>
      <c r="CQ249" s="40"/>
      <c r="CR249" s="40"/>
      <c r="CS249" s="40"/>
      <c r="CT249" s="40"/>
      <c r="CU249" s="40"/>
      <c r="CV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  <c r="BW250" s="40"/>
      <c r="BX250" s="40"/>
      <c r="BY250" s="40"/>
      <c r="BZ250" s="40"/>
      <c r="CA250" s="40"/>
      <c r="CB250" s="40"/>
      <c r="CC250" s="40"/>
      <c r="CD250" s="40"/>
      <c r="CE250" s="40"/>
      <c r="CF250" s="40"/>
      <c r="CG250" s="40"/>
      <c r="CH250" s="40"/>
      <c r="CI250" s="40"/>
      <c r="CJ250" s="40"/>
      <c r="CK250" s="40"/>
      <c r="CL250" s="40"/>
      <c r="CM250" s="40"/>
      <c r="CN250" s="40"/>
      <c r="CO250" s="40"/>
      <c r="CP250" s="40"/>
      <c r="CQ250" s="40"/>
      <c r="CR250" s="40"/>
      <c r="CS250" s="40"/>
      <c r="CT250" s="40"/>
      <c r="CU250" s="40"/>
      <c r="CV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  <c r="BW251" s="40"/>
      <c r="BX251" s="40"/>
      <c r="BY251" s="40"/>
      <c r="BZ251" s="40"/>
      <c r="CA251" s="40"/>
      <c r="CB251" s="40"/>
      <c r="CC251" s="40"/>
      <c r="CD251" s="40"/>
      <c r="CE251" s="40"/>
      <c r="CF251" s="40"/>
      <c r="CG251" s="40"/>
      <c r="CH251" s="40"/>
      <c r="CI251" s="40"/>
      <c r="CJ251" s="40"/>
      <c r="CK251" s="40"/>
      <c r="CL251" s="40"/>
      <c r="CM251" s="40"/>
      <c r="CN251" s="40"/>
      <c r="CO251" s="40"/>
      <c r="CP251" s="40"/>
      <c r="CQ251" s="40"/>
      <c r="CR251" s="40"/>
      <c r="CS251" s="40"/>
      <c r="CT251" s="40"/>
      <c r="CU251" s="40"/>
      <c r="CV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  <c r="BW252" s="40"/>
      <c r="BX252" s="40"/>
      <c r="BY252" s="40"/>
      <c r="BZ252" s="40"/>
      <c r="CA252" s="40"/>
      <c r="CB252" s="40"/>
      <c r="CC252" s="40"/>
      <c r="CD252" s="40"/>
      <c r="CE252" s="40"/>
      <c r="CF252" s="40"/>
      <c r="CG252" s="40"/>
      <c r="CH252" s="40"/>
      <c r="CI252" s="40"/>
      <c r="CJ252" s="40"/>
      <c r="CK252" s="40"/>
      <c r="CL252" s="40"/>
      <c r="CM252" s="40"/>
      <c r="CN252" s="40"/>
      <c r="CO252" s="40"/>
      <c r="CP252" s="40"/>
      <c r="CQ252" s="40"/>
      <c r="CR252" s="40"/>
      <c r="CS252" s="40"/>
      <c r="CT252" s="40"/>
      <c r="CU252" s="40"/>
      <c r="CV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  <c r="BW253" s="40"/>
      <c r="BX253" s="40"/>
      <c r="BY253" s="40"/>
      <c r="BZ253" s="40"/>
      <c r="CA253" s="40"/>
      <c r="CB253" s="40"/>
      <c r="CC253" s="40"/>
      <c r="CD253" s="40"/>
      <c r="CE253" s="40"/>
      <c r="CF253" s="40"/>
      <c r="CG253" s="40"/>
      <c r="CH253" s="40"/>
      <c r="CI253" s="40"/>
      <c r="CJ253" s="40"/>
      <c r="CK253" s="40"/>
      <c r="CL253" s="40"/>
      <c r="CM253" s="40"/>
      <c r="CN253" s="40"/>
      <c r="CO253" s="40"/>
      <c r="CP253" s="40"/>
      <c r="CQ253" s="40"/>
      <c r="CR253" s="40"/>
      <c r="CS253" s="40"/>
      <c r="CT253" s="40"/>
      <c r="CU253" s="40"/>
      <c r="CV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  <c r="BW254" s="40"/>
      <c r="BX254" s="40"/>
      <c r="BY254" s="40"/>
      <c r="BZ254" s="40"/>
      <c r="CA254" s="40"/>
      <c r="CB254" s="40"/>
      <c r="CC254" s="40"/>
      <c r="CD254" s="40"/>
      <c r="CE254" s="40"/>
      <c r="CF254" s="40"/>
      <c r="CG254" s="40"/>
      <c r="CH254" s="40"/>
      <c r="CI254" s="40"/>
      <c r="CJ254" s="40"/>
      <c r="CK254" s="40"/>
      <c r="CL254" s="40"/>
      <c r="CM254" s="40"/>
      <c r="CN254" s="40"/>
      <c r="CO254" s="40"/>
      <c r="CP254" s="40"/>
      <c r="CQ254" s="40"/>
      <c r="CR254" s="40"/>
      <c r="CS254" s="40"/>
      <c r="CT254" s="40"/>
      <c r="CU254" s="40"/>
      <c r="CV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  <c r="BW255" s="40"/>
      <c r="BX255" s="40"/>
      <c r="BY255" s="40"/>
      <c r="BZ255" s="40"/>
      <c r="CA255" s="40"/>
      <c r="CB255" s="40"/>
      <c r="CC255" s="40"/>
      <c r="CD255" s="40"/>
      <c r="CE255" s="40"/>
      <c r="CF255" s="40"/>
      <c r="CG255" s="40"/>
      <c r="CH255" s="40"/>
      <c r="CI255" s="40"/>
      <c r="CJ255" s="40"/>
      <c r="CK255" s="40"/>
      <c r="CL255" s="40"/>
      <c r="CM255" s="40"/>
      <c r="CN255" s="40"/>
      <c r="CO255" s="40"/>
      <c r="CP255" s="40"/>
      <c r="CQ255" s="40"/>
      <c r="CR255" s="40"/>
      <c r="CS255" s="40"/>
      <c r="CT255" s="40"/>
      <c r="CU255" s="40"/>
      <c r="CV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  <c r="BW256" s="40"/>
      <c r="BX256" s="40"/>
      <c r="BY256" s="40"/>
      <c r="BZ256" s="40"/>
      <c r="CA256" s="40"/>
      <c r="CB256" s="40"/>
      <c r="CC256" s="40"/>
      <c r="CD256" s="40"/>
      <c r="CE256" s="40"/>
      <c r="CF256" s="40"/>
      <c r="CG256" s="40"/>
      <c r="CH256" s="40"/>
      <c r="CI256" s="40"/>
      <c r="CJ256" s="40"/>
      <c r="CK256" s="40"/>
      <c r="CL256" s="40"/>
      <c r="CM256" s="40"/>
      <c r="CN256" s="40"/>
      <c r="CO256" s="40"/>
      <c r="CP256" s="40"/>
      <c r="CQ256" s="40"/>
      <c r="CR256" s="40"/>
      <c r="CS256" s="40"/>
      <c r="CT256" s="40"/>
      <c r="CU256" s="40"/>
      <c r="CV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  <c r="BW257" s="40"/>
      <c r="BX257" s="40"/>
      <c r="BY257" s="40"/>
      <c r="BZ257" s="40"/>
      <c r="CA257" s="40"/>
      <c r="CB257" s="40"/>
      <c r="CC257" s="40"/>
      <c r="CD257" s="40"/>
      <c r="CE257" s="40"/>
      <c r="CF257" s="40"/>
      <c r="CG257" s="40"/>
      <c r="CH257" s="40"/>
      <c r="CI257" s="40"/>
      <c r="CJ257" s="40"/>
      <c r="CK257" s="40"/>
      <c r="CL257" s="40"/>
      <c r="CM257" s="40"/>
      <c r="CN257" s="40"/>
      <c r="CO257" s="40"/>
      <c r="CP257" s="40"/>
      <c r="CQ257" s="40"/>
      <c r="CR257" s="40"/>
      <c r="CS257" s="40"/>
      <c r="CT257" s="40"/>
      <c r="CU257" s="40"/>
      <c r="CV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  <c r="BW258" s="40"/>
      <c r="BX258" s="40"/>
      <c r="BY258" s="40"/>
      <c r="BZ258" s="40"/>
      <c r="CA258" s="40"/>
      <c r="CB258" s="40"/>
      <c r="CC258" s="40"/>
      <c r="CD258" s="40"/>
      <c r="CE258" s="40"/>
      <c r="CF258" s="40"/>
      <c r="CG258" s="40"/>
      <c r="CH258" s="40"/>
      <c r="CI258" s="40"/>
      <c r="CJ258" s="40"/>
      <c r="CK258" s="40"/>
      <c r="CL258" s="40"/>
      <c r="CM258" s="40"/>
      <c r="CN258" s="40"/>
      <c r="CO258" s="40"/>
      <c r="CP258" s="40"/>
      <c r="CQ258" s="40"/>
      <c r="CR258" s="40"/>
      <c r="CS258" s="40"/>
      <c r="CT258" s="40"/>
      <c r="CU258" s="40"/>
      <c r="CV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  <c r="BW259" s="40"/>
      <c r="BX259" s="40"/>
      <c r="BY259" s="40"/>
      <c r="BZ259" s="40"/>
      <c r="CA259" s="40"/>
      <c r="CB259" s="40"/>
      <c r="CC259" s="40"/>
      <c r="CD259" s="40"/>
      <c r="CE259" s="40"/>
      <c r="CF259" s="40"/>
      <c r="CG259" s="40"/>
      <c r="CH259" s="40"/>
      <c r="CI259" s="40"/>
      <c r="CJ259" s="40"/>
      <c r="CK259" s="40"/>
      <c r="CL259" s="40"/>
      <c r="CM259" s="40"/>
      <c r="CN259" s="40"/>
      <c r="CO259" s="40"/>
      <c r="CP259" s="40"/>
      <c r="CQ259" s="40"/>
      <c r="CR259" s="40"/>
      <c r="CS259" s="40"/>
      <c r="CT259" s="40"/>
      <c r="CU259" s="40"/>
      <c r="CV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  <c r="BW260" s="40"/>
      <c r="BX260" s="40"/>
      <c r="BY260" s="40"/>
      <c r="BZ260" s="40"/>
      <c r="CA260" s="40"/>
      <c r="CB260" s="40"/>
      <c r="CC260" s="40"/>
      <c r="CD260" s="40"/>
      <c r="CE260" s="40"/>
      <c r="CF260" s="40"/>
      <c r="CG260" s="40"/>
      <c r="CH260" s="40"/>
      <c r="CI260" s="40"/>
      <c r="CJ260" s="40"/>
      <c r="CK260" s="40"/>
      <c r="CL260" s="40"/>
      <c r="CM260" s="40"/>
      <c r="CN260" s="40"/>
      <c r="CO260" s="40"/>
      <c r="CP260" s="40"/>
      <c r="CQ260" s="40"/>
      <c r="CR260" s="40"/>
      <c r="CS260" s="40"/>
      <c r="CT260" s="40"/>
      <c r="CU260" s="40"/>
      <c r="CV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  <c r="BW261" s="40"/>
      <c r="BX261" s="40"/>
      <c r="BY261" s="40"/>
      <c r="BZ261" s="40"/>
      <c r="CA261" s="40"/>
      <c r="CB261" s="40"/>
      <c r="CC261" s="40"/>
      <c r="CD261" s="40"/>
      <c r="CE261" s="40"/>
      <c r="CF261" s="40"/>
      <c r="CG261" s="40"/>
      <c r="CH261" s="40"/>
      <c r="CI261" s="40"/>
      <c r="CJ261" s="40"/>
      <c r="CK261" s="40"/>
      <c r="CL261" s="40"/>
      <c r="CM261" s="40"/>
      <c r="CN261" s="40"/>
      <c r="CO261" s="40"/>
      <c r="CP261" s="40"/>
      <c r="CQ261" s="40"/>
      <c r="CR261" s="40"/>
      <c r="CS261" s="40"/>
      <c r="CT261" s="40"/>
      <c r="CU261" s="40"/>
      <c r="CV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  <c r="BW262" s="40"/>
      <c r="BX262" s="40"/>
      <c r="BY262" s="40"/>
      <c r="BZ262" s="40"/>
      <c r="CA262" s="40"/>
      <c r="CB262" s="40"/>
      <c r="CC262" s="40"/>
      <c r="CD262" s="40"/>
      <c r="CE262" s="40"/>
      <c r="CF262" s="40"/>
      <c r="CG262" s="40"/>
      <c r="CH262" s="40"/>
      <c r="CI262" s="40"/>
      <c r="CJ262" s="40"/>
      <c r="CK262" s="40"/>
      <c r="CL262" s="40"/>
      <c r="CM262" s="40"/>
      <c r="CN262" s="40"/>
      <c r="CO262" s="40"/>
      <c r="CP262" s="40"/>
      <c r="CQ262" s="40"/>
      <c r="CR262" s="40"/>
      <c r="CS262" s="40"/>
      <c r="CT262" s="40"/>
      <c r="CU262" s="40"/>
      <c r="CV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  <c r="BW263" s="40"/>
      <c r="BX263" s="40"/>
      <c r="BY263" s="40"/>
      <c r="BZ263" s="40"/>
      <c r="CA263" s="40"/>
      <c r="CB263" s="40"/>
      <c r="CC263" s="40"/>
      <c r="CD263" s="40"/>
      <c r="CE263" s="40"/>
      <c r="CF263" s="40"/>
      <c r="CG263" s="40"/>
      <c r="CH263" s="40"/>
      <c r="CI263" s="40"/>
      <c r="CJ263" s="40"/>
      <c r="CK263" s="40"/>
      <c r="CL263" s="40"/>
      <c r="CM263" s="40"/>
      <c r="CN263" s="40"/>
      <c r="CO263" s="40"/>
      <c r="CP263" s="40"/>
      <c r="CQ263" s="40"/>
      <c r="CR263" s="40"/>
      <c r="CS263" s="40"/>
      <c r="CT263" s="40"/>
      <c r="CU263" s="40"/>
      <c r="CV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  <c r="BW264" s="40"/>
      <c r="BX264" s="40"/>
      <c r="BY264" s="40"/>
      <c r="BZ264" s="40"/>
      <c r="CA264" s="40"/>
      <c r="CB264" s="40"/>
      <c r="CC264" s="40"/>
      <c r="CD264" s="40"/>
      <c r="CE264" s="40"/>
      <c r="CF264" s="40"/>
      <c r="CG264" s="40"/>
      <c r="CH264" s="40"/>
      <c r="CI264" s="40"/>
      <c r="CJ264" s="40"/>
      <c r="CK264" s="40"/>
      <c r="CL264" s="40"/>
      <c r="CM264" s="40"/>
      <c r="CN264" s="40"/>
      <c r="CO264" s="40"/>
      <c r="CP264" s="40"/>
      <c r="CQ264" s="40"/>
      <c r="CR264" s="40"/>
      <c r="CS264" s="40"/>
      <c r="CT264" s="40"/>
      <c r="CU264" s="40"/>
      <c r="CV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  <c r="BW265" s="40"/>
      <c r="BX265" s="40"/>
      <c r="BY265" s="40"/>
      <c r="BZ265" s="40"/>
      <c r="CA265" s="40"/>
      <c r="CB265" s="40"/>
      <c r="CC265" s="40"/>
      <c r="CD265" s="40"/>
      <c r="CE265" s="40"/>
      <c r="CF265" s="40"/>
      <c r="CG265" s="40"/>
      <c r="CH265" s="40"/>
      <c r="CI265" s="40"/>
      <c r="CJ265" s="40"/>
      <c r="CK265" s="40"/>
      <c r="CL265" s="40"/>
      <c r="CM265" s="40"/>
      <c r="CN265" s="40"/>
      <c r="CO265" s="40"/>
      <c r="CP265" s="40"/>
      <c r="CQ265" s="40"/>
      <c r="CR265" s="40"/>
      <c r="CS265" s="40"/>
      <c r="CT265" s="40"/>
      <c r="CU265" s="40"/>
      <c r="CV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  <c r="BW266" s="40"/>
      <c r="BX266" s="40"/>
      <c r="BY266" s="40"/>
      <c r="BZ266" s="40"/>
      <c r="CA266" s="40"/>
      <c r="CB266" s="40"/>
      <c r="CC266" s="40"/>
      <c r="CD266" s="40"/>
      <c r="CE266" s="40"/>
      <c r="CF266" s="40"/>
      <c r="CG266" s="40"/>
      <c r="CH266" s="40"/>
      <c r="CI266" s="40"/>
      <c r="CJ266" s="40"/>
      <c r="CK266" s="40"/>
      <c r="CL266" s="40"/>
      <c r="CM266" s="40"/>
      <c r="CN266" s="40"/>
      <c r="CO266" s="40"/>
      <c r="CP266" s="40"/>
      <c r="CQ266" s="40"/>
      <c r="CR266" s="40"/>
      <c r="CS266" s="40"/>
      <c r="CT266" s="40"/>
      <c r="CU266" s="40"/>
      <c r="CV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  <c r="BW267" s="40"/>
      <c r="BX267" s="40"/>
      <c r="BY267" s="40"/>
      <c r="BZ267" s="40"/>
      <c r="CA267" s="40"/>
      <c r="CB267" s="40"/>
      <c r="CC267" s="40"/>
      <c r="CD267" s="40"/>
      <c r="CE267" s="40"/>
      <c r="CF267" s="40"/>
      <c r="CG267" s="40"/>
      <c r="CH267" s="40"/>
      <c r="CI267" s="40"/>
      <c r="CJ267" s="40"/>
      <c r="CK267" s="40"/>
      <c r="CL267" s="40"/>
      <c r="CM267" s="40"/>
      <c r="CN267" s="40"/>
      <c r="CO267" s="40"/>
      <c r="CP267" s="40"/>
      <c r="CQ267" s="40"/>
      <c r="CR267" s="40"/>
      <c r="CS267" s="40"/>
      <c r="CT267" s="40"/>
      <c r="CU267" s="40"/>
      <c r="CV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  <c r="BW268" s="40"/>
      <c r="BX268" s="40"/>
      <c r="BY268" s="40"/>
      <c r="BZ268" s="40"/>
      <c r="CA268" s="40"/>
      <c r="CB268" s="40"/>
      <c r="CC268" s="40"/>
      <c r="CD268" s="40"/>
      <c r="CE268" s="40"/>
      <c r="CF268" s="40"/>
      <c r="CG268" s="40"/>
      <c r="CH268" s="40"/>
      <c r="CI268" s="40"/>
      <c r="CJ268" s="40"/>
      <c r="CK268" s="40"/>
      <c r="CL268" s="40"/>
      <c r="CM268" s="40"/>
      <c r="CN268" s="40"/>
      <c r="CO268" s="40"/>
      <c r="CP268" s="40"/>
      <c r="CQ268" s="40"/>
      <c r="CR268" s="40"/>
      <c r="CS268" s="40"/>
      <c r="CT268" s="40"/>
      <c r="CU268" s="40"/>
      <c r="CV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  <c r="BW269" s="40"/>
      <c r="BX269" s="40"/>
      <c r="BY269" s="40"/>
      <c r="BZ269" s="40"/>
      <c r="CA269" s="40"/>
      <c r="CB269" s="40"/>
      <c r="CC269" s="40"/>
      <c r="CD269" s="40"/>
      <c r="CE269" s="40"/>
      <c r="CF269" s="40"/>
      <c r="CG269" s="40"/>
      <c r="CH269" s="40"/>
      <c r="CI269" s="40"/>
      <c r="CJ269" s="40"/>
      <c r="CK269" s="40"/>
      <c r="CL269" s="40"/>
      <c r="CM269" s="40"/>
      <c r="CN269" s="40"/>
      <c r="CO269" s="40"/>
      <c r="CP269" s="40"/>
      <c r="CQ269" s="40"/>
      <c r="CR269" s="40"/>
      <c r="CS269" s="40"/>
      <c r="CT269" s="40"/>
      <c r="CU269" s="40"/>
      <c r="CV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  <c r="BW270" s="40"/>
      <c r="BX270" s="40"/>
      <c r="BY270" s="40"/>
      <c r="BZ270" s="40"/>
      <c r="CA270" s="40"/>
      <c r="CB270" s="40"/>
      <c r="CC270" s="40"/>
      <c r="CD270" s="40"/>
      <c r="CE270" s="40"/>
      <c r="CF270" s="40"/>
      <c r="CG270" s="40"/>
      <c r="CH270" s="40"/>
      <c r="CI270" s="40"/>
      <c r="CJ270" s="40"/>
      <c r="CK270" s="40"/>
      <c r="CL270" s="40"/>
      <c r="CM270" s="40"/>
      <c r="CN270" s="40"/>
      <c r="CO270" s="40"/>
      <c r="CP270" s="40"/>
      <c r="CQ270" s="40"/>
      <c r="CR270" s="40"/>
      <c r="CS270" s="40"/>
      <c r="CT270" s="40"/>
      <c r="CU270" s="40"/>
      <c r="CV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  <c r="BW271" s="40"/>
      <c r="BX271" s="40"/>
      <c r="BY271" s="40"/>
      <c r="BZ271" s="40"/>
      <c r="CA271" s="40"/>
      <c r="CB271" s="40"/>
      <c r="CC271" s="40"/>
      <c r="CD271" s="40"/>
      <c r="CE271" s="40"/>
      <c r="CF271" s="40"/>
      <c r="CG271" s="40"/>
      <c r="CH271" s="40"/>
      <c r="CI271" s="40"/>
      <c r="CJ271" s="40"/>
      <c r="CK271" s="40"/>
      <c r="CL271" s="40"/>
      <c r="CM271" s="40"/>
      <c r="CN271" s="40"/>
      <c r="CO271" s="40"/>
      <c r="CP271" s="40"/>
      <c r="CQ271" s="40"/>
      <c r="CR271" s="40"/>
      <c r="CS271" s="40"/>
      <c r="CT271" s="40"/>
      <c r="CU271" s="40"/>
      <c r="CV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  <c r="BW272" s="40"/>
      <c r="BX272" s="40"/>
      <c r="BY272" s="40"/>
      <c r="BZ272" s="40"/>
      <c r="CA272" s="40"/>
      <c r="CB272" s="40"/>
      <c r="CC272" s="40"/>
      <c r="CD272" s="40"/>
      <c r="CE272" s="40"/>
      <c r="CF272" s="40"/>
      <c r="CG272" s="40"/>
      <c r="CH272" s="40"/>
      <c r="CI272" s="40"/>
      <c r="CJ272" s="40"/>
      <c r="CK272" s="40"/>
      <c r="CL272" s="40"/>
      <c r="CM272" s="40"/>
      <c r="CN272" s="40"/>
      <c r="CO272" s="40"/>
      <c r="CP272" s="40"/>
      <c r="CQ272" s="40"/>
      <c r="CR272" s="40"/>
      <c r="CS272" s="40"/>
      <c r="CT272" s="40"/>
      <c r="CU272" s="40"/>
      <c r="CV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  <c r="BW273" s="40"/>
      <c r="BX273" s="40"/>
      <c r="BY273" s="40"/>
      <c r="BZ273" s="40"/>
      <c r="CA273" s="40"/>
      <c r="CB273" s="40"/>
      <c r="CC273" s="40"/>
      <c r="CD273" s="40"/>
      <c r="CE273" s="40"/>
      <c r="CF273" s="40"/>
      <c r="CG273" s="40"/>
      <c r="CH273" s="40"/>
      <c r="CI273" s="40"/>
      <c r="CJ273" s="40"/>
      <c r="CK273" s="40"/>
      <c r="CL273" s="40"/>
      <c r="CM273" s="40"/>
      <c r="CN273" s="40"/>
      <c r="CO273" s="40"/>
      <c r="CP273" s="40"/>
      <c r="CQ273" s="40"/>
      <c r="CR273" s="40"/>
      <c r="CS273" s="40"/>
      <c r="CT273" s="40"/>
      <c r="CU273" s="40"/>
      <c r="CV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  <c r="BW274" s="40"/>
      <c r="BX274" s="40"/>
      <c r="BY274" s="40"/>
      <c r="BZ274" s="40"/>
      <c r="CA274" s="40"/>
      <c r="CB274" s="40"/>
      <c r="CC274" s="40"/>
      <c r="CD274" s="40"/>
      <c r="CE274" s="40"/>
      <c r="CF274" s="40"/>
      <c r="CG274" s="40"/>
      <c r="CH274" s="40"/>
      <c r="CI274" s="40"/>
      <c r="CJ274" s="40"/>
      <c r="CK274" s="40"/>
      <c r="CL274" s="40"/>
      <c r="CM274" s="40"/>
      <c r="CN274" s="40"/>
      <c r="CO274" s="40"/>
      <c r="CP274" s="40"/>
      <c r="CQ274" s="40"/>
      <c r="CR274" s="40"/>
      <c r="CS274" s="40"/>
      <c r="CT274" s="40"/>
      <c r="CU274" s="40"/>
      <c r="CV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  <c r="BW275" s="40"/>
      <c r="BX275" s="40"/>
      <c r="BY275" s="40"/>
      <c r="BZ275" s="40"/>
      <c r="CA275" s="40"/>
      <c r="CB275" s="40"/>
      <c r="CC275" s="40"/>
      <c r="CD275" s="40"/>
      <c r="CE275" s="40"/>
      <c r="CF275" s="40"/>
      <c r="CG275" s="40"/>
      <c r="CH275" s="40"/>
      <c r="CI275" s="40"/>
      <c r="CJ275" s="40"/>
      <c r="CK275" s="40"/>
      <c r="CL275" s="40"/>
      <c r="CM275" s="40"/>
      <c r="CN275" s="40"/>
      <c r="CO275" s="40"/>
      <c r="CP275" s="40"/>
      <c r="CQ275" s="40"/>
      <c r="CR275" s="40"/>
      <c r="CS275" s="40"/>
      <c r="CT275" s="40"/>
      <c r="CU275" s="40"/>
      <c r="CV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  <c r="BW276" s="40"/>
      <c r="BX276" s="40"/>
      <c r="BY276" s="40"/>
      <c r="BZ276" s="40"/>
      <c r="CA276" s="40"/>
      <c r="CB276" s="40"/>
      <c r="CC276" s="40"/>
      <c r="CD276" s="40"/>
      <c r="CE276" s="40"/>
      <c r="CF276" s="40"/>
      <c r="CG276" s="40"/>
      <c r="CH276" s="40"/>
      <c r="CI276" s="40"/>
      <c r="CJ276" s="40"/>
      <c r="CK276" s="40"/>
      <c r="CL276" s="40"/>
      <c r="CM276" s="40"/>
      <c r="CN276" s="40"/>
      <c r="CO276" s="40"/>
      <c r="CP276" s="40"/>
      <c r="CQ276" s="40"/>
      <c r="CR276" s="40"/>
      <c r="CS276" s="40"/>
      <c r="CT276" s="40"/>
      <c r="CU276" s="40"/>
      <c r="CV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  <c r="BW277" s="40"/>
      <c r="BX277" s="40"/>
      <c r="BY277" s="40"/>
      <c r="BZ277" s="40"/>
      <c r="CA277" s="40"/>
      <c r="CB277" s="40"/>
      <c r="CC277" s="40"/>
      <c r="CD277" s="40"/>
      <c r="CE277" s="40"/>
      <c r="CF277" s="40"/>
      <c r="CG277" s="40"/>
      <c r="CH277" s="40"/>
      <c r="CI277" s="40"/>
      <c r="CJ277" s="40"/>
      <c r="CK277" s="40"/>
      <c r="CL277" s="40"/>
      <c r="CM277" s="40"/>
      <c r="CN277" s="40"/>
      <c r="CO277" s="40"/>
      <c r="CP277" s="40"/>
      <c r="CQ277" s="40"/>
      <c r="CR277" s="40"/>
      <c r="CS277" s="40"/>
      <c r="CT277" s="40"/>
      <c r="CU277" s="40"/>
      <c r="CV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  <c r="BW278" s="40"/>
      <c r="BX278" s="40"/>
      <c r="BY278" s="40"/>
      <c r="BZ278" s="40"/>
      <c r="CA278" s="40"/>
      <c r="CB278" s="40"/>
      <c r="CC278" s="40"/>
      <c r="CD278" s="40"/>
      <c r="CE278" s="40"/>
      <c r="CF278" s="40"/>
      <c r="CG278" s="40"/>
      <c r="CH278" s="40"/>
      <c r="CI278" s="40"/>
      <c r="CJ278" s="40"/>
      <c r="CK278" s="40"/>
      <c r="CL278" s="40"/>
      <c r="CM278" s="40"/>
      <c r="CN278" s="40"/>
      <c r="CO278" s="40"/>
      <c r="CP278" s="40"/>
      <c r="CQ278" s="40"/>
      <c r="CR278" s="40"/>
      <c r="CS278" s="40"/>
      <c r="CT278" s="40"/>
      <c r="CU278" s="40"/>
      <c r="CV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  <c r="BW279" s="40"/>
      <c r="BX279" s="40"/>
      <c r="BY279" s="40"/>
      <c r="BZ279" s="40"/>
      <c r="CA279" s="40"/>
      <c r="CB279" s="40"/>
      <c r="CC279" s="40"/>
      <c r="CD279" s="40"/>
      <c r="CE279" s="40"/>
      <c r="CF279" s="40"/>
      <c r="CG279" s="40"/>
      <c r="CH279" s="40"/>
      <c r="CI279" s="40"/>
      <c r="CJ279" s="40"/>
      <c r="CK279" s="40"/>
      <c r="CL279" s="40"/>
      <c r="CM279" s="40"/>
      <c r="CN279" s="40"/>
      <c r="CO279" s="40"/>
      <c r="CP279" s="40"/>
      <c r="CQ279" s="40"/>
      <c r="CR279" s="40"/>
      <c r="CS279" s="40"/>
      <c r="CT279" s="40"/>
      <c r="CU279" s="40"/>
      <c r="CV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  <c r="BW280" s="40"/>
      <c r="BX280" s="40"/>
      <c r="BY280" s="40"/>
      <c r="BZ280" s="40"/>
      <c r="CA280" s="40"/>
      <c r="CB280" s="40"/>
      <c r="CC280" s="40"/>
      <c r="CD280" s="40"/>
      <c r="CE280" s="40"/>
      <c r="CF280" s="40"/>
      <c r="CG280" s="40"/>
      <c r="CH280" s="40"/>
      <c r="CI280" s="40"/>
      <c r="CJ280" s="40"/>
      <c r="CK280" s="40"/>
      <c r="CL280" s="40"/>
      <c r="CM280" s="40"/>
      <c r="CN280" s="40"/>
      <c r="CO280" s="40"/>
      <c r="CP280" s="40"/>
      <c r="CQ280" s="40"/>
      <c r="CR280" s="40"/>
      <c r="CS280" s="40"/>
      <c r="CT280" s="40"/>
      <c r="CU280" s="40"/>
      <c r="CV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  <c r="BW281" s="40"/>
      <c r="BX281" s="40"/>
      <c r="BY281" s="40"/>
      <c r="BZ281" s="40"/>
      <c r="CA281" s="40"/>
      <c r="CB281" s="40"/>
      <c r="CC281" s="40"/>
      <c r="CD281" s="40"/>
      <c r="CE281" s="40"/>
      <c r="CF281" s="40"/>
      <c r="CG281" s="40"/>
      <c r="CH281" s="40"/>
      <c r="CI281" s="40"/>
      <c r="CJ281" s="40"/>
      <c r="CK281" s="40"/>
      <c r="CL281" s="40"/>
      <c r="CM281" s="40"/>
      <c r="CN281" s="40"/>
      <c r="CO281" s="40"/>
      <c r="CP281" s="40"/>
      <c r="CQ281" s="40"/>
      <c r="CR281" s="40"/>
      <c r="CS281" s="40"/>
      <c r="CT281" s="40"/>
      <c r="CU281" s="40"/>
      <c r="CV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0"/>
      <c r="BX282" s="40"/>
      <c r="BY282" s="40"/>
      <c r="BZ282" s="40"/>
      <c r="CA282" s="40"/>
      <c r="CB282" s="40"/>
      <c r="CC282" s="40"/>
      <c r="CD282" s="40"/>
      <c r="CE282" s="40"/>
      <c r="CF282" s="40"/>
      <c r="CG282" s="40"/>
      <c r="CH282" s="40"/>
      <c r="CI282" s="40"/>
      <c r="CJ282" s="40"/>
      <c r="CK282" s="40"/>
      <c r="CL282" s="40"/>
      <c r="CM282" s="40"/>
      <c r="CN282" s="40"/>
      <c r="CO282" s="40"/>
      <c r="CP282" s="40"/>
      <c r="CQ282" s="40"/>
      <c r="CR282" s="40"/>
      <c r="CS282" s="40"/>
      <c r="CT282" s="40"/>
      <c r="CU282" s="40"/>
      <c r="CV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  <c r="BW283" s="40"/>
      <c r="BX283" s="40"/>
      <c r="BY283" s="40"/>
      <c r="BZ283" s="40"/>
      <c r="CA283" s="40"/>
      <c r="CB283" s="40"/>
      <c r="CC283" s="40"/>
      <c r="CD283" s="40"/>
      <c r="CE283" s="40"/>
      <c r="CF283" s="40"/>
      <c r="CG283" s="40"/>
      <c r="CH283" s="40"/>
      <c r="CI283" s="40"/>
      <c r="CJ283" s="40"/>
      <c r="CK283" s="40"/>
      <c r="CL283" s="40"/>
      <c r="CM283" s="40"/>
      <c r="CN283" s="40"/>
      <c r="CO283" s="40"/>
      <c r="CP283" s="40"/>
      <c r="CQ283" s="40"/>
      <c r="CR283" s="40"/>
      <c r="CS283" s="40"/>
      <c r="CT283" s="40"/>
      <c r="CU283" s="40"/>
      <c r="CV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  <c r="BW284" s="40"/>
      <c r="BX284" s="40"/>
      <c r="BY284" s="40"/>
      <c r="BZ284" s="40"/>
      <c r="CA284" s="40"/>
      <c r="CB284" s="40"/>
      <c r="CC284" s="40"/>
      <c r="CD284" s="40"/>
      <c r="CE284" s="40"/>
      <c r="CF284" s="40"/>
      <c r="CG284" s="40"/>
      <c r="CH284" s="40"/>
      <c r="CI284" s="40"/>
      <c r="CJ284" s="40"/>
      <c r="CK284" s="40"/>
      <c r="CL284" s="40"/>
      <c r="CM284" s="40"/>
      <c r="CN284" s="40"/>
      <c r="CO284" s="40"/>
      <c r="CP284" s="40"/>
      <c r="CQ284" s="40"/>
      <c r="CR284" s="40"/>
      <c r="CS284" s="40"/>
      <c r="CT284" s="40"/>
      <c r="CU284" s="40"/>
      <c r="CV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  <c r="BW285" s="40"/>
      <c r="BX285" s="40"/>
      <c r="BY285" s="40"/>
      <c r="BZ285" s="40"/>
      <c r="CA285" s="40"/>
      <c r="CB285" s="40"/>
      <c r="CC285" s="40"/>
      <c r="CD285" s="40"/>
      <c r="CE285" s="40"/>
      <c r="CF285" s="40"/>
      <c r="CG285" s="40"/>
      <c r="CH285" s="40"/>
      <c r="CI285" s="40"/>
      <c r="CJ285" s="40"/>
      <c r="CK285" s="40"/>
      <c r="CL285" s="40"/>
      <c r="CM285" s="40"/>
      <c r="CN285" s="40"/>
      <c r="CO285" s="40"/>
      <c r="CP285" s="40"/>
      <c r="CQ285" s="40"/>
      <c r="CR285" s="40"/>
      <c r="CS285" s="40"/>
      <c r="CT285" s="40"/>
      <c r="CU285" s="40"/>
      <c r="CV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  <c r="BW286" s="40"/>
      <c r="BX286" s="40"/>
      <c r="BY286" s="40"/>
      <c r="BZ286" s="40"/>
      <c r="CA286" s="40"/>
      <c r="CB286" s="40"/>
      <c r="CC286" s="40"/>
      <c r="CD286" s="40"/>
      <c r="CE286" s="40"/>
      <c r="CF286" s="40"/>
      <c r="CG286" s="40"/>
      <c r="CH286" s="40"/>
      <c r="CI286" s="40"/>
      <c r="CJ286" s="40"/>
      <c r="CK286" s="40"/>
      <c r="CL286" s="40"/>
      <c r="CM286" s="40"/>
      <c r="CN286" s="40"/>
      <c r="CO286" s="40"/>
      <c r="CP286" s="40"/>
      <c r="CQ286" s="40"/>
      <c r="CR286" s="40"/>
      <c r="CS286" s="40"/>
      <c r="CT286" s="40"/>
      <c r="CU286" s="40"/>
      <c r="CV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  <c r="BW287" s="40"/>
      <c r="BX287" s="40"/>
      <c r="BY287" s="40"/>
      <c r="BZ287" s="40"/>
      <c r="CA287" s="40"/>
      <c r="CB287" s="40"/>
      <c r="CC287" s="40"/>
      <c r="CD287" s="40"/>
      <c r="CE287" s="40"/>
      <c r="CF287" s="40"/>
      <c r="CG287" s="40"/>
      <c r="CH287" s="40"/>
      <c r="CI287" s="40"/>
      <c r="CJ287" s="40"/>
      <c r="CK287" s="40"/>
      <c r="CL287" s="40"/>
      <c r="CM287" s="40"/>
      <c r="CN287" s="40"/>
      <c r="CO287" s="40"/>
      <c r="CP287" s="40"/>
      <c r="CQ287" s="40"/>
      <c r="CR287" s="40"/>
      <c r="CS287" s="40"/>
      <c r="CT287" s="40"/>
      <c r="CU287" s="40"/>
      <c r="CV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  <c r="BW288" s="40"/>
      <c r="BX288" s="40"/>
      <c r="BY288" s="40"/>
      <c r="BZ288" s="40"/>
      <c r="CA288" s="40"/>
      <c r="CB288" s="40"/>
      <c r="CC288" s="40"/>
      <c r="CD288" s="40"/>
      <c r="CE288" s="40"/>
      <c r="CF288" s="40"/>
      <c r="CG288" s="40"/>
      <c r="CH288" s="40"/>
      <c r="CI288" s="40"/>
      <c r="CJ288" s="40"/>
      <c r="CK288" s="40"/>
      <c r="CL288" s="40"/>
      <c r="CM288" s="40"/>
      <c r="CN288" s="40"/>
      <c r="CO288" s="40"/>
      <c r="CP288" s="40"/>
      <c r="CQ288" s="40"/>
      <c r="CR288" s="40"/>
      <c r="CS288" s="40"/>
      <c r="CT288" s="40"/>
      <c r="CU288" s="40"/>
      <c r="CV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  <c r="BW289" s="40"/>
      <c r="BX289" s="40"/>
      <c r="BY289" s="40"/>
      <c r="BZ289" s="40"/>
      <c r="CA289" s="40"/>
      <c r="CB289" s="40"/>
      <c r="CC289" s="40"/>
      <c r="CD289" s="40"/>
      <c r="CE289" s="40"/>
      <c r="CF289" s="40"/>
      <c r="CG289" s="40"/>
      <c r="CH289" s="40"/>
      <c r="CI289" s="40"/>
      <c r="CJ289" s="40"/>
      <c r="CK289" s="40"/>
      <c r="CL289" s="40"/>
      <c r="CM289" s="40"/>
      <c r="CN289" s="40"/>
      <c r="CO289" s="40"/>
      <c r="CP289" s="40"/>
      <c r="CQ289" s="40"/>
      <c r="CR289" s="40"/>
      <c r="CS289" s="40"/>
      <c r="CT289" s="40"/>
      <c r="CU289" s="40"/>
      <c r="CV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  <c r="BW290" s="40"/>
      <c r="BX290" s="40"/>
      <c r="BY290" s="40"/>
      <c r="BZ290" s="40"/>
      <c r="CA290" s="40"/>
      <c r="CB290" s="40"/>
      <c r="CC290" s="40"/>
      <c r="CD290" s="40"/>
      <c r="CE290" s="40"/>
      <c r="CF290" s="40"/>
      <c r="CG290" s="40"/>
      <c r="CH290" s="40"/>
      <c r="CI290" s="40"/>
      <c r="CJ290" s="40"/>
      <c r="CK290" s="40"/>
      <c r="CL290" s="40"/>
      <c r="CM290" s="40"/>
      <c r="CN290" s="40"/>
      <c r="CO290" s="40"/>
      <c r="CP290" s="40"/>
      <c r="CQ290" s="40"/>
      <c r="CR290" s="40"/>
      <c r="CS290" s="40"/>
      <c r="CT290" s="40"/>
      <c r="CU290" s="40"/>
      <c r="CV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  <c r="BW291" s="40"/>
      <c r="BX291" s="40"/>
      <c r="BY291" s="40"/>
      <c r="BZ291" s="40"/>
      <c r="CA291" s="40"/>
      <c r="CB291" s="40"/>
      <c r="CC291" s="40"/>
      <c r="CD291" s="40"/>
      <c r="CE291" s="40"/>
      <c r="CF291" s="40"/>
      <c r="CG291" s="40"/>
      <c r="CH291" s="40"/>
      <c r="CI291" s="40"/>
      <c r="CJ291" s="40"/>
      <c r="CK291" s="40"/>
      <c r="CL291" s="40"/>
      <c r="CM291" s="40"/>
      <c r="CN291" s="40"/>
      <c r="CO291" s="40"/>
      <c r="CP291" s="40"/>
      <c r="CQ291" s="40"/>
      <c r="CR291" s="40"/>
      <c r="CS291" s="40"/>
      <c r="CT291" s="40"/>
      <c r="CU291" s="40"/>
      <c r="CV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  <c r="BW292" s="40"/>
      <c r="BX292" s="40"/>
      <c r="BY292" s="40"/>
      <c r="BZ292" s="40"/>
      <c r="CA292" s="40"/>
      <c r="CB292" s="40"/>
      <c r="CC292" s="40"/>
      <c r="CD292" s="40"/>
      <c r="CE292" s="40"/>
      <c r="CF292" s="40"/>
      <c r="CG292" s="40"/>
      <c r="CH292" s="40"/>
      <c r="CI292" s="40"/>
      <c r="CJ292" s="40"/>
      <c r="CK292" s="40"/>
      <c r="CL292" s="40"/>
      <c r="CM292" s="40"/>
      <c r="CN292" s="40"/>
      <c r="CO292" s="40"/>
      <c r="CP292" s="40"/>
      <c r="CQ292" s="40"/>
      <c r="CR292" s="40"/>
      <c r="CS292" s="40"/>
      <c r="CT292" s="40"/>
      <c r="CU292" s="40"/>
      <c r="CV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  <c r="BW293" s="40"/>
      <c r="BX293" s="40"/>
      <c r="BY293" s="40"/>
      <c r="BZ293" s="40"/>
      <c r="CA293" s="40"/>
      <c r="CB293" s="40"/>
      <c r="CC293" s="40"/>
      <c r="CD293" s="40"/>
      <c r="CE293" s="40"/>
      <c r="CF293" s="40"/>
      <c r="CG293" s="40"/>
      <c r="CH293" s="40"/>
      <c r="CI293" s="40"/>
      <c r="CJ293" s="40"/>
      <c r="CK293" s="40"/>
      <c r="CL293" s="40"/>
      <c r="CM293" s="40"/>
      <c r="CN293" s="40"/>
      <c r="CO293" s="40"/>
      <c r="CP293" s="40"/>
      <c r="CQ293" s="40"/>
      <c r="CR293" s="40"/>
      <c r="CS293" s="40"/>
      <c r="CT293" s="40"/>
      <c r="CU293" s="40"/>
      <c r="CV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  <c r="BW294" s="40"/>
      <c r="BX294" s="40"/>
      <c r="BY294" s="40"/>
      <c r="BZ294" s="40"/>
      <c r="CA294" s="40"/>
      <c r="CB294" s="40"/>
      <c r="CC294" s="40"/>
      <c r="CD294" s="40"/>
      <c r="CE294" s="40"/>
      <c r="CF294" s="40"/>
      <c r="CG294" s="40"/>
      <c r="CH294" s="40"/>
      <c r="CI294" s="40"/>
      <c r="CJ294" s="40"/>
      <c r="CK294" s="40"/>
      <c r="CL294" s="40"/>
      <c r="CM294" s="40"/>
      <c r="CN294" s="40"/>
      <c r="CO294" s="40"/>
      <c r="CP294" s="40"/>
      <c r="CQ294" s="40"/>
      <c r="CR294" s="40"/>
      <c r="CS294" s="40"/>
      <c r="CT294" s="40"/>
      <c r="CU294" s="40"/>
      <c r="CV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  <c r="BW295" s="40"/>
      <c r="BX295" s="40"/>
      <c r="BY295" s="40"/>
      <c r="BZ295" s="40"/>
      <c r="CA295" s="40"/>
      <c r="CB295" s="40"/>
      <c r="CC295" s="40"/>
      <c r="CD295" s="40"/>
      <c r="CE295" s="40"/>
      <c r="CF295" s="40"/>
      <c r="CG295" s="40"/>
      <c r="CH295" s="40"/>
      <c r="CI295" s="40"/>
      <c r="CJ295" s="40"/>
      <c r="CK295" s="40"/>
      <c r="CL295" s="40"/>
      <c r="CM295" s="40"/>
      <c r="CN295" s="40"/>
      <c r="CO295" s="40"/>
      <c r="CP295" s="40"/>
      <c r="CQ295" s="40"/>
      <c r="CR295" s="40"/>
      <c r="CS295" s="40"/>
      <c r="CT295" s="40"/>
      <c r="CU295" s="40"/>
      <c r="CV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  <c r="BW296" s="40"/>
      <c r="BX296" s="40"/>
      <c r="BY296" s="40"/>
      <c r="BZ296" s="40"/>
      <c r="CA296" s="40"/>
      <c r="CB296" s="40"/>
      <c r="CC296" s="40"/>
      <c r="CD296" s="40"/>
      <c r="CE296" s="40"/>
      <c r="CF296" s="40"/>
      <c r="CG296" s="40"/>
      <c r="CH296" s="40"/>
      <c r="CI296" s="40"/>
      <c r="CJ296" s="40"/>
      <c r="CK296" s="40"/>
      <c r="CL296" s="40"/>
      <c r="CM296" s="40"/>
      <c r="CN296" s="40"/>
      <c r="CO296" s="40"/>
      <c r="CP296" s="40"/>
      <c r="CQ296" s="40"/>
      <c r="CR296" s="40"/>
      <c r="CS296" s="40"/>
      <c r="CT296" s="40"/>
      <c r="CU296" s="40"/>
      <c r="CV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  <c r="BW297" s="40"/>
      <c r="BX297" s="40"/>
      <c r="BY297" s="40"/>
      <c r="BZ297" s="40"/>
      <c r="CA297" s="40"/>
      <c r="CB297" s="40"/>
      <c r="CC297" s="40"/>
      <c r="CD297" s="40"/>
      <c r="CE297" s="40"/>
      <c r="CF297" s="40"/>
      <c r="CG297" s="40"/>
      <c r="CH297" s="40"/>
      <c r="CI297" s="40"/>
      <c r="CJ297" s="40"/>
      <c r="CK297" s="40"/>
      <c r="CL297" s="40"/>
      <c r="CM297" s="40"/>
      <c r="CN297" s="40"/>
      <c r="CO297" s="40"/>
      <c r="CP297" s="40"/>
      <c r="CQ297" s="40"/>
      <c r="CR297" s="40"/>
      <c r="CS297" s="40"/>
      <c r="CT297" s="40"/>
      <c r="CU297" s="40"/>
      <c r="CV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  <c r="BW298" s="40"/>
      <c r="BX298" s="40"/>
      <c r="BY298" s="40"/>
      <c r="BZ298" s="40"/>
      <c r="CA298" s="40"/>
      <c r="CB298" s="40"/>
      <c r="CC298" s="40"/>
      <c r="CD298" s="40"/>
      <c r="CE298" s="40"/>
      <c r="CF298" s="40"/>
      <c r="CG298" s="40"/>
      <c r="CH298" s="40"/>
      <c r="CI298" s="40"/>
      <c r="CJ298" s="40"/>
      <c r="CK298" s="40"/>
      <c r="CL298" s="40"/>
      <c r="CM298" s="40"/>
      <c r="CN298" s="40"/>
      <c r="CO298" s="40"/>
      <c r="CP298" s="40"/>
      <c r="CQ298" s="40"/>
      <c r="CR298" s="40"/>
      <c r="CS298" s="40"/>
      <c r="CT298" s="40"/>
      <c r="CU298" s="40"/>
      <c r="CV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  <c r="BW299" s="40"/>
      <c r="BX299" s="40"/>
      <c r="BY299" s="40"/>
      <c r="BZ299" s="40"/>
      <c r="CA299" s="40"/>
      <c r="CB299" s="40"/>
      <c r="CC299" s="40"/>
      <c r="CD299" s="40"/>
      <c r="CE299" s="40"/>
      <c r="CF299" s="40"/>
      <c r="CG299" s="40"/>
      <c r="CH299" s="40"/>
      <c r="CI299" s="40"/>
      <c r="CJ299" s="40"/>
      <c r="CK299" s="40"/>
      <c r="CL299" s="40"/>
      <c r="CM299" s="40"/>
      <c r="CN299" s="40"/>
      <c r="CO299" s="40"/>
      <c r="CP299" s="40"/>
      <c r="CQ299" s="40"/>
      <c r="CR299" s="40"/>
      <c r="CS299" s="40"/>
      <c r="CT299" s="40"/>
      <c r="CU299" s="40"/>
      <c r="CV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  <c r="BW300" s="40"/>
      <c r="BX300" s="40"/>
      <c r="BY300" s="40"/>
      <c r="BZ300" s="40"/>
      <c r="CA300" s="40"/>
      <c r="CB300" s="40"/>
      <c r="CC300" s="40"/>
      <c r="CD300" s="40"/>
      <c r="CE300" s="40"/>
      <c r="CF300" s="40"/>
      <c r="CG300" s="40"/>
      <c r="CH300" s="40"/>
      <c r="CI300" s="40"/>
      <c r="CJ300" s="40"/>
      <c r="CK300" s="40"/>
      <c r="CL300" s="40"/>
      <c r="CM300" s="40"/>
      <c r="CN300" s="40"/>
      <c r="CO300" s="40"/>
      <c r="CP300" s="40"/>
      <c r="CQ300" s="40"/>
      <c r="CR300" s="40"/>
      <c r="CS300" s="40"/>
      <c r="CT300" s="40"/>
      <c r="CU300" s="40"/>
      <c r="CV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  <c r="BW301" s="40"/>
      <c r="BX301" s="40"/>
      <c r="BY301" s="40"/>
      <c r="BZ301" s="40"/>
      <c r="CA301" s="40"/>
      <c r="CB301" s="40"/>
      <c r="CC301" s="40"/>
      <c r="CD301" s="40"/>
      <c r="CE301" s="40"/>
      <c r="CF301" s="40"/>
      <c r="CG301" s="40"/>
      <c r="CH301" s="40"/>
      <c r="CI301" s="40"/>
      <c r="CJ301" s="40"/>
      <c r="CK301" s="40"/>
      <c r="CL301" s="40"/>
      <c r="CM301" s="40"/>
      <c r="CN301" s="40"/>
      <c r="CO301" s="40"/>
      <c r="CP301" s="40"/>
      <c r="CQ301" s="40"/>
      <c r="CR301" s="40"/>
      <c r="CS301" s="40"/>
      <c r="CT301" s="40"/>
      <c r="CU301" s="40"/>
      <c r="CV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  <c r="BW302" s="40"/>
      <c r="BX302" s="40"/>
      <c r="BY302" s="40"/>
      <c r="BZ302" s="40"/>
      <c r="CA302" s="40"/>
      <c r="CB302" s="40"/>
      <c r="CC302" s="40"/>
      <c r="CD302" s="40"/>
      <c r="CE302" s="40"/>
      <c r="CF302" s="40"/>
      <c r="CG302" s="40"/>
      <c r="CH302" s="40"/>
      <c r="CI302" s="40"/>
      <c r="CJ302" s="40"/>
      <c r="CK302" s="40"/>
      <c r="CL302" s="40"/>
      <c r="CM302" s="40"/>
      <c r="CN302" s="40"/>
      <c r="CO302" s="40"/>
      <c r="CP302" s="40"/>
      <c r="CQ302" s="40"/>
      <c r="CR302" s="40"/>
      <c r="CS302" s="40"/>
      <c r="CT302" s="40"/>
      <c r="CU302" s="40"/>
      <c r="CV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  <c r="BW303" s="40"/>
      <c r="BX303" s="40"/>
      <c r="BY303" s="40"/>
      <c r="BZ303" s="40"/>
      <c r="CA303" s="40"/>
      <c r="CB303" s="40"/>
      <c r="CC303" s="40"/>
      <c r="CD303" s="40"/>
      <c r="CE303" s="40"/>
      <c r="CF303" s="40"/>
      <c r="CG303" s="40"/>
      <c r="CH303" s="40"/>
      <c r="CI303" s="40"/>
      <c r="CJ303" s="40"/>
      <c r="CK303" s="40"/>
      <c r="CL303" s="40"/>
      <c r="CM303" s="40"/>
      <c r="CN303" s="40"/>
      <c r="CO303" s="40"/>
      <c r="CP303" s="40"/>
      <c r="CQ303" s="40"/>
      <c r="CR303" s="40"/>
      <c r="CS303" s="40"/>
      <c r="CT303" s="40"/>
      <c r="CU303" s="40"/>
      <c r="CV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  <c r="BW304" s="40"/>
      <c r="BX304" s="40"/>
      <c r="BY304" s="40"/>
      <c r="BZ304" s="40"/>
      <c r="CA304" s="40"/>
      <c r="CB304" s="40"/>
      <c r="CC304" s="40"/>
      <c r="CD304" s="40"/>
      <c r="CE304" s="40"/>
      <c r="CF304" s="40"/>
      <c r="CG304" s="40"/>
      <c r="CH304" s="40"/>
      <c r="CI304" s="40"/>
      <c r="CJ304" s="40"/>
      <c r="CK304" s="40"/>
      <c r="CL304" s="40"/>
      <c r="CM304" s="40"/>
      <c r="CN304" s="40"/>
      <c r="CO304" s="40"/>
      <c r="CP304" s="40"/>
      <c r="CQ304" s="40"/>
      <c r="CR304" s="40"/>
      <c r="CS304" s="40"/>
      <c r="CT304" s="40"/>
      <c r="CU304" s="40"/>
      <c r="CV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  <c r="BW305" s="40"/>
      <c r="BX305" s="40"/>
      <c r="BY305" s="40"/>
      <c r="BZ305" s="40"/>
      <c r="CA305" s="40"/>
      <c r="CB305" s="40"/>
      <c r="CC305" s="40"/>
      <c r="CD305" s="40"/>
      <c r="CE305" s="40"/>
      <c r="CF305" s="40"/>
      <c r="CG305" s="40"/>
      <c r="CH305" s="40"/>
      <c r="CI305" s="40"/>
      <c r="CJ305" s="40"/>
      <c r="CK305" s="40"/>
      <c r="CL305" s="40"/>
      <c r="CM305" s="40"/>
      <c r="CN305" s="40"/>
      <c r="CO305" s="40"/>
      <c r="CP305" s="40"/>
      <c r="CQ305" s="40"/>
      <c r="CR305" s="40"/>
      <c r="CS305" s="40"/>
      <c r="CT305" s="40"/>
      <c r="CU305" s="40"/>
      <c r="CV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  <c r="BW306" s="40"/>
      <c r="BX306" s="40"/>
      <c r="BY306" s="40"/>
      <c r="BZ306" s="40"/>
      <c r="CA306" s="40"/>
      <c r="CB306" s="40"/>
      <c r="CC306" s="40"/>
      <c r="CD306" s="40"/>
      <c r="CE306" s="40"/>
      <c r="CF306" s="40"/>
      <c r="CG306" s="40"/>
      <c r="CH306" s="40"/>
      <c r="CI306" s="40"/>
      <c r="CJ306" s="40"/>
      <c r="CK306" s="40"/>
      <c r="CL306" s="40"/>
      <c r="CM306" s="40"/>
      <c r="CN306" s="40"/>
      <c r="CO306" s="40"/>
      <c r="CP306" s="40"/>
      <c r="CQ306" s="40"/>
      <c r="CR306" s="40"/>
      <c r="CS306" s="40"/>
      <c r="CT306" s="40"/>
      <c r="CU306" s="40"/>
      <c r="CV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  <c r="BW307" s="40"/>
      <c r="BX307" s="40"/>
      <c r="BY307" s="40"/>
      <c r="BZ307" s="40"/>
      <c r="CA307" s="40"/>
      <c r="CB307" s="40"/>
      <c r="CC307" s="40"/>
      <c r="CD307" s="40"/>
      <c r="CE307" s="40"/>
      <c r="CF307" s="40"/>
      <c r="CG307" s="40"/>
      <c r="CH307" s="40"/>
      <c r="CI307" s="40"/>
      <c r="CJ307" s="40"/>
      <c r="CK307" s="40"/>
      <c r="CL307" s="40"/>
      <c r="CM307" s="40"/>
      <c r="CN307" s="40"/>
      <c r="CO307" s="40"/>
      <c r="CP307" s="40"/>
      <c r="CQ307" s="40"/>
      <c r="CR307" s="40"/>
      <c r="CS307" s="40"/>
      <c r="CT307" s="40"/>
      <c r="CU307" s="40"/>
      <c r="CV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  <c r="BW308" s="40"/>
      <c r="BX308" s="40"/>
      <c r="BY308" s="40"/>
      <c r="BZ308" s="40"/>
      <c r="CA308" s="40"/>
      <c r="CB308" s="40"/>
      <c r="CC308" s="40"/>
      <c r="CD308" s="40"/>
      <c r="CE308" s="40"/>
      <c r="CF308" s="40"/>
      <c r="CG308" s="40"/>
      <c r="CH308" s="40"/>
      <c r="CI308" s="40"/>
      <c r="CJ308" s="40"/>
      <c r="CK308" s="40"/>
      <c r="CL308" s="40"/>
      <c r="CM308" s="40"/>
      <c r="CN308" s="40"/>
      <c r="CO308" s="40"/>
      <c r="CP308" s="40"/>
      <c r="CQ308" s="40"/>
      <c r="CR308" s="40"/>
      <c r="CS308" s="40"/>
      <c r="CT308" s="40"/>
      <c r="CU308" s="40"/>
      <c r="CV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  <c r="BW309" s="40"/>
      <c r="BX309" s="40"/>
      <c r="BY309" s="40"/>
      <c r="BZ309" s="40"/>
      <c r="CA309" s="40"/>
      <c r="CB309" s="40"/>
      <c r="CC309" s="40"/>
      <c r="CD309" s="40"/>
      <c r="CE309" s="40"/>
      <c r="CF309" s="40"/>
      <c r="CG309" s="40"/>
      <c r="CH309" s="40"/>
      <c r="CI309" s="40"/>
      <c r="CJ309" s="40"/>
      <c r="CK309" s="40"/>
      <c r="CL309" s="40"/>
      <c r="CM309" s="40"/>
      <c r="CN309" s="40"/>
      <c r="CO309" s="40"/>
      <c r="CP309" s="40"/>
      <c r="CQ309" s="40"/>
      <c r="CR309" s="40"/>
      <c r="CS309" s="40"/>
      <c r="CT309" s="40"/>
      <c r="CU309" s="40"/>
      <c r="CV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  <c r="BW310" s="40"/>
      <c r="BX310" s="40"/>
      <c r="BY310" s="40"/>
      <c r="BZ310" s="40"/>
      <c r="CA310" s="40"/>
      <c r="CB310" s="40"/>
      <c r="CC310" s="40"/>
      <c r="CD310" s="40"/>
      <c r="CE310" s="40"/>
      <c r="CF310" s="40"/>
      <c r="CG310" s="40"/>
      <c r="CH310" s="40"/>
      <c r="CI310" s="40"/>
      <c r="CJ310" s="40"/>
      <c r="CK310" s="40"/>
      <c r="CL310" s="40"/>
      <c r="CM310" s="40"/>
      <c r="CN310" s="40"/>
      <c r="CO310" s="40"/>
      <c r="CP310" s="40"/>
      <c r="CQ310" s="40"/>
      <c r="CR310" s="40"/>
      <c r="CS310" s="40"/>
      <c r="CT310" s="40"/>
      <c r="CU310" s="40"/>
      <c r="CV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  <c r="BW311" s="40"/>
      <c r="BX311" s="40"/>
      <c r="BY311" s="40"/>
      <c r="BZ311" s="40"/>
      <c r="CA311" s="40"/>
      <c r="CB311" s="40"/>
      <c r="CC311" s="40"/>
      <c r="CD311" s="40"/>
      <c r="CE311" s="40"/>
      <c r="CF311" s="40"/>
      <c r="CG311" s="40"/>
      <c r="CH311" s="40"/>
      <c r="CI311" s="40"/>
      <c r="CJ311" s="40"/>
      <c r="CK311" s="40"/>
      <c r="CL311" s="40"/>
      <c r="CM311" s="40"/>
      <c r="CN311" s="40"/>
      <c r="CO311" s="40"/>
      <c r="CP311" s="40"/>
      <c r="CQ311" s="40"/>
      <c r="CR311" s="40"/>
      <c r="CS311" s="40"/>
      <c r="CT311" s="40"/>
      <c r="CU311" s="40"/>
      <c r="CV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  <c r="BW312" s="40"/>
      <c r="BX312" s="40"/>
      <c r="BY312" s="40"/>
      <c r="BZ312" s="40"/>
      <c r="CA312" s="40"/>
      <c r="CB312" s="40"/>
      <c r="CC312" s="40"/>
      <c r="CD312" s="40"/>
      <c r="CE312" s="40"/>
      <c r="CF312" s="40"/>
      <c r="CG312" s="40"/>
      <c r="CH312" s="40"/>
      <c r="CI312" s="40"/>
      <c r="CJ312" s="40"/>
      <c r="CK312" s="40"/>
      <c r="CL312" s="40"/>
      <c r="CM312" s="40"/>
      <c r="CN312" s="40"/>
      <c r="CO312" s="40"/>
      <c r="CP312" s="40"/>
      <c r="CQ312" s="40"/>
      <c r="CR312" s="40"/>
      <c r="CS312" s="40"/>
      <c r="CT312" s="40"/>
      <c r="CU312" s="40"/>
      <c r="CV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  <c r="BW313" s="40"/>
      <c r="BX313" s="40"/>
      <c r="BY313" s="40"/>
      <c r="BZ313" s="40"/>
      <c r="CA313" s="40"/>
      <c r="CB313" s="40"/>
      <c r="CC313" s="40"/>
      <c r="CD313" s="40"/>
      <c r="CE313" s="40"/>
      <c r="CF313" s="40"/>
      <c r="CG313" s="40"/>
      <c r="CH313" s="40"/>
      <c r="CI313" s="40"/>
      <c r="CJ313" s="40"/>
      <c r="CK313" s="40"/>
      <c r="CL313" s="40"/>
      <c r="CM313" s="40"/>
      <c r="CN313" s="40"/>
      <c r="CO313" s="40"/>
      <c r="CP313" s="40"/>
      <c r="CQ313" s="40"/>
      <c r="CR313" s="40"/>
      <c r="CS313" s="40"/>
      <c r="CT313" s="40"/>
      <c r="CU313" s="40"/>
      <c r="CV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  <c r="BW314" s="40"/>
      <c r="BX314" s="40"/>
      <c r="BY314" s="40"/>
      <c r="BZ314" s="40"/>
      <c r="CA314" s="40"/>
      <c r="CB314" s="40"/>
      <c r="CC314" s="40"/>
      <c r="CD314" s="40"/>
      <c r="CE314" s="40"/>
      <c r="CF314" s="40"/>
      <c r="CG314" s="40"/>
      <c r="CH314" s="40"/>
      <c r="CI314" s="40"/>
      <c r="CJ314" s="40"/>
      <c r="CK314" s="40"/>
      <c r="CL314" s="40"/>
      <c r="CM314" s="40"/>
      <c r="CN314" s="40"/>
      <c r="CO314" s="40"/>
      <c r="CP314" s="40"/>
      <c r="CQ314" s="40"/>
      <c r="CR314" s="40"/>
      <c r="CS314" s="40"/>
      <c r="CT314" s="40"/>
      <c r="CU314" s="40"/>
      <c r="CV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  <c r="BW315" s="40"/>
      <c r="BX315" s="40"/>
      <c r="BY315" s="40"/>
      <c r="BZ315" s="40"/>
      <c r="CA315" s="40"/>
      <c r="CB315" s="40"/>
      <c r="CC315" s="40"/>
      <c r="CD315" s="40"/>
      <c r="CE315" s="40"/>
      <c r="CF315" s="40"/>
      <c r="CG315" s="40"/>
      <c r="CH315" s="40"/>
      <c r="CI315" s="40"/>
      <c r="CJ315" s="40"/>
      <c r="CK315" s="40"/>
      <c r="CL315" s="40"/>
      <c r="CM315" s="40"/>
      <c r="CN315" s="40"/>
      <c r="CO315" s="40"/>
      <c r="CP315" s="40"/>
      <c r="CQ315" s="40"/>
      <c r="CR315" s="40"/>
      <c r="CS315" s="40"/>
      <c r="CT315" s="40"/>
      <c r="CU315" s="40"/>
      <c r="CV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  <c r="BW316" s="40"/>
      <c r="BX316" s="40"/>
      <c r="BY316" s="40"/>
      <c r="BZ316" s="40"/>
      <c r="CA316" s="40"/>
      <c r="CB316" s="40"/>
      <c r="CC316" s="40"/>
      <c r="CD316" s="40"/>
      <c r="CE316" s="40"/>
      <c r="CF316" s="40"/>
      <c r="CG316" s="40"/>
      <c r="CH316" s="40"/>
      <c r="CI316" s="40"/>
      <c r="CJ316" s="40"/>
      <c r="CK316" s="40"/>
      <c r="CL316" s="40"/>
      <c r="CM316" s="40"/>
      <c r="CN316" s="40"/>
      <c r="CO316" s="40"/>
      <c r="CP316" s="40"/>
      <c r="CQ316" s="40"/>
      <c r="CR316" s="40"/>
      <c r="CS316" s="40"/>
      <c r="CT316" s="40"/>
      <c r="CU316" s="40"/>
      <c r="CV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  <c r="BW317" s="40"/>
      <c r="BX317" s="40"/>
      <c r="BY317" s="40"/>
      <c r="BZ317" s="40"/>
      <c r="CA317" s="40"/>
      <c r="CB317" s="40"/>
      <c r="CC317" s="40"/>
      <c r="CD317" s="40"/>
      <c r="CE317" s="40"/>
      <c r="CF317" s="40"/>
      <c r="CG317" s="40"/>
      <c r="CH317" s="40"/>
      <c r="CI317" s="40"/>
      <c r="CJ317" s="40"/>
      <c r="CK317" s="40"/>
      <c r="CL317" s="40"/>
      <c r="CM317" s="40"/>
      <c r="CN317" s="40"/>
      <c r="CO317" s="40"/>
      <c r="CP317" s="40"/>
      <c r="CQ317" s="40"/>
      <c r="CR317" s="40"/>
      <c r="CS317" s="40"/>
      <c r="CT317" s="40"/>
      <c r="CU317" s="40"/>
      <c r="CV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  <c r="BW318" s="40"/>
      <c r="BX318" s="40"/>
      <c r="BY318" s="40"/>
      <c r="BZ318" s="40"/>
      <c r="CA318" s="40"/>
      <c r="CB318" s="40"/>
      <c r="CC318" s="40"/>
      <c r="CD318" s="40"/>
      <c r="CE318" s="40"/>
      <c r="CF318" s="40"/>
      <c r="CG318" s="40"/>
      <c r="CH318" s="40"/>
      <c r="CI318" s="40"/>
      <c r="CJ318" s="40"/>
      <c r="CK318" s="40"/>
      <c r="CL318" s="40"/>
      <c r="CM318" s="40"/>
      <c r="CN318" s="40"/>
      <c r="CO318" s="40"/>
      <c r="CP318" s="40"/>
      <c r="CQ318" s="40"/>
      <c r="CR318" s="40"/>
      <c r="CS318" s="40"/>
      <c r="CT318" s="40"/>
      <c r="CU318" s="40"/>
      <c r="CV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  <c r="BW319" s="40"/>
      <c r="BX319" s="40"/>
      <c r="BY319" s="40"/>
      <c r="BZ319" s="40"/>
      <c r="CA319" s="40"/>
      <c r="CB319" s="40"/>
      <c r="CC319" s="40"/>
      <c r="CD319" s="40"/>
      <c r="CE319" s="40"/>
      <c r="CF319" s="40"/>
      <c r="CG319" s="40"/>
      <c r="CH319" s="40"/>
      <c r="CI319" s="40"/>
      <c r="CJ319" s="40"/>
      <c r="CK319" s="40"/>
      <c r="CL319" s="40"/>
      <c r="CM319" s="40"/>
      <c r="CN319" s="40"/>
      <c r="CO319" s="40"/>
      <c r="CP319" s="40"/>
      <c r="CQ319" s="40"/>
      <c r="CR319" s="40"/>
      <c r="CS319" s="40"/>
      <c r="CT319" s="40"/>
      <c r="CU319" s="40"/>
      <c r="CV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  <c r="BW320" s="40"/>
      <c r="BX320" s="40"/>
      <c r="BY320" s="40"/>
      <c r="BZ320" s="40"/>
      <c r="CA320" s="40"/>
      <c r="CB320" s="40"/>
      <c r="CC320" s="40"/>
      <c r="CD320" s="40"/>
      <c r="CE320" s="40"/>
      <c r="CF320" s="40"/>
      <c r="CG320" s="40"/>
      <c r="CH320" s="40"/>
      <c r="CI320" s="40"/>
      <c r="CJ320" s="40"/>
      <c r="CK320" s="40"/>
      <c r="CL320" s="40"/>
      <c r="CM320" s="40"/>
      <c r="CN320" s="40"/>
      <c r="CO320" s="40"/>
      <c r="CP320" s="40"/>
      <c r="CQ320" s="40"/>
      <c r="CR320" s="40"/>
      <c r="CS320" s="40"/>
      <c r="CT320" s="40"/>
      <c r="CU320" s="40"/>
      <c r="CV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  <c r="BW321" s="40"/>
      <c r="BX321" s="40"/>
      <c r="BY321" s="40"/>
      <c r="BZ321" s="40"/>
      <c r="CA321" s="40"/>
      <c r="CB321" s="40"/>
      <c r="CC321" s="40"/>
      <c r="CD321" s="40"/>
      <c r="CE321" s="40"/>
      <c r="CF321" s="40"/>
      <c r="CG321" s="40"/>
      <c r="CH321" s="40"/>
      <c r="CI321" s="40"/>
      <c r="CJ321" s="40"/>
      <c r="CK321" s="40"/>
      <c r="CL321" s="40"/>
      <c r="CM321" s="40"/>
      <c r="CN321" s="40"/>
      <c r="CO321" s="40"/>
      <c r="CP321" s="40"/>
      <c r="CQ321" s="40"/>
      <c r="CR321" s="40"/>
      <c r="CS321" s="40"/>
      <c r="CT321" s="40"/>
      <c r="CU321" s="40"/>
      <c r="CV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  <c r="BW322" s="40"/>
      <c r="BX322" s="40"/>
      <c r="BY322" s="40"/>
      <c r="BZ322" s="40"/>
      <c r="CA322" s="40"/>
      <c r="CB322" s="40"/>
      <c r="CC322" s="40"/>
      <c r="CD322" s="40"/>
      <c r="CE322" s="40"/>
      <c r="CF322" s="40"/>
      <c r="CG322" s="40"/>
      <c r="CH322" s="40"/>
      <c r="CI322" s="40"/>
      <c r="CJ322" s="40"/>
      <c r="CK322" s="40"/>
      <c r="CL322" s="40"/>
      <c r="CM322" s="40"/>
      <c r="CN322" s="40"/>
      <c r="CO322" s="40"/>
      <c r="CP322" s="40"/>
      <c r="CQ322" s="40"/>
      <c r="CR322" s="40"/>
      <c r="CS322" s="40"/>
      <c r="CT322" s="40"/>
      <c r="CU322" s="40"/>
      <c r="CV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  <c r="BW323" s="40"/>
      <c r="BX323" s="40"/>
      <c r="BY323" s="40"/>
      <c r="BZ323" s="40"/>
      <c r="CA323" s="40"/>
      <c r="CB323" s="40"/>
      <c r="CC323" s="40"/>
      <c r="CD323" s="40"/>
      <c r="CE323" s="40"/>
      <c r="CF323" s="40"/>
      <c r="CG323" s="40"/>
      <c r="CH323" s="40"/>
      <c r="CI323" s="40"/>
      <c r="CJ323" s="40"/>
      <c r="CK323" s="40"/>
      <c r="CL323" s="40"/>
      <c r="CM323" s="40"/>
      <c r="CN323" s="40"/>
      <c r="CO323" s="40"/>
      <c r="CP323" s="40"/>
      <c r="CQ323" s="40"/>
      <c r="CR323" s="40"/>
      <c r="CS323" s="40"/>
      <c r="CT323" s="40"/>
      <c r="CU323" s="40"/>
      <c r="CV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  <c r="BW324" s="40"/>
      <c r="BX324" s="40"/>
      <c r="BY324" s="40"/>
      <c r="BZ324" s="40"/>
      <c r="CA324" s="40"/>
      <c r="CB324" s="40"/>
      <c r="CC324" s="40"/>
      <c r="CD324" s="40"/>
      <c r="CE324" s="40"/>
      <c r="CF324" s="40"/>
      <c r="CG324" s="40"/>
      <c r="CH324" s="40"/>
      <c r="CI324" s="40"/>
      <c r="CJ324" s="40"/>
      <c r="CK324" s="40"/>
      <c r="CL324" s="40"/>
      <c r="CM324" s="40"/>
      <c r="CN324" s="40"/>
      <c r="CO324" s="40"/>
      <c r="CP324" s="40"/>
      <c r="CQ324" s="40"/>
      <c r="CR324" s="40"/>
      <c r="CS324" s="40"/>
      <c r="CT324" s="40"/>
      <c r="CU324" s="40"/>
      <c r="CV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  <c r="BW325" s="40"/>
      <c r="BX325" s="40"/>
      <c r="BY325" s="40"/>
      <c r="BZ325" s="40"/>
      <c r="CA325" s="40"/>
      <c r="CB325" s="40"/>
      <c r="CC325" s="40"/>
      <c r="CD325" s="40"/>
      <c r="CE325" s="40"/>
      <c r="CF325" s="40"/>
      <c r="CG325" s="40"/>
      <c r="CH325" s="40"/>
      <c r="CI325" s="40"/>
      <c r="CJ325" s="40"/>
      <c r="CK325" s="40"/>
      <c r="CL325" s="40"/>
      <c r="CM325" s="40"/>
      <c r="CN325" s="40"/>
      <c r="CO325" s="40"/>
      <c r="CP325" s="40"/>
      <c r="CQ325" s="40"/>
      <c r="CR325" s="40"/>
      <c r="CS325" s="40"/>
      <c r="CT325" s="40"/>
      <c r="CU325" s="40"/>
      <c r="CV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  <c r="BW326" s="40"/>
      <c r="BX326" s="40"/>
      <c r="BY326" s="40"/>
      <c r="BZ326" s="40"/>
      <c r="CA326" s="40"/>
      <c r="CB326" s="40"/>
      <c r="CC326" s="40"/>
      <c r="CD326" s="40"/>
      <c r="CE326" s="40"/>
      <c r="CF326" s="40"/>
      <c r="CG326" s="40"/>
      <c r="CH326" s="40"/>
      <c r="CI326" s="40"/>
      <c r="CJ326" s="40"/>
      <c r="CK326" s="40"/>
      <c r="CL326" s="40"/>
      <c r="CM326" s="40"/>
      <c r="CN326" s="40"/>
      <c r="CO326" s="40"/>
      <c r="CP326" s="40"/>
      <c r="CQ326" s="40"/>
      <c r="CR326" s="40"/>
      <c r="CS326" s="40"/>
      <c r="CT326" s="40"/>
      <c r="CU326" s="40"/>
      <c r="CV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  <c r="BW327" s="40"/>
      <c r="BX327" s="40"/>
      <c r="BY327" s="40"/>
      <c r="BZ327" s="40"/>
      <c r="CA327" s="40"/>
      <c r="CB327" s="40"/>
      <c r="CC327" s="40"/>
      <c r="CD327" s="40"/>
      <c r="CE327" s="40"/>
      <c r="CF327" s="40"/>
      <c r="CG327" s="40"/>
      <c r="CH327" s="40"/>
      <c r="CI327" s="40"/>
      <c r="CJ327" s="40"/>
      <c r="CK327" s="40"/>
      <c r="CL327" s="40"/>
      <c r="CM327" s="40"/>
      <c r="CN327" s="40"/>
      <c r="CO327" s="40"/>
      <c r="CP327" s="40"/>
      <c r="CQ327" s="40"/>
      <c r="CR327" s="40"/>
      <c r="CS327" s="40"/>
      <c r="CT327" s="40"/>
      <c r="CU327" s="40"/>
      <c r="CV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  <c r="BW328" s="40"/>
      <c r="BX328" s="40"/>
      <c r="BY328" s="40"/>
      <c r="BZ328" s="40"/>
      <c r="CA328" s="40"/>
      <c r="CB328" s="40"/>
      <c r="CC328" s="40"/>
      <c r="CD328" s="40"/>
      <c r="CE328" s="40"/>
      <c r="CF328" s="40"/>
      <c r="CG328" s="40"/>
      <c r="CH328" s="40"/>
      <c r="CI328" s="40"/>
      <c r="CJ328" s="40"/>
      <c r="CK328" s="40"/>
      <c r="CL328" s="40"/>
      <c r="CM328" s="40"/>
      <c r="CN328" s="40"/>
      <c r="CO328" s="40"/>
      <c r="CP328" s="40"/>
      <c r="CQ328" s="40"/>
      <c r="CR328" s="40"/>
      <c r="CS328" s="40"/>
      <c r="CT328" s="40"/>
      <c r="CU328" s="40"/>
      <c r="CV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  <c r="BW329" s="40"/>
      <c r="BX329" s="40"/>
      <c r="BY329" s="40"/>
      <c r="BZ329" s="40"/>
      <c r="CA329" s="40"/>
      <c r="CB329" s="40"/>
      <c r="CC329" s="40"/>
      <c r="CD329" s="40"/>
      <c r="CE329" s="40"/>
      <c r="CF329" s="40"/>
      <c r="CG329" s="40"/>
      <c r="CH329" s="40"/>
      <c r="CI329" s="40"/>
      <c r="CJ329" s="40"/>
      <c r="CK329" s="40"/>
      <c r="CL329" s="40"/>
      <c r="CM329" s="40"/>
      <c r="CN329" s="40"/>
      <c r="CO329" s="40"/>
      <c r="CP329" s="40"/>
      <c r="CQ329" s="40"/>
      <c r="CR329" s="40"/>
      <c r="CS329" s="40"/>
      <c r="CT329" s="40"/>
      <c r="CU329" s="40"/>
      <c r="CV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  <c r="BW330" s="40"/>
      <c r="BX330" s="40"/>
      <c r="BY330" s="40"/>
      <c r="BZ330" s="40"/>
      <c r="CA330" s="40"/>
      <c r="CB330" s="40"/>
      <c r="CC330" s="40"/>
      <c r="CD330" s="40"/>
      <c r="CE330" s="40"/>
      <c r="CF330" s="40"/>
      <c r="CG330" s="40"/>
      <c r="CH330" s="40"/>
      <c r="CI330" s="40"/>
      <c r="CJ330" s="40"/>
      <c r="CK330" s="40"/>
      <c r="CL330" s="40"/>
      <c r="CM330" s="40"/>
      <c r="CN330" s="40"/>
      <c r="CO330" s="40"/>
      <c r="CP330" s="40"/>
      <c r="CQ330" s="40"/>
      <c r="CR330" s="40"/>
      <c r="CS330" s="40"/>
      <c r="CT330" s="40"/>
      <c r="CU330" s="40"/>
      <c r="CV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  <c r="BW331" s="40"/>
      <c r="BX331" s="40"/>
      <c r="BY331" s="40"/>
      <c r="BZ331" s="40"/>
      <c r="CA331" s="40"/>
      <c r="CB331" s="40"/>
      <c r="CC331" s="40"/>
      <c r="CD331" s="40"/>
      <c r="CE331" s="40"/>
      <c r="CF331" s="40"/>
      <c r="CG331" s="40"/>
      <c r="CH331" s="40"/>
      <c r="CI331" s="40"/>
      <c r="CJ331" s="40"/>
      <c r="CK331" s="40"/>
      <c r="CL331" s="40"/>
      <c r="CM331" s="40"/>
      <c r="CN331" s="40"/>
      <c r="CO331" s="40"/>
      <c r="CP331" s="40"/>
      <c r="CQ331" s="40"/>
      <c r="CR331" s="40"/>
      <c r="CS331" s="40"/>
      <c r="CT331" s="40"/>
      <c r="CU331" s="40"/>
      <c r="CV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  <c r="BW332" s="40"/>
      <c r="BX332" s="40"/>
      <c r="BY332" s="40"/>
      <c r="BZ332" s="40"/>
      <c r="CA332" s="40"/>
      <c r="CB332" s="40"/>
      <c r="CC332" s="40"/>
      <c r="CD332" s="40"/>
      <c r="CE332" s="40"/>
      <c r="CF332" s="40"/>
      <c r="CG332" s="40"/>
      <c r="CH332" s="40"/>
      <c r="CI332" s="40"/>
      <c r="CJ332" s="40"/>
      <c r="CK332" s="40"/>
      <c r="CL332" s="40"/>
      <c r="CM332" s="40"/>
      <c r="CN332" s="40"/>
      <c r="CO332" s="40"/>
      <c r="CP332" s="40"/>
      <c r="CQ332" s="40"/>
      <c r="CR332" s="40"/>
      <c r="CS332" s="40"/>
      <c r="CT332" s="40"/>
      <c r="CU332" s="40"/>
      <c r="CV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  <c r="BW333" s="40"/>
      <c r="BX333" s="40"/>
      <c r="BY333" s="40"/>
      <c r="BZ333" s="40"/>
      <c r="CA333" s="40"/>
      <c r="CB333" s="40"/>
      <c r="CC333" s="40"/>
      <c r="CD333" s="40"/>
      <c r="CE333" s="40"/>
      <c r="CF333" s="40"/>
      <c r="CG333" s="40"/>
      <c r="CH333" s="40"/>
      <c r="CI333" s="40"/>
      <c r="CJ333" s="40"/>
      <c r="CK333" s="40"/>
      <c r="CL333" s="40"/>
      <c r="CM333" s="40"/>
      <c r="CN333" s="40"/>
      <c r="CO333" s="40"/>
      <c r="CP333" s="40"/>
      <c r="CQ333" s="40"/>
      <c r="CR333" s="40"/>
      <c r="CS333" s="40"/>
      <c r="CT333" s="40"/>
      <c r="CU333" s="40"/>
      <c r="CV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  <c r="BW334" s="40"/>
      <c r="BX334" s="40"/>
      <c r="BY334" s="40"/>
      <c r="BZ334" s="40"/>
      <c r="CA334" s="40"/>
      <c r="CB334" s="40"/>
      <c r="CC334" s="40"/>
      <c r="CD334" s="40"/>
      <c r="CE334" s="40"/>
      <c r="CF334" s="40"/>
      <c r="CG334" s="40"/>
      <c r="CH334" s="40"/>
      <c r="CI334" s="40"/>
      <c r="CJ334" s="40"/>
      <c r="CK334" s="40"/>
      <c r="CL334" s="40"/>
      <c r="CM334" s="40"/>
      <c r="CN334" s="40"/>
      <c r="CO334" s="40"/>
      <c r="CP334" s="40"/>
      <c r="CQ334" s="40"/>
      <c r="CR334" s="40"/>
      <c r="CS334" s="40"/>
      <c r="CT334" s="40"/>
      <c r="CU334" s="40"/>
      <c r="CV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  <c r="BW335" s="40"/>
      <c r="BX335" s="40"/>
      <c r="BY335" s="40"/>
      <c r="BZ335" s="40"/>
      <c r="CA335" s="40"/>
      <c r="CB335" s="40"/>
      <c r="CC335" s="40"/>
      <c r="CD335" s="40"/>
      <c r="CE335" s="40"/>
      <c r="CF335" s="40"/>
      <c r="CG335" s="40"/>
      <c r="CH335" s="40"/>
      <c r="CI335" s="40"/>
      <c r="CJ335" s="40"/>
      <c r="CK335" s="40"/>
      <c r="CL335" s="40"/>
      <c r="CM335" s="40"/>
      <c r="CN335" s="40"/>
      <c r="CO335" s="40"/>
      <c r="CP335" s="40"/>
      <c r="CQ335" s="40"/>
      <c r="CR335" s="40"/>
      <c r="CS335" s="40"/>
      <c r="CT335" s="40"/>
      <c r="CU335" s="40"/>
      <c r="CV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  <c r="BW336" s="40"/>
      <c r="BX336" s="40"/>
      <c r="BY336" s="40"/>
      <c r="BZ336" s="40"/>
      <c r="CA336" s="40"/>
      <c r="CB336" s="40"/>
      <c r="CC336" s="40"/>
      <c r="CD336" s="40"/>
      <c r="CE336" s="40"/>
      <c r="CF336" s="40"/>
      <c r="CG336" s="40"/>
      <c r="CH336" s="40"/>
      <c r="CI336" s="40"/>
      <c r="CJ336" s="40"/>
      <c r="CK336" s="40"/>
      <c r="CL336" s="40"/>
      <c r="CM336" s="40"/>
      <c r="CN336" s="40"/>
      <c r="CO336" s="40"/>
      <c r="CP336" s="40"/>
      <c r="CQ336" s="40"/>
      <c r="CR336" s="40"/>
      <c r="CS336" s="40"/>
      <c r="CT336" s="40"/>
      <c r="CU336" s="40"/>
      <c r="CV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  <c r="BW337" s="40"/>
      <c r="BX337" s="40"/>
      <c r="BY337" s="40"/>
      <c r="BZ337" s="40"/>
      <c r="CA337" s="40"/>
      <c r="CB337" s="40"/>
      <c r="CC337" s="40"/>
      <c r="CD337" s="40"/>
      <c r="CE337" s="40"/>
      <c r="CF337" s="40"/>
      <c r="CG337" s="40"/>
      <c r="CH337" s="40"/>
      <c r="CI337" s="40"/>
      <c r="CJ337" s="40"/>
      <c r="CK337" s="40"/>
      <c r="CL337" s="40"/>
      <c r="CM337" s="40"/>
      <c r="CN337" s="40"/>
      <c r="CO337" s="40"/>
      <c r="CP337" s="40"/>
      <c r="CQ337" s="40"/>
      <c r="CR337" s="40"/>
      <c r="CS337" s="40"/>
      <c r="CT337" s="40"/>
      <c r="CU337" s="40"/>
      <c r="CV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  <c r="BW338" s="40"/>
      <c r="BX338" s="40"/>
      <c r="BY338" s="40"/>
      <c r="BZ338" s="40"/>
      <c r="CA338" s="40"/>
      <c r="CB338" s="40"/>
      <c r="CC338" s="40"/>
      <c r="CD338" s="40"/>
      <c r="CE338" s="40"/>
      <c r="CF338" s="40"/>
      <c r="CG338" s="40"/>
      <c r="CH338" s="40"/>
      <c r="CI338" s="40"/>
      <c r="CJ338" s="40"/>
      <c r="CK338" s="40"/>
      <c r="CL338" s="40"/>
      <c r="CM338" s="40"/>
      <c r="CN338" s="40"/>
      <c r="CO338" s="40"/>
      <c r="CP338" s="40"/>
      <c r="CQ338" s="40"/>
      <c r="CR338" s="40"/>
      <c r="CS338" s="40"/>
      <c r="CT338" s="40"/>
      <c r="CU338" s="40"/>
      <c r="CV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  <c r="BW339" s="40"/>
      <c r="BX339" s="40"/>
      <c r="BY339" s="40"/>
      <c r="BZ339" s="40"/>
      <c r="CA339" s="40"/>
      <c r="CB339" s="40"/>
      <c r="CC339" s="40"/>
      <c r="CD339" s="40"/>
      <c r="CE339" s="40"/>
      <c r="CF339" s="40"/>
      <c r="CG339" s="40"/>
      <c r="CH339" s="40"/>
      <c r="CI339" s="40"/>
      <c r="CJ339" s="40"/>
      <c r="CK339" s="40"/>
      <c r="CL339" s="40"/>
      <c r="CM339" s="40"/>
      <c r="CN339" s="40"/>
      <c r="CO339" s="40"/>
      <c r="CP339" s="40"/>
      <c r="CQ339" s="40"/>
      <c r="CR339" s="40"/>
      <c r="CS339" s="40"/>
      <c r="CT339" s="40"/>
      <c r="CU339" s="40"/>
      <c r="CV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  <c r="BW340" s="40"/>
      <c r="BX340" s="40"/>
      <c r="BY340" s="40"/>
      <c r="BZ340" s="40"/>
      <c r="CA340" s="40"/>
      <c r="CB340" s="40"/>
      <c r="CC340" s="40"/>
      <c r="CD340" s="40"/>
      <c r="CE340" s="40"/>
      <c r="CF340" s="40"/>
      <c r="CG340" s="40"/>
      <c r="CH340" s="40"/>
      <c r="CI340" s="40"/>
      <c r="CJ340" s="40"/>
      <c r="CK340" s="40"/>
      <c r="CL340" s="40"/>
      <c r="CM340" s="40"/>
      <c r="CN340" s="40"/>
      <c r="CO340" s="40"/>
      <c r="CP340" s="40"/>
      <c r="CQ340" s="40"/>
      <c r="CR340" s="40"/>
      <c r="CS340" s="40"/>
      <c r="CT340" s="40"/>
      <c r="CU340" s="40"/>
      <c r="CV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  <c r="BW341" s="40"/>
      <c r="BX341" s="40"/>
      <c r="BY341" s="40"/>
      <c r="BZ341" s="40"/>
      <c r="CA341" s="40"/>
      <c r="CB341" s="40"/>
      <c r="CC341" s="40"/>
      <c r="CD341" s="40"/>
      <c r="CE341" s="40"/>
      <c r="CF341" s="40"/>
      <c r="CG341" s="40"/>
      <c r="CH341" s="40"/>
      <c r="CI341" s="40"/>
      <c r="CJ341" s="40"/>
      <c r="CK341" s="40"/>
      <c r="CL341" s="40"/>
      <c r="CM341" s="40"/>
      <c r="CN341" s="40"/>
      <c r="CO341" s="40"/>
      <c r="CP341" s="40"/>
      <c r="CQ341" s="40"/>
      <c r="CR341" s="40"/>
      <c r="CS341" s="40"/>
      <c r="CT341" s="40"/>
      <c r="CU341" s="40"/>
      <c r="CV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  <c r="BW342" s="40"/>
      <c r="BX342" s="40"/>
      <c r="BY342" s="40"/>
      <c r="BZ342" s="40"/>
      <c r="CA342" s="40"/>
      <c r="CB342" s="40"/>
      <c r="CC342" s="40"/>
      <c r="CD342" s="40"/>
      <c r="CE342" s="40"/>
      <c r="CF342" s="40"/>
      <c r="CG342" s="40"/>
      <c r="CH342" s="40"/>
      <c r="CI342" s="40"/>
      <c r="CJ342" s="40"/>
      <c r="CK342" s="40"/>
      <c r="CL342" s="40"/>
      <c r="CM342" s="40"/>
      <c r="CN342" s="40"/>
      <c r="CO342" s="40"/>
      <c r="CP342" s="40"/>
      <c r="CQ342" s="40"/>
      <c r="CR342" s="40"/>
      <c r="CS342" s="40"/>
      <c r="CT342" s="40"/>
      <c r="CU342" s="40"/>
      <c r="CV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  <c r="BW343" s="40"/>
      <c r="BX343" s="40"/>
      <c r="BY343" s="40"/>
      <c r="BZ343" s="40"/>
      <c r="CA343" s="40"/>
      <c r="CB343" s="40"/>
      <c r="CC343" s="40"/>
      <c r="CD343" s="40"/>
      <c r="CE343" s="40"/>
      <c r="CF343" s="40"/>
      <c r="CG343" s="40"/>
      <c r="CH343" s="40"/>
      <c r="CI343" s="40"/>
      <c r="CJ343" s="40"/>
      <c r="CK343" s="40"/>
      <c r="CL343" s="40"/>
      <c r="CM343" s="40"/>
      <c r="CN343" s="40"/>
      <c r="CO343" s="40"/>
      <c r="CP343" s="40"/>
      <c r="CQ343" s="40"/>
      <c r="CR343" s="40"/>
      <c r="CS343" s="40"/>
      <c r="CT343" s="40"/>
      <c r="CU343" s="40"/>
      <c r="CV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  <c r="BW344" s="40"/>
      <c r="BX344" s="40"/>
      <c r="BY344" s="40"/>
      <c r="BZ344" s="40"/>
      <c r="CA344" s="40"/>
      <c r="CB344" s="40"/>
      <c r="CC344" s="40"/>
      <c r="CD344" s="40"/>
      <c r="CE344" s="40"/>
      <c r="CF344" s="40"/>
      <c r="CG344" s="40"/>
      <c r="CH344" s="40"/>
      <c r="CI344" s="40"/>
      <c r="CJ344" s="40"/>
      <c r="CK344" s="40"/>
      <c r="CL344" s="40"/>
      <c r="CM344" s="40"/>
      <c r="CN344" s="40"/>
      <c r="CO344" s="40"/>
      <c r="CP344" s="40"/>
      <c r="CQ344" s="40"/>
      <c r="CR344" s="40"/>
      <c r="CS344" s="40"/>
      <c r="CT344" s="40"/>
      <c r="CU344" s="40"/>
      <c r="CV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  <c r="BW345" s="40"/>
      <c r="BX345" s="40"/>
      <c r="BY345" s="40"/>
      <c r="BZ345" s="40"/>
      <c r="CA345" s="40"/>
      <c r="CB345" s="40"/>
      <c r="CC345" s="40"/>
      <c r="CD345" s="40"/>
      <c r="CE345" s="40"/>
      <c r="CF345" s="40"/>
      <c r="CG345" s="40"/>
      <c r="CH345" s="40"/>
      <c r="CI345" s="40"/>
      <c r="CJ345" s="40"/>
      <c r="CK345" s="40"/>
      <c r="CL345" s="40"/>
      <c r="CM345" s="40"/>
      <c r="CN345" s="40"/>
      <c r="CO345" s="40"/>
      <c r="CP345" s="40"/>
      <c r="CQ345" s="40"/>
      <c r="CR345" s="40"/>
      <c r="CS345" s="40"/>
      <c r="CT345" s="40"/>
      <c r="CU345" s="40"/>
      <c r="CV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  <c r="BW346" s="40"/>
      <c r="BX346" s="40"/>
      <c r="BY346" s="40"/>
      <c r="BZ346" s="40"/>
      <c r="CA346" s="40"/>
      <c r="CB346" s="40"/>
      <c r="CC346" s="40"/>
      <c r="CD346" s="40"/>
      <c r="CE346" s="40"/>
      <c r="CF346" s="40"/>
      <c r="CG346" s="40"/>
      <c r="CH346" s="40"/>
      <c r="CI346" s="40"/>
      <c r="CJ346" s="40"/>
      <c r="CK346" s="40"/>
      <c r="CL346" s="40"/>
      <c r="CM346" s="40"/>
      <c r="CN346" s="40"/>
      <c r="CO346" s="40"/>
      <c r="CP346" s="40"/>
      <c r="CQ346" s="40"/>
      <c r="CR346" s="40"/>
      <c r="CS346" s="40"/>
      <c r="CT346" s="40"/>
      <c r="CU346" s="40"/>
      <c r="CV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  <c r="BW347" s="40"/>
      <c r="BX347" s="40"/>
      <c r="BY347" s="40"/>
      <c r="BZ347" s="40"/>
      <c r="CA347" s="40"/>
      <c r="CB347" s="40"/>
      <c r="CC347" s="40"/>
      <c r="CD347" s="40"/>
      <c r="CE347" s="40"/>
      <c r="CF347" s="40"/>
      <c r="CG347" s="40"/>
      <c r="CH347" s="40"/>
      <c r="CI347" s="40"/>
      <c r="CJ347" s="40"/>
      <c r="CK347" s="40"/>
      <c r="CL347" s="40"/>
      <c r="CM347" s="40"/>
      <c r="CN347" s="40"/>
      <c r="CO347" s="40"/>
      <c r="CP347" s="40"/>
      <c r="CQ347" s="40"/>
      <c r="CR347" s="40"/>
      <c r="CS347" s="40"/>
      <c r="CT347" s="40"/>
      <c r="CU347" s="40"/>
      <c r="CV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  <c r="BW348" s="40"/>
      <c r="BX348" s="40"/>
      <c r="BY348" s="40"/>
      <c r="BZ348" s="40"/>
      <c r="CA348" s="40"/>
      <c r="CB348" s="40"/>
      <c r="CC348" s="40"/>
      <c r="CD348" s="40"/>
      <c r="CE348" s="40"/>
      <c r="CF348" s="40"/>
      <c r="CG348" s="40"/>
      <c r="CH348" s="40"/>
      <c r="CI348" s="40"/>
      <c r="CJ348" s="40"/>
      <c r="CK348" s="40"/>
      <c r="CL348" s="40"/>
      <c r="CM348" s="40"/>
      <c r="CN348" s="40"/>
      <c r="CO348" s="40"/>
      <c r="CP348" s="40"/>
      <c r="CQ348" s="40"/>
      <c r="CR348" s="40"/>
      <c r="CS348" s="40"/>
      <c r="CT348" s="40"/>
      <c r="CU348" s="40"/>
      <c r="CV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  <c r="BW349" s="40"/>
      <c r="BX349" s="40"/>
      <c r="BY349" s="40"/>
      <c r="BZ349" s="40"/>
      <c r="CA349" s="40"/>
      <c r="CB349" s="40"/>
      <c r="CC349" s="40"/>
      <c r="CD349" s="40"/>
      <c r="CE349" s="40"/>
      <c r="CF349" s="40"/>
      <c r="CG349" s="40"/>
      <c r="CH349" s="40"/>
      <c r="CI349" s="40"/>
      <c r="CJ349" s="40"/>
      <c r="CK349" s="40"/>
      <c r="CL349" s="40"/>
      <c r="CM349" s="40"/>
      <c r="CN349" s="40"/>
      <c r="CO349" s="40"/>
      <c r="CP349" s="40"/>
      <c r="CQ349" s="40"/>
      <c r="CR349" s="40"/>
      <c r="CS349" s="40"/>
      <c r="CT349" s="40"/>
      <c r="CU349" s="40"/>
      <c r="CV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  <c r="BW350" s="40"/>
      <c r="BX350" s="40"/>
      <c r="BY350" s="40"/>
      <c r="BZ350" s="40"/>
      <c r="CA350" s="40"/>
      <c r="CB350" s="40"/>
      <c r="CC350" s="40"/>
      <c r="CD350" s="40"/>
      <c r="CE350" s="40"/>
      <c r="CF350" s="40"/>
      <c r="CG350" s="40"/>
      <c r="CH350" s="40"/>
      <c r="CI350" s="40"/>
      <c r="CJ350" s="40"/>
      <c r="CK350" s="40"/>
      <c r="CL350" s="40"/>
      <c r="CM350" s="40"/>
      <c r="CN350" s="40"/>
      <c r="CO350" s="40"/>
      <c r="CP350" s="40"/>
      <c r="CQ350" s="40"/>
      <c r="CR350" s="40"/>
      <c r="CS350" s="40"/>
      <c r="CT350" s="40"/>
      <c r="CU350" s="40"/>
      <c r="CV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  <c r="BW351" s="40"/>
      <c r="BX351" s="40"/>
      <c r="BY351" s="40"/>
      <c r="BZ351" s="40"/>
      <c r="CA351" s="40"/>
      <c r="CB351" s="40"/>
      <c r="CC351" s="40"/>
      <c r="CD351" s="40"/>
      <c r="CE351" s="40"/>
      <c r="CF351" s="40"/>
      <c r="CG351" s="40"/>
      <c r="CH351" s="40"/>
      <c r="CI351" s="40"/>
      <c r="CJ351" s="40"/>
      <c r="CK351" s="40"/>
      <c r="CL351" s="40"/>
      <c r="CM351" s="40"/>
      <c r="CN351" s="40"/>
      <c r="CO351" s="40"/>
      <c r="CP351" s="40"/>
      <c r="CQ351" s="40"/>
      <c r="CR351" s="40"/>
      <c r="CS351" s="40"/>
      <c r="CT351" s="40"/>
      <c r="CU351" s="40"/>
      <c r="CV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  <c r="BW352" s="40"/>
      <c r="BX352" s="40"/>
      <c r="BY352" s="40"/>
      <c r="BZ352" s="40"/>
      <c r="CA352" s="40"/>
      <c r="CB352" s="40"/>
      <c r="CC352" s="40"/>
      <c r="CD352" s="40"/>
      <c r="CE352" s="40"/>
      <c r="CF352" s="40"/>
      <c r="CG352" s="40"/>
      <c r="CH352" s="40"/>
      <c r="CI352" s="40"/>
      <c r="CJ352" s="40"/>
      <c r="CK352" s="40"/>
      <c r="CL352" s="40"/>
      <c r="CM352" s="40"/>
      <c r="CN352" s="40"/>
      <c r="CO352" s="40"/>
      <c r="CP352" s="40"/>
      <c r="CQ352" s="40"/>
      <c r="CR352" s="40"/>
      <c r="CS352" s="40"/>
      <c r="CT352" s="40"/>
      <c r="CU352" s="40"/>
      <c r="CV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  <c r="BW353" s="40"/>
      <c r="BX353" s="40"/>
      <c r="BY353" s="40"/>
      <c r="BZ353" s="40"/>
      <c r="CA353" s="40"/>
      <c r="CB353" s="40"/>
      <c r="CC353" s="40"/>
      <c r="CD353" s="40"/>
      <c r="CE353" s="40"/>
      <c r="CF353" s="40"/>
      <c r="CG353" s="40"/>
      <c r="CH353" s="40"/>
      <c r="CI353" s="40"/>
      <c r="CJ353" s="40"/>
      <c r="CK353" s="40"/>
      <c r="CL353" s="40"/>
      <c r="CM353" s="40"/>
      <c r="CN353" s="40"/>
      <c r="CO353" s="40"/>
      <c r="CP353" s="40"/>
      <c r="CQ353" s="40"/>
      <c r="CR353" s="40"/>
      <c r="CS353" s="40"/>
      <c r="CT353" s="40"/>
      <c r="CU353" s="40"/>
      <c r="CV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  <c r="BW354" s="40"/>
      <c r="BX354" s="40"/>
      <c r="BY354" s="40"/>
      <c r="BZ354" s="40"/>
      <c r="CA354" s="40"/>
      <c r="CB354" s="40"/>
      <c r="CC354" s="40"/>
      <c r="CD354" s="40"/>
      <c r="CE354" s="40"/>
      <c r="CF354" s="40"/>
      <c r="CG354" s="40"/>
      <c r="CH354" s="40"/>
      <c r="CI354" s="40"/>
      <c r="CJ354" s="40"/>
      <c r="CK354" s="40"/>
      <c r="CL354" s="40"/>
      <c r="CM354" s="40"/>
      <c r="CN354" s="40"/>
      <c r="CO354" s="40"/>
      <c r="CP354" s="40"/>
      <c r="CQ354" s="40"/>
      <c r="CR354" s="40"/>
      <c r="CS354" s="40"/>
      <c r="CT354" s="40"/>
      <c r="CU354" s="40"/>
      <c r="CV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  <c r="BW355" s="40"/>
      <c r="BX355" s="40"/>
      <c r="BY355" s="40"/>
      <c r="BZ355" s="40"/>
      <c r="CA355" s="40"/>
      <c r="CB355" s="40"/>
      <c r="CC355" s="40"/>
      <c r="CD355" s="40"/>
      <c r="CE355" s="40"/>
      <c r="CF355" s="40"/>
      <c r="CG355" s="40"/>
      <c r="CH355" s="40"/>
      <c r="CI355" s="40"/>
      <c r="CJ355" s="40"/>
      <c r="CK355" s="40"/>
      <c r="CL355" s="40"/>
      <c r="CM355" s="40"/>
      <c r="CN355" s="40"/>
      <c r="CO355" s="40"/>
      <c r="CP355" s="40"/>
      <c r="CQ355" s="40"/>
      <c r="CR355" s="40"/>
      <c r="CS355" s="40"/>
      <c r="CT355" s="40"/>
      <c r="CU355" s="40"/>
      <c r="CV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  <c r="BW356" s="40"/>
      <c r="BX356" s="40"/>
      <c r="BY356" s="40"/>
      <c r="BZ356" s="40"/>
      <c r="CA356" s="40"/>
      <c r="CB356" s="40"/>
      <c r="CC356" s="40"/>
      <c r="CD356" s="40"/>
      <c r="CE356" s="40"/>
      <c r="CF356" s="40"/>
      <c r="CG356" s="40"/>
      <c r="CH356" s="40"/>
      <c r="CI356" s="40"/>
      <c r="CJ356" s="40"/>
      <c r="CK356" s="40"/>
      <c r="CL356" s="40"/>
      <c r="CM356" s="40"/>
      <c r="CN356" s="40"/>
      <c r="CO356" s="40"/>
      <c r="CP356" s="40"/>
      <c r="CQ356" s="40"/>
      <c r="CR356" s="40"/>
      <c r="CS356" s="40"/>
      <c r="CT356" s="40"/>
      <c r="CU356" s="40"/>
      <c r="CV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  <c r="BW357" s="40"/>
      <c r="BX357" s="40"/>
      <c r="BY357" s="40"/>
      <c r="BZ357" s="40"/>
      <c r="CA357" s="40"/>
      <c r="CB357" s="40"/>
      <c r="CC357" s="40"/>
      <c r="CD357" s="40"/>
      <c r="CE357" s="40"/>
      <c r="CF357" s="40"/>
      <c r="CG357" s="40"/>
      <c r="CH357" s="40"/>
      <c r="CI357" s="40"/>
      <c r="CJ357" s="40"/>
      <c r="CK357" s="40"/>
      <c r="CL357" s="40"/>
      <c r="CM357" s="40"/>
      <c r="CN357" s="40"/>
      <c r="CO357" s="40"/>
      <c r="CP357" s="40"/>
      <c r="CQ357" s="40"/>
      <c r="CR357" s="40"/>
      <c r="CS357" s="40"/>
      <c r="CT357" s="40"/>
      <c r="CU357" s="40"/>
      <c r="CV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  <c r="BW358" s="40"/>
      <c r="BX358" s="40"/>
      <c r="BY358" s="40"/>
      <c r="BZ358" s="40"/>
      <c r="CA358" s="40"/>
      <c r="CB358" s="40"/>
      <c r="CC358" s="40"/>
      <c r="CD358" s="40"/>
      <c r="CE358" s="40"/>
      <c r="CF358" s="40"/>
      <c r="CG358" s="40"/>
      <c r="CH358" s="40"/>
      <c r="CI358" s="40"/>
      <c r="CJ358" s="40"/>
      <c r="CK358" s="40"/>
      <c r="CL358" s="40"/>
      <c r="CM358" s="40"/>
      <c r="CN358" s="40"/>
      <c r="CO358" s="40"/>
      <c r="CP358" s="40"/>
      <c r="CQ358" s="40"/>
      <c r="CR358" s="40"/>
      <c r="CS358" s="40"/>
      <c r="CT358" s="40"/>
      <c r="CU358" s="40"/>
      <c r="CV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  <c r="BW359" s="40"/>
      <c r="BX359" s="40"/>
      <c r="BY359" s="40"/>
      <c r="BZ359" s="40"/>
      <c r="CA359" s="40"/>
      <c r="CB359" s="40"/>
      <c r="CC359" s="40"/>
      <c r="CD359" s="40"/>
      <c r="CE359" s="40"/>
      <c r="CF359" s="40"/>
      <c r="CG359" s="40"/>
      <c r="CH359" s="40"/>
      <c r="CI359" s="40"/>
      <c r="CJ359" s="40"/>
      <c r="CK359" s="40"/>
      <c r="CL359" s="40"/>
      <c r="CM359" s="40"/>
      <c r="CN359" s="40"/>
      <c r="CO359" s="40"/>
      <c r="CP359" s="40"/>
      <c r="CQ359" s="40"/>
      <c r="CR359" s="40"/>
      <c r="CS359" s="40"/>
      <c r="CT359" s="40"/>
      <c r="CU359" s="40"/>
      <c r="CV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  <c r="BW360" s="40"/>
      <c r="BX360" s="40"/>
      <c r="BY360" s="40"/>
      <c r="BZ360" s="40"/>
      <c r="CA360" s="40"/>
      <c r="CB360" s="40"/>
      <c r="CC360" s="40"/>
      <c r="CD360" s="40"/>
      <c r="CE360" s="40"/>
      <c r="CF360" s="40"/>
      <c r="CG360" s="40"/>
      <c r="CH360" s="40"/>
      <c r="CI360" s="40"/>
      <c r="CJ360" s="40"/>
      <c r="CK360" s="40"/>
      <c r="CL360" s="40"/>
      <c r="CM360" s="40"/>
      <c r="CN360" s="40"/>
      <c r="CO360" s="40"/>
      <c r="CP360" s="40"/>
      <c r="CQ360" s="40"/>
      <c r="CR360" s="40"/>
      <c r="CS360" s="40"/>
      <c r="CT360" s="40"/>
      <c r="CU360" s="40"/>
      <c r="CV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  <c r="BW361" s="40"/>
      <c r="BX361" s="40"/>
      <c r="BY361" s="40"/>
      <c r="BZ361" s="40"/>
      <c r="CA361" s="40"/>
      <c r="CB361" s="40"/>
      <c r="CC361" s="40"/>
      <c r="CD361" s="40"/>
      <c r="CE361" s="40"/>
      <c r="CF361" s="40"/>
      <c r="CG361" s="40"/>
      <c r="CH361" s="40"/>
      <c r="CI361" s="40"/>
      <c r="CJ361" s="40"/>
      <c r="CK361" s="40"/>
      <c r="CL361" s="40"/>
      <c r="CM361" s="40"/>
      <c r="CN361" s="40"/>
      <c r="CO361" s="40"/>
      <c r="CP361" s="40"/>
      <c r="CQ361" s="40"/>
      <c r="CR361" s="40"/>
      <c r="CS361" s="40"/>
      <c r="CT361" s="40"/>
      <c r="CU361" s="40"/>
      <c r="CV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  <c r="BW362" s="40"/>
      <c r="BX362" s="40"/>
      <c r="BY362" s="40"/>
      <c r="BZ362" s="40"/>
      <c r="CA362" s="40"/>
      <c r="CB362" s="40"/>
      <c r="CC362" s="40"/>
      <c r="CD362" s="40"/>
      <c r="CE362" s="40"/>
      <c r="CF362" s="40"/>
      <c r="CG362" s="40"/>
      <c r="CH362" s="40"/>
      <c r="CI362" s="40"/>
      <c r="CJ362" s="40"/>
      <c r="CK362" s="40"/>
      <c r="CL362" s="40"/>
      <c r="CM362" s="40"/>
      <c r="CN362" s="40"/>
      <c r="CO362" s="40"/>
      <c r="CP362" s="40"/>
      <c r="CQ362" s="40"/>
      <c r="CR362" s="40"/>
      <c r="CS362" s="40"/>
      <c r="CT362" s="40"/>
      <c r="CU362" s="40"/>
      <c r="CV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  <c r="BW363" s="40"/>
      <c r="BX363" s="40"/>
      <c r="BY363" s="40"/>
      <c r="BZ363" s="40"/>
      <c r="CA363" s="40"/>
      <c r="CB363" s="40"/>
      <c r="CC363" s="40"/>
      <c r="CD363" s="40"/>
      <c r="CE363" s="40"/>
      <c r="CF363" s="40"/>
      <c r="CG363" s="40"/>
      <c r="CH363" s="40"/>
      <c r="CI363" s="40"/>
      <c r="CJ363" s="40"/>
      <c r="CK363" s="40"/>
      <c r="CL363" s="40"/>
      <c r="CM363" s="40"/>
      <c r="CN363" s="40"/>
      <c r="CO363" s="40"/>
      <c r="CP363" s="40"/>
      <c r="CQ363" s="40"/>
      <c r="CR363" s="40"/>
      <c r="CS363" s="40"/>
      <c r="CT363" s="40"/>
      <c r="CU363" s="40"/>
      <c r="CV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  <c r="BW364" s="40"/>
      <c r="BX364" s="40"/>
      <c r="BY364" s="40"/>
      <c r="BZ364" s="40"/>
      <c r="CA364" s="40"/>
      <c r="CB364" s="40"/>
      <c r="CC364" s="40"/>
      <c r="CD364" s="40"/>
      <c r="CE364" s="40"/>
      <c r="CF364" s="40"/>
      <c r="CG364" s="40"/>
      <c r="CH364" s="40"/>
      <c r="CI364" s="40"/>
      <c r="CJ364" s="40"/>
      <c r="CK364" s="40"/>
      <c r="CL364" s="40"/>
      <c r="CM364" s="40"/>
      <c r="CN364" s="40"/>
      <c r="CO364" s="40"/>
      <c r="CP364" s="40"/>
      <c r="CQ364" s="40"/>
      <c r="CR364" s="40"/>
      <c r="CS364" s="40"/>
      <c r="CT364" s="40"/>
      <c r="CU364" s="40"/>
      <c r="CV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  <c r="BW365" s="40"/>
      <c r="BX365" s="40"/>
      <c r="BY365" s="40"/>
      <c r="BZ365" s="40"/>
      <c r="CA365" s="40"/>
      <c r="CB365" s="40"/>
      <c r="CC365" s="40"/>
      <c r="CD365" s="40"/>
      <c r="CE365" s="40"/>
      <c r="CF365" s="40"/>
      <c r="CG365" s="40"/>
      <c r="CH365" s="40"/>
      <c r="CI365" s="40"/>
      <c r="CJ365" s="40"/>
      <c r="CK365" s="40"/>
      <c r="CL365" s="40"/>
      <c r="CM365" s="40"/>
      <c r="CN365" s="40"/>
      <c r="CO365" s="40"/>
      <c r="CP365" s="40"/>
      <c r="CQ365" s="40"/>
      <c r="CR365" s="40"/>
      <c r="CS365" s="40"/>
      <c r="CT365" s="40"/>
      <c r="CU365" s="40"/>
      <c r="CV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  <c r="BW366" s="40"/>
      <c r="BX366" s="40"/>
      <c r="BY366" s="40"/>
      <c r="BZ366" s="40"/>
      <c r="CA366" s="40"/>
      <c r="CB366" s="40"/>
      <c r="CC366" s="40"/>
      <c r="CD366" s="40"/>
      <c r="CE366" s="40"/>
      <c r="CF366" s="40"/>
      <c r="CG366" s="40"/>
      <c r="CH366" s="40"/>
      <c r="CI366" s="40"/>
      <c r="CJ366" s="40"/>
      <c r="CK366" s="40"/>
      <c r="CL366" s="40"/>
      <c r="CM366" s="40"/>
      <c r="CN366" s="40"/>
      <c r="CO366" s="40"/>
      <c r="CP366" s="40"/>
      <c r="CQ366" s="40"/>
      <c r="CR366" s="40"/>
      <c r="CS366" s="40"/>
      <c r="CT366" s="40"/>
      <c r="CU366" s="40"/>
      <c r="CV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  <c r="BW367" s="40"/>
      <c r="BX367" s="40"/>
      <c r="BY367" s="40"/>
      <c r="BZ367" s="40"/>
      <c r="CA367" s="40"/>
      <c r="CB367" s="40"/>
      <c r="CC367" s="40"/>
      <c r="CD367" s="40"/>
      <c r="CE367" s="40"/>
      <c r="CF367" s="40"/>
      <c r="CG367" s="40"/>
      <c r="CH367" s="40"/>
      <c r="CI367" s="40"/>
      <c r="CJ367" s="40"/>
      <c r="CK367" s="40"/>
      <c r="CL367" s="40"/>
      <c r="CM367" s="40"/>
      <c r="CN367" s="40"/>
      <c r="CO367" s="40"/>
      <c r="CP367" s="40"/>
      <c r="CQ367" s="40"/>
      <c r="CR367" s="40"/>
      <c r="CS367" s="40"/>
      <c r="CT367" s="40"/>
      <c r="CU367" s="40"/>
      <c r="CV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  <c r="BW368" s="40"/>
      <c r="BX368" s="40"/>
      <c r="BY368" s="40"/>
      <c r="BZ368" s="40"/>
      <c r="CA368" s="40"/>
      <c r="CB368" s="40"/>
      <c r="CC368" s="40"/>
      <c r="CD368" s="40"/>
      <c r="CE368" s="40"/>
      <c r="CF368" s="40"/>
      <c r="CG368" s="40"/>
      <c r="CH368" s="40"/>
      <c r="CI368" s="40"/>
      <c r="CJ368" s="40"/>
      <c r="CK368" s="40"/>
      <c r="CL368" s="40"/>
      <c r="CM368" s="40"/>
      <c r="CN368" s="40"/>
      <c r="CO368" s="40"/>
      <c r="CP368" s="40"/>
      <c r="CQ368" s="40"/>
      <c r="CR368" s="40"/>
      <c r="CS368" s="40"/>
      <c r="CT368" s="40"/>
      <c r="CU368" s="40"/>
      <c r="CV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  <c r="BW369" s="40"/>
      <c r="BX369" s="40"/>
      <c r="BY369" s="40"/>
      <c r="BZ369" s="40"/>
      <c r="CA369" s="40"/>
      <c r="CB369" s="40"/>
      <c r="CC369" s="40"/>
      <c r="CD369" s="40"/>
      <c r="CE369" s="40"/>
      <c r="CF369" s="40"/>
      <c r="CG369" s="40"/>
      <c r="CH369" s="40"/>
      <c r="CI369" s="40"/>
      <c r="CJ369" s="40"/>
      <c r="CK369" s="40"/>
      <c r="CL369" s="40"/>
      <c r="CM369" s="40"/>
      <c r="CN369" s="40"/>
      <c r="CO369" s="40"/>
      <c r="CP369" s="40"/>
      <c r="CQ369" s="40"/>
      <c r="CR369" s="40"/>
      <c r="CS369" s="40"/>
      <c r="CT369" s="40"/>
      <c r="CU369" s="40"/>
      <c r="CV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  <c r="BW370" s="40"/>
      <c r="BX370" s="40"/>
      <c r="BY370" s="40"/>
      <c r="BZ370" s="40"/>
      <c r="CA370" s="40"/>
      <c r="CB370" s="40"/>
      <c r="CC370" s="40"/>
      <c r="CD370" s="40"/>
      <c r="CE370" s="40"/>
      <c r="CF370" s="40"/>
      <c r="CG370" s="40"/>
      <c r="CH370" s="40"/>
      <c r="CI370" s="40"/>
      <c r="CJ370" s="40"/>
      <c r="CK370" s="40"/>
      <c r="CL370" s="40"/>
      <c r="CM370" s="40"/>
      <c r="CN370" s="40"/>
      <c r="CO370" s="40"/>
      <c r="CP370" s="40"/>
      <c r="CQ370" s="40"/>
      <c r="CR370" s="40"/>
      <c r="CS370" s="40"/>
      <c r="CT370" s="40"/>
      <c r="CU370" s="40"/>
      <c r="CV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  <c r="BW371" s="40"/>
      <c r="BX371" s="40"/>
      <c r="BY371" s="40"/>
      <c r="BZ371" s="40"/>
      <c r="CA371" s="40"/>
      <c r="CB371" s="40"/>
      <c r="CC371" s="40"/>
      <c r="CD371" s="40"/>
      <c r="CE371" s="40"/>
      <c r="CF371" s="40"/>
      <c r="CG371" s="40"/>
      <c r="CH371" s="40"/>
      <c r="CI371" s="40"/>
      <c r="CJ371" s="40"/>
      <c r="CK371" s="40"/>
      <c r="CL371" s="40"/>
      <c r="CM371" s="40"/>
      <c r="CN371" s="40"/>
      <c r="CO371" s="40"/>
      <c r="CP371" s="40"/>
      <c r="CQ371" s="40"/>
      <c r="CR371" s="40"/>
      <c r="CS371" s="40"/>
      <c r="CT371" s="40"/>
      <c r="CU371" s="40"/>
      <c r="CV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  <c r="BW372" s="40"/>
      <c r="BX372" s="40"/>
      <c r="BY372" s="40"/>
      <c r="BZ372" s="40"/>
      <c r="CA372" s="40"/>
      <c r="CB372" s="40"/>
      <c r="CC372" s="40"/>
      <c r="CD372" s="40"/>
      <c r="CE372" s="40"/>
      <c r="CF372" s="40"/>
      <c r="CG372" s="40"/>
      <c r="CH372" s="40"/>
      <c r="CI372" s="40"/>
      <c r="CJ372" s="40"/>
      <c r="CK372" s="40"/>
      <c r="CL372" s="40"/>
      <c r="CM372" s="40"/>
      <c r="CN372" s="40"/>
      <c r="CO372" s="40"/>
      <c r="CP372" s="40"/>
      <c r="CQ372" s="40"/>
      <c r="CR372" s="40"/>
      <c r="CS372" s="40"/>
      <c r="CT372" s="40"/>
      <c r="CU372" s="40"/>
      <c r="CV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  <c r="BW373" s="40"/>
      <c r="BX373" s="40"/>
      <c r="BY373" s="40"/>
      <c r="BZ373" s="40"/>
      <c r="CA373" s="40"/>
      <c r="CB373" s="40"/>
      <c r="CC373" s="40"/>
      <c r="CD373" s="40"/>
      <c r="CE373" s="40"/>
      <c r="CF373" s="40"/>
      <c r="CG373" s="40"/>
      <c r="CH373" s="40"/>
      <c r="CI373" s="40"/>
      <c r="CJ373" s="40"/>
      <c r="CK373" s="40"/>
      <c r="CL373" s="40"/>
      <c r="CM373" s="40"/>
      <c r="CN373" s="40"/>
      <c r="CO373" s="40"/>
      <c r="CP373" s="40"/>
      <c r="CQ373" s="40"/>
      <c r="CR373" s="40"/>
      <c r="CS373" s="40"/>
      <c r="CT373" s="40"/>
      <c r="CU373" s="40"/>
      <c r="CV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  <c r="BW374" s="40"/>
      <c r="BX374" s="40"/>
      <c r="BY374" s="40"/>
      <c r="BZ374" s="40"/>
      <c r="CA374" s="40"/>
      <c r="CB374" s="40"/>
      <c r="CC374" s="40"/>
      <c r="CD374" s="40"/>
      <c r="CE374" s="40"/>
      <c r="CF374" s="40"/>
      <c r="CG374" s="40"/>
      <c r="CH374" s="40"/>
      <c r="CI374" s="40"/>
      <c r="CJ374" s="40"/>
      <c r="CK374" s="40"/>
      <c r="CL374" s="40"/>
      <c r="CM374" s="40"/>
      <c r="CN374" s="40"/>
      <c r="CO374" s="40"/>
      <c r="CP374" s="40"/>
      <c r="CQ374" s="40"/>
      <c r="CR374" s="40"/>
      <c r="CS374" s="40"/>
      <c r="CT374" s="40"/>
      <c r="CU374" s="40"/>
      <c r="CV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  <c r="BW375" s="40"/>
      <c r="BX375" s="40"/>
      <c r="BY375" s="40"/>
      <c r="BZ375" s="40"/>
      <c r="CA375" s="40"/>
      <c r="CB375" s="40"/>
      <c r="CC375" s="40"/>
      <c r="CD375" s="40"/>
      <c r="CE375" s="40"/>
      <c r="CF375" s="40"/>
      <c r="CG375" s="40"/>
      <c r="CH375" s="40"/>
      <c r="CI375" s="40"/>
      <c r="CJ375" s="40"/>
      <c r="CK375" s="40"/>
      <c r="CL375" s="40"/>
      <c r="CM375" s="40"/>
      <c r="CN375" s="40"/>
      <c r="CO375" s="40"/>
      <c r="CP375" s="40"/>
      <c r="CQ375" s="40"/>
      <c r="CR375" s="40"/>
      <c r="CS375" s="40"/>
      <c r="CT375" s="40"/>
      <c r="CU375" s="40"/>
      <c r="CV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  <c r="BW376" s="40"/>
      <c r="BX376" s="40"/>
      <c r="BY376" s="40"/>
      <c r="BZ376" s="40"/>
      <c r="CA376" s="40"/>
      <c r="CB376" s="40"/>
      <c r="CC376" s="40"/>
      <c r="CD376" s="40"/>
      <c r="CE376" s="40"/>
      <c r="CF376" s="40"/>
      <c r="CG376" s="40"/>
      <c r="CH376" s="40"/>
      <c r="CI376" s="40"/>
      <c r="CJ376" s="40"/>
      <c r="CK376" s="40"/>
      <c r="CL376" s="40"/>
      <c r="CM376" s="40"/>
      <c r="CN376" s="40"/>
      <c r="CO376" s="40"/>
      <c r="CP376" s="40"/>
      <c r="CQ376" s="40"/>
      <c r="CR376" s="40"/>
      <c r="CS376" s="40"/>
      <c r="CT376" s="40"/>
      <c r="CU376" s="40"/>
      <c r="CV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  <c r="BW377" s="40"/>
      <c r="BX377" s="40"/>
      <c r="BY377" s="40"/>
      <c r="BZ377" s="40"/>
      <c r="CA377" s="40"/>
      <c r="CB377" s="40"/>
      <c r="CC377" s="40"/>
      <c r="CD377" s="40"/>
      <c r="CE377" s="40"/>
      <c r="CF377" s="40"/>
      <c r="CG377" s="40"/>
      <c r="CH377" s="40"/>
      <c r="CI377" s="40"/>
      <c r="CJ377" s="40"/>
      <c r="CK377" s="40"/>
      <c r="CL377" s="40"/>
      <c r="CM377" s="40"/>
      <c r="CN377" s="40"/>
      <c r="CO377" s="40"/>
      <c r="CP377" s="40"/>
      <c r="CQ377" s="40"/>
      <c r="CR377" s="40"/>
      <c r="CS377" s="40"/>
      <c r="CT377" s="40"/>
      <c r="CU377" s="40"/>
      <c r="CV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  <c r="BW378" s="40"/>
      <c r="BX378" s="40"/>
      <c r="BY378" s="40"/>
      <c r="BZ378" s="40"/>
      <c r="CA378" s="40"/>
      <c r="CB378" s="40"/>
      <c r="CC378" s="40"/>
      <c r="CD378" s="40"/>
      <c r="CE378" s="40"/>
      <c r="CF378" s="40"/>
      <c r="CG378" s="40"/>
      <c r="CH378" s="40"/>
      <c r="CI378" s="40"/>
      <c r="CJ378" s="40"/>
      <c r="CK378" s="40"/>
      <c r="CL378" s="40"/>
      <c r="CM378" s="40"/>
      <c r="CN378" s="40"/>
      <c r="CO378" s="40"/>
      <c r="CP378" s="40"/>
      <c r="CQ378" s="40"/>
      <c r="CR378" s="40"/>
      <c r="CS378" s="40"/>
      <c r="CT378" s="40"/>
      <c r="CU378" s="40"/>
      <c r="CV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  <c r="BW379" s="40"/>
      <c r="BX379" s="40"/>
      <c r="BY379" s="40"/>
      <c r="BZ379" s="40"/>
      <c r="CA379" s="40"/>
      <c r="CB379" s="40"/>
      <c r="CC379" s="40"/>
      <c r="CD379" s="40"/>
      <c r="CE379" s="40"/>
      <c r="CF379" s="40"/>
      <c r="CG379" s="40"/>
      <c r="CH379" s="40"/>
      <c r="CI379" s="40"/>
      <c r="CJ379" s="40"/>
      <c r="CK379" s="40"/>
      <c r="CL379" s="40"/>
      <c r="CM379" s="40"/>
      <c r="CN379" s="40"/>
      <c r="CO379" s="40"/>
      <c r="CP379" s="40"/>
      <c r="CQ379" s="40"/>
      <c r="CR379" s="40"/>
      <c r="CS379" s="40"/>
      <c r="CT379" s="40"/>
      <c r="CU379" s="40"/>
      <c r="CV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  <c r="BW380" s="40"/>
      <c r="BX380" s="40"/>
      <c r="BY380" s="40"/>
      <c r="BZ380" s="40"/>
      <c r="CA380" s="40"/>
      <c r="CB380" s="40"/>
      <c r="CC380" s="40"/>
      <c r="CD380" s="40"/>
      <c r="CE380" s="40"/>
      <c r="CF380" s="40"/>
      <c r="CG380" s="40"/>
      <c r="CH380" s="40"/>
      <c r="CI380" s="40"/>
      <c r="CJ380" s="40"/>
      <c r="CK380" s="40"/>
      <c r="CL380" s="40"/>
      <c r="CM380" s="40"/>
      <c r="CN380" s="40"/>
      <c r="CO380" s="40"/>
      <c r="CP380" s="40"/>
      <c r="CQ380" s="40"/>
      <c r="CR380" s="40"/>
      <c r="CS380" s="40"/>
      <c r="CT380" s="40"/>
      <c r="CU380" s="40"/>
      <c r="CV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  <c r="BW381" s="40"/>
      <c r="BX381" s="40"/>
      <c r="BY381" s="40"/>
      <c r="BZ381" s="40"/>
      <c r="CA381" s="40"/>
      <c r="CB381" s="40"/>
      <c r="CC381" s="40"/>
      <c r="CD381" s="40"/>
      <c r="CE381" s="40"/>
      <c r="CF381" s="40"/>
      <c r="CG381" s="40"/>
      <c r="CH381" s="40"/>
      <c r="CI381" s="40"/>
      <c r="CJ381" s="40"/>
      <c r="CK381" s="40"/>
      <c r="CL381" s="40"/>
      <c r="CM381" s="40"/>
      <c r="CN381" s="40"/>
      <c r="CO381" s="40"/>
      <c r="CP381" s="40"/>
      <c r="CQ381" s="40"/>
      <c r="CR381" s="40"/>
      <c r="CS381" s="40"/>
      <c r="CT381" s="40"/>
      <c r="CU381" s="40"/>
      <c r="CV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  <c r="BW382" s="40"/>
      <c r="BX382" s="40"/>
      <c r="BY382" s="40"/>
      <c r="BZ382" s="40"/>
      <c r="CA382" s="40"/>
      <c r="CB382" s="40"/>
      <c r="CC382" s="40"/>
      <c r="CD382" s="40"/>
      <c r="CE382" s="40"/>
      <c r="CF382" s="40"/>
      <c r="CG382" s="40"/>
      <c r="CH382" s="40"/>
      <c r="CI382" s="40"/>
      <c r="CJ382" s="40"/>
      <c r="CK382" s="40"/>
      <c r="CL382" s="40"/>
      <c r="CM382" s="40"/>
      <c r="CN382" s="40"/>
      <c r="CO382" s="40"/>
      <c r="CP382" s="40"/>
      <c r="CQ382" s="40"/>
      <c r="CR382" s="40"/>
      <c r="CS382" s="40"/>
      <c r="CT382" s="40"/>
      <c r="CU382" s="40"/>
      <c r="CV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  <c r="BW383" s="40"/>
      <c r="BX383" s="40"/>
      <c r="BY383" s="40"/>
      <c r="BZ383" s="40"/>
      <c r="CA383" s="40"/>
      <c r="CB383" s="40"/>
      <c r="CC383" s="40"/>
      <c r="CD383" s="40"/>
      <c r="CE383" s="40"/>
      <c r="CF383" s="40"/>
      <c r="CG383" s="40"/>
      <c r="CH383" s="40"/>
      <c r="CI383" s="40"/>
      <c r="CJ383" s="40"/>
      <c r="CK383" s="40"/>
      <c r="CL383" s="40"/>
      <c r="CM383" s="40"/>
      <c r="CN383" s="40"/>
      <c r="CO383" s="40"/>
      <c r="CP383" s="40"/>
      <c r="CQ383" s="40"/>
      <c r="CR383" s="40"/>
      <c r="CS383" s="40"/>
      <c r="CT383" s="40"/>
      <c r="CU383" s="40"/>
      <c r="CV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  <c r="BW384" s="40"/>
      <c r="BX384" s="40"/>
      <c r="BY384" s="40"/>
      <c r="BZ384" s="40"/>
      <c r="CA384" s="40"/>
      <c r="CB384" s="40"/>
      <c r="CC384" s="40"/>
      <c r="CD384" s="40"/>
      <c r="CE384" s="40"/>
      <c r="CF384" s="40"/>
      <c r="CG384" s="40"/>
      <c r="CH384" s="40"/>
      <c r="CI384" s="40"/>
      <c r="CJ384" s="40"/>
      <c r="CK384" s="40"/>
      <c r="CL384" s="40"/>
      <c r="CM384" s="40"/>
      <c r="CN384" s="40"/>
      <c r="CO384" s="40"/>
      <c r="CP384" s="40"/>
      <c r="CQ384" s="40"/>
      <c r="CR384" s="40"/>
      <c r="CS384" s="40"/>
      <c r="CT384" s="40"/>
      <c r="CU384" s="40"/>
      <c r="CV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  <c r="BW385" s="40"/>
      <c r="BX385" s="40"/>
      <c r="BY385" s="40"/>
      <c r="BZ385" s="40"/>
      <c r="CA385" s="40"/>
      <c r="CB385" s="40"/>
      <c r="CC385" s="40"/>
      <c r="CD385" s="40"/>
      <c r="CE385" s="40"/>
      <c r="CF385" s="40"/>
      <c r="CG385" s="40"/>
      <c r="CH385" s="40"/>
      <c r="CI385" s="40"/>
      <c r="CJ385" s="40"/>
      <c r="CK385" s="40"/>
      <c r="CL385" s="40"/>
      <c r="CM385" s="40"/>
      <c r="CN385" s="40"/>
      <c r="CO385" s="40"/>
      <c r="CP385" s="40"/>
      <c r="CQ385" s="40"/>
      <c r="CR385" s="40"/>
      <c r="CS385" s="40"/>
      <c r="CT385" s="40"/>
      <c r="CU385" s="40"/>
      <c r="CV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  <c r="BW386" s="40"/>
      <c r="BX386" s="40"/>
      <c r="BY386" s="40"/>
      <c r="BZ386" s="40"/>
      <c r="CA386" s="40"/>
      <c r="CB386" s="40"/>
      <c r="CC386" s="40"/>
      <c r="CD386" s="40"/>
      <c r="CE386" s="40"/>
      <c r="CF386" s="40"/>
      <c r="CG386" s="40"/>
      <c r="CH386" s="40"/>
      <c r="CI386" s="40"/>
      <c r="CJ386" s="40"/>
      <c r="CK386" s="40"/>
      <c r="CL386" s="40"/>
      <c r="CM386" s="40"/>
      <c r="CN386" s="40"/>
      <c r="CO386" s="40"/>
      <c r="CP386" s="40"/>
      <c r="CQ386" s="40"/>
      <c r="CR386" s="40"/>
      <c r="CS386" s="40"/>
      <c r="CT386" s="40"/>
      <c r="CU386" s="40"/>
      <c r="CV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  <c r="BW387" s="40"/>
      <c r="BX387" s="40"/>
      <c r="BY387" s="40"/>
      <c r="BZ387" s="40"/>
      <c r="CA387" s="40"/>
      <c r="CB387" s="40"/>
      <c r="CC387" s="40"/>
      <c r="CD387" s="40"/>
      <c r="CE387" s="40"/>
      <c r="CF387" s="40"/>
      <c r="CG387" s="40"/>
      <c r="CH387" s="40"/>
      <c r="CI387" s="40"/>
      <c r="CJ387" s="40"/>
      <c r="CK387" s="40"/>
      <c r="CL387" s="40"/>
      <c r="CM387" s="40"/>
      <c r="CN387" s="40"/>
      <c r="CO387" s="40"/>
      <c r="CP387" s="40"/>
      <c r="CQ387" s="40"/>
      <c r="CR387" s="40"/>
      <c r="CS387" s="40"/>
      <c r="CT387" s="40"/>
      <c r="CU387" s="40"/>
      <c r="CV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  <c r="BW388" s="40"/>
      <c r="BX388" s="40"/>
      <c r="BY388" s="40"/>
      <c r="BZ388" s="40"/>
      <c r="CA388" s="40"/>
      <c r="CB388" s="40"/>
      <c r="CC388" s="40"/>
      <c r="CD388" s="40"/>
      <c r="CE388" s="40"/>
      <c r="CF388" s="40"/>
      <c r="CG388" s="40"/>
      <c r="CH388" s="40"/>
      <c r="CI388" s="40"/>
      <c r="CJ388" s="40"/>
      <c r="CK388" s="40"/>
      <c r="CL388" s="40"/>
      <c r="CM388" s="40"/>
      <c r="CN388" s="40"/>
      <c r="CO388" s="40"/>
      <c r="CP388" s="40"/>
      <c r="CQ388" s="40"/>
      <c r="CR388" s="40"/>
      <c r="CS388" s="40"/>
      <c r="CT388" s="40"/>
      <c r="CU388" s="40"/>
      <c r="CV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  <c r="BW389" s="40"/>
      <c r="BX389" s="40"/>
      <c r="BY389" s="40"/>
      <c r="BZ389" s="40"/>
      <c r="CA389" s="40"/>
      <c r="CB389" s="40"/>
      <c r="CC389" s="40"/>
      <c r="CD389" s="40"/>
      <c r="CE389" s="40"/>
      <c r="CF389" s="40"/>
      <c r="CG389" s="40"/>
      <c r="CH389" s="40"/>
      <c r="CI389" s="40"/>
      <c r="CJ389" s="40"/>
      <c r="CK389" s="40"/>
      <c r="CL389" s="40"/>
      <c r="CM389" s="40"/>
      <c r="CN389" s="40"/>
      <c r="CO389" s="40"/>
      <c r="CP389" s="40"/>
      <c r="CQ389" s="40"/>
      <c r="CR389" s="40"/>
      <c r="CS389" s="40"/>
      <c r="CT389" s="40"/>
      <c r="CU389" s="40"/>
      <c r="CV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  <c r="BW390" s="40"/>
      <c r="BX390" s="40"/>
      <c r="BY390" s="40"/>
      <c r="BZ390" s="40"/>
      <c r="CA390" s="40"/>
      <c r="CB390" s="40"/>
      <c r="CC390" s="40"/>
      <c r="CD390" s="40"/>
      <c r="CE390" s="40"/>
      <c r="CF390" s="40"/>
      <c r="CG390" s="40"/>
      <c r="CH390" s="40"/>
      <c r="CI390" s="40"/>
      <c r="CJ390" s="40"/>
      <c r="CK390" s="40"/>
      <c r="CL390" s="40"/>
      <c r="CM390" s="40"/>
      <c r="CN390" s="40"/>
      <c r="CO390" s="40"/>
      <c r="CP390" s="40"/>
      <c r="CQ390" s="40"/>
      <c r="CR390" s="40"/>
      <c r="CS390" s="40"/>
      <c r="CT390" s="40"/>
      <c r="CU390" s="40"/>
      <c r="CV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  <c r="BW391" s="40"/>
      <c r="BX391" s="40"/>
      <c r="BY391" s="40"/>
      <c r="BZ391" s="40"/>
      <c r="CA391" s="40"/>
      <c r="CB391" s="40"/>
      <c r="CC391" s="40"/>
      <c r="CD391" s="40"/>
      <c r="CE391" s="40"/>
      <c r="CF391" s="40"/>
      <c r="CG391" s="40"/>
      <c r="CH391" s="40"/>
      <c r="CI391" s="40"/>
      <c r="CJ391" s="40"/>
      <c r="CK391" s="40"/>
      <c r="CL391" s="40"/>
      <c r="CM391" s="40"/>
      <c r="CN391" s="40"/>
      <c r="CO391" s="40"/>
      <c r="CP391" s="40"/>
      <c r="CQ391" s="40"/>
      <c r="CR391" s="40"/>
      <c r="CS391" s="40"/>
      <c r="CT391" s="40"/>
      <c r="CU391" s="40"/>
      <c r="CV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  <c r="BW392" s="40"/>
      <c r="BX392" s="40"/>
      <c r="BY392" s="40"/>
      <c r="BZ392" s="40"/>
      <c r="CA392" s="40"/>
      <c r="CB392" s="40"/>
      <c r="CC392" s="40"/>
      <c r="CD392" s="40"/>
      <c r="CE392" s="40"/>
      <c r="CF392" s="40"/>
      <c r="CG392" s="40"/>
      <c r="CH392" s="40"/>
      <c r="CI392" s="40"/>
      <c r="CJ392" s="40"/>
      <c r="CK392" s="40"/>
      <c r="CL392" s="40"/>
      <c r="CM392" s="40"/>
      <c r="CN392" s="40"/>
      <c r="CO392" s="40"/>
      <c r="CP392" s="40"/>
      <c r="CQ392" s="40"/>
      <c r="CR392" s="40"/>
      <c r="CS392" s="40"/>
      <c r="CT392" s="40"/>
      <c r="CU392" s="40"/>
      <c r="CV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  <c r="BW393" s="40"/>
      <c r="BX393" s="40"/>
      <c r="BY393" s="40"/>
      <c r="BZ393" s="40"/>
      <c r="CA393" s="40"/>
      <c r="CB393" s="40"/>
      <c r="CC393" s="40"/>
      <c r="CD393" s="40"/>
      <c r="CE393" s="40"/>
      <c r="CF393" s="40"/>
      <c r="CG393" s="40"/>
      <c r="CH393" s="40"/>
      <c r="CI393" s="40"/>
      <c r="CJ393" s="40"/>
      <c r="CK393" s="40"/>
      <c r="CL393" s="40"/>
      <c r="CM393" s="40"/>
      <c r="CN393" s="40"/>
      <c r="CO393" s="40"/>
      <c r="CP393" s="40"/>
      <c r="CQ393" s="40"/>
      <c r="CR393" s="40"/>
      <c r="CS393" s="40"/>
      <c r="CT393" s="40"/>
      <c r="CU393" s="40"/>
      <c r="CV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  <c r="BW394" s="40"/>
      <c r="BX394" s="40"/>
      <c r="BY394" s="40"/>
      <c r="BZ394" s="40"/>
      <c r="CA394" s="40"/>
      <c r="CB394" s="40"/>
      <c r="CC394" s="40"/>
      <c r="CD394" s="40"/>
      <c r="CE394" s="40"/>
      <c r="CF394" s="40"/>
      <c r="CG394" s="40"/>
      <c r="CH394" s="40"/>
      <c r="CI394" s="40"/>
      <c r="CJ394" s="40"/>
      <c r="CK394" s="40"/>
      <c r="CL394" s="40"/>
      <c r="CM394" s="40"/>
      <c r="CN394" s="40"/>
      <c r="CO394" s="40"/>
      <c r="CP394" s="40"/>
      <c r="CQ394" s="40"/>
      <c r="CR394" s="40"/>
      <c r="CS394" s="40"/>
      <c r="CT394" s="40"/>
      <c r="CU394" s="40"/>
      <c r="CV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  <c r="BW395" s="40"/>
      <c r="BX395" s="40"/>
      <c r="BY395" s="40"/>
      <c r="BZ395" s="40"/>
      <c r="CA395" s="40"/>
      <c r="CB395" s="40"/>
      <c r="CC395" s="40"/>
      <c r="CD395" s="40"/>
      <c r="CE395" s="40"/>
      <c r="CF395" s="40"/>
      <c r="CG395" s="40"/>
      <c r="CH395" s="40"/>
      <c r="CI395" s="40"/>
      <c r="CJ395" s="40"/>
      <c r="CK395" s="40"/>
      <c r="CL395" s="40"/>
      <c r="CM395" s="40"/>
      <c r="CN395" s="40"/>
      <c r="CO395" s="40"/>
      <c r="CP395" s="40"/>
      <c r="CQ395" s="40"/>
      <c r="CR395" s="40"/>
      <c r="CS395" s="40"/>
      <c r="CT395" s="40"/>
      <c r="CU395" s="40"/>
      <c r="CV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  <c r="BW396" s="40"/>
      <c r="BX396" s="40"/>
      <c r="BY396" s="40"/>
      <c r="BZ396" s="40"/>
      <c r="CA396" s="40"/>
      <c r="CB396" s="40"/>
      <c r="CC396" s="40"/>
      <c r="CD396" s="40"/>
      <c r="CE396" s="40"/>
      <c r="CF396" s="40"/>
      <c r="CG396" s="40"/>
      <c r="CH396" s="40"/>
      <c r="CI396" s="40"/>
      <c r="CJ396" s="40"/>
      <c r="CK396" s="40"/>
      <c r="CL396" s="40"/>
      <c r="CM396" s="40"/>
      <c r="CN396" s="40"/>
      <c r="CO396" s="40"/>
      <c r="CP396" s="40"/>
      <c r="CQ396" s="40"/>
      <c r="CR396" s="40"/>
      <c r="CS396" s="40"/>
      <c r="CT396" s="40"/>
      <c r="CU396" s="40"/>
      <c r="CV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  <c r="BW397" s="40"/>
      <c r="BX397" s="40"/>
      <c r="BY397" s="40"/>
      <c r="BZ397" s="40"/>
      <c r="CA397" s="40"/>
      <c r="CB397" s="40"/>
      <c r="CC397" s="40"/>
      <c r="CD397" s="40"/>
      <c r="CE397" s="40"/>
      <c r="CF397" s="40"/>
      <c r="CG397" s="40"/>
      <c r="CH397" s="40"/>
      <c r="CI397" s="40"/>
      <c r="CJ397" s="40"/>
      <c r="CK397" s="40"/>
      <c r="CL397" s="40"/>
      <c r="CM397" s="40"/>
      <c r="CN397" s="40"/>
      <c r="CO397" s="40"/>
      <c r="CP397" s="40"/>
      <c r="CQ397" s="40"/>
      <c r="CR397" s="40"/>
      <c r="CS397" s="40"/>
      <c r="CT397" s="40"/>
      <c r="CU397" s="40"/>
      <c r="CV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  <c r="BW398" s="40"/>
      <c r="BX398" s="40"/>
      <c r="BY398" s="40"/>
      <c r="BZ398" s="40"/>
      <c r="CA398" s="40"/>
      <c r="CB398" s="40"/>
      <c r="CC398" s="40"/>
      <c r="CD398" s="40"/>
      <c r="CE398" s="40"/>
      <c r="CF398" s="40"/>
      <c r="CG398" s="40"/>
      <c r="CH398" s="40"/>
      <c r="CI398" s="40"/>
      <c r="CJ398" s="40"/>
      <c r="CK398" s="40"/>
      <c r="CL398" s="40"/>
      <c r="CM398" s="40"/>
      <c r="CN398" s="40"/>
      <c r="CO398" s="40"/>
      <c r="CP398" s="40"/>
      <c r="CQ398" s="40"/>
      <c r="CR398" s="40"/>
      <c r="CS398" s="40"/>
      <c r="CT398" s="40"/>
      <c r="CU398" s="40"/>
      <c r="CV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  <c r="BW399" s="40"/>
      <c r="BX399" s="40"/>
      <c r="BY399" s="40"/>
      <c r="BZ399" s="40"/>
      <c r="CA399" s="40"/>
      <c r="CB399" s="40"/>
      <c r="CC399" s="40"/>
      <c r="CD399" s="40"/>
      <c r="CE399" s="40"/>
      <c r="CF399" s="40"/>
      <c r="CG399" s="40"/>
      <c r="CH399" s="40"/>
      <c r="CI399" s="40"/>
      <c r="CJ399" s="40"/>
      <c r="CK399" s="40"/>
      <c r="CL399" s="40"/>
      <c r="CM399" s="40"/>
      <c r="CN399" s="40"/>
      <c r="CO399" s="40"/>
      <c r="CP399" s="40"/>
      <c r="CQ399" s="40"/>
      <c r="CR399" s="40"/>
      <c r="CS399" s="40"/>
      <c r="CT399" s="40"/>
      <c r="CU399" s="40"/>
      <c r="CV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  <c r="BW400" s="40"/>
      <c r="BX400" s="40"/>
      <c r="BY400" s="40"/>
      <c r="BZ400" s="40"/>
      <c r="CA400" s="40"/>
      <c r="CB400" s="40"/>
      <c r="CC400" s="40"/>
      <c r="CD400" s="40"/>
      <c r="CE400" s="40"/>
      <c r="CF400" s="40"/>
      <c r="CG400" s="40"/>
      <c r="CH400" s="40"/>
      <c r="CI400" s="40"/>
      <c r="CJ400" s="40"/>
      <c r="CK400" s="40"/>
      <c r="CL400" s="40"/>
      <c r="CM400" s="40"/>
      <c r="CN400" s="40"/>
      <c r="CO400" s="40"/>
      <c r="CP400" s="40"/>
      <c r="CQ400" s="40"/>
      <c r="CR400" s="40"/>
      <c r="CS400" s="40"/>
      <c r="CT400" s="40"/>
      <c r="CU400" s="40"/>
      <c r="CV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  <c r="BW401" s="40"/>
      <c r="BX401" s="40"/>
      <c r="BY401" s="40"/>
      <c r="BZ401" s="40"/>
      <c r="CA401" s="40"/>
      <c r="CB401" s="40"/>
      <c r="CC401" s="40"/>
      <c r="CD401" s="40"/>
      <c r="CE401" s="40"/>
      <c r="CF401" s="40"/>
      <c r="CG401" s="40"/>
      <c r="CH401" s="40"/>
      <c r="CI401" s="40"/>
      <c r="CJ401" s="40"/>
      <c r="CK401" s="40"/>
      <c r="CL401" s="40"/>
      <c r="CM401" s="40"/>
      <c r="CN401" s="40"/>
      <c r="CO401" s="40"/>
      <c r="CP401" s="40"/>
      <c r="CQ401" s="40"/>
      <c r="CR401" s="40"/>
      <c r="CS401" s="40"/>
      <c r="CT401" s="40"/>
      <c r="CU401" s="40"/>
      <c r="CV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  <c r="BW402" s="40"/>
      <c r="BX402" s="40"/>
      <c r="BY402" s="40"/>
      <c r="BZ402" s="40"/>
      <c r="CA402" s="40"/>
      <c r="CB402" s="40"/>
      <c r="CC402" s="40"/>
      <c r="CD402" s="40"/>
      <c r="CE402" s="40"/>
      <c r="CF402" s="40"/>
      <c r="CG402" s="40"/>
      <c r="CH402" s="40"/>
      <c r="CI402" s="40"/>
      <c r="CJ402" s="40"/>
      <c r="CK402" s="40"/>
      <c r="CL402" s="40"/>
      <c r="CM402" s="40"/>
      <c r="CN402" s="40"/>
      <c r="CO402" s="40"/>
      <c r="CP402" s="40"/>
      <c r="CQ402" s="40"/>
      <c r="CR402" s="40"/>
      <c r="CS402" s="40"/>
      <c r="CT402" s="40"/>
      <c r="CU402" s="40"/>
      <c r="CV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  <c r="BW403" s="40"/>
      <c r="BX403" s="40"/>
      <c r="BY403" s="40"/>
      <c r="BZ403" s="40"/>
      <c r="CA403" s="40"/>
      <c r="CB403" s="40"/>
      <c r="CC403" s="40"/>
      <c r="CD403" s="40"/>
      <c r="CE403" s="40"/>
      <c r="CF403" s="40"/>
      <c r="CG403" s="40"/>
      <c r="CH403" s="40"/>
      <c r="CI403" s="40"/>
      <c r="CJ403" s="40"/>
      <c r="CK403" s="40"/>
      <c r="CL403" s="40"/>
      <c r="CM403" s="40"/>
      <c r="CN403" s="40"/>
      <c r="CO403" s="40"/>
      <c r="CP403" s="40"/>
      <c r="CQ403" s="40"/>
      <c r="CR403" s="40"/>
      <c r="CS403" s="40"/>
      <c r="CT403" s="40"/>
      <c r="CU403" s="40"/>
      <c r="CV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  <c r="BW404" s="40"/>
      <c r="BX404" s="40"/>
      <c r="BY404" s="40"/>
      <c r="BZ404" s="40"/>
      <c r="CA404" s="40"/>
      <c r="CB404" s="40"/>
      <c r="CC404" s="40"/>
      <c r="CD404" s="40"/>
      <c r="CE404" s="40"/>
      <c r="CF404" s="40"/>
      <c r="CG404" s="40"/>
      <c r="CH404" s="40"/>
      <c r="CI404" s="40"/>
      <c r="CJ404" s="40"/>
      <c r="CK404" s="40"/>
      <c r="CL404" s="40"/>
      <c r="CM404" s="40"/>
      <c r="CN404" s="40"/>
      <c r="CO404" s="40"/>
      <c r="CP404" s="40"/>
      <c r="CQ404" s="40"/>
      <c r="CR404" s="40"/>
      <c r="CS404" s="40"/>
      <c r="CT404" s="40"/>
      <c r="CU404" s="40"/>
      <c r="CV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  <c r="BW405" s="40"/>
      <c r="BX405" s="40"/>
      <c r="BY405" s="40"/>
      <c r="BZ405" s="40"/>
      <c r="CA405" s="40"/>
      <c r="CB405" s="40"/>
      <c r="CC405" s="40"/>
      <c r="CD405" s="40"/>
      <c r="CE405" s="40"/>
      <c r="CF405" s="40"/>
      <c r="CG405" s="40"/>
      <c r="CH405" s="40"/>
      <c r="CI405" s="40"/>
      <c r="CJ405" s="40"/>
      <c r="CK405" s="40"/>
      <c r="CL405" s="40"/>
      <c r="CM405" s="40"/>
      <c r="CN405" s="40"/>
      <c r="CO405" s="40"/>
      <c r="CP405" s="40"/>
      <c r="CQ405" s="40"/>
      <c r="CR405" s="40"/>
      <c r="CS405" s="40"/>
      <c r="CT405" s="40"/>
      <c r="CU405" s="40"/>
      <c r="CV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  <c r="BW406" s="40"/>
      <c r="BX406" s="40"/>
      <c r="BY406" s="40"/>
      <c r="BZ406" s="40"/>
      <c r="CA406" s="40"/>
      <c r="CB406" s="40"/>
      <c r="CC406" s="40"/>
      <c r="CD406" s="40"/>
      <c r="CE406" s="40"/>
      <c r="CF406" s="40"/>
      <c r="CG406" s="40"/>
      <c r="CH406" s="40"/>
      <c r="CI406" s="40"/>
      <c r="CJ406" s="40"/>
      <c r="CK406" s="40"/>
      <c r="CL406" s="40"/>
      <c r="CM406" s="40"/>
      <c r="CN406" s="40"/>
      <c r="CO406" s="40"/>
      <c r="CP406" s="40"/>
      <c r="CQ406" s="40"/>
      <c r="CR406" s="40"/>
      <c r="CS406" s="40"/>
      <c r="CT406" s="40"/>
      <c r="CU406" s="40"/>
      <c r="CV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  <c r="BW407" s="40"/>
      <c r="BX407" s="40"/>
      <c r="BY407" s="40"/>
      <c r="BZ407" s="40"/>
      <c r="CA407" s="40"/>
      <c r="CB407" s="40"/>
      <c r="CC407" s="40"/>
      <c r="CD407" s="40"/>
      <c r="CE407" s="40"/>
      <c r="CF407" s="40"/>
      <c r="CG407" s="40"/>
      <c r="CH407" s="40"/>
      <c r="CI407" s="40"/>
      <c r="CJ407" s="40"/>
      <c r="CK407" s="40"/>
      <c r="CL407" s="40"/>
      <c r="CM407" s="40"/>
      <c r="CN407" s="40"/>
      <c r="CO407" s="40"/>
      <c r="CP407" s="40"/>
      <c r="CQ407" s="40"/>
      <c r="CR407" s="40"/>
      <c r="CS407" s="40"/>
      <c r="CT407" s="40"/>
      <c r="CU407" s="40"/>
      <c r="CV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  <c r="BW408" s="40"/>
      <c r="BX408" s="40"/>
      <c r="BY408" s="40"/>
      <c r="BZ408" s="40"/>
      <c r="CA408" s="40"/>
      <c r="CB408" s="40"/>
      <c r="CC408" s="40"/>
      <c r="CD408" s="40"/>
      <c r="CE408" s="40"/>
      <c r="CF408" s="40"/>
      <c r="CG408" s="40"/>
      <c r="CH408" s="40"/>
      <c r="CI408" s="40"/>
      <c r="CJ408" s="40"/>
      <c r="CK408" s="40"/>
      <c r="CL408" s="40"/>
      <c r="CM408" s="40"/>
      <c r="CN408" s="40"/>
      <c r="CO408" s="40"/>
      <c r="CP408" s="40"/>
      <c r="CQ408" s="40"/>
      <c r="CR408" s="40"/>
      <c r="CS408" s="40"/>
      <c r="CT408" s="40"/>
      <c r="CU408" s="40"/>
      <c r="CV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  <c r="BW409" s="40"/>
      <c r="BX409" s="40"/>
      <c r="BY409" s="40"/>
      <c r="BZ409" s="40"/>
      <c r="CA409" s="40"/>
      <c r="CB409" s="40"/>
      <c r="CC409" s="40"/>
      <c r="CD409" s="40"/>
      <c r="CE409" s="40"/>
      <c r="CF409" s="40"/>
      <c r="CG409" s="40"/>
      <c r="CH409" s="40"/>
      <c r="CI409" s="40"/>
      <c r="CJ409" s="40"/>
      <c r="CK409" s="40"/>
      <c r="CL409" s="40"/>
      <c r="CM409" s="40"/>
      <c r="CN409" s="40"/>
      <c r="CO409" s="40"/>
      <c r="CP409" s="40"/>
      <c r="CQ409" s="40"/>
      <c r="CR409" s="40"/>
      <c r="CS409" s="40"/>
      <c r="CT409" s="40"/>
      <c r="CU409" s="40"/>
      <c r="CV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  <c r="BW410" s="40"/>
      <c r="BX410" s="40"/>
      <c r="BY410" s="40"/>
      <c r="BZ410" s="40"/>
      <c r="CA410" s="40"/>
      <c r="CB410" s="40"/>
      <c r="CC410" s="40"/>
      <c r="CD410" s="40"/>
      <c r="CE410" s="40"/>
      <c r="CF410" s="40"/>
      <c r="CG410" s="40"/>
      <c r="CH410" s="40"/>
      <c r="CI410" s="40"/>
      <c r="CJ410" s="40"/>
      <c r="CK410" s="40"/>
      <c r="CL410" s="40"/>
      <c r="CM410" s="40"/>
      <c r="CN410" s="40"/>
      <c r="CO410" s="40"/>
      <c r="CP410" s="40"/>
      <c r="CQ410" s="40"/>
      <c r="CR410" s="40"/>
      <c r="CS410" s="40"/>
      <c r="CT410" s="40"/>
      <c r="CU410" s="40"/>
      <c r="CV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  <c r="BW411" s="40"/>
      <c r="BX411" s="40"/>
      <c r="BY411" s="40"/>
      <c r="BZ411" s="40"/>
      <c r="CA411" s="40"/>
      <c r="CB411" s="40"/>
      <c r="CC411" s="40"/>
      <c r="CD411" s="40"/>
      <c r="CE411" s="40"/>
      <c r="CF411" s="40"/>
      <c r="CG411" s="40"/>
      <c r="CH411" s="40"/>
      <c r="CI411" s="40"/>
      <c r="CJ411" s="40"/>
      <c r="CK411" s="40"/>
      <c r="CL411" s="40"/>
      <c r="CM411" s="40"/>
      <c r="CN411" s="40"/>
      <c r="CO411" s="40"/>
      <c r="CP411" s="40"/>
      <c r="CQ411" s="40"/>
      <c r="CR411" s="40"/>
      <c r="CS411" s="40"/>
      <c r="CT411" s="40"/>
      <c r="CU411" s="40"/>
      <c r="CV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  <c r="BW412" s="40"/>
      <c r="BX412" s="40"/>
      <c r="BY412" s="40"/>
      <c r="BZ412" s="40"/>
      <c r="CA412" s="40"/>
      <c r="CB412" s="40"/>
      <c r="CC412" s="40"/>
      <c r="CD412" s="40"/>
      <c r="CE412" s="40"/>
      <c r="CF412" s="40"/>
      <c r="CG412" s="40"/>
      <c r="CH412" s="40"/>
      <c r="CI412" s="40"/>
      <c r="CJ412" s="40"/>
      <c r="CK412" s="40"/>
      <c r="CL412" s="40"/>
      <c r="CM412" s="40"/>
      <c r="CN412" s="40"/>
      <c r="CO412" s="40"/>
      <c r="CP412" s="40"/>
      <c r="CQ412" s="40"/>
      <c r="CR412" s="40"/>
      <c r="CS412" s="40"/>
      <c r="CT412" s="40"/>
      <c r="CU412" s="40"/>
      <c r="CV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  <c r="BW413" s="40"/>
      <c r="BX413" s="40"/>
      <c r="BY413" s="40"/>
      <c r="BZ413" s="40"/>
      <c r="CA413" s="40"/>
      <c r="CB413" s="40"/>
      <c r="CC413" s="40"/>
      <c r="CD413" s="40"/>
      <c r="CE413" s="40"/>
      <c r="CF413" s="40"/>
      <c r="CG413" s="40"/>
      <c r="CH413" s="40"/>
      <c r="CI413" s="40"/>
      <c r="CJ413" s="40"/>
      <c r="CK413" s="40"/>
      <c r="CL413" s="40"/>
      <c r="CM413" s="40"/>
      <c r="CN413" s="40"/>
      <c r="CO413" s="40"/>
      <c r="CP413" s="40"/>
      <c r="CQ413" s="40"/>
      <c r="CR413" s="40"/>
      <c r="CS413" s="40"/>
      <c r="CT413" s="40"/>
      <c r="CU413" s="40"/>
      <c r="CV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  <c r="BW414" s="40"/>
      <c r="BX414" s="40"/>
      <c r="BY414" s="40"/>
      <c r="BZ414" s="40"/>
      <c r="CA414" s="40"/>
      <c r="CB414" s="40"/>
      <c r="CC414" s="40"/>
      <c r="CD414" s="40"/>
      <c r="CE414" s="40"/>
      <c r="CF414" s="40"/>
      <c r="CG414" s="40"/>
      <c r="CH414" s="40"/>
      <c r="CI414" s="40"/>
      <c r="CJ414" s="40"/>
      <c r="CK414" s="40"/>
      <c r="CL414" s="40"/>
      <c r="CM414" s="40"/>
      <c r="CN414" s="40"/>
      <c r="CO414" s="40"/>
      <c r="CP414" s="40"/>
      <c r="CQ414" s="40"/>
      <c r="CR414" s="40"/>
      <c r="CS414" s="40"/>
      <c r="CT414" s="40"/>
      <c r="CU414" s="40"/>
      <c r="CV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  <c r="BW415" s="40"/>
      <c r="BX415" s="40"/>
      <c r="BY415" s="40"/>
      <c r="BZ415" s="40"/>
      <c r="CA415" s="40"/>
      <c r="CB415" s="40"/>
      <c r="CC415" s="40"/>
      <c r="CD415" s="40"/>
      <c r="CE415" s="40"/>
      <c r="CF415" s="40"/>
      <c r="CG415" s="40"/>
      <c r="CH415" s="40"/>
      <c r="CI415" s="40"/>
      <c r="CJ415" s="40"/>
      <c r="CK415" s="40"/>
      <c r="CL415" s="40"/>
      <c r="CM415" s="40"/>
      <c r="CN415" s="40"/>
      <c r="CO415" s="40"/>
      <c r="CP415" s="40"/>
      <c r="CQ415" s="40"/>
      <c r="CR415" s="40"/>
      <c r="CS415" s="40"/>
      <c r="CT415" s="40"/>
      <c r="CU415" s="40"/>
      <c r="CV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  <c r="BW416" s="40"/>
      <c r="BX416" s="40"/>
      <c r="BY416" s="40"/>
      <c r="BZ416" s="40"/>
      <c r="CA416" s="40"/>
      <c r="CB416" s="40"/>
      <c r="CC416" s="40"/>
      <c r="CD416" s="40"/>
      <c r="CE416" s="40"/>
      <c r="CF416" s="40"/>
      <c r="CG416" s="40"/>
      <c r="CH416" s="40"/>
      <c r="CI416" s="40"/>
      <c r="CJ416" s="40"/>
      <c r="CK416" s="40"/>
      <c r="CL416" s="40"/>
      <c r="CM416" s="40"/>
      <c r="CN416" s="40"/>
      <c r="CO416" s="40"/>
      <c r="CP416" s="40"/>
      <c r="CQ416" s="40"/>
      <c r="CR416" s="40"/>
      <c r="CS416" s="40"/>
      <c r="CT416" s="40"/>
      <c r="CU416" s="40"/>
      <c r="CV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  <c r="BW417" s="40"/>
      <c r="BX417" s="40"/>
      <c r="BY417" s="40"/>
      <c r="BZ417" s="40"/>
      <c r="CA417" s="40"/>
      <c r="CB417" s="40"/>
      <c r="CC417" s="40"/>
      <c r="CD417" s="40"/>
      <c r="CE417" s="40"/>
      <c r="CF417" s="40"/>
      <c r="CG417" s="40"/>
      <c r="CH417" s="40"/>
      <c r="CI417" s="40"/>
      <c r="CJ417" s="40"/>
      <c r="CK417" s="40"/>
      <c r="CL417" s="40"/>
      <c r="CM417" s="40"/>
      <c r="CN417" s="40"/>
      <c r="CO417" s="40"/>
      <c r="CP417" s="40"/>
      <c r="CQ417" s="40"/>
      <c r="CR417" s="40"/>
      <c r="CS417" s="40"/>
      <c r="CT417" s="40"/>
      <c r="CU417" s="40"/>
      <c r="CV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  <c r="BW418" s="40"/>
      <c r="BX418" s="40"/>
      <c r="BY418" s="40"/>
      <c r="BZ418" s="40"/>
      <c r="CA418" s="40"/>
      <c r="CB418" s="40"/>
      <c r="CC418" s="40"/>
      <c r="CD418" s="40"/>
      <c r="CE418" s="40"/>
      <c r="CF418" s="40"/>
      <c r="CG418" s="40"/>
      <c r="CH418" s="40"/>
      <c r="CI418" s="40"/>
      <c r="CJ418" s="40"/>
      <c r="CK418" s="40"/>
      <c r="CL418" s="40"/>
      <c r="CM418" s="40"/>
      <c r="CN418" s="40"/>
      <c r="CO418" s="40"/>
      <c r="CP418" s="40"/>
      <c r="CQ418" s="40"/>
      <c r="CR418" s="40"/>
      <c r="CS418" s="40"/>
      <c r="CT418" s="40"/>
      <c r="CU418" s="40"/>
      <c r="CV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  <c r="BW419" s="40"/>
      <c r="BX419" s="40"/>
      <c r="BY419" s="40"/>
      <c r="BZ419" s="40"/>
      <c r="CA419" s="40"/>
      <c r="CB419" s="40"/>
      <c r="CC419" s="40"/>
      <c r="CD419" s="40"/>
      <c r="CE419" s="40"/>
      <c r="CF419" s="40"/>
      <c r="CG419" s="40"/>
      <c r="CH419" s="40"/>
      <c r="CI419" s="40"/>
      <c r="CJ419" s="40"/>
      <c r="CK419" s="40"/>
      <c r="CL419" s="40"/>
      <c r="CM419" s="40"/>
      <c r="CN419" s="40"/>
      <c r="CO419" s="40"/>
      <c r="CP419" s="40"/>
      <c r="CQ419" s="40"/>
      <c r="CR419" s="40"/>
      <c r="CS419" s="40"/>
      <c r="CT419" s="40"/>
      <c r="CU419" s="40"/>
      <c r="CV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  <c r="BW420" s="40"/>
      <c r="BX420" s="40"/>
      <c r="BY420" s="40"/>
      <c r="BZ420" s="40"/>
      <c r="CA420" s="40"/>
      <c r="CB420" s="40"/>
      <c r="CC420" s="40"/>
      <c r="CD420" s="40"/>
      <c r="CE420" s="40"/>
      <c r="CF420" s="40"/>
      <c r="CG420" s="40"/>
      <c r="CH420" s="40"/>
      <c r="CI420" s="40"/>
      <c r="CJ420" s="40"/>
      <c r="CK420" s="40"/>
      <c r="CL420" s="40"/>
      <c r="CM420" s="40"/>
      <c r="CN420" s="40"/>
      <c r="CO420" s="40"/>
      <c r="CP420" s="40"/>
      <c r="CQ420" s="40"/>
      <c r="CR420" s="40"/>
      <c r="CS420" s="40"/>
      <c r="CT420" s="40"/>
      <c r="CU420" s="40"/>
      <c r="CV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  <c r="BW421" s="40"/>
      <c r="BX421" s="40"/>
      <c r="BY421" s="40"/>
      <c r="BZ421" s="40"/>
      <c r="CA421" s="40"/>
      <c r="CB421" s="40"/>
      <c r="CC421" s="40"/>
      <c r="CD421" s="40"/>
      <c r="CE421" s="40"/>
      <c r="CF421" s="40"/>
      <c r="CG421" s="40"/>
      <c r="CH421" s="40"/>
      <c r="CI421" s="40"/>
      <c r="CJ421" s="40"/>
      <c r="CK421" s="40"/>
      <c r="CL421" s="40"/>
      <c r="CM421" s="40"/>
      <c r="CN421" s="40"/>
      <c r="CO421" s="40"/>
      <c r="CP421" s="40"/>
      <c r="CQ421" s="40"/>
      <c r="CR421" s="40"/>
      <c r="CS421" s="40"/>
      <c r="CT421" s="40"/>
      <c r="CU421" s="40"/>
      <c r="CV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  <c r="BW422" s="40"/>
      <c r="BX422" s="40"/>
      <c r="BY422" s="40"/>
      <c r="BZ422" s="40"/>
      <c r="CA422" s="40"/>
      <c r="CB422" s="40"/>
      <c r="CC422" s="40"/>
      <c r="CD422" s="40"/>
      <c r="CE422" s="40"/>
      <c r="CF422" s="40"/>
      <c r="CG422" s="40"/>
      <c r="CH422" s="40"/>
      <c r="CI422" s="40"/>
      <c r="CJ422" s="40"/>
      <c r="CK422" s="40"/>
      <c r="CL422" s="40"/>
      <c r="CM422" s="40"/>
      <c r="CN422" s="40"/>
      <c r="CO422" s="40"/>
      <c r="CP422" s="40"/>
      <c r="CQ422" s="40"/>
      <c r="CR422" s="40"/>
      <c r="CS422" s="40"/>
      <c r="CT422" s="40"/>
      <c r="CU422" s="40"/>
      <c r="CV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  <c r="BW423" s="40"/>
      <c r="BX423" s="40"/>
      <c r="BY423" s="40"/>
      <c r="BZ423" s="40"/>
      <c r="CA423" s="40"/>
      <c r="CB423" s="40"/>
      <c r="CC423" s="40"/>
      <c r="CD423" s="40"/>
      <c r="CE423" s="40"/>
      <c r="CF423" s="40"/>
      <c r="CG423" s="40"/>
      <c r="CH423" s="40"/>
      <c r="CI423" s="40"/>
      <c r="CJ423" s="40"/>
      <c r="CK423" s="40"/>
      <c r="CL423" s="40"/>
      <c r="CM423" s="40"/>
      <c r="CN423" s="40"/>
      <c r="CO423" s="40"/>
      <c r="CP423" s="40"/>
      <c r="CQ423" s="40"/>
      <c r="CR423" s="40"/>
      <c r="CS423" s="40"/>
      <c r="CT423" s="40"/>
      <c r="CU423" s="40"/>
      <c r="CV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  <c r="BW424" s="40"/>
      <c r="BX424" s="40"/>
      <c r="BY424" s="40"/>
      <c r="BZ424" s="40"/>
      <c r="CA424" s="40"/>
      <c r="CB424" s="40"/>
      <c r="CC424" s="40"/>
      <c r="CD424" s="40"/>
      <c r="CE424" s="40"/>
      <c r="CF424" s="40"/>
      <c r="CG424" s="40"/>
      <c r="CH424" s="40"/>
      <c r="CI424" s="40"/>
      <c r="CJ424" s="40"/>
      <c r="CK424" s="40"/>
      <c r="CL424" s="40"/>
      <c r="CM424" s="40"/>
      <c r="CN424" s="40"/>
      <c r="CO424" s="40"/>
      <c r="CP424" s="40"/>
      <c r="CQ424" s="40"/>
      <c r="CR424" s="40"/>
      <c r="CS424" s="40"/>
      <c r="CT424" s="40"/>
      <c r="CU424" s="40"/>
      <c r="CV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  <c r="BW425" s="40"/>
      <c r="BX425" s="40"/>
      <c r="BY425" s="40"/>
      <c r="BZ425" s="40"/>
      <c r="CA425" s="40"/>
      <c r="CB425" s="40"/>
      <c r="CC425" s="40"/>
      <c r="CD425" s="40"/>
      <c r="CE425" s="40"/>
      <c r="CF425" s="40"/>
      <c r="CG425" s="40"/>
      <c r="CH425" s="40"/>
      <c r="CI425" s="40"/>
      <c r="CJ425" s="40"/>
      <c r="CK425" s="40"/>
      <c r="CL425" s="40"/>
      <c r="CM425" s="40"/>
      <c r="CN425" s="40"/>
      <c r="CO425" s="40"/>
      <c r="CP425" s="40"/>
      <c r="CQ425" s="40"/>
      <c r="CR425" s="40"/>
      <c r="CS425" s="40"/>
      <c r="CT425" s="40"/>
      <c r="CU425" s="40"/>
      <c r="CV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  <c r="BW426" s="40"/>
      <c r="BX426" s="40"/>
      <c r="BY426" s="40"/>
      <c r="BZ426" s="40"/>
      <c r="CA426" s="40"/>
      <c r="CB426" s="40"/>
      <c r="CC426" s="40"/>
      <c r="CD426" s="40"/>
      <c r="CE426" s="40"/>
      <c r="CF426" s="40"/>
      <c r="CG426" s="40"/>
      <c r="CH426" s="40"/>
      <c r="CI426" s="40"/>
      <c r="CJ426" s="40"/>
      <c r="CK426" s="40"/>
      <c r="CL426" s="40"/>
      <c r="CM426" s="40"/>
      <c r="CN426" s="40"/>
      <c r="CO426" s="40"/>
      <c r="CP426" s="40"/>
      <c r="CQ426" s="40"/>
      <c r="CR426" s="40"/>
      <c r="CS426" s="40"/>
      <c r="CT426" s="40"/>
      <c r="CU426" s="40"/>
      <c r="CV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  <c r="BU427" s="40"/>
      <c r="BV427" s="40"/>
      <c r="BW427" s="40"/>
      <c r="BX427" s="40"/>
      <c r="BY427" s="40"/>
      <c r="BZ427" s="40"/>
      <c r="CA427" s="40"/>
      <c r="CB427" s="40"/>
      <c r="CC427" s="40"/>
      <c r="CD427" s="40"/>
      <c r="CE427" s="40"/>
      <c r="CF427" s="40"/>
      <c r="CG427" s="40"/>
      <c r="CH427" s="40"/>
      <c r="CI427" s="40"/>
      <c r="CJ427" s="40"/>
      <c r="CK427" s="40"/>
      <c r="CL427" s="40"/>
      <c r="CM427" s="40"/>
      <c r="CN427" s="40"/>
      <c r="CO427" s="40"/>
      <c r="CP427" s="40"/>
      <c r="CQ427" s="40"/>
      <c r="CR427" s="40"/>
      <c r="CS427" s="40"/>
      <c r="CT427" s="40"/>
      <c r="CU427" s="40"/>
      <c r="CV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  <c r="BW428" s="40"/>
      <c r="BX428" s="40"/>
      <c r="BY428" s="40"/>
      <c r="BZ428" s="40"/>
      <c r="CA428" s="40"/>
      <c r="CB428" s="40"/>
      <c r="CC428" s="40"/>
      <c r="CD428" s="40"/>
      <c r="CE428" s="40"/>
      <c r="CF428" s="40"/>
      <c r="CG428" s="40"/>
      <c r="CH428" s="40"/>
      <c r="CI428" s="40"/>
      <c r="CJ428" s="40"/>
      <c r="CK428" s="40"/>
      <c r="CL428" s="40"/>
      <c r="CM428" s="40"/>
      <c r="CN428" s="40"/>
      <c r="CO428" s="40"/>
      <c r="CP428" s="40"/>
      <c r="CQ428" s="40"/>
      <c r="CR428" s="40"/>
      <c r="CS428" s="40"/>
      <c r="CT428" s="40"/>
      <c r="CU428" s="40"/>
      <c r="CV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  <c r="BW429" s="40"/>
      <c r="BX429" s="40"/>
      <c r="BY429" s="40"/>
      <c r="BZ429" s="40"/>
      <c r="CA429" s="40"/>
      <c r="CB429" s="40"/>
      <c r="CC429" s="40"/>
      <c r="CD429" s="40"/>
      <c r="CE429" s="40"/>
      <c r="CF429" s="40"/>
      <c r="CG429" s="40"/>
      <c r="CH429" s="40"/>
      <c r="CI429" s="40"/>
      <c r="CJ429" s="40"/>
      <c r="CK429" s="40"/>
      <c r="CL429" s="40"/>
      <c r="CM429" s="40"/>
      <c r="CN429" s="40"/>
      <c r="CO429" s="40"/>
      <c r="CP429" s="40"/>
      <c r="CQ429" s="40"/>
      <c r="CR429" s="40"/>
      <c r="CS429" s="40"/>
      <c r="CT429" s="40"/>
      <c r="CU429" s="40"/>
      <c r="CV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  <c r="BW430" s="40"/>
      <c r="BX430" s="40"/>
      <c r="BY430" s="40"/>
      <c r="BZ430" s="40"/>
      <c r="CA430" s="40"/>
      <c r="CB430" s="40"/>
      <c r="CC430" s="40"/>
      <c r="CD430" s="40"/>
      <c r="CE430" s="40"/>
      <c r="CF430" s="40"/>
      <c r="CG430" s="40"/>
      <c r="CH430" s="40"/>
      <c r="CI430" s="40"/>
      <c r="CJ430" s="40"/>
      <c r="CK430" s="40"/>
      <c r="CL430" s="40"/>
      <c r="CM430" s="40"/>
      <c r="CN430" s="40"/>
      <c r="CO430" s="40"/>
      <c r="CP430" s="40"/>
      <c r="CQ430" s="40"/>
      <c r="CR430" s="40"/>
      <c r="CS430" s="40"/>
      <c r="CT430" s="40"/>
      <c r="CU430" s="40"/>
      <c r="CV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  <c r="BW431" s="40"/>
      <c r="BX431" s="40"/>
      <c r="BY431" s="40"/>
      <c r="BZ431" s="40"/>
      <c r="CA431" s="40"/>
      <c r="CB431" s="40"/>
      <c r="CC431" s="40"/>
      <c r="CD431" s="40"/>
      <c r="CE431" s="40"/>
      <c r="CF431" s="40"/>
      <c r="CG431" s="40"/>
      <c r="CH431" s="40"/>
      <c r="CI431" s="40"/>
      <c r="CJ431" s="40"/>
      <c r="CK431" s="40"/>
      <c r="CL431" s="40"/>
      <c r="CM431" s="40"/>
      <c r="CN431" s="40"/>
      <c r="CO431" s="40"/>
      <c r="CP431" s="40"/>
      <c r="CQ431" s="40"/>
      <c r="CR431" s="40"/>
      <c r="CS431" s="40"/>
      <c r="CT431" s="40"/>
      <c r="CU431" s="40"/>
      <c r="CV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  <c r="BW432" s="40"/>
      <c r="BX432" s="40"/>
      <c r="BY432" s="40"/>
      <c r="BZ432" s="40"/>
      <c r="CA432" s="40"/>
      <c r="CB432" s="40"/>
      <c r="CC432" s="40"/>
      <c r="CD432" s="40"/>
      <c r="CE432" s="40"/>
      <c r="CF432" s="40"/>
      <c r="CG432" s="40"/>
      <c r="CH432" s="40"/>
      <c r="CI432" s="40"/>
      <c r="CJ432" s="40"/>
      <c r="CK432" s="40"/>
      <c r="CL432" s="40"/>
      <c r="CM432" s="40"/>
      <c r="CN432" s="40"/>
      <c r="CO432" s="40"/>
      <c r="CP432" s="40"/>
      <c r="CQ432" s="40"/>
      <c r="CR432" s="40"/>
      <c r="CS432" s="40"/>
      <c r="CT432" s="40"/>
      <c r="CU432" s="40"/>
      <c r="CV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  <c r="BW433" s="40"/>
      <c r="BX433" s="40"/>
      <c r="BY433" s="40"/>
      <c r="BZ433" s="40"/>
      <c r="CA433" s="40"/>
      <c r="CB433" s="40"/>
      <c r="CC433" s="40"/>
      <c r="CD433" s="40"/>
      <c r="CE433" s="40"/>
      <c r="CF433" s="40"/>
      <c r="CG433" s="40"/>
      <c r="CH433" s="40"/>
      <c r="CI433" s="40"/>
      <c r="CJ433" s="40"/>
      <c r="CK433" s="40"/>
      <c r="CL433" s="40"/>
      <c r="CM433" s="40"/>
      <c r="CN433" s="40"/>
      <c r="CO433" s="40"/>
      <c r="CP433" s="40"/>
      <c r="CQ433" s="40"/>
      <c r="CR433" s="40"/>
      <c r="CS433" s="40"/>
      <c r="CT433" s="40"/>
      <c r="CU433" s="40"/>
      <c r="CV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  <c r="BW434" s="40"/>
      <c r="BX434" s="40"/>
      <c r="BY434" s="40"/>
      <c r="BZ434" s="40"/>
      <c r="CA434" s="40"/>
      <c r="CB434" s="40"/>
      <c r="CC434" s="40"/>
      <c r="CD434" s="40"/>
      <c r="CE434" s="40"/>
      <c r="CF434" s="40"/>
      <c r="CG434" s="40"/>
      <c r="CH434" s="40"/>
      <c r="CI434" s="40"/>
      <c r="CJ434" s="40"/>
      <c r="CK434" s="40"/>
      <c r="CL434" s="40"/>
      <c r="CM434" s="40"/>
      <c r="CN434" s="40"/>
      <c r="CO434" s="40"/>
      <c r="CP434" s="40"/>
      <c r="CQ434" s="40"/>
      <c r="CR434" s="40"/>
      <c r="CS434" s="40"/>
      <c r="CT434" s="40"/>
      <c r="CU434" s="40"/>
      <c r="CV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  <c r="BW435" s="40"/>
      <c r="BX435" s="40"/>
      <c r="BY435" s="40"/>
      <c r="BZ435" s="40"/>
      <c r="CA435" s="40"/>
      <c r="CB435" s="40"/>
      <c r="CC435" s="40"/>
      <c r="CD435" s="40"/>
      <c r="CE435" s="40"/>
      <c r="CF435" s="40"/>
      <c r="CG435" s="40"/>
      <c r="CH435" s="40"/>
      <c r="CI435" s="40"/>
      <c r="CJ435" s="40"/>
      <c r="CK435" s="40"/>
      <c r="CL435" s="40"/>
      <c r="CM435" s="40"/>
      <c r="CN435" s="40"/>
      <c r="CO435" s="40"/>
      <c r="CP435" s="40"/>
      <c r="CQ435" s="40"/>
      <c r="CR435" s="40"/>
      <c r="CS435" s="40"/>
      <c r="CT435" s="40"/>
      <c r="CU435" s="40"/>
      <c r="CV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  <c r="BW436" s="40"/>
      <c r="BX436" s="40"/>
      <c r="BY436" s="40"/>
      <c r="BZ436" s="40"/>
      <c r="CA436" s="40"/>
      <c r="CB436" s="40"/>
      <c r="CC436" s="40"/>
      <c r="CD436" s="40"/>
      <c r="CE436" s="40"/>
      <c r="CF436" s="40"/>
      <c r="CG436" s="40"/>
      <c r="CH436" s="40"/>
      <c r="CI436" s="40"/>
      <c r="CJ436" s="40"/>
      <c r="CK436" s="40"/>
      <c r="CL436" s="40"/>
      <c r="CM436" s="40"/>
      <c r="CN436" s="40"/>
      <c r="CO436" s="40"/>
      <c r="CP436" s="40"/>
      <c r="CQ436" s="40"/>
      <c r="CR436" s="40"/>
      <c r="CS436" s="40"/>
      <c r="CT436" s="40"/>
      <c r="CU436" s="40"/>
      <c r="CV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  <c r="BU437" s="40"/>
      <c r="BV437" s="40"/>
      <c r="BW437" s="40"/>
      <c r="BX437" s="40"/>
      <c r="BY437" s="40"/>
      <c r="BZ437" s="40"/>
      <c r="CA437" s="40"/>
      <c r="CB437" s="40"/>
      <c r="CC437" s="40"/>
      <c r="CD437" s="40"/>
      <c r="CE437" s="40"/>
      <c r="CF437" s="40"/>
      <c r="CG437" s="40"/>
      <c r="CH437" s="40"/>
      <c r="CI437" s="40"/>
      <c r="CJ437" s="40"/>
      <c r="CK437" s="40"/>
      <c r="CL437" s="40"/>
      <c r="CM437" s="40"/>
      <c r="CN437" s="40"/>
      <c r="CO437" s="40"/>
      <c r="CP437" s="40"/>
      <c r="CQ437" s="40"/>
      <c r="CR437" s="40"/>
      <c r="CS437" s="40"/>
      <c r="CT437" s="40"/>
      <c r="CU437" s="40"/>
      <c r="CV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  <c r="BU438" s="40"/>
      <c r="BV438" s="40"/>
      <c r="BW438" s="40"/>
      <c r="BX438" s="40"/>
      <c r="BY438" s="40"/>
      <c r="BZ438" s="40"/>
      <c r="CA438" s="40"/>
      <c r="CB438" s="40"/>
      <c r="CC438" s="40"/>
      <c r="CD438" s="40"/>
      <c r="CE438" s="40"/>
      <c r="CF438" s="40"/>
      <c r="CG438" s="40"/>
      <c r="CH438" s="40"/>
      <c r="CI438" s="40"/>
      <c r="CJ438" s="40"/>
      <c r="CK438" s="40"/>
      <c r="CL438" s="40"/>
      <c r="CM438" s="40"/>
      <c r="CN438" s="40"/>
      <c r="CO438" s="40"/>
      <c r="CP438" s="40"/>
      <c r="CQ438" s="40"/>
      <c r="CR438" s="40"/>
      <c r="CS438" s="40"/>
      <c r="CT438" s="40"/>
      <c r="CU438" s="40"/>
      <c r="CV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  <c r="BW439" s="40"/>
      <c r="BX439" s="40"/>
      <c r="BY439" s="40"/>
      <c r="BZ439" s="40"/>
      <c r="CA439" s="40"/>
      <c r="CB439" s="40"/>
      <c r="CC439" s="40"/>
      <c r="CD439" s="40"/>
      <c r="CE439" s="40"/>
      <c r="CF439" s="40"/>
      <c r="CG439" s="40"/>
      <c r="CH439" s="40"/>
      <c r="CI439" s="40"/>
      <c r="CJ439" s="40"/>
      <c r="CK439" s="40"/>
      <c r="CL439" s="40"/>
      <c r="CM439" s="40"/>
      <c r="CN439" s="40"/>
      <c r="CO439" s="40"/>
      <c r="CP439" s="40"/>
      <c r="CQ439" s="40"/>
      <c r="CR439" s="40"/>
      <c r="CS439" s="40"/>
      <c r="CT439" s="40"/>
      <c r="CU439" s="40"/>
      <c r="CV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  <c r="BW440" s="40"/>
      <c r="BX440" s="40"/>
      <c r="BY440" s="40"/>
      <c r="BZ440" s="40"/>
      <c r="CA440" s="40"/>
      <c r="CB440" s="40"/>
      <c r="CC440" s="40"/>
      <c r="CD440" s="40"/>
      <c r="CE440" s="40"/>
      <c r="CF440" s="40"/>
      <c r="CG440" s="40"/>
      <c r="CH440" s="40"/>
      <c r="CI440" s="40"/>
      <c r="CJ440" s="40"/>
      <c r="CK440" s="40"/>
      <c r="CL440" s="40"/>
      <c r="CM440" s="40"/>
      <c r="CN440" s="40"/>
      <c r="CO440" s="40"/>
      <c r="CP440" s="40"/>
      <c r="CQ440" s="40"/>
      <c r="CR440" s="40"/>
      <c r="CS440" s="40"/>
      <c r="CT440" s="40"/>
      <c r="CU440" s="40"/>
      <c r="CV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  <c r="BW441" s="40"/>
      <c r="BX441" s="40"/>
      <c r="BY441" s="40"/>
      <c r="BZ441" s="40"/>
      <c r="CA441" s="40"/>
      <c r="CB441" s="40"/>
      <c r="CC441" s="40"/>
      <c r="CD441" s="40"/>
      <c r="CE441" s="40"/>
      <c r="CF441" s="40"/>
      <c r="CG441" s="40"/>
      <c r="CH441" s="40"/>
      <c r="CI441" s="40"/>
      <c r="CJ441" s="40"/>
      <c r="CK441" s="40"/>
      <c r="CL441" s="40"/>
      <c r="CM441" s="40"/>
      <c r="CN441" s="40"/>
      <c r="CO441" s="40"/>
      <c r="CP441" s="40"/>
      <c r="CQ441" s="40"/>
      <c r="CR441" s="40"/>
      <c r="CS441" s="40"/>
      <c r="CT441" s="40"/>
      <c r="CU441" s="40"/>
      <c r="CV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  <c r="BU442" s="40"/>
      <c r="BV442" s="40"/>
      <c r="BW442" s="40"/>
      <c r="BX442" s="40"/>
      <c r="BY442" s="40"/>
      <c r="BZ442" s="40"/>
      <c r="CA442" s="40"/>
      <c r="CB442" s="40"/>
      <c r="CC442" s="40"/>
      <c r="CD442" s="40"/>
      <c r="CE442" s="40"/>
      <c r="CF442" s="40"/>
      <c r="CG442" s="40"/>
      <c r="CH442" s="40"/>
      <c r="CI442" s="40"/>
      <c r="CJ442" s="40"/>
      <c r="CK442" s="40"/>
      <c r="CL442" s="40"/>
      <c r="CM442" s="40"/>
      <c r="CN442" s="40"/>
      <c r="CO442" s="40"/>
      <c r="CP442" s="40"/>
      <c r="CQ442" s="40"/>
      <c r="CR442" s="40"/>
      <c r="CS442" s="40"/>
      <c r="CT442" s="40"/>
      <c r="CU442" s="40"/>
      <c r="CV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  <c r="BU443" s="40"/>
      <c r="BV443" s="40"/>
      <c r="BW443" s="40"/>
      <c r="BX443" s="40"/>
      <c r="BY443" s="40"/>
      <c r="BZ443" s="40"/>
      <c r="CA443" s="40"/>
      <c r="CB443" s="40"/>
      <c r="CC443" s="40"/>
      <c r="CD443" s="40"/>
      <c r="CE443" s="40"/>
      <c r="CF443" s="40"/>
      <c r="CG443" s="40"/>
      <c r="CH443" s="40"/>
      <c r="CI443" s="40"/>
      <c r="CJ443" s="40"/>
      <c r="CK443" s="40"/>
      <c r="CL443" s="40"/>
      <c r="CM443" s="40"/>
      <c r="CN443" s="40"/>
      <c r="CO443" s="40"/>
      <c r="CP443" s="40"/>
      <c r="CQ443" s="40"/>
      <c r="CR443" s="40"/>
      <c r="CS443" s="40"/>
      <c r="CT443" s="40"/>
      <c r="CU443" s="40"/>
      <c r="CV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  <c r="BW444" s="40"/>
      <c r="BX444" s="40"/>
      <c r="BY444" s="40"/>
      <c r="BZ444" s="40"/>
      <c r="CA444" s="40"/>
      <c r="CB444" s="40"/>
      <c r="CC444" s="40"/>
      <c r="CD444" s="40"/>
      <c r="CE444" s="40"/>
      <c r="CF444" s="40"/>
      <c r="CG444" s="40"/>
      <c r="CH444" s="40"/>
      <c r="CI444" s="40"/>
      <c r="CJ444" s="40"/>
      <c r="CK444" s="40"/>
      <c r="CL444" s="40"/>
      <c r="CM444" s="40"/>
      <c r="CN444" s="40"/>
      <c r="CO444" s="40"/>
      <c r="CP444" s="40"/>
      <c r="CQ444" s="40"/>
      <c r="CR444" s="40"/>
      <c r="CS444" s="40"/>
      <c r="CT444" s="40"/>
      <c r="CU444" s="40"/>
      <c r="CV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  <c r="BW445" s="40"/>
      <c r="BX445" s="40"/>
      <c r="BY445" s="40"/>
      <c r="BZ445" s="40"/>
      <c r="CA445" s="40"/>
      <c r="CB445" s="40"/>
      <c r="CC445" s="40"/>
      <c r="CD445" s="40"/>
      <c r="CE445" s="40"/>
      <c r="CF445" s="40"/>
      <c r="CG445" s="40"/>
      <c r="CH445" s="40"/>
      <c r="CI445" s="40"/>
      <c r="CJ445" s="40"/>
      <c r="CK445" s="40"/>
      <c r="CL445" s="40"/>
      <c r="CM445" s="40"/>
      <c r="CN445" s="40"/>
      <c r="CO445" s="40"/>
      <c r="CP445" s="40"/>
      <c r="CQ445" s="40"/>
      <c r="CR445" s="40"/>
      <c r="CS445" s="40"/>
      <c r="CT445" s="40"/>
      <c r="CU445" s="40"/>
      <c r="CV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  <c r="BU446" s="40"/>
      <c r="BV446" s="40"/>
      <c r="BW446" s="40"/>
      <c r="BX446" s="40"/>
      <c r="BY446" s="40"/>
      <c r="BZ446" s="40"/>
      <c r="CA446" s="40"/>
      <c r="CB446" s="40"/>
      <c r="CC446" s="40"/>
      <c r="CD446" s="40"/>
      <c r="CE446" s="40"/>
      <c r="CF446" s="40"/>
      <c r="CG446" s="40"/>
      <c r="CH446" s="40"/>
      <c r="CI446" s="40"/>
      <c r="CJ446" s="40"/>
      <c r="CK446" s="40"/>
      <c r="CL446" s="40"/>
      <c r="CM446" s="40"/>
      <c r="CN446" s="40"/>
      <c r="CO446" s="40"/>
      <c r="CP446" s="40"/>
      <c r="CQ446" s="40"/>
      <c r="CR446" s="40"/>
      <c r="CS446" s="40"/>
      <c r="CT446" s="40"/>
      <c r="CU446" s="40"/>
      <c r="CV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  <c r="BW447" s="40"/>
      <c r="BX447" s="40"/>
      <c r="BY447" s="40"/>
      <c r="BZ447" s="40"/>
      <c r="CA447" s="40"/>
      <c r="CB447" s="40"/>
      <c r="CC447" s="40"/>
      <c r="CD447" s="40"/>
      <c r="CE447" s="40"/>
      <c r="CF447" s="40"/>
      <c r="CG447" s="40"/>
      <c r="CH447" s="40"/>
      <c r="CI447" s="40"/>
      <c r="CJ447" s="40"/>
      <c r="CK447" s="40"/>
      <c r="CL447" s="40"/>
      <c r="CM447" s="40"/>
      <c r="CN447" s="40"/>
      <c r="CO447" s="40"/>
      <c r="CP447" s="40"/>
      <c r="CQ447" s="40"/>
      <c r="CR447" s="40"/>
      <c r="CS447" s="40"/>
      <c r="CT447" s="40"/>
      <c r="CU447" s="40"/>
      <c r="CV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  <c r="BW448" s="40"/>
      <c r="BX448" s="40"/>
      <c r="BY448" s="40"/>
      <c r="BZ448" s="40"/>
      <c r="CA448" s="40"/>
      <c r="CB448" s="40"/>
      <c r="CC448" s="40"/>
      <c r="CD448" s="40"/>
      <c r="CE448" s="40"/>
      <c r="CF448" s="40"/>
      <c r="CG448" s="40"/>
      <c r="CH448" s="40"/>
      <c r="CI448" s="40"/>
      <c r="CJ448" s="40"/>
      <c r="CK448" s="40"/>
      <c r="CL448" s="40"/>
      <c r="CM448" s="40"/>
      <c r="CN448" s="40"/>
      <c r="CO448" s="40"/>
      <c r="CP448" s="40"/>
      <c r="CQ448" s="40"/>
      <c r="CR448" s="40"/>
      <c r="CS448" s="40"/>
      <c r="CT448" s="40"/>
      <c r="CU448" s="40"/>
      <c r="CV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  <c r="BW449" s="40"/>
      <c r="BX449" s="40"/>
      <c r="BY449" s="40"/>
      <c r="BZ449" s="40"/>
      <c r="CA449" s="40"/>
      <c r="CB449" s="40"/>
      <c r="CC449" s="40"/>
      <c r="CD449" s="40"/>
      <c r="CE449" s="40"/>
      <c r="CF449" s="40"/>
      <c r="CG449" s="40"/>
      <c r="CH449" s="40"/>
      <c r="CI449" s="40"/>
      <c r="CJ449" s="40"/>
      <c r="CK449" s="40"/>
      <c r="CL449" s="40"/>
      <c r="CM449" s="40"/>
      <c r="CN449" s="40"/>
      <c r="CO449" s="40"/>
      <c r="CP449" s="40"/>
      <c r="CQ449" s="40"/>
      <c r="CR449" s="40"/>
      <c r="CS449" s="40"/>
      <c r="CT449" s="40"/>
      <c r="CU449" s="40"/>
      <c r="CV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  <c r="BW450" s="40"/>
      <c r="BX450" s="40"/>
      <c r="BY450" s="40"/>
      <c r="BZ450" s="40"/>
      <c r="CA450" s="40"/>
      <c r="CB450" s="40"/>
      <c r="CC450" s="40"/>
      <c r="CD450" s="40"/>
      <c r="CE450" s="40"/>
      <c r="CF450" s="40"/>
      <c r="CG450" s="40"/>
      <c r="CH450" s="40"/>
      <c r="CI450" s="40"/>
      <c r="CJ450" s="40"/>
      <c r="CK450" s="40"/>
      <c r="CL450" s="40"/>
      <c r="CM450" s="40"/>
      <c r="CN450" s="40"/>
      <c r="CO450" s="40"/>
      <c r="CP450" s="40"/>
      <c r="CQ450" s="40"/>
      <c r="CR450" s="40"/>
      <c r="CS450" s="40"/>
      <c r="CT450" s="40"/>
      <c r="CU450" s="40"/>
      <c r="CV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  <c r="BU451" s="40"/>
      <c r="BV451" s="40"/>
      <c r="BW451" s="40"/>
      <c r="BX451" s="40"/>
      <c r="BY451" s="40"/>
      <c r="BZ451" s="40"/>
      <c r="CA451" s="40"/>
      <c r="CB451" s="40"/>
      <c r="CC451" s="40"/>
      <c r="CD451" s="40"/>
      <c r="CE451" s="40"/>
      <c r="CF451" s="40"/>
      <c r="CG451" s="40"/>
      <c r="CH451" s="40"/>
      <c r="CI451" s="40"/>
      <c r="CJ451" s="40"/>
      <c r="CK451" s="40"/>
      <c r="CL451" s="40"/>
      <c r="CM451" s="40"/>
      <c r="CN451" s="40"/>
      <c r="CO451" s="40"/>
      <c r="CP451" s="40"/>
      <c r="CQ451" s="40"/>
      <c r="CR451" s="40"/>
      <c r="CS451" s="40"/>
      <c r="CT451" s="40"/>
      <c r="CU451" s="40"/>
      <c r="CV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  <c r="BW452" s="40"/>
      <c r="BX452" s="40"/>
      <c r="BY452" s="40"/>
      <c r="BZ452" s="40"/>
      <c r="CA452" s="40"/>
      <c r="CB452" s="40"/>
      <c r="CC452" s="40"/>
      <c r="CD452" s="40"/>
      <c r="CE452" s="40"/>
      <c r="CF452" s="40"/>
      <c r="CG452" s="40"/>
      <c r="CH452" s="40"/>
      <c r="CI452" s="40"/>
      <c r="CJ452" s="40"/>
      <c r="CK452" s="40"/>
      <c r="CL452" s="40"/>
      <c r="CM452" s="40"/>
      <c r="CN452" s="40"/>
      <c r="CO452" s="40"/>
      <c r="CP452" s="40"/>
      <c r="CQ452" s="40"/>
      <c r="CR452" s="40"/>
      <c r="CS452" s="40"/>
      <c r="CT452" s="40"/>
      <c r="CU452" s="40"/>
      <c r="CV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  <c r="BU453" s="40"/>
      <c r="BV453" s="40"/>
      <c r="BW453" s="40"/>
      <c r="BX453" s="40"/>
      <c r="BY453" s="40"/>
      <c r="BZ453" s="40"/>
      <c r="CA453" s="40"/>
      <c r="CB453" s="40"/>
      <c r="CC453" s="40"/>
      <c r="CD453" s="40"/>
      <c r="CE453" s="40"/>
      <c r="CF453" s="40"/>
      <c r="CG453" s="40"/>
      <c r="CH453" s="40"/>
      <c r="CI453" s="40"/>
      <c r="CJ453" s="40"/>
      <c r="CK453" s="40"/>
      <c r="CL453" s="40"/>
      <c r="CM453" s="40"/>
      <c r="CN453" s="40"/>
      <c r="CO453" s="40"/>
      <c r="CP453" s="40"/>
      <c r="CQ453" s="40"/>
      <c r="CR453" s="40"/>
      <c r="CS453" s="40"/>
      <c r="CT453" s="40"/>
      <c r="CU453" s="40"/>
      <c r="CV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  <c r="BW454" s="40"/>
      <c r="BX454" s="40"/>
      <c r="BY454" s="40"/>
      <c r="BZ454" s="40"/>
      <c r="CA454" s="40"/>
      <c r="CB454" s="40"/>
      <c r="CC454" s="40"/>
      <c r="CD454" s="40"/>
      <c r="CE454" s="40"/>
      <c r="CF454" s="40"/>
      <c r="CG454" s="40"/>
      <c r="CH454" s="40"/>
      <c r="CI454" s="40"/>
      <c r="CJ454" s="40"/>
      <c r="CK454" s="40"/>
      <c r="CL454" s="40"/>
      <c r="CM454" s="40"/>
      <c r="CN454" s="40"/>
      <c r="CO454" s="40"/>
      <c r="CP454" s="40"/>
      <c r="CQ454" s="40"/>
      <c r="CR454" s="40"/>
      <c r="CS454" s="40"/>
      <c r="CT454" s="40"/>
      <c r="CU454" s="40"/>
      <c r="CV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  <c r="BW455" s="40"/>
      <c r="BX455" s="40"/>
      <c r="BY455" s="40"/>
      <c r="BZ455" s="40"/>
      <c r="CA455" s="40"/>
      <c r="CB455" s="40"/>
      <c r="CC455" s="40"/>
      <c r="CD455" s="40"/>
      <c r="CE455" s="40"/>
      <c r="CF455" s="40"/>
      <c r="CG455" s="40"/>
      <c r="CH455" s="40"/>
      <c r="CI455" s="40"/>
      <c r="CJ455" s="40"/>
      <c r="CK455" s="40"/>
      <c r="CL455" s="40"/>
      <c r="CM455" s="40"/>
      <c r="CN455" s="40"/>
      <c r="CO455" s="40"/>
      <c r="CP455" s="40"/>
      <c r="CQ455" s="40"/>
      <c r="CR455" s="40"/>
      <c r="CS455" s="40"/>
      <c r="CT455" s="40"/>
      <c r="CU455" s="40"/>
      <c r="CV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  <c r="BW456" s="40"/>
      <c r="BX456" s="40"/>
      <c r="BY456" s="40"/>
      <c r="BZ456" s="40"/>
      <c r="CA456" s="40"/>
      <c r="CB456" s="40"/>
      <c r="CC456" s="40"/>
      <c r="CD456" s="40"/>
      <c r="CE456" s="40"/>
      <c r="CF456" s="40"/>
      <c r="CG456" s="40"/>
      <c r="CH456" s="40"/>
      <c r="CI456" s="40"/>
      <c r="CJ456" s="40"/>
      <c r="CK456" s="40"/>
      <c r="CL456" s="40"/>
      <c r="CM456" s="40"/>
      <c r="CN456" s="40"/>
      <c r="CO456" s="40"/>
      <c r="CP456" s="40"/>
      <c r="CQ456" s="40"/>
      <c r="CR456" s="40"/>
      <c r="CS456" s="40"/>
      <c r="CT456" s="40"/>
      <c r="CU456" s="40"/>
      <c r="CV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  <c r="BW457" s="40"/>
      <c r="BX457" s="40"/>
      <c r="BY457" s="40"/>
      <c r="BZ457" s="40"/>
      <c r="CA457" s="40"/>
      <c r="CB457" s="40"/>
      <c r="CC457" s="40"/>
      <c r="CD457" s="40"/>
      <c r="CE457" s="40"/>
      <c r="CF457" s="40"/>
      <c r="CG457" s="40"/>
      <c r="CH457" s="40"/>
      <c r="CI457" s="40"/>
      <c r="CJ457" s="40"/>
      <c r="CK457" s="40"/>
      <c r="CL457" s="40"/>
      <c r="CM457" s="40"/>
      <c r="CN457" s="40"/>
      <c r="CO457" s="40"/>
      <c r="CP457" s="40"/>
      <c r="CQ457" s="40"/>
      <c r="CR457" s="40"/>
      <c r="CS457" s="40"/>
      <c r="CT457" s="40"/>
      <c r="CU457" s="40"/>
      <c r="CV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  <c r="BW458" s="40"/>
      <c r="BX458" s="40"/>
      <c r="BY458" s="40"/>
      <c r="BZ458" s="40"/>
      <c r="CA458" s="40"/>
      <c r="CB458" s="40"/>
      <c r="CC458" s="40"/>
      <c r="CD458" s="40"/>
      <c r="CE458" s="40"/>
      <c r="CF458" s="40"/>
      <c r="CG458" s="40"/>
      <c r="CH458" s="40"/>
      <c r="CI458" s="40"/>
      <c r="CJ458" s="40"/>
      <c r="CK458" s="40"/>
      <c r="CL458" s="40"/>
      <c r="CM458" s="40"/>
      <c r="CN458" s="40"/>
      <c r="CO458" s="40"/>
      <c r="CP458" s="40"/>
      <c r="CQ458" s="40"/>
      <c r="CR458" s="40"/>
      <c r="CS458" s="40"/>
      <c r="CT458" s="40"/>
      <c r="CU458" s="40"/>
      <c r="CV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  <c r="BW459" s="40"/>
      <c r="BX459" s="40"/>
      <c r="BY459" s="40"/>
      <c r="BZ459" s="40"/>
      <c r="CA459" s="40"/>
      <c r="CB459" s="40"/>
      <c r="CC459" s="40"/>
      <c r="CD459" s="40"/>
      <c r="CE459" s="40"/>
      <c r="CF459" s="40"/>
      <c r="CG459" s="40"/>
      <c r="CH459" s="40"/>
      <c r="CI459" s="40"/>
      <c r="CJ459" s="40"/>
      <c r="CK459" s="40"/>
      <c r="CL459" s="40"/>
      <c r="CM459" s="40"/>
      <c r="CN459" s="40"/>
      <c r="CO459" s="40"/>
      <c r="CP459" s="40"/>
      <c r="CQ459" s="40"/>
      <c r="CR459" s="40"/>
      <c r="CS459" s="40"/>
      <c r="CT459" s="40"/>
      <c r="CU459" s="40"/>
      <c r="CV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  <c r="BW460" s="40"/>
      <c r="BX460" s="40"/>
      <c r="BY460" s="40"/>
      <c r="BZ460" s="40"/>
      <c r="CA460" s="40"/>
      <c r="CB460" s="40"/>
      <c r="CC460" s="40"/>
      <c r="CD460" s="40"/>
      <c r="CE460" s="40"/>
      <c r="CF460" s="40"/>
      <c r="CG460" s="40"/>
      <c r="CH460" s="40"/>
      <c r="CI460" s="40"/>
      <c r="CJ460" s="40"/>
      <c r="CK460" s="40"/>
      <c r="CL460" s="40"/>
      <c r="CM460" s="40"/>
      <c r="CN460" s="40"/>
      <c r="CO460" s="40"/>
      <c r="CP460" s="40"/>
      <c r="CQ460" s="40"/>
      <c r="CR460" s="40"/>
      <c r="CS460" s="40"/>
      <c r="CT460" s="40"/>
      <c r="CU460" s="40"/>
      <c r="CV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  <c r="BW461" s="40"/>
      <c r="BX461" s="40"/>
      <c r="BY461" s="40"/>
      <c r="BZ461" s="40"/>
      <c r="CA461" s="40"/>
      <c r="CB461" s="40"/>
      <c r="CC461" s="40"/>
      <c r="CD461" s="40"/>
      <c r="CE461" s="40"/>
      <c r="CF461" s="40"/>
      <c r="CG461" s="40"/>
      <c r="CH461" s="40"/>
      <c r="CI461" s="40"/>
      <c r="CJ461" s="40"/>
      <c r="CK461" s="40"/>
      <c r="CL461" s="40"/>
      <c r="CM461" s="40"/>
      <c r="CN461" s="40"/>
      <c r="CO461" s="40"/>
      <c r="CP461" s="40"/>
      <c r="CQ461" s="40"/>
      <c r="CR461" s="40"/>
      <c r="CS461" s="40"/>
      <c r="CT461" s="40"/>
      <c r="CU461" s="40"/>
      <c r="CV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  <c r="BW462" s="40"/>
      <c r="BX462" s="40"/>
      <c r="BY462" s="40"/>
      <c r="BZ462" s="40"/>
      <c r="CA462" s="40"/>
      <c r="CB462" s="40"/>
      <c r="CC462" s="40"/>
      <c r="CD462" s="40"/>
      <c r="CE462" s="40"/>
      <c r="CF462" s="40"/>
      <c r="CG462" s="40"/>
      <c r="CH462" s="40"/>
      <c r="CI462" s="40"/>
      <c r="CJ462" s="40"/>
      <c r="CK462" s="40"/>
      <c r="CL462" s="40"/>
      <c r="CM462" s="40"/>
      <c r="CN462" s="40"/>
      <c r="CO462" s="40"/>
      <c r="CP462" s="40"/>
      <c r="CQ462" s="40"/>
      <c r="CR462" s="40"/>
      <c r="CS462" s="40"/>
      <c r="CT462" s="40"/>
      <c r="CU462" s="40"/>
      <c r="CV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  <c r="BW463" s="40"/>
      <c r="BX463" s="40"/>
      <c r="BY463" s="40"/>
      <c r="BZ463" s="40"/>
      <c r="CA463" s="40"/>
      <c r="CB463" s="40"/>
      <c r="CC463" s="40"/>
      <c r="CD463" s="40"/>
      <c r="CE463" s="40"/>
      <c r="CF463" s="40"/>
      <c r="CG463" s="40"/>
      <c r="CH463" s="40"/>
      <c r="CI463" s="40"/>
      <c r="CJ463" s="40"/>
      <c r="CK463" s="40"/>
      <c r="CL463" s="40"/>
      <c r="CM463" s="40"/>
      <c r="CN463" s="40"/>
      <c r="CO463" s="40"/>
      <c r="CP463" s="40"/>
      <c r="CQ463" s="40"/>
      <c r="CR463" s="40"/>
      <c r="CS463" s="40"/>
      <c r="CT463" s="40"/>
      <c r="CU463" s="40"/>
      <c r="CV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  <c r="BW464" s="40"/>
      <c r="BX464" s="40"/>
      <c r="BY464" s="40"/>
      <c r="BZ464" s="40"/>
      <c r="CA464" s="40"/>
      <c r="CB464" s="40"/>
      <c r="CC464" s="40"/>
      <c r="CD464" s="40"/>
      <c r="CE464" s="40"/>
      <c r="CF464" s="40"/>
      <c r="CG464" s="40"/>
      <c r="CH464" s="40"/>
      <c r="CI464" s="40"/>
      <c r="CJ464" s="40"/>
      <c r="CK464" s="40"/>
      <c r="CL464" s="40"/>
      <c r="CM464" s="40"/>
      <c r="CN464" s="40"/>
      <c r="CO464" s="40"/>
      <c r="CP464" s="40"/>
      <c r="CQ464" s="40"/>
      <c r="CR464" s="40"/>
      <c r="CS464" s="40"/>
      <c r="CT464" s="40"/>
      <c r="CU464" s="40"/>
      <c r="CV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  <c r="BW465" s="40"/>
      <c r="BX465" s="40"/>
      <c r="BY465" s="40"/>
      <c r="BZ465" s="40"/>
      <c r="CA465" s="40"/>
      <c r="CB465" s="40"/>
      <c r="CC465" s="40"/>
      <c r="CD465" s="40"/>
      <c r="CE465" s="40"/>
      <c r="CF465" s="40"/>
      <c r="CG465" s="40"/>
      <c r="CH465" s="40"/>
      <c r="CI465" s="40"/>
      <c r="CJ465" s="40"/>
      <c r="CK465" s="40"/>
      <c r="CL465" s="40"/>
      <c r="CM465" s="40"/>
      <c r="CN465" s="40"/>
      <c r="CO465" s="40"/>
      <c r="CP465" s="40"/>
      <c r="CQ465" s="40"/>
      <c r="CR465" s="40"/>
      <c r="CS465" s="40"/>
      <c r="CT465" s="40"/>
      <c r="CU465" s="40"/>
      <c r="CV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  <c r="BW466" s="40"/>
      <c r="BX466" s="40"/>
      <c r="BY466" s="40"/>
      <c r="BZ466" s="40"/>
      <c r="CA466" s="40"/>
      <c r="CB466" s="40"/>
      <c r="CC466" s="40"/>
      <c r="CD466" s="40"/>
      <c r="CE466" s="40"/>
      <c r="CF466" s="40"/>
      <c r="CG466" s="40"/>
      <c r="CH466" s="40"/>
      <c r="CI466" s="40"/>
      <c r="CJ466" s="40"/>
      <c r="CK466" s="40"/>
      <c r="CL466" s="40"/>
      <c r="CM466" s="40"/>
      <c r="CN466" s="40"/>
      <c r="CO466" s="40"/>
      <c r="CP466" s="40"/>
      <c r="CQ466" s="40"/>
      <c r="CR466" s="40"/>
      <c r="CS466" s="40"/>
      <c r="CT466" s="40"/>
      <c r="CU466" s="40"/>
      <c r="CV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  <c r="BW467" s="40"/>
      <c r="BX467" s="40"/>
      <c r="BY467" s="40"/>
      <c r="BZ467" s="40"/>
      <c r="CA467" s="40"/>
      <c r="CB467" s="40"/>
      <c r="CC467" s="40"/>
      <c r="CD467" s="40"/>
      <c r="CE467" s="40"/>
      <c r="CF467" s="40"/>
      <c r="CG467" s="40"/>
      <c r="CH467" s="40"/>
      <c r="CI467" s="40"/>
      <c r="CJ467" s="40"/>
      <c r="CK467" s="40"/>
      <c r="CL467" s="40"/>
      <c r="CM467" s="40"/>
      <c r="CN467" s="40"/>
      <c r="CO467" s="40"/>
      <c r="CP467" s="40"/>
      <c r="CQ467" s="40"/>
      <c r="CR467" s="40"/>
      <c r="CS467" s="40"/>
      <c r="CT467" s="40"/>
      <c r="CU467" s="40"/>
      <c r="CV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  <c r="BW468" s="40"/>
      <c r="BX468" s="40"/>
      <c r="BY468" s="40"/>
      <c r="BZ468" s="40"/>
      <c r="CA468" s="40"/>
      <c r="CB468" s="40"/>
      <c r="CC468" s="40"/>
      <c r="CD468" s="40"/>
      <c r="CE468" s="40"/>
      <c r="CF468" s="40"/>
      <c r="CG468" s="40"/>
      <c r="CH468" s="40"/>
      <c r="CI468" s="40"/>
      <c r="CJ468" s="40"/>
      <c r="CK468" s="40"/>
      <c r="CL468" s="40"/>
      <c r="CM468" s="40"/>
      <c r="CN468" s="40"/>
      <c r="CO468" s="40"/>
      <c r="CP468" s="40"/>
      <c r="CQ468" s="40"/>
      <c r="CR468" s="40"/>
      <c r="CS468" s="40"/>
      <c r="CT468" s="40"/>
      <c r="CU468" s="40"/>
      <c r="CV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  <c r="BW469" s="40"/>
      <c r="BX469" s="40"/>
      <c r="BY469" s="40"/>
      <c r="BZ469" s="40"/>
      <c r="CA469" s="40"/>
      <c r="CB469" s="40"/>
      <c r="CC469" s="40"/>
      <c r="CD469" s="40"/>
      <c r="CE469" s="40"/>
      <c r="CF469" s="40"/>
      <c r="CG469" s="40"/>
      <c r="CH469" s="40"/>
      <c r="CI469" s="40"/>
      <c r="CJ469" s="40"/>
      <c r="CK469" s="40"/>
      <c r="CL469" s="40"/>
      <c r="CM469" s="40"/>
      <c r="CN469" s="40"/>
      <c r="CO469" s="40"/>
      <c r="CP469" s="40"/>
      <c r="CQ469" s="40"/>
      <c r="CR469" s="40"/>
      <c r="CS469" s="40"/>
      <c r="CT469" s="40"/>
      <c r="CU469" s="40"/>
      <c r="CV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  <c r="BW470" s="40"/>
      <c r="BX470" s="40"/>
      <c r="BY470" s="40"/>
      <c r="BZ470" s="40"/>
      <c r="CA470" s="40"/>
      <c r="CB470" s="40"/>
      <c r="CC470" s="40"/>
      <c r="CD470" s="40"/>
      <c r="CE470" s="40"/>
      <c r="CF470" s="40"/>
      <c r="CG470" s="40"/>
      <c r="CH470" s="40"/>
      <c r="CI470" s="40"/>
      <c r="CJ470" s="40"/>
      <c r="CK470" s="40"/>
      <c r="CL470" s="40"/>
      <c r="CM470" s="40"/>
      <c r="CN470" s="40"/>
      <c r="CO470" s="40"/>
      <c r="CP470" s="40"/>
      <c r="CQ470" s="40"/>
      <c r="CR470" s="40"/>
      <c r="CS470" s="40"/>
      <c r="CT470" s="40"/>
      <c r="CU470" s="40"/>
      <c r="CV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  <c r="BW471" s="40"/>
      <c r="BX471" s="40"/>
      <c r="BY471" s="40"/>
      <c r="BZ471" s="40"/>
      <c r="CA471" s="40"/>
      <c r="CB471" s="40"/>
      <c r="CC471" s="40"/>
      <c r="CD471" s="40"/>
      <c r="CE471" s="40"/>
      <c r="CF471" s="40"/>
      <c r="CG471" s="40"/>
      <c r="CH471" s="40"/>
      <c r="CI471" s="40"/>
      <c r="CJ471" s="40"/>
      <c r="CK471" s="40"/>
      <c r="CL471" s="40"/>
      <c r="CM471" s="40"/>
      <c r="CN471" s="40"/>
      <c r="CO471" s="40"/>
      <c r="CP471" s="40"/>
      <c r="CQ471" s="40"/>
      <c r="CR471" s="40"/>
      <c r="CS471" s="40"/>
      <c r="CT471" s="40"/>
      <c r="CU471" s="40"/>
      <c r="CV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  <c r="BW472" s="40"/>
      <c r="BX472" s="40"/>
      <c r="BY472" s="40"/>
      <c r="BZ472" s="40"/>
      <c r="CA472" s="40"/>
      <c r="CB472" s="40"/>
      <c r="CC472" s="40"/>
      <c r="CD472" s="40"/>
      <c r="CE472" s="40"/>
      <c r="CF472" s="40"/>
      <c r="CG472" s="40"/>
      <c r="CH472" s="40"/>
      <c r="CI472" s="40"/>
      <c r="CJ472" s="40"/>
      <c r="CK472" s="40"/>
      <c r="CL472" s="40"/>
      <c r="CM472" s="40"/>
      <c r="CN472" s="40"/>
      <c r="CO472" s="40"/>
      <c r="CP472" s="40"/>
      <c r="CQ472" s="40"/>
      <c r="CR472" s="40"/>
      <c r="CS472" s="40"/>
      <c r="CT472" s="40"/>
      <c r="CU472" s="40"/>
      <c r="CV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  <c r="BW473" s="40"/>
      <c r="BX473" s="40"/>
      <c r="BY473" s="40"/>
      <c r="BZ473" s="40"/>
      <c r="CA473" s="40"/>
      <c r="CB473" s="40"/>
      <c r="CC473" s="40"/>
      <c r="CD473" s="40"/>
      <c r="CE473" s="40"/>
      <c r="CF473" s="40"/>
      <c r="CG473" s="40"/>
      <c r="CH473" s="40"/>
      <c r="CI473" s="40"/>
      <c r="CJ473" s="40"/>
      <c r="CK473" s="40"/>
      <c r="CL473" s="40"/>
      <c r="CM473" s="40"/>
      <c r="CN473" s="40"/>
      <c r="CO473" s="40"/>
      <c r="CP473" s="40"/>
      <c r="CQ473" s="40"/>
      <c r="CR473" s="40"/>
      <c r="CS473" s="40"/>
      <c r="CT473" s="40"/>
      <c r="CU473" s="40"/>
      <c r="CV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  <c r="BW474" s="40"/>
      <c r="BX474" s="40"/>
      <c r="BY474" s="40"/>
      <c r="BZ474" s="40"/>
      <c r="CA474" s="40"/>
      <c r="CB474" s="40"/>
      <c r="CC474" s="40"/>
      <c r="CD474" s="40"/>
      <c r="CE474" s="40"/>
      <c r="CF474" s="40"/>
      <c r="CG474" s="40"/>
      <c r="CH474" s="40"/>
      <c r="CI474" s="40"/>
      <c r="CJ474" s="40"/>
      <c r="CK474" s="40"/>
      <c r="CL474" s="40"/>
      <c r="CM474" s="40"/>
      <c r="CN474" s="40"/>
      <c r="CO474" s="40"/>
      <c r="CP474" s="40"/>
      <c r="CQ474" s="40"/>
      <c r="CR474" s="40"/>
      <c r="CS474" s="40"/>
      <c r="CT474" s="40"/>
      <c r="CU474" s="40"/>
      <c r="CV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  <c r="BW475" s="40"/>
      <c r="BX475" s="40"/>
      <c r="BY475" s="40"/>
      <c r="BZ475" s="40"/>
      <c r="CA475" s="40"/>
      <c r="CB475" s="40"/>
      <c r="CC475" s="40"/>
      <c r="CD475" s="40"/>
      <c r="CE475" s="40"/>
      <c r="CF475" s="40"/>
      <c r="CG475" s="40"/>
      <c r="CH475" s="40"/>
      <c r="CI475" s="40"/>
      <c r="CJ475" s="40"/>
      <c r="CK475" s="40"/>
      <c r="CL475" s="40"/>
      <c r="CM475" s="40"/>
      <c r="CN475" s="40"/>
      <c r="CO475" s="40"/>
      <c r="CP475" s="40"/>
      <c r="CQ475" s="40"/>
      <c r="CR475" s="40"/>
      <c r="CS475" s="40"/>
      <c r="CT475" s="40"/>
      <c r="CU475" s="40"/>
      <c r="CV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  <c r="BW476" s="40"/>
      <c r="BX476" s="40"/>
      <c r="BY476" s="40"/>
      <c r="BZ476" s="40"/>
      <c r="CA476" s="40"/>
      <c r="CB476" s="40"/>
      <c r="CC476" s="40"/>
      <c r="CD476" s="40"/>
      <c r="CE476" s="40"/>
      <c r="CF476" s="40"/>
      <c r="CG476" s="40"/>
      <c r="CH476" s="40"/>
      <c r="CI476" s="40"/>
      <c r="CJ476" s="40"/>
      <c r="CK476" s="40"/>
      <c r="CL476" s="40"/>
      <c r="CM476" s="40"/>
      <c r="CN476" s="40"/>
      <c r="CO476" s="40"/>
      <c r="CP476" s="40"/>
      <c r="CQ476" s="40"/>
      <c r="CR476" s="40"/>
      <c r="CS476" s="40"/>
      <c r="CT476" s="40"/>
      <c r="CU476" s="40"/>
      <c r="CV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  <c r="BW477" s="40"/>
      <c r="BX477" s="40"/>
      <c r="BY477" s="40"/>
      <c r="BZ477" s="40"/>
      <c r="CA477" s="40"/>
      <c r="CB477" s="40"/>
      <c r="CC477" s="40"/>
      <c r="CD477" s="40"/>
      <c r="CE477" s="40"/>
      <c r="CF477" s="40"/>
      <c r="CG477" s="40"/>
      <c r="CH477" s="40"/>
      <c r="CI477" s="40"/>
      <c r="CJ477" s="40"/>
      <c r="CK477" s="40"/>
      <c r="CL477" s="40"/>
      <c r="CM477" s="40"/>
      <c r="CN477" s="40"/>
      <c r="CO477" s="40"/>
      <c r="CP477" s="40"/>
      <c r="CQ477" s="40"/>
      <c r="CR477" s="40"/>
      <c r="CS477" s="40"/>
      <c r="CT477" s="40"/>
      <c r="CU477" s="40"/>
      <c r="CV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  <c r="BW478" s="40"/>
      <c r="BX478" s="40"/>
      <c r="BY478" s="40"/>
      <c r="BZ478" s="40"/>
      <c r="CA478" s="40"/>
      <c r="CB478" s="40"/>
      <c r="CC478" s="40"/>
      <c r="CD478" s="40"/>
      <c r="CE478" s="40"/>
      <c r="CF478" s="40"/>
      <c r="CG478" s="40"/>
      <c r="CH478" s="40"/>
      <c r="CI478" s="40"/>
      <c r="CJ478" s="40"/>
      <c r="CK478" s="40"/>
      <c r="CL478" s="40"/>
      <c r="CM478" s="40"/>
      <c r="CN478" s="40"/>
      <c r="CO478" s="40"/>
      <c r="CP478" s="40"/>
      <c r="CQ478" s="40"/>
      <c r="CR478" s="40"/>
      <c r="CS478" s="40"/>
      <c r="CT478" s="40"/>
      <c r="CU478" s="40"/>
      <c r="CV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  <c r="BW479" s="40"/>
      <c r="BX479" s="40"/>
      <c r="BY479" s="40"/>
      <c r="BZ479" s="40"/>
      <c r="CA479" s="40"/>
      <c r="CB479" s="40"/>
      <c r="CC479" s="40"/>
      <c r="CD479" s="40"/>
      <c r="CE479" s="40"/>
      <c r="CF479" s="40"/>
      <c r="CG479" s="40"/>
      <c r="CH479" s="40"/>
      <c r="CI479" s="40"/>
      <c r="CJ479" s="40"/>
      <c r="CK479" s="40"/>
      <c r="CL479" s="40"/>
      <c r="CM479" s="40"/>
      <c r="CN479" s="40"/>
      <c r="CO479" s="40"/>
      <c r="CP479" s="40"/>
      <c r="CQ479" s="40"/>
      <c r="CR479" s="40"/>
      <c r="CS479" s="40"/>
      <c r="CT479" s="40"/>
      <c r="CU479" s="40"/>
      <c r="CV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  <c r="BW480" s="40"/>
      <c r="BX480" s="40"/>
      <c r="BY480" s="40"/>
      <c r="BZ480" s="40"/>
      <c r="CA480" s="40"/>
      <c r="CB480" s="40"/>
      <c r="CC480" s="40"/>
      <c r="CD480" s="40"/>
      <c r="CE480" s="40"/>
      <c r="CF480" s="40"/>
      <c r="CG480" s="40"/>
      <c r="CH480" s="40"/>
      <c r="CI480" s="40"/>
      <c r="CJ480" s="40"/>
      <c r="CK480" s="40"/>
      <c r="CL480" s="40"/>
      <c r="CM480" s="40"/>
      <c r="CN480" s="40"/>
      <c r="CO480" s="40"/>
      <c r="CP480" s="40"/>
      <c r="CQ480" s="40"/>
      <c r="CR480" s="40"/>
      <c r="CS480" s="40"/>
      <c r="CT480" s="40"/>
      <c r="CU480" s="40"/>
      <c r="CV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  <c r="BW481" s="40"/>
      <c r="BX481" s="40"/>
      <c r="BY481" s="40"/>
      <c r="BZ481" s="40"/>
      <c r="CA481" s="40"/>
      <c r="CB481" s="40"/>
      <c r="CC481" s="40"/>
      <c r="CD481" s="40"/>
      <c r="CE481" s="40"/>
      <c r="CF481" s="40"/>
      <c r="CG481" s="40"/>
      <c r="CH481" s="40"/>
      <c r="CI481" s="40"/>
      <c r="CJ481" s="40"/>
      <c r="CK481" s="40"/>
      <c r="CL481" s="40"/>
      <c r="CM481" s="40"/>
      <c r="CN481" s="40"/>
      <c r="CO481" s="40"/>
      <c r="CP481" s="40"/>
      <c r="CQ481" s="40"/>
      <c r="CR481" s="40"/>
      <c r="CS481" s="40"/>
      <c r="CT481" s="40"/>
      <c r="CU481" s="40"/>
      <c r="CV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  <c r="BW482" s="40"/>
      <c r="BX482" s="40"/>
      <c r="BY482" s="40"/>
      <c r="BZ482" s="40"/>
      <c r="CA482" s="40"/>
      <c r="CB482" s="40"/>
      <c r="CC482" s="40"/>
      <c r="CD482" s="40"/>
      <c r="CE482" s="40"/>
      <c r="CF482" s="40"/>
      <c r="CG482" s="40"/>
      <c r="CH482" s="40"/>
      <c r="CI482" s="40"/>
      <c r="CJ482" s="40"/>
      <c r="CK482" s="40"/>
      <c r="CL482" s="40"/>
      <c r="CM482" s="40"/>
      <c r="CN482" s="40"/>
      <c r="CO482" s="40"/>
      <c r="CP482" s="40"/>
      <c r="CQ482" s="40"/>
      <c r="CR482" s="40"/>
      <c r="CS482" s="40"/>
      <c r="CT482" s="40"/>
      <c r="CU482" s="40"/>
      <c r="CV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  <c r="BW483" s="40"/>
      <c r="BX483" s="40"/>
      <c r="BY483" s="40"/>
      <c r="BZ483" s="40"/>
      <c r="CA483" s="40"/>
      <c r="CB483" s="40"/>
      <c r="CC483" s="40"/>
      <c r="CD483" s="40"/>
      <c r="CE483" s="40"/>
      <c r="CF483" s="40"/>
      <c r="CG483" s="40"/>
      <c r="CH483" s="40"/>
      <c r="CI483" s="40"/>
      <c r="CJ483" s="40"/>
      <c r="CK483" s="40"/>
      <c r="CL483" s="40"/>
      <c r="CM483" s="40"/>
      <c r="CN483" s="40"/>
      <c r="CO483" s="40"/>
      <c r="CP483" s="40"/>
      <c r="CQ483" s="40"/>
      <c r="CR483" s="40"/>
      <c r="CS483" s="40"/>
      <c r="CT483" s="40"/>
      <c r="CU483" s="40"/>
      <c r="CV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  <c r="BW484" s="40"/>
      <c r="BX484" s="40"/>
      <c r="BY484" s="40"/>
      <c r="BZ484" s="40"/>
      <c r="CA484" s="40"/>
      <c r="CB484" s="40"/>
      <c r="CC484" s="40"/>
      <c r="CD484" s="40"/>
      <c r="CE484" s="40"/>
      <c r="CF484" s="40"/>
      <c r="CG484" s="40"/>
      <c r="CH484" s="40"/>
      <c r="CI484" s="40"/>
      <c r="CJ484" s="40"/>
      <c r="CK484" s="40"/>
      <c r="CL484" s="40"/>
      <c r="CM484" s="40"/>
      <c r="CN484" s="40"/>
      <c r="CO484" s="40"/>
      <c r="CP484" s="40"/>
      <c r="CQ484" s="40"/>
      <c r="CR484" s="40"/>
      <c r="CS484" s="40"/>
      <c r="CT484" s="40"/>
      <c r="CU484" s="40"/>
      <c r="CV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  <c r="BW485" s="40"/>
      <c r="BX485" s="40"/>
      <c r="BY485" s="40"/>
      <c r="BZ485" s="40"/>
      <c r="CA485" s="40"/>
      <c r="CB485" s="40"/>
      <c r="CC485" s="40"/>
      <c r="CD485" s="40"/>
      <c r="CE485" s="40"/>
      <c r="CF485" s="40"/>
      <c r="CG485" s="40"/>
      <c r="CH485" s="40"/>
      <c r="CI485" s="40"/>
      <c r="CJ485" s="40"/>
      <c r="CK485" s="40"/>
      <c r="CL485" s="40"/>
      <c r="CM485" s="40"/>
      <c r="CN485" s="40"/>
      <c r="CO485" s="40"/>
      <c r="CP485" s="40"/>
      <c r="CQ485" s="40"/>
      <c r="CR485" s="40"/>
      <c r="CS485" s="40"/>
      <c r="CT485" s="40"/>
      <c r="CU485" s="40"/>
      <c r="CV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  <c r="BW486" s="40"/>
      <c r="BX486" s="40"/>
      <c r="BY486" s="40"/>
      <c r="BZ486" s="40"/>
      <c r="CA486" s="40"/>
      <c r="CB486" s="40"/>
      <c r="CC486" s="40"/>
      <c r="CD486" s="40"/>
      <c r="CE486" s="40"/>
      <c r="CF486" s="40"/>
      <c r="CG486" s="40"/>
      <c r="CH486" s="40"/>
      <c r="CI486" s="40"/>
      <c r="CJ486" s="40"/>
      <c r="CK486" s="40"/>
      <c r="CL486" s="40"/>
      <c r="CM486" s="40"/>
      <c r="CN486" s="40"/>
      <c r="CO486" s="40"/>
      <c r="CP486" s="40"/>
      <c r="CQ486" s="40"/>
      <c r="CR486" s="40"/>
      <c r="CS486" s="40"/>
      <c r="CT486" s="40"/>
      <c r="CU486" s="40"/>
      <c r="CV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  <c r="BW487" s="40"/>
      <c r="BX487" s="40"/>
      <c r="BY487" s="40"/>
      <c r="BZ487" s="40"/>
      <c r="CA487" s="40"/>
      <c r="CB487" s="40"/>
      <c r="CC487" s="40"/>
      <c r="CD487" s="40"/>
      <c r="CE487" s="40"/>
      <c r="CF487" s="40"/>
      <c r="CG487" s="40"/>
      <c r="CH487" s="40"/>
      <c r="CI487" s="40"/>
      <c r="CJ487" s="40"/>
      <c r="CK487" s="40"/>
      <c r="CL487" s="40"/>
      <c r="CM487" s="40"/>
      <c r="CN487" s="40"/>
      <c r="CO487" s="40"/>
      <c r="CP487" s="40"/>
      <c r="CQ487" s="40"/>
      <c r="CR487" s="40"/>
      <c r="CS487" s="40"/>
      <c r="CT487" s="40"/>
      <c r="CU487" s="40"/>
      <c r="CV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  <c r="BW488" s="40"/>
      <c r="BX488" s="40"/>
      <c r="BY488" s="40"/>
      <c r="BZ488" s="40"/>
      <c r="CA488" s="40"/>
      <c r="CB488" s="40"/>
      <c r="CC488" s="40"/>
      <c r="CD488" s="40"/>
      <c r="CE488" s="40"/>
      <c r="CF488" s="40"/>
      <c r="CG488" s="40"/>
      <c r="CH488" s="40"/>
      <c r="CI488" s="40"/>
      <c r="CJ488" s="40"/>
      <c r="CK488" s="40"/>
      <c r="CL488" s="40"/>
      <c r="CM488" s="40"/>
      <c r="CN488" s="40"/>
      <c r="CO488" s="40"/>
      <c r="CP488" s="40"/>
      <c r="CQ488" s="40"/>
      <c r="CR488" s="40"/>
      <c r="CS488" s="40"/>
      <c r="CT488" s="40"/>
      <c r="CU488" s="40"/>
      <c r="CV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  <c r="BW489" s="40"/>
      <c r="BX489" s="40"/>
      <c r="BY489" s="40"/>
      <c r="BZ489" s="40"/>
      <c r="CA489" s="40"/>
      <c r="CB489" s="40"/>
      <c r="CC489" s="40"/>
      <c r="CD489" s="40"/>
      <c r="CE489" s="40"/>
      <c r="CF489" s="40"/>
      <c r="CG489" s="40"/>
      <c r="CH489" s="40"/>
      <c r="CI489" s="40"/>
      <c r="CJ489" s="40"/>
      <c r="CK489" s="40"/>
      <c r="CL489" s="40"/>
      <c r="CM489" s="40"/>
      <c r="CN489" s="40"/>
      <c r="CO489" s="40"/>
      <c r="CP489" s="40"/>
      <c r="CQ489" s="40"/>
      <c r="CR489" s="40"/>
      <c r="CS489" s="40"/>
      <c r="CT489" s="40"/>
      <c r="CU489" s="40"/>
      <c r="CV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  <c r="BW490" s="40"/>
      <c r="BX490" s="40"/>
      <c r="BY490" s="40"/>
      <c r="BZ490" s="40"/>
      <c r="CA490" s="40"/>
      <c r="CB490" s="40"/>
      <c r="CC490" s="40"/>
      <c r="CD490" s="40"/>
      <c r="CE490" s="40"/>
      <c r="CF490" s="40"/>
      <c r="CG490" s="40"/>
      <c r="CH490" s="40"/>
      <c r="CI490" s="40"/>
      <c r="CJ490" s="40"/>
      <c r="CK490" s="40"/>
      <c r="CL490" s="40"/>
      <c r="CM490" s="40"/>
      <c r="CN490" s="40"/>
      <c r="CO490" s="40"/>
      <c r="CP490" s="40"/>
      <c r="CQ490" s="40"/>
      <c r="CR490" s="40"/>
      <c r="CS490" s="40"/>
      <c r="CT490" s="40"/>
      <c r="CU490" s="40"/>
      <c r="CV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  <c r="BW491" s="40"/>
      <c r="BX491" s="40"/>
      <c r="BY491" s="40"/>
      <c r="BZ491" s="40"/>
      <c r="CA491" s="40"/>
      <c r="CB491" s="40"/>
      <c r="CC491" s="40"/>
      <c r="CD491" s="40"/>
      <c r="CE491" s="40"/>
      <c r="CF491" s="40"/>
      <c r="CG491" s="40"/>
      <c r="CH491" s="40"/>
      <c r="CI491" s="40"/>
      <c r="CJ491" s="40"/>
      <c r="CK491" s="40"/>
      <c r="CL491" s="40"/>
      <c r="CM491" s="40"/>
      <c r="CN491" s="40"/>
      <c r="CO491" s="40"/>
      <c r="CP491" s="40"/>
      <c r="CQ491" s="40"/>
      <c r="CR491" s="40"/>
      <c r="CS491" s="40"/>
      <c r="CT491" s="40"/>
      <c r="CU491" s="40"/>
      <c r="CV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  <c r="BW492" s="40"/>
      <c r="BX492" s="40"/>
      <c r="BY492" s="40"/>
      <c r="BZ492" s="40"/>
      <c r="CA492" s="40"/>
      <c r="CB492" s="40"/>
      <c r="CC492" s="40"/>
      <c r="CD492" s="40"/>
      <c r="CE492" s="40"/>
      <c r="CF492" s="40"/>
      <c r="CG492" s="40"/>
      <c r="CH492" s="40"/>
      <c r="CI492" s="40"/>
      <c r="CJ492" s="40"/>
      <c r="CK492" s="40"/>
      <c r="CL492" s="40"/>
      <c r="CM492" s="40"/>
      <c r="CN492" s="40"/>
      <c r="CO492" s="40"/>
      <c r="CP492" s="40"/>
      <c r="CQ492" s="40"/>
      <c r="CR492" s="40"/>
      <c r="CS492" s="40"/>
      <c r="CT492" s="40"/>
      <c r="CU492" s="40"/>
      <c r="CV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  <c r="BW493" s="40"/>
      <c r="BX493" s="40"/>
      <c r="BY493" s="40"/>
      <c r="BZ493" s="40"/>
      <c r="CA493" s="40"/>
      <c r="CB493" s="40"/>
      <c r="CC493" s="40"/>
      <c r="CD493" s="40"/>
      <c r="CE493" s="40"/>
      <c r="CF493" s="40"/>
      <c r="CG493" s="40"/>
      <c r="CH493" s="40"/>
      <c r="CI493" s="40"/>
      <c r="CJ493" s="40"/>
      <c r="CK493" s="40"/>
      <c r="CL493" s="40"/>
      <c r="CM493" s="40"/>
      <c r="CN493" s="40"/>
      <c r="CO493" s="40"/>
      <c r="CP493" s="40"/>
      <c r="CQ493" s="40"/>
      <c r="CR493" s="40"/>
      <c r="CS493" s="40"/>
      <c r="CT493" s="40"/>
      <c r="CU493" s="40"/>
      <c r="CV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  <c r="BW494" s="40"/>
      <c r="BX494" s="40"/>
      <c r="BY494" s="40"/>
      <c r="BZ494" s="40"/>
      <c r="CA494" s="40"/>
      <c r="CB494" s="40"/>
      <c r="CC494" s="40"/>
      <c r="CD494" s="40"/>
      <c r="CE494" s="40"/>
      <c r="CF494" s="40"/>
      <c r="CG494" s="40"/>
      <c r="CH494" s="40"/>
      <c r="CI494" s="40"/>
      <c r="CJ494" s="40"/>
      <c r="CK494" s="40"/>
      <c r="CL494" s="40"/>
      <c r="CM494" s="40"/>
      <c r="CN494" s="40"/>
      <c r="CO494" s="40"/>
      <c r="CP494" s="40"/>
      <c r="CQ494" s="40"/>
      <c r="CR494" s="40"/>
      <c r="CS494" s="40"/>
      <c r="CT494" s="40"/>
      <c r="CU494" s="40"/>
      <c r="CV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  <c r="BW495" s="40"/>
      <c r="BX495" s="40"/>
      <c r="BY495" s="40"/>
      <c r="BZ495" s="40"/>
      <c r="CA495" s="40"/>
      <c r="CB495" s="40"/>
      <c r="CC495" s="40"/>
      <c r="CD495" s="40"/>
      <c r="CE495" s="40"/>
      <c r="CF495" s="40"/>
      <c r="CG495" s="40"/>
      <c r="CH495" s="40"/>
      <c r="CI495" s="40"/>
      <c r="CJ495" s="40"/>
      <c r="CK495" s="40"/>
      <c r="CL495" s="40"/>
      <c r="CM495" s="40"/>
      <c r="CN495" s="40"/>
      <c r="CO495" s="40"/>
      <c r="CP495" s="40"/>
      <c r="CQ495" s="40"/>
      <c r="CR495" s="40"/>
      <c r="CS495" s="40"/>
      <c r="CT495" s="40"/>
      <c r="CU495" s="40"/>
      <c r="CV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  <c r="BW496" s="40"/>
      <c r="BX496" s="40"/>
      <c r="BY496" s="40"/>
      <c r="BZ496" s="40"/>
      <c r="CA496" s="40"/>
      <c r="CB496" s="40"/>
      <c r="CC496" s="40"/>
      <c r="CD496" s="40"/>
      <c r="CE496" s="40"/>
      <c r="CF496" s="40"/>
      <c r="CG496" s="40"/>
      <c r="CH496" s="40"/>
      <c r="CI496" s="40"/>
      <c r="CJ496" s="40"/>
      <c r="CK496" s="40"/>
      <c r="CL496" s="40"/>
      <c r="CM496" s="40"/>
      <c r="CN496" s="40"/>
      <c r="CO496" s="40"/>
      <c r="CP496" s="40"/>
      <c r="CQ496" s="40"/>
      <c r="CR496" s="40"/>
      <c r="CS496" s="40"/>
      <c r="CT496" s="40"/>
      <c r="CU496" s="40"/>
      <c r="CV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  <c r="BW497" s="40"/>
      <c r="BX497" s="40"/>
      <c r="BY497" s="40"/>
      <c r="BZ497" s="40"/>
      <c r="CA497" s="40"/>
      <c r="CB497" s="40"/>
      <c r="CC497" s="40"/>
      <c r="CD497" s="40"/>
      <c r="CE497" s="40"/>
      <c r="CF497" s="40"/>
      <c r="CG497" s="40"/>
      <c r="CH497" s="40"/>
      <c r="CI497" s="40"/>
      <c r="CJ497" s="40"/>
      <c r="CK497" s="40"/>
      <c r="CL497" s="40"/>
      <c r="CM497" s="40"/>
      <c r="CN497" s="40"/>
      <c r="CO497" s="40"/>
      <c r="CP497" s="40"/>
      <c r="CQ497" s="40"/>
      <c r="CR497" s="40"/>
      <c r="CS497" s="40"/>
      <c r="CT497" s="40"/>
      <c r="CU497" s="40"/>
      <c r="CV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  <c r="BW498" s="40"/>
      <c r="BX498" s="40"/>
      <c r="BY498" s="40"/>
      <c r="BZ498" s="40"/>
      <c r="CA498" s="40"/>
      <c r="CB498" s="40"/>
      <c r="CC498" s="40"/>
      <c r="CD498" s="40"/>
      <c r="CE498" s="40"/>
      <c r="CF498" s="40"/>
      <c r="CG498" s="40"/>
      <c r="CH498" s="40"/>
      <c r="CI498" s="40"/>
      <c r="CJ498" s="40"/>
      <c r="CK498" s="40"/>
      <c r="CL498" s="40"/>
      <c r="CM498" s="40"/>
      <c r="CN498" s="40"/>
      <c r="CO498" s="40"/>
      <c r="CP498" s="40"/>
      <c r="CQ498" s="40"/>
      <c r="CR498" s="40"/>
      <c r="CS498" s="40"/>
      <c r="CT498" s="40"/>
      <c r="CU498" s="40"/>
      <c r="CV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  <c r="BW499" s="40"/>
      <c r="BX499" s="40"/>
      <c r="BY499" s="40"/>
      <c r="BZ499" s="40"/>
      <c r="CA499" s="40"/>
      <c r="CB499" s="40"/>
      <c r="CC499" s="40"/>
      <c r="CD499" s="40"/>
      <c r="CE499" s="40"/>
      <c r="CF499" s="40"/>
      <c r="CG499" s="40"/>
      <c r="CH499" s="40"/>
      <c r="CI499" s="40"/>
      <c r="CJ499" s="40"/>
      <c r="CK499" s="40"/>
      <c r="CL499" s="40"/>
      <c r="CM499" s="40"/>
      <c r="CN499" s="40"/>
      <c r="CO499" s="40"/>
      <c r="CP499" s="40"/>
      <c r="CQ499" s="40"/>
      <c r="CR499" s="40"/>
      <c r="CS499" s="40"/>
      <c r="CT499" s="40"/>
      <c r="CU499" s="40"/>
      <c r="CV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  <c r="BW500" s="40"/>
      <c r="BX500" s="40"/>
      <c r="BY500" s="40"/>
      <c r="BZ500" s="40"/>
      <c r="CA500" s="40"/>
      <c r="CB500" s="40"/>
      <c r="CC500" s="40"/>
      <c r="CD500" s="40"/>
      <c r="CE500" s="40"/>
      <c r="CF500" s="40"/>
      <c r="CG500" s="40"/>
      <c r="CH500" s="40"/>
      <c r="CI500" s="40"/>
      <c r="CJ500" s="40"/>
      <c r="CK500" s="40"/>
      <c r="CL500" s="40"/>
      <c r="CM500" s="40"/>
      <c r="CN500" s="40"/>
      <c r="CO500" s="40"/>
      <c r="CP500" s="40"/>
      <c r="CQ500" s="40"/>
      <c r="CR500" s="40"/>
      <c r="CS500" s="40"/>
      <c r="CT500" s="40"/>
      <c r="CU500" s="40"/>
      <c r="CV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  <c r="BW501" s="40"/>
      <c r="BX501" s="40"/>
      <c r="BY501" s="40"/>
      <c r="BZ501" s="40"/>
      <c r="CA501" s="40"/>
      <c r="CB501" s="40"/>
      <c r="CC501" s="40"/>
      <c r="CD501" s="40"/>
      <c r="CE501" s="40"/>
      <c r="CF501" s="40"/>
      <c r="CG501" s="40"/>
      <c r="CH501" s="40"/>
      <c r="CI501" s="40"/>
      <c r="CJ501" s="40"/>
      <c r="CK501" s="40"/>
      <c r="CL501" s="40"/>
      <c r="CM501" s="40"/>
      <c r="CN501" s="40"/>
      <c r="CO501" s="40"/>
      <c r="CP501" s="40"/>
      <c r="CQ501" s="40"/>
      <c r="CR501" s="40"/>
      <c r="CS501" s="40"/>
      <c r="CT501" s="40"/>
      <c r="CU501" s="40"/>
      <c r="CV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  <c r="BW502" s="40"/>
      <c r="BX502" s="40"/>
      <c r="BY502" s="40"/>
      <c r="BZ502" s="40"/>
      <c r="CA502" s="40"/>
      <c r="CB502" s="40"/>
      <c r="CC502" s="40"/>
      <c r="CD502" s="40"/>
      <c r="CE502" s="40"/>
      <c r="CF502" s="40"/>
      <c r="CG502" s="40"/>
      <c r="CH502" s="40"/>
      <c r="CI502" s="40"/>
      <c r="CJ502" s="40"/>
      <c r="CK502" s="40"/>
      <c r="CL502" s="40"/>
      <c r="CM502" s="40"/>
      <c r="CN502" s="40"/>
      <c r="CO502" s="40"/>
      <c r="CP502" s="40"/>
      <c r="CQ502" s="40"/>
      <c r="CR502" s="40"/>
      <c r="CS502" s="40"/>
      <c r="CT502" s="40"/>
      <c r="CU502" s="40"/>
      <c r="CV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  <c r="BW503" s="40"/>
      <c r="BX503" s="40"/>
      <c r="BY503" s="40"/>
      <c r="BZ503" s="40"/>
      <c r="CA503" s="40"/>
      <c r="CB503" s="40"/>
      <c r="CC503" s="40"/>
      <c r="CD503" s="40"/>
      <c r="CE503" s="40"/>
      <c r="CF503" s="40"/>
      <c r="CG503" s="40"/>
      <c r="CH503" s="40"/>
      <c r="CI503" s="40"/>
      <c r="CJ503" s="40"/>
      <c r="CK503" s="40"/>
      <c r="CL503" s="40"/>
      <c r="CM503" s="40"/>
      <c r="CN503" s="40"/>
      <c r="CO503" s="40"/>
      <c r="CP503" s="40"/>
      <c r="CQ503" s="40"/>
      <c r="CR503" s="40"/>
      <c r="CS503" s="40"/>
      <c r="CT503" s="40"/>
      <c r="CU503" s="40"/>
      <c r="CV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  <c r="BW504" s="40"/>
      <c r="BX504" s="40"/>
      <c r="BY504" s="40"/>
      <c r="BZ504" s="40"/>
      <c r="CA504" s="40"/>
      <c r="CB504" s="40"/>
      <c r="CC504" s="40"/>
      <c r="CD504" s="40"/>
      <c r="CE504" s="40"/>
      <c r="CF504" s="40"/>
      <c r="CG504" s="40"/>
      <c r="CH504" s="40"/>
      <c r="CI504" s="40"/>
      <c r="CJ504" s="40"/>
      <c r="CK504" s="40"/>
      <c r="CL504" s="40"/>
      <c r="CM504" s="40"/>
      <c r="CN504" s="40"/>
      <c r="CO504" s="40"/>
      <c r="CP504" s="40"/>
      <c r="CQ504" s="40"/>
      <c r="CR504" s="40"/>
      <c r="CS504" s="40"/>
      <c r="CT504" s="40"/>
      <c r="CU504" s="40"/>
      <c r="CV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  <c r="BW505" s="40"/>
      <c r="BX505" s="40"/>
      <c r="BY505" s="40"/>
      <c r="BZ505" s="40"/>
      <c r="CA505" s="40"/>
      <c r="CB505" s="40"/>
      <c r="CC505" s="40"/>
      <c r="CD505" s="40"/>
      <c r="CE505" s="40"/>
      <c r="CF505" s="40"/>
      <c r="CG505" s="40"/>
      <c r="CH505" s="40"/>
      <c r="CI505" s="40"/>
      <c r="CJ505" s="40"/>
      <c r="CK505" s="40"/>
      <c r="CL505" s="40"/>
      <c r="CM505" s="40"/>
      <c r="CN505" s="40"/>
      <c r="CO505" s="40"/>
      <c r="CP505" s="40"/>
      <c r="CQ505" s="40"/>
      <c r="CR505" s="40"/>
      <c r="CS505" s="40"/>
      <c r="CT505" s="40"/>
      <c r="CU505" s="40"/>
      <c r="CV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  <c r="BW506" s="40"/>
      <c r="BX506" s="40"/>
      <c r="BY506" s="40"/>
      <c r="BZ506" s="40"/>
      <c r="CA506" s="40"/>
      <c r="CB506" s="40"/>
      <c r="CC506" s="40"/>
      <c r="CD506" s="40"/>
      <c r="CE506" s="40"/>
      <c r="CF506" s="40"/>
      <c r="CG506" s="40"/>
      <c r="CH506" s="40"/>
      <c r="CI506" s="40"/>
      <c r="CJ506" s="40"/>
      <c r="CK506" s="40"/>
      <c r="CL506" s="40"/>
      <c r="CM506" s="40"/>
      <c r="CN506" s="40"/>
      <c r="CO506" s="40"/>
      <c r="CP506" s="40"/>
      <c r="CQ506" s="40"/>
      <c r="CR506" s="40"/>
      <c r="CS506" s="40"/>
      <c r="CT506" s="40"/>
      <c r="CU506" s="40"/>
      <c r="CV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  <c r="BW507" s="40"/>
      <c r="BX507" s="40"/>
      <c r="BY507" s="40"/>
      <c r="BZ507" s="40"/>
      <c r="CA507" s="40"/>
      <c r="CB507" s="40"/>
      <c r="CC507" s="40"/>
      <c r="CD507" s="40"/>
      <c r="CE507" s="40"/>
      <c r="CF507" s="40"/>
      <c r="CG507" s="40"/>
      <c r="CH507" s="40"/>
      <c r="CI507" s="40"/>
      <c r="CJ507" s="40"/>
      <c r="CK507" s="40"/>
      <c r="CL507" s="40"/>
      <c r="CM507" s="40"/>
      <c r="CN507" s="40"/>
      <c r="CO507" s="40"/>
      <c r="CP507" s="40"/>
      <c r="CQ507" s="40"/>
      <c r="CR507" s="40"/>
      <c r="CS507" s="40"/>
      <c r="CT507" s="40"/>
      <c r="CU507" s="40"/>
      <c r="CV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  <c r="BW508" s="40"/>
      <c r="BX508" s="40"/>
      <c r="BY508" s="40"/>
      <c r="BZ508" s="40"/>
      <c r="CA508" s="40"/>
      <c r="CB508" s="40"/>
      <c r="CC508" s="40"/>
      <c r="CD508" s="40"/>
      <c r="CE508" s="40"/>
      <c r="CF508" s="40"/>
      <c r="CG508" s="40"/>
      <c r="CH508" s="40"/>
      <c r="CI508" s="40"/>
      <c r="CJ508" s="40"/>
      <c r="CK508" s="40"/>
      <c r="CL508" s="40"/>
      <c r="CM508" s="40"/>
      <c r="CN508" s="40"/>
      <c r="CO508" s="40"/>
      <c r="CP508" s="40"/>
      <c r="CQ508" s="40"/>
      <c r="CR508" s="40"/>
      <c r="CS508" s="40"/>
      <c r="CT508" s="40"/>
      <c r="CU508" s="40"/>
      <c r="CV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  <c r="BW509" s="40"/>
      <c r="BX509" s="40"/>
      <c r="BY509" s="40"/>
      <c r="BZ509" s="40"/>
      <c r="CA509" s="40"/>
      <c r="CB509" s="40"/>
      <c r="CC509" s="40"/>
      <c r="CD509" s="40"/>
      <c r="CE509" s="40"/>
      <c r="CF509" s="40"/>
      <c r="CG509" s="40"/>
      <c r="CH509" s="40"/>
      <c r="CI509" s="40"/>
      <c r="CJ509" s="40"/>
      <c r="CK509" s="40"/>
      <c r="CL509" s="40"/>
      <c r="CM509" s="40"/>
      <c r="CN509" s="40"/>
      <c r="CO509" s="40"/>
      <c r="CP509" s="40"/>
      <c r="CQ509" s="40"/>
      <c r="CR509" s="40"/>
      <c r="CS509" s="40"/>
      <c r="CT509" s="40"/>
      <c r="CU509" s="40"/>
      <c r="CV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  <c r="BW510" s="40"/>
      <c r="BX510" s="40"/>
      <c r="BY510" s="40"/>
      <c r="BZ510" s="40"/>
      <c r="CA510" s="40"/>
      <c r="CB510" s="40"/>
      <c r="CC510" s="40"/>
      <c r="CD510" s="40"/>
      <c r="CE510" s="40"/>
      <c r="CF510" s="40"/>
      <c r="CG510" s="40"/>
      <c r="CH510" s="40"/>
      <c r="CI510" s="40"/>
      <c r="CJ510" s="40"/>
      <c r="CK510" s="40"/>
      <c r="CL510" s="40"/>
      <c r="CM510" s="40"/>
      <c r="CN510" s="40"/>
      <c r="CO510" s="40"/>
      <c r="CP510" s="40"/>
      <c r="CQ510" s="40"/>
      <c r="CR510" s="40"/>
      <c r="CS510" s="40"/>
      <c r="CT510" s="40"/>
      <c r="CU510" s="40"/>
      <c r="CV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  <c r="BW511" s="40"/>
      <c r="BX511" s="40"/>
      <c r="BY511" s="40"/>
      <c r="BZ511" s="40"/>
      <c r="CA511" s="40"/>
      <c r="CB511" s="40"/>
      <c r="CC511" s="40"/>
      <c r="CD511" s="40"/>
      <c r="CE511" s="40"/>
      <c r="CF511" s="40"/>
      <c r="CG511" s="40"/>
      <c r="CH511" s="40"/>
      <c r="CI511" s="40"/>
      <c r="CJ511" s="40"/>
      <c r="CK511" s="40"/>
      <c r="CL511" s="40"/>
      <c r="CM511" s="40"/>
      <c r="CN511" s="40"/>
      <c r="CO511" s="40"/>
      <c r="CP511" s="40"/>
      <c r="CQ511" s="40"/>
      <c r="CR511" s="40"/>
      <c r="CS511" s="40"/>
      <c r="CT511" s="40"/>
      <c r="CU511" s="40"/>
      <c r="CV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  <c r="BW512" s="40"/>
      <c r="BX512" s="40"/>
      <c r="BY512" s="40"/>
      <c r="BZ512" s="40"/>
      <c r="CA512" s="40"/>
      <c r="CB512" s="40"/>
      <c r="CC512" s="40"/>
      <c r="CD512" s="40"/>
      <c r="CE512" s="40"/>
      <c r="CF512" s="40"/>
      <c r="CG512" s="40"/>
      <c r="CH512" s="40"/>
      <c r="CI512" s="40"/>
      <c r="CJ512" s="40"/>
      <c r="CK512" s="40"/>
      <c r="CL512" s="40"/>
      <c r="CM512" s="40"/>
      <c r="CN512" s="40"/>
      <c r="CO512" s="40"/>
      <c r="CP512" s="40"/>
      <c r="CQ512" s="40"/>
      <c r="CR512" s="40"/>
      <c r="CS512" s="40"/>
      <c r="CT512" s="40"/>
      <c r="CU512" s="40"/>
      <c r="CV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  <c r="BW513" s="40"/>
      <c r="BX513" s="40"/>
      <c r="BY513" s="40"/>
      <c r="BZ513" s="40"/>
      <c r="CA513" s="40"/>
      <c r="CB513" s="40"/>
      <c r="CC513" s="40"/>
      <c r="CD513" s="40"/>
      <c r="CE513" s="40"/>
      <c r="CF513" s="40"/>
      <c r="CG513" s="40"/>
      <c r="CH513" s="40"/>
      <c r="CI513" s="40"/>
      <c r="CJ513" s="40"/>
      <c r="CK513" s="40"/>
      <c r="CL513" s="40"/>
      <c r="CM513" s="40"/>
      <c r="CN513" s="40"/>
      <c r="CO513" s="40"/>
      <c r="CP513" s="40"/>
      <c r="CQ513" s="40"/>
      <c r="CR513" s="40"/>
      <c r="CS513" s="40"/>
      <c r="CT513" s="40"/>
      <c r="CU513" s="40"/>
      <c r="CV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  <c r="BW514" s="40"/>
      <c r="BX514" s="40"/>
      <c r="BY514" s="40"/>
      <c r="BZ514" s="40"/>
      <c r="CA514" s="40"/>
      <c r="CB514" s="40"/>
      <c r="CC514" s="40"/>
      <c r="CD514" s="40"/>
      <c r="CE514" s="40"/>
      <c r="CF514" s="40"/>
      <c r="CG514" s="40"/>
      <c r="CH514" s="40"/>
      <c r="CI514" s="40"/>
      <c r="CJ514" s="40"/>
      <c r="CK514" s="40"/>
      <c r="CL514" s="40"/>
      <c r="CM514" s="40"/>
      <c r="CN514" s="40"/>
      <c r="CO514" s="40"/>
      <c r="CP514" s="40"/>
      <c r="CQ514" s="40"/>
      <c r="CR514" s="40"/>
      <c r="CS514" s="40"/>
      <c r="CT514" s="40"/>
      <c r="CU514" s="40"/>
      <c r="CV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  <c r="BW515" s="40"/>
      <c r="BX515" s="40"/>
      <c r="BY515" s="40"/>
      <c r="BZ515" s="40"/>
      <c r="CA515" s="40"/>
      <c r="CB515" s="40"/>
      <c r="CC515" s="40"/>
      <c r="CD515" s="40"/>
      <c r="CE515" s="40"/>
      <c r="CF515" s="40"/>
      <c r="CG515" s="40"/>
      <c r="CH515" s="40"/>
      <c r="CI515" s="40"/>
      <c r="CJ515" s="40"/>
      <c r="CK515" s="40"/>
      <c r="CL515" s="40"/>
      <c r="CM515" s="40"/>
      <c r="CN515" s="40"/>
      <c r="CO515" s="40"/>
      <c r="CP515" s="40"/>
      <c r="CQ515" s="40"/>
      <c r="CR515" s="40"/>
      <c r="CS515" s="40"/>
      <c r="CT515" s="40"/>
      <c r="CU515" s="40"/>
      <c r="CV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  <c r="BW516" s="40"/>
      <c r="BX516" s="40"/>
      <c r="BY516" s="40"/>
      <c r="BZ516" s="40"/>
      <c r="CA516" s="40"/>
      <c r="CB516" s="40"/>
      <c r="CC516" s="40"/>
      <c r="CD516" s="40"/>
      <c r="CE516" s="40"/>
      <c r="CF516" s="40"/>
      <c r="CG516" s="40"/>
      <c r="CH516" s="40"/>
      <c r="CI516" s="40"/>
      <c r="CJ516" s="40"/>
      <c r="CK516" s="40"/>
      <c r="CL516" s="40"/>
      <c r="CM516" s="40"/>
      <c r="CN516" s="40"/>
      <c r="CO516" s="40"/>
      <c r="CP516" s="40"/>
      <c r="CQ516" s="40"/>
      <c r="CR516" s="40"/>
      <c r="CS516" s="40"/>
      <c r="CT516" s="40"/>
      <c r="CU516" s="40"/>
      <c r="CV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  <c r="BW517" s="40"/>
      <c r="BX517" s="40"/>
      <c r="BY517" s="40"/>
      <c r="BZ517" s="40"/>
      <c r="CA517" s="40"/>
      <c r="CB517" s="40"/>
      <c r="CC517" s="40"/>
      <c r="CD517" s="40"/>
      <c r="CE517" s="40"/>
      <c r="CF517" s="40"/>
      <c r="CG517" s="40"/>
      <c r="CH517" s="40"/>
      <c r="CI517" s="40"/>
      <c r="CJ517" s="40"/>
      <c r="CK517" s="40"/>
      <c r="CL517" s="40"/>
      <c r="CM517" s="40"/>
      <c r="CN517" s="40"/>
      <c r="CO517" s="40"/>
      <c r="CP517" s="40"/>
      <c r="CQ517" s="40"/>
      <c r="CR517" s="40"/>
      <c r="CS517" s="40"/>
      <c r="CT517" s="40"/>
      <c r="CU517" s="40"/>
      <c r="CV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  <c r="BW518" s="40"/>
      <c r="BX518" s="40"/>
      <c r="BY518" s="40"/>
      <c r="BZ518" s="40"/>
      <c r="CA518" s="40"/>
      <c r="CB518" s="40"/>
      <c r="CC518" s="40"/>
      <c r="CD518" s="40"/>
      <c r="CE518" s="40"/>
      <c r="CF518" s="40"/>
      <c r="CG518" s="40"/>
      <c r="CH518" s="40"/>
      <c r="CI518" s="40"/>
      <c r="CJ518" s="40"/>
      <c r="CK518" s="40"/>
      <c r="CL518" s="40"/>
      <c r="CM518" s="40"/>
      <c r="CN518" s="40"/>
      <c r="CO518" s="40"/>
      <c r="CP518" s="40"/>
      <c r="CQ518" s="40"/>
      <c r="CR518" s="40"/>
      <c r="CS518" s="40"/>
      <c r="CT518" s="40"/>
      <c r="CU518" s="40"/>
      <c r="CV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  <c r="BW519" s="40"/>
      <c r="BX519" s="40"/>
      <c r="BY519" s="40"/>
      <c r="BZ519" s="40"/>
      <c r="CA519" s="40"/>
      <c r="CB519" s="40"/>
      <c r="CC519" s="40"/>
      <c r="CD519" s="40"/>
      <c r="CE519" s="40"/>
      <c r="CF519" s="40"/>
      <c r="CG519" s="40"/>
      <c r="CH519" s="40"/>
      <c r="CI519" s="40"/>
      <c r="CJ519" s="40"/>
      <c r="CK519" s="40"/>
      <c r="CL519" s="40"/>
      <c r="CM519" s="40"/>
      <c r="CN519" s="40"/>
      <c r="CO519" s="40"/>
      <c r="CP519" s="40"/>
      <c r="CQ519" s="40"/>
      <c r="CR519" s="40"/>
      <c r="CS519" s="40"/>
      <c r="CT519" s="40"/>
      <c r="CU519" s="40"/>
      <c r="CV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  <c r="BW520" s="40"/>
      <c r="BX520" s="40"/>
      <c r="BY520" s="40"/>
      <c r="BZ520" s="40"/>
      <c r="CA520" s="40"/>
      <c r="CB520" s="40"/>
      <c r="CC520" s="40"/>
      <c r="CD520" s="40"/>
      <c r="CE520" s="40"/>
      <c r="CF520" s="40"/>
      <c r="CG520" s="40"/>
      <c r="CH520" s="40"/>
      <c r="CI520" s="40"/>
      <c r="CJ520" s="40"/>
      <c r="CK520" s="40"/>
      <c r="CL520" s="40"/>
      <c r="CM520" s="40"/>
      <c r="CN520" s="40"/>
      <c r="CO520" s="40"/>
      <c r="CP520" s="40"/>
      <c r="CQ520" s="40"/>
      <c r="CR520" s="40"/>
      <c r="CS520" s="40"/>
      <c r="CT520" s="40"/>
      <c r="CU520" s="40"/>
      <c r="CV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  <c r="BW521" s="40"/>
      <c r="BX521" s="40"/>
      <c r="BY521" s="40"/>
      <c r="BZ521" s="40"/>
      <c r="CA521" s="40"/>
      <c r="CB521" s="40"/>
      <c r="CC521" s="40"/>
      <c r="CD521" s="40"/>
      <c r="CE521" s="40"/>
      <c r="CF521" s="40"/>
      <c r="CG521" s="40"/>
      <c r="CH521" s="40"/>
      <c r="CI521" s="40"/>
      <c r="CJ521" s="40"/>
      <c r="CK521" s="40"/>
      <c r="CL521" s="40"/>
      <c r="CM521" s="40"/>
      <c r="CN521" s="40"/>
      <c r="CO521" s="40"/>
      <c r="CP521" s="40"/>
      <c r="CQ521" s="40"/>
      <c r="CR521" s="40"/>
      <c r="CS521" s="40"/>
      <c r="CT521" s="40"/>
      <c r="CU521" s="40"/>
      <c r="CV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  <c r="BW522" s="40"/>
      <c r="BX522" s="40"/>
      <c r="BY522" s="40"/>
      <c r="BZ522" s="40"/>
      <c r="CA522" s="40"/>
      <c r="CB522" s="40"/>
      <c r="CC522" s="40"/>
      <c r="CD522" s="40"/>
      <c r="CE522" s="40"/>
      <c r="CF522" s="40"/>
      <c r="CG522" s="40"/>
      <c r="CH522" s="40"/>
      <c r="CI522" s="40"/>
      <c r="CJ522" s="40"/>
      <c r="CK522" s="40"/>
      <c r="CL522" s="40"/>
      <c r="CM522" s="40"/>
      <c r="CN522" s="40"/>
      <c r="CO522" s="40"/>
      <c r="CP522" s="40"/>
      <c r="CQ522" s="40"/>
      <c r="CR522" s="40"/>
      <c r="CS522" s="40"/>
      <c r="CT522" s="40"/>
      <c r="CU522" s="40"/>
      <c r="CV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  <c r="BW523" s="40"/>
      <c r="BX523" s="40"/>
      <c r="BY523" s="40"/>
      <c r="BZ523" s="40"/>
      <c r="CA523" s="40"/>
      <c r="CB523" s="40"/>
      <c r="CC523" s="40"/>
      <c r="CD523" s="40"/>
      <c r="CE523" s="40"/>
      <c r="CF523" s="40"/>
      <c r="CG523" s="40"/>
      <c r="CH523" s="40"/>
      <c r="CI523" s="40"/>
      <c r="CJ523" s="40"/>
      <c r="CK523" s="40"/>
      <c r="CL523" s="40"/>
      <c r="CM523" s="40"/>
      <c r="CN523" s="40"/>
      <c r="CO523" s="40"/>
      <c r="CP523" s="40"/>
      <c r="CQ523" s="40"/>
      <c r="CR523" s="40"/>
      <c r="CS523" s="40"/>
      <c r="CT523" s="40"/>
      <c r="CU523" s="40"/>
      <c r="CV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  <c r="BW524" s="40"/>
      <c r="BX524" s="40"/>
      <c r="BY524" s="40"/>
      <c r="BZ524" s="40"/>
      <c r="CA524" s="40"/>
      <c r="CB524" s="40"/>
      <c r="CC524" s="40"/>
      <c r="CD524" s="40"/>
      <c r="CE524" s="40"/>
      <c r="CF524" s="40"/>
      <c r="CG524" s="40"/>
      <c r="CH524" s="40"/>
      <c r="CI524" s="40"/>
      <c r="CJ524" s="40"/>
      <c r="CK524" s="40"/>
      <c r="CL524" s="40"/>
      <c r="CM524" s="40"/>
      <c r="CN524" s="40"/>
      <c r="CO524" s="40"/>
      <c r="CP524" s="40"/>
      <c r="CQ524" s="40"/>
      <c r="CR524" s="40"/>
      <c r="CS524" s="40"/>
      <c r="CT524" s="40"/>
      <c r="CU524" s="40"/>
      <c r="CV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  <c r="BW525" s="40"/>
      <c r="BX525" s="40"/>
      <c r="BY525" s="40"/>
      <c r="BZ525" s="40"/>
      <c r="CA525" s="40"/>
      <c r="CB525" s="40"/>
      <c r="CC525" s="40"/>
      <c r="CD525" s="40"/>
      <c r="CE525" s="40"/>
      <c r="CF525" s="40"/>
      <c r="CG525" s="40"/>
      <c r="CH525" s="40"/>
      <c r="CI525" s="40"/>
      <c r="CJ525" s="40"/>
      <c r="CK525" s="40"/>
      <c r="CL525" s="40"/>
      <c r="CM525" s="40"/>
      <c r="CN525" s="40"/>
      <c r="CO525" s="40"/>
      <c r="CP525" s="40"/>
      <c r="CQ525" s="40"/>
      <c r="CR525" s="40"/>
      <c r="CS525" s="40"/>
      <c r="CT525" s="40"/>
      <c r="CU525" s="40"/>
      <c r="CV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  <c r="BW526" s="40"/>
      <c r="BX526" s="40"/>
      <c r="BY526" s="40"/>
      <c r="BZ526" s="40"/>
      <c r="CA526" s="40"/>
      <c r="CB526" s="40"/>
      <c r="CC526" s="40"/>
      <c r="CD526" s="40"/>
      <c r="CE526" s="40"/>
      <c r="CF526" s="40"/>
      <c r="CG526" s="40"/>
      <c r="CH526" s="40"/>
      <c r="CI526" s="40"/>
      <c r="CJ526" s="40"/>
      <c r="CK526" s="40"/>
      <c r="CL526" s="40"/>
      <c r="CM526" s="40"/>
      <c r="CN526" s="40"/>
      <c r="CO526" s="40"/>
      <c r="CP526" s="40"/>
      <c r="CQ526" s="40"/>
      <c r="CR526" s="40"/>
      <c r="CS526" s="40"/>
      <c r="CT526" s="40"/>
      <c r="CU526" s="40"/>
      <c r="CV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  <c r="BW527" s="40"/>
      <c r="BX527" s="40"/>
      <c r="BY527" s="40"/>
      <c r="BZ527" s="40"/>
      <c r="CA527" s="40"/>
      <c r="CB527" s="40"/>
      <c r="CC527" s="40"/>
      <c r="CD527" s="40"/>
      <c r="CE527" s="40"/>
      <c r="CF527" s="40"/>
      <c r="CG527" s="40"/>
      <c r="CH527" s="40"/>
      <c r="CI527" s="40"/>
      <c r="CJ527" s="40"/>
      <c r="CK527" s="40"/>
      <c r="CL527" s="40"/>
      <c r="CM527" s="40"/>
      <c r="CN527" s="40"/>
      <c r="CO527" s="40"/>
      <c r="CP527" s="40"/>
      <c r="CQ527" s="40"/>
      <c r="CR527" s="40"/>
      <c r="CS527" s="40"/>
      <c r="CT527" s="40"/>
      <c r="CU527" s="40"/>
      <c r="CV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  <c r="BW528" s="40"/>
      <c r="BX528" s="40"/>
      <c r="BY528" s="40"/>
      <c r="BZ528" s="40"/>
      <c r="CA528" s="40"/>
      <c r="CB528" s="40"/>
      <c r="CC528" s="40"/>
      <c r="CD528" s="40"/>
      <c r="CE528" s="40"/>
      <c r="CF528" s="40"/>
      <c r="CG528" s="40"/>
      <c r="CH528" s="40"/>
      <c r="CI528" s="40"/>
      <c r="CJ528" s="40"/>
      <c r="CK528" s="40"/>
      <c r="CL528" s="40"/>
      <c r="CM528" s="40"/>
      <c r="CN528" s="40"/>
      <c r="CO528" s="40"/>
      <c r="CP528" s="40"/>
      <c r="CQ528" s="40"/>
      <c r="CR528" s="40"/>
      <c r="CS528" s="40"/>
      <c r="CT528" s="40"/>
      <c r="CU528" s="40"/>
      <c r="CV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  <c r="BW529" s="40"/>
      <c r="BX529" s="40"/>
      <c r="BY529" s="40"/>
      <c r="BZ529" s="40"/>
      <c r="CA529" s="40"/>
      <c r="CB529" s="40"/>
      <c r="CC529" s="40"/>
      <c r="CD529" s="40"/>
      <c r="CE529" s="40"/>
      <c r="CF529" s="40"/>
      <c r="CG529" s="40"/>
      <c r="CH529" s="40"/>
      <c r="CI529" s="40"/>
      <c r="CJ529" s="40"/>
      <c r="CK529" s="40"/>
      <c r="CL529" s="40"/>
      <c r="CM529" s="40"/>
      <c r="CN529" s="40"/>
      <c r="CO529" s="40"/>
      <c r="CP529" s="40"/>
      <c r="CQ529" s="40"/>
      <c r="CR529" s="40"/>
      <c r="CS529" s="40"/>
      <c r="CT529" s="40"/>
      <c r="CU529" s="40"/>
      <c r="CV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  <c r="BW530" s="40"/>
      <c r="BX530" s="40"/>
      <c r="BY530" s="40"/>
      <c r="BZ530" s="40"/>
      <c r="CA530" s="40"/>
      <c r="CB530" s="40"/>
      <c r="CC530" s="40"/>
      <c r="CD530" s="40"/>
      <c r="CE530" s="40"/>
      <c r="CF530" s="40"/>
      <c r="CG530" s="40"/>
      <c r="CH530" s="40"/>
      <c r="CI530" s="40"/>
      <c r="CJ530" s="40"/>
      <c r="CK530" s="40"/>
      <c r="CL530" s="40"/>
      <c r="CM530" s="40"/>
      <c r="CN530" s="40"/>
      <c r="CO530" s="40"/>
      <c r="CP530" s="40"/>
      <c r="CQ530" s="40"/>
      <c r="CR530" s="40"/>
      <c r="CS530" s="40"/>
      <c r="CT530" s="40"/>
      <c r="CU530" s="40"/>
      <c r="CV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  <c r="BW531" s="40"/>
      <c r="BX531" s="40"/>
      <c r="BY531" s="40"/>
      <c r="BZ531" s="40"/>
      <c r="CA531" s="40"/>
      <c r="CB531" s="40"/>
      <c r="CC531" s="40"/>
      <c r="CD531" s="40"/>
      <c r="CE531" s="40"/>
      <c r="CF531" s="40"/>
      <c r="CG531" s="40"/>
      <c r="CH531" s="40"/>
      <c r="CI531" s="40"/>
      <c r="CJ531" s="40"/>
      <c r="CK531" s="40"/>
      <c r="CL531" s="40"/>
      <c r="CM531" s="40"/>
      <c r="CN531" s="40"/>
      <c r="CO531" s="40"/>
      <c r="CP531" s="40"/>
      <c r="CQ531" s="40"/>
      <c r="CR531" s="40"/>
      <c r="CS531" s="40"/>
      <c r="CT531" s="40"/>
      <c r="CU531" s="40"/>
      <c r="CV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  <c r="BW532" s="40"/>
      <c r="BX532" s="40"/>
      <c r="BY532" s="40"/>
      <c r="BZ532" s="40"/>
      <c r="CA532" s="40"/>
      <c r="CB532" s="40"/>
      <c r="CC532" s="40"/>
      <c r="CD532" s="40"/>
      <c r="CE532" s="40"/>
      <c r="CF532" s="40"/>
      <c r="CG532" s="40"/>
      <c r="CH532" s="40"/>
      <c r="CI532" s="40"/>
      <c r="CJ532" s="40"/>
      <c r="CK532" s="40"/>
      <c r="CL532" s="40"/>
      <c r="CM532" s="40"/>
      <c r="CN532" s="40"/>
      <c r="CO532" s="40"/>
      <c r="CP532" s="40"/>
      <c r="CQ532" s="40"/>
      <c r="CR532" s="40"/>
      <c r="CS532" s="40"/>
      <c r="CT532" s="40"/>
      <c r="CU532" s="40"/>
      <c r="CV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  <c r="BW533" s="40"/>
      <c r="BX533" s="40"/>
      <c r="BY533" s="40"/>
      <c r="BZ533" s="40"/>
      <c r="CA533" s="40"/>
      <c r="CB533" s="40"/>
      <c r="CC533" s="40"/>
      <c r="CD533" s="40"/>
      <c r="CE533" s="40"/>
      <c r="CF533" s="40"/>
      <c r="CG533" s="40"/>
      <c r="CH533" s="40"/>
      <c r="CI533" s="40"/>
      <c r="CJ533" s="40"/>
      <c r="CK533" s="40"/>
      <c r="CL533" s="40"/>
      <c r="CM533" s="40"/>
      <c r="CN533" s="40"/>
      <c r="CO533" s="40"/>
      <c r="CP533" s="40"/>
      <c r="CQ533" s="40"/>
      <c r="CR533" s="40"/>
      <c r="CS533" s="40"/>
      <c r="CT533" s="40"/>
      <c r="CU533" s="40"/>
      <c r="CV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  <c r="BW534" s="40"/>
      <c r="BX534" s="40"/>
      <c r="BY534" s="40"/>
      <c r="BZ534" s="40"/>
      <c r="CA534" s="40"/>
      <c r="CB534" s="40"/>
      <c r="CC534" s="40"/>
      <c r="CD534" s="40"/>
      <c r="CE534" s="40"/>
      <c r="CF534" s="40"/>
      <c r="CG534" s="40"/>
      <c r="CH534" s="40"/>
      <c r="CI534" s="40"/>
      <c r="CJ534" s="40"/>
      <c r="CK534" s="40"/>
      <c r="CL534" s="40"/>
      <c r="CM534" s="40"/>
      <c r="CN534" s="40"/>
      <c r="CO534" s="40"/>
      <c r="CP534" s="40"/>
      <c r="CQ534" s="40"/>
      <c r="CR534" s="40"/>
      <c r="CS534" s="40"/>
      <c r="CT534" s="40"/>
      <c r="CU534" s="40"/>
      <c r="CV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  <c r="BW535" s="40"/>
      <c r="BX535" s="40"/>
      <c r="BY535" s="40"/>
      <c r="BZ535" s="40"/>
      <c r="CA535" s="40"/>
      <c r="CB535" s="40"/>
      <c r="CC535" s="40"/>
      <c r="CD535" s="40"/>
      <c r="CE535" s="40"/>
      <c r="CF535" s="40"/>
      <c r="CG535" s="40"/>
      <c r="CH535" s="40"/>
      <c r="CI535" s="40"/>
      <c r="CJ535" s="40"/>
      <c r="CK535" s="40"/>
      <c r="CL535" s="40"/>
      <c r="CM535" s="40"/>
      <c r="CN535" s="40"/>
      <c r="CO535" s="40"/>
      <c r="CP535" s="40"/>
      <c r="CQ535" s="40"/>
      <c r="CR535" s="40"/>
      <c r="CS535" s="40"/>
      <c r="CT535" s="40"/>
      <c r="CU535" s="40"/>
      <c r="CV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  <c r="BW536" s="40"/>
      <c r="BX536" s="40"/>
      <c r="BY536" s="40"/>
      <c r="BZ536" s="40"/>
      <c r="CA536" s="40"/>
      <c r="CB536" s="40"/>
      <c r="CC536" s="40"/>
      <c r="CD536" s="40"/>
      <c r="CE536" s="40"/>
      <c r="CF536" s="40"/>
      <c r="CG536" s="40"/>
      <c r="CH536" s="40"/>
      <c r="CI536" s="40"/>
      <c r="CJ536" s="40"/>
      <c r="CK536" s="40"/>
      <c r="CL536" s="40"/>
      <c r="CM536" s="40"/>
      <c r="CN536" s="40"/>
      <c r="CO536" s="40"/>
      <c r="CP536" s="40"/>
      <c r="CQ536" s="40"/>
      <c r="CR536" s="40"/>
      <c r="CS536" s="40"/>
      <c r="CT536" s="40"/>
      <c r="CU536" s="40"/>
      <c r="CV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  <c r="BW537" s="40"/>
      <c r="BX537" s="40"/>
      <c r="BY537" s="40"/>
      <c r="BZ537" s="40"/>
      <c r="CA537" s="40"/>
      <c r="CB537" s="40"/>
      <c r="CC537" s="40"/>
      <c r="CD537" s="40"/>
      <c r="CE537" s="40"/>
      <c r="CF537" s="40"/>
      <c r="CG537" s="40"/>
      <c r="CH537" s="40"/>
      <c r="CI537" s="40"/>
      <c r="CJ537" s="40"/>
      <c r="CK537" s="40"/>
      <c r="CL537" s="40"/>
      <c r="CM537" s="40"/>
      <c r="CN537" s="40"/>
      <c r="CO537" s="40"/>
      <c r="CP537" s="40"/>
      <c r="CQ537" s="40"/>
      <c r="CR537" s="40"/>
      <c r="CS537" s="40"/>
      <c r="CT537" s="40"/>
      <c r="CU537" s="40"/>
      <c r="CV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  <c r="BW538" s="40"/>
      <c r="BX538" s="40"/>
      <c r="BY538" s="40"/>
      <c r="BZ538" s="40"/>
      <c r="CA538" s="40"/>
      <c r="CB538" s="40"/>
      <c r="CC538" s="40"/>
      <c r="CD538" s="40"/>
      <c r="CE538" s="40"/>
      <c r="CF538" s="40"/>
      <c r="CG538" s="40"/>
      <c r="CH538" s="40"/>
      <c r="CI538" s="40"/>
      <c r="CJ538" s="40"/>
      <c r="CK538" s="40"/>
      <c r="CL538" s="40"/>
      <c r="CM538" s="40"/>
      <c r="CN538" s="40"/>
      <c r="CO538" s="40"/>
      <c r="CP538" s="40"/>
      <c r="CQ538" s="40"/>
      <c r="CR538" s="40"/>
      <c r="CS538" s="40"/>
      <c r="CT538" s="40"/>
      <c r="CU538" s="40"/>
      <c r="CV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  <c r="BW539" s="40"/>
      <c r="BX539" s="40"/>
      <c r="BY539" s="40"/>
      <c r="BZ539" s="40"/>
      <c r="CA539" s="40"/>
      <c r="CB539" s="40"/>
      <c r="CC539" s="40"/>
      <c r="CD539" s="40"/>
      <c r="CE539" s="40"/>
      <c r="CF539" s="40"/>
      <c r="CG539" s="40"/>
      <c r="CH539" s="40"/>
      <c r="CI539" s="40"/>
      <c r="CJ539" s="40"/>
      <c r="CK539" s="40"/>
      <c r="CL539" s="40"/>
      <c r="CM539" s="40"/>
      <c r="CN539" s="40"/>
      <c r="CO539" s="40"/>
      <c r="CP539" s="40"/>
      <c r="CQ539" s="40"/>
      <c r="CR539" s="40"/>
      <c r="CS539" s="40"/>
      <c r="CT539" s="40"/>
      <c r="CU539" s="40"/>
      <c r="CV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  <c r="BW540" s="40"/>
      <c r="BX540" s="40"/>
      <c r="BY540" s="40"/>
      <c r="BZ540" s="40"/>
      <c r="CA540" s="40"/>
      <c r="CB540" s="40"/>
      <c r="CC540" s="40"/>
      <c r="CD540" s="40"/>
      <c r="CE540" s="40"/>
      <c r="CF540" s="40"/>
      <c r="CG540" s="40"/>
      <c r="CH540" s="40"/>
      <c r="CI540" s="40"/>
      <c r="CJ540" s="40"/>
      <c r="CK540" s="40"/>
      <c r="CL540" s="40"/>
      <c r="CM540" s="40"/>
      <c r="CN540" s="40"/>
      <c r="CO540" s="40"/>
      <c r="CP540" s="40"/>
      <c r="CQ540" s="40"/>
      <c r="CR540" s="40"/>
      <c r="CS540" s="40"/>
      <c r="CT540" s="40"/>
      <c r="CU540" s="40"/>
      <c r="CV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  <c r="BW541" s="40"/>
      <c r="BX541" s="40"/>
      <c r="BY541" s="40"/>
      <c r="BZ541" s="40"/>
      <c r="CA541" s="40"/>
      <c r="CB541" s="40"/>
      <c r="CC541" s="40"/>
      <c r="CD541" s="40"/>
      <c r="CE541" s="40"/>
      <c r="CF541" s="40"/>
      <c r="CG541" s="40"/>
      <c r="CH541" s="40"/>
      <c r="CI541" s="40"/>
      <c r="CJ541" s="40"/>
      <c r="CK541" s="40"/>
      <c r="CL541" s="40"/>
      <c r="CM541" s="40"/>
      <c r="CN541" s="40"/>
      <c r="CO541" s="40"/>
      <c r="CP541" s="40"/>
      <c r="CQ541" s="40"/>
      <c r="CR541" s="40"/>
      <c r="CS541" s="40"/>
      <c r="CT541" s="40"/>
      <c r="CU541" s="40"/>
      <c r="CV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  <c r="BW542" s="40"/>
      <c r="BX542" s="40"/>
      <c r="BY542" s="40"/>
      <c r="BZ542" s="40"/>
      <c r="CA542" s="40"/>
      <c r="CB542" s="40"/>
      <c r="CC542" s="40"/>
      <c r="CD542" s="40"/>
      <c r="CE542" s="40"/>
      <c r="CF542" s="40"/>
      <c r="CG542" s="40"/>
      <c r="CH542" s="40"/>
      <c r="CI542" s="40"/>
      <c r="CJ542" s="40"/>
      <c r="CK542" s="40"/>
      <c r="CL542" s="40"/>
      <c r="CM542" s="40"/>
      <c r="CN542" s="40"/>
      <c r="CO542" s="40"/>
      <c r="CP542" s="40"/>
      <c r="CQ542" s="40"/>
      <c r="CR542" s="40"/>
      <c r="CS542" s="40"/>
      <c r="CT542" s="40"/>
      <c r="CU542" s="40"/>
      <c r="CV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  <c r="BW543" s="40"/>
      <c r="BX543" s="40"/>
      <c r="BY543" s="40"/>
      <c r="BZ543" s="40"/>
      <c r="CA543" s="40"/>
      <c r="CB543" s="40"/>
      <c r="CC543" s="40"/>
      <c r="CD543" s="40"/>
      <c r="CE543" s="40"/>
      <c r="CF543" s="40"/>
      <c r="CG543" s="40"/>
      <c r="CH543" s="40"/>
      <c r="CI543" s="40"/>
      <c r="CJ543" s="40"/>
      <c r="CK543" s="40"/>
      <c r="CL543" s="40"/>
      <c r="CM543" s="40"/>
      <c r="CN543" s="40"/>
      <c r="CO543" s="40"/>
      <c r="CP543" s="40"/>
      <c r="CQ543" s="40"/>
      <c r="CR543" s="40"/>
      <c r="CS543" s="40"/>
      <c r="CT543" s="40"/>
      <c r="CU543" s="40"/>
      <c r="CV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  <c r="BW544" s="40"/>
      <c r="BX544" s="40"/>
      <c r="BY544" s="40"/>
      <c r="BZ544" s="40"/>
      <c r="CA544" s="40"/>
      <c r="CB544" s="40"/>
      <c r="CC544" s="40"/>
      <c r="CD544" s="40"/>
      <c r="CE544" s="40"/>
      <c r="CF544" s="40"/>
      <c r="CG544" s="40"/>
      <c r="CH544" s="40"/>
      <c r="CI544" s="40"/>
      <c r="CJ544" s="40"/>
      <c r="CK544" s="40"/>
      <c r="CL544" s="40"/>
      <c r="CM544" s="40"/>
      <c r="CN544" s="40"/>
      <c r="CO544" s="40"/>
      <c r="CP544" s="40"/>
      <c r="CQ544" s="40"/>
      <c r="CR544" s="40"/>
      <c r="CS544" s="40"/>
      <c r="CT544" s="40"/>
      <c r="CU544" s="40"/>
      <c r="CV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  <c r="BW545" s="40"/>
      <c r="BX545" s="40"/>
      <c r="BY545" s="40"/>
      <c r="BZ545" s="40"/>
      <c r="CA545" s="40"/>
      <c r="CB545" s="40"/>
      <c r="CC545" s="40"/>
      <c r="CD545" s="40"/>
      <c r="CE545" s="40"/>
      <c r="CF545" s="40"/>
      <c r="CG545" s="40"/>
      <c r="CH545" s="40"/>
      <c r="CI545" s="40"/>
      <c r="CJ545" s="40"/>
      <c r="CK545" s="40"/>
      <c r="CL545" s="40"/>
      <c r="CM545" s="40"/>
      <c r="CN545" s="40"/>
      <c r="CO545" s="40"/>
      <c r="CP545" s="40"/>
      <c r="CQ545" s="40"/>
      <c r="CR545" s="40"/>
      <c r="CS545" s="40"/>
      <c r="CT545" s="40"/>
      <c r="CU545" s="40"/>
      <c r="CV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  <c r="BW546" s="40"/>
      <c r="BX546" s="40"/>
      <c r="BY546" s="40"/>
      <c r="BZ546" s="40"/>
      <c r="CA546" s="40"/>
      <c r="CB546" s="40"/>
      <c r="CC546" s="40"/>
      <c r="CD546" s="40"/>
      <c r="CE546" s="40"/>
      <c r="CF546" s="40"/>
      <c r="CG546" s="40"/>
      <c r="CH546" s="40"/>
      <c r="CI546" s="40"/>
      <c r="CJ546" s="40"/>
      <c r="CK546" s="40"/>
      <c r="CL546" s="40"/>
      <c r="CM546" s="40"/>
      <c r="CN546" s="40"/>
      <c r="CO546" s="40"/>
      <c r="CP546" s="40"/>
      <c r="CQ546" s="40"/>
      <c r="CR546" s="40"/>
      <c r="CS546" s="40"/>
      <c r="CT546" s="40"/>
      <c r="CU546" s="40"/>
      <c r="CV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  <c r="BW547" s="40"/>
      <c r="BX547" s="40"/>
      <c r="BY547" s="40"/>
      <c r="BZ547" s="40"/>
      <c r="CA547" s="40"/>
      <c r="CB547" s="40"/>
      <c r="CC547" s="40"/>
      <c r="CD547" s="40"/>
      <c r="CE547" s="40"/>
      <c r="CF547" s="40"/>
      <c r="CG547" s="40"/>
      <c r="CH547" s="40"/>
      <c r="CI547" s="40"/>
      <c r="CJ547" s="40"/>
      <c r="CK547" s="40"/>
      <c r="CL547" s="40"/>
      <c r="CM547" s="40"/>
      <c r="CN547" s="40"/>
      <c r="CO547" s="40"/>
      <c r="CP547" s="40"/>
      <c r="CQ547" s="40"/>
      <c r="CR547" s="40"/>
      <c r="CS547" s="40"/>
      <c r="CT547" s="40"/>
      <c r="CU547" s="40"/>
      <c r="CV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  <c r="BW548" s="40"/>
      <c r="BX548" s="40"/>
      <c r="BY548" s="40"/>
      <c r="BZ548" s="40"/>
      <c r="CA548" s="40"/>
      <c r="CB548" s="40"/>
      <c r="CC548" s="40"/>
      <c r="CD548" s="40"/>
      <c r="CE548" s="40"/>
      <c r="CF548" s="40"/>
      <c r="CG548" s="40"/>
      <c r="CH548" s="40"/>
      <c r="CI548" s="40"/>
      <c r="CJ548" s="40"/>
      <c r="CK548" s="40"/>
      <c r="CL548" s="40"/>
      <c r="CM548" s="40"/>
      <c r="CN548" s="40"/>
      <c r="CO548" s="40"/>
      <c r="CP548" s="40"/>
      <c r="CQ548" s="40"/>
      <c r="CR548" s="40"/>
      <c r="CS548" s="40"/>
      <c r="CT548" s="40"/>
      <c r="CU548" s="40"/>
      <c r="CV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  <c r="BW549" s="40"/>
      <c r="BX549" s="40"/>
      <c r="BY549" s="40"/>
      <c r="BZ549" s="40"/>
      <c r="CA549" s="40"/>
      <c r="CB549" s="40"/>
      <c r="CC549" s="40"/>
      <c r="CD549" s="40"/>
      <c r="CE549" s="40"/>
      <c r="CF549" s="40"/>
      <c r="CG549" s="40"/>
      <c r="CH549" s="40"/>
      <c r="CI549" s="40"/>
      <c r="CJ549" s="40"/>
      <c r="CK549" s="40"/>
      <c r="CL549" s="40"/>
      <c r="CM549" s="40"/>
      <c r="CN549" s="40"/>
      <c r="CO549" s="40"/>
      <c r="CP549" s="40"/>
      <c r="CQ549" s="40"/>
      <c r="CR549" s="40"/>
      <c r="CS549" s="40"/>
      <c r="CT549" s="40"/>
      <c r="CU549" s="40"/>
      <c r="CV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  <c r="BW550" s="40"/>
      <c r="BX550" s="40"/>
      <c r="BY550" s="40"/>
      <c r="BZ550" s="40"/>
      <c r="CA550" s="40"/>
      <c r="CB550" s="40"/>
      <c r="CC550" s="40"/>
      <c r="CD550" s="40"/>
      <c r="CE550" s="40"/>
      <c r="CF550" s="40"/>
      <c r="CG550" s="40"/>
      <c r="CH550" s="40"/>
      <c r="CI550" s="40"/>
      <c r="CJ550" s="40"/>
      <c r="CK550" s="40"/>
      <c r="CL550" s="40"/>
      <c r="CM550" s="40"/>
      <c r="CN550" s="40"/>
      <c r="CO550" s="40"/>
      <c r="CP550" s="40"/>
      <c r="CQ550" s="40"/>
      <c r="CR550" s="40"/>
      <c r="CS550" s="40"/>
      <c r="CT550" s="40"/>
      <c r="CU550" s="40"/>
      <c r="CV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  <c r="BW551" s="40"/>
      <c r="BX551" s="40"/>
      <c r="BY551" s="40"/>
      <c r="BZ551" s="40"/>
      <c r="CA551" s="40"/>
      <c r="CB551" s="40"/>
      <c r="CC551" s="40"/>
      <c r="CD551" s="40"/>
      <c r="CE551" s="40"/>
      <c r="CF551" s="40"/>
      <c r="CG551" s="40"/>
      <c r="CH551" s="40"/>
      <c r="CI551" s="40"/>
      <c r="CJ551" s="40"/>
      <c r="CK551" s="40"/>
      <c r="CL551" s="40"/>
      <c r="CM551" s="40"/>
      <c r="CN551" s="40"/>
      <c r="CO551" s="40"/>
      <c r="CP551" s="40"/>
      <c r="CQ551" s="40"/>
      <c r="CR551" s="40"/>
      <c r="CS551" s="40"/>
      <c r="CT551" s="40"/>
      <c r="CU551" s="40"/>
      <c r="CV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  <c r="BW552" s="40"/>
      <c r="BX552" s="40"/>
      <c r="BY552" s="40"/>
      <c r="BZ552" s="40"/>
      <c r="CA552" s="40"/>
      <c r="CB552" s="40"/>
      <c r="CC552" s="40"/>
      <c r="CD552" s="40"/>
      <c r="CE552" s="40"/>
      <c r="CF552" s="40"/>
      <c r="CG552" s="40"/>
      <c r="CH552" s="40"/>
      <c r="CI552" s="40"/>
      <c r="CJ552" s="40"/>
      <c r="CK552" s="40"/>
      <c r="CL552" s="40"/>
      <c r="CM552" s="40"/>
      <c r="CN552" s="40"/>
      <c r="CO552" s="40"/>
      <c r="CP552" s="40"/>
      <c r="CQ552" s="40"/>
      <c r="CR552" s="40"/>
      <c r="CS552" s="40"/>
      <c r="CT552" s="40"/>
      <c r="CU552" s="40"/>
      <c r="CV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  <c r="BW553" s="40"/>
      <c r="BX553" s="40"/>
      <c r="BY553" s="40"/>
      <c r="BZ553" s="40"/>
      <c r="CA553" s="40"/>
      <c r="CB553" s="40"/>
      <c r="CC553" s="40"/>
      <c r="CD553" s="40"/>
      <c r="CE553" s="40"/>
      <c r="CF553" s="40"/>
      <c r="CG553" s="40"/>
      <c r="CH553" s="40"/>
      <c r="CI553" s="40"/>
      <c r="CJ553" s="40"/>
      <c r="CK553" s="40"/>
      <c r="CL553" s="40"/>
      <c r="CM553" s="40"/>
      <c r="CN553" s="40"/>
      <c r="CO553" s="40"/>
      <c r="CP553" s="40"/>
      <c r="CQ553" s="40"/>
      <c r="CR553" s="40"/>
      <c r="CS553" s="40"/>
      <c r="CT553" s="40"/>
      <c r="CU553" s="40"/>
      <c r="CV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  <c r="BW554" s="40"/>
      <c r="BX554" s="40"/>
      <c r="BY554" s="40"/>
      <c r="BZ554" s="40"/>
      <c r="CA554" s="40"/>
      <c r="CB554" s="40"/>
      <c r="CC554" s="40"/>
      <c r="CD554" s="40"/>
      <c r="CE554" s="40"/>
      <c r="CF554" s="40"/>
      <c r="CG554" s="40"/>
      <c r="CH554" s="40"/>
      <c r="CI554" s="40"/>
      <c r="CJ554" s="40"/>
      <c r="CK554" s="40"/>
      <c r="CL554" s="40"/>
      <c r="CM554" s="40"/>
      <c r="CN554" s="40"/>
      <c r="CO554" s="40"/>
      <c r="CP554" s="40"/>
      <c r="CQ554" s="40"/>
      <c r="CR554" s="40"/>
      <c r="CS554" s="40"/>
      <c r="CT554" s="40"/>
      <c r="CU554" s="40"/>
      <c r="CV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  <c r="BW555" s="40"/>
      <c r="BX555" s="40"/>
      <c r="BY555" s="40"/>
      <c r="BZ555" s="40"/>
      <c r="CA555" s="40"/>
      <c r="CB555" s="40"/>
      <c r="CC555" s="40"/>
      <c r="CD555" s="40"/>
      <c r="CE555" s="40"/>
      <c r="CF555" s="40"/>
      <c r="CG555" s="40"/>
      <c r="CH555" s="40"/>
      <c r="CI555" s="40"/>
      <c r="CJ555" s="40"/>
      <c r="CK555" s="40"/>
      <c r="CL555" s="40"/>
      <c r="CM555" s="40"/>
      <c r="CN555" s="40"/>
      <c r="CO555" s="40"/>
      <c r="CP555" s="40"/>
      <c r="CQ555" s="40"/>
      <c r="CR555" s="40"/>
      <c r="CS555" s="40"/>
      <c r="CT555" s="40"/>
      <c r="CU555" s="40"/>
      <c r="CV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  <c r="BW556" s="40"/>
      <c r="BX556" s="40"/>
      <c r="BY556" s="40"/>
      <c r="BZ556" s="40"/>
      <c r="CA556" s="40"/>
      <c r="CB556" s="40"/>
      <c r="CC556" s="40"/>
      <c r="CD556" s="40"/>
      <c r="CE556" s="40"/>
      <c r="CF556" s="40"/>
      <c r="CG556" s="40"/>
      <c r="CH556" s="40"/>
      <c r="CI556" s="40"/>
      <c r="CJ556" s="40"/>
      <c r="CK556" s="40"/>
      <c r="CL556" s="40"/>
      <c r="CM556" s="40"/>
      <c r="CN556" s="40"/>
      <c r="CO556" s="40"/>
      <c r="CP556" s="40"/>
      <c r="CQ556" s="40"/>
      <c r="CR556" s="40"/>
      <c r="CS556" s="40"/>
      <c r="CT556" s="40"/>
      <c r="CU556" s="40"/>
      <c r="CV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  <c r="BW557" s="40"/>
      <c r="BX557" s="40"/>
      <c r="BY557" s="40"/>
      <c r="BZ557" s="40"/>
      <c r="CA557" s="40"/>
      <c r="CB557" s="40"/>
      <c r="CC557" s="40"/>
      <c r="CD557" s="40"/>
      <c r="CE557" s="40"/>
      <c r="CF557" s="40"/>
      <c r="CG557" s="40"/>
      <c r="CH557" s="40"/>
      <c r="CI557" s="40"/>
      <c r="CJ557" s="40"/>
      <c r="CK557" s="40"/>
      <c r="CL557" s="40"/>
      <c r="CM557" s="40"/>
      <c r="CN557" s="40"/>
      <c r="CO557" s="40"/>
      <c r="CP557" s="40"/>
      <c r="CQ557" s="40"/>
      <c r="CR557" s="40"/>
      <c r="CS557" s="40"/>
      <c r="CT557" s="40"/>
      <c r="CU557" s="40"/>
      <c r="CV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  <c r="BW558" s="40"/>
      <c r="BX558" s="40"/>
      <c r="BY558" s="40"/>
      <c r="BZ558" s="40"/>
      <c r="CA558" s="40"/>
      <c r="CB558" s="40"/>
      <c r="CC558" s="40"/>
      <c r="CD558" s="40"/>
      <c r="CE558" s="40"/>
      <c r="CF558" s="40"/>
      <c r="CG558" s="40"/>
      <c r="CH558" s="40"/>
      <c r="CI558" s="40"/>
      <c r="CJ558" s="40"/>
      <c r="CK558" s="40"/>
      <c r="CL558" s="40"/>
      <c r="CM558" s="40"/>
      <c r="CN558" s="40"/>
      <c r="CO558" s="40"/>
      <c r="CP558" s="40"/>
      <c r="CQ558" s="40"/>
      <c r="CR558" s="40"/>
      <c r="CS558" s="40"/>
      <c r="CT558" s="40"/>
      <c r="CU558" s="40"/>
      <c r="CV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  <c r="BW559" s="40"/>
      <c r="BX559" s="40"/>
      <c r="BY559" s="40"/>
      <c r="BZ559" s="40"/>
      <c r="CA559" s="40"/>
      <c r="CB559" s="40"/>
      <c r="CC559" s="40"/>
      <c r="CD559" s="40"/>
      <c r="CE559" s="40"/>
      <c r="CF559" s="40"/>
      <c r="CG559" s="40"/>
      <c r="CH559" s="40"/>
      <c r="CI559" s="40"/>
      <c r="CJ559" s="40"/>
      <c r="CK559" s="40"/>
      <c r="CL559" s="40"/>
      <c r="CM559" s="40"/>
      <c r="CN559" s="40"/>
      <c r="CO559" s="40"/>
      <c r="CP559" s="40"/>
      <c r="CQ559" s="40"/>
      <c r="CR559" s="40"/>
      <c r="CS559" s="40"/>
      <c r="CT559" s="40"/>
      <c r="CU559" s="40"/>
      <c r="CV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  <c r="BW560" s="40"/>
      <c r="BX560" s="40"/>
      <c r="BY560" s="40"/>
      <c r="BZ560" s="40"/>
      <c r="CA560" s="40"/>
      <c r="CB560" s="40"/>
      <c r="CC560" s="40"/>
      <c r="CD560" s="40"/>
      <c r="CE560" s="40"/>
      <c r="CF560" s="40"/>
      <c r="CG560" s="40"/>
      <c r="CH560" s="40"/>
      <c r="CI560" s="40"/>
      <c r="CJ560" s="40"/>
      <c r="CK560" s="40"/>
      <c r="CL560" s="40"/>
      <c r="CM560" s="40"/>
      <c r="CN560" s="40"/>
      <c r="CO560" s="40"/>
      <c r="CP560" s="40"/>
      <c r="CQ560" s="40"/>
      <c r="CR560" s="40"/>
      <c r="CS560" s="40"/>
      <c r="CT560" s="40"/>
      <c r="CU560" s="40"/>
      <c r="CV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  <c r="BW561" s="40"/>
      <c r="BX561" s="40"/>
      <c r="BY561" s="40"/>
      <c r="BZ561" s="40"/>
      <c r="CA561" s="40"/>
      <c r="CB561" s="40"/>
      <c r="CC561" s="40"/>
      <c r="CD561" s="40"/>
      <c r="CE561" s="40"/>
      <c r="CF561" s="40"/>
      <c r="CG561" s="40"/>
      <c r="CH561" s="40"/>
      <c r="CI561" s="40"/>
      <c r="CJ561" s="40"/>
      <c r="CK561" s="40"/>
      <c r="CL561" s="40"/>
      <c r="CM561" s="40"/>
      <c r="CN561" s="40"/>
      <c r="CO561" s="40"/>
      <c r="CP561" s="40"/>
      <c r="CQ561" s="40"/>
      <c r="CR561" s="40"/>
      <c r="CS561" s="40"/>
      <c r="CT561" s="40"/>
      <c r="CU561" s="40"/>
      <c r="CV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  <c r="BW562" s="40"/>
      <c r="BX562" s="40"/>
      <c r="BY562" s="40"/>
      <c r="BZ562" s="40"/>
      <c r="CA562" s="40"/>
      <c r="CB562" s="40"/>
      <c r="CC562" s="40"/>
      <c r="CD562" s="40"/>
      <c r="CE562" s="40"/>
      <c r="CF562" s="40"/>
      <c r="CG562" s="40"/>
      <c r="CH562" s="40"/>
      <c r="CI562" s="40"/>
      <c r="CJ562" s="40"/>
      <c r="CK562" s="40"/>
      <c r="CL562" s="40"/>
      <c r="CM562" s="40"/>
      <c r="CN562" s="40"/>
      <c r="CO562" s="40"/>
      <c r="CP562" s="40"/>
      <c r="CQ562" s="40"/>
      <c r="CR562" s="40"/>
      <c r="CS562" s="40"/>
      <c r="CT562" s="40"/>
      <c r="CU562" s="40"/>
      <c r="CV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  <c r="BW563" s="40"/>
      <c r="BX563" s="40"/>
      <c r="BY563" s="40"/>
      <c r="BZ563" s="40"/>
      <c r="CA563" s="40"/>
      <c r="CB563" s="40"/>
      <c r="CC563" s="40"/>
      <c r="CD563" s="40"/>
      <c r="CE563" s="40"/>
      <c r="CF563" s="40"/>
      <c r="CG563" s="40"/>
      <c r="CH563" s="40"/>
      <c r="CI563" s="40"/>
      <c r="CJ563" s="40"/>
      <c r="CK563" s="40"/>
      <c r="CL563" s="40"/>
      <c r="CM563" s="40"/>
      <c r="CN563" s="40"/>
      <c r="CO563" s="40"/>
      <c r="CP563" s="40"/>
      <c r="CQ563" s="40"/>
      <c r="CR563" s="40"/>
      <c r="CS563" s="40"/>
      <c r="CT563" s="40"/>
      <c r="CU563" s="40"/>
      <c r="CV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  <c r="BW564" s="40"/>
      <c r="BX564" s="40"/>
      <c r="BY564" s="40"/>
      <c r="BZ564" s="40"/>
      <c r="CA564" s="40"/>
      <c r="CB564" s="40"/>
      <c r="CC564" s="40"/>
      <c r="CD564" s="40"/>
      <c r="CE564" s="40"/>
      <c r="CF564" s="40"/>
      <c r="CG564" s="40"/>
      <c r="CH564" s="40"/>
      <c r="CI564" s="40"/>
      <c r="CJ564" s="40"/>
      <c r="CK564" s="40"/>
      <c r="CL564" s="40"/>
      <c r="CM564" s="40"/>
      <c r="CN564" s="40"/>
      <c r="CO564" s="40"/>
      <c r="CP564" s="40"/>
      <c r="CQ564" s="40"/>
      <c r="CR564" s="40"/>
      <c r="CS564" s="40"/>
      <c r="CT564" s="40"/>
      <c r="CU564" s="40"/>
      <c r="CV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  <c r="BW565" s="40"/>
      <c r="BX565" s="40"/>
      <c r="BY565" s="40"/>
      <c r="BZ565" s="40"/>
      <c r="CA565" s="40"/>
      <c r="CB565" s="40"/>
      <c r="CC565" s="40"/>
      <c r="CD565" s="40"/>
      <c r="CE565" s="40"/>
      <c r="CF565" s="40"/>
      <c r="CG565" s="40"/>
      <c r="CH565" s="40"/>
      <c r="CI565" s="40"/>
      <c r="CJ565" s="40"/>
      <c r="CK565" s="40"/>
      <c r="CL565" s="40"/>
      <c r="CM565" s="40"/>
      <c r="CN565" s="40"/>
      <c r="CO565" s="40"/>
      <c r="CP565" s="40"/>
      <c r="CQ565" s="40"/>
      <c r="CR565" s="40"/>
      <c r="CS565" s="40"/>
      <c r="CT565" s="40"/>
      <c r="CU565" s="40"/>
      <c r="CV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  <c r="BW566" s="40"/>
      <c r="BX566" s="40"/>
      <c r="BY566" s="40"/>
      <c r="BZ566" s="40"/>
      <c r="CA566" s="40"/>
      <c r="CB566" s="40"/>
      <c r="CC566" s="40"/>
      <c r="CD566" s="40"/>
      <c r="CE566" s="40"/>
      <c r="CF566" s="40"/>
      <c r="CG566" s="40"/>
      <c r="CH566" s="40"/>
      <c r="CI566" s="40"/>
      <c r="CJ566" s="40"/>
      <c r="CK566" s="40"/>
      <c r="CL566" s="40"/>
      <c r="CM566" s="40"/>
      <c r="CN566" s="40"/>
      <c r="CO566" s="40"/>
      <c r="CP566" s="40"/>
      <c r="CQ566" s="40"/>
      <c r="CR566" s="40"/>
      <c r="CS566" s="40"/>
      <c r="CT566" s="40"/>
      <c r="CU566" s="40"/>
      <c r="CV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  <c r="BW567" s="40"/>
      <c r="BX567" s="40"/>
      <c r="BY567" s="40"/>
      <c r="BZ567" s="40"/>
      <c r="CA567" s="40"/>
      <c r="CB567" s="40"/>
      <c r="CC567" s="40"/>
      <c r="CD567" s="40"/>
      <c r="CE567" s="40"/>
      <c r="CF567" s="40"/>
      <c r="CG567" s="40"/>
      <c r="CH567" s="40"/>
      <c r="CI567" s="40"/>
      <c r="CJ567" s="40"/>
      <c r="CK567" s="40"/>
      <c r="CL567" s="40"/>
      <c r="CM567" s="40"/>
      <c r="CN567" s="40"/>
      <c r="CO567" s="40"/>
      <c r="CP567" s="40"/>
      <c r="CQ567" s="40"/>
      <c r="CR567" s="40"/>
      <c r="CS567" s="40"/>
      <c r="CT567" s="40"/>
      <c r="CU567" s="40"/>
      <c r="CV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  <c r="BW568" s="40"/>
      <c r="BX568" s="40"/>
      <c r="BY568" s="40"/>
      <c r="BZ568" s="40"/>
      <c r="CA568" s="40"/>
      <c r="CB568" s="40"/>
      <c r="CC568" s="40"/>
      <c r="CD568" s="40"/>
      <c r="CE568" s="40"/>
      <c r="CF568" s="40"/>
      <c r="CG568" s="40"/>
      <c r="CH568" s="40"/>
      <c r="CI568" s="40"/>
      <c r="CJ568" s="40"/>
      <c r="CK568" s="40"/>
      <c r="CL568" s="40"/>
      <c r="CM568" s="40"/>
      <c r="CN568" s="40"/>
      <c r="CO568" s="40"/>
      <c r="CP568" s="40"/>
      <c r="CQ568" s="40"/>
      <c r="CR568" s="40"/>
      <c r="CS568" s="40"/>
      <c r="CT568" s="40"/>
      <c r="CU568" s="40"/>
      <c r="CV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  <c r="BW569" s="40"/>
      <c r="BX569" s="40"/>
      <c r="BY569" s="40"/>
      <c r="BZ569" s="40"/>
      <c r="CA569" s="40"/>
      <c r="CB569" s="40"/>
      <c r="CC569" s="40"/>
      <c r="CD569" s="40"/>
      <c r="CE569" s="40"/>
      <c r="CF569" s="40"/>
      <c r="CG569" s="40"/>
      <c r="CH569" s="40"/>
      <c r="CI569" s="40"/>
      <c r="CJ569" s="40"/>
      <c r="CK569" s="40"/>
      <c r="CL569" s="40"/>
      <c r="CM569" s="40"/>
      <c r="CN569" s="40"/>
      <c r="CO569" s="40"/>
      <c r="CP569" s="40"/>
      <c r="CQ569" s="40"/>
      <c r="CR569" s="40"/>
      <c r="CS569" s="40"/>
      <c r="CT569" s="40"/>
      <c r="CU569" s="40"/>
      <c r="CV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  <c r="BW570" s="40"/>
      <c r="BX570" s="40"/>
      <c r="BY570" s="40"/>
      <c r="BZ570" s="40"/>
      <c r="CA570" s="40"/>
      <c r="CB570" s="40"/>
      <c r="CC570" s="40"/>
      <c r="CD570" s="40"/>
      <c r="CE570" s="40"/>
      <c r="CF570" s="40"/>
      <c r="CG570" s="40"/>
      <c r="CH570" s="40"/>
      <c r="CI570" s="40"/>
      <c r="CJ570" s="40"/>
      <c r="CK570" s="40"/>
      <c r="CL570" s="40"/>
      <c r="CM570" s="40"/>
      <c r="CN570" s="40"/>
      <c r="CO570" s="40"/>
      <c r="CP570" s="40"/>
      <c r="CQ570" s="40"/>
      <c r="CR570" s="40"/>
      <c r="CS570" s="40"/>
      <c r="CT570" s="40"/>
      <c r="CU570" s="40"/>
      <c r="CV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  <c r="BW571" s="40"/>
      <c r="BX571" s="40"/>
      <c r="BY571" s="40"/>
      <c r="BZ571" s="40"/>
      <c r="CA571" s="40"/>
      <c r="CB571" s="40"/>
      <c r="CC571" s="40"/>
      <c r="CD571" s="40"/>
      <c r="CE571" s="40"/>
      <c r="CF571" s="40"/>
      <c r="CG571" s="40"/>
      <c r="CH571" s="40"/>
      <c r="CI571" s="40"/>
      <c r="CJ571" s="40"/>
      <c r="CK571" s="40"/>
      <c r="CL571" s="40"/>
      <c r="CM571" s="40"/>
      <c r="CN571" s="40"/>
      <c r="CO571" s="40"/>
      <c r="CP571" s="40"/>
      <c r="CQ571" s="40"/>
      <c r="CR571" s="40"/>
      <c r="CS571" s="40"/>
      <c r="CT571" s="40"/>
      <c r="CU571" s="40"/>
      <c r="CV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  <c r="BW572" s="40"/>
      <c r="BX572" s="40"/>
      <c r="BY572" s="40"/>
      <c r="BZ572" s="40"/>
      <c r="CA572" s="40"/>
      <c r="CB572" s="40"/>
      <c r="CC572" s="40"/>
      <c r="CD572" s="40"/>
      <c r="CE572" s="40"/>
      <c r="CF572" s="40"/>
      <c r="CG572" s="40"/>
      <c r="CH572" s="40"/>
      <c r="CI572" s="40"/>
      <c r="CJ572" s="40"/>
      <c r="CK572" s="40"/>
      <c r="CL572" s="40"/>
      <c r="CM572" s="40"/>
      <c r="CN572" s="40"/>
      <c r="CO572" s="40"/>
      <c r="CP572" s="40"/>
      <c r="CQ572" s="40"/>
      <c r="CR572" s="40"/>
      <c r="CS572" s="40"/>
      <c r="CT572" s="40"/>
      <c r="CU572" s="40"/>
      <c r="CV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  <c r="BW573" s="40"/>
      <c r="BX573" s="40"/>
      <c r="BY573" s="40"/>
      <c r="BZ573" s="40"/>
      <c r="CA573" s="40"/>
      <c r="CB573" s="40"/>
      <c r="CC573" s="40"/>
      <c r="CD573" s="40"/>
      <c r="CE573" s="40"/>
      <c r="CF573" s="40"/>
      <c r="CG573" s="40"/>
      <c r="CH573" s="40"/>
      <c r="CI573" s="40"/>
      <c r="CJ573" s="40"/>
      <c r="CK573" s="40"/>
      <c r="CL573" s="40"/>
      <c r="CM573" s="40"/>
      <c r="CN573" s="40"/>
      <c r="CO573" s="40"/>
      <c r="CP573" s="40"/>
      <c r="CQ573" s="40"/>
      <c r="CR573" s="40"/>
      <c r="CS573" s="40"/>
      <c r="CT573" s="40"/>
      <c r="CU573" s="40"/>
      <c r="CV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  <c r="BW574" s="40"/>
      <c r="BX574" s="40"/>
      <c r="BY574" s="40"/>
      <c r="BZ574" s="40"/>
      <c r="CA574" s="40"/>
      <c r="CB574" s="40"/>
      <c r="CC574" s="40"/>
      <c r="CD574" s="40"/>
      <c r="CE574" s="40"/>
      <c r="CF574" s="40"/>
      <c r="CG574" s="40"/>
      <c r="CH574" s="40"/>
      <c r="CI574" s="40"/>
      <c r="CJ574" s="40"/>
      <c r="CK574" s="40"/>
      <c r="CL574" s="40"/>
      <c r="CM574" s="40"/>
      <c r="CN574" s="40"/>
      <c r="CO574" s="40"/>
      <c r="CP574" s="40"/>
      <c r="CQ574" s="40"/>
      <c r="CR574" s="40"/>
      <c r="CS574" s="40"/>
      <c r="CT574" s="40"/>
      <c r="CU574" s="40"/>
      <c r="CV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  <c r="BW575" s="40"/>
      <c r="BX575" s="40"/>
      <c r="BY575" s="40"/>
      <c r="BZ575" s="40"/>
      <c r="CA575" s="40"/>
      <c r="CB575" s="40"/>
      <c r="CC575" s="40"/>
      <c r="CD575" s="40"/>
      <c r="CE575" s="40"/>
      <c r="CF575" s="40"/>
      <c r="CG575" s="40"/>
      <c r="CH575" s="40"/>
      <c r="CI575" s="40"/>
      <c r="CJ575" s="40"/>
      <c r="CK575" s="40"/>
      <c r="CL575" s="40"/>
      <c r="CM575" s="40"/>
      <c r="CN575" s="40"/>
      <c r="CO575" s="40"/>
      <c r="CP575" s="40"/>
      <c r="CQ575" s="40"/>
      <c r="CR575" s="40"/>
      <c r="CS575" s="40"/>
      <c r="CT575" s="40"/>
      <c r="CU575" s="40"/>
      <c r="CV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  <c r="BW576" s="40"/>
      <c r="BX576" s="40"/>
      <c r="BY576" s="40"/>
      <c r="BZ576" s="40"/>
      <c r="CA576" s="40"/>
      <c r="CB576" s="40"/>
      <c r="CC576" s="40"/>
      <c r="CD576" s="40"/>
      <c r="CE576" s="40"/>
      <c r="CF576" s="40"/>
      <c r="CG576" s="40"/>
      <c r="CH576" s="40"/>
      <c r="CI576" s="40"/>
      <c r="CJ576" s="40"/>
      <c r="CK576" s="40"/>
      <c r="CL576" s="40"/>
      <c r="CM576" s="40"/>
      <c r="CN576" s="40"/>
      <c r="CO576" s="40"/>
      <c r="CP576" s="40"/>
      <c r="CQ576" s="40"/>
      <c r="CR576" s="40"/>
      <c r="CS576" s="40"/>
      <c r="CT576" s="40"/>
      <c r="CU576" s="40"/>
      <c r="CV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  <c r="BW577" s="40"/>
      <c r="BX577" s="40"/>
      <c r="BY577" s="40"/>
      <c r="BZ577" s="40"/>
      <c r="CA577" s="40"/>
      <c r="CB577" s="40"/>
      <c r="CC577" s="40"/>
      <c r="CD577" s="40"/>
      <c r="CE577" s="40"/>
      <c r="CF577" s="40"/>
      <c r="CG577" s="40"/>
      <c r="CH577" s="40"/>
      <c r="CI577" s="40"/>
      <c r="CJ577" s="40"/>
      <c r="CK577" s="40"/>
      <c r="CL577" s="40"/>
      <c r="CM577" s="40"/>
      <c r="CN577" s="40"/>
      <c r="CO577" s="40"/>
      <c r="CP577" s="40"/>
      <c r="CQ577" s="40"/>
      <c r="CR577" s="40"/>
      <c r="CS577" s="40"/>
      <c r="CT577" s="40"/>
      <c r="CU577" s="40"/>
      <c r="CV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  <c r="BW578" s="40"/>
      <c r="BX578" s="40"/>
      <c r="BY578" s="40"/>
      <c r="BZ578" s="40"/>
      <c r="CA578" s="40"/>
      <c r="CB578" s="40"/>
      <c r="CC578" s="40"/>
      <c r="CD578" s="40"/>
      <c r="CE578" s="40"/>
      <c r="CF578" s="40"/>
      <c r="CG578" s="40"/>
      <c r="CH578" s="40"/>
      <c r="CI578" s="40"/>
      <c r="CJ578" s="40"/>
      <c r="CK578" s="40"/>
      <c r="CL578" s="40"/>
      <c r="CM578" s="40"/>
      <c r="CN578" s="40"/>
      <c r="CO578" s="40"/>
      <c r="CP578" s="40"/>
      <c r="CQ578" s="40"/>
      <c r="CR578" s="40"/>
      <c r="CS578" s="40"/>
      <c r="CT578" s="40"/>
      <c r="CU578" s="40"/>
      <c r="CV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  <c r="BW579" s="40"/>
      <c r="BX579" s="40"/>
      <c r="BY579" s="40"/>
      <c r="BZ579" s="40"/>
      <c r="CA579" s="40"/>
      <c r="CB579" s="40"/>
      <c r="CC579" s="40"/>
      <c r="CD579" s="40"/>
      <c r="CE579" s="40"/>
      <c r="CF579" s="40"/>
      <c r="CG579" s="40"/>
      <c r="CH579" s="40"/>
      <c r="CI579" s="40"/>
      <c r="CJ579" s="40"/>
      <c r="CK579" s="40"/>
      <c r="CL579" s="40"/>
      <c r="CM579" s="40"/>
      <c r="CN579" s="40"/>
      <c r="CO579" s="40"/>
      <c r="CP579" s="40"/>
      <c r="CQ579" s="40"/>
      <c r="CR579" s="40"/>
      <c r="CS579" s="40"/>
      <c r="CT579" s="40"/>
      <c r="CU579" s="40"/>
      <c r="CV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  <c r="BW580" s="40"/>
      <c r="BX580" s="40"/>
      <c r="BY580" s="40"/>
      <c r="BZ580" s="40"/>
      <c r="CA580" s="40"/>
      <c r="CB580" s="40"/>
      <c r="CC580" s="40"/>
      <c r="CD580" s="40"/>
      <c r="CE580" s="40"/>
      <c r="CF580" s="40"/>
      <c r="CG580" s="40"/>
      <c r="CH580" s="40"/>
      <c r="CI580" s="40"/>
      <c r="CJ580" s="40"/>
      <c r="CK580" s="40"/>
      <c r="CL580" s="40"/>
      <c r="CM580" s="40"/>
      <c r="CN580" s="40"/>
      <c r="CO580" s="40"/>
      <c r="CP580" s="40"/>
      <c r="CQ580" s="40"/>
      <c r="CR580" s="40"/>
      <c r="CS580" s="40"/>
      <c r="CT580" s="40"/>
      <c r="CU580" s="40"/>
      <c r="CV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  <c r="BW581" s="40"/>
      <c r="BX581" s="40"/>
      <c r="BY581" s="40"/>
      <c r="BZ581" s="40"/>
      <c r="CA581" s="40"/>
      <c r="CB581" s="40"/>
      <c r="CC581" s="40"/>
      <c r="CD581" s="40"/>
      <c r="CE581" s="40"/>
      <c r="CF581" s="40"/>
      <c r="CG581" s="40"/>
      <c r="CH581" s="40"/>
      <c r="CI581" s="40"/>
      <c r="CJ581" s="40"/>
      <c r="CK581" s="40"/>
      <c r="CL581" s="40"/>
      <c r="CM581" s="40"/>
      <c r="CN581" s="40"/>
      <c r="CO581" s="40"/>
      <c r="CP581" s="40"/>
      <c r="CQ581" s="40"/>
      <c r="CR581" s="40"/>
      <c r="CS581" s="40"/>
      <c r="CT581" s="40"/>
      <c r="CU581" s="40"/>
      <c r="CV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  <c r="BW582" s="40"/>
      <c r="BX582" s="40"/>
      <c r="BY582" s="40"/>
      <c r="BZ582" s="40"/>
      <c r="CA582" s="40"/>
      <c r="CB582" s="40"/>
      <c r="CC582" s="40"/>
      <c r="CD582" s="40"/>
      <c r="CE582" s="40"/>
      <c r="CF582" s="40"/>
      <c r="CG582" s="40"/>
      <c r="CH582" s="40"/>
      <c r="CI582" s="40"/>
      <c r="CJ582" s="40"/>
      <c r="CK582" s="40"/>
      <c r="CL582" s="40"/>
      <c r="CM582" s="40"/>
      <c r="CN582" s="40"/>
      <c r="CO582" s="40"/>
      <c r="CP582" s="40"/>
      <c r="CQ582" s="40"/>
      <c r="CR582" s="40"/>
      <c r="CS582" s="40"/>
      <c r="CT582" s="40"/>
      <c r="CU582" s="40"/>
      <c r="CV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  <c r="BW583" s="40"/>
      <c r="BX583" s="40"/>
      <c r="BY583" s="40"/>
      <c r="BZ583" s="40"/>
      <c r="CA583" s="40"/>
      <c r="CB583" s="40"/>
      <c r="CC583" s="40"/>
      <c r="CD583" s="40"/>
      <c r="CE583" s="40"/>
      <c r="CF583" s="40"/>
      <c r="CG583" s="40"/>
      <c r="CH583" s="40"/>
      <c r="CI583" s="40"/>
      <c r="CJ583" s="40"/>
      <c r="CK583" s="40"/>
      <c r="CL583" s="40"/>
      <c r="CM583" s="40"/>
      <c r="CN583" s="40"/>
      <c r="CO583" s="40"/>
      <c r="CP583" s="40"/>
      <c r="CQ583" s="40"/>
      <c r="CR583" s="40"/>
      <c r="CS583" s="40"/>
      <c r="CT583" s="40"/>
      <c r="CU583" s="40"/>
      <c r="CV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  <c r="BW584" s="40"/>
      <c r="BX584" s="40"/>
      <c r="BY584" s="40"/>
      <c r="BZ584" s="40"/>
      <c r="CA584" s="40"/>
      <c r="CB584" s="40"/>
      <c r="CC584" s="40"/>
      <c r="CD584" s="40"/>
      <c r="CE584" s="40"/>
      <c r="CF584" s="40"/>
      <c r="CG584" s="40"/>
      <c r="CH584" s="40"/>
      <c r="CI584" s="40"/>
      <c r="CJ584" s="40"/>
      <c r="CK584" s="40"/>
      <c r="CL584" s="40"/>
      <c r="CM584" s="40"/>
      <c r="CN584" s="40"/>
      <c r="CO584" s="40"/>
      <c r="CP584" s="40"/>
      <c r="CQ584" s="40"/>
      <c r="CR584" s="40"/>
      <c r="CS584" s="40"/>
      <c r="CT584" s="40"/>
      <c r="CU584" s="40"/>
      <c r="CV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  <c r="BW585" s="40"/>
      <c r="BX585" s="40"/>
      <c r="BY585" s="40"/>
      <c r="BZ585" s="40"/>
      <c r="CA585" s="40"/>
      <c r="CB585" s="40"/>
      <c r="CC585" s="40"/>
      <c r="CD585" s="40"/>
      <c r="CE585" s="40"/>
      <c r="CF585" s="40"/>
      <c r="CG585" s="40"/>
      <c r="CH585" s="40"/>
      <c r="CI585" s="40"/>
      <c r="CJ585" s="40"/>
      <c r="CK585" s="40"/>
      <c r="CL585" s="40"/>
      <c r="CM585" s="40"/>
      <c r="CN585" s="40"/>
      <c r="CO585" s="40"/>
      <c r="CP585" s="40"/>
      <c r="CQ585" s="40"/>
      <c r="CR585" s="40"/>
      <c r="CS585" s="40"/>
      <c r="CT585" s="40"/>
      <c r="CU585" s="40"/>
      <c r="CV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  <c r="BW586" s="40"/>
      <c r="BX586" s="40"/>
      <c r="BY586" s="40"/>
      <c r="BZ586" s="40"/>
      <c r="CA586" s="40"/>
      <c r="CB586" s="40"/>
      <c r="CC586" s="40"/>
      <c r="CD586" s="40"/>
      <c r="CE586" s="40"/>
      <c r="CF586" s="40"/>
      <c r="CG586" s="40"/>
      <c r="CH586" s="40"/>
      <c r="CI586" s="40"/>
      <c r="CJ586" s="40"/>
      <c r="CK586" s="40"/>
      <c r="CL586" s="40"/>
      <c r="CM586" s="40"/>
      <c r="CN586" s="40"/>
      <c r="CO586" s="40"/>
      <c r="CP586" s="40"/>
      <c r="CQ586" s="40"/>
      <c r="CR586" s="40"/>
      <c r="CS586" s="40"/>
      <c r="CT586" s="40"/>
      <c r="CU586" s="40"/>
      <c r="CV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  <c r="BW587" s="40"/>
      <c r="BX587" s="40"/>
      <c r="BY587" s="40"/>
      <c r="BZ587" s="40"/>
      <c r="CA587" s="40"/>
      <c r="CB587" s="40"/>
      <c r="CC587" s="40"/>
      <c r="CD587" s="40"/>
      <c r="CE587" s="40"/>
      <c r="CF587" s="40"/>
      <c r="CG587" s="40"/>
      <c r="CH587" s="40"/>
      <c r="CI587" s="40"/>
      <c r="CJ587" s="40"/>
      <c r="CK587" s="40"/>
      <c r="CL587" s="40"/>
      <c r="CM587" s="40"/>
      <c r="CN587" s="40"/>
      <c r="CO587" s="40"/>
      <c r="CP587" s="40"/>
      <c r="CQ587" s="40"/>
      <c r="CR587" s="40"/>
      <c r="CS587" s="40"/>
      <c r="CT587" s="40"/>
      <c r="CU587" s="40"/>
      <c r="CV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  <c r="BW588" s="40"/>
      <c r="BX588" s="40"/>
      <c r="BY588" s="40"/>
      <c r="BZ588" s="40"/>
      <c r="CA588" s="40"/>
      <c r="CB588" s="40"/>
      <c r="CC588" s="40"/>
      <c r="CD588" s="40"/>
      <c r="CE588" s="40"/>
      <c r="CF588" s="40"/>
      <c r="CG588" s="40"/>
      <c r="CH588" s="40"/>
      <c r="CI588" s="40"/>
      <c r="CJ588" s="40"/>
      <c r="CK588" s="40"/>
      <c r="CL588" s="40"/>
      <c r="CM588" s="40"/>
      <c r="CN588" s="40"/>
      <c r="CO588" s="40"/>
      <c r="CP588" s="40"/>
      <c r="CQ588" s="40"/>
      <c r="CR588" s="40"/>
      <c r="CS588" s="40"/>
      <c r="CT588" s="40"/>
      <c r="CU588" s="40"/>
      <c r="CV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  <c r="BW589" s="40"/>
      <c r="BX589" s="40"/>
      <c r="BY589" s="40"/>
      <c r="BZ589" s="40"/>
      <c r="CA589" s="40"/>
      <c r="CB589" s="40"/>
      <c r="CC589" s="40"/>
      <c r="CD589" s="40"/>
      <c r="CE589" s="40"/>
      <c r="CF589" s="40"/>
      <c r="CG589" s="40"/>
      <c r="CH589" s="40"/>
      <c r="CI589" s="40"/>
      <c r="CJ589" s="40"/>
      <c r="CK589" s="40"/>
      <c r="CL589" s="40"/>
      <c r="CM589" s="40"/>
      <c r="CN589" s="40"/>
      <c r="CO589" s="40"/>
      <c r="CP589" s="40"/>
      <c r="CQ589" s="40"/>
      <c r="CR589" s="40"/>
      <c r="CS589" s="40"/>
      <c r="CT589" s="40"/>
      <c r="CU589" s="40"/>
      <c r="CV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  <c r="BW590" s="40"/>
      <c r="BX590" s="40"/>
      <c r="BY590" s="40"/>
      <c r="BZ590" s="40"/>
      <c r="CA590" s="40"/>
      <c r="CB590" s="40"/>
      <c r="CC590" s="40"/>
      <c r="CD590" s="40"/>
      <c r="CE590" s="40"/>
      <c r="CF590" s="40"/>
      <c r="CG590" s="40"/>
      <c r="CH590" s="40"/>
      <c r="CI590" s="40"/>
      <c r="CJ590" s="40"/>
      <c r="CK590" s="40"/>
      <c r="CL590" s="40"/>
      <c r="CM590" s="40"/>
      <c r="CN590" s="40"/>
      <c r="CO590" s="40"/>
      <c r="CP590" s="40"/>
      <c r="CQ590" s="40"/>
      <c r="CR590" s="40"/>
      <c r="CS590" s="40"/>
      <c r="CT590" s="40"/>
      <c r="CU590" s="40"/>
      <c r="CV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  <c r="BW591" s="40"/>
      <c r="BX591" s="40"/>
      <c r="BY591" s="40"/>
      <c r="BZ591" s="40"/>
      <c r="CA591" s="40"/>
      <c r="CB591" s="40"/>
      <c r="CC591" s="40"/>
      <c r="CD591" s="40"/>
      <c r="CE591" s="40"/>
      <c r="CF591" s="40"/>
      <c r="CG591" s="40"/>
      <c r="CH591" s="40"/>
      <c r="CI591" s="40"/>
      <c r="CJ591" s="40"/>
      <c r="CK591" s="40"/>
      <c r="CL591" s="40"/>
      <c r="CM591" s="40"/>
      <c r="CN591" s="40"/>
      <c r="CO591" s="40"/>
      <c r="CP591" s="40"/>
      <c r="CQ591" s="40"/>
      <c r="CR591" s="40"/>
      <c r="CS591" s="40"/>
      <c r="CT591" s="40"/>
      <c r="CU591" s="40"/>
      <c r="CV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  <c r="BW592" s="40"/>
      <c r="BX592" s="40"/>
      <c r="BY592" s="40"/>
      <c r="BZ592" s="40"/>
      <c r="CA592" s="40"/>
      <c r="CB592" s="40"/>
      <c r="CC592" s="40"/>
      <c r="CD592" s="40"/>
      <c r="CE592" s="40"/>
      <c r="CF592" s="40"/>
      <c r="CG592" s="40"/>
      <c r="CH592" s="40"/>
      <c r="CI592" s="40"/>
      <c r="CJ592" s="40"/>
      <c r="CK592" s="40"/>
      <c r="CL592" s="40"/>
      <c r="CM592" s="40"/>
      <c r="CN592" s="40"/>
      <c r="CO592" s="40"/>
      <c r="CP592" s="40"/>
      <c r="CQ592" s="40"/>
      <c r="CR592" s="40"/>
      <c r="CS592" s="40"/>
      <c r="CT592" s="40"/>
      <c r="CU592" s="40"/>
      <c r="CV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  <c r="BW593" s="40"/>
      <c r="BX593" s="40"/>
      <c r="BY593" s="40"/>
      <c r="BZ593" s="40"/>
      <c r="CA593" s="40"/>
      <c r="CB593" s="40"/>
      <c r="CC593" s="40"/>
      <c r="CD593" s="40"/>
      <c r="CE593" s="40"/>
      <c r="CF593" s="40"/>
      <c r="CG593" s="40"/>
      <c r="CH593" s="40"/>
      <c r="CI593" s="40"/>
      <c r="CJ593" s="40"/>
      <c r="CK593" s="40"/>
      <c r="CL593" s="40"/>
      <c r="CM593" s="40"/>
      <c r="CN593" s="40"/>
      <c r="CO593" s="40"/>
      <c r="CP593" s="40"/>
      <c r="CQ593" s="40"/>
      <c r="CR593" s="40"/>
      <c r="CS593" s="40"/>
      <c r="CT593" s="40"/>
      <c r="CU593" s="40"/>
      <c r="CV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  <c r="BW594" s="40"/>
      <c r="BX594" s="40"/>
      <c r="BY594" s="40"/>
      <c r="BZ594" s="40"/>
      <c r="CA594" s="40"/>
      <c r="CB594" s="40"/>
      <c r="CC594" s="40"/>
      <c r="CD594" s="40"/>
      <c r="CE594" s="40"/>
      <c r="CF594" s="40"/>
      <c r="CG594" s="40"/>
      <c r="CH594" s="40"/>
      <c r="CI594" s="40"/>
      <c r="CJ594" s="40"/>
      <c r="CK594" s="40"/>
      <c r="CL594" s="40"/>
      <c r="CM594" s="40"/>
      <c r="CN594" s="40"/>
      <c r="CO594" s="40"/>
      <c r="CP594" s="40"/>
      <c r="CQ594" s="40"/>
      <c r="CR594" s="40"/>
      <c r="CS594" s="40"/>
      <c r="CT594" s="40"/>
      <c r="CU594" s="40"/>
      <c r="CV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  <c r="BW595" s="40"/>
      <c r="BX595" s="40"/>
      <c r="BY595" s="40"/>
      <c r="BZ595" s="40"/>
      <c r="CA595" s="40"/>
      <c r="CB595" s="40"/>
      <c r="CC595" s="40"/>
      <c r="CD595" s="40"/>
      <c r="CE595" s="40"/>
      <c r="CF595" s="40"/>
      <c r="CG595" s="40"/>
      <c r="CH595" s="40"/>
      <c r="CI595" s="40"/>
      <c r="CJ595" s="40"/>
      <c r="CK595" s="40"/>
      <c r="CL595" s="40"/>
      <c r="CM595" s="40"/>
      <c r="CN595" s="40"/>
      <c r="CO595" s="40"/>
      <c r="CP595" s="40"/>
      <c r="CQ595" s="40"/>
      <c r="CR595" s="40"/>
      <c r="CS595" s="40"/>
      <c r="CT595" s="40"/>
      <c r="CU595" s="40"/>
      <c r="CV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  <c r="BW596" s="40"/>
      <c r="BX596" s="40"/>
      <c r="BY596" s="40"/>
      <c r="BZ596" s="40"/>
      <c r="CA596" s="40"/>
      <c r="CB596" s="40"/>
      <c r="CC596" s="40"/>
      <c r="CD596" s="40"/>
      <c r="CE596" s="40"/>
      <c r="CF596" s="40"/>
      <c r="CG596" s="40"/>
      <c r="CH596" s="40"/>
      <c r="CI596" s="40"/>
      <c r="CJ596" s="40"/>
      <c r="CK596" s="40"/>
      <c r="CL596" s="40"/>
      <c r="CM596" s="40"/>
      <c r="CN596" s="40"/>
      <c r="CO596" s="40"/>
      <c r="CP596" s="40"/>
      <c r="CQ596" s="40"/>
      <c r="CR596" s="40"/>
      <c r="CS596" s="40"/>
      <c r="CT596" s="40"/>
      <c r="CU596" s="40"/>
      <c r="CV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  <c r="BW597" s="40"/>
      <c r="BX597" s="40"/>
      <c r="BY597" s="40"/>
      <c r="BZ597" s="40"/>
      <c r="CA597" s="40"/>
      <c r="CB597" s="40"/>
      <c r="CC597" s="40"/>
      <c r="CD597" s="40"/>
      <c r="CE597" s="40"/>
      <c r="CF597" s="40"/>
      <c r="CG597" s="40"/>
      <c r="CH597" s="40"/>
      <c r="CI597" s="40"/>
      <c r="CJ597" s="40"/>
      <c r="CK597" s="40"/>
      <c r="CL597" s="40"/>
      <c r="CM597" s="40"/>
      <c r="CN597" s="40"/>
      <c r="CO597" s="40"/>
      <c r="CP597" s="40"/>
      <c r="CQ597" s="40"/>
      <c r="CR597" s="40"/>
      <c r="CS597" s="40"/>
      <c r="CT597" s="40"/>
      <c r="CU597" s="40"/>
      <c r="CV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  <c r="BW598" s="40"/>
      <c r="BX598" s="40"/>
      <c r="BY598" s="40"/>
      <c r="BZ598" s="40"/>
      <c r="CA598" s="40"/>
      <c r="CB598" s="40"/>
      <c r="CC598" s="40"/>
      <c r="CD598" s="40"/>
      <c r="CE598" s="40"/>
      <c r="CF598" s="40"/>
      <c r="CG598" s="40"/>
      <c r="CH598" s="40"/>
      <c r="CI598" s="40"/>
      <c r="CJ598" s="40"/>
      <c r="CK598" s="40"/>
      <c r="CL598" s="40"/>
      <c r="CM598" s="40"/>
      <c r="CN598" s="40"/>
      <c r="CO598" s="40"/>
      <c r="CP598" s="40"/>
      <c r="CQ598" s="40"/>
      <c r="CR598" s="40"/>
      <c r="CS598" s="40"/>
      <c r="CT598" s="40"/>
      <c r="CU598" s="40"/>
      <c r="CV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  <c r="BW599" s="40"/>
      <c r="BX599" s="40"/>
      <c r="BY599" s="40"/>
      <c r="BZ599" s="40"/>
      <c r="CA599" s="40"/>
      <c r="CB599" s="40"/>
      <c r="CC599" s="40"/>
      <c r="CD599" s="40"/>
      <c r="CE599" s="40"/>
      <c r="CF599" s="40"/>
      <c r="CG599" s="40"/>
      <c r="CH599" s="40"/>
      <c r="CI599" s="40"/>
      <c r="CJ599" s="40"/>
      <c r="CK599" s="40"/>
      <c r="CL599" s="40"/>
      <c r="CM599" s="40"/>
      <c r="CN599" s="40"/>
      <c r="CO599" s="40"/>
      <c r="CP599" s="40"/>
      <c r="CQ599" s="40"/>
      <c r="CR599" s="40"/>
      <c r="CS599" s="40"/>
      <c r="CT599" s="40"/>
      <c r="CU599" s="40"/>
      <c r="CV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  <c r="BW600" s="40"/>
      <c r="BX600" s="40"/>
      <c r="BY600" s="40"/>
      <c r="BZ600" s="40"/>
      <c r="CA600" s="40"/>
      <c r="CB600" s="40"/>
      <c r="CC600" s="40"/>
      <c r="CD600" s="40"/>
      <c r="CE600" s="40"/>
      <c r="CF600" s="40"/>
      <c r="CG600" s="40"/>
      <c r="CH600" s="40"/>
      <c r="CI600" s="40"/>
      <c r="CJ600" s="40"/>
      <c r="CK600" s="40"/>
      <c r="CL600" s="40"/>
      <c r="CM600" s="40"/>
      <c r="CN600" s="40"/>
      <c r="CO600" s="40"/>
      <c r="CP600" s="40"/>
      <c r="CQ600" s="40"/>
      <c r="CR600" s="40"/>
      <c r="CS600" s="40"/>
      <c r="CT600" s="40"/>
      <c r="CU600" s="40"/>
      <c r="CV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  <c r="BW601" s="40"/>
      <c r="BX601" s="40"/>
      <c r="BY601" s="40"/>
      <c r="BZ601" s="40"/>
      <c r="CA601" s="40"/>
      <c r="CB601" s="40"/>
      <c r="CC601" s="40"/>
      <c r="CD601" s="40"/>
      <c r="CE601" s="40"/>
      <c r="CF601" s="40"/>
      <c r="CG601" s="40"/>
      <c r="CH601" s="40"/>
      <c r="CI601" s="40"/>
      <c r="CJ601" s="40"/>
      <c r="CK601" s="40"/>
      <c r="CL601" s="40"/>
      <c r="CM601" s="40"/>
      <c r="CN601" s="40"/>
      <c r="CO601" s="40"/>
      <c r="CP601" s="40"/>
      <c r="CQ601" s="40"/>
      <c r="CR601" s="40"/>
      <c r="CS601" s="40"/>
      <c r="CT601" s="40"/>
      <c r="CU601" s="40"/>
      <c r="CV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  <c r="BW602" s="40"/>
      <c r="BX602" s="40"/>
      <c r="BY602" s="40"/>
      <c r="BZ602" s="40"/>
      <c r="CA602" s="40"/>
      <c r="CB602" s="40"/>
      <c r="CC602" s="40"/>
      <c r="CD602" s="40"/>
      <c r="CE602" s="40"/>
      <c r="CF602" s="40"/>
      <c r="CG602" s="40"/>
      <c r="CH602" s="40"/>
      <c r="CI602" s="40"/>
      <c r="CJ602" s="40"/>
      <c r="CK602" s="40"/>
      <c r="CL602" s="40"/>
      <c r="CM602" s="40"/>
      <c r="CN602" s="40"/>
      <c r="CO602" s="40"/>
      <c r="CP602" s="40"/>
      <c r="CQ602" s="40"/>
      <c r="CR602" s="40"/>
      <c r="CS602" s="40"/>
      <c r="CT602" s="40"/>
      <c r="CU602" s="40"/>
      <c r="CV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  <c r="BU603" s="40"/>
      <c r="BV603" s="40"/>
      <c r="BW603" s="40"/>
      <c r="BX603" s="40"/>
      <c r="BY603" s="40"/>
      <c r="BZ603" s="40"/>
      <c r="CA603" s="40"/>
      <c r="CB603" s="40"/>
      <c r="CC603" s="40"/>
      <c r="CD603" s="40"/>
      <c r="CE603" s="40"/>
      <c r="CF603" s="40"/>
      <c r="CG603" s="40"/>
      <c r="CH603" s="40"/>
      <c r="CI603" s="40"/>
      <c r="CJ603" s="40"/>
      <c r="CK603" s="40"/>
      <c r="CL603" s="40"/>
      <c r="CM603" s="40"/>
      <c r="CN603" s="40"/>
      <c r="CO603" s="40"/>
      <c r="CP603" s="40"/>
      <c r="CQ603" s="40"/>
      <c r="CR603" s="40"/>
      <c r="CS603" s="40"/>
      <c r="CT603" s="40"/>
      <c r="CU603" s="40"/>
      <c r="CV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  <c r="BU604" s="40"/>
      <c r="BV604" s="40"/>
      <c r="BW604" s="40"/>
      <c r="BX604" s="40"/>
      <c r="BY604" s="40"/>
      <c r="BZ604" s="40"/>
      <c r="CA604" s="40"/>
      <c r="CB604" s="40"/>
      <c r="CC604" s="40"/>
      <c r="CD604" s="40"/>
      <c r="CE604" s="40"/>
      <c r="CF604" s="40"/>
      <c r="CG604" s="40"/>
      <c r="CH604" s="40"/>
      <c r="CI604" s="40"/>
      <c r="CJ604" s="40"/>
      <c r="CK604" s="40"/>
      <c r="CL604" s="40"/>
      <c r="CM604" s="40"/>
      <c r="CN604" s="40"/>
      <c r="CO604" s="40"/>
      <c r="CP604" s="40"/>
      <c r="CQ604" s="40"/>
      <c r="CR604" s="40"/>
      <c r="CS604" s="40"/>
      <c r="CT604" s="40"/>
      <c r="CU604" s="40"/>
      <c r="CV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  <c r="BU605" s="40"/>
      <c r="BV605" s="40"/>
      <c r="BW605" s="40"/>
      <c r="BX605" s="40"/>
      <c r="BY605" s="40"/>
      <c r="BZ605" s="40"/>
      <c r="CA605" s="40"/>
      <c r="CB605" s="40"/>
      <c r="CC605" s="40"/>
      <c r="CD605" s="40"/>
      <c r="CE605" s="40"/>
      <c r="CF605" s="40"/>
      <c r="CG605" s="40"/>
      <c r="CH605" s="40"/>
      <c r="CI605" s="40"/>
      <c r="CJ605" s="40"/>
      <c r="CK605" s="40"/>
      <c r="CL605" s="40"/>
      <c r="CM605" s="40"/>
      <c r="CN605" s="40"/>
      <c r="CO605" s="40"/>
      <c r="CP605" s="40"/>
      <c r="CQ605" s="40"/>
      <c r="CR605" s="40"/>
      <c r="CS605" s="40"/>
      <c r="CT605" s="40"/>
      <c r="CU605" s="40"/>
      <c r="CV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  <c r="BW606" s="40"/>
      <c r="BX606" s="40"/>
      <c r="BY606" s="40"/>
      <c r="BZ606" s="40"/>
      <c r="CA606" s="40"/>
      <c r="CB606" s="40"/>
      <c r="CC606" s="40"/>
      <c r="CD606" s="40"/>
      <c r="CE606" s="40"/>
      <c r="CF606" s="40"/>
      <c r="CG606" s="40"/>
      <c r="CH606" s="40"/>
      <c r="CI606" s="40"/>
      <c r="CJ606" s="40"/>
      <c r="CK606" s="40"/>
      <c r="CL606" s="40"/>
      <c r="CM606" s="40"/>
      <c r="CN606" s="40"/>
      <c r="CO606" s="40"/>
      <c r="CP606" s="40"/>
      <c r="CQ606" s="40"/>
      <c r="CR606" s="40"/>
      <c r="CS606" s="40"/>
      <c r="CT606" s="40"/>
      <c r="CU606" s="40"/>
      <c r="CV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  <c r="BU607" s="40"/>
      <c r="BV607" s="40"/>
      <c r="BW607" s="40"/>
      <c r="BX607" s="40"/>
      <c r="BY607" s="40"/>
      <c r="BZ607" s="40"/>
      <c r="CA607" s="40"/>
      <c r="CB607" s="40"/>
      <c r="CC607" s="40"/>
      <c r="CD607" s="40"/>
      <c r="CE607" s="40"/>
      <c r="CF607" s="40"/>
      <c r="CG607" s="40"/>
      <c r="CH607" s="40"/>
      <c r="CI607" s="40"/>
      <c r="CJ607" s="40"/>
      <c r="CK607" s="40"/>
      <c r="CL607" s="40"/>
      <c r="CM607" s="40"/>
      <c r="CN607" s="40"/>
      <c r="CO607" s="40"/>
      <c r="CP607" s="40"/>
      <c r="CQ607" s="40"/>
      <c r="CR607" s="40"/>
      <c r="CS607" s="40"/>
      <c r="CT607" s="40"/>
      <c r="CU607" s="40"/>
      <c r="CV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  <c r="BU608" s="40"/>
      <c r="BV608" s="40"/>
      <c r="BW608" s="40"/>
      <c r="BX608" s="40"/>
      <c r="BY608" s="40"/>
      <c r="BZ608" s="40"/>
      <c r="CA608" s="40"/>
      <c r="CB608" s="40"/>
      <c r="CC608" s="40"/>
      <c r="CD608" s="40"/>
      <c r="CE608" s="40"/>
      <c r="CF608" s="40"/>
      <c r="CG608" s="40"/>
      <c r="CH608" s="40"/>
      <c r="CI608" s="40"/>
      <c r="CJ608" s="40"/>
      <c r="CK608" s="40"/>
      <c r="CL608" s="40"/>
      <c r="CM608" s="40"/>
      <c r="CN608" s="40"/>
      <c r="CO608" s="40"/>
      <c r="CP608" s="40"/>
      <c r="CQ608" s="40"/>
      <c r="CR608" s="40"/>
      <c r="CS608" s="40"/>
      <c r="CT608" s="40"/>
      <c r="CU608" s="40"/>
      <c r="CV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  <c r="BU609" s="40"/>
      <c r="BV609" s="40"/>
      <c r="BW609" s="40"/>
      <c r="BX609" s="40"/>
      <c r="BY609" s="40"/>
      <c r="BZ609" s="40"/>
      <c r="CA609" s="40"/>
      <c r="CB609" s="40"/>
      <c r="CC609" s="40"/>
      <c r="CD609" s="40"/>
      <c r="CE609" s="40"/>
      <c r="CF609" s="40"/>
      <c r="CG609" s="40"/>
      <c r="CH609" s="40"/>
      <c r="CI609" s="40"/>
      <c r="CJ609" s="40"/>
      <c r="CK609" s="40"/>
      <c r="CL609" s="40"/>
      <c r="CM609" s="40"/>
      <c r="CN609" s="40"/>
      <c r="CO609" s="40"/>
      <c r="CP609" s="40"/>
      <c r="CQ609" s="40"/>
      <c r="CR609" s="40"/>
      <c r="CS609" s="40"/>
      <c r="CT609" s="40"/>
      <c r="CU609" s="40"/>
      <c r="CV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  <c r="BU610" s="40"/>
      <c r="BV610" s="40"/>
      <c r="BW610" s="40"/>
      <c r="BX610" s="40"/>
      <c r="BY610" s="40"/>
      <c r="BZ610" s="40"/>
      <c r="CA610" s="40"/>
      <c r="CB610" s="40"/>
      <c r="CC610" s="40"/>
      <c r="CD610" s="40"/>
      <c r="CE610" s="40"/>
      <c r="CF610" s="40"/>
      <c r="CG610" s="40"/>
      <c r="CH610" s="40"/>
      <c r="CI610" s="40"/>
      <c r="CJ610" s="40"/>
      <c r="CK610" s="40"/>
      <c r="CL610" s="40"/>
      <c r="CM610" s="40"/>
      <c r="CN610" s="40"/>
      <c r="CO610" s="40"/>
      <c r="CP610" s="40"/>
      <c r="CQ610" s="40"/>
      <c r="CR610" s="40"/>
      <c r="CS610" s="40"/>
      <c r="CT610" s="40"/>
      <c r="CU610" s="40"/>
      <c r="CV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  <c r="BW611" s="40"/>
      <c r="BX611" s="40"/>
      <c r="BY611" s="40"/>
      <c r="BZ611" s="40"/>
      <c r="CA611" s="40"/>
      <c r="CB611" s="40"/>
      <c r="CC611" s="40"/>
      <c r="CD611" s="40"/>
      <c r="CE611" s="40"/>
      <c r="CF611" s="40"/>
      <c r="CG611" s="40"/>
      <c r="CH611" s="40"/>
      <c r="CI611" s="40"/>
      <c r="CJ611" s="40"/>
      <c r="CK611" s="40"/>
      <c r="CL611" s="40"/>
      <c r="CM611" s="40"/>
      <c r="CN611" s="40"/>
      <c r="CO611" s="40"/>
      <c r="CP611" s="40"/>
      <c r="CQ611" s="40"/>
      <c r="CR611" s="40"/>
      <c r="CS611" s="40"/>
      <c r="CT611" s="40"/>
      <c r="CU611" s="40"/>
      <c r="CV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  <c r="BU612" s="40"/>
      <c r="BV612" s="40"/>
      <c r="BW612" s="40"/>
      <c r="BX612" s="40"/>
      <c r="BY612" s="40"/>
      <c r="BZ612" s="40"/>
      <c r="CA612" s="40"/>
      <c r="CB612" s="40"/>
      <c r="CC612" s="40"/>
      <c r="CD612" s="40"/>
      <c r="CE612" s="40"/>
      <c r="CF612" s="40"/>
      <c r="CG612" s="40"/>
      <c r="CH612" s="40"/>
      <c r="CI612" s="40"/>
      <c r="CJ612" s="40"/>
      <c r="CK612" s="40"/>
      <c r="CL612" s="40"/>
      <c r="CM612" s="40"/>
      <c r="CN612" s="40"/>
      <c r="CO612" s="40"/>
      <c r="CP612" s="40"/>
      <c r="CQ612" s="40"/>
      <c r="CR612" s="40"/>
      <c r="CS612" s="40"/>
      <c r="CT612" s="40"/>
      <c r="CU612" s="40"/>
      <c r="CV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  <c r="BU613" s="40"/>
      <c r="BV613" s="40"/>
      <c r="BW613" s="40"/>
      <c r="BX613" s="40"/>
      <c r="BY613" s="40"/>
      <c r="BZ613" s="40"/>
      <c r="CA613" s="40"/>
      <c r="CB613" s="40"/>
      <c r="CC613" s="40"/>
      <c r="CD613" s="40"/>
      <c r="CE613" s="40"/>
      <c r="CF613" s="40"/>
      <c r="CG613" s="40"/>
      <c r="CH613" s="40"/>
      <c r="CI613" s="40"/>
      <c r="CJ613" s="40"/>
      <c r="CK613" s="40"/>
      <c r="CL613" s="40"/>
      <c r="CM613" s="40"/>
      <c r="CN613" s="40"/>
      <c r="CO613" s="40"/>
      <c r="CP613" s="40"/>
      <c r="CQ613" s="40"/>
      <c r="CR613" s="40"/>
      <c r="CS613" s="40"/>
      <c r="CT613" s="40"/>
      <c r="CU613" s="40"/>
      <c r="CV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  <c r="BU614" s="40"/>
      <c r="BV614" s="40"/>
      <c r="BW614" s="40"/>
      <c r="BX614" s="40"/>
      <c r="BY614" s="40"/>
      <c r="BZ614" s="40"/>
      <c r="CA614" s="40"/>
      <c r="CB614" s="40"/>
      <c r="CC614" s="40"/>
      <c r="CD614" s="40"/>
      <c r="CE614" s="40"/>
      <c r="CF614" s="40"/>
      <c r="CG614" s="40"/>
      <c r="CH614" s="40"/>
      <c r="CI614" s="40"/>
      <c r="CJ614" s="40"/>
      <c r="CK614" s="40"/>
      <c r="CL614" s="40"/>
      <c r="CM614" s="40"/>
      <c r="CN614" s="40"/>
      <c r="CO614" s="40"/>
      <c r="CP614" s="40"/>
      <c r="CQ614" s="40"/>
      <c r="CR614" s="40"/>
      <c r="CS614" s="40"/>
      <c r="CT614" s="40"/>
      <c r="CU614" s="40"/>
      <c r="CV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  <c r="BU615" s="40"/>
      <c r="BV615" s="40"/>
      <c r="BW615" s="40"/>
      <c r="BX615" s="40"/>
      <c r="BY615" s="40"/>
      <c r="BZ615" s="40"/>
      <c r="CA615" s="40"/>
      <c r="CB615" s="40"/>
      <c r="CC615" s="40"/>
      <c r="CD615" s="40"/>
      <c r="CE615" s="40"/>
      <c r="CF615" s="40"/>
      <c r="CG615" s="40"/>
      <c r="CH615" s="40"/>
      <c r="CI615" s="40"/>
      <c r="CJ615" s="40"/>
      <c r="CK615" s="40"/>
      <c r="CL615" s="40"/>
      <c r="CM615" s="40"/>
      <c r="CN615" s="40"/>
      <c r="CO615" s="40"/>
      <c r="CP615" s="40"/>
      <c r="CQ615" s="40"/>
      <c r="CR615" s="40"/>
      <c r="CS615" s="40"/>
      <c r="CT615" s="40"/>
      <c r="CU615" s="40"/>
      <c r="CV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  <c r="BU616" s="40"/>
      <c r="BV616" s="40"/>
      <c r="BW616" s="40"/>
      <c r="BX616" s="40"/>
      <c r="BY616" s="40"/>
      <c r="BZ616" s="40"/>
      <c r="CA616" s="40"/>
      <c r="CB616" s="40"/>
      <c r="CC616" s="40"/>
      <c r="CD616" s="40"/>
      <c r="CE616" s="40"/>
      <c r="CF616" s="40"/>
      <c r="CG616" s="40"/>
      <c r="CH616" s="40"/>
      <c r="CI616" s="40"/>
      <c r="CJ616" s="40"/>
      <c r="CK616" s="40"/>
      <c r="CL616" s="40"/>
      <c r="CM616" s="40"/>
      <c r="CN616" s="40"/>
      <c r="CO616" s="40"/>
      <c r="CP616" s="40"/>
      <c r="CQ616" s="40"/>
      <c r="CR616" s="40"/>
      <c r="CS616" s="40"/>
      <c r="CT616" s="40"/>
      <c r="CU616" s="40"/>
      <c r="CV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  <c r="BU617" s="40"/>
      <c r="BV617" s="40"/>
      <c r="BW617" s="40"/>
      <c r="BX617" s="40"/>
      <c r="BY617" s="40"/>
      <c r="BZ617" s="40"/>
      <c r="CA617" s="40"/>
      <c r="CB617" s="40"/>
      <c r="CC617" s="40"/>
      <c r="CD617" s="40"/>
      <c r="CE617" s="40"/>
      <c r="CF617" s="40"/>
      <c r="CG617" s="40"/>
      <c r="CH617" s="40"/>
      <c r="CI617" s="40"/>
      <c r="CJ617" s="40"/>
      <c r="CK617" s="40"/>
      <c r="CL617" s="40"/>
      <c r="CM617" s="40"/>
      <c r="CN617" s="40"/>
      <c r="CO617" s="40"/>
      <c r="CP617" s="40"/>
      <c r="CQ617" s="40"/>
      <c r="CR617" s="40"/>
      <c r="CS617" s="40"/>
      <c r="CT617" s="40"/>
      <c r="CU617" s="40"/>
      <c r="CV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  <c r="BW618" s="40"/>
      <c r="BX618" s="40"/>
      <c r="BY618" s="40"/>
      <c r="BZ618" s="40"/>
      <c r="CA618" s="40"/>
      <c r="CB618" s="40"/>
      <c r="CC618" s="40"/>
      <c r="CD618" s="40"/>
      <c r="CE618" s="40"/>
      <c r="CF618" s="40"/>
      <c r="CG618" s="40"/>
      <c r="CH618" s="40"/>
      <c r="CI618" s="40"/>
      <c r="CJ618" s="40"/>
      <c r="CK618" s="40"/>
      <c r="CL618" s="40"/>
      <c r="CM618" s="40"/>
      <c r="CN618" s="40"/>
      <c r="CO618" s="40"/>
      <c r="CP618" s="40"/>
      <c r="CQ618" s="40"/>
      <c r="CR618" s="40"/>
      <c r="CS618" s="40"/>
      <c r="CT618" s="40"/>
      <c r="CU618" s="40"/>
      <c r="CV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  <c r="BU619" s="40"/>
      <c r="BV619" s="40"/>
      <c r="BW619" s="40"/>
      <c r="BX619" s="40"/>
      <c r="BY619" s="40"/>
      <c r="BZ619" s="40"/>
      <c r="CA619" s="40"/>
      <c r="CB619" s="40"/>
      <c r="CC619" s="40"/>
      <c r="CD619" s="40"/>
      <c r="CE619" s="40"/>
      <c r="CF619" s="40"/>
      <c r="CG619" s="40"/>
      <c r="CH619" s="40"/>
      <c r="CI619" s="40"/>
      <c r="CJ619" s="40"/>
      <c r="CK619" s="40"/>
      <c r="CL619" s="40"/>
      <c r="CM619" s="40"/>
      <c r="CN619" s="40"/>
      <c r="CO619" s="40"/>
      <c r="CP619" s="40"/>
      <c r="CQ619" s="40"/>
      <c r="CR619" s="40"/>
      <c r="CS619" s="40"/>
      <c r="CT619" s="40"/>
      <c r="CU619" s="40"/>
      <c r="CV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  <c r="BU620" s="40"/>
      <c r="BV620" s="40"/>
      <c r="BW620" s="40"/>
      <c r="BX620" s="40"/>
      <c r="BY620" s="40"/>
      <c r="BZ620" s="40"/>
      <c r="CA620" s="40"/>
      <c r="CB620" s="40"/>
      <c r="CC620" s="40"/>
      <c r="CD620" s="40"/>
      <c r="CE620" s="40"/>
      <c r="CF620" s="40"/>
      <c r="CG620" s="40"/>
      <c r="CH620" s="40"/>
      <c r="CI620" s="40"/>
      <c r="CJ620" s="40"/>
      <c r="CK620" s="40"/>
      <c r="CL620" s="40"/>
      <c r="CM620" s="40"/>
      <c r="CN620" s="40"/>
      <c r="CO620" s="40"/>
      <c r="CP620" s="40"/>
      <c r="CQ620" s="40"/>
      <c r="CR620" s="40"/>
      <c r="CS620" s="40"/>
      <c r="CT620" s="40"/>
      <c r="CU620" s="40"/>
      <c r="CV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  <c r="BW621" s="40"/>
      <c r="BX621" s="40"/>
      <c r="BY621" s="40"/>
      <c r="BZ621" s="40"/>
      <c r="CA621" s="40"/>
      <c r="CB621" s="40"/>
      <c r="CC621" s="40"/>
      <c r="CD621" s="40"/>
      <c r="CE621" s="40"/>
      <c r="CF621" s="40"/>
      <c r="CG621" s="40"/>
      <c r="CH621" s="40"/>
      <c r="CI621" s="40"/>
      <c r="CJ621" s="40"/>
      <c r="CK621" s="40"/>
      <c r="CL621" s="40"/>
      <c r="CM621" s="40"/>
      <c r="CN621" s="40"/>
      <c r="CO621" s="40"/>
      <c r="CP621" s="40"/>
      <c r="CQ621" s="40"/>
      <c r="CR621" s="40"/>
      <c r="CS621" s="40"/>
      <c r="CT621" s="40"/>
      <c r="CU621" s="40"/>
      <c r="CV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  <c r="BU622" s="40"/>
      <c r="BV622" s="40"/>
      <c r="BW622" s="40"/>
      <c r="BX622" s="40"/>
      <c r="BY622" s="40"/>
      <c r="BZ622" s="40"/>
      <c r="CA622" s="40"/>
      <c r="CB622" s="40"/>
      <c r="CC622" s="40"/>
      <c r="CD622" s="40"/>
      <c r="CE622" s="40"/>
      <c r="CF622" s="40"/>
      <c r="CG622" s="40"/>
      <c r="CH622" s="40"/>
      <c r="CI622" s="40"/>
      <c r="CJ622" s="40"/>
      <c r="CK622" s="40"/>
      <c r="CL622" s="40"/>
      <c r="CM622" s="40"/>
      <c r="CN622" s="40"/>
      <c r="CO622" s="40"/>
      <c r="CP622" s="40"/>
      <c r="CQ622" s="40"/>
      <c r="CR622" s="40"/>
      <c r="CS622" s="40"/>
      <c r="CT622" s="40"/>
      <c r="CU622" s="40"/>
      <c r="CV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  <c r="BU623" s="40"/>
      <c r="BV623" s="40"/>
      <c r="BW623" s="40"/>
      <c r="BX623" s="40"/>
      <c r="BY623" s="40"/>
      <c r="BZ623" s="40"/>
      <c r="CA623" s="40"/>
      <c r="CB623" s="40"/>
      <c r="CC623" s="40"/>
      <c r="CD623" s="40"/>
      <c r="CE623" s="40"/>
      <c r="CF623" s="40"/>
      <c r="CG623" s="40"/>
      <c r="CH623" s="40"/>
      <c r="CI623" s="40"/>
      <c r="CJ623" s="40"/>
      <c r="CK623" s="40"/>
      <c r="CL623" s="40"/>
      <c r="CM623" s="40"/>
      <c r="CN623" s="40"/>
      <c r="CO623" s="40"/>
      <c r="CP623" s="40"/>
      <c r="CQ623" s="40"/>
      <c r="CR623" s="40"/>
      <c r="CS623" s="40"/>
      <c r="CT623" s="40"/>
      <c r="CU623" s="40"/>
      <c r="CV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  <c r="BU624" s="40"/>
      <c r="BV624" s="40"/>
      <c r="BW624" s="40"/>
      <c r="BX624" s="40"/>
      <c r="BY624" s="40"/>
      <c r="BZ624" s="40"/>
      <c r="CA624" s="40"/>
      <c r="CB624" s="40"/>
      <c r="CC624" s="40"/>
      <c r="CD624" s="40"/>
      <c r="CE624" s="40"/>
      <c r="CF624" s="40"/>
      <c r="CG624" s="40"/>
      <c r="CH624" s="40"/>
      <c r="CI624" s="40"/>
      <c r="CJ624" s="40"/>
      <c r="CK624" s="40"/>
      <c r="CL624" s="40"/>
      <c r="CM624" s="40"/>
      <c r="CN624" s="40"/>
      <c r="CO624" s="40"/>
      <c r="CP624" s="40"/>
      <c r="CQ624" s="40"/>
      <c r="CR624" s="40"/>
      <c r="CS624" s="40"/>
      <c r="CT624" s="40"/>
      <c r="CU624" s="40"/>
      <c r="CV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  <c r="BU625" s="40"/>
      <c r="BV625" s="40"/>
      <c r="BW625" s="40"/>
      <c r="BX625" s="40"/>
      <c r="BY625" s="40"/>
      <c r="BZ625" s="40"/>
      <c r="CA625" s="40"/>
      <c r="CB625" s="40"/>
      <c r="CC625" s="40"/>
      <c r="CD625" s="40"/>
      <c r="CE625" s="40"/>
      <c r="CF625" s="40"/>
      <c r="CG625" s="40"/>
      <c r="CH625" s="40"/>
      <c r="CI625" s="40"/>
      <c r="CJ625" s="40"/>
      <c r="CK625" s="40"/>
      <c r="CL625" s="40"/>
      <c r="CM625" s="40"/>
      <c r="CN625" s="40"/>
      <c r="CO625" s="40"/>
      <c r="CP625" s="40"/>
      <c r="CQ625" s="40"/>
      <c r="CR625" s="40"/>
      <c r="CS625" s="40"/>
      <c r="CT625" s="40"/>
      <c r="CU625" s="40"/>
      <c r="CV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  <c r="BU626" s="40"/>
      <c r="BV626" s="40"/>
      <c r="BW626" s="40"/>
      <c r="BX626" s="40"/>
      <c r="BY626" s="40"/>
      <c r="BZ626" s="40"/>
      <c r="CA626" s="40"/>
      <c r="CB626" s="40"/>
      <c r="CC626" s="40"/>
      <c r="CD626" s="40"/>
      <c r="CE626" s="40"/>
      <c r="CF626" s="40"/>
      <c r="CG626" s="40"/>
      <c r="CH626" s="40"/>
      <c r="CI626" s="40"/>
      <c r="CJ626" s="40"/>
      <c r="CK626" s="40"/>
      <c r="CL626" s="40"/>
      <c r="CM626" s="40"/>
      <c r="CN626" s="40"/>
      <c r="CO626" s="40"/>
      <c r="CP626" s="40"/>
      <c r="CQ626" s="40"/>
      <c r="CR626" s="40"/>
      <c r="CS626" s="40"/>
      <c r="CT626" s="40"/>
      <c r="CU626" s="40"/>
      <c r="CV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  <c r="BU627" s="40"/>
      <c r="BV627" s="40"/>
      <c r="BW627" s="40"/>
      <c r="BX627" s="40"/>
      <c r="BY627" s="40"/>
      <c r="BZ627" s="40"/>
      <c r="CA627" s="40"/>
      <c r="CB627" s="40"/>
      <c r="CC627" s="40"/>
      <c r="CD627" s="40"/>
      <c r="CE627" s="40"/>
      <c r="CF627" s="40"/>
      <c r="CG627" s="40"/>
      <c r="CH627" s="40"/>
      <c r="CI627" s="40"/>
      <c r="CJ627" s="40"/>
      <c r="CK627" s="40"/>
      <c r="CL627" s="40"/>
      <c r="CM627" s="40"/>
      <c r="CN627" s="40"/>
      <c r="CO627" s="40"/>
      <c r="CP627" s="40"/>
      <c r="CQ627" s="40"/>
      <c r="CR627" s="40"/>
      <c r="CS627" s="40"/>
      <c r="CT627" s="40"/>
      <c r="CU627" s="40"/>
      <c r="CV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  <c r="BW628" s="40"/>
      <c r="BX628" s="40"/>
      <c r="BY628" s="40"/>
      <c r="BZ628" s="40"/>
      <c r="CA628" s="40"/>
      <c r="CB628" s="40"/>
      <c r="CC628" s="40"/>
      <c r="CD628" s="40"/>
      <c r="CE628" s="40"/>
      <c r="CF628" s="40"/>
      <c r="CG628" s="40"/>
      <c r="CH628" s="40"/>
      <c r="CI628" s="40"/>
      <c r="CJ628" s="40"/>
      <c r="CK628" s="40"/>
      <c r="CL628" s="40"/>
      <c r="CM628" s="40"/>
      <c r="CN628" s="40"/>
      <c r="CO628" s="40"/>
      <c r="CP628" s="40"/>
      <c r="CQ628" s="40"/>
      <c r="CR628" s="40"/>
      <c r="CS628" s="40"/>
      <c r="CT628" s="40"/>
      <c r="CU628" s="40"/>
      <c r="CV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  <c r="BU629" s="40"/>
      <c r="BV629" s="40"/>
      <c r="BW629" s="40"/>
      <c r="BX629" s="40"/>
      <c r="BY629" s="40"/>
      <c r="BZ629" s="40"/>
      <c r="CA629" s="40"/>
      <c r="CB629" s="40"/>
      <c r="CC629" s="40"/>
      <c r="CD629" s="40"/>
      <c r="CE629" s="40"/>
      <c r="CF629" s="40"/>
      <c r="CG629" s="40"/>
      <c r="CH629" s="40"/>
      <c r="CI629" s="40"/>
      <c r="CJ629" s="40"/>
      <c r="CK629" s="40"/>
      <c r="CL629" s="40"/>
      <c r="CM629" s="40"/>
      <c r="CN629" s="40"/>
      <c r="CO629" s="40"/>
      <c r="CP629" s="40"/>
      <c r="CQ629" s="40"/>
      <c r="CR629" s="40"/>
      <c r="CS629" s="40"/>
      <c r="CT629" s="40"/>
      <c r="CU629" s="40"/>
      <c r="CV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  <c r="BW630" s="40"/>
      <c r="BX630" s="40"/>
      <c r="BY630" s="40"/>
      <c r="BZ630" s="40"/>
      <c r="CA630" s="40"/>
      <c r="CB630" s="40"/>
      <c r="CC630" s="40"/>
      <c r="CD630" s="40"/>
      <c r="CE630" s="40"/>
      <c r="CF630" s="40"/>
      <c r="CG630" s="40"/>
      <c r="CH630" s="40"/>
      <c r="CI630" s="40"/>
      <c r="CJ630" s="40"/>
      <c r="CK630" s="40"/>
      <c r="CL630" s="40"/>
      <c r="CM630" s="40"/>
      <c r="CN630" s="40"/>
      <c r="CO630" s="40"/>
      <c r="CP630" s="40"/>
      <c r="CQ630" s="40"/>
      <c r="CR630" s="40"/>
      <c r="CS630" s="40"/>
      <c r="CT630" s="40"/>
      <c r="CU630" s="40"/>
      <c r="CV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  <c r="BU631" s="40"/>
      <c r="BV631" s="40"/>
      <c r="BW631" s="40"/>
      <c r="BX631" s="40"/>
      <c r="BY631" s="40"/>
      <c r="BZ631" s="40"/>
      <c r="CA631" s="40"/>
      <c r="CB631" s="40"/>
      <c r="CC631" s="40"/>
      <c r="CD631" s="40"/>
      <c r="CE631" s="40"/>
      <c r="CF631" s="40"/>
      <c r="CG631" s="40"/>
      <c r="CH631" s="40"/>
      <c r="CI631" s="40"/>
      <c r="CJ631" s="40"/>
      <c r="CK631" s="40"/>
      <c r="CL631" s="40"/>
      <c r="CM631" s="40"/>
      <c r="CN631" s="40"/>
      <c r="CO631" s="40"/>
      <c r="CP631" s="40"/>
      <c r="CQ631" s="40"/>
      <c r="CR631" s="40"/>
      <c r="CS631" s="40"/>
      <c r="CT631" s="40"/>
      <c r="CU631" s="40"/>
      <c r="CV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  <c r="BU632" s="40"/>
      <c r="BV632" s="40"/>
      <c r="BW632" s="40"/>
      <c r="BX632" s="40"/>
      <c r="BY632" s="40"/>
      <c r="BZ632" s="40"/>
      <c r="CA632" s="40"/>
      <c r="CB632" s="40"/>
      <c r="CC632" s="40"/>
      <c r="CD632" s="40"/>
      <c r="CE632" s="40"/>
      <c r="CF632" s="40"/>
      <c r="CG632" s="40"/>
      <c r="CH632" s="40"/>
      <c r="CI632" s="40"/>
      <c r="CJ632" s="40"/>
      <c r="CK632" s="40"/>
      <c r="CL632" s="40"/>
      <c r="CM632" s="40"/>
      <c r="CN632" s="40"/>
      <c r="CO632" s="40"/>
      <c r="CP632" s="40"/>
      <c r="CQ632" s="40"/>
      <c r="CR632" s="40"/>
      <c r="CS632" s="40"/>
      <c r="CT632" s="40"/>
      <c r="CU632" s="40"/>
      <c r="CV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  <c r="BS633" s="40"/>
      <c r="BT633" s="40"/>
      <c r="BU633" s="40"/>
      <c r="BV633" s="40"/>
      <c r="BW633" s="40"/>
      <c r="BX633" s="40"/>
      <c r="BY633" s="40"/>
      <c r="BZ633" s="40"/>
      <c r="CA633" s="40"/>
      <c r="CB633" s="40"/>
      <c r="CC633" s="40"/>
      <c r="CD633" s="40"/>
      <c r="CE633" s="40"/>
      <c r="CF633" s="40"/>
      <c r="CG633" s="40"/>
      <c r="CH633" s="40"/>
      <c r="CI633" s="40"/>
      <c r="CJ633" s="40"/>
      <c r="CK633" s="40"/>
      <c r="CL633" s="40"/>
      <c r="CM633" s="40"/>
      <c r="CN633" s="40"/>
      <c r="CO633" s="40"/>
      <c r="CP633" s="40"/>
      <c r="CQ633" s="40"/>
      <c r="CR633" s="40"/>
      <c r="CS633" s="40"/>
      <c r="CT633" s="40"/>
      <c r="CU633" s="40"/>
      <c r="CV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  <c r="BS634" s="40"/>
      <c r="BT634" s="40"/>
      <c r="BU634" s="40"/>
      <c r="BV634" s="40"/>
      <c r="BW634" s="40"/>
      <c r="BX634" s="40"/>
      <c r="BY634" s="40"/>
      <c r="BZ634" s="40"/>
      <c r="CA634" s="40"/>
      <c r="CB634" s="40"/>
      <c r="CC634" s="40"/>
      <c r="CD634" s="40"/>
      <c r="CE634" s="40"/>
      <c r="CF634" s="40"/>
      <c r="CG634" s="40"/>
      <c r="CH634" s="40"/>
      <c r="CI634" s="40"/>
      <c r="CJ634" s="40"/>
      <c r="CK634" s="40"/>
      <c r="CL634" s="40"/>
      <c r="CM634" s="40"/>
      <c r="CN634" s="40"/>
      <c r="CO634" s="40"/>
      <c r="CP634" s="40"/>
      <c r="CQ634" s="40"/>
      <c r="CR634" s="40"/>
      <c r="CS634" s="40"/>
      <c r="CT634" s="40"/>
      <c r="CU634" s="40"/>
      <c r="CV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  <c r="BS635" s="40"/>
      <c r="BT635" s="40"/>
      <c r="BU635" s="40"/>
      <c r="BV635" s="40"/>
      <c r="BW635" s="40"/>
      <c r="BX635" s="40"/>
      <c r="BY635" s="40"/>
      <c r="BZ635" s="40"/>
      <c r="CA635" s="40"/>
      <c r="CB635" s="40"/>
      <c r="CC635" s="40"/>
      <c r="CD635" s="40"/>
      <c r="CE635" s="40"/>
      <c r="CF635" s="40"/>
      <c r="CG635" s="40"/>
      <c r="CH635" s="40"/>
      <c r="CI635" s="40"/>
      <c r="CJ635" s="40"/>
      <c r="CK635" s="40"/>
      <c r="CL635" s="40"/>
      <c r="CM635" s="40"/>
      <c r="CN635" s="40"/>
      <c r="CO635" s="40"/>
      <c r="CP635" s="40"/>
      <c r="CQ635" s="40"/>
      <c r="CR635" s="40"/>
      <c r="CS635" s="40"/>
      <c r="CT635" s="40"/>
      <c r="CU635" s="40"/>
      <c r="CV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  <c r="BS636" s="40"/>
      <c r="BT636" s="40"/>
      <c r="BU636" s="40"/>
      <c r="BV636" s="40"/>
      <c r="BW636" s="40"/>
      <c r="BX636" s="40"/>
      <c r="BY636" s="40"/>
      <c r="BZ636" s="40"/>
      <c r="CA636" s="40"/>
      <c r="CB636" s="40"/>
      <c r="CC636" s="40"/>
      <c r="CD636" s="40"/>
      <c r="CE636" s="40"/>
      <c r="CF636" s="40"/>
      <c r="CG636" s="40"/>
      <c r="CH636" s="40"/>
      <c r="CI636" s="40"/>
      <c r="CJ636" s="40"/>
      <c r="CK636" s="40"/>
      <c r="CL636" s="40"/>
      <c r="CM636" s="40"/>
      <c r="CN636" s="40"/>
      <c r="CO636" s="40"/>
      <c r="CP636" s="40"/>
      <c r="CQ636" s="40"/>
      <c r="CR636" s="40"/>
      <c r="CS636" s="40"/>
      <c r="CT636" s="40"/>
      <c r="CU636" s="40"/>
      <c r="CV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  <c r="BU637" s="40"/>
      <c r="BV637" s="40"/>
      <c r="BW637" s="40"/>
      <c r="BX637" s="40"/>
      <c r="BY637" s="40"/>
      <c r="BZ637" s="40"/>
      <c r="CA637" s="40"/>
      <c r="CB637" s="40"/>
      <c r="CC637" s="40"/>
      <c r="CD637" s="40"/>
      <c r="CE637" s="40"/>
      <c r="CF637" s="40"/>
      <c r="CG637" s="40"/>
      <c r="CH637" s="40"/>
      <c r="CI637" s="40"/>
      <c r="CJ637" s="40"/>
      <c r="CK637" s="40"/>
      <c r="CL637" s="40"/>
      <c r="CM637" s="40"/>
      <c r="CN637" s="40"/>
      <c r="CO637" s="40"/>
      <c r="CP637" s="40"/>
      <c r="CQ637" s="40"/>
      <c r="CR637" s="40"/>
      <c r="CS637" s="40"/>
      <c r="CT637" s="40"/>
      <c r="CU637" s="40"/>
      <c r="CV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  <c r="BS638" s="40"/>
      <c r="BT638" s="40"/>
      <c r="BU638" s="40"/>
      <c r="BV638" s="40"/>
      <c r="BW638" s="40"/>
      <c r="BX638" s="40"/>
      <c r="BY638" s="40"/>
      <c r="BZ638" s="40"/>
      <c r="CA638" s="40"/>
      <c r="CB638" s="40"/>
      <c r="CC638" s="40"/>
      <c r="CD638" s="40"/>
      <c r="CE638" s="40"/>
      <c r="CF638" s="40"/>
      <c r="CG638" s="40"/>
      <c r="CH638" s="40"/>
      <c r="CI638" s="40"/>
      <c r="CJ638" s="40"/>
      <c r="CK638" s="40"/>
      <c r="CL638" s="40"/>
      <c r="CM638" s="40"/>
      <c r="CN638" s="40"/>
      <c r="CO638" s="40"/>
      <c r="CP638" s="40"/>
      <c r="CQ638" s="40"/>
      <c r="CR638" s="40"/>
      <c r="CS638" s="40"/>
      <c r="CT638" s="40"/>
      <c r="CU638" s="40"/>
      <c r="CV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  <c r="BU639" s="40"/>
      <c r="BV639" s="40"/>
      <c r="BW639" s="40"/>
      <c r="BX639" s="40"/>
      <c r="BY639" s="40"/>
      <c r="BZ639" s="40"/>
      <c r="CA639" s="40"/>
      <c r="CB639" s="40"/>
      <c r="CC639" s="40"/>
      <c r="CD639" s="40"/>
      <c r="CE639" s="40"/>
      <c r="CF639" s="40"/>
      <c r="CG639" s="40"/>
      <c r="CH639" s="40"/>
      <c r="CI639" s="40"/>
      <c r="CJ639" s="40"/>
      <c r="CK639" s="40"/>
      <c r="CL639" s="40"/>
      <c r="CM639" s="40"/>
      <c r="CN639" s="40"/>
      <c r="CO639" s="40"/>
      <c r="CP639" s="40"/>
      <c r="CQ639" s="40"/>
      <c r="CR639" s="40"/>
      <c r="CS639" s="40"/>
      <c r="CT639" s="40"/>
      <c r="CU639" s="40"/>
      <c r="CV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  <c r="BS640" s="40"/>
      <c r="BT640" s="40"/>
      <c r="BU640" s="40"/>
      <c r="BV640" s="40"/>
      <c r="BW640" s="40"/>
      <c r="BX640" s="40"/>
      <c r="BY640" s="40"/>
      <c r="BZ640" s="40"/>
      <c r="CA640" s="40"/>
      <c r="CB640" s="40"/>
      <c r="CC640" s="40"/>
      <c r="CD640" s="40"/>
      <c r="CE640" s="40"/>
      <c r="CF640" s="40"/>
      <c r="CG640" s="40"/>
      <c r="CH640" s="40"/>
      <c r="CI640" s="40"/>
      <c r="CJ640" s="40"/>
      <c r="CK640" s="40"/>
      <c r="CL640" s="40"/>
      <c r="CM640" s="40"/>
      <c r="CN640" s="40"/>
      <c r="CO640" s="40"/>
      <c r="CP640" s="40"/>
      <c r="CQ640" s="40"/>
      <c r="CR640" s="40"/>
      <c r="CS640" s="40"/>
      <c r="CT640" s="40"/>
      <c r="CU640" s="40"/>
      <c r="CV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  <c r="BS641" s="40"/>
      <c r="BT641" s="40"/>
      <c r="BU641" s="40"/>
      <c r="BV641" s="40"/>
      <c r="BW641" s="40"/>
      <c r="BX641" s="40"/>
      <c r="BY641" s="40"/>
      <c r="BZ641" s="40"/>
      <c r="CA641" s="40"/>
      <c r="CB641" s="40"/>
      <c r="CC641" s="40"/>
      <c r="CD641" s="40"/>
      <c r="CE641" s="40"/>
      <c r="CF641" s="40"/>
      <c r="CG641" s="40"/>
      <c r="CH641" s="40"/>
      <c r="CI641" s="40"/>
      <c r="CJ641" s="40"/>
      <c r="CK641" s="40"/>
      <c r="CL641" s="40"/>
      <c r="CM641" s="40"/>
      <c r="CN641" s="40"/>
      <c r="CO641" s="40"/>
      <c r="CP641" s="40"/>
      <c r="CQ641" s="40"/>
      <c r="CR641" s="40"/>
      <c r="CS641" s="40"/>
      <c r="CT641" s="40"/>
      <c r="CU641" s="40"/>
      <c r="CV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  <c r="BU642" s="40"/>
      <c r="BV642" s="40"/>
      <c r="BW642" s="40"/>
      <c r="BX642" s="40"/>
      <c r="BY642" s="40"/>
      <c r="BZ642" s="40"/>
      <c r="CA642" s="40"/>
      <c r="CB642" s="40"/>
      <c r="CC642" s="40"/>
      <c r="CD642" s="40"/>
      <c r="CE642" s="40"/>
      <c r="CF642" s="40"/>
      <c r="CG642" s="40"/>
      <c r="CH642" s="40"/>
      <c r="CI642" s="40"/>
      <c r="CJ642" s="40"/>
      <c r="CK642" s="40"/>
      <c r="CL642" s="40"/>
      <c r="CM642" s="40"/>
      <c r="CN642" s="40"/>
      <c r="CO642" s="40"/>
      <c r="CP642" s="40"/>
      <c r="CQ642" s="40"/>
      <c r="CR642" s="40"/>
      <c r="CS642" s="40"/>
      <c r="CT642" s="40"/>
      <c r="CU642" s="40"/>
      <c r="CV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  <c r="BS643" s="40"/>
      <c r="BT643" s="40"/>
      <c r="BU643" s="40"/>
      <c r="BV643" s="40"/>
      <c r="BW643" s="40"/>
      <c r="BX643" s="40"/>
      <c r="BY643" s="40"/>
      <c r="BZ643" s="40"/>
      <c r="CA643" s="40"/>
      <c r="CB643" s="40"/>
      <c r="CC643" s="40"/>
      <c r="CD643" s="40"/>
      <c r="CE643" s="40"/>
      <c r="CF643" s="40"/>
      <c r="CG643" s="40"/>
      <c r="CH643" s="40"/>
      <c r="CI643" s="40"/>
      <c r="CJ643" s="40"/>
      <c r="CK643" s="40"/>
      <c r="CL643" s="40"/>
      <c r="CM643" s="40"/>
      <c r="CN643" s="40"/>
      <c r="CO643" s="40"/>
      <c r="CP643" s="40"/>
      <c r="CQ643" s="40"/>
      <c r="CR643" s="40"/>
      <c r="CS643" s="40"/>
      <c r="CT643" s="40"/>
      <c r="CU643" s="40"/>
      <c r="CV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  <c r="BS644" s="40"/>
      <c r="BT644" s="40"/>
      <c r="BU644" s="40"/>
      <c r="BV644" s="40"/>
      <c r="BW644" s="40"/>
      <c r="BX644" s="40"/>
      <c r="BY644" s="40"/>
      <c r="BZ644" s="40"/>
      <c r="CA644" s="40"/>
      <c r="CB644" s="40"/>
      <c r="CC644" s="40"/>
      <c r="CD644" s="40"/>
      <c r="CE644" s="40"/>
      <c r="CF644" s="40"/>
      <c r="CG644" s="40"/>
      <c r="CH644" s="40"/>
      <c r="CI644" s="40"/>
      <c r="CJ644" s="40"/>
      <c r="CK644" s="40"/>
      <c r="CL644" s="40"/>
      <c r="CM644" s="40"/>
      <c r="CN644" s="40"/>
      <c r="CO644" s="40"/>
      <c r="CP644" s="40"/>
      <c r="CQ644" s="40"/>
      <c r="CR644" s="40"/>
      <c r="CS644" s="40"/>
      <c r="CT644" s="40"/>
      <c r="CU644" s="40"/>
      <c r="CV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  <c r="BS645" s="40"/>
      <c r="BT645" s="40"/>
      <c r="BU645" s="40"/>
      <c r="BV645" s="40"/>
      <c r="BW645" s="40"/>
      <c r="BX645" s="40"/>
      <c r="BY645" s="40"/>
      <c r="BZ645" s="40"/>
      <c r="CA645" s="40"/>
      <c r="CB645" s="40"/>
      <c r="CC645" s="40"/>
      <c r="CD645" s="40"/>
      <c r="CE645" s="40"/>
      <c r="CF645" s="40"/>
      <c r="CG645" s="40"/>
      <c r="CH645" s="40"/>
      <c r="CI645" s="40"/>
      <c r="CJ645" s="40"/>
      <c r="CK645" s="40"/>
      <c r="CL645" s="40"/>
      <c r="CM645" s="40"/>
      <c r="CN645" s="40"/>
      <c r="CO645" s="40"/>
      <c r="CP645" s="40"/>
      <c r="CQ645" s="40"/>
      <c r="CR645" s="40"/>
      <c r="CS645" s="40"/>
      <c r="CT645" s="40"/>
      <c r="CU645" s="40"/>
      <c r="CV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  <c r="BS646" s="40"/>
      <c r="BT646" s="40"/>
      <c r="BU646" s="40"/>
      <c r="BV646" s="40"/>
      <c r="BW646" s="40"/>
      <c r="BX646" s="40"/>
      <c r="BY646" s="40"/>
      <c r="BZ646" s="40"/>
      <c r="CA646" s="40"/>
      <c r="CB646" s="40"/>
      <c r="CC646" s="40"/>
      <c r="CD646" s="40"/>
      <c r="CE646" s="40"/>
      <c r="CF646" s="40"/>
      <c r="CG646" s="40"/>
      <c r="CH646" s="40"/>
      <c r="CI646" s="40"/>
      <c r="CJ646" s="40"/>
      <c r="CK646" s="40"/>
      <c r="CL646" s="40"/>
      <c r="CM646" s="40"/>
      <c r="CN646" s="40"/>
      <c r="CO646" s="40"/>
      <c r="CP646" s="40"/>
      <c r="CQ646" s="40"/>
      <c r="CR646" s="40"/>
      <c r="CS646" s="40"/>
      <c r="CT646" s="40"/>
      <c r="CU646" s="40"/>
      <c r="CV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  <c r="BS647" s="40"/>
      <c r="BT647" s="40"/>
      <c r="BU647" s="40"/>
      <c r="BV647" s="40"/>
      <c r="BW647" s="40"/>
      <c r="BX647" s="40"/>
      <c r="BY647" s="40"/>
      <c r="BZ647" s="40"/>
      <c r="CA647" s="40"/>
      <c r="CB647" s="40"/>
      <c r="CC647" s="40"/>
      <c r="CD647" s="40"/>
      <c r="CE647" s="40"/>
      <c r="CF647" s="40"/>
      <c r="CG647" s="40"/>
      <c r="CH647" s="40"/>
      <c r="CI647" s="40"/>
      <c r="CJ647" s="40"/>
      <c r="CK647" s="40"/>
      <c r="CL647" s="40"/>
      <c r="CM647" s="40"/>
      <c r="CN647" s="40"/>
      <c r="CO647" s="40"/>
      <c r="CP647" s="40"/>
      <c r="CQ647" s="40"/>
      <c r="CR647" s="40"/>
      <c r="CS647" s="40"/>
      <c r="CT647" s="40"/>
      <c r="CU647" s="40"/>
      <c r="CV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  <c r="BU648" s="40"/>
      <c r="BV648" s="40"/>
      <c r="BW648" s="40"/>
      <c r="BX648" s="40"/>
      <c r="BY648" s="40"/>
      <c r="BZ648" s="40"/>
      <c r="CA648" s="40"/>
      <c r="CB648" s="40"/>
      <c r="CC648" s="40"/>
      <c r="CD648" s="40"/>
      <c r="CE648" s="40"/>
      <c r="CF648" s="40"/>
      <c r="CG648" s="40"/>
      <c r="CH648" s="40"/>
      <c r="CI648" s="40"/>
      <c r="CJ648" s="40"/>
      <c r="CK648" s="40"/>
      <c r="CL648" s="40"/>
      <c r="CM648" s="40"/>
      <c r="CN648" s="40"/>
      <c r="CO648" s="40"/>
      <c r="CP648" s="40"/>
      <c r="CQ648" s="40"/>
      <c r="CR648" s="40"/>
      <c r="CS648" s="40"/>
      <c r="CT648" s="40"/>
      <c r="CU648" s="40"/>
      <c r="CV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  <c r="BS649" s="40"/>
      <c r="BT649" s="40"/>
      <c r="BU649" s="40"/>
      <c r="BV649" s="40"/>
      <c r="BW649" s="40"/>
      <c r="BX649" s="40"/>
      <c r="BY649" s="40"/>
      <c r="BZ649" s="40"/>
      <c r="CA649" s="40"/>
      <c r="CB649" s="40"/>
      <c r="CC649" s="40"/>
      <c r="CD649" s="40"/>
      <c r="CE649" s="40"/>
      <c r="CF649" s="40"/>
      <c r="CG649" s="40"/>
      <c r="CH649" s="40"/>
      <c r="CI649" s="40"/>
      <c r="CJ649" s="40"/>
      <c r="CK649" s="40"/>
      <c r="CL649" s="40"/>
      <c r="CM649" s="40"/>
      <c r="CN649" s="40"/>
      <c r="CO649" s="40"/>
      <c r="CP649" s="40"/>
      <c r="CQ649" s="40"/>
      <c r="CR649" s="40"/>
      <c r="CS649" s="40"/>
      <c r="CT649" s="40"/>
      <c r="CU649" s="40"/>
      <c r="CV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  <c r="BU650" s="40"/>
      <c r="BV650" s="40"/>
      <c r="BW650" s="40"/>
      <c r="BX650" s="40"/>
      <c r="BY650" s="40"/>
      <c r="BZ650" s="40"/>
      <c r="CA650" s="40"/>
      <c r="CB650" s="40"/>
      <c r="CC650" s="40"/>
      <c r="CD650" s="40"/>
      <c r="CE650" s="40"/>
      <c r="CF650" s="40"/>
      <c r="CG650" s="40"/>
      <c r="CH650" s="40"/>
      <c r="CI650" s="40"/>
      <c r="CJ650" s="40"/>
      <c r="CK650" s="40"/>
      <c r="CL650" s="40"/>
      <c r="CM650" s="40"/>
      <c r="CN650" s="40"/>
      <c r="CO650" s="40"/>
      <c r="CP650" s="40"/>
      <c r="CQ650" s="40"/>
      <c r="CR650" s="40"/>
      <c r="CS650" s="40"/>
      <c r="CT650" s="40"/>
      <c r="CU650" s="40"/>
      <c r="CV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  <c r="BS651" s="40"/>
      <c r="BT651" s="40"/>
      <c r="BU651" s="40"/>
      <c r="BV651" s="40"/>
      <c r="BW651" s="40"/>
      <c r="BX651" s="40"/>
      <c r="BY651" s="40"/>
      <c r="BZ651" s="40"/>
      <c r="CA651" s="40"/>
      <c r="CB651" s="40"/>
      <c r="CC651" s="40"/>
      <c r="CD651" s="40"/>
      <c r="CE651" s="40"/>
      <c r="CF651" s="40"/>
      <c r="CG651" s="40"/>
      <c r="CH651" s="40"/>
      <c r="CI651" s="40"/>
      <c r="CJ651" s="40"/>
      <c r="CK651" s="40"/>
      <c r="CL651" s="40"/>
      <c r="CM651" s="40"/>
      <c r="CN651" s="40"/>
      <c r="CO651" s="40"/>
      <c r="CP651" s="40"/>
      <c r="CQ651" s="40"/>
      <c r="CR651" s="40"/>
      <c r="CS651" s="40"/>
      <c r="CT651" s="40"/>
      <c r="CU651" s="40"/>
      <c r="CV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  <c r="BS652" s="40"/>
      <c r="BT652" s="40"/>
      <c r="BU652" s="40"/>
      <c r="BV652" s="40"/>
      <c r="BW652" s="40"/>
      <c r="BX652" s="40"/>
      <c r="BY652" s="40"/>
      <c r="BZ652" s="40"/>
      <c r="CA652" s="40"/>
      <c r="CB652" s="40"/>
      <c r="CC652" s="40"/>
      <c r="CD652" s="40"/>
      <c r="CE652" s="40"/>
      <c r="CF652" s="40"/>
      <c r="CG652" s="40"/>
      <c r="CH652" s="40"/>
      <c r="CI652" s="40"/>
      <c r="CJ652" s="40"/>
      <c r="CK652" s="40"/>
      <c r="CL652" s="40"/>
      <c r="CM652" s="40"/>
      <c r="CN652" s="40"/>
      <c r="CO652" s="40"/>
      <c r="CP652" s="40"/>
      <c r="CQ652" s="40"/>
      <c r="CR652" s="40"/>
      <c r="CS652" s="40"/>
      <c r="CT652" s="40"/>
      <c r="CU652" s="40"/>
      <c r="CV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  <c r="BS653" s="40"/>
      <c r="BT653" s="40"/>
      <c r="BU653" s="40"/>
      <c r="BV653" s="40"/>
      <c r="BW653" s="40"/>
      <c r="BX653" s="40"/>
      <c r="BY653" s="40"/>
      <c r="BZ653" s="40"/>
      <c r="CA653" s="40"/>
      <c r="CB653" s="40"/>
      <c r="CC653" s="40"/>
      <c r="CD653" s="40"/>
      <c r="CE653" s="40"/>
      <c r="CF653" s="40"/>
      <c r="CG653" s="40"/>
      <c r="CH653" s="40"/>
      <c r="CI653" s="40"/>
      <c r="CJ653" s="40"/>
      <c r="CK653" s="40"/>
      <c r="CL653" s="40"/>
      <c r="CM653" s="40"/>
      <c r="CN653" s="40"/>
      <c r="CO653" s="40"/>
      <c r="CP653" s="40"/>
      <c r="CQ653" s="40"/>
      <c r="CR653" s="40"/>
      <c r="CS653" s="40"/>
      <c r="CT653" s="40"/>
      <c r="CU653" s="40"/>
      <c r="CV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  <c r="BW654" s="40"/>
      <c r="BX654" s="40"/>
      <c r="BY654" s="40"/>
      <c r="BZ654" s="40"/>
      <c r="CA654" s="40"/>
      <c r="CB654" s="40"/>
      <c r="CC654" s="40"/>
      <c r="CD654" s="40"/>
      <c r="CE654" s="40"/>
      <c r="CF654" s="40"/>
      <c r="CG654" s="40"/>
      <c r="CH654" s="40"/>
      <c r="CI654" s="40"/>
      <c r="CJ654" s="40"/>
      <c r="CK654" s="40"/>
      <c r="CL654" s="40"/>
      <c r="CM654" s="40"/>
      <c r="CN654" s="40"/>
      <c r="CO654" s="40"/>
      <c r="CP654" s="40"/>
      <c r="CQ654" s="40"/>
      <c r="CR654" s="40"/>
      <c r="CS654" s="40"/>
      <c r="CT654" s="40"/>
      <c r="CU654" s="40"/>
      <c r="CV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  <c r="BW655" s="40"/>
      <c r="BX655" s="40"/>
      <c r="BY655" s="40"/>
      <c r="BZ655" s="40"/>
      <c r="CA655" s="40"/>
      <c r="CB655" s="40"/>
      <c r="CC655" s="40"/>
      <c r="CD655" s="40"/>
      <c r="CE655" s="40"/>
      <c r="CF655" s="40"/>
      <c r="CG655" s="40"/>
      <c r="CH655" s="40"/>
      <c r="CI655" s="40"/>
      <c r="CJ655" s="40"/>
      <c r="CK655" s="40"/>
      <c r="CL655" s="40"/>
      <c r="CM655" s="40"/>
      <c r="CN655" s="40"/>
      <c r="CO655" s="40"/>
      <c r="CP655" s="40"/>
      <c r="CQ655" s="40"/>
      <c r="CR655" s="40"/>
      <c r="CS655" s="40"/>
      <c r="CT655" s="40"/>
      <c r="CU655" s="40"/>
      <c r="CV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  <c r="BW656" s="40"/>
      <c r="BX656" s="40"/>
      <c r="BY656" s="40"/>
      <c r="BZ656" s="40"/>
      <c r="CA656" s="40"/>
      <c r="CB656" s="40"/>
      <c r="CC656" s="40"/>
      <c r="CD656" s="40"/>
      <c r="CE656" s="40"/>
      <c r="CF656" s="40"/>
      <c r="CG656" s="40"/>
      <c r="CH656" s="40"/>
      <c r="CI656" s="40"/>
      <c r="CJ656" s="40"/>
      <c r="CK656" s="40"/>
      <c r="CL656" s="40"/>
      <c r="CM656" s="40"/>
      <c r="CN656" s="40"/>
      <c r="CO656" s="40"/>
      <c r="CP656" s="40"/>
      <c r="CQ656" s="40"/>
      <c r="CR656" s="40"/>
      <c r="CS656" s="40"/>
      <c r="CT656" s="40"/>
      <c r="CU656" s="40"/>
      <c r="CV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  <c r="BW657" s="40"/>
      <c r="BX657" s="40"/>
      <c r="BY657" s="40"/>
      <c r="BZ657" s="40"/>
      <c r="CA657" s="40"/>
      <c r="CB657" s="40"/>
      <c r="CC657" s="40"/>
      <c r="CD657" s="40"/>
      <c r="CE657" s="40"/>
      <c r="CF657" s="40"/>
      <c r="CG657" s="40"/>
      <c r="CH657" s="40"/>
      <c r="CI657" s="40"/>
      <c r="CJ657" s="40"/>
      <c r="CK657" s="40"/>
      <c r="CL657" s="40"/>
      <c r="CM657" s="40"/>
      <c r="CN657" s="40"/>
      <c r="CO657" s="40"/>
      <c r="CP657" s="40"/>
      <c r="CQ657" s="40"/>
      <c r="CR657" s="40"/>
      <c r="CS657" s="40"/>
      <c r="CT657" s="40"/>
      <c r="CU657" s="40"/>
      <c r="CV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  <c r="BW658" s="40"/>
      <c r="BX658" s="40"/>
      <c r="BY658" s="40"/>
      <c r="BZ658" s="40"/>
      <c r="CA658" s="40"/>
      <c r="CB658" s="40"/>
      <c r="CC658" s="40"/>
      <c r="CD658" s="40"/>
      <c r="CE658" s="40"/>
      <c r="CF658" s="40"/>
      <c r="CG658" s="40"/>
      <c r="CH658" s="40"/>
      <c r="CI658" s="40"/>
      <c r="CJ658" s="40"/>
      <c r="CK658" s="40"/>
      <c r="CL658" s="40"/>
      <c r="CM658" s="40"/>
      <c r="CN658" s="40"/>
      <c r="CO658" s="40"/>
      <c r="CP658" s="40"/>
      <c r="CQ658" s="40"/>
      <c r="CR658" s="40"/>
      <c r="CS658" s="40"/>
      <c r="CT658" s="40"/>
      <c r="CU658" s="40"/>
      <c r="CV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  <c r="BW659" s="40"/>
      <c r="BX659" s="40"/>
      <c r="BY659" s="40"/>
      <c r="BZ659" s="40"/>
      <c r="CA659" s="40"/>
      <c r="CB659" s="40"/>
      <c r="CC659" s="40"/>
      <c r="CD659" s="40"/>
      <c r="CE659" s="40"/>
      <c r="CF659" s="40"/>
      <c r="CG659" s="40"/>
      <c r="CH659" s="40"/>
      <c r="CI659" s="40"/>
      <c r="CJ659" s="40"/>
      <c r="CK659" s="40"/>
      <c r="CL659" s="40"/>
      <c r="CM659" s="40"/>
      <c r="CN659" s="40"/>
      <c r="CO659" s="40"/>
      <c r="CP659" s="40"/>
      <c r="CQ659" s="40"/>
      <c r="CR659" s="40"/>
      <c r="CS659" s="40"/>
      <c r="CT659" s="40"/>
      <c r="CU659" s="40"/>
      <c r="CV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  <c r="BS660" s="40"/>
      <c r="BT660" s="40"/>
      <c r="BU660" s="40"/>
      <c r="BV660" s="40"/>
      <c r="BW660" s="40"/>
      <c r="BX660" s="40"/>
      <c r="BY660" s="40"/>
      <c r="BZ660" s="40"/>
      <c r="CA660" s="40"/>
      <c r="CB660" s="40"/>
      <c r="CC660" s="40"/>
      <c r="CD660" s="40"/>
      <c r="CE660" s="40"/>
      <c r="CF660" s="40"/>
      <c r="CG660" s="40"/>
      <c r="CH660" s="40"/>
      <c r="CI660" s="40"/>
      <c r="CJ660" s="40"/>
      <c r="CK660" s="40"/>
      <c r="CL660" s="40"/>
      <c r="CM660" s="40"/>
      <c r="CN660" s="40"/>
      <c r="CO660" s="40"/>
      <c r="CP660" s="40"/>
      <c r="CQ660" s="40"/>
      <c r="CR660" s="40"/>
      <c r="CS660" s="40"/>
      <c r="CT660" s="40"/>
      <c r="CU660" s="40"/>
      <c r="CV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  <c r="BU661" s="40"/>
      <c r="BV661" s="40"/>
      <c r="BW661" s="40"/>
      <c r="BX661" s="40"/>
      <c r="BY661" s="40"/>
      <c r="BZ661" s="40"/>
      <c r="CA661" s="40"/>
      <c r="CB661" s="40"/>
      <c r="CC661" s="40"/>
      <c r="CD661" s="40"/>
      <c r="CE661" s="40"/>
      <c r="CF661" s="40"/>
      <c r="CG661" s="40"/>
      <c r="CH661" s="40"/>
      <c r="CI661" s="40"/>
      <c r="CJ661" s="40"/>
      <c r="CK661" s="40"/>
      <c r="CL661" s="40"/>
      <c r="CM661" s="40"/>
      <c r="CN661" s="40"/>
      <c r="CO661" s="40"/>
      <c r="CP661" s="40"/>
      <c r="CQ661" s="40"/>
      <c r="CR661" s="40"/>
      <c r="CS661" s="40"/>
      <c r="CT661" s="40"/>
      <c r="CU661" s="40"/>
      <c r="CV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  <c r="BU662" s="40"/>
      <c r="BV662" s="40"/>
      <c r="BW662" s="40"/>
      <c r="BX662" s="40"/>
      <c r="BY662" s="40"/>
      <c r="BZ662" s="40"/>
      <c r="CA662" s="40"/>
      <c r="CB662" s="40"/>
      <c r="CC662" s="40"/>
      <c r="CD662" s="40"/>
      <c r="CE662" s="40"/>
      <c r="CF662" s="40"/>
      <c r="CG662" s="40"/>
      <c r="CH662" s="40"/>
      <c r="CI662" s="40"/>
      <c r="CJ662" s="40"/>
      <c r="CK662" s="40"/>
      <c r="CL662" s="40"/>
      <c r="CM662" s="40"/>
      <c r="CN662" s="40"/>
      <c r="CO662" s="40"/>
      <c r="CP662" s="40"/>
      <c r="CQ662" s="40"/>
      <c r="CR662" s="40"/>
      <c r="CS662" s="40"/>
      <c r="CT662" s="40"/>
      <c r="CU662" s="40"/>
      <c r="CV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  <c r="BU663" s="40"/>
      <c r="BV663" s="40"/>
      <c r="BW663" s="40"/>
      <c r="BX663" s="40"/>
      <c r="BY663" s="40"/>
      <c r="BZ663" s="40"/>
      <c r="CA663" s="40"/>
      <c r="CB663" s="40"/>
      <c r="CC663" s="40"/>
      <c r="CD663" s="40"/>
      <c r="CE663" s="40"/>
      <c r="CF663" s="40"/>
      <c r="CG663" s="40"/>
      <c r="CH663" s="40"/>
      <c r="CI663" s="40"/>
      <c r="CJ663" s="40"/>
      <c r="CK663" s="40"/>
      <c r="CL663" s="40"/>
      <c r="CM663" s="40"/>
      <c r="CN663" s="40"/>
      <c r="CO663" s="40"/>
      <c r="CP663" s="40"/>
      <c r="CQ663" s="40"/>
      <c r="CR663" s="40"/>
      <c r="CS663" s="40"/>
      <c r="CT663" s="40"/>
      <c r="CU663" s="40"/>
      <c r="CV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  <c r="BU664" s="40"/>
      <c r="BV664" s="40"/>
      <c r="BW664" s="40"/>
      <c r="BX664" s="40"/>
      <c r="BY664" s="40"/>
      <c r="BZ664" s="40"/>
      <c r="CA664" s="40"/>
      <c r="CB664" s="40"/>
      <c r="CC664" s="40"/>
      <c r="CD664" s="40"/>
      <c r="CE664" s="40"/>
      <c r="CF664" s="40"/>
      <c r="CG664" s="40"/>
      <c r="CH664" s="40"/>
      <c r="CI664" s="40"/>
      <c r="CJ664" s="40"/>
      <c r="CK664" s="40"/>
      <c r="CL664" s="40"/>
      <c r="CM664" s="40"/>
      <c r="CN664" s="40"/>
      <c r="CO664" s="40"/>
      <c r="CP664" s="40"/>
      <c r="CQ664" s="40"/>
      <c r="CR664" s="40"/>
      <c r="CS664" s="40"/>
      <c r="CT664" s="40"/>
      <c r="CU664" s="40"/>
      <c r="CV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  <c r="BS665" s="40"/>
      <c r="BT665" s="40"/>
      <c r="BU665" s="40"/>
      <c r="BV665" s="40"/>
      <c r="BW665" s="40"/>
      <c r="BX665" s="40"/>
      <c r="BY665" s="40"/>
      <c r="BZ665" s="40"/>
      <c r="CA665" s="40"/>
      <c r="CB665" s="40"/>
      <c r="CC665" s="40"/>
      <c r="CD665" s="40"/>
      <c r="CE665" s="40"/>
      <c r="CF665" s="40"/>
      <c r="CG665" s="40"/>
      <c r="CH665" s="40"/>
      <c r="CI665" s="40"/>
      <c r="CJ665" s="40"/>
      <c r="CK665" s="40"/>
      <c r="CL665" s="40"/>
      <c r="CM665" s="40"/>
      <c r="CN665" s="40"/>
      <c r="CO665" s="40"/>
      <c r="CP665" s="40"/>
      <c r="CQ665" s="40"/>
      <c r="CR665" s="40"/>
      <c r="CS665" s="40"/>
      <c r="CT665" s="40"/>
      <c r="CU665" s="40"/>
      <c r="CV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  <c r="BS666" s="40"/>
      <c r="BT666" s="40"/>
      <c r="BU666" s="40"/>
      <c r="BV666" s="40"/>
      <c r="BW666" s="40"/>
      <c r="BX666" s="40"/>
      <c r="BY666" s="40"/>
      <c r="BZ666" s="40"/>
      <c r="CA666" s="40"/>
      <c r="CB666" s="40"/>
      <c r="CC666" s="40"/>
      <c r="CD666" s="40"/>
      <c r="CE666" s="40"/>
      <c r="CF666" s="40"/>
      <c r="CG666" s="40"/>
      <c r="CH666" s="40"/>
      <c r="CI666" s="40"/>
      <c r="CJ666" s="40"/>
      <c r="CK666" s="40"/>
      <c r="CL666" s="40"/>
      <c r="CM666" s="40"/>
      <c r="CN666" s="40"/>
      <c r="CO666" s="40"/>
      <c r="CP666" s="40"/>
      <c r="CQ666" s="40"/>
      <c r="CR666" s="40"/>
      <c r="CS666" s="40"/>
      <c r="CT666" s="40"/>
      <c r="CU666" s="40"/>
      <c r="CV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  <c r="BS667" s="40"/>
      <c r="BT667" s="40"/>
      <c r="BU667" s="40"/>
      <c r="BV667" s="40"/>
      <c r="BW667" s="40"/>
      <c r="BX667" s="40"/>
      <c r="BY667" s="40"/>
      <c r="BZ667" s="40"/>
      <c r="CA667" s="40"/>
      <c r="CB667" s="40"/>
      <c r="CC667" s="40"/>
      <c r="CD667" s="40"/>
      <c r="CE667" s="40"/>
      <c r="CF667" s="40"/>
      <c r="CG667" s="40"/>
      <c r="CH667" s="40"/>
      <c r="CI667" s="40"/>
      <c r="CJ667" s="40"/>
      <c r="CK667" s="40"/>
      <c r="CL667" s="40"/>
      <c r="CM667" s="40"/>
      <c r="CN667" s="40"/>
      <c r="CO667" s="40"/>
      <c r="CP667" s="40"/>
      <c r="CQ667" s="40"/>
      <c r="CR667" s="40"/>
      <c r="CS667" s="40"/>
      <c r="CT667" s="40"/>
      <c r="CU667" s="40"/>
      <c r="CV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  <c r="BS668" s="40"/>
      <c r="BT668" s="40"/>
      <c r="BU668" s="40"/>
      <c r="BV668" s="40"/>
      <c r="BW668" s="40"/>
      <c r="BX668" s="40"/>
      <c r="BY668" s="40"/>
      <c r="BZ668" s="40"/>
      <c r="CA668" s="40"/>
      <c r="CB668" s="40"/>
      <c r="CC668" s="40"/>
      <c r="CD668" s="40"/>
      <c r="CE668" s="40"/>
      <c r="CF668" s="40"/>
      <c r="CG668" s="40"/>
      <c r="CH668" s="40"/>
      <c r="CI668" s="40"/>
      <c r="CJ668" s="40"/>
      <c r="CK668" s="40"/>
      <c r="CL668" s="40"/>
      <c r="CM668" s="40"/>
      <c r="CN668" s="40"/>
      <c r="CO668" s="40"/>
      <c r="CP668" s="40"/>
      <c r="CQ668" s="40"/>
      <c r="CR668" s="40"/>
      <c r="CS668" s="40"/>
      <c r="CT668" s="40"/>
      <c r="CU668" s="40"/>
      <c r="CV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  <c r="BS669" s="40"/>
      <c r="BT669" s="40"/>
      <c r="BU669" s="40"/>
      <c r="BV669" s="40"/>
      <c r="BW669" s="40"/>
      <c r="BX669" s="40"/>
      <c r="BY669" s="40"/>
      <c r="BZ669" s="40"/>
      <c r="CA669" s="40"/>
      <c r="CB669" s="40"/>
      <c r="CC669" s="40"/>
      <c r="CD669" s="40"/>
      <c r="CE669" s="40"/>
      <c r="CF669" s="40"/>
      <c r="CG669" s="40"/>
      <c r="CH669" s="40"/>
      <c r="CI669" s="40"/>
      <c r="CJ669" s="40"/>
      <c r="CK669" s="40"/>
      <c r="CL669" s="40"/>
      <c r="CM669" s="40"/>
      <c r="CN669" s="40"/>
      <c r="CO669" s="40"/>
      <c r="CP669" s="40"/>
      <c r="CQ669" s="40"/>
      <c r="CR669" s="40"/>
      <c r="CS669" s="40"/>
      <c r="CT669" s="40"/>
      <c r="CU669" s="40"/>
      <c r="CV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  <c r="BS670" s="40"/>
      <c r="BT670" s="40"/>
      <c r="BU670" s="40"/>
      <c r="BV670" s="40"/>
      <c r="BW670" s="40"/>
      <c r="BX670" s="40"/>
      <c r="BY670" s="40"/>
      <c r="BZ670" s="40"/>
      <c r="CA670" s="40"/>
      <c r="CB670" s="40"/>
      <c r="CC670" s="40"/>
      <c r="CD670" s="40"/>
      <c r="CE670" s="40"/>
      <c r="CF670" s="40"/>
      <c r="CG670" s="40"/>
      <c r="CH670" s="40"/>
      <c r="CI670" s="40"/>
      <c r="CJ670" s="40"/>
      <c r="CK670" s="40"/>
      <c r="CL670" s="40"/>
      <c r="CM670" s="40"/>
      <c r="CN670" s="40"/>
      <c r="CO670" s="40"/>
      <c r="CP670" s="40"/>
      <c r="CQ670" s="40"/>
      <c r="CR670" s="40"/>
      <c r="CS670" s="40"/>
      <c r="CT670" s="40"/>
      <c r="CU670" s="40"/>
      <c r="CV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  <c r="BS671" s="40"/>
      <c r="BT671" s="40"/>
      <c r="BU671" s="40"/>
      <c r="BV671" s="40"/>
      <c r="BW671" s="40"/>
      <c r="BX671" s="40"/>
      <c r="BY671" s="40"/>
      <c r="BZ671" s="40"/>
      <c r="CA671" s="40"/>
      <c r="CB671" s="40"/>
      <c r="CC671" s="40"/>
      <c r="CD671" s="40"/>
      <c r="CE671" s="40"/>
      <c r="CF671" s="40"/>
      <c r="CG671" s="40"/>
      <c r="CH671" s="40"/>
      <c r="CI671" s="40"/>
      <c r="CJ671" s="40"/>
      <c r="CK671" s="40"/>
      <c r="CL671" s="40"/>
      <c r="CM671" s="40"/>
      <c r="CN671" s="40"/>
      <c r="CO671" s="40"/>
      <c r="CP671" s="40"/>
      <c r="CQ671" s="40"/>
      <c r="CR671" s="40"/>
      <c r="CS671" s="40"/>
      <c r="CT671" s="40"/>
      <c r="CU671" s="40"/>
      <c r="CV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  <c r="BU672" s="40"/>
      <c r="BV672" s="40"/>
      <c r="BW672" s="40"/>
      <c r="BX672" s="40"/>
      <c r="BY672" s="40"/>
      <c r="BZ672" s="40"/>
      <c r="CA672" s="40"/>
      <c r="CB672" s="40"/>
      <c r="CC672" s="40"/>
      <c r="CD672" s="40"/>
      <c r="CE672" s="40"/>
      <c r="CF672" s="40"/>
      <c r="CG672" s="40"/>
      <c r="CH672" s="40"/>
      <c r="CI672" s="40"/>
      <c r="CJ672" s="40"/>
      <c r="CK672" s="40"/>
      <c r="CL672" s="40"/>
      <c r="CM672" s="40"/>
      <c r="CN672" s="40"/>
      <c r="CO672" s="40"/>
      <c r="CP672" s="40"/>
      <c r="CQ672" s="40"/>
      <c r="CR672" s="40"/>
      <c r="CS672" s="40"/>
      <c r="CT672" s="40"/>
      <c r="CU672" s="40"/>
      <c r="CV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  <c r="BS673" s="40"/>
      <c r="BT673" s="40"/>
      <c r="BU673" s="40"/>
      <c r="BV673" s="40"/>
      <c r="BW673" s="40"/>
      <c r="BX673" s="40"/>
      <c r="BY673" s="40"/>
      <c r="BZ673" s="40"/>
      <c r="CA673" s="40"/>
      <c r="CB673" s="40"/>
      <c r="CC673" s="40"/>
      <c r="CD673" s="40"/>
      <c r="CE673" s="40"/>
      <c r="CF673" s="40"/>
      <c r="CG673" s="40"/>
      <c r="CH673" s="40"/>
      <c r="CI673" s="40"/>
      <c r="CJ673" s="40"/>
      <c r="CK673" s="40"/>
      <c r="CL673" s="40"/>
      <c r="CM673" s="40"/>
      <c r="CN673" s="40"/>
      <c r="CO673" s="40"/>
      <c r="CP673" s="40"/>
      <c r="CQ673" s="40"/>
      <c r="CR673" s="40"/>
      <c r="CS673" s="40"/>
      <c r="CT673" s="40"/>
      <c r="CU673" s="40"/>
      <c r="CV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  <c r="BS674" s="40"/>
      <c r="BT674" s="40"/>
      <c r="BU674" s="40"/>
      <c r="BV674" s="40"/>
      <c r="BW674" s="40"/>
      <c r="BX674" s="40"/>
      <c r="BY674" s="40"/>
      <c r="BZ674" s="40"/>
      <c r="CA674" s="40"/>
      <c r="CB674" s="40"/>
      <c r="CC674" s="40"/>
      <c r="CD674" s="40"/>
      <c r="CE674" s="40"/>
      <c r="CF674" s="40"/>
      <c r="CG674" s="40"/>
      <c r="CH674" s="40"/>
      <c r="CI674" s="40"/>
      <c r="CJ674" s="40"/>
      <c r="CK674" s="40"/>
      <c r="CL674" s="40"/>
      <c r="CM674" s="40"/>
      <c r="CN674" s="40"/>
      <c r="CO674" s="40"/>
      <c r="CP674" s="40"/>
      <c r="CQ674" s="40"/>
      <c r="CR674" s="40"/>
      <c r="CS674" s="40"/>
      <c r="CT674" s="40"/>
      <c r="CU674" s="40"/>
      <c r="CV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  <c r="BS675" s="40"/>
      <c r="BT675" s="40"/>
      <c r="BU675" s="40"/>
      <c r="BV675" s="40"/>
      <c r="BW675" s="40"/>
      <c r="BX675" s="40"/>
      <c r="BY675" s="40"/>
      <c r="BZ675" s="40"/>
      <c r="CA675" s="40"/>
      <c r="CB675" s="40"/>
      <c r="CC675" s="40"/>
      <c r="CD675" s="40"/>
      <c r="CE675" s="40"/>
      <c r="CF675" s="40"/>
      <c r="CG675" s="40"/>
      <c r="CH675" s="40"/>
      <c r="CI675" s="40"/>
      <c r="CJ675" s="40"/>
      <c r="CK675" s="40"/>
      <c r="CL675" s="40"/>
      <c r="CM675" s="40"/>
      <c r="CN675" s="40"/>
      <c r="CO675" s="40"/>
      <c r="CP675" s="40"/>
      <c r="CQ675" s="40"/>
      <c r="CR675" s="40"/>
      <c r="CS675" s="40"/>
      <c r="CT675" s="40"/>
      <c r="CU675" s="40"/>
      <c r="CV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  <c r="BU676" s="40"/>
      <c r="BV676" s="40"/>
      <c r="BW676" s="40"/>
      <c r="BX676" s="40"/>
      <c r="BY676" s="40"/>
      <c r="BZ676" s="40"/>
      <c r="CA676" s="40"/>
      <c r="CB676" s="40"/>
      <c r="CC676" s="40"/>
      <c r="CD676" s="40"/>
      <c r="CE676" s="40"/>
      <c r="CF676" s="40"/>
      <c r="CG676" s="40"/>
      <c r="CH676" s="40"/>
      <c r="CI676" s="40"/>
      <c r="CJ676" s="40"/>
      <c r="CK676" s="40"/>
      <c r="CL676" s="40"/>
      <c r="CM676" s="40"/>
      <c r="CN676" s="40"/>
      <c r="CO676" s="40"/>
      <c r="CP676" s="40"/>
      <c r="CQ676" s="40"/>
      <c r="CR676" s="40"/>
      <c r="CS676" s="40"/>
      <c r="CT676" s="40"/>
      <c r="CU676" s="40"/>
      <c r="CV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  <c r="BS677" s="40"/>
      <c r="BT677" s="40"/>
      <c r="BU677" s="40"/>
      <c r="BV677" s="40"/>
      <c r="BW677" s="40"/>
      <c r="BX677" s="40"/>
      <c r="BY677" s="40"/>
      <c r="BZ677" s="40"/>
      <c r="CA677" s="40"/>
      <c r="CB677" s="40"/>
      <c r="CC677" s="40"/>
      <c r="CD677" s="40"/>
      <c r="CE677" s="40"/>
      <c r="CF677" s="40"/>
      <c r="CG677" s="40"/>
      <c r="CH677" s="40"/>
      <c r="CI677" s="40"/>
      <c r="CJ677" s="40"/>
      <c r="CK677" s="40"/>
      <c r="CL677" s="40"/>
      <c r="CM677" s="40"/>
      <c r="CN677" s="40"/>
      <c r="CO677" s="40"/>
      <c r="CP677" s="40"/>
      <c r="CQ677" s="40"/>
      <c r="CR677" s="40"/>
      <c r="CS677" s="40"/>
      <c r="CT677" s="40"/>
      <c r="CU677" s="40"/>
      <c r="CV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  <c r="BS678" s="40"/>
      <c r="BT678" s="40"/>
      <c r="BU678" s="40"/>
      <c r="BV678" s="40"/>
      <c r="BW678" s="40"/>
      <c r="BX678" s="40"/>
      <c r="BY678" s="40"/>
      <c r="BZ678" s="40"/>
      <c r="CA678" s="40"/>
      <c r="CB678" s="40"/>
      <c r="CC678" s="40"/>
      <c r="CD678" s="40"/>
      <c r="CE678" s="40"/>
      <c r="CF678" s="40"/>
      <c r="CG678" s="40"/>
      <c r="CH678" s="40"/>
      <c r="CI678" s="40"/>
      <c r="CJ678" s="40"/>
      <c r="CK678" s="40"/>
      <c r="CL678" s="40"/>
      <c r="CM678" s="40"/>
      <c r="CN678" s="40"/>
      <c r="CO678" s="40"/>
      <c r="CP678" s="40"/>
      <c r="CQ678" s="40"/>
      <c r="CR678" s="40"/>
      <c r="CS678" s="40"/>
      <c r="CT678" s="40"/>
      <c r="CU678" s="40"/>
      <c r="CV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  <c r="BS679" s="40"/>
      <c r="BT679" s="40"/>
      <c r="BU679" s="40"/>
      <c r="BV679" s="40"/>
      <c r="BW679" s="40"/>
      <c r="BX679" s="40"/>
      <c r="BY679" s="40"/>
      <c r="BZ679" s="40"/>
      <c r="CA679" s="40"/>
      <c r="CB679" s="40"/>
      <c r="CC679" s="40"/>
      <c r="CD679" s="40"/>
      <c r="CE679" s="40"/>
      <c r="CF679" s="40"/>
      <c r="CG679" s="40"/>
      <c r="CH679" s="40"/>
      <c r="CI679" s="40"/>
      <c r="CJ679" s="40"/>
      <c r="CK679" s="40"/>
      <c r="CL679" s="40"/>
      <c r="CM679" s="40"/>
      <c r="CN679" s="40"/>
      <c r="CO679" s="40"/>
      <c r="CP679" s="40"/>
      <c r="CQ679" s="40"/>
      <c r="CR679" s="40"/>
      <c r="CS679" s="40"/>
      <c r="CT679" s="40"/>
      <c r="CU679" s="40"/>
      <c r="CV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  <c r="BU680" s="40"/>
      <c r="BV680" s="40"/>
      <c r="BW680" s="40"/>
      <c r="BX680" s="40"/>
      <c r="BY680" s="40"/>
      <c r="BZ680" s="40"/>
      <c r="CA680" s="40"/>
      <c r="CB680" s="40"/>
      <c r="CC680" s="40"/>
      <c r="CD680" s="40"/>
      <c r="CE680" s="40"/>
      <c r="CF680" s="40"/>
      <c r="CG680" s="40"/>
      <c r="CH680" s="40"/>
      <c r="CI680" s="40"/>
      <c r="CJ680" s="40"/>
      <c r="CK680" s="40"/>
      <c r="CL680" s="40"/>
      <c r="CM680" s="40"/>
      <c r="CN680" s="40"/>
      <c r="CO680" s="40"/>
      <c r="CP680" s="40"/>
      <c r="CQ680" s="40"/>
      <c r="CR680" s="40"/>
      <c r="CS680" s="40"/>
      <c r="CT680" s="40"/>
      <c r="CU680" s="40"/>
      <c r="CV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  <c r="BU681" s="40"/>
      <c r="BV681" s="40"/>
      <c r="BW681" s="40"/>
      <c r="BX681" s="40"/>
      <c r="BY681" s="40"/>
      <c r="BZ681" s="40"/>
      <c r="CA681" s="40"/>
      <c r="CB681" s="40"/>
      <c r="CC681" s="40"/>
      <c r="CD681" s="40"/>
      <c r="CE681" s="40"/>
      <c r="CF681" s="40"/>
      <c r="CG681" s="40"/>
      <c r="CH681" s="40"/>
      <c r="CI681" s="40"/>
      <c r="CJ681" s="40"/>
      <c r="CK681" s="40"/>
      <c r="CL681" s="40"/>
      <c r="CM681" s="40"/>
      <c r="CN681" s="40"/>
      <c r="CO681" s="40"/>
      <c r="CP681" s="40"/>
      <c r="CQ681" s="40"/>
      <c r="CR681" s="40"/>
      <c r="CS681" s="40"/>
      <c r="CT681" s="40"/>
      <c r="CU681" s="40"/>
      <c r="CV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  <c r="BW682" s="40"/>
      <c r="BX682" s="40"/>
      <c r="BY682" s="40"/>
      <c r="BZ682" s="40"/>
      <c r="CA682" s="40"/>
      <c r="CB682" s="40"/>
      <c r="CC682" s="40"/>
      <c r="CD682" s="40"/>
      <c r="CE682" s="40"/>
      <c r="CF682" s="40"/>
      <c r="CG682" s="40"/>
      <c r="CH682" s="40"/>
      <c r="CI682" s="40"/>
      <c r="CJ682" s="40"/>
      <c r="CK682" s="40"/>
      <c r="CL682" s="40"/>
      <c r="CM682" s="40"/>
      <c r="CN682" s="40"/>
      <c r="CO682" s="40"/>
      <c r="CP682" s="40"/>
      <c r="CQ682" s="40"/>
      <c r="CR682" s="40"/>
      <c r="CS682" s="40"/>
      <c r="CT682" s="40"/>
      <c r="CU682" s="40"/>
      <c r="CV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  <c r="BS683" s="40"/>
      <c r="BT683" s="40"/>
      <c r="BU683" s="40"/>
      <c r="BV683" s="40"/>
      <c r="BW683" s="40"/>
      <c r="BX683" s="40"/>
      <c r="BY683" s="40"/>
      <c r="BZ683" s="40"/>
      <c r="CA683" s="40"/>
      <c r="CB683" s="40"/>
      <c r="CC683" s="40"/>
      <c r="CD683" s="40"/>
      <c r="CE683" s="40"/>
      <c r="CF683" s="40"/>
      <c r="CG683" s="40"/>
      <c r="CH683" s="40"/>
      <c r="CI683" s="40"/>
      <c r="CJ683" s="40"/>
      <c r="CK683" s="40"/>
      <c r="CL683" s="40"/>
      <c r="CM683" s="40"/>
      <c r="CN683" s="40"/>
      <c r="CO683" s="40"/>
      <c r="CP683" s="40"/>
      <c r="CQ683" s="40"/>
      <c r="CR683" s="40"/>
      <c r="CS683" s="40"/>
      <c r="CT683" s="40"/>
      <c r="CU683" s="40"/>
      <c r="CV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  <c r="BS684" s="40"/>
      <c r="BT684" s="40"/>
      <c r="BU684" s="40"/>
      <c r="BV684" s="40"/>
      <c r="BW684" s="40"/>
      <c r="BX684" s="40"/>
      <c r="BY684" s="40"/>
      <c r="BZ684" s="40"/>
      <c r="CA684" s="40"/>
      <c r="CB684" s="40"/>
      <c r="CC684" s="40"/>
      <c r="CD684" s="40"/>
      <c r="CE684" s="40"/>
      <c r="CF684" s="40"/>
      <c r="CG684" s="40"/>
      <c r="CH684" s="40"/>
      <c r="CI684" s="40"/>
      <c r="CJ684" s="40"/>
      <c r="CK684" s="40"/>
      <c r="CL684" s="40"/>
      <c r="CM684" s="40"/>
      <c r="CN684" s="40"/>
      <c r="CO684" s="40"/>
      <c r="CP684" s="40"/>
      <c r="CQ684" s="40"/>
      <c r="CR684" s="40"/>
      <c r="CS684" s="40"/>
      <c r="CT684" s="40"/>
      <c r="CU684" s="40"/>
      <c r="CV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  <c r="BS685" s="40"/>
      <c r="BT685" s="40"/>
      <c r="BU685" s="40"/>
      <c r="BV685" s="40"/>
      <c r="BW685" s="40"/>
      <c r="BX685" s="40"/>
      <c r="BY685" s="40"/>
      <c r="BZ685" s="40"/>
      <c r="CA685" s="40"/>
      <c r="CB685" s="40"/>
      <c r="CC685" s="40"/>
      <c r="CD685" s="40"/>
      <c r="CE685" s="40"/>
      <c r="CF685" s="40"/>
      <c r="CG685" s="40"/>
      <c r="CH685" s="40"/>
      <c r="CI685" s="40"/>
      <c r="CJ685" s="40"/>
      <c r="CK685" s="40"/>
      <c r="CL685" s="40"/>
      <c r="CM685" s="40"/>
      <c r="CN685" s="40"/>
      <c r="CO685" s="40"/>
      <c r="CP685" s="40"/>
      <c r="CQ685" s="40"/>
      <c r="CR685" s="40"/>
      <c r="CS685" s="40"/>
      <c r="CT685" s="40"/>
      <c r="CU685" s="40"/>
      <c r="CV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  <c r="BS686" s="40"/>
      <c r="BT686" s="40"/>
      <c r="BU686" s="40"/>
      <c r="BV686" s="40"/>
      <c r="BW686" s="40"/>
      <c r="BX686" s="40"/>
      <c r="BY686" s="40"/>
      <c r="BZ686" s="40"/>
      <c r="CA686" s="40"/>
      <c r="CB686" s="40"/>
      <c r="CC686" s="40"/>
      <c r="CD686" s="40"/>
      <c r="CE686" s="40"/>
      <c r="CF686" s="40"/>
      <c r="CG686" s="40"/>
      <c r="CH686" s="40"/>
      <c r="CI686" s="40"/>
      <c r="CJ686" s="40"/>
      <c r="CK686" s="40"/>
      <c r="CL686" s="40"/>
      <c r="CM686" s="40"/>
      <c r="CN686" s="40"/>
      <c r="CO686" s="40"/>
      <c r="CP686" s="40"/>
      <c r="CQ686" s="40"/>
      <c r="CR686" s="40"/>
      <c r="CS686" s="40"/>
      <c r="CT686" s="40"/>
      <c r="CU686" s="40"/>
      <c r="CV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  <c r="BS687" s="40"/>
      <c r="BT687" s="40"/>
      <c r="BU687" s="40"/>
      <c r="BV687" s="40"/>
      <c r="BW687" s="40"/>
      <c r="BX687" s="40"/>
      <c r="BY687" s="40"/>
      <c r="BZ687" s="40"/>
      <c r="CA687" s="40"/>
      <c r="CB687" s="40"/>
      <c r="CC687" s="40"/>
      <c r="CD687" s="40"/>
      <c r="CE687" s="40"/>
      <c r="CF687" s="40"/>
      <c r="CG687" s="40"/>
      <c r="CH687" s="40"/>
      <c r="CI687" s="40"/>
      <c r="CJ687" s="40"/>
      <c r="CK687" s="40"/>
      <c r="CL687" s="40"/>
      <c r="CM687" s="40"/>
      <c r="CN687" s="40"/>
      <c r="CO687" s="40"/>
      <c r="CP687" s="40"/>
      <c r="CQ687" s="40"/>
      <c r="CR687" s="40"/>
      <c r="CS687" s="40"/>
      <c r="CT687" s="40"/>
      <c r="CU687" s="40"/>
      <c r="CV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  <c r="BW688" s="40"/>
      <c r="BX688" s="40"/>
      <c r="BY688" s="40"/>
      <c r="BZ688" s="40"/>
      <c r="CA688" s="40"/>
      <c r="CB688" s="40"/>
      <c r="CC688" s="40"/>
      <c r="CD688" s="40"/>
      <c r="CE688" s="40"/>
      <c r="CF688" s="40"/>
      <c r="CG688" s="40"/>
      <c r="CH688" s="40"/>
      <c r="CI688" s="40"/>
      <c r="CJ688" s="40"/>
      <c r="CK688" s="40"/>
      <c r="CL688" s="40"/>
      <c r="CM688" s="40"/>
      <c r="CN688" s="40"/>
      <c r="CO688" s="40"/>
      <c r="CP688" s="40"/>
      <c r="CQ688" s="40"/>
      <c r="CR688" s="40"/>
      <c r="CS688" s="40"/>
      <c r="CT688" s="40"/>
      <c r="CU688" s="40"/>
      <c r="CV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  <c r="BU689" s="40"/>
      <c r="BV689" s="40"/>
      <c r="BW689" s="40"/>
      <c r="BX689" s="40"/>
      <c r="BY689" s="40"/>
      <c r="BZ689" s="40"/>
      <c r="CA689" s="40"/>
      <c r="CB689" s="40"/>
      <c r="CC689" s="40"/>
      <c r="CD689" s="40"/>
      <c r="CE689" s="40"/>
      <c r="CF689" s="40"/>
      <c r="CG689" s="40"/>
      <c r="CH689" s="40"/>
      <c r="CI689" s="40"/>
      <c r="CJ689" s="40"/>
      <c r="CK689" s="40"/>
      <c r="CL689" s="40"/>
      <c r="CM689" s="40"/>
      <c r="CN689" s="40"/>
      <c r="CO689" s="40"/>
      <c r="CP689" s="40"/>
      <c r="CQ689" s="40"/>
      <c r="CR689" s="40"/>
      <c r="CS689" s="40"/>
      <c r="CT689" s="40"/>
      <c r="CU689" s="40"/>
      <c r="CV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  <c r="BU690" s="40"/>
      <c r="BV690" s="40"/>
      <c r="BW690" s="40"/>
      <c r="BX690" s="40"/>
      <c r="BY690" s="40"/>
      <c r="BZ690" s="40"/>
      <c r="CA690" s="40"/>
      <c r="CB690" s="40"/>
      <c r="CC690" s="40"/>
      <c r="CD690" s="40"/>
      <c r="CE690" s="40"/>
      <c r="CF690" s="40"/>
      <c r="CG690" s="40"/>
      <c r="CH690" s="40"/>
      <c r="CI690" s="40"/>
      <c r="CJ690" s="40"/>
      <c r="CK690" s="40"/>
      <c r="CL690" s="40"/>
      <c r="CM690" s="40"/>
      <c r="CN690" s="40"/>
      <c r="CO690" s="40"/>
      <c r="CP690" s="40"/>
      <c r="CQ690" s="40"/>
      <c r="CR690" s="40"/>
      <c r="CS690" s="40"/>
      <c r="CT690" s="40"/>
      <c r="CU690" s="40"/>
      <c r="CV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  <c r="BU691" s="40"/>
      <c r="BV691" s="40"/>
      <c r="BW691" s="40"/>
      <c r="BX691" s="40"/>
      <c r="BY691" s="40"/>
      <c r="BZ691" s="40"/>
      <c r="CA691" s="40"/>
      <c r="CB691" s="40"/>
      <c r="CC691" s="40"/>
      <c r="CD691" s="40"/>
      <c r="CE691" s="40"/>
      <c r="CF691" s="40"/>
      <c r="CG691" s="40"/>
      <c r="CH691" s="40"/>
      <c r="CI691" s="40"/>
      <c r="CJ691" s="40"/>
      <c r="CK691" s="40"/>
      <c r="CL691" s="40"/>
      <c r="CM691" s="40"/>
      <c r="CN691" s="40"/>
      <c r="CO691" s="40"/>
      <c r="CP691" s="40"/>
      <c r="CQ691" s="40"/>
      <c r="CR691" s="40"/>
      <c r="CS691" s="40"/>
      <c r="CT691" s="40"/>
      <c r="CU691" s="40"/>
      <c r="CV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  <c r="BU692" s="40"/>
      <c r="BV692" s="40"/>
      <c r="BW692" s="40"/>
      <c r="BX692" s="40"/>
      <c r="BY692" s="40"/>
      <c r="BZ692" s="40"/>
      <c r="CA692" s="40"/>
      <c r="CB692" s="40"/>
      <c r="CC692" s="40"/>
      <c r="CD692" s="40"/>
      <c r="CE692" s="40"/>
      <c r="CF692" s="40"/>
      <c r="CG692" s="40"/>
      <c r="CH692" s="40"/>
      <c r="CI692" s="40"/>
      <c r="CJ692" s="40"/>
      <c r="CK692" s="40"/>
      <c r="CL692" s="40"/>
      <c r="CM692" s="40"/>
      <c r="CN692" s="40"/>
      <c r="CO692" s="40"/>
      <c r="CP692" s="40"/>
      <c r="CQ692" s="40"/>
      <c r="CR692" s="40"/>
      <c r="CS692" s="40"/>
      <c r="CT692" s="40"/>
      <c r="CU692" s="40"/>
      <c r="CV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  <c r="BU693" s="40"/>
      <c r="BV693" s="40"/>
      <c r="BW693" s="40"/>
      <c r="BX693" s="40"/>
      <c r="BY693" s="40"/>
      <c r="BZ693" s="40"/>
      <c r="CA693" s="40"/>
      <c r="CB693" s="40"/>
      <c r="CC693" s="40"/>
      <c r="CD693" s="40"/>
      <c r="CE693" s="40"/>
      <c r="CF693" s="40"/>
      <c r="CG693" s="40"/>
      <c r="CH693" s="40"/>
      <c r="CI693" s="40"/>
      <c r="CJ693" s="40"/>
      <c r="CK693" s="40"/>
      <c r="CL693" s="40"/>
      <c r="CM693" s="40"/>
      <c r="CN693" s="40"/>
      <c r="CO693" s="40"/>
      <c r="CP693" s="40"/>
      <c r="CQ693" s="40"/>
      <c r="CR693" s="40"/>
      <c r="CS693" s="40"/>
      <c r="CT693" s="40"/>
      <c r="CU693" s="40"/>
      <c r="CV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  <c r="BU694" s="40"/>
      <c r="BV694" s="40"/>
      <c r="BW694" s="40"/>
      <c r="BX694" s="40"/>
      <c r="BY694" s="40"/>
      <c r="BZ694" s="40"/>
      <c r="CA694" s="40"/>
      <c r="CB694" s="40"/>
      <c r="CC694" s="40"/>
      <c r="CD694" s="40"/>
      <c r="CE694" s="40"/>
      <c r="CF694" s="40"/>
      <c r="CG694" s="40"/>
      <c r="CH694" s="40"/>
      <c r="CI694" s="40"/>
      <c r="CJ694" s="40"/>
      <c r="CK694" s="40"/>
      <c r="CL694" s="40"/>
      <c r="CM694" s="40"/>
      <c r="CN694" s="40"/>
      <c r="CO694" s="40"/>
      <c r="CP694" s="40"/>
      <c r="CQ694" s="40"/>
      <c r="CR694" s="40"/>
      <c r="CS694" s="40"/>
      <c r="CT694" s="40"/>
      <c r="CU694" s="40"/>
      <c r="CV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  <c r="BU695" s="40"/>
      <c r="BV695" s="40"/>
      <c r="BW695" s="40"/>
      <c r="BX695" s="40"/>
      <c r="BY695" s="40"/>
      <c r="BZ695" s="40"/>
      <c r="CA695" s="40"/>
      <c r="CB695" s="40"/>
      <c r="CC695" s="40"/>
      <c r="CD695" s="40"/>
      <c r="CE695" s="40"/>
      <c r="CF695" s="40"/>
      <c r="CG695" s="40"/>
      <c r="CH695" s="40"/>
      <c r="CI695" s="40"/>
      <c r="CJ695" s="40"/>
      <c r="CK695" s="40"/>
      <c r="CL695" s="40"/>
      <c r="CM695" s="40"/>
      <c r="CN695" s="40"/>
      <c r="CO695" s="40"/>
      <c r="CP695" s="40"/>
      <c r="CQ695" s="40"/>
      <c r="CR695" s="40"/>
      <c r="CS695" s="40"/>
      <c r="CT695" s="40"/>
      <c r="CU695" s="40"/>
      <c r="CV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  <c r="BS696" s="40"/>
      <c r="BT696" s="40"/>
      <c r="BU696" s="40"/>
      <c r="BV696" s="40"/>
      <c r="BW696" s="40"/>
      <c r="BX696" s="40"/>
      <c r="BY696" s="40"/>
      <c r="BZ696" s="40"/>
      <c r="CA696" s="40"/>
      <c r="CB696" s="40"/>
      <c r="CC696" s="40"/>
      <c r="CD696" s="40"/>
      <c r="CE696" s="40"/>
      <c r="CF696" s="40"/>
      <c r="CG696" s="40"/>
      <c r="CH696" s="40"/>
      <c r="CI696" s="40"/>
      <c r="CJ696" s="40"/>
      <c r="CK696" s="40"/>
      <c r="CL696" s="40"/>
      <c r="CM696" s="40"/>
      <c r="CN696" s="40"/>
      <c r="CO696" s="40"/>
      <c r="CP696" s="40"/>
      <c r="CQ696" s="40"/>
      <c r="CR696" s="40"/>
      <c r="CS696" s="40"/>
      <c r="CT696" s="40"/>
      <c r="CU696" s="40"/>
      <c r="CV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  <c r="BU697" s="40"/>
      <c r="BV697" s="40"/>
      <c r="BW697" s="40"/>
      <c r="BX697" s="40"/>
      <c r="BY697" s="40"/>
      <c r="BZ697" s="40"/>
      <c r="CA697" s="40"/>
      <c r="CB697" s="40"/>
      <c r="CC697" s="40"/>
      <c r="CD697" s="40"/>
      <c r="CE697" s="40"/>
      <c r="CF697" s="40"/>
      <c r="CG697" s="40"/>
      <c r="CH697" s="40"/>
      <c r="CI697" s="40"/>
      <c r="CJ697" s="40"/>
      <c r="CK697" s="40"/>
      <c r="CL697" s="40"/>
      <c r="CM697" s="40"/>
      <c r="CN697" s="40"/>
      <c r="CO697" s="40"/>
      <c r="CP697" s="40"/>
      <c r="CQ697" s="40"/>
      <c r="CR697" s="40"/>
      <c r="CS697" s="40"/>
      <c r="CT697" s="40"/>
      <c r="CU697" s="40"/>
      <c r="CV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  <c r="BU698" s="40"/>
      <c r="BV698" s="40"/>
      <c r="BW698" s="40"/>
      <c r="BX698" s="40"/>
      <c r="BY698" s="40"/>
      <c r="BZ698" s="40"/>
      <c r="CA698" s="40"/>
      <c r="CB698" s="40"/>
      <c r="CC698" s="40"/>
      <c r="CD698" s="40"/>
      <c r="CE698" s="40"/>
      <c r="CF698" s="40"/>
      <c r="CG698" s="40"/>
      <c r="CH698" s="40"/>
      <c r="CI698" s="40"/>
      <c r="CJ698" s="40"/>
      <c r="CK698" s="40"/>
      <c r="CL698" s="40"/>
      <c r="CM698" s="40"/>
      <c r="CN698" s="40"/>
      <c r="CO698" s="40"/>
      <c r="CP698" s="40"/>
      <c r="CQ698" s="40"/>
      <c r="CR698" s="40"/>
      <c r="CS698" s="40"/>
      <c r="CT698" s="40"/>
      <c r="CU698" s="40"/>
      <c r="CV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  <c r="BS699" s="40"/>
      <c r="BT699" s="40"/>
      <c r="BU699" s="40"/>
      <c r="BV699" s="40"/>
      <c r="BW699" s="40"/>
      <c r="BX699" s="40"/>
      <c r="BY699" s="40"/>
      <c r="BZ699" s="40"/>
      <c r="CA699" s="40"/>
      <c r="CB699" s="40"/>
      <c r="CC699" s="40"/>
      <c r="CD699" s="40"/>
      <c r="CE699" s="40"/>
      <c r="CF699" s="40"/>
      <c r="CG699" s="40"/>
      <c r="CH699" s="40"/>
      <c r="CI699" s="40"/>
      <c r="CJ699" s="40"/>
      <c r="CK699" s="40"/>
      <c r="CL699" s="40"/>
      <c r="CM699" s="40"/>
      <c r="CN699" s="40"/>
      <c r="CO699" s="40"/>
      <c r="CP699" s="40"/>
      <c r="CQ699" s="40"/>
      <c r="CR699" s="40"/>
      <c r="CS699" s="40"/>
      <c r="CT699" s="40"/>
      <c r="CU699" s="40"/>
      <c r="CV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  <c r="BS700" s="40"/>
      <c r="BT700" s="40"/>
      <c r="BU700" s="40"/>
      <c r="BV700" s="40"/>
      <c r="BW700" s="40"/>
      <c r="BX700" s="40"/>
      <c r="BY700" s="40"/>
      <c r="BZ700" s="40"/>
      <c r="CA700" s="40"/>
      <c r="CB700" s="40"/>
      <c r="CC700" s="40"/>
      <c r="CD700" s="40"/>
      <c r="CE700" s="40"/>
      <c r="CF700" s="40"/>
      <c r="CG700" s="40"/>
      <c r="CH700" s="40"/>
      <c r="CI700" s="40"/>
      <c r="CJ700" s="40"/>
      <c r="CK700" s="40"/>
      <c r="CL700" s="40"/>
      <c r="CM700" s="40"/>
      <c r="CN700" s="40"/>
      <c r="CO700" s="40"/>
      <c r="CP700" s="40"/>
      <c r="CQ700" s="40"/>
      <c r="CR700" s="40"/>
      <c r="CS700" s="40"/>
      <c r="CT700" s="40"/>
      <c r="CU700" s="40"/>
      <c r="CV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  <c r="BS701" s="40"/>
      <c r="BT701" s="40"/>
      <c r="BU701" s="40"/>
      <c r="BV701" s="40"/>
      <c r="BW701" s="40"/>
      <c r="BX701" s="40"/>
      <c r="BY701" s="40"/>
      <c r="BZ701" s="40"/>
      <c r="CA701" s="40"/>
      <c r="CB701" s="40"/>
      <c r="CC701" s="40"/>
      <c r="CD701" s="40"/>
      <c r="CE701" s="40"/>
      <c r="CF701" s="40"/>
      <c r="CG701" s="40"/>
      <c r="CH701" s="40"/>
      <c r="CI701" s="40"/>
      <c r="CJ701" s="40"/>
      <c r="CK701" s="40"/>
      <c r="CL701" s="40"/>
      <c r="CM701" s="40"/>
      <c r="CN701" s="40"/>
      <c r="CO701" s="40"/>
      <c r="CP701" s="40"/>
      <c r="CQ701" s="40"/>
      <c r="CR701" s="40"/>
      <c r="CS701" s="40"/>
      <c r="CT701" s="40"/>
      <c r="CU701" s="40"/>
      <c r="CV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  <c r="BU702" s="40"/>
      <c r="BV702" s="40"/>
      <c r="BW702" s="40"/>
      <c r="BX702" s="40"/>
      <c r="BY702" s="40"/>
      <c r="BZ702" s="40"/>
      <c r="CA702" s="40"/>
      <c r="CB702" s="40"/>
      <c r="CC702" s="40"/>
      <c r="CD702" s="40"/>
      <c r="CE702" s="40"/>
      <c r="CF702" s="40"/>
      <c r="CG702" s="40"/>
      <c r="CH702" s="40"/>
      <c r="CI702" s="40"/>
      <c r="CJ702" s="40"/>
      <c r="CK702" s="40"/>
      <c r="CL702" s="40"/>
      <c r="CM702" s="40"/>
      <c r="CN702" s="40"/>
      <c r="CO702" s="40"/>
      <c r="CP702" s="40"/>
      <c r="CQ702" s="40"/>
      <c r="CR702" s="40"/>
      <c r="CS702" s="40"/>
      <c r="CT702" s="40"/>
      <c r="CU702" s="40"/>
      <c r="CV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  <c r="BW703" s="40"/>
      <c r="BX703" s="40"/>
      <c r="BY703" s="40"/>
      <c r="BZ703" s="40"/>
      <c r="CA703" s="40"/>
      <c r="CB703" s="40"/>
      <c r="CC703" s="40"/>
      <c r="CD703" s="40"/>
      <c r="CE703" s="40"/>
      <c r="CF703" s="40"/>
      <c r="CG703" s="40"/>
      <c r="CH703" s="40"/>
      <c r="CI703" s="40"/>
      <c r="CJ703" s="40"/>
      <c r="CK703" s="40"/>
      <c r="CL703" s="40"/>
      <c r="CM703" s="40"/>
      <c r="CN703" s="40"/>
      <c r="CO703" s="40"/>
      <c r="CP703" s="40"/>
      <c r="CQ703" s="40"/>
      <c r="CR703" s="40"/>
      <c r="CS703" s="40"/>
      <c r="CT703" s="40"/>
      <c r="CU703" s="40"/>
      <c r="CV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  <c r="BS704" s="40"/>
      <c r="BT704" s="40"/>
      <c r="BU704" s="40"/>
      <c r="BV704" s="40"/>
      <c r="BW704" s="40"/>
      <c r="BX704" s="40"/>
      <c r="BY704" s="40"/>
      <c r="BZ704" s="40"/>
      <c r="CA704" s="40"/>
      <c r="CB704" s="40"/>
      <c r="CC704" s="40"/>
      <c r="CD704" s="40"/>
      <c r="CE704" s="40"/>
      <c r="CF704" s="40"/>
      <c r="CG704" s="40"/>
      <c r="CH704" s="40"/>
      <c r="CI704" s="40"/>
      <c r="CJ704" s="40"/>
      <c r="CK704" s="40"/>
      <c r="CL704" s="40"/>
      <c r="CM704" s="40"/>
      <c r="CN704" s="40"/>
      <c r="CO704" s="40"/>
      <c r="CP704" s="40"/>
      <c r="CQ704" s="40"/>
      <c r="CR704" s="40"/>
      <c r="CS704" s="40"/>
      <c r="CT704" s="40"/>
      <c r="CU704" s="40"/>
      <c r="CV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  <c r="BU705" s="40"/>
      <c r="BV705" s="40"/>
      <c r="BW705" s="40"/>
      <c r="BX705" s="40"/>
      <c r="BY705" s="40"/>
      <c r="BZ705" s="40"/>
      <c r="CA705" s="40"/>
      <c r="CB705" s="40"/>
      <c r="CC705" s="40"/>
      <c r="CD705" s="40"/>
      <c r="CE705" s="40"/>
      <c r="CF705" s="40"/>
      <c r="CG705" s="40"/>
      <c r="CH705" s="40"/>
      <c r="CI705" s="40"/>
      <c r="CJ705" s="40"/>
      <c r="CK705" s="40"/>
      <c r="CL705" s="40"/>
      <c r="CM705" s="40"/>
      <c r="CN705" s="40"/>
      <c r="CO705" s="40"/>
      <c r="CP705" s="40"/>
      <c r="CQ705" s="40"/>
      <c r="CR705" s="40"/>
      <c r="CS705" s="40"/>
      <c r="CT705" s="40"/>
      <c r="CU705" s="40"/>
      <c r="CV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  <c r="BS706" s="40"/>
      <c r="BT706" s="40"/>
      <c r="BU706" s="40"/>
      <c r="BV706" s="40"/>
      <c r="BW706" s="40"/>
      <c r="BX706" s="40"/>
      <c r="BY706" s="40"/>
      <c r="BZ706" s="40"/>
      <c r="CA706" s="40"/>
      <c r="CB706" s="40"/>
      <c r="CC706" s="40"/>
      <c r="CD706" s="40"/>
      <c r="CE706" s="40"/>
      <c r="CF706" s="40"/>
      <c r="CG706" s="40"/>
      <c r="CH706" s="40"/>
      <c r="CI706" s="40"/>
      <c r="CJ706" s="40"/>
      <c r="CK706" s="40"/>
      <c r="CL706" s="40"/>
      <c r="CM706" s="40"/>
      <c r="CN706" s="40"/>
      <c r="CO706" s="40"/>
      <c r="CP706" s="40"/>
      <c r="CQ706" s="40"/>
      <c r="CR706" s="40"/>
      <c r="CS706" s="40"/>
      <c r="CT706" s="40"/>
      <c r="CU706" s="40"/>
      <c r="CV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  <c r="BU707" s="40"/>
      <c r="BV707" s="40"/>
      <c r="BW707" s="40"/>
      <c r="BX707" s="40"/>
      <c r="BY707" s="40"/>
      <c r="BZ707" s="40"/>
      <c r="CA707" s="40"/>
      <c r="CB707" s="40"/>
      <c r="CC707" s="40"/>
      <c r="CD707" s="40"/>
      <c r="CE707" s="40"/>
      <c r="CF707" s="40"/>
      <c r="CG707" s="40"/>
      <c r="CH707" s="40"/>
      <c r="CI707" s="40"/>
      <c r="CJ707" s="40"/>
      <c r="CK707" s="40"/>
      <c r="CL707" s="40"/>
      <c r="CM707" s="40"/>
      <c r="CN707" s="40"/>
      <c r="CO707" s="40"/>
      <c r="CP707" s="40"/>
      <c r="CQ707" s="40"/>
      <c r="CR707" s="40"/>
      <c r="CS707" s="40"/>
      <c r="CT707" s="40"/>
      <c r="CU707" s="40"/>
      <c r="CV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  <c r="BS708" s="40"/>
      <c r="BT708" s="40"/>
      <c r="BU708" s="40"/>
      <c r="BV708" s="40"/>
      <c r="BW708" s="40"/>
      <c r="BX708" s="40"/>
      <c r="BY708" s="40"/>
      <c r="BZ708" s="40"/>
      <c r="CA708" s="40"/>
      <c r="CB708" s="40"/>
      <c r="CC708" s="40"/>
      <c r="CD708" s="40"/>
      <c r="CE708" s="40"/>
      <c r="CF708" s="40"/>
      <c r="CG708" s="40"/>
      <c r="CH708" s="40"/>
      <c r="CI708" s="40"/>
      <c r="CJ708" s="40"/>
      <c r="CK708" s="40"/>
      <c r="CL708" s="40"/>
      <c r="CM708" s="40"/>
      <c r="CN708" s="40"/>
      <c r="CO708" s="40"/>
      <c r="CP708" s="40"/>
      <c r="CQ708" s="40"/>
      <c r="CR708" s="40"/>
      <c r="CS708" s="40"/>
      <c r="CT708" s="40"/>
      <c r="CU708" s="40"/>
      <c r="CV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  <c r="BS709" s="40"/>
      <c r="BT709" s="40"/>
      <c r="BU709" s="40"/>
      <c r="BV709" s="40"/>
      <c r="BW709" s="40"/>
      <c r="BX709" s="40"/>
      <c r="BY709" s="40"/>
      <c r="BZ709" s="40"/>
      <c r="CA709" s="40"/>
      <c r="CB709" s="40"/>
      <c r="CC709" s="40"/>
      <c r="CD709" s="40"/>
      <c r="CE709" s="40"/>
      <c r="CF709" s="40"/>
      <c r="CG709" s="40"/>
      <c r="CH709" s="40"/>
      <c r="CI709" s="40"/>
      <c r="CJ709" s="40"/>
      <c r="CK709" s="40"/>
      <c r="CL709" s="40"/>
      <c r="CM709" s="40"/>
      <c r="CN709" s="40"/>
      <c r="CO709" s="40"/>
      <c r="CP709" s="40"/>
      <c r="CQ709" s="40"/>
      <c r="CR709" s="40"/>
      <c r="CS709" s="40"/>
      <c r="CT709" s="40"/>
      <c r="CU709" s="40"/>
      <c r="CV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  <c r="BU710" s="40"/>
      <c r="BV710" s="40"/>
      <c r="BW710" s="40"/>
      <c r="BX710" s="40"/>
      <c r="BY710" s="40"/>
      <c r="BZ710" s="40"/>
      <c r="CA710" s="40"/>
      <c r="CB710" s="40"/>
      <c r="CC710" s="40"/>
      <c r="CD710" s="40"/>
      <c r="CE710" s="40"/>
      <c r="CF710" s="40"/>
      <c r="CG710" s="40"/>
      <c r="CH710" s="40"/>
      <c r="CI710" s="40"/>
      <c r="CJ710" s="40"/>
      <c r="CK710" s="40"/>
      <c r="CL710" s="40"/>
      <c r="CM710" s="40"/>
      <c r="CN710" s="40"/>
      <c r="CO710" s="40"/>
      <c r="CP710" s="40"/>
      <c r="CQ710" s="40"/>
      <c r="CR710" s="40"/>
      <c r="CS710" s="40"/>
      <c r="CT710" s="40"/>
      <c r="CU710" s="40"/>
      <c r="CV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  <c r="BS711" s="40"/>
      <c r="BT711" s="40"/>
      <c r="BU711" s="40"/>
      <c r="BV711" s="40"/>
      <c r="BW711" s="40"/>
      <c r="BX711" s="40"/>
      <c r="BY711" s="40"/>
      <c r="BZ711" s="40"/>
      <c r="CA711" s="40"/>
      <c r="CB711" s="40"/>
      <c r="CC711" s="40"/>
      <c r="CD711" s="40"/>
      <c r="CE711" s="40"/>
      <c r="CF711" s="40"/>
      <c r="CG711" s="40"/>
      <c r="CH711" s="40"/>
      <c r="CI711" s="40"/>
      <c r="CJ711" s="40"/>
      <c r="CK711" s="40"/>
      <c r="CL711" s="40"/>
      <c r="CM711" s="40"/>
      <c r="CN711" s="40"/>
      <c r="CO711" s="40"/>
      <c r="CP711" s="40"/>
      <c r="CQ711" s="40"/>
      <c r="CR711" s="40"/>
      <c r="CS711" s="40"/>
      <c r="CT711" s="40"/>
      <c r="CU711" s="40"/>
      <c r="CV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  <c r="BS712" s="40"/>
      <c r="BT712" s="40"/>
      <c r="BU712" s="40"/>
      <c r="BV712" s="40"/>
      <c r="BW712" s="40"/>
      <c r="BX712" s="40"/>
      <c r="BY712" s="40"/>
      <c r="BZ712" s="40"/>
      <c r="CA712" s="40"/>
      <c r="CB712" s="40"/>
      <c r="CC712" s="40"/>
      <c r="CD712" s="40"/>
      <c r="CE712" s="40"/>
      <c r="CF712" s="40"/>
      <c r="CG712" s="40"/>
      <c r="CH712" s="40"/>
      <c r="CI712" s="40"/>
      <c r="CJ712" s="40"/>
      <c r="CK712" s="40"/>
      <c r="CL712" s="40"/>
      <c r="CM712" s="40"/>
      <c r="CN712" s="40"/>
      <c r="CO712" s="40"/>
      <c r="CP712" s="40"/>
      <c r="CQ712" s="40"/>
      <c r="CR712" s="40"/>
      <c r="CS712" s="40"/>
      <c r="CT712" s="40"/>
      <c r="CU712" s="40"/>
      <c r="CV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  <c r="BS713" s="40"/>
      <c r="BT713" s="40"/>
      <c r="BU713" s="40"/>
      <c r="BV713" s="40"/>
      <c r="BW713" s="40"/>
      <c r="BX713" s="40"/>
      <c r="BY713" s="40"/>
      <c r="BZ713" s="40"/>
      <c r="CA713" s="40"/>
      <c r="CB713" s="40"/>
      <c r="CC713" s="40"/>
      <c r="CD713" s="40"/>
      <c r="CE713" s="40"/>
      <c r="CF713" s="40"/>
      <c r="CG713" s="40"/>
      <c r="CH713" s="40"/>
      <c r="CI713" s="40"/>
      <c r="CJ713" s="40"/>
      <c r="CK713" s="40"/>
      <c r="CL713" s="40"/>
      <c r="CM713" s="40"/>
      <c r="CN713" s="40"/>
      <c r="CO713" s="40"/>
      <c r="CP713" s="40"/>
      <c r="CQ713" s="40"/>
      <c r="CR713" s="40"/>
      <c r="CS713" s="40"/>
      <c r="CT713" s="40"/>
      <c r="CU713" s="40"/>
      <c r="CV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  <c r="BS714" s="40"/>
      <c r="BT714" s="40"/>
      <c r="BU714" s="40"/>
      <c r="BV714" s="40"/>
      <c r="BW714" s="40"/>
      <c r="BX714" s="40"/>
      <c r="BY714" s="40"/>
      <c r="BZ714" s="40"/>
      <c r="CA714" s="40"/>
      <c r="CB714" s="40"/>
      <c r="CC714" s="40"/>
      <c r="CD714" s="40"/>
      <c r="CE714" s="40"/>
      <c r="CF714" s="40"/>
      <c r="CG714" s="40"/>
      <c r="CH714" s="40"/>
      <c r="CI714" s="40"/>
      <c r="CJ714" s="40"/>
      <c r="CK714" s="40"/>
      <c r="CL714" s="40"/>
      <c r="CM714" s="40"/>
      <c r="CN714" s="40"/>
      <c r="CO714" s="40"/>
      <c r="CP714" s="40"/>
      <c r="CQ714" s="40"/>
      <c r="CR714" s="40"/>
      <c r="CS714" s="40"/>
      <c r="CT714" s="40"/>
      <c r="CU714" s="40"/>
      <c r="CV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  <c r="BU715" s="40"/>
      <c r="BV715" s="40"/>
      <c r="BW715" s="40"/>
      <c r="BX715" s="40"/>
      <c r="BY715" s="40"/>
      <c r="BZ715" s="40"/>
      <c r="CA715" s="40"/>
      <c r="CB715" s="40"/>
      <c r="CC715" s="40"/>
      <c r="CD715" s="40"/>
      <c r="CE715" s="40"/>
      <c r="CF715" s="40"/>
      <c r="CG715" s="40"/>
      <c r="CH715" s="40"/>
      <c r="CI715" s="40"/>
      <c r="CJ715" s="40"/>
      <c r="CK715" s="40"/>
      <c r="CL715" s="40"/>
      <c r="CM715" s="40"/>
      <c r="CN715" s="40"/>
      <c r="CO715" s="40"/>
      <c r="CP715" s="40"/>
      <c r="CQ715" s="40"/>
      <c r="CR715" s="40"/>
      <c r="CS715" s="40"/>
      <c r="CT715" s="40"/>
      <c r="CU715" s="40"/>
      <c r="CV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  <c r="BS716" s="40"/>
      <c r="BT716" s="40"/>
      <c r="BU716" s="40"/>
      <c r="BV716" s="40"/>
      <c r="BW716" s="40"/>
      <c r="BX716" s="40"/>
      <c r="BY716" s="40"/>
      <c r="BZ716" s="40"/>
      <c r="CA716" s="40"/>
      <c r="CB716" s="40"/>
      <c r="CC716" s="40"/>
      <c r="CD716" s="40"/>
      <c r="CE716" s="40"/>
      <c r="CF716" s="40"/>
      <c r="CG716" s="40"/>
      <c r="CH716" s="40"/>
      <c r="CI716" s="40"/>
      <c r="CJ716" s="40"/>
      <c r="CK716" s="40"/>
      <c r="CL716" s="40"/>
      <c r="CM716" s="40"/>
      <c r="CN716" s="40"/>
      <c r="CO716" s="40"/>
      <c r="CP716" s="40"/>
      <c r="CQ716" s="40"/>
      <c r="CR716" s="40"/>
      <c r="CS716" s="40"/>
      <c r="CT716" s="40"/>
      <c r="CU716" s="40"/>
      <c r="CV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  <c r="BS717" s="40"/>
      <c r="BT717" s="40"/>
      <c r="BU717" s="40"/>
      <c r="BV717" s="40"/>
      <c r="BW717" s="40"/>
      <c r="BX717" s="40"/>
      <c r="BY717" s="40"/>
      <c r="BZ717" s="40"/>
      <c r="CA717" s="40"/>
      <c r="CB717" s="40"/>
      <c r="CC717" s="40"/>
      <c r="CD717" s="40"/>
      <c r="CE717" s="40"/>
      <c r="CF717" s="40"/>
      <c r="CG717" s="40"/>
      <c r="CH717" s="40"/>
      <c r="CI717" s="40"/>
      <c r="CJ717" s="40"/>
      <c r="CK717" s="40"/>
      <c r="CL717" s="40"/>
      <c r="CM717" s="40"/>
      <c r="CN717" s="40"/>
      <c r="CO717" s="40"/>
      <c r="CP717" s="40"/>
      <c r="CQ717" s="40"/>
      <c r="CR717" s="40"/>
      <c r="CS717" s="40"/>
      <c r="CT717" s="40"/>
      <c r="CU717" s="40"/>
      <c r="CV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  <c r="BS718" s="40"/>
      <c r="BT718" s="40"/>
      <c r="BU718" s="40"/>
      <c r="BV718" s="40"/>
      <c r="BW718" s="40"/>
      <c r="BX718" s="40"/>
      <c r="BY718" s="40"/>
      <c r="BZ718" s="40"/>
      <c r="CA718" s="40"/>
      <c r="CB718" s="40"/>
      <c r="CC718" s="40"/>
      <c r="CD718" s="40"/>
      <c r="CE718" s="40"/>
      <c r="CF718" s="40"/>
      <c r="CG718" s="40"/>
      <c r="CH718" s="40"/>
      <c r="CI718" s="40"/>
      <c r="CJ718" s="40"/>
      <c r="CK718" s="40"/>
      <c r="CL718" s="40"/>
      <c r="CM718" s="40"/>
      <c r="CN718" s="40"/>
      <c r="CO718" s="40"/>
      <c r="CP718" s="40"/>
      <c r="CQ718" s="40"/>
      <c r="CR718" s="40"/>
      <c r="CS718" s="40"/>
      <c r="CT718" s="40"/>
      <c r="CU718" s="40"/>
      <c r="CV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  <c r="BU719" s="40"/>
      <c r="BV719" s="40"/>
      <c r="BW719" s="40"/>
      <c r="BX719" s="40"/>
      <c r="BY719" s="40"/>
      <c r="BZ719" s="40"/>
      <c r="CA719" s="40"/>
      <c r="CB719" s="40"/>
      <c r="CC719" s="40"/>
      <c r="CD719" s="40"/>
      <c r="CE719" s="40"/>
      <c r="CF719" s="40"/>
      <c r="CG719" s="40"/>
      <c r="CH719" s="40"/>
      <c r="CI719" s="40"/>
      <c r="CJ719" s="40"/>
      <c r="CK719" s="40"/>
      <c r="CL719" s="40"/>
      <c r="CM719" s="40"/>
      <c r="CN719" s="40"/>
      <c r="CO719" s="40"/>
      <c r="CP719" s="40"/>
      <c r="CQ719" s="40"/>
      <c r="CR719" s="40"/>
      <c r="CS719" s="40"/>
      <c r="CT719" s="40"/>
      <c r="CU719" s="40"/>
      <c r="CV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  <c r="BW720" s="40"/>
      <c r="BX720" s="40"/>
      <c r="BY720" s="40"/>
      <c r="BZ720" s="40"/>
      <c r="CA720" s="40"/>
      <c r="CB720" s="40"/>
      <c r="CC720" s="40"/>
      <c r="CD720" s="40"/>
      <c r="CE720" s="40"/>
      <c r="CF720" s="40"/>
      <c r="CG720" s="40"/>
      <c r="CH720" s="40"/>
      <c r="CI720" s="40"/>
      <c r="CJ720" s="40"/>
      <c r="CK720" s="40"/>
      <c r="CL720" s="40"/>
      <c r="CM720" s="40"/>
      <c r="CN720" s="40"/>
      <c r="CO720" s="40"/>
      <c r="CP720" s="40"/>
      <c r="CQ720" s="40"/>
      <c r="CR720" s="40"/>
      <c r="CS720" s="40"/>
      <c r="CT720" s="40"/>
      <c r="CU720" s="40"/>
      <c r="CV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  <c r="BU721" s="40"/>
      <c r="BV721" s="40"/>
      <c r="BW721" s="40"/>
      <c r="BX721" s="40"/>
      <c r="BY721" s="40"/>
      <c r="BZ721" s="40"/>
      <c r="CA721" s="40"/>
      <c r="CB721" s="40"/>
      <c r="CC721" s="40"/>
      <c r="CD721" s="40"/>
      <c r="CE721" s="40"/>
      <c r="CF721" s="40"/>
      <c r="CG721" s="40"/>
      <c r="CH721" s="40"/>
      <c r="CI721" s="40"/>
      <c r="CJ721" s="40"/>
      <c r="CK721" s="40"/>
      <c r="CL721" s="40"/>
      <c r="CM721" s="40"/>
      <c r="CN721" s="40"/>
      <c r="CO721" s="40"/>
      <c r="CP721" s="40"/>
      <c r="CQ721" s="40"/>
      <c r="CR721" s="40"/>
      <c r="CS721" s="40"/>
      <c r="CT721" s="40"/>
      <c r="CU721" s="40"/>
      <c r="CV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  <c r="BS722" s="40"/>
      <c r="BT722" s="40"/>
      <c r="BU722" s="40"/>
      <c r="BV722" s="40"/>
      <c r="BW722" s="40"/>
      <c r="BX722" s="40"/>
      <c r="BY722" s="40"/>
      <c r="BZ722" s="40"/>
      <c r="CA722" s="40"/>
      <c r="CB722" s="40"/>
      <c r="CC722" s="40"/>
      <c r="CD722" s="40"/>
      <c r="CE722" s="40"/>
      <c r="CF722" s="40"/>
      <c r="CG722" s="40"/>
      <c r="CH722" s="40"/>
      <c r="CI722" s="40"/>
      <c r="CJ722" s="40"/>
      <c r="CK722" s="40"/>
      <c r="CL722" s="40"/>
      <c r="CM722" s="40"/>
      <c r="CN722" s="40"/>
      <c r="CO722" s="40"/>
      <c r="CP722" s="40"/>
      <c r="CQ722" s="40"/>
      <c r="CR722" s="40"/>
      <c r="CS722" s="40"/>
      <c r="CT722" s="40"/>
      <c r="CU722" s="40"/>
      <c r="CV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  <c r="BS723" s="40"/>
      <c r="BT723" s="40"/>
      <c r="BU723" s="40"/>
      <c r="BV723" s="40"/>
      <c r="BW723" s="40"/>
      <c r="BX723" s="40"/>
      <c r="BY723" s="40"/>
      <c r="BZ723" s="40"/>
      <c r="CA723" s="40"/>
      <c r="CB723" s="40"/>
      <c r="CC723" s="40"/>
      <c r="CD723" s="40"/>
      <c r="CE723" s="40"/>
      <c r="CF723" s="40"/>
      <c r="CG723" s="40"/>
      <c r="CH723" s="40"/>
      <c r="CI723" s="40"/>
      <c r="CJ723" s="40"/>
      <c r="CK723" s="40"/>
      <c r="CL723" s="40"/>
      <c r="CM723" s="40"/>
      <c r="CN723" s="40"/>
      <c r="CO723" s="40"/>
      <c r="CP723" s="40"/>
      <c r="CQ723" s="40"/>
      <c r="CR723" s="40"/>
      <c r="CS723" s="40"/>
      <c r="CT723" s="40"/>
      <c r="CU723" s="40"/>
      <c r="CV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  <c r="BS724" s="40"/>
      <c r="BT724" s="40"/>
      <c r="BU724" s="40"/>
      <c r="BV724" s="40"/>
      <c r="BW724" s="40"/>
      <c r="BX724" s="40"/>
      <c r="BY724" s="40"/>
      <c r="BZ724" s="40"/>
      <c r="CA724" s="40"/>
      <c r="CB724" s="40"/>
      <c r="CC724" s="40"/>
      <c r="CD724" s="40"/>
      <c r="CE724" s="40"/>
      <c r="CF724" s="40"/>
      <c r="CG724" s="40"/>
      <c r="CH724" s="40"/>
      <c r="CI724" s="40"/>
      <c r="CJ724" s="40"/>
      <c r="CK724" s="40"/>
      <c r="CL724" s="40"/>
      <c r="CM724" s="40"/>
      <c r="CN724" s="40"/>
      <c r="CO724" s="40"/>
      <c r="CP724" s="40"/>
      <c r="CQ724" s="40"/>
      <c r="CR724" s="40"/>
      <c r="CS724" s="40"/>
      <c r="CT724" s="40"/>
      <c r="CU724" s="40"/>
      <c r="CV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  <c r="BU725" s="40"/>
      <c r="BV725" s="40"/>
      <c r="BW725" s="40"/>
      <c r="BX725" s="40"/>
      <c r="BY725" s="40"/>
      <c r="BZ725" s="40"/>
      <c r="CA725" s="40"/>
      <c r="CB725" s="40"/>
      <c r="CC725" s="40"/>
      <c r="CD725" s="40"/>
      <c r="CE725" s="40"/>
      <c r="CF725" s="40"/>
      <c r="CG725" s="40"/>
      <c r="CH725" s="40"/>
      <c r="CI725" s="40"/>
      <c r="CJ725" s="40"/>
      <c r="CK725" s="40"/>
      <c r="CL725" s="40"/>
      <c r="CM725" s="40"/>
      <c r="CN725" s="40"/>
      <c r="CO725" s="40"/>
      <c r="CP725" s="40"/>
      <c r="CQ725" s="40"/>
      <c r="CR725" s="40"/>
      <c r="CS725" s="40"/>
      <c r="CT725" s="40"/>
      <c r="CU725" s="40"/>
      <c r="CV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  <c r="BS726" s="40"/>
      <c r="BT726" s="40"/>
      <c r="BU726" s="40"/>
      <c r="BV726" s="40"/>
      <c r="BW726" s="40"/>
      <c r="BX726" s="40"/>
      <c r="BY726" s="40"/>
      <c r="BZ726" s="40"/>
      <c r="CA726" s="40"/>
      <c r="CB726" s="40"/>
      <c r="CC726" s="40"/>
      <c r="CD726" s="40"/>
      <c r="CE726" s="40"/>
      <c r="CF726" s="40"/>
      <c r="CG726" s="40"/>
      <c r="CH726" s="40"/>
      <c r="CI726" s="40"/>
      <c r="CJ726" s="40"/>
      <c r="CK726" s="40"/>
      <c r="CL726" s="40"/>
      <c r="CM726" s="40"/>
      <c r="CN726" s="40"/>
      <c r="CO726" s="40"/>
      <c r="CP726" s="40"/>
      <c r="CQ726" s="40"/>
      <c r="CR726" s="40"/>
      <c r="CS726" s="40"/>
      <c r="CT726" s="40"/>
      <c r="CU726" s="40"/>
      <c r="CV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  <c r="BS727" s="40"/>
      <c r="BT727" s="40"/>
      <c r="BU727" s="40"/>
      <c r="BV727" s="40"/>
      <c r="BW727" s="40"/>
      <c r="BX727" s="40"/>
      <c r="BY727" s="40"/>
      <c r="BZ727" s="40"/>
      <c r="CA727" s="40"/>
      <c r="CB727" s="40"/>
      <c r="CC727" s="40"/>
      <c r="CD727" s="40"/>
      <c r="CE727" s="40"/>
      <c r="CF727" s="40"/>
      <c r="CG727" s="40"/>
      <c r="CH727" s="40"/>
      <c r="CI727" s="40"/>
      <c r="CJ727" s="40"/>
      <c r="CK727" s="40"/>
      <c r="CL727" s="40"/>
      <c r="CM727" s="40"/>
      <c r="CN727" s="40"/>
      <c r="CO727" s="40"/>
      <c r="CP727" s="40"/>
      <c r="CQ727" s="40"/>
      <c r="CR727" s="40"/>
      <c r="CS727" s="40"/>
      <c r="CT727" s="40"/>
      <c r="CU727" s="40"/>
      <c r="CV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  <c r="BS728" s="40"/>
      <c r="BT728" s="40"/>
      <c r="BU728" s="40"/>
      <c r="BV728" s="40"/>
      <c r="BW728" s="40"/>
      <c r="BX728" s="40"/>
      <c r="BY728" s="40"/>
      <c r="BZ728" s="40"/>
      <c r="CA728" s="40"/>
      <c r="CB728" s="40"/>
      <c r="CC728" s="40"/>
      <c r="CD728" s="40"/>
      <c r="CE728" s="40"/>
      <c r="CF728" s="40"/>
      <c r="CG728" s="40"/>
      <c r="CH728" s="40"/>
      <c r="CI728" s="40"/>
      <c r="CJ728" s="40"/>
      <c r="CK728" s="40"/>
      <c r="CL728" s="40"/>
      <c r="CM728" s="40"/>
      <c r="CN728" s="40"/>
      <c r="CO728" s="40"/>
      <c r="CP728" s="40"/>
      <c r="CQ728" s="40"/>
      <c r="CR728" s="40"/>
      <c r="CS728" s="40"/>
      <c r="CT728" s="40"/>
      <c r="CU728" s="40"/>
      <c r="CV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  <c r="BS729" s="40"/>
      <c r="BT729" s="40"/>
      <c r="BU729" s="40"/>
      <c r="BV729" s="40"/>
      <c r="BW729" s="40"/>
      <c r="BX729" s="40"/>
      <c r="BY729" s="40"/>
      <c r="BZ729" s="40"/>
      <c r="CA729" s="40"/>
      <c r="CB729" s="40"/>
      <c r="CC729" s="40"/>
      <c r="CD729" s="40"/>
      <c r="CE729" s="40"/>
      <c r="CF729" s="40"/>
      <c r="CG729" s="40"/>
      <c r="CH729" s="40"/>
      <c r="CI729" s="40"/>
      <c r="CJ729" s="40"/>
      <c r="CK729" s="40"/>
      <c r="CL729" s="40"/>
      <c r="CM729" s="40"/>
      <c r="CN729" s="40"/>
      <c r="CO729" s="40"/>
      <c r="CP729" s="40"/>
      <c r="CQ729" s="40"/>
      <c r="CR729" s="40"/>
      <c r="CS729" s="40"/>
      <c r="CT729" s="40"/>
      <c r="CU729" s="40"/>
      <c r="CV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  <c r="BU730" s="40"/>
      <c r="BV730" s="40"/>
      <c r="BW730" s="40"/>
      <c r="BX730" s="40"/>
      <c r="BY730" s="40"/>
      <c r="BZ730" s="40"/>
      <c r="CA730" s="40"/>
      <c r="CB730" s="40"/>
      <c r="CC730" s="40"/>
      <c r="CD730" s="40"/>
      <c r="CE730" s="40"/>
      <c r="CF730" s="40"/>
      <c r="CG730" s="40"/>
      <c r="CH730" s="40"/>
      <c r="CI730" s="40"/>
      <c r="CJ730" s="40"/>
      <c r="CK730" s="40"/>
      <c r="CL730" s="40"/>
      <c r="CM730" s="40"/>
      <c r="CN730" s="40"/>
      <c r="CO730" s="40"/>
      <c r="CP730" s="40"/>
      <c r="CQ730" s="40"/>
      <c r="CR730" s="40"/>
      <c r="CS730" s="40"/>
      <c r="CT730" s="40"/>
      <c r="CU730" s="40"/>
      <c r="CV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  <c r="BS731" s="40"/>
      <c r="BT731" s="40"/>
      <c r="BU731" s="40"/>
      <c r="BV731" s="40"/>
      <c r="BW731" s="40"/>
      <c r="BX731" s="40"/>
      <c r="BY731" s="40"/>
      <c r="BZ731" s="40"/>
      <c r="CA731" s="40"/>
      <c r="CB731" s="40"/>
      <c r="CC731" s="40"/>
      <c r="CD731" s="40"/>
      <c r="CE731" s="40"/>
      <c r="CF731" s="40"/>
      <c r="CG731" s="40"/>
      <c r="CH731" s="40"/>
      <c r="CI731" s="40"/>
      <c r="CJ731" s="40"/>
      <c r="CK731" s="40"/>
      <c r="CL731" s="40"/>
      <c r="CM731" s="40"/>
      <c r="CN731" s="40"/>
      <c r="CO731" s="40"/>
      <c r="CP731" s="40"/>
      <c r="CQ731" s="40"/>
      <c r="CR731" s="40"/>
      <c r="CS731" s="40"/>
      <c r="CT731" s="40"/>
      <c r="CU731" s="40"/>
      <c r="CV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  <c r="BS732" s="40"/>
      <c r="BT732" s="40"/>
      <c r="BU732" s="40"/>
      <c r="BV732" s="40"/>
      <c r="BW732" s="40"/>
      <c r="BX732" s="40"/>
      <c r="BY732" s="40"/>
      <c r="BZ732" s="40"/>
      <c r="CA732" s="40"/>
      <c r="CB732" s="40"/>
      <c r="CC732" s="40"/>
      <c r="CD732" s="40"/>
      <c r="CE732" s="40"/>
      <c r="CF732" s="40"/>
      <c r="CG732" s="40"/>
      <c r="CH732" s="40"/>
      <c r="CI732" s="40"/>
      <c r="CJ732" s="40"/>
      <c r="CK732" s="40"/>
      <c r="CL732" s="40"/>
      <c r="CM732" s="40"/>
      <c r="CN732" s="40"/>
      <c r="CO732" s="40"/>
      <c r="CP732" s="40"/>
      <c r="CQ732" s="40"/>
      <c r="CR732" s="40"/>
      <c r="CS732" s="40"/>
      <c r="CT732" s="40"/>
      <c r="CU732" s="40"/>
      <c r="CV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  <c r="BS733" s="40"/>
      <c r="BT733" s="40"/>
      <c r="BU733" s="40"/>
      <c r="BV733" s="40"/>
      <c r="BW733" s="40"/>
      <c r="BX733" s="40"/>
      <c r="BY733" s="40"/>
      <c r="BZ733" s="40"/>
      <c r="CA733" s="40"/>
      <c r="CB733" s="40"/>
      <c r="CC733" s="40"/>
      <c r="CD733" s="40"/>
      <c r="CE733" s="40"/>
      <c r="CF733" s="40"/>
      <c r="CG733" s="40"/>
      <c r="CH733" s="40"/>
      <c r="CI733" s="40"/>
      <c r="CJ733" s="40"/>
      <c r="CK733" s="40"/>
      <c r="CL733" s="40"/>
      <c r="CM733" s="40"/>
      <c r="CN733" s="40"/>
      <c r="CO733" s="40"/>
      <c r="CP733" s="40"/>
      <c r="CQ733" s="40"/>
      <c r="CR733" s="40"/>
      <c r="CS733" s="40"/>
      <c r="CT733" s="40"/>
      <c r="CU733" s="40"/>
      <c r="CV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  <c r="BS734" s="40"/>
      <c r="BT734" s="40"/>
      <c r="BU734" s="40"/>
      <c r="BV734" s="40"/>
      <c r="BW734" s="40"/>
      <c r="BX734" s="40"/>
      <c r="BY734" s="40"/>
      <c r="BZ734" s="40"/>
      <c r="CA734" s="40"/>
      <c r="CB734" s="40"/>
      <c r="CC734" s="40"/>
      <c r="CD734" s="40"/>
      <c r="CE734" s="40"/>
      <c r="CF734" s="40"/>
      <c r="CG734" s="40"/>
      <c r="CH734" s="40"/>
      <c r="CI734" s="40"/>
      <c r="CJ734" s="40"/>
      <c r="CK734" s="40"/>
      <c r="CL734" s="40"/>
      <c r="CM734" s="40"/>
      <c r="CN734" s="40"/>
      <c r="CO734" s="40"/>
      <c r="CP734" s="40"/>
      <c r="CQ734" s="40"/>
      <c r="CR734" s="40"/>
      <c r="CS734" s="40"/>
      <c r="CT734" s="40"/>
      <c r="CU734" s="40"/>
      <c r="CV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  <c r="BU735" s="40"/>
      <c r="BV735" s="40"/>
      <c r="BW735" s="40"/>
      <c r="BX735" s="40"/>
      <c r="BY735" s="40"/>
      <c r="BZ735" s="40"/>
      <c r="CA735" s="40"/>
      <c r="CB735" s="40"/>
      <c r="CC735" s="40"/>
      <c r="CD735" s="40"/>
      <c r="CE735" s="40"/>
      <c r="CF735" s="40"/>
      <c r="CG735" s="40"/>
      <c r="CH735" s="40"/>
      <c r="CI735" s="40"/>
      <c r="CJ735" s="40"/>
      <c r="CK735" s="40"/>
      <c r="CL735" s="40"/>
      <c r="CM735" s="40"/>
      <c r="CN735" s="40"/>
      <c r="CO735" s="40"/>
      <c r="CP735" s="40"/>
      <c r="CQ735" s="40"/>
      <c r="CR735" s="40"/>
      <c r="CS735" s="40"/>
      <c r="CT735" s="40"/>
      <c r="CU735" s="40"/>
      <c r="CV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  <c r="BU736" s="40"/>
      <c r="BV736" s="40"/>
      <c r="BW736" s="40"/>
      <c r="BX736" s="40"/>
      <c r="BY736" s="40"/>
      <c r="BZ736" s="40"/>
      <c r="CA736" s="40"/>
      <c r="CB736" s="40"/>
      <c r="CC736" s="40"/>
      <c r="CD736" s="40"/>
      <c r="CE736" s="40"/>
      <c r="CF736" s="40"/>
      <c r="CG736" s="40"/>
      <c r="CH736" s="40"/>
      <c r="CI736" s="40"/>
      <c r="CJ736" s="40"/>
      <c r="CK736" s="40"/>
      <c r="CL736" s="40"/>
      <c r="CM736" s="40"/>
      <c r="CN736" s="40"/>
      <c r="CO736" s="40"/>
      <c r="CP736" s="40"/>
      <c r="CQ736" s="40"/>
      <c r="CR736" s="40"/>
      <c r="CS736" s="40"/>
      <c r="CT736" s="40"/>
      <c r="CU736" s="40"/>
      <c r="CV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  <c r="BU737" s="40"/>
      <c r="BV737" s="40"/>
      <c r="BW737" s="40"/>
      <c r="BX737" s="40"/>
      <c r="BY737" s="40"/>
      <c r="BZ737" s="40"/>
      <c r="CA737" s="40"/>
      <c r="CB737" s="40"/>
      <c r="CC737" s="40"/>
      <c r="CD737" s="40"/>
      <c r="CE737" s="40"/>
      <c r="CF737" s="40"/>
      <c r="CG737" s="40"/>
      <c r="CH737" s="40"/>
      <c r="CI737" s="40"/>
      <c r="CJ737" s="40"/>
      <c r="CK737" s="40"/>
      <c r="CL737" s="40"/>
      <c r="CM737" s="40"/>
      <c r="CN737" s="40"/>
      <c r="CO737" s="40"/>
      <c r="CP737" s="40"/>
      <c r="CQ737" s="40"/>
      <c r="CR737" s="40"/>
      <c r="CS737" s="40"/>
      <c r="CT737" s="40"/>
      <c r="CU737" s="40"/>
      <c r="CV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  <c r="BU738" s="40"/>
      <c r="BV738" s="40"/>
      <c r="BW738" s="40"/>
      <c r="BX738" s="40"/>
      <c r="BY738" s="40"/>
      <c r="BZ738" s="40"/>
      <c r="CA738" s="40"/>
      <c r="CB738" s="40"/>
      <c r="CC738" s="40"/>
      <c r="CD738" s="40"/>
      <c r="CE738" s="40"/>
      <c r="CF738" s="40"/>
      <c r="CG738" s="40"/>
      <c r="CH738" s="40"/>
      <c r="CI738" s="40"/>
      <c r="CJ738" s="40"/>
      <c r="CK738" s="40"/>
      <c r="CL738" s="40"/>
      <c r="CM738" s="40"/>
      <c r="CN738" s="40"/>
      <c r="CO738" s="40"/>
      <c r="CP738" s="40"/>
      <c r="CQ738" s="40"/>
      <c r="CR738" s="40"/>
      <c r="CS738" s="40"/>
      <c r="CT738" s="40"/>
      <c r="CU738" s="40"/>
      <c r="CV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  <c r="BS739" s="40"/>
      <c r="BT739" s="40"/>
      <c r="BU739" s="40"/>
      <c r="BV739" s="40"/>
      <c r="BW739" s="40"/>
      <c r="BX739" s="40"/>
      <c r="BY739" s="40"/>
      <c r="BZ739" s="40"/>
      <c r="CA739" s="40"/>
      <c r="CB739" s="40"/>
      <c r="CC739" s="40"/>
      <c r="CD739" s="40"/>
      <c r="CE739" s="40"/>
      <c r="CF739" s="40"/>
      <c r="CG739" s="40"/>
      <c r="CH739" s="40"/>
      <c r="CI739" s="40"/>
      <c r="CJ739" s="40"/>
      <c r="CK739" s="40"/>
      <c r="CL739" s="40"/>
      <c r="CM739" s="40"/>
      <c r="CN739" s="40"/>
      <c r="CO739" s="40"/>
      <c r="CP739" s="40"/>
      <c r="CQ739" s="40"/>
      <c r="CR739" s="40"/>
      <c r="CS739" s="40"/>
      <c r="CT739" s="40"/>
      <c r="CU739" s="40"/>
      <c r="CV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  <c r="BU740" s="40"/>
      <c r="BV740" s="40"/>
      <c r="BW740" s="40"/>
      <c r="BX740" s="40"/>
      <c r="BY740" s="40"/>
      <c r="BZ740" s="40"/>
      <c r="CA740" s="40"/>
      <c r="CB740" s="40"/>
      <c r="CC740" s="40"/>
      <c r="CD740" s="40"/>
      <c r="CE740" s="40"/>
      <c r="CF740" s="40"/>
      <c r="CG740" s="40"/>
      <c r="CH740" s="40"/>
      <c r="CI740" s="40"/>
      <c r="CJ740" s="40"/>
      <c r="CK740" s="40"/>
      <c r="CL740" s="40"/>
      <c r="CM740" s="40"/>
      <c r="CN740" s="40"/>
      <c r="CO740" s="40"/>
      <c r="CP740" s="40"/>
      <c r="CQ740" s="40"/>
      <c r="CR740" s="40"/>
      <c r="CS740" s="40"/>
      <c r="CT740" s="40"/>
      <c r="CU740" s="40"/>
      <c r="CV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  <c r="BS741" s="40"/>
      <c r="BT741" s="40"/>
      <c r="BU741" s="40"/>
      <c r="BV741" s="40"/>
      <c r="BW741" s="40"/>
      <c r="BX741" s="40"/>
      <c r="BY741" s="40"/>
      <c r="BZ741" s="40"/>
      <c r="CA741" s="40"/>
      <c r="CB741" s="40"/>
      <c r="CC741" s="40"/>
      <c r="CD741" s="40"/>
      <c r="CE741" s="40"/>
      <c r="CF741" s="40"/>
      <c r="CG741" s="40"/>
      <c r="CH741" s="40"/>
      <c r="CI741" s="40"/>
      <c r="CJ741" s="40"/>
      <c r="CK741" s="40"/>
      <c r="CL741" s="40"/>
      <c r="CM741" s="40"/>
      <c r="CN741" s="40"/>
      <c r="CO741" s="40"/>
      <c r="CP741" s="40"/>
      <c r="CQ741" s="40"/>
      <c r="CR741" s="40"/>
      <c r="CS741" s="40"/>
      <c r="CT741" s="40"/>
      <c r="CU741" s="40"/>
      <c r="CV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  <c r="BS742" s="40"/>
      <c r="BT742" s="40"/>
      <c r="BU742" s="40"/>
      <c r="BV742" s="40"/>
      <c r="BW742" s="40"/>
      <c r="BX742" s="40"/>
      <c r="BY742" s="40"/>
      <c r="BZ742" s="40"/>
      <c r="CA742" s="40"/>
      <c r="CB742" s="40"/>
      <c r="CC742" s="40"/>
      <c r="CD742" s="40"/>
      <c r="CE742" s="40"/>
      <c r="CF742" s="40"/>
      <c r="CG742" s="40"/>
      <c r="CH742" s="40"/>
      <c r="CI742" s="40"/>
      <c r="CJ742" s="40"/>
      <c r="CK742" s="40"/>
      <c r="CL742" s="40"/>
      <c r="CM742" s="40"/>
      <c r="CN742" s="40"/>
      <c r="CO742" s="40"/>
      <c r="CP742" s="40"/>
      <c r="CQ742" s="40"/>
      <c r="CR742" s="40"/>
      <c r="CS742" s="40"/>
      <c r="CT742" s="40"/>
      <c r="CU742" s="40"/>
      <c r="CV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  <c r="BS743" s="40"/>
      <c r="BT743" s="40"/>
      <c r="BU743" s="40"/>
      <c r="BV743" s="40"/>
      <c r="BW743" s="40"/>
      <c r="BX743" s="40"/>
      <c r="BY743" s="40"/>
      <c r="BZ743" s="40"/>
      <c r="CA743" s="40"/>
      <c r="CB743" s="40"/>
      <c r="CC743" s="40"/>
      <c r="CD743" s="40"/>
      <c r="CE743" s="40"/>
      <c r="CF743" s="40"/>
      <c r="CG743" s="40"/>
      <c r="CH743" s="40"/>
      <c r="CI743" s="40"/>
      <c r="CJ743" s="40"/>
      <c r="CK743" s="40"/>
      <c r="CL743" s="40"/>
      <c r="CM743" s="40"/>
      <c r="CN743" s="40"/>
      <c r="CO743" s="40"/>
      <c r="CP743" s="40"/>
      <c r="CQ743" s="40"/>
      <c r="CR743" s="40"/>
      <c r="CS743" s="40"/>
      <c r="CT743" s="40"/>
      <c r="CU743" s="40"/>
      <c r="CV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  <c r="BS744" s="40"/>
      <c r="BT744" s="40"/>
      <c r="BU744" s="40"/>
      <c r="BV744" s="40"/>
      <c r="BW744" s="40"/>
      <c r="BX744" s="40"/>
      <c r="BY744" s="40"/>
      <c r="BZ744" s="40"/>
      <c r="CA744" s="40"/>
      <c r="CB744" s="40"/>
      <c r="CC744" s="40"/>
      <c r="CD744" s="40"/>
      <c r="CE744" s="40"/>
      <c r="CF744" s="40"/>
      <c r="CG744" s="40"/>
      <c r="CH744" s="40"/>
      <c r="CI744" s="40"/>
      <c r="CJ744" s="40"/>
      <c r="CK744" s="40"/>
      <c r="CL744" s="40"/>
      <c r="CM744" s="40"/>
      <c r="CN744" s="40"/>
      <c r="CO744" s="40"/>
      <c r="CP744" s="40"/>
      <c r="CQ744" s="40"/>
      <c r="CR744" s="40"/>
      <c r="CS744" s="40"/>
      <c r="CT744" s="40"/>
      <c r="CU744" s="40"/>
      <c r="CV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  <c r="BU745" s="40"/>
      <c r="BV745" s="40"/>
      <c r="BW745" s="40"/>
      <c r="BX745" s="40"/>
      <c r="BY745" s="40"/>
      <c r="BZ745" s="40"/>
      <c r="CA745" s="40"/>
      <c r="CB745" s="40"/>
      <c r="CC745" s="40"/>
      <c r="CD745" s="40"/>
      <c r="CE745" s="40"/>
      <c r="CF745" s="40"/>
      <c r="CG745" s="40"/>
      <c r="CH745" s="40"/>
      <c r="CI745" s="40"/>
      <c r="CJ745" s="40"/>
      <c r="CK745" s="40"/>
      <c r="CL745" s="40"/>
      <c r="CM745" s="40"/>
      <c r="CN745" s="40"/>
      <c r="CO745" s="40"/>
      <c r="CP745" s="40"/>
      <c r="CQ745" s="40"/>
      <c r="CR745" s="40"/>
      <c r="CS745" s="40"/>
      <c r="CT745" s="40"/>
      <c r="CU745" s="40"/>
      <c r="CV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  <c r="BS746" s="40"/>
      <c r="BT746" s="40"/>
      <c r="BU746" s="40"/>
      <c r="BV746" s="40"/>
      <c r="BW746" s="40"/>
      <c r="BX746" s="40"/>
      <c r="BY746" s="40"/>
      <c r="BZ746" s="40"/>
      <c r="CA746" s="40"/>
      <c r="CB746" s="40"/>
      <c r="CC746" s="40"/>
      <c r="CD746" s="40"/>
      <c r="CE746" s="40"/>
      <c r="CF746" s="40"/>
      <c r="CG746" s="40"/>
      <c r="CH746" s="40"/>
      <c r="CI746" s="40"/>
      <c r="CJ746" s="40"/>
      <c r="CK746" s="40"/>
      <c r="CL746" s="40"/>
      <c r="CM746" s="40"/>
      <c r="CN746" s="40"/>
      <c r="CO746" s="40"/>
      <c r="CP746" s="40"/>
      <c r="CQ746" s="40"/>
      <c r="CR746" s="40"/>
      <c r="CS746" s="40"/>
      <c r="CT746" s="40"/>
      <c r="CU746" s="40"/>
      <c r="CV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  <c r="BS747" s="40"/>
      <c r="BT747" s="40"/>
      <c r="BU747" s="40"/>
      <c r="BV747" s="40"/>
      <c r="BW747" s="40"/>
      <c r="BX747" s="40"/>
      <c r="BY747" s="40"/>
      <c r="BZ747" s="40"/>
      <c r="CA747" s="40"/>
      <c r="CB747" s="40"/>
      <c r="CC747" s="40"/>
      <c r="CD747" s="40"/>
      <c r="CE747" s="40"/>
      <c r="CF747" s="40"/>
      <c r="CG747" s="40"/>
      <c r="CH747" s="40"/>
      <c r="CI747" s="40"/>
      <c r="CJ747" s="40"/>
      <c r="CK747" s="40"/>
      <c r="CL747" s="40"/>
      <c r="CM747" s="40"/>
      <c r="CN747" s="40"/>
      <c r="CO747" s="40"/>
      <c r="CP747" s="40"/>
      <c r="CQ747" s="40"/>
      <c r="CR747" s="40"/>
      <c r="CS747" s="40"/>
      <c r="CT747" s="40"/>
      <c r="CU747" s="40"/>
      <c r="CV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  <c r="BU748" s="40"/>
      <c r="BV748" s="40"/>
      <c r="BW748" s="40"/>
      <c r="BX748" s="40"/>
      <c r="BY748" s="40"/>
      <c r="BZ748" s="40"/>
      <c r="CA748" s="40"/>
      <c r="CB748" s="40"/>
      <c r="CC748" s="40"/>
      <c r="CD748" s="40"/>
      <c r="CE748" s="40"/>
      <c r="CF748" s="40"/>
      <c r="CG748" s="40"/>
      <c r="CH748" s="40"/>
      <c r="CI748" s="40"/>
      <c r="CJ748" s="40"/>
      <c r="CK748" s="40"/>
      <c r="CL748" s="40"/>
      <c r="CM748" s="40"/>
      <c r="CN748" s="40"/>
      <c r="CO748" s="40"/>
      <c r="CP748" s="40"/>
      <c r="CQ748" s="40"/>
      <c r="CR748" s="40"/>
      <c r="CS748" s="40"/>
      <c r="CT748" s="40"/>
      <c r="CU748" s="40"/>
      <c r="CV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  <c r="BS749" s="40"/>
      <c r="BT749" s="40"/>
      <c r="BU749" s="40"/>
      <c r="BV749" s="40"/>
      <c r="BW749" s="40"/>
      <c r="BX749" s="40"/>
      <c r="BY749" s="40"/>
      <c r="BZ749" s="40"/>
      <c r="CA749" s="40"/>
      <c r="CB749" s="40"/>
      <c r="CC749" s="40"/>
      <c r="CD749" s="40"/>
      <c r="CE749" s="40"/>
      <c r="CF749" s="40"/>
      <c r="CG749" s="40"/>
      <c r="CH749" s="40"/>
      <c r="CI749" s="40"/>
      <c r="CJ749" s="40"/>
      <c r="CK749" s="40"/>
      <c r="CL749" s="40"/>
      <c r="CM749" s="40"/>
      <c r="CN749" s="40"/>
      <c r="CO749" s="40"/>
      <c r="CP749" s="40"/>
      <c r="CQ749" s="40"/>
      <c r="CR749" s="40"/>
      <c r="CS749" s="40"/>
      <c r="CT749" s="40"/>
      <c r="CU749" s="40"/>
      <c r="CV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  <c r="BW750" s="40"/>
      <c r="BX750" s="40"/>
      <c r="BY750" s="40"/>
      <c r="BZ750" s="40"/>
      <c r="CA750" s="40"/>
      <c r="CB750" s="40"/>
      <c r="CC750" s="40"/>
      <c r="CD750" s="40"/>
      <c r="CE750" s="40"/>
      <c r="CF750" s="40"/>
      <c r="CG750" s="40"/>
      <c r="CH750" s="40"/>
      <c r="CI750" s="40"/>
      <c r="CJ750" s="40"/>
      <c r="CK750" s="40"/>
      <c r="CL750" s="40"/>
      <c r="CM750" s="40"/>
      <c r="CN750" s="40"/>
      <c r="CO750" s="40"/>
      <c r="CP750" s="40"/>
      <c r="CQ750" s="40"/>
      <c r="CR750" s="40"/>
      <c r="CS750" s="40"/>
      <c r="CT750" s="40"/>
      <c r="CU750" s="40"/>
      <c r="CV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  <c r="BS751" s="40"/>
      <c r="BT751" s="40"/>
      <c r="BU751" s="40"/>
      <c r="BV751" s="40"/>
      <c r="BW751" s="40"/>
      <c r="BX751" s="40"/>
      <c r="BY751" s="40"/>
      <c r="BZ751" s="40"/>
      <c r="CA751" s="40"/>
      <c r="CB751" s="40"/>
      <c r="CC751" s="40"/>
      <c r="CD751" s="40"/>
      <c r="CE751" s="40"/>
      <c r="CF751" s="40"/>
      <c r="CG751" s="40"/>
      <c r="CH751" s="40"/>
      <c r="CI751" s="40"/>
      <c r="CJ751" s="40"/>
      <c r="CK751" s="40"/>
      <c r="CL751" s="40"/>
      <c r="CM751" s="40"/>
      <c r="CN751" s="40"/>
      <c r="CO751" s="40"/>
      <c r="CP751" s="40"/>
      <c r="CQ751" s="40"/>
      <c r="CR751" s="40"/>
      <c r="CS751" s="40"/>
      <c r="CT751" s="40"/>
      <c r="CU751" s="40"/>
      <c r="CV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  <c r="BU752" s="40"/>
      <c r="BV752" s="40"/>
      <c r="BW752" s="40"/>
      <c r="BX752" s="40"/>
      <c r="BY752" s="40"/>
      <c r="BZ752" s="40"/>
      <c r="CA752" s="40"/>
      <c r="CB752" s="40"/>
      <c r="CC752" s="40"/>
      <c r="CD752" s="40"/>
      <c r="CE752" s="40"/>
      <c r="CF752" s="40"/>
      <c r="CG752" s="40"/>
      <c r="CH752" s="40"/>
      <c r="CI752" s="40"/>
      <c r="CJ752" s="40"/>
      <c r="CK752" s="40"/>
      <c r="CL752" s="40"/>
      <c r="CM752" s="40"/>
      <c r="CN752" s="40"/>
      <c r="CO752" s="40"/>
      <c r="CP752" s="40"/>
      <c r="CQ752" s="40"/>
      <c r="CR752" s="40"/>
      <c r="CS752" s="40"/>
      <c r="CT752" s="40"/>
      <c r="CU752" s="40"/>
      <c r="CV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  <c r="BS753" s="40"/>
      <c r="BT753" s="40"/>
      <c r="BU753" s="40"/>
      <c r="BV753" s="40"/>
      <c r="BW753" s="40"/>
      <c r="BX753" s="40"/>
      <c r="BY753" s="40"/>
      <c r="BZ753" s="40"/>
      <c r="CA753" s="40"/>
      <c r="CB753" s="40"/>
      <c r="CC753" s="40"/>
      <c r="CD753" s="40"/>
      <c r="CE753" s="40"/>
      <c r="CF753" s="40"/>
      <c r="CG753" s="40"/>
      <c r="CH753" s="40"/>
      <c r="CI753" s="40"/>
      <c r="CJ753" s="40"/>
      <c r="CK753" s="40"/>
      <c r="CL753" s="40"/>
      <c r="CM753" s="40"/>
      <c r="CN753" s="40"/>
      <c r="CO753" s="40"/>
      <c r="CP753" s="40"/>
      <c r="CQ753" s="40"/>
      <c r="CR753" s="40"/>
      <c r="CS753" s="40"/>
      <c r="CT753" s="40"/>
      <c r="CU753" s="40"/>
      <c r="CV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  <c r="BU754" s="40"/>
      <c r="BV754" s="40"/>
      <c r="BW754" s="40"/>
      <c r="BX754" s="40"/>
      <c r="BY754" s="40"/>
      <c r="BZ754" s="40"/>
      <c r="CA754" s="40"/>
      <c r="CB754" s="40"/>
      <c r="CC754" s="40"/>
      <c r="CD754" s="40"/>
      <c r="CE754" s="40"/>
      <c r="CF754" s="40"/>
      <c r="CG754" s="40"/>
      <c r="CH754" s="40"/>
      <c r="CI754" s="40"/>
      <c r="CJ754" s="40"/>
      <c r="CK754" s="40"/>
      <c r="CL754" s="40"/>
      <c r="CM754" s="40"/>
      <c r="CN754" s="40"/>
      <c r="CO754" s="40"/>
      <c r="CP754" s="40"/>
      <c r="CQ754" s="40"/>
      <c r="CR754" s="40"/>
      <c r="CS754" s="40"/>
      <c r="CT754" s="40"/>
      <c r="CU754" s="40"/>
      <c r="CV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  <c r="BW755" s="40"/>
      <c r="BX755" s="40"/>
      <c r="BY755" s="40"/>
      <c r="BZ755" s="40"/>
      <c r="CA755" s="40"/>
      <c r="CB755" s="40"/>
      <c r="CC755" s="40"/>
      <c r="CD755" s="40"/>
      <c r="CE755" s="40"/>
      <c r="CF755" s="40"/>
      <c r="CG755" s="40"/>
      <c r="CH755" s="40"/>
      <c r="CI755" s="40"/>
      <c r="CJ755" s="40"/>
      <c r="CK755" s="40"/>
      <c r="CL755" s="40"/>
      <c r="CM755" s="40"/>
      <c r="CN755" s="40"/>
      <c r="CO755" s="40"/>
      <c r="CP755" s="40"/>
      <c r="CQ755" s="40"/>
      <c r="CR755" s="40"/>
      <c r="CS755" s="40"/>
      <c r="CT755" s="40"/>
      <c r="CU755" s="40"/>
      <c r="CV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  <c r="BS756" s="40"/>
      <c r="BT756" s="40"/>
      <c r="BU756" s="40"/>
      <c r="BV756" s="40"/>
      <c r="BW756" s="40"/>
      <c r="BX756" s="40"/>
      <c r="BY756" s="40"/>
      <c r="BZ756" s="40"/>
      <c r="CA756" s="40"/>
      <c r="CB756" s="40"/>
      <c r="CC756" s="40"/>
      <c r="CD756" s="40"/>
      <c r="CE756" s="40"/>
      <c r="CF756" s="40"/>
      <c r="CG756" s="40"/>
      <c r="CH756" s="40"/>
      <c r="CI756" s="40"/>
      <c r="CJ756" s="40"/>
      <c r="CK756" s="40"/>
      <c r="CL756" s="40"/>
      <c r="CM756" s="40"/>
      <c r="CN756" s="40"/>
      <c r="CO756" s="40"/>
      <c r="CP756" s="40"/>
      <c r="CQ756" s="40"/>
      <c r="CR756" s="40"/>
      <c r="CS756" s="40"/>
      <c r="CT756" s="40"/>
      <c r="CU756" s="40"/>
      <c r="CV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  <c r="BU757" s="40"/>
      <c r="BV757" s="40"/>
      <c r="BW757" s="40"/>
      <c r="BX757" s="40"/>
      <c r="BY757" s="40"/>
      <c r="BZ757" s="40"/>
      <c r="CA757" s="40"/>
      <c r="CB757" s="40"/>
      <c r="CC757" s="40"/>
      <c r="CD757" s="40"/>
      <c r="CE757" s="40"/>
      <c r="CF757" s="40"/>
      <c r="CG757" s="40"/>
      <c r="CH757" s="40"/>
      <c r="CI757" s="40"/>
      <c r="CJ757" s="40"/>
      <c r="CK757" s="40"/>
      <c r="CL757" s="40"/>
      <c r="CM757" s="40"/>
      <c r="CN757" s="40"/>
      <c r="CO757" s="40"/>
      <c r="CP757" s="40"/>
      <c r="CQ757" s="40"/>
      <c r="CR757" s="40"/>
      <c r="CS757" s="40"/>
      <c r="CT757" s="40"/>
      <c r="CU757" s="40"/>
      <c r="CV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  <c r="BU758" s="40"/>
      <c r="BV758" s="40"/>
      <c r="BW758" s="40"/>
      <c r="BX758" s="40"/>
      <c r="BY758" s="40"/>
      <c r="BZ758" s="40"/>
      <c r="CA758" s="40"/>
      <c r="CB758" s="40"/>
      <c r="CC758" s="40"/>
      <c r="CD758" s="40"/>
      <c r="CE758" s="40"/>
      <c r="CF758" s="40"/>
      <c r="CG758" s="40"/>
      <c r="CH758" s="40"/>
      <c r="CI758" s="40"/>
      <c r="CJ758" s="40"/>
      <c r="CK758" s="40"/>
      <c r="CL758" s="40"/>
      <c r="CM758" s="40"/>
      <c r="CN758" s="40"/>
      <c r="CO758" s="40"/>
      <c r="CP758" s="40"/>
      <c r="CQ758" s="40"/>
      <c r="CR758" s="40"/>
      <c r="CS758" s="40"/>
      <c r="CT758" s="40"/>
      <c r="CU758" s="40"/>
      <c r="CV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  <c r="BS759" s="40"/>
      <c r="BT759" s="40"/>
      <c r="BU759" s="40"/>
      <c r="BV759" s="40"/>
      <c r="BW759" s="40"/>
      <c r="BX759" s="40"/>
      <c r="BY759" s="40"/>
      <c r="BZ759" s="40"/>
      <c r="CA759" s="40"/>
      <c r="CB759" s="40"/>
      <c r="CC759" s="40"/>
      <c r="CD759" s="40"/>
      <c r="CE759" s="40"/>
      <c r="CF759" s="40"/>
      <c r="CG759" s="40"/>
      <c r="CH759" s="40"/>
      <c r="CI759" s="40"/>
      <c r="CJ759" s="40"/>
      <c r="CK759" s="40"/>
      <c r="CL759" s="40"/>
      <c r="CM759" s="40"/>
      <c r="CN759" s="40"/>
      <c r="CO759" s="40"/>
      <c r="CP759" s="40"/>
      <c r="CQ759" s="40"/>
      <c r="CR759" s="40"/>
      <c r="CS759" s="40"/>
      <c r="CT759" s="40"/>
      <c r="CU759" s="40"/>
      <c r="CV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  <c r="BU760" s="40"/>
      <c r="BV760" s="40"/>
      <c r="BW760" s="40"/>
      <c r="BX760" s="40"/>
      <c r="BY760" s="40"/>
      <c r="BZ760" s="40"/>
      <c r="CA760" s="40"/>
      <c r="CB760" s="40"/>
      <c r="CC760" s="40"/>
      <c r="CD760" s="40"/>
      <c r="CE760" s="40"/>
      <c r="CF760" s="40"/>
      <c r="CG760" s="40"/>
      <c r="CH760" s="40"/>
      <c r="CI760" s="40"/>
      <c r="CJ760" s="40"/>
      <c r="CK760" s="40"/>
      <c r="CL760" s="40"/>
      <c r="CM760" s="40"/>
      <c r="CN760" s="40"/>
      <c r="CO760" s="40"/>
      <c r="CP760" s="40"/>
      <c r="CQ760" s="40"/>
      <c r="CR760" s="40"/>
      <c r="CS760" s="40"/>
      <c r="CT760" s="40"/>
      <c r="CU760" s="40"/>
      <c r="CV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  <c r="BS761" s="40"/>
      <c r="BT761" s="40"/>
      <c r="BU761" s="40"/>
      <c r="BV761" s="40"/>
      <c r="BW761" s="40"/>
      <c r="BX761" s="40"/>
      <c r="BY761" s="40"/>
      <c r="BZ761" s="40"/>
      <c r="CA761" s="40"/>
      <c r="CB761" s="40"/>
      <c r="CC761" s="40"/>
      <c r="CD761" s="40"/>
      <c r="CE761" s="40"/>
      <c r="CF761" s="40"/>
      <c r="CG761" s="40"/>
      <c r="CH761" s="40"/>
      <c r="CI761" s="40"/>
      <c r="CJ761" s="40"/>
      <c r="CK761" s="40"/>
      <c r="CL761" s="40"/>
      <c r="CM761" s="40"/>
      <c r="CN761" s="40"/>
      <c r="CO761" s="40"/>
      <c r="CP761" s="40"/>
      <c r="CQ761" s="40"/>
      <c r="CR761" s="40"/>
      <c r="CS761" s="40"/>
      <c r="CT761" s="40"/>
      <c r="CU761" s="40"/>
      <c r="CV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  <c r="BU762" s="40"/>
      <c r="BV762" s="40"/>
      <c r="BW762" s="40"/>
      <c r="BX762" s="40"/>
      <c r="BY762" s="40"/>
      <c r="BZ762" s="40"/>
      <c r="CA762" s="40"/>
      <c r="CB762" s="40"/>
      <c r="CC762" s="40"/>
      <c r="CD762" s="40"/>
      <c r="CE762" s="40"/>
      <c r="CF762" s="40"/>
      <c r="CG762" s="40"/>
      <c r="CH762" s="40"/>
      <c r="CI762" s="40"/>
      <c r="CJ762" s="40"/>
      <c r="CK762" s="40"/>
      <c r="CL762" s="40"/>
      <c r="CM762" s="40"/>
      <c r="CN762" s="40"/>
      <c r="CO762" s="40"/>
      <c r="CP762" s="40"/>
      <c r="CQ762" s="40"/>
      <c r="CR762" s="40"/>
      <c r="CS762" s="40"/>
      <c r="CT762" s="40"/>
      <c r="CU762" s="40"/>
      <c r="CV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  <c r="BS763" s="40"/>
      <c r="BT763" s="40"/>
      <c r="BU763" s="40"/>
      <c r="BV763" s="40"/>
      <c r="BW763" s="40"/>
      <c r="BX763" s="40"/>
      <c r="BY763" s="40"/>
      <c r="BZ763" s="40"/>
      <c r="CA763" s="40"/>
      <c r="CB763" s="40"/>
      <c r="CC763" s="40"/>
      <c r="CD763" s="40"/>
      <c r="CE763" s="40"/>
      <c r="CF763" s="40"/>
      <c r="CG763" s="40"/>
      <c r="CH763" s="40"/>
      <c r="CI763" s="40"/>
      <c r="CJ763" s="40"/>
      <c r="CK763" s="40"/>
      <c r="CL763" s="40"/>
      <c r="CM763" s="40"/>
      <c r="CN763" s="40"/>
      <c r="CO763" s="40"/>
      <c r="CP763" s="40"/>
      <c r="CQ763" s="40"/>
      <c r="CR763" s="40"/>
      <c r="CS763" s="40"/>
      <c r="CT763" s="40"/>
      <c r="CU763" s="40"/>
      <c r="CV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  <c r="BS764" s="40"/>
      <c r="BT764" s="40"/>
      <c r="BU764" s="40"/>
      <c r="BV764" s="40"/>
      <c r="BW764" s="40"/>
      <c r="BX764" s="40"/>
      <c r="BY764" s="40"/>
      <c r="BZ764" s="40"/>
      <c r="CA764" s="40"/>
      <c r="CB764" s="40"/>
      <c r="CC764" s="40"/>
      <c r="CD764" s="40"/>
      <c r="CE764" s="40"/>
      <c r="CF764" s="40"/>
      <c r="CG764" s="40"/>
      <c r="CH764" s="40"/>
      <c r="CI764" s="40"/>
      <c r="CJ764" s="40"/>
      <c r="CK764" s="40"/>
      <c r="CL764" s="40"/>
      <c r="CM764" s="40"/>
      <c r="CN764" s="40"/>
      <c r="CO764" s="40"/>
      <c r="CP764" s="40"/>
      <c r="CQ764" s="40"/>
      <c r="CR764" s="40"/>
      <c r="CS764" s="40"/>
      <c r="CT764" s="40"/>
      <c r="CU764" s="40"/>
      <c r="CV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  <c r="BU765" s="40"/>
      <c r="BV765" s="40"/>
      <c r="BW765" s="40"/>
      <c r="BX765" s="40"/>
      <c r="BY765" s="40"/>
      <c r="BZ765" s="40"/>
      <c r="CA765" s="40"/>
      <c r="CB765" s="40"/>
      <c r="CC765" s="40"/>
      <c r="CD765" s="40"/>
      <c r="CE765" s="40"/>
      <c r="CF765" s="40"/>
      <c r="CG765" s="40"/>
      <c r="CH765" s="40"/>
      <c r="CI765" s="40"/>
      <c r="CJ765" s="40"/>
      <c r="CK765" s="40"/>
      <c r="CL765" s="40"/>
      <c r="CM765" s="40"/>
      <c r="CN765" s="40"/>
      <c r="CO765" s="40"/>
      <c r="CP765" s="40"/>
      <c r="CQ765" s="40"/>
      <c r="CR765" s="40"/>
      <c r="CS765" s="40"/>
      <c r="CT765" s="40"/>
      <c r="CU765" s="40"/>
      <c r="CV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  <c r="BU766" s="40"/>
      <c r="BV766" s="40"/>
      <c r="BW766" s="40"/>
      <c r="BX766" s="40"/>
      <c r="BY766" s="40"/>
      <c r="BZ766" s="40"/>
      <c r="CA766" s="40"/>
      <c r="CB766" s="40"/>
      <c r="CC766" s="40"/>
      <c r="CD766" s="40"/>
      <c r="CE766" s="40"/>
      <c r="CF766" s="40"/>
      <c r="CG766" s="40"/>
      <c r="CH766" s="40"/>
      <c r="CI766" s="40"/>
      <c r="CJ766" s="40"/>
      <c r="CK766" s="40"/>
      <c r="CL766" s="40"/>
      <c r="CM766" s="40"/>
      <c r="CN766" s="40"/>
      <c r="CO766" s="40"/>
      <c r="CP766" s="40"/>
      <c r="CQ766" s="40"/>
      <c r="CR766" s="40"/>
      <c r="CS766" s="40"/>
      <c r="CT766" s="40"/>
      <c r="CU766" s="40"/>
      <c r="CV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  <c r="BS767" s="40"/>
      <c r="BT767" s="40"/>
      <c r="BU767" s="40"/>
      <c r="BV767" s="40"/>
      <c r="BW767" s="40"/>
      <c r="BX767" s="40"/>
      <c r="BY767" s="40"/>
      <c r="BZ767" s="40"/>
      <c r="CA767" s="40"/>
      <c r="CB767" s="40"/>
      <c r="CC767" s="40"/>
      <c r="CD767" s="40"/>
      <c r="CE767" s="40"/>
      <c r="CF767" s="40"/>
      <c r="CG767" s="40"/>
      <c r="CH767" s="40"/>
      <c r="CI767" s="40"/>
      <c r="CJ767" s="40"/>
      <c r="CK767" s="40"/>
      <c r="CL767" s="40"/>
      <c r="CM767" s="40"/>
      <c r="CN767" s="40"/>
      <c r="CO767" s="40"/>
      <c r="CP767" s="40"/>
      <c r="CQ767" s="40"/>
      <c r="CR767" s="40"/>
      <c r="CS767" s="40"/>
      <c r="CT767" s="40"/>
      <c r="CU767" s="40"/>
      <c r="CV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  <c r="BS768" s="40"/>
      <c r="BT768" s="40"/>
      <c r="BU768" s="40"/>
      <c r="BV768" s="40"/>
      <c r="BW768" s="40"/>
      <c r="BX768" s="40"/>
      <c r="BY768" s="40"/>
      <c r="BZ768" s="40"/>
      <c r="CA768" s="40"/>
      <c r="CB768" s="40"/>
      <c r="CC768" s="40"/>
      <c r="CD768" s="40"/>
      <c r="CE768" s="40"/>
      <c r="CF768" s="40"/>
      <c r="CG768" s="40"/>
      <c r="CH768" s="40"/>
      <c r="CI768" s="40"/>
      <c r="CJ768" s="40"/>
      <c r="CK768" s="40"/>
      <c r="CL768" s="40"/>
      <c r="CM768" s="40"/>
      <c r="CN768" s="40"/>
      <c r="CO768" s="40"/>
      <c r="CP768" s="40"/>
      <c r="CQ768" s="40"/>
      <c r="CR768" s="40"/>
      <c r="CS768" s="40"/>
      <c r="CT768" s="40"/>
      <c r="CU768" s="40"/>
      <c r="CV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  <c r="BS769" s="40"/>
      <c r="BT769" s="40"/>
      <c r="BU769" s="40"/>
      <c r="BV769" s="40"/>
      <c r="BW769" s="40"/>
      <c r="BX769" s="40"/>
      <c r="BY769" s="40"/>
      <c r="BZ769" s="40"/>
      <c r="CA769" s="40"/>
      <c r="CB769" s="40"/>
      <c r="CC769" s="40"/>
      <c r="CD769" s="40"/>
      <c r="CE769" s="40"/>
      <c r="CF769" s="40"/>
      <c r="CG769" s="40"/>
      <c r="CH769" s="40"/>
      <c r="CI769" s="40"/>
      <c r="CJ769" s="40"/>
      <c r="CK769" s="40"/>
      <c r="CL769" s="40"/>
      <c r="CM769" s="40"/>
      <c r="CN769" s="40"/>
      <c r="CO769" s="40"/>
      <c r="CP769" s="40"/>
      <c r="CQ769" s="40"/>
      <c r="CR769" s="40"/>
      <c r="CS769" s="40"/>
      <c r="CT769" s="40"/>
      <c r="CU769" s="40"/>
      <c r="CV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  <c r="BW770" s="40"/>
      <c r="BX770" s="40"/>
      <c r="BY770" s="40"/>
      <c r="BZ770" s="40"/>
      <c r="CA770" s="40"/>
      <c r="CB770" s="40"/>
      <c r="CC770" s="40"/>
      <c r="CD770" s="40"/>
      <c r="CE770" s="40"/>
      <c r="CF770" s="40"/>
      <c r="CG770" s="40"/>
      <c r="CH770" s="40"/>
      <c r="CI770" s="40"/>
      <c r="CJ770" s="40"/>
      <c r="CK770" s="40"/>
      <c r="CL770" s="40"/>
      <c r="CM770" s="40"/>
      <c r="CN770" s="40"/>
      <c r="CO770" s="40"/>
      <c r="CP770" s="40"/>
      <c r="CQ770" s="40"/>
      <c r="CR770" s="40"/>
      <c r="CS770" s="40"/>
      <c r="CT770" s="40"/>
      <c r="CU770" s="40"/>
      <c r="CV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  <c r="BS771" s="40"/>
      <c r="BT771" s="40"/>
      <c r="BU771" s="40"/>
      <c r="BV771" s="40"/>
      <c r="BW771" s="40"/>
      <c r="BX771" s="40"/>
      <c r="BY771" s="40"/>
      <c r="BZ771" s="40"/>
      <c r="CA771" s="40"/>
      <c r="CB771" s="40"/>
      <c r="CC771" s="40"/>
      <c r="CD771" s="40"/>
      <c r="CE771" s="40"/>
      <c r="CF771" s="40"/>
      <c r="CG771" s="40"/>
      <c r="CH771" s="40"/>
      <c r="CI771" s="40"/>
      <c r="CJ771" s="40"/>
      <c r="CK771" s="40"/>
      <c r="CL771" s="40"/>
      <c r="CM771" s="40"/>
      <c r="CN771" s="40"/>
      <c r="CO771" s="40"/>
      <c r="CP771" s="40"/>
      <c r="CQ771" s="40"/>
      <c r="CR771" s="40"/>
      <c r="CS771" s="40"/>
      <c r="CT771" s="40"/>
      <c r="CU771" s="40"/>
      <c r="CV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  <c r="BS772" s="40"/>
      <c r="BT772" s="40"/>
      <c r="BU772" s="40"/>
      <c r="BV772" s="40"/>
      <c r="BW772" s="40"/>
      <c r="BX772" s="40"/>
      <c r="BY772" s="40"/>
      <c r="BZ772" s="40"/>
      <c r="CA772" s="40"/>
      <c r="CB772" s="40"/>
      <c r="CC772" s="40"/>
      <c r="CD772" s="40"/>
      <c r="CE772" s="40"/>
      <c r="CF772" s="40"/>
      <c r="CG772" s="40"/>
      <c r="CH772" s="40"/>
      <c r="CI772" s="40"/>
      <c r="CJ772" s="40"/>
      <c r="CK772" s="40"/>
      <c r="CL772" s="40"/>
      <c r="CM772" s="40"/>
      <c r="CN772" s="40"/>
      <c r="CO772" s="40"/>
      <c r="CP772" s="40"/>
      <c r="CQ772" s="40"/>
      <c r="CR772" s="40"/>
      <c r="CS772" s="40"/>
      <c r="CT772" s="40"/>
      <c r="CU772" s="40"/>
      <c r="CV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  <c r="BS773" s="40"/>
      <c r="BT773" s="40"/>
      <c r="BU773" s="40"/>
      <c r="BV773" s="40"/>
      <c r="BW773" s="40"/>
      <c r="BX773" s="40"/>
      <c r="BY773" s="40"/>
      <c r="BZ773" s="40"/>
      <c r="CA773" s="40"/>
      <c r="CB773" s="40"/>
      <c r="CC773" s="40"/>
      <c r="CD773" s="40"/>
      <c r="CE773" s="40"/>
      <c r="CF773" s="40"/>
      <c r="CG773" s="40"/>
      <c r="CH773" s="40"/>
      <c r="CI773" s="40"/>
      <c r="CJ773" s="40"/>
      <c r="CK773" s="40"/>
      <c r="CL773" s="40"/>
      <c r="CM773" s="40"/>
      <c r="CN773" s="40"/>
      <c r="CO773" s="40"/>
      <c r="CP773" s="40"/>
      <c r="CQ773" s="40"/>
      <c r="CR773" s="40"/>
      <c r="CS773" s="40"/>
      <c r="CT773" s="40"/>
      <c r="CU773" s="40"/>
      <c r="CV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  <c r="BS774" s="40"/>
      <c r="BT774" s="40"/>
      <c r="BU774" s="40"/>
      <c r="BV774" s="40"/>
      <c r="BW774" s="40"/>
      <c r="BX774" s="40"/>
      <c r="BY774" s="40"/>
      <c r="BZ774" s="40"/>
      <c r="CA774" s="40"/>
      <c r="CB774" s="40"/>
      <c r="CC774" s="40"/>
      <c r="CD774" s="40"/>
      <c r="CE774" s="40"/>
      <c r="CF774" s="40"/>
      <c r="CG774" s="40"/>
      <c r="CH774" s="40"/>
      <c r="CI774" s="40"/>
      <c r="CJ774" s="40"/>
      <c r="CK774" s="40"/>
      <c r="CL774" s="40"/>
      <c r="CM774" s="40"/>
      <c r="CN774" s="40"/>
      <c r="CO774" s="40"/>
      <c r="CP774" s="40"/>
      <c r="CQ774" s="40"/>
      <c r="CR774" s="40"/>
      <c r="CS774" s="40"/>
      <c r="CT774" s="40"/>
      <c r="CU774" s="40"/>
      <c r="CV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  <c r="BU775" s="40"/>
      <c r="BV775" s="40"/>
      <c r="BW775" s="40"/>
      <c r="BX775" s="40"/>
      <c r="BY775" s="40"/>
      <c r="BZ775" s="40"/>
      <c r="CA775" s="40"/>
      <c r="CB775" s="40"/>
      <c r="CC775" s="40"/>
      <c r="CD775" s="40"/>
      <c r="CE775" s="40"/>
      <c r="CF775" s="40"/>
      <c r="CG775" s="40"/>
      <c r="CH775" s="40"/>
      <c r="CI775" s="40"/>
      <c r="CJ775" s="40"/>
      <c r="CK775" s="40"/>
      <c r="CL775" s="40"/>
      <c r="CM775" s="40"/>
      <c r="CN775" s="40"/>
      <c r="CO775" s="40"/>
      <c r="CP775" s="40"/>
      <c r="CQ775" s="40"/>
      <c r="CR775" s="40"/>
      <c r="CS775" s="40"/>
      <c r="CT775" s="40"/>
      <c r="CU775" s="40"/>
      <c r="CV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  <c r="BS776" s="40"/>
      <c r="BT776" s="40"/>
      <c r="BU776" s="40"/>
      <c r="BV776" s="40"/>
      <c r="BW776" s="40"/>
      <c r="BX776" s="40"/>
      <c r="BY776" s="40"/>
      <c r="BZ776" s="40"/>
      <c r="CA776" s="40"/>
      <c r="CB776" s="40"/>
      <c r="CC776" s="40"/>
      <c r="CD776" s="40"/>
      <c r="CE776" s="40"/>
      <c r="CF776" s="40"/>
      <c r="CG776" s="40"/>
      <c r="CH776" s="40"/>
      <c r="CI776" s="40"/>
      <c r="CJ776" s="40"/>
      <c r="CK776" s="40"/>
      <c r="CL776" s="40"/>
      <c r="CM776" s="40"/>
      <c r="CN776" s="40"/>
      <c r="CO776" s="40"/>
      <c r="CP776" s="40"/>
      <c r="CQ776" s="40"/>
      <c r="CR776" s="40"/>
      <c r="CS776" s="40"/>
      <c r="CT776" s="40"/>
      <c r="CU776" s="40"/>
      <c r="CV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  <c r="BS777" s="40"/>
      <c r="BT777" s="40"/>
      <c r="BU777" s="40"/>
      <c r="BV777" s="40"/>
      <c r="BW777" s="40"/>
      <c r="BX777" s="40"/>
      <c r="BY777" s="40"/>
      <c r="BZ777" s="40"/>
      <c r="CA777" s="40"/>
      <c r="CB777" s="40"/>
      <c r="CC777" s="40"/>
      <c r="CD777" s="40"/>
      <c r="CE777" s="40"/>
      <c r="CF777" s="40"/>
      <c r="CG777" s="40"/>
      <c r="CH777" s="40"/>
      <c r="CI777" s="40"/>
      <c r="CJ777" s="40"/>
      <c r="CK777" s="40"/>
      <c r="CL777" s="40"/>
      <c r="CM777" s="40"/>
      <c r="CN777" s="40"/>
      <c r="CO777" s="40"/>
      <c r="CP777" s="40"/>
      <c r="CQ777" s="40"/>
      <c r="CR777" s="40"/>
      <c r="CS777" s="40"/>
      <c r="CT777" s="40"/>
      <c r="CU777" s="40"/>
      <c r="CV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  <c r="BS778" s="40"/>
      <c r="BT778" s="40"/>
      <c r="BU778" s="40"/>
      <c r="BV778" s="40"/>
      <c r="BW778" s="40"/>
      <c r="BX778" s="40"/>
      <c r="BY778" s="40"/>
      <c r="BZ778" s="40"/>
      <c r="CA778" s="40"/>
      <c r="CB778" s="40"/>
      <c r="CC778" s="40"/>
      <c r="CD778" s="40"/>
      <c r="CE778" s="40"/>
      <c r="CF778" s="40"/>
      <c r="CG778" s="40"/>
      <c r="CH778" s="40"/>
      <c r="CI778" s="40"/>
      <c r="CJ778" s="40"/>
      <c r="CK778" s="40"/>
      <c r="CL778" s="40"/>
      <c r="CM778" s="40"/>
      <c r="CN778" s="40"/>
      <c r="CO778" s="40"/>
      <c r="CP778" s="40"/>
      <c r="CQ778" s="40"/>
      <c r="CR778" s="40"/>
      <c r="CS778" s="40"/>
      <c r="CT778" s="40"/>
      <c r="CU778" s="40"/>
      <c r="CV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  <c r="BS779" s="40"/>
      <c r="BT779" s="40"/>
      <c r="BU779" s="40"/>
      <c r="BV779" s="40"/>
      <c r="BW779" s="40"/>
      <c r="BX779" s="40"/>
      <c r="BY779" s="40"/>
      <c r="BZ779" s="40"/>
      <c r="CA779" s="40"/>
      <c r="CB779" s="40"/>
      <c r="CC779" s="40"/>
      <c r="CD779" s="40"/>
      <c r="CE779" s="40"/>
      <c r="CF779" s="40"/>
      <c r="CG779" s="40"/>
      <c r="CH779" s="40"/>
      <c r="CI779" s="40"/>
      <c r="CJ779" s="40"/>
      <c r="CK779" s="40"/>
      <c r="CL779" s="40"/>
      <c r="CM779" s="40"/>
      <c r="CN779" s="40"/>
      <c r="CO779" s="40"/>
      <c r="CP779" s="40"/>
      <c r="CQ779" s="40"/>
      <c r="CR779" s="40"/>
      <c r="CS779" s="40"/>
      <c r="CT779" s="40"/>
      <c r="CU779" s="40"/>
      <c r="CV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  <c r="BU780" s="40"/>
      <c r="BV780" s="40"/>
      <c r="BW780" s="40"/>
      <c r="BX780" s="40"/>
      <c r="BY780" s="40"/>
      <c r="BZ780" s="40"/>
      <c r="CA780" s="40"/>
      <c r="CB780" s="40"/>
      <c r="CC780" s="40"/>
      <c r="CD780" s="40"/>
      <c r="CE780" s="40"/>
      <c r="CF780" s="40"/>
      <c r="CG780" s="40"/>
      <c r="CH780" s="40"/>
      <c r="CI780" s="40"/>
      <c r="CJ780" s="40"/>
      <c r="CK780" s="40"/>
      <c r="CL780" s="40"/>
      <c r="CM780" s="40"/>
      <c r="CN780" s="40"/>
      <c r="CO780" s="40"/>
      <c r="CP780" s="40"/>
      <c r="CQ780" s="40"/>
      <c r="CR780" s="40"/>
      <c r="CS780" s="40"/>
      <c r="CT780" s="40"/>
      <c r="CU780" s="40"/>
      <c r="CV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  <c r="BS781" s="40"/>
      <c r="BT781" s="40"/>
      <c r="BU781" s="40"/>
      <c r="BV781" s="40"/>
      <c r="BW781" s="40"/>
      <c r="BX781" s="40"/>
      <c r="BY781" s="40"/>
      <c r="BZ781" s="40"/>
      <c r="CA781" s="40"/>
      <c r="CB781" s="40"/>
      <c r="CC781" s="40"/>
      <c r="CD781" s="40"/>
      <c r="CE781" s="40"/>
      <c r="CF781" s="40"/>
      <c r="CG781" s="40"/>
      <c r="CH781" s="40"/>
      <c r="CI781" s="40"/>
      <c r="CJ781" s="40"/>
      <c r="CK781" s="40"/>
      <c r="CL781" s="40"/>
      <c r="CM781" s="40"/>
      <c r="CN781" s="40"/>
      <c r="CO781" s="40"/>
      <c r="CP781" s="40"/>
      <c r="CQ781" s="40"/>
      <c r="CR781" s="40"/>
      <c r="CS781" s="40"/>
      <c r="CT781" s="40"/>
      <c r="CU781" s="40"/>
      <c r="CV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  <c r="BS782" s="40"/>
      <c r="BT782" s="40"/>
      <c r="BU782" s="40"/>
      <c r="BV782" s="40"/>
      <c r="BW782" s="40"/>
      <c r="BX782" s="40"/>
      <c r="BY782" s="40"/>
      <c r="BZ782" s="40"/>
      <c r="CA782" s="40"/>
      <c r="CB782" s="40"/>
      <c r="CC782" s="40"/>
      <c r="CD782" s="40"/>
      <c r="CE782" s="40"/>
      <c r="CF782" s="40"/>
      <c r="CG782" s="40"/>
      <c r="CH782" s="40"/>
      <c r="CI782" s="40"/>
      <c r="CJ782" s="40"/>
      <c r="CK782" s="40"/>
      <c r="CL782" s="40"/>
      <c r="CM782" s="40"/>
      <c r="CN782" s="40"/>
      <c r="CO782" s="40"/>
      <c r="CP782" s="40"/>
      <c r="CQ782" s="40"/>
      <c r="CR782" s="40"/>
      <c r="CS782" s="40"/>
      <c r="CT782" s="40"/>
      <c r="CU782" s="40"/>
      <c r="CV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  <c r="BS783" s="40"/>
      <c r="BT783" s="40"/>
      <c r="BU783" s="40"/>
      <c r="BV783" s="40"/>
      <c r="BW783" s="40"/>
      <c r="BX783" s="40"/>
      <c r="BY783" s="40"/>
      <c r="BZ783" s="40"/>
      <c r="CA783" s="40"/>
      <c r="CB783" s="40"/>
      <c r="CC783" s="40"/>
      <c r="CD783" s="40"/>
      <c r="CE783" s="40"/>
      <c r="CF783" s="40"/>
      <c r="CG783" s="40"/>
      <c r="CH783" s="40"/>
      <c r="CI783" s="40"/>
      <c r="CJ783" s="40"/>
      <c r="CK783" s="40"/>
      <c r="CL783" s="40"/>
      <c r="CM783" s="40"/>
      <c r="CN783" s="40"/>
      <c r="CO783" s="40"/>
      <c r="CP783" s="40"/>
      <c r="CQ783" s="40"/>
      <c r="CR783" s="40"/>
      <c r="CS783" s="40"/>
      <c r="CT783" s="40"/>
      <c r="CU783" s="40"/>
      <c r="CV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  <c r="BS784" s="40"/>
      <c r="BT784" s="40"/>
      <c r="BU784" s="40"/>
      <c r="BV784" s="40"/>
      <c r="BW784" s="40"/>
      <c r="BX784" s="40"/>
      <c r="BY784" s="40"/>
      <c r="BZ784" s="40"/>
      <c r="CA784" s="40"/>
      <c r="CB784" s="40"/>
      <c r="CC784" s="40"/>
      <c r="CD784" s="40"/>
      <c r="CE784" s="40"/>
      <c r="CF784" s="40"/>
      <c r="CG784" s="40"/>
      <c r="CH784" s="40"/>
      <c r="CI784" s="40"/>
      <c r="CJ784" s="40"/>
      <c r="CK784" s="40"/>
      <c r="CL784" s="40"/>
      <c r="CM784" s="40"/>
      <c r="CN784" s="40"/>
      <c r="CO784" s="40"/>
      <c r="CP784" s="40"/>
      <c r="CQ784" s="40"/>
      <c r="CR784" s="40"/>
      <c r="CS784" s="40"/>
      <c r="CT784" s="40"/>
      <c r="CU784" s="40"/>
      <c r="CV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  <c r="BU785" s="40"/>
      <c r="BV785" s="40"/>
      <c r="BW785" s="40"/>
      <c r="BX785" s="40"/>
      <c r="BY785" s="40"/>
      <c r="BZ785" s="40"/>
      <c r="CA785" s="40"/>
      <c r="CB785" s="40"/>
      <c r="CC785" s="40"/>
      <c r="CD785" s="40"/>
      <c r="CE785" s="40"/>
      <c r="CF785" s="40"/>
      <c r="CG785" s="40"/>
      <c r="CH785" s="40"/>
      <c r="CI785" s="40"/>
      <c r="CJ785" s="40"/>
      <c r="CK785" s="40"/>
      <c r="CL785" s="40"/>
      <c r="CM785" s="40"/>
      <c r="CN785" s="40"/>
      <c r="CO785" s="40"/>
      <c r="CP785" s="40"/>
      <c r="CQ785" s="40"/>
      <c r="CR785" s="40"/>
      <c r="CS785" s="40"/>
      <c r="CT785" s="40"/>
      <c r="CU785" s="40"/>
      <c r="CV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  <c r="BW786" s="40"/>
      <c r="BX786" s="40"/>
      <c r="BY786" s="40"/>
      <c r="BZ786" s="40"/>
      <c r="CA786" s="40"/>
      <c r="CB786" s="40"/>
      <c r="CC786" s="40"/>
      <c r="CD786" s="40"/>
      <c r="CE786" s="40"/>
      <c r="CF786" s="40"/>
      <c r="CG786" s="40"/>
      <c r="CH786" s="40"/>
      <c r="CI786" s="40"/>
      <c r="CJ786" s="40"/>
      <c r="CK786" s="40"/>
      <c r="CL786" s="40"/>
      <c r="CM786" s="40"/>
      <c r="CN786" s="40"/>
      <c r="CO786" s="40"/>
      <c r="CP786" s="40"/>
      <c r="CQ786" s="40"/>
      <c r="CR786" s="40"/>
      <c r="CS786" s="40"/>
      <c r="CT786" s="40"/>
      <c r="CU786" s="40"/>
      <c r="CV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  <c r="BU787" s="40"/>
      <c r="BV787" s="40"/>
      <c r="BW787" s="40"/>
      <c r="BX787" s="40"/>
      <c r="BY787" s="40"/>
      <c r="BZ787" s="40"/>
      <c r="CA787" s="40"/>
      <c r="CB787" s="40"/>
      <c r="CC787" s="40"/>
      <c r="CD787" s="40"/>
      <c r="CE787" s="40"/>
      <c r="CF787" s="40"/>
      <c r="CG787" s="40"/>
      <c r="CH787" s="40"/>
      <c r="CI787" s="40"/>
      <c r="CJ787" s="40"/>
      <c r="CK787" s="40"/>
      <c r="CL787" s="40"/>
      <c r="CM787" s="40"/>
      <c r="CN787" s="40"/>
      <c r="CO787" s="40"/>
      <c r="CP787" s="40"/>
      <c r="CQ787" s="40"/>
      <c r="CR787" s="40"/>
      <c r="CS787" s="40"/>
      <c r="CT787" s="40"/>
      <c r="CU787" s="40"/>
      <c r="CV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  <c r="BS788" s="40"/>
      <c r="BT788" s="40"/>
      <c r="BU788" s="40"/>
      <c r="BV788" s="40"/>
      <c r="BW788" s="40"/>
      <c r="BX788" s="40"/>
      <c r="BY788" s="40"/>
      <c r="BZ788" s="40"/>
      <c r="CA788" s="40"/>
      <c r="CB788" s="40"/>
      <c r="CC788" s="40"/>
      <c r="CD788" s="40"/>
      <c r="CE788" s="40"/>
      <c r="CF788" s="40"/>
      <c r="CG788" s="40"/>
      <c r="CH788" s="40"/>
      <c r="CI788" s="40"/>
      <c r="CJ788" s="40"/>
      <c r="CK788" s="40"/>
      <c r="CL788" s="40"/>
      <c r="CM788" s="40"/>
      <c r="CN788" s="40"/>
      <c r="CO788" s="40"/>
      <c r="CP788" s="40"/>
      <c r="CQ788" s="40"/>
      <c r="CR788" s="40"/>
      <c r="CS788" s="40"/>
      <c r="CT788" s="40"/>
      <c r="CU788" s="40"/>
      <c r="CV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  <c r="BS789" s="40"/>
      <c r="BT789" s="40"/>
      <c r="BU789" s="40"/>
      <c r="BV789" s="40"/>
      <c r="BW789" s="40"/>
      <c r="BX789" s="40"/>
      <c r="BY789" s="40"/>
      <c r="BZ789" s="40"/>
      <c r="CA789" s="40"/>
      <c r="CB789" s="40"/>
      <c r="CC789" s="40"/>
      <c r="CD789" s="40"/>
      <c r="CE789" s="40"/>
      <c r="CF789" s="40"/>
      <c r="CG789" s="40"/>
      <c r="CH789" s="40"/>
      <c r="CI789" s="40"/>
      <c r="CJ789" s="40"/>
      <c r="CK789" s="40"/>
      <c r="CL789" s="40"/>
      <c r="CM789" s="40"/>
      <c r="CN789" s="40"/>
      <c r="CO789" s="40"/>
      <c r="CP789" s="40"/>
      <c r="CQ789" s="40"/>
      <c r="CR789" s="40"/>
      <c r="CS789" s="40"/>
      <c r="CT789" s="40"/>
      <c r="CU789" s="40"/>
      <c r="CV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  <c r="BU790" s="40"/>
      <c r="BV790" s="40"/>
      <c r="BW790" s="40"/>
      <c r="BX790" s="40"/>
      <c r="BY790" s="40"/>
      <c r="BZ790" s="40"/>
      <c r="CA790" s="40"/>
      <c r="CB790" s="40"/>
      <c r="CC790" s="40"/>
      <c r="CD790" s="40"/>
      <c r="CE790" s="40"/>
      <c r="CF790" s="40"/>
      <c r="CG790" s="40"/>
      <c r="CH790" s="40"/>
      <c r="CI790" s="40"/>
      <c r="CJ790" s="40"/>
      <c r="CK790" s="40"/>
      <c r="CL790" s="40"/>
      <c r="CM790" s="40"/>
      <c r="CN790" s="40"/>
      <c r="CO790" s="40"/>
      <c r="CP790" s="40"/>
      <c r="CQ790" s="40"/>
      <c r="CR790" s="40"/>
      <c r="CS790" s="40"/>
      <c r="CT790" s="40"/>
      <c r="CU790" s="40"/>
      <c r="CV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  <c r="BS791" s="40"/>
      <c r="BT791" s="40"/>
      <c r="BU791" s="40"/>
      <c r="BV791" s="40"/>
      <c r="BW791" s="40"/>
      <c r="BX791" s="40"/>
      <c r="BY791" s="40"/>
      <c r="BZ791" s="40"/>
      <c r="CA791" s="40"/>
      <c r="CB791" s="40"/>
      <c r="CC791" s="40"/>
      <c r="CD791" s="40"/>
      <c r="CE791" s="40"/>
      <c r="CF791" s="40"/>
      <c r="CG791" s="40"/>
      <c r="CH791" s="40"/>
      <c r="CI791" s="40"/>
      <c r="CJ791" s="40"/>
      <c r="CK791" s="40"/>
      <c r="CL791" s="40"/>
      <c r="CM791" s="40"/>
      <c r="CN791" s="40"/>
      <c r="CO791" s="40"/>
      <c r="CP791" s="40"/>
      <c r="CQ791" s="40"/>
      <c r="CR791" s="40"/>
      <c r="CS791" s="40"/>
      <c r="CT791" s="40"/>
      <c r="CU791" s="40"/>
      <c r="CV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  <c r="BS792" s="40"/>
      <c r="BT792" s="40"/>
      <c r="BU792" s="40"/>
      <c r="BV792" s="40"/>
      <c r="BW792" s="40"/>
      <c r="BX792" s="40"/>
      <c r="BY792" s="40"/>
      <c r="BZ792" s="40"/>
      <c r="CA792" s="40"/>
      <c r="CB792" s="40"/>
      <c r="CC792" s="40"/>
      <c r="CD792" s="40"/>
      <c r="CE792" s="40"/>
      <c r="CF792" s="40"/>
      <c r="CG792" s="40"/>
      <c r="CH792" s="40"/>
      <c r="CI792" s="40"/>
      <c r="CJ792" s="40"/>
      <c r="CK792" s="40"/>
      <c r="CL792" s="40"/>
      <c r="CM792" s="40"/>
      <c r="CN792" s="40"/>
      <c r="CO792" s="40"/>
      <c r="CP792" s="40"/>
      <c r="CQ792" s="40"/>
      <c r="CR792" s="40"/>
      <c r="CS792" s="40"/>
      <c r="CT792" s="40"/>
      <c r="CU792" s="40"/>
      <c r="CV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  <c r="BS793" s="40"/>
      <c r="BT793" s="40"/>
      <c r="BU793" s="40"/>
      <c r="BV793" s="40"/>
      <c r="BW793" s="40"/>
      <c r="BX793" s="40"/>
      <c r="BY793" s="40"/>
      <c r="BZ793" s="40"/>
      <c r="CA793" s="40"/>
      <c r="CB793" s="40"/>
      <c r="CC793" s="40"/>
      <c r="CD793" s="40"/>
      <c r="CE793" s="40"/>
      <c r="CF793" s="40"/>
      <c r="CG793" s="40"/>
      <c r="CH793" s="40"/>
      <c r="CI793" s="40"/>
      <c r="CJ793" s="40"/>
      <c r="CK793" s="40"/>
      <c r="CL793" s="40"/>
      <c r="CM793" s="40"/>
      <c r="CN793" s="40"/>
      <c r="CO793" s="40"/>
      <c r="CP793" s="40"/>
      <c r="CQ793" s="40"/>
      <c r="CR793" s="40"/>
      <c r="CS793" s="40"/>
      <c r="CT793" s="40"/>
      <c r="CU793" s="40"/>
      <c r="CV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  <c r="BS794" s="40"/>
      <c r="BT794" s="40"/>
      <c r="BU794" s="40"/>
      <c r="BV794" s="40"/>
      <c r="BW794" s="40"/>
      <c r="BX794" s="40"/>
      <c r="BY794" s="40"/>
      <c r="BZ794" s="40"/>
      <c r="CA794" s="40"/>
      <c r="CB794" s="40"/>
      <c r="CC794" s="40"/>
      <c r="CD794" s="40"/>
      <c r="CE794" s="40"/>
      <c r="CF794" s="40"/>
      <c r="CG794" s="40"/>
      <c r="CH794" s="40"/>
      <c r="CI794" s="40"/>
      <c r="CJ794" s="40"/>
      <c r="CK794" s="40"/>
      <c r="CL794" s="40"/>
      <c r="CM794" s="40"/>
      <c r="CN794" s="40"/>
      <c r="CO794" s="40"/>
      <c r="CP794" s="40"/>
      <c r="CQ794" s="40"/>
      <c r="CR794" s="40"/>
      <c r="CS794" s="40"/>
      <c r="CT794" s="40"/>
      <c r="CU794" s="40"/>
      <c r="CV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  <c r="BU795" s="40"/>
      <c r="BV795" s="40"/>
      <c r="BW795" s="40"/>
      <c r="BX795" s="40"/>
      <c r="BY795" s="40"/>
      <c r="BZ795" s="40"/>
      <c r="CA795" s="40"/>
      <c r="CB795" s="40"/>
      <c r="CC795" s="40"/>
      <c r="CD795" s="40"/>
      <c r="CE795" s="40"/>
      <c r="CF795" s="40"/>
      <c r="CG795" s="40"/>
      <c r="CH795" s="40"/>
      <c r="CI795" s="40"/>
      <c r="CJ795" s="40"/>
      <c r="CK795" s="40"/>
      <c r="CL795" s="40"/>
      <c r="CM795" s="40"/>
      <c r="CN795" s="40"/>
      <c r="CO795" s="40"/>
      <c r="CP795" s="40"/>
      <c r="CQ795" s="40"/>
      <c r="CR795" s="40"/>
      <c r="CS795" s="40"/>
      <c r="CT795" s="40"/>
      <c r="CU795" s="40"/>
      <c r="CV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  <c r="BS796" s="40"/>
      <c r="BT796" s="40"/>
      <c r="BU796" s="40"/>
      <c r="BV796" s="40"/>
      <c r="BW796" s="40"/>
      <c r="BX796" s="40"/>
      <c r="BY796" s="40"/>
      <c r="BZ796" s="40"/>
      <c r="CA796" s="40"/>
      <c r="CB796" s="40"/>
      <c r="CC796" s="40"/>
      <c r="CD796" s="40"/>
      <c r="CE796" s="40"/>
      <c r="CF796" s="40"/>
      <c r="CG796" s="40"/>
      <c r="CH796" s="40"/>
      <c r="CI796" s="40"/>
      <c r="CJ796" s="40"/>
      <c r="CK796" s="40"/>
      <c r="CL796" s="40"/>
      <c r="CM796" s="40"/>
      <c r="CN796" s="40"/>
      <c r="CO796" s="40"/>
      <c r="CP796" s="40"/>
      <c r="CQ796" s="40"/>
      <c r="CR796" s="40"/>
      <c r="CS796" s="40"/>
      <c r="CT796" s="40"/>
      <c r="CU796" s="40"/>
      <c r="CV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  <c r="BS797" s="40"/>
      <c r="BT797" s="40"/>
      <c r="BU797" s="40"/>
      <c r="BV797" s="40"/>
      <c r="BW797" s="40"/>
      <c r="BX797" s="40"/>
      <c r="BY797" s="40"/>
      <c r="BZ797" s="40"/>
      <c r="CA797" s="40"/>
      <c r="CB797" s="40"/>
      <c r="CC797" s="40"/>
      <c r="CD797" s="40"/>
      <c r="CE797" s="40"/>
      <c r="CF797" s="40"/>
      <c r="CG797" s="40"/>
      <c r="CH797" s="40"/>
      <c r="CI797" s="40"/>
      <c r="CJ797" s="40"/>
      <c r="CK797" s="40"/>
      <c r="CL797" s="40"/>
      <c r="CM797" s="40"/>
      <c r="CN797" s="40"/>
      <c r="CO797" s="40"/>
      <c r="CP797" s="40"/>
      <c r="CQ797" s="40"/>
      <c r="CR797" s="40"/>
      <c r="CS797" s="40"/>
      <c r="CT797" s="40"/>
      <c r="CU797" s="40"/>
      <c r="CV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  <c r="BS798" s="40"/>
      <c r="BT798" s="40"/>
      <c r="BU798" s="40"/>
      <c r="BV798" s="40"/>
      <c r="BW798" s="40"/>
      <c r="BX798" s="40"/>
      <c r="BY798" s="40"/>
      <c r="BZ798" s="40"/>
      <c r="CA798" s="40"/>
      <c r="CB798" s="40"/>
      <c r="CC798" s="40"/>
      <c r="CD798" s="40"/>
      <c r="CE798" s="40"/>
      <c r="CF798" s="40"/>
      <c r="CG798" s="40"/>
      <c r="CH798" s="40"/>
      <c r="CI798" s="40"/>
      <c r="CJ798" s="40"/>
      <c r="CK798" s="40"/>
      <c r="CL798" s="40"/>
      <c r="CM798" s="40"/>
      <c r="CN798" s="40"/>
      <c r="CO798" s="40"/>
      <c r="CP798" s="40"/>
      <c r="CQ798" s="40"/>
      <c r="CR798" s="40"/>
      <c r="CS798" s="40"/>
      <c r="CT798" s="40"/>
      <c r="CU798" s="40"/>
      <c r="CV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  <c r="BS799" s="40"/>
      <c r="BT799" s="40"/>
      <c r="BU799" s="40"/>
      <c r="BV799" s="40"/>
      <c r="BW799" s="40"/>
      <c r="BX799" s="40"/>
      <c r="BY799" s="40"/>
      <c r="BZ799" s="40"/>
      <c r="CA799" s="40"/>
      <c r="CB799" s="40"/>
      <c r="CC799" s="40"/>
      <c r="CD799" s="40"/>
      <c r="CE799" s="40"/>
      <c r="CF799" s="40"/>
      <c r="CG799" s="40"/>
      <c r="CH799" s="40"/>
      <c r="CI799" s="40"/>
      <c r="CJ799" s="40"/>
      <c r="CK799" s="40"/>
      <c r="CL799" s="40"/>
      <c r="CM799" s="40"/>
      <c r="CN799" s="40"/>
      <c r="CO799" s="40"/>
      <c r="CP799" s="40"/>
      <c r="CQ799" s="40"/>
      <c r="CR799" s="40"/>
      <c r="CS799" s="40"/>
      <c r="CT799" s="40"/>
      <c r="CU799" s="40"/>
      <c r="CV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  <c r="BU800" s="40"/>
      <c r="BV800" s="40"/>
      <c r="BW800" s="40"/>
      <c r="BX800" s="40"/>
      <c r="BY800" s="40"/>
      <c r="BZ800" s="40"/>
      <c r="CA800" s="40"/>
      <c r="CB800" s="40"/>
      <c r="CC800" s="40"/>
      <c r="CD800" s="40"/>
      <c r="CE800" s="40"/>
      <c r="CF800" s="40"/>
      <c r="CG800" s="40"/>
      <c r="CH800" s="40"/>
      <c r="CI800" s="40"/>
      <c r="CJ800" s="40"/>
      <c r="CK800" s="40"/>
      <c r="CL800" s="40"/>
      <c r="CM800" s="40"/>
      <c r="CN800" s="40"/>
      <c r="CO800" s="40"/>
      <c r="CP800" s="40"/>
      <c r="CQ800" s="40"/>
      <c r="CR800" s="40"/>
      <c r="CS800" s="40"/>
      <c r="CT800" s="40"/>
      <c r="CU800" s="40"/>
      <c r="CV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  <c r="BS801" s="40"/>
      <c r="BT801" s="40"/>
      <c r="BU801" s="40"/>
      <c r="BV801" s="40"/>
      <c r="BW801" s="40"/>
      <c r="BX801" s="40"/>
      <c r="BY801" s="40"/>
      <c r="BZ801" s="40"/>
      <c r="CA801" s="40"/>
      <c r="CB801" s="40"/>
      <c r="CC801" s="40"/>
      <c r="CD801" s="40"/>
      <c r="CE801" s="40"/>
      <c r="CF801" s="40"/>
      <c r="CG801" s="40"/>
      <c r="CH801" s="40"/>
      <c r="CI801" s="40"/>
      <c r="CJ801" s="40"/>
      <c r="CK801" s="40"/>
      <c r="CL801" s="40"/>
      <c r="CM801" s="40"/>
      <c r="CN801" s="40"/>
      <c r="CO801" s="40"/>
      <c r="CP801" s="40"/>
      <c r="CQ801" s="40"/>
      <c r="CR801" s="40"/>
      <c r="CS801" s="40"/>
      <c r="CT801" s="40"/>
      <c r="CU801" s="40"/>
      <c r="CV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  <c r="BS802" s="40"/>
      <c r="BT802" s="40"/>
      <c r="BU802" s="40"/>
      <c r="BV802" s="40"/>
      <c r="BW802" s="40"/>
      <c r="BX802" s="40"/>
      <c r="BY802" s="40"/>
      <c r="BZ802" s="40"/>
      <c r="CA802" s="40"/>
      <c r="CB802" s="40"/>
      <c r="CC802" s="40"/>
      <c r="CD802" s="40"/>
      <c r="CE802" s="40"/>
      <c r="CF802" s="40"/>
      <c r="CG802" s="40"/>
      <c r="CH802" s="40"/>
      <c r="CI802" s="40"/>
      <c r="CJ802" s="40"/>
      <c r="CK802" s="40"/>
      <c r="CL802" s="40"/>
      <c r="CM802" s="40"/>
      <c r="CN802" s="40"/>
      <c r="CO802" s="40"/>
      <c r="CP802" s="40"/>
      <c r="CQ802" s="40"/>
      <c r="CR802" s="40"/>
      <c r="CS802" s="40"/>
      <c r="CT802" s="40"/>
      <c r="CU802" s="40"/>
      <c r="CV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  <c r="BS803" s="40"/>
      <c r="BT803" s="40"/>
      <c r="BU803" s="40"/>
      <c r="BV803" s="40"/>
      <c r="BW803" s="40"/>
      <c r="BX803" s="40"/>
      <c r="BY803" s="40"/>
      <c r="BZ803" s="40"/>
      <c r="CA803" s="40"/>
      <c r="CB803" s="40"/>
      <c r="CC803" s="40"/>
      <c r="CD803" s="40"/>
      <c r="CE803" s="40"/>
      <c r="CF803" s="40"/>
      <c r="CG803" s="40"/>
      <c r="CH803" s="40"/>
      <c r="CI803" s="40"/>
      <c r="CJ803" s="40"/>
      <c r="CK803" s="40"/>
      <c r="CL803" s="40"/>
      <c r="CM803" s="40"/>
      <c r="CN803" s="40"/>
      <c r="CO803" s="40"/>
      <c r="CP803" s="40"/>
      <c r="CQ803" s="40"/>
      <c r="CR803" s="40"/>
      <c r="CS803" s="40"/>
      <c r="CT803" s="40"/>
      <c r="CU803" s="40"/>
      <c r="CV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  <c r="BS804" s="40"/>
      <c r="BT804" s="40"/>
      <c r="BU804" s="40"/>
      <c r="BV804" s="40"/>
      <c r="BW804" s="40"/>
      <c r="BX804" s="40"/>
      <c r="BY804" s="40"/>
      <c r="BZ804" s="40"/>
      <c r="CA804" s="40"/>
      <c r="CB804" s="40"/>
      <c r="CC804" s="40"/>
      <c r="CD804" s="40"/>
      <c r="CE804" s="40"/>
      <c r="CF804" s="40"/>
      <c r="CG804" s="40"/>
      <c r="CH804" s="40"/>
      <c r="CI804" s="40"/>
      <c r="CJ804" s="40"/>
      <c r="CK804" s="40"/>
      <c r="CL804" s="40"/>
      <c r="CM804" s="40"/>
      <c r="CN804" s="40"/>
      <c r="CO804" s="40"/>
      <c r="CP804" s="40"/>
      <c r="CQ804" s="40"/>
      <c r="CR804" s="40"/>
      <c r="CS804" s="40"/>
      <c r="CT804" s="40"/>
      <c r="CU804" s="40"/>
      <c r="CV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  <c r="BU805" s="40"/>
      <c r="BV805" s="40"/>
      <c r="BW805" s="40"/>
      <c r="BX805" s="40"/>
      <c r="BY805" s="40"/>
      <c r="BZ805" s="40"/>
      <c r="CA805" s="40"/>
      <c r="CB805" s="40"/>
      <c r="CC805" s="40"/>
      <c r="CD805" s="40"/>
      <c r="CE805" s="40"/>
      <c r="CF805" s="40"/>
      <c r="CG805" s="40"/>
      <c r="CH805" s="40"/>
      <c r="CI805" s="40"/>
      <c r="CJ805" s="40"/>
      <c r="CK805" s="40"/>
      <c r="CL805" s="40"/>
      <c r="CM805" s="40"/>
      <c r="CN805" s="40"/>
      <c r="CO805" s="40"/>
      <c r="CP805" s="40"/>
      <c r="CQ805" s="40"/>
      <c r="CR805" s="40"/>
      <c r="CS805" s="40"/>
      <c r="CT805" s="40"/>
      <c r="CU805" s="40"/>
      <c r="CV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  <c r="BS806" s="40"/>
      <c r="BT806" s="40"/>
      <c r="BU806" s="40"/>
      <c r="BV806" s="40"/>
      <c r="BW806" s="40"/>
      <c r="BX806" s="40"/>
      <c r="BY806" s="40"/>
      <c r="BZ806" s="40"/>
      <c r="CA806" s="40"/>
      <c r="CB806" s="40"/>
      <c r="CC806" s="40"/>
      <c r="CD806" s="40"/>
      <c r="CE806" s="40"/>
      <c r="CF806" s="40"/>
      <c r="CG806" s="40"/>
      <c r="CH806" s="40"/>
      <c r="CI806" s="40"/>
      <c r="CJ806" s="40"/>
      <c r="CK806" s="40"/>
      <c r="CL806" s="40"/>
      <c r="CM806" s="40"/>
      <c r="CN806" s="40"/>
      <c r="CO806" s="40"/>
      <c r="CP806" s="40"/>
      <c r="CQ806" s="40"/>
      <c r="CR806" s="40"/>
      <c r="CS806" s="40"/>
      <c r="CT806" s="40"/>
      <c r="CU806" s="40"/>
      <c r="CV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  <c r="BS807" s="40"/>
      <c r="BT807" s="40"/>
      <c r="BU807" s="40"/>
      <c r="BV807" s="40"/>
      <c r="BW807" s="40"/>
      <c r="BX807" s="40"/>
      <c r="BY807" s="40"/>
      <c r="BZ807" s="40"/>
      <c r="CA807" s="40"/>
      <c r="CB807" s="40"/>
      <c r="CC807" s="40"/>
      <c r="CD807" s="40"/>
      <c r="CE807" s="40"/>
      <c r="CF807" s="40"/>
      <c r="CG807" s="40"/>
      <c r="CH807" s="40"/>
      <c r="CI807" s="40"/>
      <c r="CJ807" s="40"/>
      <c r="CK807" s="40"/>
      <c r="CL807" s="40"/>
      <c r="CM807" s="40"/>
      <c r="CN807" s="40"/>
      <c r="CO807" s="40"/>
      <c r="CP807" s="40"/>
      <c r="CQ807" s="40"/>
      <c r="CR807" s="40"/>
      <c r="CS807" s="40"/>
      <c r="CT807" s="40"/>
      <c r="CU807" s="40"/>
      <c r="CV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  <c r="BS808" s="40"/>
      <c r="BT808" s="40"/>
      <c r="BU808" s="40"/>
      <c r="BV808" s="40"/>
      <c r="BW808" s="40"/>
      <c r="BX808" s="40"/>
      <c r="BY808" s="40"/>
      <c r="BZ808" s="40"/>
      <c r="CA808" s="40"/>
      <c r="CB808" s="40"/>
      <c r="CC808" s="40"/>
      <c r="CD808" s="40"/>
      <c r="CE808" s="40"/>
      <c r="CF808" s="40"/>
      <c r="CG808" s="40"/>
      <c r="CH808" s="40"/>
      <c r="CI808" s="40"/>
      <c r="CJ808" s="40"/>
      <c r="CK808" s="40"/>
      <c r="CL808" s="40"/>
      <c r="CM808" s="40"/>
      <c r="CN808" s="40"/>
      <c r="CO808" s="40"/>
      <c r="CP808" s="40"/>
      <c r="CQ808" s="40"/>
      <c r="CR808" s="40"/>
      <c r="CS808" s="40"/>
      <c r="CT808" s="40"/>
      <c r="CU808" s="40"/>
      <c r="CV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  <c r="BS809" s="40"/>
      <c r="BT809" s="40"/>
      <c r="BU809" s="40"/>
      <c r="BV809" s="40"/>
      <c r="BW809" s="40"/>
      <c r="BX809" s="40"/>
      <c r="BY809" s="40"/>
      <c r="BZ809" s="40"/>
      <c r="CA809" s="40"/>
      <c r="CB809" s="40"/>
      <c r="CC809" s="40"/>
      <c r="CD809" s="40"/>
      <c r="CE809" s="40"/>
      <c r="CF809" s="40"/>
      <c r="CG809" s="40"/>
      <c r="CH809" s="40"/>
      <c r="CI809" s="40"/>
      <c r="CJ809" s="40"/>
      <c r="CK809" s="40"/>
      <c r="CL809" s="40"/>
      <c r="CM809" s="40"/>
      <c r="CN809" s="40"/>
      <c r="CO809" s="40"/>
      <c r="CP809" s="40"/>
      <c r="CQ809" s="40"/>
      <c r="CR809" s="40"/>
      <c r="CS809" s="40"/>
      <c r="CT809" s="40"/>
      <c r="CU809" s="40"/>
      <c r="CV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  <c r="BU810" s="40"/>
      <c r="BV810" s="40"/>
      <c r="BW810" s="40"/>
      <c r="BX810" s="40"/>
      <c r="BY810" s="40"/>
      <c r="BZ810" s="40"/>
      <c r="CA810" s="40"/>
      <c r="CB810" s="40"/>
      <c r="CC810" s="40"/>
      <c r="CD810" s="40"/>
      <c r="CE810" s="40"/>
      <c r="CF810" s="40"/>
      <c r="CG810" s="40"/>
      <c r="CH810" s="40"/>
      <c r="CI810" s="40"/>
      <c r="CJ810" s="40"/>
      <c r="CK810" s="40"/>
      <c r="CL810" s="40"/>
      <c r="CM810" s="40"/>
      <c r="CN810" s="40"/>
      <c r="CO810" s="40"/>
      <c r="CP810" s="40"/>
      <c r="CQ810" s="40"/>
      <c r="CR810" s="40"/>
      <c r="CS810" s="40"/>
      <c r="CT810" s="40"/>
      <c r="CU810" s="40"/>
      <c r="CV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  <c r="BS811" s="40"/>
      <c r="BT811" s="40"/>
      <c r="BU811" s="40"/>
      <c r="BV811" s="40"/>
      <c r="BW811" s="40"/>
      <c r="BX811" s="40"/>
      <c r="BY811" s="40"/>
      <c r="BZ811" s="40"/>
      <c r="CA811" s="40"/>
      <c r="CB811" s="40"/>
      <c r="CC811" s="40"/>
      <c r="CD811" s="40"/>
      <c r="CE811" s="40"/>
      <c r="CF811" s="40"/>
      <c r="CG811" s="40"/>
      <c r="CH811" s="40"/>
      <c r="CI811" s="40"/>
      <c r="CJ811" s="40"/>
      <c r="CK811" s="40"/>
      <c r="CL811" s="40"/>
      <c r="CM811" s="40"/>
      <c r="CN811" s="40"/>
      <c r="CO811" s="40"/>
      <c r="CP811" s="40"/>
      <c r="CQ811" s="40"/>
      <c r="CR811" s="40"/>
      <c r="CS811" s="40"/>
      <c r="CT811" s="40"/>
      <c r="CU811" s="40"/>
      <c r="CV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  <c r="BS812" s="40"/>
      <c r="BT812" s="40"/>
      <c r="BU812" s="40"/>
      <c r="BV812" s="40"/>
      <c r="BW812" s="40"/>
      <c r="BX812" s="40"/>
      <c r="BY812" s="40"/>
      <c r="BZ812" s="40"/>
      <c r="CA812" s="40"/>
      <c r="CB812" s="40"/>
      <c r="CC812" s="40"/>
      <c r="CD812" s="40"/>
      <c r="CE812" s="40"/>
      <c r="CF812" s="40"/>
      <c r="CG812" s="40"/>
      <c r="CH812" s="40"/>
      <c r="CI812" s="40"/>
      <c r="CJ812" s="40"/>
      <c r="CK812" s="40"/>
      <c r="CL812" s="40"/>
      <c r="CM812" s="40"/>
      <c r="CN812" s="40"/>
      <c r="CO812" s="40"/>
      <c r="CP812" s="40"/>
      <c r="CQ812" s="40"/>
      <c r="CR812" s="40"/>
      <c r="CS812" s="40"/>
      <c r="CT812" s="40"/>
      <c r="CU812" s="40"/>
      <c r="CV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  <c r="BS813" s="40"/>
      <c r="BT813" s="40"/>
      <c r="BU813" s="40"/>
      <c r="BV813" s="40"/>
      <c r="BW813" s="40"/>
      <c r="BX813" s="40"/>
      <c r="BY813" s="40"/>
      <c r="BZ813" s="40"/>
      <c r="CA813" s="40"/>
      <c r="CB813" s="40"/>
      <c r="CC813" s="40"/>
      <c r="CD813" s="40"/>
      <c r="CE813" s="40"/>
      <c r="CF813" s="40"/>
      <c r="CG813" s="40"/>
      <c r="CH813" s="40"/>
      <c r="CI813" s="40"/>
      <c r="CJ813" s="40"/>
      <c r="CK813" s="40"/>
      <c r="CL813" s="40"/>
      <c r="CM813" s="40"/>
      <c r="CN813" s="40"/>
      <c r="CO813" s="40"/>
      <c r="CP813" s="40"/>
      <c r="CQ813" s="40"/>
      <c r="CR813" s="40"/>
      <c r="CS813" s="40"/>
      <c r="CT813" s="40"/>
      <c r="CU813" s="40"/>
      <c r="CV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  <c r="BS814" s="40"/>
      <c r="BT814" s="40"/>
      <c r="BU814" s="40"/>
      <c r="BV814" s="40"/>
      <c r="BW814" s="40"/>
      <c r="BX814" s="40"/>
      <c r="BY814" s="40"/>
      <c r="BZ814" s="40"/>
      <c r="CA814" s="40"/>
      <c r="CB814" s="40"/>
      <c r="CC814" s="40"/>
      <c r="CD814" s="40"/>
      <c r="CE814" s="40"/>
      <c r="CF814" s="40"/>
      <c r="CG814" s="40"/>
      <c r="CH814" s="40"/>
      <c r="CI814" s="40"/>
      <c r="CJ814" s="40"/>
      <c r="CK814" s="40"/>
      <c r="CL814" s="40"/>
      <c r="CM814" s="40"/>
      <c r="CN814" s="40"/>
      <c r="CO814" s="40"/>
      <c r="CP814" s="40"/>
      <c r="CQ814" s="40"/>
      <c r="CR814" s="40"/>
      <c r="CS814" s="40"/>
      <c r="CT814" s="40"/>
      <c r="CU814" s="40"/>
      <c r="CV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  <c r="BS815" s="40"/>
      <c r="BT815" s="40"/>
      <c r="BU815" s="40"/>
      <c r="BV815" s="40"/>
      <c r="BW815" s="40"/>
      <c r="BX815" s="40"/>
      <c r="BY815" s="40"/>
      <c r="BZ815" s="40"/>
      <c r="CA815" s="40"/>
      <c r="CB815" s="40"/>
      <c r="CC815" s="40"/>
      <c r="CD815" s="40"/>
      <c r="CE815" s="40"/>
      <c r="CF815" s="40"/>
      <c r="CG815" s="40"/>
      <c r="CH815" s="40"/>
      <c r="CI815" s="40"/>
      <c r="CJ815" s="40"/>
      <c r="CK815" s="40"/>
      <c r="CL815" s="40"/>
      <c r="CM815" s="40"/>
      <c r="CN815" s="40"/>
      <c r="CO815" s="40"/>
      <c r="CP815" s="40"/>
      <c r="CQ815" s="40"/>
      <c r="CR815" s="40"/>
      <c r="CS815" s="40"/>
      <c r="CT815" s="40"/>
      <c r="CU815" s="40"/>
      <c r="CV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  <c r="BS816" s="40"/>
      <c r="BT816" s="40"/>
      <c r="BU816" s="40"/>
      <c r="BV816" s="40"/>
      <c r="BW816" s="40"/>
      <c r="BX816" s="40"/>
      <c r="BY816" s="40"/>
      <c r="BZ816" s="40"/>
      <c r="CA816" s="40"/>
      <c r="CB816" s="40"/>
      <c r="CC816" s="40"/>
      <c r="CD816" s="40"/>
      <c r="CE816" s="40"/>
      <c r="CF816" s="40"/>
      <c r="CG816" s="40"/>
      <c r="CH816" s="40"/>
      <c r="CI816" s="40"/>
      <c r="CJ816" s="40"/>
      <c r="CK816" s="40"/>
      <c r="CL816" s="40"/>
      <c r="CM816" s="40"/>
      <c r="CN816" s="40"/>
      <c r="CO816" s="40"/>
      <c r="CP816" s="40"/>
      <c r="CQ816" s="40"/>
      <c r="CR816" s="40"/>
      <c r="CS816" s="40"/>
      <c r="CT816" s="40"/>
      <c r="CU816" s="40"/>
      <c r="CV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  <c r="BS817" s="40"/>
      <c r="BT817" s="40"/>
      <c r="BU817" s="40"/>
      <c r="BV817" s="40"/>
      <c r="BW817" s="40"/>
      <c r="BX817" s="40"/>
      <c r="BY817" s="40"/>
      <c r="BZ817" s="40"/>
      <c r="CA817" s="40"/>
      <c r="CB817" s="40"/>
      <c r="CC817" s="40"/>
      <c r="CD817" s="40"/>
      <c r="CE817" s="40"/>
      <c r="CF817" s="40"/>
      <c r="CG817" s="40"/>
      <c r="CH817" s="40"/>
      <c r="CI817" s="40"/>
      <c r="CJ817" s="40"/>
      <c r="CK817" s="40"/>
      <c r="CL817" s="40"/>
      <c r="CM817" s="40"/>
      <c r="CN817" s="40"/>
      <c r="CO817" s="40"/>
      <c r="CP817" s="40"/>
      <c r="CQ817" s="40"/>
      <c r="CR817" s="40"/>
      <c r="CS817" s="40"/>
      <c r="CT817" s="40"/>
      <c r="CU817" s="40"/>
      <c r="CV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  <c r="BS818" s="40"/>
      <c r="BT818" s="40"/>
      <c r="BU818" s="40"/>
      <c r="BV818" s="40"/>
      <c r="BW818" s="40"/>
      <c r="BX818" s="40"/>
      <c r="BY818" s="40"/>
      <c r="BZ818" s="40"/>
      <c r="CA818" s="40"/>
      <c r="CB818" s="40"/>
      <c r="CC818" s="40"/>
      <c r="CD818" s="40"/>
      <c r="CE818" s="40"/>
      <c r="CF818" s="40"/>
      <c r="CG818" s="40"/>
      <c r="CH818" s="40"/>
      <c r="CI818" s="40"/>
      <c r="CJ818" s="40"/>
      <c r="CK818" s="40"/>
      <c r="CL818" s="40"/>
      <c r="CM818" s="40"/>
      <c r="CN818" s="40"/>
      <c r="CO818" s="40"/>
      <c r="CP818" s="40"/>
      <c r="CQ818" s="40"/>
      <c r="CR818" s="40"/>
      <c r="CS818" s="40"/>
      <c r="CT818" s="40"/>
      <c r="CU818" s="40"/>
      <c r="CV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  <c r="BS819" s="40"/>
      <c r="BT819" s="40"/>
      <c r="BU819" s="40"/>
      <c r="BV819" s="40"/>
      <c r="BW819" s="40"/>
      <c r="BX819" s="40"/>
      <c r="BY819" s="40"/>
      <c r="BZ819" s="40"/>
      <c r="CA819" s="40"/>
      <c r="CB819" s="40"/>
      <c r="CC819" s="40"/>
      <c r="CD819" s="40"/>
      <c r="CE819" s="40"/>
      <c r="CF819" s="40"/>
      <c r="CG819" s="40"/>
      <c r="CH819" s="40"/>
      <c r="CI819" s="40"/>
      <c r="CJ819" s="40"/>
      <c r="CK819" s="40"/>
      <c r="CL819" s="40"/>
      <c r="CM819" s="40"/>
      <c r="CN819" s="40"/>
      <c r="CO819" s="40"/>
      <c r="CP819" s="40"/>
      <c r="CQ819" s="40"/>
      <c r="CR819" s="40"/>
      <c r="CS819" s="40"/>
      <c r="CT819" s="40"/>
      <c r="CU819" s="40"/>
      <c r="CV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  <c r="BS820" s="40"/>
      <c r="BT820" s="40"/>
      <c r="BU820" s="40"/>
      <c r="BV820" s="40"/>
      <c r="BW820" s="40"/>
      <c r="BX820" s="40"/>
      <c r="BY820" s="40"/>
      <c r="BZ820" s="40"/>
      <c r="CA820" s="40"/>
      <c r="CB820" s="40"/>
      <c r="CC820" s="40"/>
      <c r="CD820" s="40"/>
      <c r="CE820" s="40"/>
      <c r="CF820" s="40"/>
      <c r="CG820" s="40"/>
      <c r="CH820" s="40"/>
      <c r="CI820" s="40"/>
      <c r="CJ820" s="40"/>
      <c r="CK820" s="40"/>
      <c r="CL820" s="40"/>
      <c r="CM820" s="40"/>
      <c r="CN820" s="40"/>
      <c r="CO820" s="40"/>
      <c r="CP820" s="40"/>
      <c r="CQ820" s="40"/>
      <c r="CR820" s="40"/>
      <c r="CS820" s="40"/>
      <c r="CT820" s="40"/>
      <c r="CU820" s="40"/>
      <c r="CV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  <c r="BS821" s="40"/>
      <c r="BT821" s="40"/>
      <c r="BU821" s="40"/>
      <c r="BV821" s="40"/>
      <c r="BW821" s="40"/>
      <c r="BX821" s="40"/>
      <c r="BY821" s="40"/>
      <c r="BZ821" s="40"/>
      <c r="CA821" s="40"/>
      <c r="CB821" s="40"/>
      <c r="CC821" s="40"/>
      <c r="CD821" s="40"/>
      <c r="CE821" s="40"/>
      <c r="CF821" s="40"/>
      <c r="CG821" s="40"/>
      <c r="CH821" s="40"/>
      <c r="CI821" s="40"/>
      <c r="CJ821" s="40"/>
      <c r="CK821" s="40"/>
      <c r="CL821" s="40"/>
      <c r="CM821" s="40"/>
      <c r="CN821" s="40"/>
      <c r="CO821" s="40"/>
      <c r="CP821" s="40"/>
      <c r="CQ821" s="40"/>
      <c r="CR821" s="40"/>
      <c r="CS821" s="40"/>
      <c r="CT821" s="40"/>
      <c r="CU821" s="40"/>
      <c r="CV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  <c r="BU822" s="40"/>
      <c r="BV822" s="40"/>
      <c r="BW822" s="40"/>
      <c r="BX822" s="40"/>
      <c r="BY822" s="40"/>
      <c r="BZ822" s="40"/>
      <c r="CA822" s="40"/>
      <c r="CB822" s="40"/>
      <c r="CC822" s="40"/>
      <c r="CD822" s="40"/>
      <c r="CE822" s="40"/>
      <c r="CF822" s="40"/>
      <c r="CG822" s="40"/>
      <c r="CH822" s="40"/>
      <c r="CI822" s="40"/>
      <c r="CJ822" s="40"/>
      <c r="CK822" s="40"/>
      <c r="CL822" s="40"/>
      <c r="CM822" s="40"/>
      <c r="CN822" s="40"/>
      <c r="CO822" s="40"/>
      <c r="CP822" s="40"/>
      <c r="CQ822" s="40"/>
      <c r="CR822" s="40"/>
      <c r="CS822" s="40"/>
      <c r="CT822" s="40"/>
      <c r="CU822" s="40"/>
      <c r="CV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  <c r="BS823" s="40"/>
      <c r="BT823" s="40"/>
      <c r="BU823" s="40"/>
      <c r="BV823" s="40"/>
      <c r="BW823" s="40"/>
      <c r="BX823" s="40"/>
      <c r="BY823" s="40"/>
      <c r="BZ823" s="40"/>
      <c r="CA823" s="40"/>
      <c r="CB823" s="40"/>
      <c r="CC823" s="40"/>
      <c r="CD823" s="40"/>
      <c r="CE823" s="40"/>
      <c r="CF823" s="40"/>
      <c r="CG823" s="40"/>
      <c r="CH823" s="40"/>
      <c r="CI823" s="40"/>
      <c r="CJ823" s="40"/>
      <c r="CK823" s="40"/>
      <c r="CL823" s="40"/>
      <c r="CM823" s="40"/>
      <c r="CN823" s="40"/>
      <c r="CO823" s="40"/>
      <c r="CP823" s="40"/>
      <c r="CQ823" s="40"/>
      <c r="CR823" s="40"/>
      <c r="CS823" s="40"/>
      <c r="CT823" s="40"/>
      <c r="CU823" s="40"/>
      <c r="CV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  <c r="BS824" s="40"/>
      <c r="BT824" s="40"/>
      <c r="BU824" s="40"/>
      <c r="BV824" s="40"/>
      <c r="BW824" s="40"/>
      <c r="BX824" s="40"/>
      <c r="BY824" s="40"/>
      <c r="BZ824" s="40"/>
      <c r="CA824" s="40"/>
      <c r="CB824" s="40"/>
      <c r="CC824" s="40"/>
      <c r="CD824" s="40"/>
      <c r="CE824" s="40"/>
      <c r="CF824" s="40"/>
      <c r="CG824" s="40"/>
      <c r="CH824" s="40"/>
      <c r="CI824" s="40"/>
      <c r="CJ824" s="40"/>
      <c r="CK824" s="40"/>
      <c r="CL824" s="40"/>
      <c r="CM824" s="40"/>
      <c r="CN824" s="40"/>
      <c r="CO824" s="40"/>
      <c r="CP824" s="40"/>
      <c r="CQ824" s="40"/>
      <c r="CR824" s="40"/>
      <c r="CS824" s="40"/>
      <c r="CT824" s="40"/>
      <c r="CU824" s="40"/>
      <c r="CV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  <c r="BS825" s="40"/>
      <c r="BT825" s="40"/>
      <c r="BU825" s="40"/>
      <c r="BV825" s="40"/>
      <c r="BW825" s="40"/>
      <c r="BX825" s="40"/>
      <c r="BY825" s="40"/>
      <c r="BZ825" s="40"/>
      <c r="CA825" s="40"/>
      <c r="CB825" s="40"/>
      <c r="CC825" s="40"/>
      <c r="CD825" s="40"/>
      <c r="CE825" s="40"/>
      <c r="CF825" s="40"/>
      <c r="CG825" s="40"/>
      <c r="CH825" s="40"/>
      <c r="CI825" s="40"/>
      <c r="CJ825" s="40"/>
      <c r="CK825" s="40"/>
      <c r="CL825" s="40"/>
      <c r="CM825" s="40"/>
      <c r="CN825" s="40"/>
      <c r="CO825" s="40"/>
      <c r="CP825" s="40"/>
      <c r="CQ825" s="40"/>
      <c r="CR825" s="40"/>
      <c r="CS825" s="40"/>
      <c r="CT825" s="40"/>
      <c r="CU825" s="40"/>
      <c r="CV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  <c r="BS826" s="40"/>
      <c r="BT826" s="40"/>
      <c r="BU826" s="40"/>
      <c r="BV826" s="40"/>
      <c r="BW826" s="40"/>
      <c r="BX826" s="40"/>
      <c r="BY826" s="40"/>
      <c r="BZ826" s="40"/>
      <c r="CA826" s="40"/>
      <c r="CB826" s="40"/>
      <c r="CC826" s="40"/>
      <c r="CD826" s="40"/>
      <c r="CE826" s="40"/>
      <c r="CF826" s="40"/>
      <c r="CG826" s="40"/>
      <c r="CH826" s="40"/>
      <c r="CI826" s="40"/>
      <c r="CJ826" s="40"/>
      <c r="CK826" s="40"/>
      <c r="CL826" s="40"/>
      <c r="CM826" s="40"/>
      <c r="CN826" s="40"/>
      <c r="CO826" s="40"/>
      <c r="CP826" s="40"/>
      <c r="CQ826" s="40"/>
      <c r="CR826" s="40"/>
      <c r="CS826" s="40"/>
      <c r="CT826" s="40"/>
      <c r="CU826" s="40"/>
      <c r="CV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  <c r="BU827" s="40"/>
      <c r="BV827" s="40"/>
      <c r="BW827" s="40"/>
      <c r="BX827" s="40"/>
      <c r="BY827" s="40"/>
      <c r="BZ827" s="40"/>
      <c r="CA827" s="40"/>
      <c r="CB827" s="40"/>
      <c r="CC827" s="40"/>
      <c r="CD827" s="40"/>
      <c r="CE827" s="40"/>
      <c r="CF827" s="40"/>
      <c r="CG827" s="40"/>
      <c r="CH827" s="40"/>
      <c r="CI827" s="40"/>
      <c r="CJ827" s="40"/>
      <c r="CK827" s="40"/>
      <c r="CL827" s="40"/>
      <c r="CM827" s="40"/>
      <c r="CN827" s="40"/>
      <c r="CO827" s="40"/>
      <c r="CP827" s="40"/>
      <c r="CQ827" s="40"/>
      <c r="CR827" s="40"/>
      <c r="CS827" s="40"/>
      <c r="CT827" s="40"/>
      <c r="CU827" s="40"/>
      <c r="CV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  <c r="BS828" s="40"/>
      <c r="BT828" s="40"/>
      <c r="BU828" s="40"/>
      <c r="BV828" s="40"/>
      <c r="BW828" s="40"/>
      <c r="BX828" s="40"/>
      <c r="BY828" s="40"/>
      <c r="BZ828" s="40"/>
      <c r="CA828" s="40"/>
      <c r="CB828" s="40"/>
      <c r="CC828" s="40"/>
      <c r="CD828" s="40"/>
      <c r="CE828" s="40"/>
      <c r="CF828" s="40"/>
      <c r="CG828" s="40"/>
      <c r="CH828" s="40"/>
      <c r="CI828" s="40"/>
      <c r="CJ828" s="40"/>
      <c r="CK828" s="40"/>
      <c r="CL828" s="40"/>
      <c r="CM828" s="40"/>
      <c r="CN828" s="40"/>
      <c r="CO828" s="40"/>
      <c r="CP828" s="40"/>
      <c r="CQ828" s="40"/>
      <c r="CR828" s="40"/>
      <c r="CS828" s="40"/>
      <c r="CT828" s="40"/>
      <c r="CU828" s="40"/>
      <c r="CV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  <c r="BS829" s="40"/>
      <c r="BT829" s="40"/>
      <c r="BU829" s="40"/>
      <c r="BV829" s="40"/>
      <c r="BW829" s="40"/>
      <c r="BX829" s="40"/>
      <c r="BY829" s="40"/>
      <c r="BZ829" s="40"/>
      <c r="CA829" s="40"/>
      <c r="CB829" s="40"/>
      <c r="CC829" s="40"/>
      <c r="CD829" s="40"/>
      <c r="CE829" s="40"/>
      <c r="CF829" s="40"/>
      <c r="CG829" s="40"/>
      <c r="CH829" s="40"/>
      <c r="CI829" s="40"/>
      <c r="CJ829" s="40"/>
      <c r="CK829" s="40"/>
      <c r="CL829" s="40"/>
      <c r="CM829" s="40"/>
      <c r="CN829" s="40"/>
      <c r="CO829" s="40"/>
      <c r="CP829" s="40"/>
      <c r="CQ829" s="40"/>
      <c r="CR829" s="40"/>
      <c r="CS829" s="40"/>
      <c r="CT829" s="40"/>
      <c r="CU829" s="40"/>
      <c r="CV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  <c r="BS830" s="40"/>
      <c r="BT830" s="40"/>
      <c r="BU830" s="40"/>
      <c r="BV830" s="40"/>
      <c r="BW830" s="40"/>
      <c r="BX830" s="40"/>
      <c r="BY830" s="40"/>
      <c r="BZ830" s="40"/>
      <c r="CA830" s="40"/>
      <c r="CB830" s="40"/>
      <c r="CC830" s="40"/>
      <c r="CD830" s="40"/>
      <c r="CE830" s="40"/>
      <c r="CF830" s="40"/>
      <c r="CG830" s="40"/>
      <c r="CH830" s="40"/>
      <c r="CI830" s="40"/>
      <c r="CJ830" s="40"/>
      <c r="CK830" s="40"/>
      <c r="CL830" s="40"/>
      <c r="CM830" s="40"/>
      <c r="CN830" s="40"/>
      <c r="CO830" s="40"/>
      <c r="CP830" s="40"/>
      <c r="CQ830" s="40"/>
      <c r="CR830" s="40"/>
      <c r="CS830" s="40"/>
      <c r="CT830" s="40"/>
      <c r="CU830" s="40"/>
      <c r="CV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  <c r="BS831" s="40"/>
      <c r="BT831" s="40"/>
      <c r="BU831" s="40"/>
      <c r="BV831" s="40"/>
      <c r="BW831" s="40"/>
      <c r="BX831" s="40"/>
      <c r="BY831" s="40"/>
      <c r="BZ831" s="40"/>
      <c r="CA831" s="40"/>
      <c r="CB831" s="40"/>
      <c r="CC831" s="40"/>
      <c r="CD831" s="40"/>
      <c r="CE831" s="40"/>
      <c r="CF831" s="40"/>
      <c r="CG831" s="40"/>
      <c r="CH831" s="40"/>
      <c r="CI831" s="40"/>
      <c r="CJ831" s="40"/>
      <c r="CK831" s="40"/>
      <c r="CL831" s="40"/>
      <c r="CM831" s="40"/>
      <c r="CN831" s="40"/>
      <c r="CO831" s="40"/>
      <c r="CP831" s="40"/>
      <c r="CQ831" s="40"/>
      <c r="CR831" s="40"/>
      <c r="CS831" s="40"/>
      <c r="CT831" s="40"/>
      <c r="CU831" s="40"/>
      <c r="CV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  <c r="BU832" s="40"/>
      <c r="BV832" s="40"/>
      <c r="BW832" s="40"/>
      <c r="BX832" s="40"/>
      <c r="BY832" s="40"/>
      <c r="BZ832" s="40"/>
      <c r="CA832" s="40"/>
      <c r="CB832" s="40"/>
      <c r="CC832" s="40"/>
      <c r="CD832" s="40"/>
      <c r="CE832" s="40"/>
      <c r="CF832" s="40"/>
      <c r="CG832" s="40"/>
      <c r="CH832" s="40"/>
      <c r="CI832" s="40"/>
      <c r="CJ832" s="40"/>
      <c r="CK832" s="40"/>
      <c r="CL832" s="40"/>
      <c r="CM832" s="40"/>
      <c r="CN832" s="40"/>
      <c r="CO832" s="40"/>
      <c r="CP832" s="40"/>
      <c r="CQ832" s="40"/>
      <c r="CR832" s="40"/>
      <c r="CS832" s="40"/>
      <c r="CT832" s="40"/>
      <c r="CU832" s="40"/>
      <c r="CV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  <c r="BS833" s="40"/>
      <c r="BT833" s="40"/>
      <c r="BU833" s="40"/>
      <c r="BV833" s="40"/>
      <c r="BW833" s="40"/>
      <c r="BX833" s="40"/>
      <c r="BY833" s="40"/>
      <c r="BZ833" s="40"/>
      <c r="CA833" s="40"/>
      <c r="CB833" s="40"/>
      <c r="CC833" s="40"/>
      <c r="CD833" s="40"/>
      <c r="CE833" s="40"/>
      <c r="CF833" s="40"/>
      <c r="CG833" s="40"/>
      <c r="CH833" s="40"/>
      <c r="CI833" s="40"/>
      <c r="CJ833" s="40"/>
      <c r="CK833" s="40"/>
      <c r="CL833" s="40"/>
      <c r="CM833" s="40"/>
      <c r="CN833" s="40"/>
      <c r="CO833" s="40"/>
      <c r="CP833" s="40"/>
      <c r="CQ833" s="40"/>
      <c r="CR833" s="40"/>
      <c r="CS833" s="40"/>
      <c r="CT833" s="40"/>
      <c r="CU833" s="40"/>
      <c r="CV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  <c r="BS834" s="40"/>
      <c r="BT834" s="40"/>
      <c r="BU834" s="40"/>
      <c r="BV834" s="40"/>
      <c r="BW834" s="40"/>
      <c r="BX834" s="40"/>
      <c r="BY834" s="40"/>
      <c r="BZ834" s="40"/>
      <c r="CA834" s="40"/>
      <c r="CB834" s="40"/>
      <c r="CC834" s="40"/>
      <c r="CD834" s="40"/>
      <c r="CE834" s="40"/>
      <c r="CF834" s="40"/>
      <c r="CG834" s="40"/>
      <c r="CH834" s="40"/>
      <c r="CI834" s="40"/>
      <c r="CJ834" s="40"/>
      <c r="CK834" s="40"/>
      <c r="CL834" s="40"/>
      <c r="CM834" s="40"/>
      <c r="CN834" s="40"/>
      <c r="CO834" s="40"/>
      <c r="CP834" s="40"/>
      <c r="CQ834" s="40"/>
      <c r="CR834" s="40"/>
      <c r="CS834" s="40"/>
      <c r="CT834" s="40"/>
      <c r="CU834" s="40"/>
      <c r="CV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  <c r="BS835" s="40"/>
      <c r="BT835" s="40"/>
      <c r="BU835" s="40"/>
      <c r="BV835" s="40"/>
      <c r="BW835" s="40"/>
      <c r="BX835" s="40"/>
      <c r="BY835" s="40"/>
      <c r="BZ835" s="40"/>
      <c r="CA835" s="40"/>
      <c r="CB835" s="40"/>
      <c r="CC835" s="40"/>
      <c r="CD835" s="40"/>
      <c r="CE835" s="40"/>
      <c r="CF835" s="40"/>
      <c r="CG835" s="40"/>
      <c r="CH835" s="40"/>
      <c r="CI835" s="40"/>
      <c r="CJ835" s="40"/>
      <c r="CK835" s="40"/>
      <c r="CL835" s="40"/>
      <c r="CM835" s="40"/>
      <c r="CN835" s="40"/>
      <c r="CO835" s="40"/>
      <c r="CP835" s="40"/>
      <c r="CQ835" s="40"/>
      <c r="CR835" s="40"/>
      <c r="CS835" s="40"/>
      <c r="CT835" s="40"/>
      <c r="CU835" s="40"/>
      <c r="CV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  <c r="BS836" s="40"/>
      <c r="BT836" s="40"/>
      <c r="BU836" s="40"/>
      <c r="BV836" s="40"/>
      <c r="BW836" s="40"/>
      <c r="BX836" s="40"/>
      <c r="BY836" s="40"/>
      <c r="BZ836" s="40"/>
      <c r="CA836" s="40"/>
      <c r="CB836" s="40"/>
      <c r="CC836" s="40"/>
      <c r="CD836" s="40"/>
      <c r="CE836" s="40"/>
      <c r="CF836" s="40"/>
      <c r="CG836" s="40"/>
      <c r="CH836" s="40"/>
      <c r="CI836" s="40"/>
      <c r="CJ836" s="40"/>
      <c r="CK836" s="40"/>
      <c r="CL836" s="40"/>
      <c r="CM836" s="40"/>
      <c r="CN836" s="40"/>
      <c r="CO836" s="40"/>
      <c r="CP836" s="40"/>
      <c r="CQ836" s="40"/>
      <c r="CR836" s="40"/>
      <c r="CS836" s="40"/>
      <c r="CT836" s="40"/>
      <c r="CU836" s="40"/>
      <c r="CV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  <c r="BS837" s="40"/>
      <c r="BT837" s="40"/>
      <c r="BU837" s="40"/>
      <c r="BV837" s="40"/>
      <c r="BW837" s="40"/>
      <c r="BX837" s="40"/>
      <c r="BY837" s="40"/>
      <c r="BZ837" s="40"/>
      <c r="CA837" s="40"/>
      <c r="CB837" s="40"/>
      <c r="CC837" s="40"/>
      <c r="CD837" s="40"/>
      <c r="CE837" s="40"/>
      <c r="CF837" s="40"/>
      <c r="CG837" s="40"/>
      <c r="CH837" s="40"/>
      <c r="CI837" s="40"/>
      <c r="CJ837" s="40"/>
      <c r="CK837" s="40"/>
      <c r="CL837" s="40"/>
      <c r="CM837" s="40"/>
      <c r="CN837" s="40"/>
      <c r="CO837" s="40"/>
      <c r="CP837" s="40"/>
      <c r="CQ837" s="40"/>
      <c r="CR837" s="40"/>
      <c r="CS837" s="40"/>
      <c r="CT837" s="40"/>
      <c r="CU837" s="40"/>
      <c r="CV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  <c r="BS838" s="40"/>
      <c r="BT838" s="40"/>
      <c r="BU838" s="40"/>
      <c r="BV838" s="40"/>
      <c r="BW838" s="40"/>
      <c r="BX838" s="40"/>
      <c r="BY838" s="40"/>
      <c r="BZ838" s="40"/>
      <c r="CA838" s="40"/>
      <c r="CB838" s="40"/>
      <c r="CC838" s="40"/>
      <c r="CD838" s="40"/>
      <c r="CE838" s="40"/>
      <c r="CF838" s="40"/>
      <c r="CG838" s="40"/>
      <c r="CH838" s="40"/>
      <c r="CI838" s="40"/>
      <c r="CJ838" s="40"/>
      <c r="CK838" s="40"/>
      <c r="CL838" s="40"/>
      <c r="CM838" s="40"/>
      <c r="CN838" s="40"/>
      <c r="CO838" s="40"/>
      <c r="CP838" s="40"/>
      <c r="CQ838" s="40"/>
      <c r="CR838" s="40"/>
      <c r="CS838" s="40"/>
      <c r="CT838" s="40"/>
      <c r="CU838" s="40"/>
      <c r="CV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  <c r="BU839" s="40"/>
      <c r="BV839" s="40"/>
      <c r="BW839" s="40"/>
      <c r="BX839" s="40"/>
      <c r="BY839" s="40"/>
      <c r="BZ839" s="40"/>
      <c r="CA839" s="40"/>
      <c r="CB839" s="40"/>
      <c r="CC839" s="40"/>
      <c r="CD839" s="40"/>
      <c r="CE839" s="40"/>
      <c r="CF839" s="40"/>
      <c r="CG839" s="40"/>
      <c r="CH839" s="40"/>
      <c r="CI839" s="40"/>
      <c r="CJ839" s="40"/>
      <c r="CK839" s="40"/>
      <c r="CL839" s="40"/>
      <c r="CM839" s="40"/>
      <c r="CN839" s="40"/>
      <c r="CO839" s="40"/>
      <c r="CP839" s="40"/>
      <c r="CQ839" s="40"/>
      <c r="CR839" s="40"/>
      <c r="CS839" s="40"/>
      <c r="CT839" s="40"/>
      <c r="CU839" s="40"/>
      <c r="CV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  <c r="BS840" s="40"/>
      <c r="BT840" s="40"/>
      <c r="BU840" s="40"/>
      <c r="BV840" s="40"/>
      <c r="BW840" s="40"/>
      <c r="BX840" s="40"/>
      <c r="BY840" s="40"/>
      <c r="BZ840" s="40"/>
      <c r="CA840" s="40"/>
      <c r="CB840" s="40"/>
      <c r="CC840" s="40"/>
      <c r="CD840" s="40"/>
      <c r="CE840" s="40"/>
      <c r="CF840" s="40"/>
      <c r="CG840" s="40"/>
      <c r="CH840" s="40"/>
      <c r="CI840" s="40"/>
      <c r="CJ840" s="40"/>
      <c r="CK840" s="40"/>
      <c r="CL840" s="40"/>
      <c r="CM840" s="40"/>
      <c r="CN840" s="40"/>
      <c r="CO840" s="40"/>
      <c r="CP840" s="40"/>
      <c r="CQ840" s="40"/>
      <c r="CR840" s="40"/>
      <c r="CS840" s="40"/>
      <c r="CT840" s="40"/>
      <c r="CU840" s="40"/>
      <c r="CV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  <c r="BS841" s="40"/>
      <c r="BT841" s="40"/>
      <c r="BU841" s="40"/>
      <c r="BV841" s="40"/>
      <c r="BW841" s="40"/>
      <c r="BX841" s="40"/>
      <c r="BY841" s="40"/>
      <c r="BZ841" s="40"/>
      <c r="CA841" s="40"/>
      <c r="CB841" s="40"/>
      <c r="CC841" s="40"/>
      <c r="CD841" s="40"/>
      <c r="CE841" s="40"/>
      <c r="CF841" s="40"/>
      <c r="CG841" s="40"/>
      <c r="CH841" s="40"/>
      <c r="CI841" s="40"/>
      <c r="CJ841" s="40"/>
      <c r="CK841" s="40"/>
      <c r="CL841" s="40"/>
      <c r="CM841" s="40"/>
      <c r="CN841" s="40"/>
      <c r="CO841" s="40"/>
      <c r="CP841" s="40"/>
      <c r="CQ841" s="40"/>
      <c r="CR841" s="40"/>
      <c r="CS841" s="40"/>
      <c r="CT841" s="40"/>
      <c r="CU841" s="40"/>
      <c r="CV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  <c r="BS842" s="40"/>
      <c r="BT842" s="40"/>
      <c r="BU842" s="40"/>
      <c r="BV842" s="40"/>
      <c r="BW842" s="40"/>
      <c r="BX842" s="40"/>
      <c r="BY842" s="40"/>
      <c r="BZ842" s="40"/>
      <c r="CA842" s="40"/>
      <c r="CB842" s="40"/>
      <c r="CC842" s="40"/>
      <c r="CD842" s="40"/>
      <c r="CE842" s="40"/>
      <c r="CF842" s="40"/>
      <c r="CG842" s="40"/>
      <c r="CH842" s="40"/>
      <c r="CI842" s="40"/>
      <c r="CJ842" s="40"/>
      <c r="CK842" s="40"/>
      <c r="CL842" s="40"/>
      <c r="CM842" s="40"/>
      <c r="CN842" s="40"/>
      <c r="CO842" s="40"/>
      <c r="CP842" s="40"/>
      <c r="CQ842" s="40"/>
      <c r="CR842" s="40"/>
      <c r="CS842" s="40"/>
      <c r="CT842" s="40"/>
      <c r="CU842" s="40"/>
      <c r="CV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  <c r="BS843" s="40"/>
      <c r="BT843" s="40"/>
      <c r="BU843" s="40"/>
      <c r="BV843" s="40"/>
      <c r="BW843" s="40"/>
      <c r="BX843" s="40"/>
      <c r="BY843" s="40"/>
      <c r="BZ843" s="40"/>
      <c r="CA843" s="40"/>
      <c r="CB843" s="40"/>
      <c r="CC843" s="40"/>
      <c r="CD843" s="40"/>
      <c r="CE843" s="40"/>
      <c r="CF843" s="40"/>
      <c r="CG843" s="40"/>
      <c r="CH843" s="40"/>
      <c r="CI843" s="40"/>
      <c r="CJ843" s="40"/>
      <c r="CK843" s="40"/>
      <c r="CL843" s="40"/>
      <c r="CM843" s="40"/>
      <c r="CN843" s="40"/>
      <c r="CO843" s="40"/>
      <c r="CP843" s="40"/>
      <c r="CQ843" s="40"/>
      <c r="CR843" s="40"/>
      <c r="CS843" s="40"/>
      <c r="CT843" s="40"/>
      <c r="CU843" s="40"/>
      <c r="CV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  <c r="BU844" s="40"/>
      <c r="BV844" s="40"/>
      <c r="BW844" s="40"/>
      <c r="BX844" s="40"/>
      <c r="BY844" s="40"/>
      <c r="BZ844" s="40"/>
      <c r="CA844" s="40"/>
      <c r="CB844" s="40"/>
      <c r="CC844" s="40"/>
      <c r="CD844" s="40"/>
      <c r="CE844" s="40"/>
      <c r="CF844" s="40"/>
      <c r="CG844" s="40"/>
      <c r="CH844" s="40"/>
      <c r="CI844" s="40"/>
      <c r="CJ844" s="40"/>
      <c r="CK844" s="40"/>
      <c r="CL844" s="40"/>
      <c r="CM844" s="40"/>
      <c r="CN844" s="40"/>
      <c r="CO844" s="40"/>
      <c r="CP844" s="40"/>
      <c r="CQ844" s="40"/>
      <c r="CR844" s="40"/>
      <c r="CS844" s="40"/>
      <c r="CT844" s="40"/>
      <c r="CU844" s="40"/>
      <c r="CV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  <c r="BS845" s="40"/>
      <c r="BT845" s="40"/>
      <c r="BU845" s="40"/>
      <c r="BV845" s="40"/>
      <c r="BW845" s="40"/>
      <c r="BX845" s="40"/>
      <c r="BY845" s="40"/>
      <c r="BZ845" s="40"/>
      <c r="CA845" s="40"/>
      <c r="CB845" s="40"/>
      <c r="CC845" s="40"/>
      <c r="CD845" s="40"/>
      <c r="CE845" s="40"/>
      <c r="CF845" s="40"/>
      <c r="CG845" s="40"/>
      <c r="CH845" s="40"/>
      <c r="CI845" s="40"/>
      <c r="CJ845" s="40"/>
      <c r="CK845" s="40"/>
      <c r="CL845" s="40"/>
      <c r="CM845" s="40"/>
      <c r="CN845" s="40"/>
      <c r="CO845" s="40"/>
      <c r="CP845" s="40"/>
      <c r="CQ845" s="40"/>
      <c r="CR845" s="40"/>
      <c r="CS845" s="40"/>
      <c r="CT845" s="40"/>
      <c r="CU845" s="40"/>
      <c r="CV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  <c r="BU846" s="40"/>
      <c r="BV846" s="40"/>
      <c r="BW846" s="40"/>
      <c r="BX846" s="40"/>
      <c r="BY846" s="40"/>
      <c r="BZ846" s="40"/>
      <c r="CA846" s="40"/>
      <c r="CB846" s="40"/>
      <c r="CC846" s="40"/>
      <c r="CD846" s="40"/>
      <c r="CE846" s="40"/>
      <c r="CF846" s="40"/>
      <c r="CG846" s="40"/>
      <c r="CH846" s="40"/>
      <c r="CI846" s="40"/>
      <c r="CJ846" s="40"/>
      <c r="CK846" s="40"/>
      <c r="CL846" s="40"/>
      <c r="CM846" s="40"/>
      <c r="CN846" s="40"/>
      <c r="CO846" s="40"/>
      <c r="CP846" s="40"/>
      <c r="CQ846" s="40"/>
      <c r="CR846" s="40"/>
      <c r="CS846" s="40"/>
      <c r="CT846" s="40"/>
      <c r="CU846" s="40"/>
      <c r="CV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  <c r="BS847" s="40"/>
      <c r="BT847" s="40"/>
      <c r="BU847" s="40"/>
      <c r="BV847" s="40"/>
      <c r="BW847" s="40"/>
      <c r="BX847" s="40"/>
      <c r="BY847" s="40"/>
      <c r="BZ847" s="40"/>
      <c r="CA847" s="40"/>
      <c r="CB847" s="40"/>
      <c r="CC847" s="40"/>
      <c r="CD847" s="40"/>
      <c r="CE847" s="40"/>
      <c r="CF847" s="40"/>
      <c r="CG847" s="40"/>
      <c r="CH847" s="40"/>
      <c r="CI847" s="40"/>
      <c r="CJ847" s="40"/>
      <c r="CK847" s="40"/>
      <c r="CL847" s="40"/>
      <c r="CM847" s="40"/>
      <c r="CN847" s="40"/>
      <c r="CO847" s="40"/>
      <c r="CP847" s="40"/>
      <c r="CQ847" s="40"/>
      <c r="CR847" s="40"/>
      <c r="CS847" s="40"/>
      <c r="CT847" s="40"/>
      <c r="CU847" s="40"/>
      <c r="CV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  <c r="BS848" s="40"/>
      <c r="BT848" s="40"/>
      <c r="BU848" s="40"/>
      <c r="BV848" s="40"/>
      <c r="BW848" s="40"/>
      <c r="BX848" s="40"/>
      <c r="BY848" s="40"/>
      <c r="BZ848" s="40"/>
      <c r="CA848" s="40"/>
      <c r="CB848" s="40"/>
      <c r="CC848" s="40"/>
      <c r="CD848" s="40"/>
      <c r="CE848" s="40"/>
      <c r="CF848" s="40"/>
      <c r="CG848" s="40"/>
      <c r="CH848" s="40"/>
      <c r="CI848" s="40"/>
      <c r="CJ848" s="40"/>
      <c r="CK848" s="40"/>
      <c r="CL848" s="40"/>
      <c r="CM848" s="40"/>
      <c r="CN848" s="40"/>
      <c r="CO848" s="40"/>
      <c r="CP848" s="40"/>
      <c r="CQ848" s="40"/>
      <c r="CR848" s="40"/>
      <c r="CS848" s="40"/>
      <c r="CT848" s="40"/>
      <c r="CU848" s="40"/>
      <c r="CV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  <c r="BS849" s="40"/>
      <c r="BT849" s="40"/>
      <c r="BU849" s="40"/>
      <c r="BV849" s="40"/>
      <c r="BW849" s="40"/>
      <c r="BX849" s="40"/>
      <c r="BY849" s="40"/>
      <c r="BZ849" s="40"/>
      <c r="CA849" s="40"/>
      <c r="CB849" s="40"/>
      <c r="CC849" s="40"/>
      <c r="CD849" s="40"/>
      <c r="CE849" s="40"/>
      <c r="CF849" s="40"/>
      <c r="CG849" s="40"/>
      <c r="CH849" s="40"/>
      <c r="CI849" s="40"/>
      <c r="CJ849" s="40"/>
      <c r="CK849" s="40"/>
      <c r="CL849" s="40"/>
      <c r="CM849" s="40"/>
      <c r="CN849" s="40"/>
      <c r="CO849" s="40"/>
      <c r="CP849" s="40"/>
      <c r="CQ849" s="40"/>
      <c r="CR849" s="40"/>
      <c r="CS849" s="40"/>
      <c r="CT849" s="40"/>
      <c r="CU849" s="40"/>
      <c r="CV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  <c r="BU850" s="40"/>
      <c r="BV850" s="40"/>
      <c r="BW850" s="40"/>
      <c r="BX850" s="40"/>
      <c r="BY850" s="40"/>
      <c r="BZ850" s="40"/>
      <c r="CA850" s="40"/>
      <c r="CB850" s="40"/>
      <c r="CC850" s="40"/>
      <c r="CD850" s="40"/>
      <c r="CE850" s="40"/>
      <c r="CF850" s="40"/>
      <c r="CG850" s="40"/>
      <c r="CH850" s="40"/>
      <c r="CI850" s="40"/>
      <c r="CJ850" s="40"/>
      <c r="CK850" s="40"/>
      <c r="CL850" s="40"/>
      <c r="CM850" s="40"/>
      <c r="CN850" s="40"/>
      <c r="CO850" s="40"/>
      <c r="CP850" s="40"/>
      <c r="CQ850" s="40"/>
      <c r="CR850" s="40"/>
      <c r="CS850" s="40"/>
      <c r="CT850" s="40"/>
      <c r="CU850" s="40"/>
      <c r="CV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  <c r="BU851" s="40"/>
      <c r="BV851" s="40"/>
      <c r="BW851" s="40"/>
      <c r="BX851" s="40"/>
      <c r="BY851" s="40"/>
      <c r="BZ851" s="40"/>
      <c r="CA851" s="40"/>
      <c r="CB851" s="40"/>
      <c r="CC851" s="40"/>
      <c r="CD851" s="40"/>
      <c r="CE851" s="40"/>
      <c r="CF851" s="40"/>
      <c r="CG851" s="40"/>
      <c r="CH851" s="40"/>
      <c r="CI851" s="40"/>
      <c r="CJ851" s="40"/>
      <c r="CK851" s="40"/>
      <c r="CL851" s="40"/>
      <c r="CM851" s="40"/>
      <c r="CN851" s="40"/>
      <c r="CO851" s="40"/>
      <c r="CP851" s="40"/>
      <c r="CQ851" s="40"/>
      <c r="CR851" s="40"/>
      <c r="CS851" s="40"/>
      <c r="CT851" s="40"/>
      <c r="CU851" s="40"/>
      <c r="CV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  <c r="BU852" s="40"/>
      <c r="BV852" s="40"/>
      <c r="BW852" s="40"/>
      <c r="BX852" s="40"/>
      <c r="BY852" s="40"/>
      <c r="BZ852" s="40"/>
      <c r="CA852" s="40"/>
      <c r="CB852" s="40"/>
      <c r="CC852" s="40"/>
      <c r="CD852" s="40"/>
      <c r="CE852" s="40"/>
      <c r="CF852" s="40"/>
      <c r="CG852" s="40"/>
      <c r="CH852" s="40"/>
      <c r="CI852" s="40"/>
      <c r="CJ852" s="40"/>
      <c r="CK852" s="40"/>
      <c r="CL852" s="40"/>
      <c r="CM852" s="40"/>
      <c r="CN852" s="40"/>
      <c r="CO852" s="40"/>
      <c r="CP852" s="40"/>
      <c r="CQ852" s="40"/>
      <c r="CR852" s="40"/>
      <c r="CS852" s="40"/>
      <c r="CT852" s="40"/>
      <c r="CU852" s="40"/>
      <c r="CV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  <c r="BU853" s="40"/>
      <c r="BV853" s="40"/>
      <c r="BW853" s="40"/>
      <c r="BX853" s="40"/>
      <c r="BY853" s="40"/>
      <c r="BZ853" s="40"/>
      <c r="CA853" s="40"/>
      <c r="CB853" s="40"/>
      <c r="CC853" s="40"/>
      <c r="CD853" s="40"/>
      <c r="CE853" s="40"/>
      <c r="CF853" s="40"/>
      <c r="CG853" s="40"/>
      <c r="CH853" s="40"/>
      <c r="CI853" s="40"/>
      <c r="CJ853" s="40"/>
      <c r="CK853" s="40"/>
      <c r="CL853" s="40"/>
      <c r="CM853" s="40"/>
      <c r="CN853" s="40"/>
      <c r="CO853" s="40"/>
      <c r="CP853" s="40"/>
      <c r="CQ853" s="40"/>
      <c r="CR853" s="40"/>
      <c r="CS853" s="40"/>
      <c r="CT853" s="40"/>
      <c r="CU853" s="40"/>
      <c r="CV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  <c r="BW854" s="40"/>
      <c r="BX854" s="40"/>
      <c r="BY854" s="40"/>
      <c r="BZ854" s="40"/>
      <c r="CA854" s="40"/>
      <c r="CB854" s="40"/>
      <c r="CC854" s="40"/>
      <c r="CD854" s="40"/>
      <c r="CE854" s="40"/>
      <c r="CF854" s="40"/>
      <c r="CG854" s="40"/>
      <c r="CH854" s="40"/>
      <c r="CI854" s="40"/>
      <c r="CJ854" s="40"/>
      <c r="CK854" s="40"/>
      <c r="CL854" s="40"/>
      <c r="CM854" s="40"/>
      <c r="CN854" s="40"/>
      <c r="CO854" s="40"/>
      <c r="CP854" s="40"/>
      <c r="CQ854" s="40"/>
      <c r="CR854" s="40"/>
      <c r="CS854" s="40"/>
      <c r="CT854" s="40"/>
      <c r="CU854" s="40"/>
      <c r="CV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  <c r="BS855" s="40"/>
      <c r="BT855" s="40"/>
      <c r="BU855" s="40"/>
      <c r="BV855" s="40"/>
      <c r="BW855" s="40"/>
      <c r="BX855" s="40"/>
      <c r="BY855" s="40"/>
      <c r="BZ855" s="40"/>
      <c r="CA855" s="40"/>
      <c r="CB855" s="40"/>
      <c r="CC855" s="40"/>
      <c r="CD855" s="40"/>
      <c r="CE855" s="40"/>
      <c r="CF855" s="40"/>
      <c r="CG855" s="40"/>
      <c r="CH855" s="40"/>
      <c r="CI855" s="40"/>
      <c r="CJ855" s="40"/>
      <c r="CK855" s="40"/>
      <c r="CL855" s="40"/>
      <c r="CM855" s="40"/>
      <c r="CN855" s="40"/>
      <c r="CO855" s="40"/>
      <c r="CP855" s="40"/>
      <c r="CQ855" s="40"/>
      <c r="CR855" s="40"/>
      <c r="CS855" s="40"/>
      <c r="CT855" s="40"/>
      <c r="CU855" s="40"/>
      <c r="CV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  <c r="BU856" s="40"/>
      <c r="BV856" s="40"/>
      <c r="BW856" s="40"/>
      <c r="BX856" s="40"/>
      <c r="BY856" s="40"/>
      <c r="BZ856" s="40"/>
      <c r="CA856" s="40"/>
      <c r="CB856" s="40"/>
      <c r="CC856" s="40"/>
      <c r="CD856" s="40"/>
      <c r="CE856" s="40"/>
      <c r="CF856" s="40"/>
      <c r="CG856" s="40"/>
      <c r="CH856" s="40"/>
      <c r="CI856" s="40"/>
      <c r="CJ856" s="40"/>
      <c r="CK856" s="40"/>
      <c r="CL856" s="40"/>
      <c r="CM856" s="40"/>
      <c r="CN856" s="40"/>
      <c r="CO856" s="40"/>
      <c r="CP856" s="40"/>
      <c r="CQ856" s="40"/>
      <c r="CR856" s="40"/>
      <c r="CS856" s="40"/>
      <c r="CT856" s="40"/>
      <c r="CU856" s="40"/>
      <c r="CV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  <c r="BU857" s="40"/>
      <c r="BV857" s="40"/>
      <c r="BW857" s="40"/>
      <c r="BX857" s="40"/>
      <c r="BY857" s="40"/>
      <c r="BZ857" s="40"/>
      <c r="CA857" s="40"/>
      <c r="CB857" s="40"/>
      <c r="CC857" s="40"/>
      <c r="CD857" s="40"/>
      <c r="CE857" s="40"/>
      <c r="CF857" s="40"/>
      <c r="CG857" s="40"/>
      <c r="CH857" s="40"/>
      <c r="CI857" s="40"/>
      <c r="CJ857" s="40"/>
      <c r="CK857" s="40"/>
      <c r="CL857" s="40"/>
      <c r="CM857" s="40"/>
      <c r="CN857" s="40"/>
      <c r="CO857" s="40"/>
      <c r="CP857" s="40"/>
      <c r="CQ857" s="40"/>
      <c r="CR857" s="40"/>
      <c r="CS857" s="40"/>
      <c r="CT857" s="40"/>
      <c r="CU857" s="40"/>
      <c r="CV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  <c r="BS858" s="40"/>
      <c r="BT858" s="40"/>
      <c r="BU858" s="40"/>
      <c r="BV858" s="40"/>
      <c r="BW858" s="40"/>
      <c r="BX858" s="40"/>
      <c r="BY858" s="40"/>
      <c r="BZ858" s="40"/>
      <c r="CA858" s="40"/>
      <c r="CB858" s="40"/>
      <c r="CC858" s="40"/>
      <c r="CD858" s="40"/>
      <c r="CE858" s="40"/>
      <c r="CF858" s="40"/>
      <c r="CG858" s="40"/>
      <c r="CH858" s="40"/>
      <c r="CI858" s="40"/>
      <c r="CJ858" s="40"/>
      <c r="CK858" s="40"/>
      <c r="CL858" s="40"/>
      <c r="CM858" s="40"/>
      <c r="CN858" s="40"/>
      <c r="CO858" s="40"/>
      <c r="CP858" s="40"/>
      <c r="CQ858" s="40"/>
      <c r="CR858" s="40"/>
      <c r="CS858" s="40"/>
      <c r="CT858" s="40"/>
      <c r="CU858" s="40"/>
      <c r="CV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  <c r="BS859" s="40"/>
      <c r="BT859" s="40"/>
      <c r="BU859" s="40"/>
      <c r="BV859" s="40"/>
      <c r="BW859" s="40"/>
      <c r="BX859" s="40"/>
      <c r="BY859" s="40"/>
      <c r="BZ859" s="40"/>
      <c r="CA859" s="40"/>
      <c r="CB859" s="40"/>
      <c r="CC859" s="40"/>
      <c r="CD859" s="40"/>
      <c r="CE859" s="40"/>
      <c r="CF859" s="40"/>
      <c r="CG859" s="40"/>
      <c r="CH859" s="40"/>
      <c r="CI859" s="40"/>
      <c r="CJ859" s="40"/>
      <c r="CK859" s="40"/>
      <c r="CL859" s="40"/>
      <c r="CM859" s="40"/>
      <c r="CN859" s="40"/>
      <c r="CO859" s="40"/>
      <c r="CP859" s="40"/>
      <c r="CQ859" s="40"/>
      <c r="CR859" s="40"/>
      <c r="CS859" s="40"/>
      <c r="CT859" s="40"/>
      <c r="CU859" s="40"/>
      <c r="CV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  <c r="BS860" s="40"/>
      <c r="BT860" s="40"/>
      <c r="BU860" s="40"/>
      <c r="BV860" s="40"/>
      <c r="BW860" s="40"/>
      <c r="BX860" s="40"/>
      <c r="BY860" s="40"/>
      <c r="BZ860" s="40"/>
      <c r="CA860" s="40"/>
      <c r="CB860" s="40"/>
      <c r="CC860" s="40"/>
      <c r="CD860" s="40"/>
      <c r="CE860" s="40"/>
      <c r="CF860" s="40"/>
      <c r="CG860" s="40"/>
      <c r="CH860" s="40"/>
      <c r="CI860" s="40"/>
      <c r="CJ860" s="40"/>
      <c r="CK860" s="40"/>
      <c r="CL860" s="40"/>
      <c r="CM860" s="40"/>
      <c r="CN860" s="40"/>
      <c r="CO860" s="40"/>
      <c r="CP860" s="40"/>
      <c r="CQ860" s="40"/>
      <c r="CR860" s="40"/>
      <c r="CS860" s="40"/>
      <c r="CT860" s="40"/>
      <c r="CU860" s="40"/>
      <c r="CV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  <c r="BS861" s="40"/>
      <c r="BT861" s="40"/>
      <c r="BU861" s="40"/>
      <c r="BV861" s="40"/>
      <c r="BW861" s="40"/>
      <c r="BX861" s="40"/>
      <c r="BY861" s="40"/>
      <c r="BZ861" s="40"/>
      <c r="CA861" s="40"/>
      <c r="CB861" s="40"/>
      <c r="CC861" s="40"/>
      <c r="CD861" s="40"/>
      <c r="CE861" s="40"/>
      <c r="CF861" s="40"/>
      <c r="CG861" s="40"/>
      <c r="CH861" s="40"/>
      <c r="CI861" s="40"/>
      <c r="CJ861" s="40"/>
      <c r="CK861" s="40"/>
      <c r="CL861" s="40"/>
      <c r="CM861" s="40"/>
      <c r="CN861" s="40"/>
      <c r="CO861" s="40"/>
      <c r="CP861" s="40"/>
      <c r="CQ861" s="40"/>
      <c r="CR861" s="40"/>
      <c r="CS861" s="40"/>
      <c r="CT861" s="40"/>
      <c r="CU861" s="40"/>
      <c r="CV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  <c r="BS862" s="40"/>
      <c r="BT862" s="40"/>
      <c r="BU862" s="40"/>
      <c r="BV862" s="40"/>
      <c r="BW862" s="40"/>
      <c r="BX862" s="40"/>
      <c r="BY862" s="40"/>
      <c r="BZ862" s="40"/>
      <c r="CA862" s="40"/>
      <c r="CB862" s="40"/>
      <c r="CC862" s="40"/>
      <c r="CD862" s="40"/>
      <c r="CE862" s="40"/>
      <c r="CF862" s="40"/>
      <c r="CG862" s="40"/>
      <c r="CH862" s="40"/>
      <c r="CI862" s="40"/>
      <c r="CJ862" s="40"/>
      <c r="CK862" s="40"/>
      <c r="CL862" s="40"/>
      <c r="CM862" s="40"/>
      <c r="CN862" s="40"/>
      <c r="CO862" s="40"/>
      <c r="CP862" s="40"/>
      <c r="CQ862" s="40"/>
      <c r="CR862" s="40"/>
      <c r="CS862" s="40"/>
      <c r="CT862" s="40"/>
      <c r="CU862" s="40"/>
      <c r="CV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  <c r="BS863" s="40"/>
      <c r="BT863" s="40"/>
      <c r="BU863" s="40"/>
      <c r="BV863" s="40"/>
      <c r="BW863" s="40"/>
      <c r="BX863" s="40"/>
      <c r="BY863" s="40"/>
      <c r="BZ863" s="40"/>
      <c r="CA863" s="40"/>
      <c r="CB863" s="40"/>
      <c r="CC863" s="40"/>
      <c r="CD863" s="40"/>
      <c r="CE863" s="40"/>
      <c r="CF863" s="40"/>
      <c r="CG863" s="40"/>
      <c r="CH863" s="40"/>
      <c r="CI863" s="40"/>
      <c r="CJ863" s="40"/>
      <c r="CK863" s="40"/>
      <c r="CL863" s="40"/>
      <c r="CM863" s="40"/>
      <c r="CN863" s="40"/>
      <c r="CO863" s="40"/>
      <c r="CP863" s="40"/>
      <c r="CQ863" s="40"/>
      <c r="CR863" s="40"/>
      <c r="CS863" s="40"/>
      <c r="CT863" s="40"/>
      <c r="CU863" s="40"/>
      <c r="CV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  <c r="BS864" s="40"/>
      <c r="BT864" s="40"/>
      <c r="BU864" s="40"/>
      <c r="BV864" s="40"/>
      <c r="BW864" s="40"/>
      <c r="BX864" s="40"/>
      <c r="BY864" s="40"/>
      <c r="BZ864" s="40"/>
      <c r="CA864" s="40"/>
      <c r="CB864" s="40"/>
      <c r="CC864" s="40"/>
      <c r="CD864" s="40"/>
      <c r="CE864" s="40"/>
      <c r="CF864" s="40"/>
      <c r="CG864" s="40"/>
      <c r="CH864" s="40"/>
      <c r="CI864" s="40"/>
      <c r="CJ864" s="40"/>
      <c r="CK864" s="40"/>
      <c r="CL864" s="40"/>
      <c r="CM864" s="40"/>
      <c r="CN864" s="40"/>
      <c r="CO864" s="40"/>
      <c r="CP864" s="40"/>
      <c r="CQ864" s="40"/>
      <c r="CR864" s="40"/>
      <c r="CS864" s="40"/>
      <c r="CT864" s="40"/>
      <c r="CU864" s="40"/>
      <c r="CV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  <c r="BS865" s="40"/>
      <c r="BT865" s="40"/>
      <c r="BU865" s="40"/>
      <c r="BV865" s="40"/>
      <c r="BW865" s="40"/>
      <c r="BX865" s="40"/>
      <c r="BY865" s="40"/>
      <c r="BZ865" s="40"/>
      <c r="CA865" s="40"/>
      <c r="CB865" s="40"/>
      <c r="CC865" s="40"/>
      <c r="CD865" s="40"/>
      <c r="CE865" s="40"/>
      <c r="CF865" s="40"/>
      <c r="CG865" s="40"/>
      <c r="CH865" s="40"/>
      <c r="CI865" s="40"/>
      <c r="CJ865" s="40"/>
      <c r="CK865" s="40"/>
      <c r="CL865" s="40"/>
      <c r="CM865" s="40"/>
      <c r="CN865" s="40"/>
      <c r="CO865" s="40"/>
      <c r="CP865" s="40"/>
      <c r="CQ865" s="40"/>
      <c r="CR865" s="40"/>
      <c r="CS865" s="40"/>
      <c r="CT865" s="40"/>
      <c r="CU865" s="40"/>
      <c r="CV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  <c r="BU866" s="40"/>
      <c r="BV866" s="40"/>
      <c r="BW866" s="40"/>
      <c r="BX866" s="40"/>
      <c r="BY866" s="40"/>
      <c r="BZ866" s="40"/>
      <c r="CA866" s="40"/>
      <c r="CB866" s="40"/>
      <c r="CC866" s="40"/>
      <c r="CD866" s="40"/>
      <c r="CE866" s="40"/>
      <c r="CF866" s="40"/>
      <c r="CG866" s="40"/>
      <c r="CH866" s="40"/>
      <c r="CI866" s="40"/>
      <c r="CJ866" s="40"/>
      <c r="CK866" s="40"/>
      <c r="CL866" s="40"/>
      <c r="CM866" s="40"/>
      <c r="CN866" s="40"/>
      <c r="CO866" s="40"/>
      <c r="CP866" s="40"/>
      <c r="CQ866" s="40"/>
      <c r="CR866" s="40"/>
      <c r="CS866" s="40"/>
      <c r="CT866" s="40"/>
      <c r="CU866" s="40"/>
      <c r="CV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  <c r="BS867" s="40"/>
      <c r="BT867" s="40"/>
      <c r="BU867" s="40"/>
      <c r="BV867" s="40"/>
      <c r="BW867" s="40"/>
      <c r="BX867" s="40"/>
      <c r="BY867" s="40"/>
      <c r="BZ867" s="40"/>
      <c r="CA867" s="40"/>
      <c r="CB867" s="40"/>
      <c r="CC867" s="40"/>
      <c r="CD867" s="40"/>
      <c r="CE867" s="40"/>
      <c r="CF867" s="40"/>
      <c r="CG867" s="40"/>
      <c r="CH867" s="40"/>
      <c r="CI867" s="40"/>
      <c r="CJ867" s="40"/>
      <c r="CK867" s="40"/>
      <c r="CL867" s="40"/>
      <c r="CM867" s="40"/>
      <c r="CN867" s="40"/>
      <c r="CO867" s="40"/>
      <c r="CP867" s="40"/>
      <c r="CQ867" s="40"/>
      <c r="CR867" s="40"/>
      <c r="CS867" s="40"/>
      <c r="CT867" s="40"/>
      <c r="CU867" s="40"/>
      <c r="CV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  <c r="BS868" s="40"/>
      <c r="BT868" s="40"/>
      <c r="BU868" s="40"/>
      <c r="BV868" s="40"/>
      <c r="BW868" s="40"/>
      <c r="BX868" s="40"/>
      <c r="BY868" s="40"/>
      <c r="BZ868" s="40"/>
      <c r="CA868" s="40"/>
      <c r="CB868" s="40"/>
      <c r="CC868" s="40"/>
      <c r="CD868" s="40"/>
      <c r="CE868" s="40"/>
      <c r="CF868" s="40"/>
      <c r="CG868" s="40"/>
      <c r="CH868" s="40"/>
      <c r="CI868" s="40"/>
      <c r="CJ868" s="40"/>
      <c r="CK868" s="40"/>
      <c r="CL868" s="40"/>
      <c r="CM868" s="40"/>
      <c r="CN868" s="40"/>
      <c r="CO868" s="40"/>
      <c r="CP868" s="40"/>
      <c r="CQ868" s="40"/>
      <c r="CR868" s="40"/>
      <c r="CS868" s="40"/>
      <c r="CT868" s="40"/>
      <c r="CU868" s="40"/>
      <c r="CV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  <c r="BS869" s="40"/>
      <c r="BT869" s="40"/>
      <c r="BU869" s="40"/>
      <c r="BV869" s="40"/>
      <c r="BW869" s="40"/>
      <c r="BX869" s="40"/>
      <c r="BY869" s="40"/>
      <c r="BZ869" s="40"/>
      <c r="CA869" s="40"/>
      <c r="CB869" s="40"/>
      <c r="CC869" s="40"/>
      <c r="CD869" s="40"/>
      <c r="CE869" s="40"/>
      <c r="CF869" s="40"/>
      <c r="CG869" s="40"/>
      <c r="CH869" s="40"/>
      <c r="CI869" s="40"/>
      <c r="CJ869" s="40"/>
      <c r="CK869" s="40"/>
      <c r="CL869" s="40"/>
      <c r="CM869" s="40"/>
      <c r="CN869" s="40"/>
      <c r="CO869" s="40"/>
      <c r="CP869" s="40"/>
      <c r="CQ869" s="40"/>
      <c r="CR869" s="40"/>
      <c r="CS869" s="40"/>
      <c r="CT869" s="40"/>
      <c r="CU869" s="40"/>
      <c r="CV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  <c r="BU870" s="40"/>
      <c r="BV870" s="40"/>
      <c r="BW870" s="40"/>
      <c r="BX870" s="40"/>
      <c r="BY870" s="40"/>
      <c r="BZ870" s="40"/>
      <c r="CA870" s="40"/>
      <c r="CB870" s="40"/>
      <c r="CC870" s="40"/>
      <c r="CD870" s="40"/>
      <c r="CE870" s="40"/>
      <c r="CF870" s="40"/>
      <c r="CG870" s="40"/>
      <c r="CH870" s="40"/>
      <c r="CI870" s="40"/>
      <c r="CJ870" s="40"/>
      <c r="CK870" s="40"/>
      <c r="CL870" s="40"/>
      <c r="CM870" s="40"/>
      <c r="CN870" s="40"/>
      <c r="CO870" s="40"/>
      <c r="CP870" s="40"/>
      <c r="CQ870" s="40"/>
      <c r="CR870" s="40"/>
      <c r="CS870" s="40"/>
      <c r="CT870" s="40"/>
      <c r="CU870" s="40"/>
      <c r="CV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  <c r="BS871" s="40"/>
      <c r="BT871" s="40"/>
      <c r="BU871" s="40"/>
      <c r="BV871" s="40"/>
      <c r="BW871" s="40"/>
      <c r="BX871" s="40"/>
      <c r="BY871" s="40"/>
      <c r="BZ871" s="40"/>
      <c r="CA871" s="40"/>
      <c r="CB871" s="40"/>
      <c r="CC871" s="40"/>
      <c r="CD871" s="40"/>
      <c r="CE871" s="40"/>
      <c r="CF871" s="40"/>
      <c r="CG871" s="40"/>
      <c r="CH871" s="40"/>
      <c r="CI871" s="40"/>
      <c r="CJ871" s="40"/>
      <c r="CK871" s="40"/>
      <c r="CL871" s="40"/>
      <c r="CM871" s="40"/>
      <c r="CN871" s="40"/>
      <c r="CO871" s="40"/>
      <c r="CP871" s="40"/>
      <c r="CQ871" s="40"/>
      <c r="CR871" s="40"/>
      <c r="CS871" s="40"/>
      <c r="CT871" s="40"/>
      <c r="CU871" s="40"/>
      <c r="CV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  <c r="BS872" s="40"/>
      <c r="BT872" s="40"/>
      <c r="BU872" s="40"/>
      <c r="BV872" s="40"/>
      <c r="BW872" s="40"/>
      <c r="BX872" s="40"/>
      <c r="BY872" s="40"/>
      <c r="BZ872" s="40"/>
      <c r="CA872" s="40"/>
      <c r="CB872" s="40"/>
      <c r="CC872" s="40"/>
      <c r="CD872" s="40"/>
      <c r="CE872" s="40"/>
      <c r="CF872" s="40"/>
      <c r="CG872" s="40"/>
      <c r="CH872" s="40"/>
      <c r="CI872" s="40"/>
      <c r="CJ872" s="40"/>
      <c r="CK872" s="40"/>
      <c r="CL872" s="40"/>
      <c r="CM872" s="40"/>
      <c r="CN872" s="40"/>
      <c r="CO872" s="40"/>
      <c r="CP872" s="40"/>
      <c r="CQ872" s="40"/>
      <c r="CR872" s="40"/>
      <c r="CS872" s="40"/>
      <c r="CT872" s="40"/>
      <c r="CU872" s="40"/>
      <c r="CV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  <c r="BS873" s="40"/>
      <c r="BT873" s="40"/>
      <c r="BU873" s="40"/>
      <c r="BV873" s="40"/>
      <c r="BW873" s="40"/>
      <c r="BX873" s="40"/>
      <c r="BY873" s="40"/>
      <c r="BZ873" s="40"/>
      <c r="CA873" s="40"/>
      <c r="CB873" s="40"/>
      <c r="CC873" s="40"/>
      <c r="CD873" s="40"/>
      <c r="CE873" s="40"/>
      <c r="CF873" s="40"/>
      <c r="CG873" s="40"/>
      <c r="CH873" s="40"/>
      <c r="CI873" s="40"/>
      <c r="CJ873" s="40"/>
      <c r="CK873" s="40"/>
      <c r="CL873" s="40"/>
      <c r="CM873" s="40"/>
      <c r="CN873" s="40"/>
      <c r="CO873" s="40"/>
      <c r="CP873" s="40"/>
      <c r="CQ873" s="40"/>
      <c r="CR873" s="40"/>
      <c r="CS873" s="40"/>
      <c r="CT873" s="40"/>
      <c r="CU873" s="40"/>
      <c r="CV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  <c r="BS874" s="40"/>
      <c r="BT874" s="40"/>
      <c r="BU874" s="40"/>
      <c r="BV874" s="40"/>
      <c r="BW874" s="40"/>
      <c r="BX874" s="40"/>
      <c r="BY874" s="40"/>
      <c r="BZ874" s="40"/>
      <c r="CA874" s="40"/>
      <c r="CB874" s="40"/>
      <c r="CC874" s="40"/>
      <c r="CD874" s="40"/>
      <c r="CE874" s="40"/>
      <c r="CF874" s="40"/>
      <c r="CG874" s="40"/>
      <c r="CH874" s="40"/>
      <c r="CI874" s="40"/>
      <c r="CJ874" s="40"/>
      <c r="CK874" s="40"/>
      <c r="CL874" s="40"/>
      <c r="CM874" s="40"/>
      <c r="CN874" s="40"/>
      <c r="CO874" s="40"/>
      <c r="CP874" s="40"/>
      <c r="CQ874" s="40"/>
      <c r="CR874" s="40"/>
      <c r="CS874" s="40"/>
      <c r="CT874" s="40"/>
      <c r="CU874" s="40"/>
      <c r="CV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  <c r="BS875" s="40"/>
      <c r="BT875" s="40"/>
      <c r="BU875" s="40"/>
      <c r="BV875" s="40"/>
      <c r="BW875" s="40"/>
      <c r="BX875" s="40"/>
      <c r="BY875" s="40"/>
      <c r="BZ875" s="40"/>
      <c r="CA875" s="40"/>
      <c r="CB875" s="40"/>
      <c r="CC875" s="40"/>
      <c r="CD875" s="40"/>
      <c r="CE875" s="40"/>
      <c r="CF875" s="40"/>
      <c r="CG875" s="40"/>
      <c r="CH875" s="40"/>
      <c r="CI875" s="40"/>
      <c r="CJ875" s="40"/>
      <c r="CK875" s="40"/>
      <c r="CL875" s="40"/>
      <c r="CM875" s="40"/>
      <c r="CN875" s="40"/>
      <c r="CO875" s="40"/>
      <c r="CP875" s="40"/>
      <c r="CQ875" s="40"/>
      <c r="CR875" s="40"/>
      <c r="CS875" s="40"/>
      <c r="CT875" s="40"/>
      <c r="CU875" s="40"/>
      <c r="CV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  <c r="BS876" s="40"/>
      <c r="BT876" s="40"/>
      <c r="BU876" s="40"/>
      <c r="BV876" s="40"/>
      <c r="BW876" s="40"/>
      <c r="BX876" s="40"/>
      <c r="BY876" s="40"/>
      <c r="BZ876" s="40"/>
      <c r="CA876" s="40"/>
      <c r="CB876" s="40"/>
      <c r="CC876" s="40"/>
      <c r="CD876" s="40"/>
      <c r="CE876" s="40"/>
      <c r="CF876" s="40"/>
      <c r="CG876" s="40"/>
      <c r="CH876" s="40"/>
      <c r="CI876" s="40"/>
      <c r="CJ876" s="40"/>
      <c r="CK876" s="40"/>
      <c r="CL876" s="40"/>
      <c r="CM876" s="40"/>
      <c r="CN876" s="40"/>
      <c r="CO876" s="40"/>
      <c r="CP876" s="40"/>
      <c r="CQ876" s="40"/>
      <c r="CR876" s="40"/>
      <c r="CS876" s="40"/>
      <c r="CT876" s="40"/>
      <c r="CU876" s="40"/>
      <c r="CV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  <c r="BU877" s="40"/>
      <c r="BV877" s="40"/>
      <c r="BW877" s="40"/>
      <c r="BX877" s="40"/>
      <c r="BY877" s="40"/>
      <c r="BZ877" s="40"/>
      <c r="CA877" s="40"/>
      <c r="CB877" s="40"/>
      <c r="CC877" s="40"/>
      <c r="CD877" s="40"/>
      <c r="CE877" s="40"/>
      <c r="CF877" s="40"/>
      <c r="CG877" s="40"/>
      <c r="CH877" s="40"/>
      <c r="CI877" s="40"/>
      <c r="CJ877" s="40"/>
      <c r="CK877" s="40"/>
      <c r="CL877" s="40"/>
      <c r="CM877" s="40"/>
      <c r="CN877" s="40"/>
      <c r="CO877" s="40"/>
      <c r="CP877" s="40"/>
      <c r="CQ877" s="40"/>
      <c r="CR877" s="40"/>
      <c r="CS877" s="40"/>
      <c r="CT877" s="40"/>
      <c r="CU877" s="40"/>
      <c r="CV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  <c r="BU878" s="40"/>
      <c r="BV878" s="40"/>
      <c r="BW878" s="40"/>
      <c r="BX878" s="40"/>
      <c r="BY878" s="40"/>
      <c r="BZ878" s="40"/>
      <c r="CA878" s="40"/>
      <c r="CB878" s="40"/>
      <c r="CC878" s="40"/>
      <c r="CD878" s="40"/>
      <c r="CE878" s="40"/>
      <c r="CF878" s="40"/>
      <c r="CG878" s="40"/>
      <c r="CH878" s="40"/>
      <c r="CI878" s="40"/>
      <c r="CJ878" s="40"/>
      <c r="CK878" s="40"/>
      <c r="CL878" s="40"/>
      <c r="CM878" s="40"/>
      <c r="CN878" s="40"/>
      <c r="CO878" s="40"/>
      <c r="CP878" s="40"/>
      <c r="CQ878" s="40"/>
      <c r="CR878" s="40"/>
      <c r="CS878" s="40"/>
      <c r="CT878" s="40"/>
      <c r="CU878" s="40"/>
      <c r="CV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  <c r="BW879" s="40"/>
      <c r="BX879" s="40"/>
      <c r="BY879" s="40"/>
      <c r="BZ879" s="40"/>
      <c r="CA879" s="40"/>
      <c r="CB879" s="40"/>
      <c r="CC879" s="40"/>
      <c r="CD879" s="40"/>
      <c r="CE879" s="40"/>
      <c r="CF879" s="40"/>
      <c r="CG879" s="40"/>
      <c r="CH879" s="40"/>
      <c r="CI879" s="40"/>
      <c r="CJ879" s="40"/>
      <c r="CK879" s="40"/>
      <c r="CL879" s="40"/>
      <c r="CM879" s="40"/>
      <c r="CN879" s="40"/>
      <c r="CO879" s="40"/>
      <c r="CP879" s="40"/>
      <c r="CQ879" s="40"/>
      <c r="CR879" s="40"/>
      <c r="CS879" s="40"/>
      <c r="CT879" s="40"/>
      <c r="CU879" s="40"/>
      <c r="CV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  <c r="BS880" s="40"/>
      <c r="BT880" s="40"/>
      <c r="BU880" s="40"/>
      <c r="BV880" s="40"/>
      <c r="BW880" s="40"/>
      <c r="BX880" s="40"/>
      <c r="BY880" s="40"/>
      <c r="BZ880" s="40"/>
      <c r="CA880" s="40"/>
      <c r="CB880" s="40"/>
      <c r="CC880" s="40"/>
      <c r="CD880" s="40"/>
      <c r="CE880" s="40"/>
      <c r="CF880" s="40"/>
      <c r="CG880" s="40"/>
      <c r="CH880" s="40"/>
      <c r="CI880" s="40"/>
      <c r="CJ880" s="40"/>
      <c r="CK880" s="40"/>
      <c r="CL880" s="40"/>
      <c r="CM880" s="40"/>
      <c r="CN880" s="40"/>
      <c r="CO880" s="40"/>
      <c r="CP880" s="40"/>
      <c r="CQ880" s="40"/>
      <c r="CR880" s="40"/>
      <c r="CS880" s="40"/>
      <c r="CT880" s="40"/>
      <c r="CU880" s="40"/>
      <c r="CV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  <c r="BS881" s="40"/>
      <c r="BT881" s="40"/>
      <c r="BU881" s="40"/>
      <c r="BV881" s="40"/>
      <c r="BW881" s="40"/>
      <c r="BX881" s="40"/>
      <c r="BY881" s="40"/>
      <c r="BZ881" s="40"/>
      <c r="CA881" s="40"/>
      <c r="CB881" s="40"/>
      <c r="CC881" s="40"/>
      <c r="CD881" s="40"/>
      <c r="CE881" s="40"/>
      <c r="CF881" s="40"/>
      <c r="CG881" s="40"/>
      <c r="CH881" s="40"/>
      <c r="CI881" s="40"/>
      <c r="CJ881" s="40"/>
      <c r="CK881" s="40"/>
      <c r="CL881" s="40"/>
      <c r="CM881" s="40"/>
      <c r="CN881" s="40"/>
      <c r="CO881" s="40"/>
      <c r="CP881" s="40"/>
      <c r="CQ881" s="40"/>
      <c r="CR881" s="40"/>
      <c r="CS881" s="40"/>
      <c r="CT881" s="40"/>
      <c r="CU881" s="40"/>
      <c r="CV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  <c r="BS882" s="40"/>
      <c r="BT882" s="40"/>
      <c r="BU882" s="40"/>
      <c r="BV882" s="40"/>
      <c r="BW882" s="40"/>
      <c r="BX882" s="40"/>
      <c r="BY882" s="40"/>
      <c r="BZ882" s="40"/>
      <c r="CA882" s="40"/>
      <c r="CB882" s="40"/>
      <c r="CC882" s="40"/>
      <c r="CD882" s="40"/>
      <c r="CE882" s="40"/>
      <c r="CF882" s="40"/>
      <c r="CG882" s="40"/>
      <c r="CH882" s="40"/>
      <c r="CI882" s="40"/>
      <c r="CJ882" s="40"/>
      <c r="CK882" s="40"/>
      <c r="CL882" s="40"/>
      <c r="CM882" s="40"/>
      <c r="CN882" s="40"/>
      <c r="CO882" s="40"/>
      <c r="CP882" s="40"/>
      <c r="CQ882" s="40"/>
      <c r="CR882" s="40"/>
      <c r="CS882" s="40"/>
      <c r="CT882" s="40"/>
      <c r="CU882" s="40"/>
      <c r="CV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  <c r="BS883" s="40"/>
      <c r="BT883" s="40"/>
      <c r="BU883" s="40"/>
      <c r="BV883" s="40"/>
      <c r="BW883" s="40"/>
      <c r="BX883" s="40"/>
      <c r="BY883" s="40"/>
      <c r="BZ883" s="40"/>
      <c r="CA883" s="40"/>
      <c r="CB883" s="40"/>
      <c r="CC883" s="40"/>
      <c r="CD883" s="40"/>
      <c r="CE883" s="40"/>
      <c r="CF883" s="40"/>
      <c r="CG883" s="40"/>
      <c r="CH883" s="40"/>
      <c r="CI883" s="40"/>
      <c r="CJ883" s="40"/>
      <c r="CK883" s="40"/>
      <c r="CL883" s="40"/>
      <c r="CM883" s="40"/>
      <c r="CN883" s="40"/>
      <c r="CO883" s="40"/>
      <c r="CP883" s="40"/>
      <c r="CQ883" s="40"/>
      <c r="CR883" s="40"/>
      <c r="CS883" s="40"/>
      <c r="CT883" s="40"/>
      <c r="CU883" s="40"/>
      <c r="CV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  <c r="BU884" s="40"/>
      <c r="BV884" s="40"/>
      <c r="BW884" s="40"/>
      <c r="BX884" s="40"/>
      <c r="BY884" s="40"/>
      <c r="BZ884" s="40"/>
      <c r="CA884" s="40"/>
      <c r="CB884" s="40"/>
      <c r="CC884" s="40"/>
      <c r="CD884" s="40"/>
      <c r="CE884" s="40"/>
      <c r="CF884" s="40"/>
      <c r="CG884" s="40"/>
      <c r="CH884" s="40"/>
      <c r="CI884" s="40"/>
      <c r="CJ884" s="40"/>
      <c r="CK884" s="40"/>
      <c r="CL884" s="40"/>
      <c r="CM884" s="40"/>
      <c r="CN884" s="40"/>
      <c r="CO884" s="40"/>
      <c r="CP884" s="40"/>
      <c r="CQ884" s="40"/>
      <c r="CR884" s="40"/>
      <c r="CS884" s="40"/>
      <c r="CT884" s="40"/>
      <c r="CU884" s="40"/>
      <c r="CV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  <c r="BS885" s="40"/>
      <c r="BT885" s="40"/>
      <c r="BU885" s="40"/>
      <c r="BV885" s="40"/>
      <c r="BW885" s="40"/>
      <c r="BX885" s="40"/>
      <c r="BY885" s="40"/>
      <c r="BZ885" s="40"/>
      <c r="CA885" s="40"/>
      <c r="CB885" s="40"/>
      <c r="CC885" s="40"/>
      <c r="CD885" s="40"/>
      <c r="CE885" s="40"/>
      <c r="CF885" s="40"/>
      <c r="CG885" s="40"/>
      <c r="CH885" s="40"/>
      <c r="CI885" s="40"/>
      <c r="CJ885" s="40"/>
      <c r="CK885" s="40"/>
      <c r="CL885" s="40"/>
      <c r="CM885" s="40"/>
      <c r="CN885" s="40"/>
      <c r="CO885" s="40"/>
      <c r="CP885" s="40"/>
      <c r="CQ885" s="40"/>
      <c r="CR885" s="40"/>
      <c r="CS885" s="40"/>
      <c r="CT885" s="40"/>
      <c r="CU885" s="40"/>
      <c r="CV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  <c r="BS886" s="40"/>
      <c r="BT886" s="40"/>
      <c r="BU886" s="40"/>
      <c r="BV886" s="40"/>
      <c r="BW886" s="40"/>
      <c r="BX886" s="40"/>
      <c r="BY886" s="40"/>
      <c r="BZ886" s="40"/>
      <c r="CA886" s="40"/>
      <c r="CB886" s="40"/>
      <c r="CC886" s="40"/>
      <c r="CD886" s="40"/>
      <c r="CE886" s="40"/>
      <c r="CF886" s="40"/>
      <c r="CG886" s="40"/>
      <c r="CH886" s="40"/>
      <c r="CI886" s="40"/>
      <c r="CJ886" s="40"/>
      <c r="CK886" s="40"/>
      <c r="CL886" s="40"/>
      <c r="CM886" s="40"/>
      <c r="CN886" s="40"/>
      <c r="CO886" s="40"/>
      <c r="CP886" s="40"/>
      <c r="CQ886" s="40"/>
      <c r="CR886" s="40"/>
      <c r="CS886" s="40"/>
      <c r="CT886" s="40"/>
      <c r="CU886" s="40"/>
      <c r="CV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  <c r="BS887" s="40"/>
      <c r="BT887" s="40"/>
      <c r="BU887" s="40"/>
      <c r="BV887" s="40"/>
      <c r="BW887" s="40"/>
      <c r="BX887" s="40"/>
      <c r="BY887" s="40"/>
      <c r="BZ887" s="40"/>
      <c r="CA887" s="40"/>
      <c r="CB887" s="40"/>
      <c r="CC887" s="40"/>
      <c r="CD887" s="40"/>
      <c r="CE887" s="40"/>
      <c r="CF887" s="40"/>
      <c r="CG887" s="40"/>
      <c r="CH887" s="40"/>
      <c r="CI887" s="40"/>
      <c r="CJ887" s="40"/>
      <c r="CK887" s="40"/>
      <c r="CL887" s="40"/>
      <c r="CM887" s="40"/>
      <c r="CN887" s="40"/>
      <c r="CO887" s="40"/>
      <c r="CP887" s="40"/>
      <c r="CQ887" s="40"/>
      <c r="CR887" s="40"/>
      <c r="CS887" s="40"/>
      <c r="CT887" s="40"/>
      <c r="CU887" s="40"/>
      <c r="CV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  <c r="BS888" s="40"/>
      <c r="BT888" s="40"/>
      <c r="BU888" s="40"/>
      <c r="BV888" s="40"/>
      <c r="BW888" s="40"/>
      <c r="BX888" s="40"/>
      <c r="BY888" s="40"/>
      <c r="BZ888" s="40"/>
      <c r="CA888" s="40"/>
      <c r="CB888" s="40"/>
      <c r="CC888" s="40"/>
      <c r="CD888" s="40"/>
      <c r="CE888" s="40"/>
      <c r="CF888" s="40"/>
      <c r="CG888" s="40"/>
      <c r="CH888" s="40"/>
      <c r="CI888" s="40"/>
      <c r="CJ888" s="40"/>
      <c r="CK888" s="40"/>
      <c r="CL888" s="40"/>
      <c r="CM888" s="40"/>
      <c r="CN888" s="40"/>
      <c r="CO888" s="40"/>
      <c r="CP888" s="40"/>
      <c r="CQ888" s="40"/>
      <c r="CR888" s="40"/>
      <c r="CS888" s="40"/>
      <c r="CT888" s="40"/>
      <c r="CU888" s="40"/>
      <c r="CV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  <c r="BS889" s="40"/>
      <c r="BT889" s="40"/>
      <c r="BU889" s="40"/>
      <c r="BV889" s="40"/>
      <c r="BW889" s="40"/>
      <c r="BX889" s="40"/>
      <c r="BY889" s="40"/>
      <c r="BZ889" s="40"/>
      <c r="CA889" s="40"/>
      <c r="CB889" s="40"/>
      <c r="CC889" s="40"/>
      <c r="CD889" s="40"/>
      <c r="CE889" s="40"/>
      <c r="CF889" s="40"/>
      <c r="CG889" s="40"/>
      <c r="CH889" s="40"/>
      <c r="CI889" s="40"/>
      <c r="CJ889" s="40"/>
      <c r="CK889" s="40"/>
      <c r="CL889" s="40"/>
      <c r="CM889" s="40"/>
      <c r="CN889" s="40"/>
      <c r="CO889" s="40"/>
      <c r="CP889" s="40"/>
      <c r="CQ889" s="40"/>
      <c r="CR889" s="40"/>
      <c r="CS889" s="40"/>
      <c r="CT889" s="40"/>
      <c r="CU889" s="40"/>
      <c r="CV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  <c r="BS890" s="40"/>
      <c r="BT890" s="40"/>
      <c r="BU890" s="40"/>
      <c r="BV890" s="40"/>
      <c r="BW890" s="40"/>
      <c r="BX890" s="40"/>
      <c r="BY890" s="40"/>
      <c r="BZ890" s="40"/>
      <c r="CA890" s="40"/>
      <c r="CB890" s="40"/>
      <c r="CC890" s="40"/>
      <c r="CD890" s="40"/>
      <c r="CE890" s="40"/>
      <c r="CF890" s="40"/>
      <c r="CG890" s="40"/>
      <c r="CH890" s="40"/>
      <c r="CI890" s="40"/>
      <c r="CJ890" s="40"/>
      <c r="CK890" s="40"/>
      <c r="CL890" s="40"/>
      <c r="CM890" s="40"/>
      <c r="CN890" s="40"/>
      <c r="CO890" s="40"/>
      <c r="CP890" s="40"/>
      <c r="CQ890" s="40"/>
      <c r="CR890" s="40"/>
      <c r="CS890" s="40"/>
      <c r="CT890" s="40"/>
      <c r="CU890" s="40"/>
      <c r="CV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  <c r="BS891" s="40"/>
      <c r="BT891" s="40"/>
      <c r="BU891" s="40"/>
      <c r="BV891" s="40"/>
      <c r="BW891" s="40"/>
      <c r="BX891" s="40"/>
      <c r="BY891" s="40"/>
      <c r="BZ891" s="40"/>
      <c r="CA891" s="40"/>
      <c r="CB891" s="40"/>
      <c r="CC891" s="40"/>
      <c r="CD891" s="40"/>
      <c r="CE891" s="40"/>
      <c r="CF891" s="40"/>
      <c r="CG891" s="40"/>
      <c r="CH891" s="40"/>
      <c r="CI891" s="40"/>
      <c r="CJ891" s="40"/>
      <c r="CK891" s="40"/>
      <c r="CL891" s="40"/>
      <c r="CM891" s="40"/>
      <c r="CN891" s="40"/>
      <c r="CO891" s="40"/>
      <c r="CP891" s="40"/>
      <c r="CQ891" s="40"/>
      <c r="CR891" s="40"/>
      <c r="CS891" s="40"/>
      <c r="CT891" s="40"/>
      <c r="CU891" s="40"/>
      <c r="CV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  <c r="BS892" s="40"/>
      <c r="BT892" s="40"/>
      <c r="BU892" s="40"/>
      <c r="BV892" s="40"/>
      <c r="BW892" s="40"/>
      <c r="BX892" s="40"/>
      <c r="BY892" s="40"/>
      <c r="BZ892" s="40"/>
      <c r="CA892" s="40"/>
      <c r="CB892" s="40"/>
      <c r="CC892" s="40"/>
      <c r="CD892" s="40"/>
      <c r="CE892" s="40"/>
      <c r="CF892" s="40"/>
      <c r="CG892" s="40"/>
      <c r="CH892" s="40"/>
      <c r="CI892" s="40"/>
      <c r="CJ892" s="40"/>
      <c r="CK892" s="40"/>
      <c r="CL892" s="40"/>
      <c r="CM892" s="40"/>
      <c r="CN892" s="40"/>
      <c r="CO892" s="40"/>
      <c r="CP892" s="40"/>
      <c r="CQ892" s="40"/>
      <c r="CR892" s="40"/>
      <c r="CS892" s="40"/>
      <c r="CT892" s="40"/>
      <c r="CU892" s="40"/>
      <c r="CV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  <c r="BS893" s="40"/>
      <c r="BT893" s="40"/>
      <c r="BU893" s="40"/>
      <c r="BV893" s="40"/>
      <c r="BW893" s="40"/>
      <c r="BX893" s="40"/>
      <c r="BY893" s="40"/>
      <c r="BZ893" s="40"/>
      <c r="CA893" s="40"/>
      <c r="CB893" s="40"/>
      <c r="CC893" s="40"/>
      <c r="CD893" s="40"/>
      <c r="CE893" s="40"/>
      <c r="CF893" s="40"/>
      <c r="CG893" s="40"/>
      <c r="CH893" s="40"/>
      <c r="CI893" s="40"/>
      <c r="CJ893" s="40"/>
      <c r="CK893" s="40"/>
      <c r="CL893" s="40"/>
      <c r="CM893" s="40"/>
      <c r="CN893" s="40"/>
      <c r="CO893" s="40"/>
      <c r="CP893" s="40"/>
      <c r="CQ893" s="40"/>
      <c r="CR893" s="40"/>
      <c r="CS893" s="40"/>
      <c r="CT893" s="40"/>
      <c r="CU893" s="40"/>
      <c r="CV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  <c r="BS894" s="40"/>
      <c r="BT894" s="40"/>
      <c r="BU894" s="40"/>
      <c r="BV894" s="40"/>
      <c r="BW894" s="40"/>
      <c r="BX894" s="40"/>
      <c r="BY894" s="40"/>
      <c r="BZ894" s="40"/>
      <c r="CA894" s="40"/>
      <c r="CB894" s="40"/>
      <c r="CC894" s="40"/>
      <c r="CD894" s="40"/>
      <c r="CE894" s="40"/>
      <c r="CF894" s="40"/>
      <c r="CG894" s="40"/>
      <c r="CH894" s="40"/>
      <c r="CI894" s="40"/>
      <c r="CJ894" s="40"/>
      <c r="CK894" s="40"/>
      <c r="CL894" s="40"/>
      <c r="CM894" s="40"/>
      <c r="CN894" s="40"/>
      <c r="CO894" s="40"/>
      <c r="CP894" s="40"/>
      <c r="CQ894" s="40"/>
      <c r="CR894" s="40"/>
      <c r="CS894" s="40"/>
      <c r="CT894" s="40"/>
      <c r="CU894" s="40"/>
      <c r="CV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  <c r="BS895" s="40"/>
      <c r="BT895" s="40"/>
      <c r="BU895" s="40"/>
      <c r="BV895" s="40"/>
      <c r="BW895" s="40"/>
      <c r="BX895" s="40"/>
      <c r="BY895" s="40"/>
      <c r="BZ895" s="40"/>
      <c r="CA895" s="40"/>
      <c r="CB895" s="40"/>
      <c r="CC895" s="40"/>
      <c r="CD895" s="40"/>
      <c r="CE895" s="40"/>
      <c r="CF895" s="40"/>
      <c r="CG895" s="40"/>
      <c r="CH895" s="40"/>
      <c r="CI895" s="40"/>
      <c r="CJ895" s="40"/>
      <c r="CK895" s="40"/>
      <c r="CL895" s="40"/>
      <c r="CM895" s="40"/>
      <c r="CN895" s="40"/>
      <c r="CO895" s="40"/>
      <c r="CP895" s="40"/>
      <c r="CQ895" s="40"/>
      <c r="CR895" s="40"/>
      <c r="CS895" s="40"/>
      <c r="CT895" s="40"/>
      <c r="CU895" s="40"/>
      <c r="CV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  <c r="BS896" s="40"/>
      <c r="BT896" s="40"/>
      <c r="BU896" s="40"/>
      <c r="BV896" s="40"/>
      <c r="BW896" s="40"/>
      <c r="BX896" s="40"/>
      <c r="BY896" s="40"/>
      <c r="BZ896" s="40"/>
      <c r="CA896" s="40"/>
      <c r="CB896" s="40"/>
      <c r="CC896" s="40"/>
      <c r="CD896" s="40"/>
      <c r="CE896" s="40"/>
      <c r="CF896" s="40"/>
      <c r="CG896" s="40"/>
      <c r="CH896" s="40"/>
      <c r="CI896" s="40"/>
      <c r="CJ896" s="40"/>
      <c r="CK896" s="40"/>
      <c r="CL896" s="40"/>
      <c r="CM896" s="40"/>
      <c r="CN896" s="40"/>
      <c r="CO896" s="40"/>
      <c r="CP896" s="40"/>
      <c r="CQ896" s="40"/>
      <c r="CR896" s="40"/>
      <c r="CS896" s="40"/>
      <c r="CT896" s="40"/>
      <c r="CU896" s="40"/>
      <c r="CV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  <c r="BS897" s="40"/>
      <c r="BT897" s="40"/>
      <c r="BU897" s="40"/>
      <c r="BV897" s="40"/>
      <c r="BW897" s="40"/>
      <c r="BX897" s="40"/>
      <c r="BY897" s="40"/>
      <c r="BZ897" s="40"/>
      <c r="CA897" s="40"/>
      <c r="CB897" s="40"/>
      <c r="CC897" s="40"/>
      <c r="CD897" s="40"/>
      <c r="CE897" s="40"/>
      <c r="CF897" s="40"/>
      <c r="CG897" s="40"/>
      <c r="CH897" s="40"/>
      <c r="CI897" s="40"/>
      <c r="CJ897" s="40"/>
      <c r="CK897" s="40"/>
      <c r="CL897" s="40"/>
      <c r="CM897" s="40"/>
      <c r="CN897" s="40"/>
      <c r="CO897" s="40"/>
      <c r="CP897" s="40"/>
      <c r="CQ897" s="40"/>
      <c r="CR897" s="40"/>
      <c r="CS897" s="40"/>
      <c r="CT897" s="40"/>
      <c r="CU897" s="40"/>
      <c r="CV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  <c r="BS898" s="40"/>
      <c r="BT898" s="40"/>
      <c r="BU898" s="40"/>
      <c r="BV898" s="40"/>
      <c r="BW898" s="40"/>
      <c r="BX898" s="40"/>
      <c r="BY898" s="40"/>
      <c r="BZ898" s="40"/>
      <c r="CA898" s="40"/>
      <c r="CB898" s="40"/>
      <c r="CC898" s="40"/>
      <c r="CD898" s="40"/>
      <c r="CE898" s="40"/>
      <c r="CF898" s="40"/>
      <c r="CG898" s="40"/>
      <c r="CH898" s="40"/>
      <c r="CI898" s="40"/>
      <c r="CJ898" s="40"/>
      <c r="CK898" s="40"/>
      <c r="CL898" s="40"/>
      <c r="CM898" s="40"/>
      <c r="CN898" s="40"/>
      <c r="CO898" s="40"/>
      <c r="CP898" s="40"/>
      <c r="CQ898" s="40"/>
      <c r="CR898" s="40"/>
      <c r="CS898" s="40"/>
      <c r="CT898" s="40"/>
      <c r="CU898" s="40"/>
      <c r="CV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  <c r="BS899" s="40"/>
      <c r="BT899" s="40"/>
      <c r="BU899" s="40"/>
      <c r="BV899" s="40"/>
      <c r="BW899" s="40"/>
      <c r="BX899" s="40"/>
      <c r="BY899" s="40"/>
      <c r="BZ899" s="40"/>
      <c r="CA899" s="40"/>
      <c r="CB899" s="40"/>
      <c r="CC899" s="40"/>
      <c r="CD899" s="40"/>
      <c r="CE899" s="40"/>
      <c r="CF899" s="40"/>
      <c r="CG899" s="40"/>
      <c r="CH899" s="40"/>
      <c r="CI899" s="40"/>
      <c r="CJ899" s="40"/>
      <c r="CK899" s="40"/>
      <c r="CL899" s="40"/>
      <c r="CM899" s="40"/>
      <c r="CN899" s="40"/>
      <c r="CO899" s="40"/>
      <c r="CP899" s="40"/>
      <c r="CQ899" s="40"/>
      <c r="CR899" s="40"/>
      <c r="CS899" s="40"/>
      <c r="CT899" s="40"/>
      <c r="CU899" s="40"/>
      <c r="CV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  <c r="BS900" s="40"/>
      <c r="BT900" s="40"/>
      <c r="BU900" s="40"/>
      <c r="BV900" s="40"/>
      <c r="BW900" s="40"/>
      <c r="BX900" s="40"/>
      <c r="BY900" s="40"/>
      <c r="BZ900" s="40"/>
      <c r="CA900" s="40"/>
      <c r="CB900" s="40"/>
      <c r="CC900" s="40"/>
      <c r="CD900" s="40"/>
      <c r="CE900" s="40"/>
      <c r="CF900" s="40"/>
      <c r="CG900" s="40"/>
      <c r="CH900" s="40"/>
      <c r="CI900" s="40"/>
      <c r="CJ900" s="40"/>
      <c r="CK900" s="40"/>
      <c r="CL900" s="40"/>
      <c r="CM900" s="40"/>
      <c r="CN900" s="40"/>
      <c r="CO900" s="40"/>
      <c r="CP900" s="40"/>
      <c r="CQ900" s="40"/>
      <c r="CR900" s="40"/>
      <c r="CS900" s="40"/>
      <c r="CT900" s="40"/>
      <c r="CU900" s="40"/>
      <c r="CV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  <c r="BS901" s="40"/>
      <c r="BT901" s="40"/>
      <c r="BU901" s="40"/>
      <c r="BV901" s="40"/>
      <c r="BW901" s="40"/>
      <c r="BX901" s="40"/>
      <c r="BY901" s="40"/>
      <c r="BZ901" s="40"/>
      <c r="CA901" s="40"/>
      <c r="CB901" s="40"/>
      <c r="CC901" s="40"/>
      <c r="CD901" s="40"/>
      <c r="CE901" s="40"/>
      <c r="CF901" s="40"/>
      <c r="CG901" s="40"/>
      <c r="CH901" s="40"/>
      <c r="CI901" s="40"/>
      <c r="CJ901" s="40"/>
      <c r="CK901" s="40"/>
      <c r="CL901" s="40"/>
      <c r="CM901" s="40"/>
      <c r="CN901" s="40"/>
      <c r="CO901" s="40"/>
      <c r="CP901" s="40"/>
      <c r="CQ901" s="40"/>
      <c r="CR901" s="40"/>
      <c r="CS901" s="40"/>
      <c r="CT901" s="40"/>
      <c r="CU901" s="40"/>
      <c r="CV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  <c r="BU902" s="40"/>
      <c r="BV902" s="40"/>
      <c r="BW902" s="40"/>
      <c r="BX902" s="40"/>
      <c r="BY902" s="40"/>
      <c r="BZ902" s="40"/>
      <c r="CA902" s="40"/>
      <c r="CB902" s="40"/>
      <c r="CC902" s="40"/>
      <c r="CD902" s="40"/>
      <c r="CE902" s="40"/>
      <c r="CF902" s="40"/>
      <c r="CG902" s="40"/>
      <c r="CH902" s="40"/>
      <c r="CI902" s="40"/>
      <c r="CJ902" s="40"/>
      <c r="CK902" s="40"/>
      <c r="CL902" s="40"/>
      <c r="CM902" s="40"/>
      <c r="CN902" s="40"/>
      <c r="CO902" s="40"/>
      <c r="CP902" s="40"/>
      <c r="CQ902" s="40"/>
      <c r="CR902" s="40"/>
      <c r="CS902" s="40"/>
      <c r="CT902" s="40"/>
      <c r="CU902" s="40"/>
      <c r="CV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  <c r="BS903" s="40"/>
      <c r="BT903" s="40"/>
      <c r="BU903" s="40"/>
      <c r="BV903" s="40"/>
      <c r="BW903" s="40"/>
      <c r="BX903" s="40"/>
      <c r="BY903" s="40"/>
      <c r="BZ903" s="40"/>
      <c r="CA903" s="40"/>
      <c r="CB903" s="40"/>
      <c r="CC903" s="40"/>
      <c r="CD903" s="40"/>
      <c r="CE903" s="40"/>
      <c r="CF903" s="40"/>
      <c r="CG903" s="40"/>
      <c r="CH903" s="40"/>
      <c r="CI903" s="40"/>
      <c r="CJ903" s="40"/>
      <c r="CK903" s="40"/>
      <c r="CL903" s="40"/>
      <c r="CM903" s="40"/>
      <c r="CN903" s="40"/>
      <c r="CO903" s="40"/>
      <c r="CP903" s="40"/>
      <c r="CQ903" s="40"/>
      <c r="CR903" s="40"/>
      <c r="CS903" s="40"/>
      <c r="CT903" s="40"/>
      <c r="CU903" s="40"/>
      <c r="CV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  <c r="BS904" s="40"/>
      <c r="BT904" s="40"/>
      <c r="BU904" s="40"/>
      <c r="BV904" s="40"/>
      <c r="BW904" s="40"/>
      <c r="BX904" s="40"/>
      <c r="BY904" s="40"/>
      <c r="BZ904" s="40"/>
      <c r="CA904" s="40"/>
      <c r="CB904" s="40"/>
      <c r="CC904" s="40"/>
      <c r="CD904" s="40"/>
      <c r="CE904" s="40"/>
      <c r="CF904" s="40"/>
      <c r="CG904" s="40"/>
      <c r="CH904" s="40"/>
      <c r="CI904" s="40"/>
      <c r="CJ904" s="40"/>
      <c r="CK904" s="40"/>
      <c r="CL904" s="40"/>
      <c r="CM904" s="40"/>
      <c r="CN904" s="40"/>
      <c r="CO904" s="40"/>
      <c r="CP904" s="40"/>
      <c r="CQ904" s="40"/>
      <c r="CR904" s="40"/>
      <c r="CS904" s="40"/>
      <c r="CT904" s="40"/>
      <c r="CU904" s="40"/>
      <c r="CV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  <c r="BS905" s="40"/>
      <c r="BT905" s="40"/>
      <c r="BU905" s="40"/>
      <c r="BV905" s="40"/>
      <c r="BW905" s="40"/>
      <c r="BX905" s="40"/>
      <c r="BY905" s="40"/>
      <c r="BZ905" s="40"/>
      <c r="CA905" s="40"/>
      <c r="CB905" s="40"/>
      <c r="CC905" s="40"/>
      <c r="CD905" s="40"/>
      <c r="CE905" s="40"/>
      <c r="CF905" s="40"/>
      <c r="CG905" s="40"/>
      <c r="CH905" s="40"/>
      <c r="CI905" s="40"/>
      <c r="CJ905" s="40"/>
      <c r="CK905" s="40"/>
      <c r="CL905" s="40"/>
      <c r="CM905" s="40"/>
      <c r="CN905" s="40"/>
      <c r="CO905" s="40"/>
      <c r="CP905" s="40"/>
      <c r="CQ905" s="40"/>
      <c r="CR905" s="40"/>
      <c r="CS905" s="40"/>
      <c r="CT905" s="40"/>
      <c r="CU905" s="40"/>
      <c r="CV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  <c r="BS906" s="40"/>
      <c r="BT906" s="40"/>
      <c r="BU906" s="40"/>
      <c r="BV906" s="40"/>
      <c r="BW906" s="40"/>
      <c r="BX906" s="40"/>
      <c r="BY906" s="40"/>
      <c r="BZ906" s="40"/>
      <c r="CA906" s="40"/>
      <c r="CB906" s="40"/>
      <c r="CC906" s="40"/>
      <c r="CD906" s="40"/>
      <c r="CE906" s="40"/>
      <c r="CF906" s="40"/>
      <c r="CG906" s="40"/>
      <c r="CH906" s="40"/>
      <c r="CI906" s="40"/>
      <c r="CJ906" s="40"/>
      <c r="CK906" s="40"/>
      <c r="CL906" s="40"/>
      <c r="CM906" s="40"/>
      <c r="CN906" s="40"/>
      <c r="CO906" s="40"/>
      <c r="CP906" s="40"/>
      <c r="CQ906" s="40"/>
      <c r="CR906" s="40"/>
      <c r="CS906" s="40"/>
      <c r="CT906" s="40"/>
      <c r="CU906" s="40"/>
      <c r="CV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  <c r="BU907" s="40"/>
      <c r="BV907" s="40"/>
      <c r="BW907" s="40"/>
      <c r="BX907" s="40"/>
      <c r="BY907" s="40"/>
      <c r="BZ907" s="40"/>
      <c r="CA907" s="40"/>
      <c r="CB907" s="40"/>
      <c r="CC907" s="40"/>
      <c r="CD907" s="40"/>
      <c r="CE907" s="40"/>
      <c r="CF907" s="40"/>
      <c r="CG907" s="40"/>
      <c r="CH907" s="40"/>
      <c r="CI907" s="40"/>
      <c r="CJ907" s="40"/>
      <c r="CK907" s="40"/>
      <c r="CL907" s="40"/>
      <c r="CM907" s="40"/>
      <c r="CN907" s="40"/>
      <c r="CO907" s="40"/>
      <c r="CP907" s="40"/>
      <c r="CQ907" s="40"/>
      <c r="CR907" s="40"/>
      <c r="CS907" s="40"/>
      <c r="CT907" s="40"/>
      <c r="CU907" s="40"/>
      <c r="CV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  <c r="BU908" s="40"/>
      <c r="BV908" s="40"/>
      <c r="BW908" s="40"/>
      <c r="BX908" s="40"/>
      <c r="BY908" s="40"/>
      <c r="BZ908" s="40"/>
      <c r="CA908" s="40"/>
      <c r="CB908" s="40"/>
      <c r="CC908" s="40"/>
      <c r="CD908" s="40"/>
      <c r="CE908" s="40"/>
      <c r="CF908" s="40"/>
      <c r="CG908" s="40"/>
      <c r="CH908" s="40"/>
      <c r="CI908" s="40"/>
      <c r="CJ908" s="40"/>
      <c r="CK908" s="40"/>
      <c r="CL908" s="40"/>
      <c r="CM908" s="40"/>
      <c r="CN908" s="40"/>
      <c r="CO908" s="40"/>
      <c r="CP908" s="40"/>
      <c r="CQ908" s="40"/>
      <c r="CR908" s="40"/>
      <c r="CS908" s="40"/>
      <c r="CT908" s="40"/>
      <c r="CU908" s="40"/>
      <c r="CV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  <c r="BS909" s="40"/>
      <c r="BT909" s="40"/>
      <c r="BU909" s="40"/>
      <c r="BV909" s="40"/>
      <c r="BW909" s="40"/>
      <c r="BX909" s="40"/>
      <c r="BY909" s="40"/>
      <c r="BZ909" s="40"/>
      <c r="CA909" s="40"/>
      <c r="CB909" s="40"/>
      <c r="CC909" s="40"/>
      <c r="CD909" s="40"/>
      <c r="CE909" s="40"/>
      <c r="CF909" s="40"/>
      <c r="CG909" s="40"/>
      <c r="CH909" s="40"/>
      <c r="CI909" s="40"/>
      <c r="CJ909" s="40"/>
      <c r="CK909" s="40"/>
      <c r="CL909" s="40"/>
      <c r="CM909" s="40"/>
      <c r="CN909" s="40"/>
      <c r="CO909" s="40"/>
      <c r="CP909" s="40"/>
      <c r="CQ909" s="40"/>
      <c r="CR909" s="40"/>
      <c r="CS909" s="40"/>
      <c r="CT909" s="40"/>
      <c r="CU909" s="40"/>
      <c r="CV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  <c r="BS910" s="40"/>
      <c r="BT910" s="40"/>
      <c r="BU910" s="40"/>
      <c r="BV910" s="40"/>
      <c r="BW910" s="40"/>
      <c r="BX910" s="40"/>
      <c r="BY910" s="40"/>
      <c r="BZ910" s="40"/>
      <c r="CA910" s="40"/>
      <c r="CB910" s="40"/>
      <c r="CC910" s="40"/>
      <c r="CD910" s="40"/>
      <c r="CE910" s="40"/>
      <c r="CF910" s="40"/>
      <c r="CG910" s="40"/>
      <c r="CH910" s="40"/>
      <c r="CI910" s="40"/>
      <c r="CJ910" s="40"/>
      <c r="CK910" s="40"/>
      <c r="CL910" s="40"/>
      <c r="CM910" s="40"/>
      <c r="CN910" s="40"/>
      <c r="CO910" s="40"/>
      <c r="CP910" s="40"/>
      <c r="CQ910" s="40"/>
      <c r="CR910" s="40"/>
      <c r="CS910" s="40"/>
      <c r="CT910" s="40"/>
      <c r="CU910" s="40"/>
      <c r="CV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  <c r="BS911" s="40"/>
      <c r="BT911" s="40"/>
      <c r="BU911" s="40"/>
      <c r="BV911" s="40"/>
      <c r="BW911" s="40"/>
      <c r="BX911" s="40"/>
      <c r="BY911" s="40"/>
      <c r="BZ911" s="40"/>
      <c r="CA911" s="40"/>
      <c r="CB911" s="40"/>
      <c r="CC911" s="40"/>
      <c r="CD911" s="40"/>
      <c r="CE911" s="40"/>
      <c r="CF911" s="40"/>
      <c r="CG911" s="40"/>
      <c r="CH911" s="40"/>
      <c r="CI911" s="40"/>
      <c r="CJ911" s="40"/>
      <c r="CK911" s="40"/>
      <c r="CL911" s="40"/>
      <c r="CM911" s="40"/>
      <c r="CN911" s="40"/>
      <c r="CO911" s="40"/>
      <c r="CP911" s="40"/>
      <c r="CQ911" s="40"/>
      <c r="CR911" s="40"/>
      <c r="CS911" s="40"/>
      <c r="CT911" s="40"/>
      <c r="CU911" s="40"/>
      <c r="CV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  <c r="BS912" s="40"/>
      <c r="BT912" s="40"/>
      <c r="BU912" s="40"/>
      <c r="BV912" s="40"/>
      <c r="BW912" s="40"/>
      <c r="BX912" s="40"/>
      <c r="BY912" s="40"/>
      <c r="BZ912" s="40"/>
      <c r="CA912" s="40"/>
      <c r="CB912" s="40"/>
      <c r="CC912" s="40"/>
      <c r="CD912" s="40"/>
      <c r="CE912" s="40"/>
      <c r="CF912" s="40"/>
      <c r="CG912" s="40"/>
      <c r="CH912" s="40"/>
      <c r="CI912" s="40"/>
      <c r="CJ912" s="40"/>
      <c r="CK912" s="40"/>
      <c r="CL912" s="40"/>
      <c r="CM912" s="40"/>
      <c r="CN912" s="40"/>
      <c r="CO912" s="40"/>
      <c r="CP912" s="40"/>
      <c r="CQ912" s="40"/>
      <c r="CR912" s="40"/>
      <c r="CS912" s="40"/>
      <c r="CT912" s="40"/>
      <c r="CU912" s="40"/>
      <c r="CV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  <c r="BS913" s="40"/>
      <c r="BT913" s="40"/>
      <c r="BU913" s="40"/>
      <c r="BV913" s="40"/>
      <c r="BW913" s="40"/>
      <c r="BX913" s="40"/>
      <c r="BY913" s="40"/>
      <c r="BZ913" s="40"/>
      <c r="CA913" s="40"/>
      <c r="CB913" s="40"/>
      <c r="CC913" s="40"/>
      <c r="CD913" s="40"/>
      <c r="CE913" s="40"/>
      <c r="CF913" s="40"/>
      <c r="CG913" s="40"/>
      <c r="CH913" s="40"/>
      <c r="CI913" s="40"/>
      <c r="CJ913" s="40"/>
      <c r="CK913" s="40"/>
      <c r="CL913" s="40"/>
      <c r="CM913" s="40"/>
      <c r="CN913" s="40"/>
      <c r="CO913" s="40"/>
      <c r="CP913" s="40"/>
      <c r="CQ913" s="40"/>
      <c r="CR913" s="40"/>
      <c r="CS913" s="40"/>
      <c r="CT913" s="40"/>
      <c r="CU913" s="40"/>
      <c r="CV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  <c r="BS914" s="40"/>
      <c r="BT914" s="40"/>
      <c r="BU914" s="40"/>
      <c r="BV914" s="40"/>
      <c r="BW914" s="40"/>
      <c r="BX914" s="40"/>
      <c r="BY914" s="40"/>
      <c r="BZ914" s="40"/>
      <c r="CA914" s="40"/>
      <c r="CB914" s="40"/>
      <c r="CC914" s="40"/>
      <c r="CD914" s="40"/>
      <c r="CE914" s="40"/>
      <c r="CF914" s="40"/>
      <c r="CG914" s="40"/>
      <c r="CH914" s="40"/>
      <c r="CI914" s="40"/>
      <c r="CJ914" s="40"/>
      <c r="CK914" s="40"/>
      <c r="CL914" s="40"/>
      <c r="CM914" s="40"/>
      <c r="CN914" s="40"/>
      <c r="CO914" s="40"/>
      <c r="CP914" s="40"/>
      <c r="CQ914" s="40"/>
      <c r="CR914" s="40"/>
      <c r="CS914" s="40"/>
      <c r="CT914" s="40"/>
      <c r="CU914" s="40"/>
      <c r="CV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  <c r="BS915" s="40"/>
      <c r="BT915" s="40"/>
      <c r="BU915" s="40"/>
      <c r="BV915" s="40"/>
      <c r="BW915" s="40"/>
      <c r="BX915" s="40"/>
      <c r="BY915" s="40"/>
      <c r="BZ915" s="40"/>
      <c r="CA915" s="40"/>
      <c r="CB915" s="40"/>
      <c r="CC915" s="40"/>
      <c r="CD915" s="40"/>
      <c r="CE915" s="40"/>
      <c r="CF915" s="40"/>
      <c r="CG915" s="40"/>
      <c r="CH915" s="40"/>
      <c r="CI915" s="40"/>
      <c r="CJ915" s="40"/>
      <c r="CK915" s="40"/>
      <c r="CL915" s="40"/>
      <c r="CM915" s="40"/>
      <c r="CN915" s="40"/>
      <c r="CO915" s="40"/>
      <c r="CP915" s="40"/>
      <c r="CQ915" s="40"/>
      <c r="CR915" s="40"/>
      <c r="CS915" s="40"/>
      <c r="CT915" s="40"/>
      <c r="CU915" s="40"/>
      <c r="CV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  <c r="BS916" s="40"/>
      <c r="BT916" s="40"/>
      <c r="BU916" s="40"/>
      <c r="BV916" s="40"/>
      <c r="BW916" s="40"/>
      <c r="BX916" s="40"/>
      <c r="BY916" s="40"/>
      <c r="BZ916" s="40"/>
      <c r="CA916" s="40"/>
      <c r="CB916" s="40"/>
      <c r="CC916" s="40"/>
      <c r="CD916" s="40"/>
      <c r="CE916" s="40"/>
      <c r="CF916" s="40"/>
      <c r="CG916" s="40"/>
      <c r="CH916" s="40"/>
      <c r="CI916" s="40"/>
      <c r="CJ916" s="40"/>
      <c r="CK916" s="40"/>
      <c r="CL916" s="40"/>
      <c r="CM916" s="40"/>
      <c r="CN916" s="40"/>
      <c r="CO916" s="40"/>
      <c r="CP916" s="40"/>
      <c r="CQ916" s="40"/>
      <c r="CR916" s="40"/>
      <c r="CS916" s="40"/>
      <c r="CT916" s="40"/>
      <c r="CU916" s="40"/>
      <c r="CV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  <c r="BS917" s="40"/>
      <c r="BT917" s="40"/>
      <c r="BU917" s="40"/>
      <c r="BV917" s="40"/>
      <c r="BW917" s="40"/>
      <c r="BX917" s="40"/>
      <c r="BY917" s="40"/>
      <c r="BZ917" s="40"/>
      <c r="CA917" s="40"/>
      <c r="CB917" s="40"/>
      <c r="CC917" s="40"/>
      <c r="CD917" s="40"/>
      <c r="CE917" s="40"/>
      <c r="CF917" s="40"/>
      <c r="CG917" s="40"/>
      <c r="CH917" s="40"/>
      <c r="CI917" s="40"/>
      <c r="CJ917" s="40"/>
      <c r="CK917" s="40"/>
      <c r="CL917" s="40"/>
      <c r="CM917" s="40"/>
      <c r="CN917" s="40"/>
      <c r="CO917" s="40"/>
      <c r="CP917" s="40"/>
      <c r="CQ917" s="40"/>
      <c r="CR917" s="40"/>
      <c r="CS917" s="40"/>
      <c r="CT917" s="40"/>
      <c r="CU917" s="40"/>
      <c r="CV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  <c r="BS918" s="40"/>
      <c r="BT918" s="40"/>
      <c r="BU918" s="40"/>
      <c r="BV918" s="40"/>
      <c r="BW918" s="40"/>
      <c r="BX918" s="40"/>
      <c r="BY918" s="40"/>
      <c r="BZ918" s="40"/>
      <c r="CA918" s="40"/>
      <c r="CB918" s="40"/>
      <c r="CC918" s="40"/>
      <c r="CD918" s="40"/>
      <c r="CE918" s="40"/>
      <c r="CF918" s="40"/>
      <c r="CG918" s="40"/>
      <c r="CH918" s="40"/>
      <c r="CI918" s="40"/>
      <c r="CJ918" s="40"/>
      <c r="CK918" s="40"/>
      <c r="CL918" s="40"/>
      <c r="CM918" s="40"/>
      <c r="CN918" s="40"/>
      <c r="CO918" s="40"/>
      <c r="CP918" s="40"/>
      <c r="CQ918" s="40"/>
      <c r="CR918" s="40"/>
      <c r="CS918" s="40"/>
      <c r="CT918" s="40"/>
      <c r="CU918" s="40"/>
      <c r="CV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  <c r="BS919" s="40"/>
      <c r="BT919" s="40"/>
      <c r="BU919" s="40"/>
      <c r="BV919" s="40"/>
      <c r="BW919" s="40"/>
      <c r="BX919" s="40"/>
      <c r="BY919" s="40"/>
      <c r="BZ919" s="40"/>
      <c r="CA919" s="40"/>
      <c r="CB919" s="40"/>
      <c r="CC919" s="40"/>
      <c r="CD919" s="40"/>
      <c r="CE919" s="40"/>
      <c r="CF919" s="40"/>
      <c r="CG919" s="40"/>
      <c r="CH919" s="40"/>
      <c r="CI919" s="40"/>
      <c r="CJ919" s="40"/>
      <c r="CK919" s="40"/>
      <c r="CL919" s="40"/>
      <c r="CM919" s="40"/>
      <c r="CN919" s="40"/>
      <c r="CO919" s="40"/>
      <c r="CP919" s="40"/>
      <c r="CQ919" s="40"/>
      <c r="CR919" s="40"/>
      <c r="CS919" s="40"/>
      <c r="CT919" s="40"/>
      <c r="CU919" s="40"/>
      <c r="CV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  <c r="BS920" s="40"/>
      <c r="BT920" s="40"/>
      <c r="BU920" s="40"/>
      <c r="BV920" s="40"/>
      <c r="BW920" s="40"/>
      <c r="BX920" s="40"/>
      <c r="BY920" s="40"/>
      <c r="BZ920" s="40"/>
      <c r="CA920" s="40"/>
      <c r="CB920" s="40"/>
      <c r="CC920" s="40"/>
      <c r="CD920" s="40"/>
      <c r="CE920" s="40"/>
      <c r="CF920" s="40"/>
      <c r="CG920" s="40"/>
      <c r="CH920" s="40"/>
      <c r="CI920" s="40"/>
      <c r="CJ920" s="40"/>
      <c r="CK920" s="40"/>
      <c r="CL920" s="40"/>
      <c r="CM920" s="40"/>
      <c r="CN920" s="40"/>
      <c r="CO920" s="40"/>
      <c r="CP920" s="40"/>
      <c r="CQ920" s="40"/>
      <c r="CR920" s="40"/>
      <c r="CS920" s="40"/>
      <c r="CT920" s="40"/>
      <c r="CU920" s="40"/>
      <c r="CV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  <c r="BS921" s="40"/>
      <c r="BT921" s="40"/>
      <c r="BU921" s="40"/>
      <c r="BV921" s="40"/>
      <c r="BW921" s="40"/>
      <c r="BX921" s="40"/>
      <c r="BY921" s="40"/>
      <c r="BZ921" s="40"/>
      <c r="CA921" s="40"/>
      <c r="CB921" s="40"/>
      <c r="CC921" s="40"/>
      <c r="CD921" s="40"/>
      <c r="CE921" s="40"/>
      <c r="CF921" s="40"/>
      <c r="CG921" s="40"/>
      <c r="CH921" s="40"/>
      <c r="CI921" s="40"/>
      <c r="CJ921" s="40"/>
      <c r="CK921" s="40"/>
      <c r="CL921" s="40"/>
      <c r="CM921" s="40"/>
      <c r="CN921" s="40"/>
      <c r="CO921" s="40"/>
      <c r="CP921" s="40"/>
      <c r="CQ921" s="40"/>
      <c r="CR921" s="40"/>
      <c r="CS921" s="40"/>
      <c r="CT921" s="40"/>
      <c r="CU921" s="40"/>
      <c r="CV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  <c r="BS922" s="40"/>
      <c r="BT922" s="40"/>
      <c r="BU922" s="40"/>
      <c r="BV922" s="40"/>
      <c r="BW922" s="40"/>
      <c r="BX922" s="40"/>
      <c r="BY922" s="40"/>
      <c r="BZ922" s="40"/>
      <c r="CA922" s="40"/>
      <c r="CB922" s="40"/>
      <c r="CC922" s="40"/>
      <c r="CD922" s="40"/>
      <c r="CE922" s="40"/>
      <c r="CF922" s="40"/>
      <c r="CG922" s="40"/>
      <c r="CH922" s="40"/>
      <c r="CI922" s="40"/>
      <c r="CJ922" s="40"/>
      <c r="CK922" s="40"/>
      <c r="CL922" s="40"/>
      <c r="CM922" s="40"/>
      <c r="CN922" s="40"/>
      <c r="CO922" s="40"/>
      <c r="CP922" s="40"/>
      <c r="CQ922" s="40"/>
      <c r="CR922" s="40"/>
      <c r="CS922" s="40"/>
      <c r="CT922" s="40"/>
      <c r="CU922" s="40"/>
      <c r="CV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  <c r="BS923" s="40"/>
      <c r="BT923" s="40"/>
      <c r="BU923" s="40"/>
      <c r="BV923" s="40"/>
      <c r="BW923" s="40"/>
      <c r="BX923" s="40"/>
      <c r="BY923" s="40"/>
      <c r="BZ923" s="40"/>
      <c r="CA923" s="40"/>
      <c r="CB923" s="40"/>
      <c r="CC923" s="40"/>
      <c r="CD923" s="40"/>
      <c r="CE923" s="40"/>
      <c r="CF923" s="40"/>
      <c r="CG923" s="40"/>
      <c r="CH923" s="40"/>
      <c r="CI923" s="40"/>
      <c r="CJ923" s="40"/>
      <c r="CK923" s="40"/>
      <c r="CL923" s="40"/>
      <c r="CM923" s="40"/>
      <c r="CN923" s="40"/>
      <c r="CO923" s="40"/>
      <c r="CP923" s="40"/>
      <c r="CQ923" s="40"/>
      <c r="CR923" s="40"/>
      <c r="CS923" s="40"/>
      <c r="CT923" s="40"/>
      <c r="CU923" s="40"/>
      <c r="CV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  <c r="BS924" s="40"/>
      <c r="BT924" s="40"/>
      <c r="BU924" s="40"/>
      <c r="BV924" s="40"/>
      <c r="BW924" s="40"/>
      <c r="BX924" s="40"/>
      <c r="BY924" s="40"/>
      <c r="BZ924" s="40"/>
      <c r="CA924" s="40"/>
      <c r="CB924" s="40"/>
      <c r="CC924" s="40"/>
      <c r="CD924" s="40"/>
      <c r="CE924" s="40"/>
      <c r="CF924" s="40"/>
      <c r="CG924" s="40"/>
      <c r="CH924" s="40"/>
      <c r="CI924" s="40"/>
      <c r="CJ924" s="40"/>
      <c r="CK924" s="40"/>
      <c r="CL924" s="40"/>
      <c r="CM924" s="40"/>
      <c r="CN924" s="40"/>
      <c r="CO924" s="40"/>
      <c r="CP924" s="40"/>
      <c r="CQ924" s="40"/>
      <c r="CR924" s="40"/>
      <c r="CS924" s="40"/>
      <c r="CT924" s="40"/>
      <c r="CU924" s="40"/>
      <c r="CV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  <c r="BS925" s="40"/>
      <c r="BT925" s="40"/>
      <c r="BU925" s="40"/>
      <c r="BV925" s="40"/>
      <c r="BW925" s="40"/>
      <c r="BX925" s="40"/>
      <c r="BY925" s="40"/>
      <c r="BZ925" s="40"/>
      <c r="CA925" s="40"/>
      <c r="CB925" s="40"/>
      <c r="CC925" s="40"/>
      <c r="CD925" s="40"/>
      <c r="CE925" s="40"/>
      <c r="CF925" s="40"/>
      <c r="CG925" s="40"/>
      <c r="CH925" s="40"/>
      <c r="CI925" s="40"/>
      <c r="CJ925" s="40"/>
      <c r="CK925" s="40"/>
      <c r="CL925" s="40"/>
      <c r="CM925" s="40"/>
      <c r="CN925" s="40"/>
      <c r="CO925" s="40"/>
      <c r="CP925" s="40"/>
      <c r="CQ925" s="40"/>
      <c r="CR925" s="40"/>
      <c r="CS925" s="40"/>
      <c r="CT925" s="40"/>
      <c r="CU925" s="40"/>
      <c r="CV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  <c r="BS926" s="40"/>
      <c r="BT926" s="40"/>
      <c r="BU926" s="40"/>
      <c r="BV926" s="40"/>
      <c r="BW926" s="40"/>
      <c r="BX926" s="40"/>
      <c r="BY926" s="40"/>
      <c r="BZ926" s="40"/>
      <c r="CA926" s="40"/>
      <c r="CB926" s="40"/>
      <c r="CC926" s="40"/>
      <c r="CD926" s="40"/>
      <c r="CE926" s="40"/>
      <c r="CF926" s="40"/>
      <c r="CG926" s="40"/>
      <c r="CH926" s="40"/>
      <c r="CI926" s="40"/>
      <c r="CJ926" s="40"/>
      <c r="CK926" s="40"/>
      <c r="CL926" s="40"/>
      <c r="CM926" s="40"/>
      <c r="CN926" s="40"/>
      <c r="CO926" s="40"/>
      <c r="CP926" s="40"/>
      <c r="CQ926" s="40"/>
      <c r="CR926" s="40"/>
      <c r="CS926" s="40"/>
      <c r="CT926" s="40"/>
      <c r="CU926" s="40"/>
      <c r="CV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  <c r="BS927" s="40"/>
      <c r="BT927" s="40"/>
      <c r="BU927" s="40"/>
      <c r="BV927" s="40"/>
      <c r="BW927" s="40"/>
      <c r="BX927" s="40"/>
      <c r="BY927" s="40"/>
      <c r="BZ927" s="40"/>
      <c r="CA927" s="40"/>
      <c r="CB927" s="40"/>
      <c r="CC927" s="40"/>
      <c r="CD927" s="40"/>
      <c r="CE927" s="40"/>
      <c r="CF927" s="40"/>
      <c r="CG927" s="40"/>
      <c r="CH927" s="40"/>
      <c r="CI927" s="40"/>
      <c r="CJ927" s="40"/>
      <c r="CK927" s="40"/>
      <c r="CL927" s="40"/>
      <c r="CM927" s="40"/>
      <c r="CN927" s="40"/>
      <c r="CO927" s="40"/>
      <c r="CP927" s="40"/>
      <c r="CQ927" s="40"/>
      <c r="CR927" s="40"/>
      <c r="CS927" s="40"/>
      <c r="CT927" s="40"/>
      <c r="CU927" s="40"/>
      <c r="CV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  <c r="BS928" s="40"/>
      <c r="BT928" s="40"/>
      <c r="BU928" s="40"/>
      <c r="BV928" s="40"/>
      <c r="BW928" s="40"/>
      <c r="BX928" s="40"/>
      <c r="BY928" s="40"/>
      <c r="BZ928" s="40"/>
      <c r="CA928" s="40"/>
      <c r="CB928" s="40"/>
      <c r="CC928" s="40"/>
      <c r="CD928" s="40"/>
      <c r="CE928" s="40"/>
      <c r="CF928" s="40"/>
      <c r="CG928" s="40"/>
      <c r="CH928" s="40"/>
      <c r="CI928" s="40"/>
      <c r="CJ928" s="40"/>
      <c r="CK928" s="40"/>
      <c r="CL928" s="40"/>
      <c r="CM928" s="40"/>
      <c r="CN928" s="40"/>
      <c r="CO928" s="40"/>
      <c r="CP928" s="40"/>
      <c r="CQ928" s="40"/>
      <c r="CR928" s="40"/>
      <c r="CS928" s="40"/>
      <c r="CT928" s="40"/>
      <c r="CU928" s="40"/>
      <c r="CV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  <c r="BS929" s="40"/>
      <c r="BT929" s="40"/>
      <c r="BU929" s="40"/>
      <c r="BV929" s="40"/>
      <c r="BW929" s="40"/>
      <c r="BX929" s="40"/>
      <c r="BY929" s="40"/>
      <c r="BZ929" s="40"/>
      <c r="CA929" s="40"/>
      <c r="CB929" s="40"/>
      <c r="CC929" s="40"/>
      <c r="CD929" s="40"/>
      <c r="CE929" s="40"/>
      <c r="CF929" s="40"/>
      <c r="CG929" s="40"/>
      <c r="CH929" s="40"/>
      <c r="CI929" s="40"/>
      <c r="CJ929" s="40"/>
      <c r="CK929" s="40"/>
      <c r="CL929" s="40"/>
      <c r="CM929" s="40"/>
      <c r="CN929" s="40"/>
      <c r="CO929" s="40"/>
      <c r="CP929" s="40"/>
      <c r="CQ929" s="40"/>
      <c r="CR929" s="40"/>
      <c r="CS929" s="40"/>
      <c r="CT929" s="40"/>
      <c r="CU929" s="40"/>
      <c r="CV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  <c r="BS930" s="40"/>
      <c r="BT930" s="40"/>
      <c r="BU930" s="40"/>
      <c r="BV930" s="40"/>
      <c r="BW930" s="40"/>
      <c r="BX930" s="40"/>
      <c r="BY930" s="40"/>
      <c r="BZ930" s="40"/>
      <c r="CA930" s="40"/>
      <c r="CB930" s="40"/>
      <c r="CC930" s="40"/>
      <c r="CD930" s="40"/>
      <c r="CE930" s="40"/>
      <c r="CF930" s="40"/>
      <c r="CG930" s="40"/>
      <c r="CH930" s="40"/>
      <c r="CI930" s="40"/>
      <c r="CJ930" s="40"/>
      <c r="CK930" s="40"/>
      <c r="CL930" s="40"/>
      <c r="CM930" s="40"/>
      <c r="CN930" s="40"/>
      <c r="CO930" s="40"/>
      <c r="CP930" s="40"/>
      <c r="CQ930" s="40"/>
      <c r="CR930" s="40"/>
      <c r="CS930" s="40"/>
      <c r="CT930" s="40"/>
      <c r="CU930" s="40"/>
      <c r="CV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  <c r="BS931" s="40"/>
      <c r="BT931" s="40"/>
      <c r="BU931" s="40"/>
      <c r="BV931" s="40"/>
      <c r="BW931" s="40"/>
      <c r="BX931" s="40"/>
      <c r="BY931" s="40"/>
      <c r="BZ931" s="40"/>
      <c r="CA931" s="40"/>
      <c r="CB931" s="40"/>
      <c r="CC931" s="40"/>
      <c r="CD931" s="40"/>
      <c r="CE931" s="40"/>
      <c r="CF931" s="40"/>
      <c r="CG931" s="40"/>
      <c r="CH931" s="40"/>
      <c r="CI931" s="40"/>
      <c r="CJ931" s="40"/>
      <c r="CK931" s="40"/>
      <c r="CL931" s="40"/>
      <c r="CM931" s="40"/>
      <c r="CN931" s="40"/>
      <c r="CO931" s="40"/>
      <c r="CP931" s="40"/>
      <c r="CQ931" s="40"/>
      <c r="CR931" s="40"/>
      <c r="CS931" s="40"/>
      <c r="CT931" s="40"/>
      <c r="CU931" s="40"/>
      <c r="CV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  <c r="BS932" s="40"/>
      <c r="BT932" s="40"/>
      <c r="BU932" s="40"/>
      <c r="BV932" s="40"/>
      <c r="BW932" s="40"/>
      <c r="BX932" s="40"/>
      <c r="BY932" s="40"/>
      <c r="BZ932" s="40"/>
      <c r="CA932" s="40"/>
      <c r="CB932" s="40"/>
      <c r="CC932" s="40"/>
      <c r="CD932" s="40"/>
      <c r="CE932" s="40"/>
      <c r="CF932" s="40"/>
      <c r="CG932" s="40"/>
      <c r="CH932" s="40"/>
      <c r="CI932" s="40"/>
      <c r="CJ932" s="40"/>
      <c r="CK932" s="40"/>
      <c r="CL932" s="40"/>
      <c r="CM932" s="40"/>
      <c r="CN932" s="40"/>
      <c r="CO932" s="40"/>
      <c r="CP932" s="40"/>
      <c r="CQ932" s="40"/>
      <c r="CR932" s="40"/>
      <c r="CS932" s="40"/>
      <c r="CT932" s="40"/>
      <c r="CU932" s="40"/>
      <c r="CV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  <c r="BS933" s="40"/>
      <c r="BT933" s="40"/>
      <c r="BU933" s="40"/>
      <c r="BV933" s="40"/>
      <c r="BW933" s="40"/>
      <c r="BX933" s="40"/>
      <c r="BY933" s="40"/>
      <c r="BZ933" s="40"/>
      <c r="CA933" s="40"/>
      <c r="CB933" s="40"/>
      <c r="CC933" s="40"/>
      <c r="CD933" s="40"/>
      <c r="CE933" s="40"/>
      <c r="CF933" s="40"/>
      <c r="CG933" s="40"/>
      <c r="CH933" s="40"/>
      <c r="CI933" s="40"/>
      <c r="CJ933" s="40"/>
      <c r="CK933" s="40"/>
      <c r="CL933" s="40"/>
      <c r="CM933" s="40"/>
      <c r="CN933" s="40"/>
      <c r="CO933" s="40"/>
      <c r="CP933" s="40"/>
      <c r="CQ933" s="40"/>
      <c r="CR933" s="40"/>
      <c r="CS933" s="40"/>
      <c r="CT933" s="40"/>
      <c r="CU933" s="40"/>
      <c r="CV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  <c r="BS934" s="40"/>
      <c r="BT934" s="40"/>
      <c r="BU934" s="40"/>
      <c r="BV934" s="40"/>
      <c r="BW934" s="40"/>
      <c r="BX934" s="40"/>
      <c r="BY934" s="40"/>
      <c r="BZ934" s="40"/>
      <c r="CA934" s="40"/>
      <c r="CB934" s="40"/>
      <c r="CC934" s="40"/>
      <c r="CD934" s="40"/>
      <c r="CE934" s="40"/>
      <c r="CF934" s="40"/>
      <c r="CG934" s="40"/>
      <c r="CH934" s="40"/>
      <c r="CI934" s="40"/>
      <c r="CJ934" s="40"/>
      <c r="CK934" s="40"/>
      <c r="CL934" s="40"/>
      <c r="CM934" s="40"/>
      <c r="CN934" s="40"/>
      <c r="CO934" s="40"/>
      <c r="CP934" s="40"/>
      <c r="CQ934" s="40"/>
      <c r="CR934" s="40"/>
      <c r="CS934" s="40"/>
      <c r="CT934" s="40"/>
      <c r="CU934" s="40"/>
      <c r="CV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  <c r="BS935" s="40"/>
      <c r="BT935" s="40"/>
      <c r="BU935" s="40"/>
      <c r="BV935" s="40"/>
      <c r="BW935" s="40"/>
      <c r="BX935" s="40"/>
      <c r="BY935" s="40"/>
      <c r="BZ935" s="40"/>
      <c r="CA935" s="40"/>
      <c r="CB935" s="40"/>
      <c r="CC935" s="40"/>
      <c r="CD935" s="40"/>
      <c r="CE935" s="40"/>
      <c r="CF935" s="40"/>
      <c r="CG935" s="40"/>
      <c r="CH935" s="40"/>
      <c r="CI935" s="40"/>
      <c r="CJ935" s="40"/>
      <c r="CK935" s="40"/>
      <c r="CL935" s="40"/>
      <c r="CM935" s="40"/>
      <c r="CN935" s="40"/>
      <c r="CO935" s="40"/>
      <c r="CP935" s="40"/>
      <c r="CQ935" s="40"/>
      <c r="CR935" s="40"/>
      <c r="CS935" s="40"/>
      <c r="CT935" s="40"/>
      <c r="CU935" s="40"/>
      <c r="CV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  <c r="BS936" s="40"/>
      <c r="BT936" s="40"/>
      <c r="BU936" s="40"/>
      <c r="BV936" s="40"/>
      <c r="BW936" s="40"/>
      <c r="BX936" s="40"/>
      <c r="BY936" s="40"/>
      <c r="BZ936" s="40"/>
      <c r="CA936" s="40"/>
      <c r="CB936" s="40"/>
      <c r="CC936" s="40"/>
      <c r="CD936" s="40"/>
      <c r="CE936" s="40"/>
      <c r="CF936" s="40"/>
      <c r="CG936" s="40"/>
      <c r="CH936" s="40"/>
      <c r="CI936" s="40"/>
      <c r="CJ936" s="40"/>
      <c r="CK936" s="40"/>
      <c r="CL936" s="40"/>
      <c r="CM936" s="40"/>
      <c r="CN936" s="40"/>
      <c r="CO936" s="40"/>
      <c r="CP936" s="40"/>
      <c r="CQ936" s="40"/>
      <c r="CR936" s="40"/>
      <c r="CS936" s="40"/>
      <c r="CT936" s="40"/>
      <c r="CU936" s="40"/>
      <c r="CV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  <c r="BS937" s="40"/>
      <c r="BT937" s="40"/>
      <c r="BU937" s="40"/>
      <c r="BV937" s="40"/>
      <c r="BW937" s="40"/>
      <c r="BX937" s="40"/>
      <c r="BY937" s="40"/>
      <c r="BZ937" s="40"/>
      <c r="CA937" s="40"/>
      <c r="CB937" s="40"/>
      <c r="CC937" s="40"/>
      <c r="CD937" s="40"/>
      <c r="CE937" s="40"/>
      <c r="CF937" s="40"/>
      <c r="CG937" s="40"/>
      <c r="CH937" s="40"/>
      <c r="CI937" s="40"/>
      <c r="CJ937" s="40"/>
      <c r="CK937" s="40"/>
      <c r="CL937" s="40"/>
      <c r="CM937" s="40"/>
      <c r="CN937" s="40"/>
      <c r="CO937" s="40"/>
      <c r="CP937" s="40"/>
      <c r="CQ937" s="40"/>
      <c r="CR937" s="40"/>
      <c r="CS937" s="40"/>
      <c r="CT937" s="40"/>
      <c r="CU937" s="40"/>
      <c r="CV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  <c r="BS938" s="40"/>
      <c r="BT938" s="40"/>
      <c r="BU938" s="40"/>
      <c r="BV938" s="40"/>
      <c r="BW938" s="40"/>
      <c r="BX938" s="40"/>
      <c r="BY938" s="40"/>
      <c r="BZ938" s="40"/>
      <c r="CA938" s="40"/>
      <c r="CB938" s="40"/>
      <c r="CC938" s="40"/>
      <c r="CD938" s="40"/>
      <c r="CE938" s="40"/>
      <c r="CF938" s="40"/>
      <c r="CG938" s="40"/>
      <c r="CH938" s="40"/>
      <c r="CI938" s="40"/>
      <c r="CJ938" s="40"/>
      <c r="CK938" s="40"/>
      <c r="CL938" s="40"/>
      <c r="CM938" s="40"/>
      <c r="CN938" s="40"/>
      <c r="CO938" s="40"/>
      <c r="CP938" s="40"/>
      <c r="CQ938" s="40"/>
      <c r="CR938" s="40"/>
      <c r="CS938" s="40"/>
      <c r="CT938" s="40"/>
      <c r="CU938" s="40"/>
      <c r="CV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  <c r="BS939" s="40"/>
      <c r="BT939" s="40"/>
      <c r="BU939" s="40"/>
      <c r="BV939" s="40"/>
      <c r="BW939" s="40"/>
      <c r="BX939" s="40"/>
      <c r="BY939" s="40"/>
      <c r="BZ939" s="40"/>
      <c r="CA939" s="40"/>
      <c r="CB939" s="40"/>
      <c r="CC939" s="40"/>
      <c r="CD939" s="40"/>
      <c r="CE939" s="40"/>
      <c r="CF939" s="40"/>
      <c r="CG939" s="40"/>
      <c r="CH939" s="40"/>
      <c r="CI939" s="40"/>
      <c r="CJ939" s="40"/>
      <c r="CK939" s="40"/>
      <c r="CL939" s="40"/>
      <c r="CM939" s="40"/>
      <c r="CN939" s="40"/>
      <c r="CO939" s="40"/>
      <c r="CP939" s="40"/>
      <c r="CQ939" s="40"/>
      <c r="CR939" s="40"/>
      <c r="CS939" s="40"/>
      <c r="CT939" s="40"/>
      <c r="CU939" s="40"/>
      <c r="CV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  <c r="BS940" s="40"/>
      <c r="BT940" s="40"/>
      <c r="BU940" s="40"/>
      <c r="BV940" s="40"/>
      <c r="BW940" s="40"/>
      <c r="BX940" s="40"/>
      <c r="BY940" s="40"/>
      <c r="BZ940" s="40"/>
      <c r="CA940" s="40"/>
      <c r="CB940" s="40"/>
      <c r="CC940" s="40"/>
      <c r="CD940" s="40"/>
      <c r="CE940" s="40"/>
      <c r="CF940" s="40"/>
      <c r="CG940" s="40"/>
      <c r="CH940" s="40"/>
      <c r="CI940" s="40"/>
      <c r="CJ940" s="40"/>
      <c r="CK940" s="40"/>
      <c r="CL940" s="40"/>
      <c r="CM940" s="40"/>
      <c r="CN940" s="40"/>
      <c r="CO940" s="40"/>
      <c r="CP940" s="40"/>
      <c r="CQ940" s="40"/>
      <c r="CR940" s="40"/>
      <c r="CS940" s="40"/>
      <c r="CT940" s="40"/>
      <c r="CU940" s="40"/>
      <c r="CV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  <c r="BS941" s="40"/>
      <c r="BT941" s="40"/>
      <c r="BU941" s="40"/>
      <c r="BV941" s="40"/>
      <c r="BW941" s="40"/>
      <c r="BX941" s="40"/>
      <c r="BY941" s="40"/>
      <c r="BZ941" s="40"/>
      <c r="CA941" s="40"/>
      <c r="CB941" s="40"/>
      <c r="CC941" s="40"/>
      <c r="CD941" s="40"/>
      <c r="CE941" s="40"/>
      <c r="CF941" s="40"/>
      <c r="CG941" s="40"/>
      <c r="CH941" s="40"/>
      <c r="CI941" s="40"/>
      <c r="CJ941" s="40"/>
      <c r="CK941" s="40"/>
      <c r="CL941" s="40"/>
      <c r="CM941" s="40"/>
      <c r="CN941" s="40"/>
      <c r="CO941" s="40"/>
      <c r="CP941" s="40"/>
      <c r="CQ941" s="40"/>
      <c r="CR941" s="40"/>
      <c r="CS941" s="40"/>
      <c r="CT941" s="40"/>
      <c r="CU941" s="40"/>
      <c r="CV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  <c r="BS942" s="40"/>
      <c r="BT942" s="40"/>
      <c r="BU942" s="40"/>
      <c r="BV942" s="40"/>
      <c r="BW942" s="40"/>
      <c r="BX942" s="40"/>
      <c r="BY942" s="40"/>
      <c r="BZ942" s="40"/>
      <c r="CA942" s="40"/>
      <c r="CB942" s="40"/>
      <c r="CC942" s="40"/>
      <c r="CD942" s="40"/>
      <c r="CE942" s="40"/>
      <c r="CF942" s="40"/>
      <c r="CG942" s="40"/>
      <c r="CH942" s="40"/>
      <c r="CI942" s="40"/>
      <c r="CJ942" s="40"/>
      <c r="CK942" s="40"/>
      <c r="CL942" s="40"/>
      <c r="CM942" s="40"/>
      <c r="CN942" s="40"/>
      <c r="CO942" s="40"/>
      <c r="CP942" s="40"/>
      <c r="CQ942" s="40"/>
      <c r="CR942" s="40"/>
      <c r="CS942" s="40"/>
      <c r="CT942" s="40"/>
      <c r="CU942" s="40"/>
      <c r="CV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  <c r="BS943" s="40"/>
      <c r="BT943" s="40"/>
      <c r="BU943" s="40"/>
      <c r="BV943" s="40"/>
      <c r="BW943" s="40"/>
      <c r="BX943" s="40"/>
      <c r="BY943" s="40"/>
      <c r="BZ943" s="40"/>
      <c r="CA943" s="40"/>
      <c r="CB943" s="40"/>
      <c r="CC943" s="40"/>
      <c r="CD943" s="40"/>
      <c r="CE943" s="40"/>
      <c r="CF943" s="40"/>
      <c r="CG943" s="40"/>
      <c r="CH943" s="40"/>
      <c r="CI943" s="40"/>
      <c r="CJ943" s="40"/>
      <c r="CK943" s="40"/>
      <c r="CL943" s="40"/>
      <c r="CM943" s="40"/>
      <c r="CN943" s="40"/>
      <c r="CO943" s="40"/>
      <c r="CP943" s="40"/>
      <c r="CQ943" s="40"/>
      <c r="CR943" s="40"/>
      <c r="CS943" s="40"/>
      <c r="CT943" s="40"/>
      <c r="CU943" s="40"/>
      <c r="CV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  <c r="BS944" s="40"/>
      <c r="BT944" s="40"/>
      <c r="BU944" s="40"/>
      <c r="BV944" s="40"/>
      <c r="BW944" s="40"/>
      <c r="BX944" s="40"/>
      <c r="BY944" s="40"/>
      <c r="BZ944" s="40"/>
      <c r="CA944" s="40"/>
      <c r="CB944" s="40"/>
      <c r="CC944" s="40"/>
      <c r="CD944" s="40"/>
      <c r="CE944" s="40"/>
      <c r="CF944" s="40"/>
      <c r="CG944" s="40"/>
      <c r="CH944" s="40"/>
      <c r="CI944" s="40"/>
      <c r="CJ944" s="40"/>
      <c r="CK944" s="40"/>
      <c r="CL944" s="40"/>
      <c r="CM944" s="40"/>
      <c r="CN944" s="40"/>
      <c r="CO944" s="40"/>
      <c r="CP944" s="40"/>
      <c r="CQ944" s="40"/>
      <c r="CR944" s="40"/>
      <c r="CS944" s="40"/>
      <c r="CT944" s="40"/>
      <c r="CU944" s="40"/>
      <c r="CV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  <c r="BS945" s="40"/>
      <c r="BT945" s="40"/>
      <c r="BU945" s="40"/>
      <c r="BV945" s="40"/>
      <c r="BW945" s="40"/>
      <c r="BX945" s="40"/>
      <c r="BY945" s="40"/>
      <c r="BZ945" s="40"/>
      <c r="CA945" s="40"/>
      <c r="CB945" s="40"/>
      <c r="CC945" s="40"/>
      <c r="CD945" s="40"/>
      <c r="CE945" s="40"/>
      <c r="CF945" s="40"/>
      <c r="CG945" s="40"/>
      <c r="CH945" s="40"/>
      <c r="CI945" s="40"/>
      <c r="CJ945" s="40"/>
      <c r="CK945" s="40"/>
      <c r="CL945" s="40"/>
      <c r="CM945" s="40"/>
      <c r="CN945" s="40"/>
      <c r="CO945" s="40"/>
      <c r="CP945" s="40"/>
      <c r="CQ945" s="40"/>
      <c r="CR945" s="40"/>
      <c r="CS945" s="40"/>
      <c r="CT945" s="40"/>
      <c r="CU945" s="40"/>
      <c r="CV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  <c r="BS946" s="40"/>
      <c r="BT946" s="40"/>
      <c r="BU946" s="40"/>
      <c r="BV946" s="40"/>
      <c r="BW946" s="40"/>
      <c r="BX946" s="40"/>
      <c r="BY946" s="40"/>
      <c r="BZ946" s="40"/>
      <c r="CA946" s="40"/>
      <c r="CB946" s="40"/>
      <c r="CC946" s="40"/>
      <c r="CD946" s="40"/>
      <c r="CE946" s="40"/>
      <c r="CF946" s="40"/>
      <c r="CG946" s="40"/>
      <c r="CH946" s="40"/>
      <c r="CI946" s="40"/>
      <c r="CJ946" s="40"/>
      <c r="CK946" s="40"/>
      <c r="CL946" s="40"/>
      <c r="CM946" s="40"/>
      <c r="CN946" s="40"/>
      <c r="CO946" s="40"/>
      <c r="CP946" s="40"/>
      <c r="CQ946" s="40"/>
      <c r="CR946" s="40"/>
      <c r="CS946" s="40"/>
      <c r="CT946" s="40"/>
      <c r="CU946" s="40"/>
      <c r="CV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  <c r="BS947" s="40"/>
      <c r="BT947" s="40"/>
      <c r="BU947" s="40"/>
      <c r="BV947" s="40"/>
      <c r="BW947" s="40"/>
      <c r="BX947" s="40"/>
      <c r="BY947" s="40"/>
      <c r="BZ947" s="40"/>
      <c r="CA947" s="40"/>
      <c r="CB947" s="40"/>
      <c r="CC947" s="40"/>
      <c r="CD947" s="40"/>
      <c r="CE947" s="40"/>
      <c r="CF947" s="40"/>
      <c r="CG947" s="40"/>
      <c r="CH947" s="40"/>
      <c r="CI947" s="40"/>
      <c r="CJ947" s="40"/>
      <c r="CK947" s="40"/>
      <c r="CL947" s="40"/>
      <c r="CM947" s="40"/>
      <c r="CN947" s="40"/>
      <c r="CO947" s="40"/>
      <c r="CP947" s="40"/>
      <c r="CQ947" s="40"/>
      <c r="CR947" s="40"/>
      <c r="CS947" s="40"/>
      <c r="CT947" s="40"/>
      <c r="CU947" s="40"/>
      <c r="CV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  <c r="BS948" s="40"/>
      <c r="BT948" s="40"/>
      <c r="BU948" s="40"/>
      <c r="BV948" s="40"/>
      <c r="BW948" s="40"/>
      <c r="BX948" s="40"/>
      <c r="BY948" s="40"/>
      <c r="BZ948" s="40"/>
      <c r="CA948" s="40"/>
      <c r="CB948" s="40"/>
      <c r="CC948" s="40"/>
      <c r="CD948" s="40"/>
      <c r="CE948" s="40"/>
      <c r="CF948" s="40"/>
      <c r="CG948" s="40"/>
      <c r="CH948" s="40"/>
      <c r="CI948" s="40"/>
      <c r="CJ948" s="40"/>
      <c r="CK948" s="40"/>
      <c r="CL948" s="40"/>
      <c r="CM948" s="40"/>
      <c r="CN948" s="40"/>
      <c r="CO948" s="40"/>
      <c r="CP948" s="40"/>
      <c r="CQ948" s="40"/>
      <c r="CR948" s="40"/>
      <c r="CS948" s="40"/>
      <c r="CT948" s="40"/>
      <c r="CU948" s="40"/>
      <c r="CV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  <c r="BS949" s="40"/>
      <c r="BT949" s="40"/>
      <c r="BU949" s="40"/>
      <c r="BV949" s="40"/>
      <c r="BW949" s="40"/>
      <c r="BX949" s="40"/>
      <c r="BY949" s="40"/>
      <c r="BZ949" s="40"/>
      <c r="CA949" s="40"/>
      <c r="CB949" s="40"/>
      <c r="CC949" s="40"/>
      <c r="CD949" s="40"/>
      <c r="CE949" s="40"/>
      <c r="CF949" s="40"/>
      <c r="CG949" s="40"/>
      <c r="CH949" s="40"/>
      <c r="CI949" s="40"/>
      <c r="CJ949" s="40"/>
      <c r="CK949" s="40"/>
      <c r="CL949" s="40"/>
      <c r="CM949" s="40"/>
      <c r="CN949" s="40"/>
      <c r="CO949" s="40"/>
      <c r="CP949" s="40"/>
      <c r="CQ949" s="40"/>
      <c r="CR949" s="40"/>
      <c r="CS949" s="40"/>
      <c r="CT949" s="40"/>
      <c r="CU949" s="40"/>
      <c r="CV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  <c r="BS950" s="40"/>
      <c r="BT950" s="40"/>
      <c r="BU950" s="40"/>
      <c r="BV950" s="40"/>
      <c r="BW950" s="40"/>
      <c r="BX950" s="40"/>
      <c r="BY950" s="40"/>
      <c r="BZ950" s="40"/>
      <c r="CA950" s="40"/>
      <c r="CB950" s="40"/>
      <c r="CC950" s="40"/>
      <c r="CD950" s="40"/>
      <c r="CE950" s="40"/>
      <c r="CF950" s="40"/>
      <c r="CG950" s="40"/>
      <c r="CH950" s="40"/>
      <c r="CI950" s="40"/>
      <c r="CJ950" s="40"/>
      <c r="CK950" s="40"/>
      <c r="CL950" s="40"/>
      <c r="CM950" s="40"/>
      <c r="CN950" s="40"/>
      <c r="CO950" s="40"/>
      <c r="CP950" s="40"/>
      <c r="CQ950" s="40"/>
      <c r="CR950" s="40"/>
      <c r="CS950" s="40"/>
      <c r="CT950" s="40"/>
      <c r="CU950" s="40"/>
      <c r="CV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  <c r="BS951" s="40"/>
      <c r="BT951" s="40"/>
      <c r="BU951" s="40"/>
      <c r="BV951" s="40"/>
      <c r="BW951" s="40"/>
      <c r="BX951" s="40"/>
      <c r="BY951" s="40"/>
      <c r="BZ951" s="40"/>
      <c r="CA951" s="40"/>
      <c r="CB951" s="40"/>
      <c r="CC951" s="40"/>
      <c r="CD951" s="40"/>
      <c r="CE951" s="40"/>
      <c r="CF951" s="40"/>
      <c r="CG951" s="40"/>
      <c r="CH951" s="40"/>
      <c r="CI951" s="40"/>
      <c r="CJ951" s="40"/>
      <c r="CK951" s="40"/>
      <c r="CL951" s="40"/>
      <c r="CM951" s="40"/>
      <c r="CN951" s="40"/>
      <c r="CO951" s="40"/>
      <c r="CP951" s="40"/>
      <c r="CQ951" s="40"/>
      <c r="CR951" s="40"/>
      <c r="CS951" s="40"/>
      <c r="CT951" s="40"/>
      <c r="CU951" s="40"/>
      <c r="CV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  <c r="BS952" s="40"/>
      <c r="BT952" s="40"/>
      <c r="BU952" s="40"/>
      <c r="BV952" s="40"/>
      <c r="BW952" s="40"/>
      <c r="BX952" s="40"/>
      <c r="BY952" s="40"/>
      <c r="BZ952" s="40"/>
      <c r="CA952" s="40"/>
      <c r="CB952" s="40"/>
      <c r="CC952" s="40"/>
      <c r="CD952" s="40"/>
      <c r="CE952" s="40"/>
      <c r="CF952" s="40"/>
      <c r="CG952" s="40"/>
      <c r="CH952" s="40"/>
      <c r="CI952" s="40"/>
      <c r="CJ952" s="40"/>
      <c r="CK952" s="40"/>
      <c r="CL952" s="40"/>
      <c r="CM952" s="40"/>
      <c r="CN952" s="40"/>
      <c r="CO952" s="40"/>
      <c r="CP952" s="40"/>
      <c r="CQ952" s="40"/>
      <c r="CR952" s="40"/>
      <c r="CS952" s="40"/>
      <c r="CT952" s="40"/>
      <c r="CU952" s="40"/>
      <c r="CV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  <c r="BS953" s="40"/>
      <c r="BT953" s="40"/>
      <c r="BU953" s="40"/>
      <c r="BV953" s="40"/>
      <c r="BW953" s="40"/>
      <c r="BX953" s="40"/>
      <c r="BY953" s="40"/>
      <c r="BZ953" s="40"/>
      <c r="CA953" s="40"/>
      <c r="CB953" s="40"/>
      <c r="CC953" s="40"/>
      <c r="CD953" s="40"/>
      <c r="CE953" s="40"/>
      <c r="CF953" s="40"/>
      <c r="CG953" s="40"/>
      <c r="CH953" s="40"/>
      <c r="CI953" s="40"/>
      <c r="CJ953" s="40"/>
      <c r="CK953" s="40"/>
      <c r="CL953" s="40"/>
      <c r="CM953" s="40"/>
      <c r="CN953" s="40"/>
      <c r="CO953" s="40"/>
      <c r="CP953" s="40"/>
      <c r="CQ953" s="40"/>
      <c r="CR953" s="40"/>
      <c r="CS953" s="40"/>
      <c r="CT953" s="40"/>
      <c r="CU953" s="40"/>
      <c r="CV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  <c r="BS954" s="40"/>
      <c r="BT954" s="40"/>
      <c r="BU954" s="40"/>
      <c r="BV954" s="40"/>
      <c r="BW954" s="40"/>
      <c r="BX954" s="40"/>
      <c r="BY954" s="40"/>
      <c r="BZ954" s="40"/>
      <c r="CA954" s="40"/>
      <c r="CB954" s="40"/>
      <c r="CC954" s="40"/>
      <c r="CD954" s="40"/>
      <c r="CE954" s="40"/>
      <c r="CF954" s="40"/>
      <c r="CG954" s="40"/>
      <c r="CH954" s="40"/>
      <c r="CI954" s="40"/>
      <c r="CJ954" s="40"/>
      <c r="CK954" s="40"/>
      <c r="CL954" s="40"/>
      <c r="CM954" s="40"/>
      <c r="CN954" s="40"/>
      <c r="CO954" s="40"/>
      <c r="CP954" s="40"/>
      <c r="CQ954" s="40"/>
      <c r="CR954" s="40"/>
      <c r="CS954" s="40"/>
      <c r="CT954" s="40"/>
      <c r="CU954" s="40"/>
      <c r="CV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  <c r="BS955" s="40"/>
      <c r="BT955" s="40"/>
      <c r="BU955" s="40"/>
      <c r="BV955" s="40"/>
      <c r="BW955" s="40"/>
      <c r="BX955" s="40"/>
      <c r="BY955" s="40"/>
      <c r="BZ955" s="40"/>
      <c r="CA955" s="40"/>
      <c r="CB955" s="40"/>
      <c r="CC955" s="40"/>
      <c r="CD955" s="40"/>
      <c r="CE955" s="40"/>
      <c r="CF955" s="40"/>
      <c r="CG955" s="40"/>
      <c r="CH955" s="40"/>
      <c r="CI955" s="40"/>
      <c r="CJ955" s="40"/>
      <c r="CK955" s="40"/>
      <c r="CL955" s="40"/>
      <c r="CM955" s="40"/>
      <c r="CN955" s="40"/>
      <c r="CO955" s="40"/>
      <c r="CP955" s="40"/>
      <c r="CQ955" s="40"/>
      <c r="CR955" s="40"/>
      <c r="CS955" s="40"/>
      <c r="CT955" s="40"/>
      <c r="CU955" s="40"/>
      <c r="CV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  <c r="BS956" s="40"/>
      <c r="BT956" s="40"/>
      <c r="BU956" s="40"/>
      <c r="BV956" s="40"/>
      <c r="BW956" s="40"/>
      <c r="BX956" s="40"/>
      <c r="BY956" s="40"/>
      <c r="BZ956" s="40"/>
      <c r="CA956" s="40"/>
      <c r="CB956" s="40"/>
      <c r="CC956" s="40"/>
      <c r="CD956" s="40"/>
      <c r="CE956" s="40"/>
      <c r="CF956" s="40"/>
      <c r="CG956" s="40"/>
      <c r="CH956" s="40"/>
      <c r="CI956" s="40"/>
      <c r="CJ956" s="40"/>
      <c r="CK956" s="40"/>
      <c r="CL956" s="40"/>
      <c r="CM956" s="40"/>
      <c r="CN956" s="40"/>
      <c r="CO956" s="40"/>
      <c r="CP956" s="40"/>
      <c r="CQ956" s="40"/>
      <c r="CR956" s="40"/>
      <c r="CS956" s="40"/>
      <c r="CT956" s="40"/>
      <c r="CU956" s="40"/>
      <c r="CV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  <c r="BS957" s="40"/>
      <c r="BT957" s="40"/>
      <c r="BU957" s="40"/>
      <c r="BV957" s="40"/>
      <c r="BW957" s="40"/>
      <c r="BX957" s="40"/>
      <c r="BY957" s="40"/>
      <c r="BZ957" s="40"/>
      <c r="CA957" s="40"/>
      <c r="CB957" s="40"/>
      <c r="CC957" s="40"/>
      <c r="CD957" s="40"/>
      <c r="CE957" s="40"/>
      <c r="CF957" s="40"/>
      <c r="CG957" s="40"/>
      <c r="CH957" s="40"/>
      <c r="CI957" s="40"/>
      <c r="CJ957" s="40"/>
      <c r="CK957" s="40"/>
      <c r="CL957" s="40"/>
      <c r="CM957" s="40"/>
      <c r="CN957" s="40"/>
      <c r="CO957" s="40"/>
      <c r="CP957" s="40"/>
      <c r="CQ957" s="40"/>
      <c r="CR957" s="40"/>
      <c r="CS957" s="40"/>
      <c r="CT957" s="40"/>
      <c r="CU957" s="40"/>
      <c r="CV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  <c r="BS958" s="40"/>
      <c r="BT958" s="40"/>
      <c r="BU958" s="40"/>
      <c r="BV958" s="40"/>
      <c r="BW958" s="40"/>
      <c r="BX958" s="40"/>
      <c r="BY958" s="40"/>
      <c r="BZ958" s="40"/>
      <c r="CA958" s="40"/>
      <c r="CB958" s="40"/>
      <c r="CC958" s="40"/>
      <c r="CD958" s="40"/>
      <c r="CE958" s="40"/>
      <c r="CF958" s="40"/>
      <c r="CG958" s="40"/>
      <c r="CH958" s="40"/>
      <c r="CI958" s="40"/>
      <c r="CJ958" s="40"/>
      <c r="CK958" s="40"/>
      <c r="CL958" s="40"/>
      <c r="CM958" s="40"/>
      <c r="CN958" s="40"/>
      <c r="CO958" s="40"/>
      <c r="CP958" s="40"/>
      <c r="CQ958" s="40"/>
      <c r="CR958" s="40"/>
      <c r="CS958" s="40"/>
      <c r="CT958" s="40"/>
      <c r="CU958" s="40"/>
      <c r="CV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  <c r="BS959" s="40"/>
      <c r="BT959" s="40"/>
      <c r="BU959" s="40"/>
      <c r="BV959" s="40"/>
      <c r="BW959" s="40"/>
      <c r="BX959" s="40"/>
      <c r="BY959" s="40"/>
      <c r="BZ959" s="40"/>
      <c r="CA959" s="40"/>
      <c r="CB959" s="40"/>
      <c r="CC959" s="40"/>
      <c r="CD959" s="40"/>
      <c r="CE959" s="40"/>
      <c r="CF959" s="40"/>
      <c r="CG959" s="40"/>
      <c r="CH959" s="40"/>
      <c r="CI959" s="40"/>
      <c r="CJ959" s="40"/>
      <c r="CK959" s="40"/>
      <c r="CL959" s="40"/>
      <c r="CM959" s="40"/>
      <c r="CN959" s="40"/>
      <c r="CO959" s="40"/>
      <c r="CP959" s="40"/>
      <c r="CQ959" s="40"/>
      <c r="CR959" s="40"/>
      <c r="CS959" s="40"/>
      <c r="CT959" s="40"/>
      <c r="CU959" s="40"/>
      <c r="CV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  <c r="BS960" s="40"/>
      <c r="BT960" s="40"/>
      <c r="BU960" s="40"/>
      <c r="BV960" s="40"/>
      <c r="BW960" s="40"/>
      <c r="BX960" s="40"/>
      <c r="BY960" s="40"/>
      <c r="BZ960" s="40"/>
      <c r="CA960" s="40"/>
      <c r="CB960" s="40"/>
      <c r="CC960" s="40"/>
      <c r="CD960" s="40"/>
      <c r="CE960" s="40"/>
      <c r="CF960" s="40"/>
      <c r="CG960" s="40"/>
      <c r="CH960" s="40"/>
      <c r="CI960" s="40"/>
      <c r="CJ960" s="40"/>
      <c r="CK960" s="40"/>
      <c r="CL960" s="40"/>
      <c r="CM960" s="40"/>
      <c r="CN960" s="40"/>
      <c r="CO960" s="40"/>
      <c r="CP960" s="40"/>
      <c r="CQ960" s="40"/>
      <c r="CR960" s="40"/>
      <c r="CS960" s="40"/>
      <c r="CT960" s="40"/>
      <c r="CU960" s="40"/>
      <c r="CV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  <c r="BU961" s="40"/>
      <c r="BV961" s="40"/>
      <c r="BW961" s="40"/>
      <c r="BX961" s="40"/>
      <c r="BY961" s="40"/>
      <c r="BZ961" s="40"/>
      <c r="CA961" s="40"/>
      <c r="CB961" s="40"/>
      <c r="CC961" s="40"/>
      <c r="CD961" s="40"/>
      <c r="CE961" s="40"/>
      <c r="CF961" s="40"/>
      <c r="CG961" s="40"/>
      <c r="CH961" s="40"/>
      <c r="CI961" s="40"/>
      <c r="CJ961" s="40"/>
      <c r="CK961" s="40"/>
      <c r="CL961" s="40"/>
      <c r="CM961" s="40"/>
      <c r="CN961" s="40"/>
      <c r="CO961" s="40"/>
      <c r="CP961" s="40"/>
      <c r="CQ961" s="40"/>
      <c r="CR961" s="40"/>
      <c r="CS961" s="40"/>
      <c r="CT961" s="40"/>
      <c r="CU961" s="40"/>
      <c r="CV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  <c r="BU962" s="40"/>
      <c r="BV962" s="40"/>
      <c r="BW962" s="40"/>
      <c r="BX962" s="40"/>
      <c r="BY962" s="40"/>
      <c r="BZ962" s="40"/>
      <c r="CA962" s="40"/>
      <c r="CB962" s="40"/>
      <c r="CC962" s="40"/>
      <c r="CD962" s="40"/>
      <c r="CE962" s="40"/>
      <c r="CF962" s="40"/>
      <c r="CG962" s="40"/>
      <c r="CH962" s="40"/>
      <c r="CI962" s="40"/>
      <c r="CJ962" s="40"/>
      <c r="CK962" s="40"/>
      <c r="CL962" s="40"/>
      <c r="CM962" s="40"/>
      <c r="CN962" s="40"/>
      <c r="CO962" s="40"/>
      <c r="CP962" s="40"/>
      <c r="CQ962" s="40"/>
      <c r="CR962" s="40"/>
      <c r="CS962" s="40"/>
      <c r="CT962" s="40"/>
      <c r="CU962" s="40"/>
      <c r="CV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  <c r="BS963" s="40"/>
      <c r="BT963" s="40"/>
      <c r="BU963" s="40"/>
      <c r="BV963" s="40"/>
      <c r="BW963" s="40"/>
      <c r="BX963" s="40"/>
      <c r="BY963" s="40"/>
      <c r="BZ963" s="40"/>
      <c r="CA963" s="40"/>
      <c r="CB963" s="40"/>
      <c r="CC963" s="40"/>
      <c r="CD963" s="40"/>
      <c r="CE963" s="40"/>
      <c r="CF963" s="40"/>
      <c r="CG963" s="40"/>
      <c r="CH963" s="40"/>
      <c r="CI963" s="40"/>
      <c r="CJ963" s="40"/>
      <c r="CK963" s="40"/>
      <c r="CL963" s="40"/>
      <c r="CM963" s="40"/>
      <c r="CN963" s="40"/>
      <c r="CO963" s="40"/>
      <c r="CP963" s="40"/>
      <c r="CQ963" s="40"/>
      <c r="CR963" s="40"/>
      <c r="CS963" s="40"/>
      <c r="CT963" s="40"/>
      <c r="CU963" s="40"/>
      <c r="CV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  <c r="BS964" s="40"/>
      <c r="BT964" s="40"/>
      <c r="BU964" s="40"/>
      <c r="BV964" s="40"/>
      <c r="BW964" s="40"/>
      <c r="BX964" s="40"/>
      <c r="BY964" s="40"/>
      <c r="BZ964" s="40"/>
      <c r="CA964" s="40"/>
      <c r="CB964" s="40"/>
      <c r="CC964" s="40"/>
      <c r="CD964" s="40"/>
      <c r="CE964" s="40"/>
      <c r="CF964" s="40"/>
      <c r="CG964" s="40"/>
      <c r="CH964" s="40"/>
      <c r="CI964" s="40"/>
      <c r="CJ964" s="40"/>
      <c r="CK964" s="40"/>
      <c r="CL964" s="40"/>
      <c r="CM964" s="40"/>
      <c r="CN964" s="40"/>
      <c r="CO964" s="40"/>
      <c r="CP964" s="40"/>
      <c r="CQ964" s="40"/>
      <c r="CR964" s="40"/>
      <c r="CS964" s="40"/>
      <c r="CT964" s="40"/>
      <c r="CU964" s="40"/>
      <c r="CV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  <c r="BU965" s="40"/>
      <c r="BV965" s="40"/>
      <c r="BW965" s="40"/>
      <c r="BX965" s="40"/>
      <c r="BY965" s="40"/>
      <c r="BZ965" s="40"/>
      <c r="CA965" s="40"/>
      <c r="CB965" s="40"/>
      <c r="CC965" s="40"/>
      <c r="CD965" s="40"/>
      <c r="CE965" s="40"/>
      <c r="CF965" s="40"/>
      <c r="CG965" s="40"/>
      <c r="CH965" s="40"/>
      <c r="CI965" s="40"/>
      <c r="CJ965" s="40"/>
      <c r="CK965" s="40"/>
      <c r="CL965" s="40"/>
      <c r="CM965" s="40"/>
      <c r="CN965" s="40"/>
      <c r="CO965" s="40"/>
      <c r="CP965" s="40"/>
      <c r="CQ965" s="40"/>
      <c r="CR965" s="40"/>
      <c r="CS965" s="40"/>
      <c r="CT965" s="40"/>
      <c r="CU965" s="40"/>
      <c r="CV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  <c r="BS966" s="40"/>
      <c r="BT966" s="40"/>
      <c r="BU966" s="40"/>
      <c r="BV966" s="40"/>
      <c r="BW966" s="40"/>
      <c r="BX966" s="40"/>
      <c r="BY966" s="40"/>
      <c r="BZ966" s="40"/>
      <c r="CA966" s="40"/>
      <c r="CB966" s="40"/>
      <c r="CC966" s="40"/>
      <c r="CD966" s="40"/>
      <c r="CE966" s="40"/>
      <c r="CF966" s="40"/>
      <c r="CG966" s="40"/>
      <c r="CH966" s="40"/>
      <c r="CI966" s="40"/>
      <c r="CJ966" s="40"/>
      <c r="CK966" s="40"/>
      <c r="CL966" s="40"/>
      <c r="CM966" s="40"/>
      <c r="CN966" s="40"/>
      <c r="CO966" s="40"/>
      <c r="CP966" s="40"/>
      <c r="CQ966" s="40"/>
      <c r="CR966" s="40"/>
      <c r="CS966" s="40"/>
      <c r="CT966" s="40"/>
      <c r="CU966" s="40"/>
      <c r="CV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  <c r="BS967" s="40"/>
      <c r="BT967" s="40"/>
      <c r="BU967" s="40"/>
      <c r="BV967" s="40"/>
      <c r="BW967" s="40"/>
      <c r="BX967" s="40"/>
      <c r="BY967" s="40"/>
      <c r="BZ967" s="40"/>
      <c r="CA967" s="40"/>
      <c r="CB967" s="40"/>
      <c r="CC967" s="40"/>
      <c r="CD967" s="40"/>
      <c r="CE967" s="40"/>
      <c r="CF967" s="40"/>
      <c r="CG967" s="40"/>
      <c r="CH967" s="40"/>
      <c r="CI967" s="40"/>
      <c r="CJ967" s="40"/>
      <c r="CK967" s="40"/>
      <c r="CL967" s="40"/>
      <c r="CM967" s="40"/>
      <c r="CN967" s="40"/>
      <c r="CO967" s="40"/>
      <c r="CP967" s="40"/>
      <c r="CQ967" s="40"/>
      <c r="CR967" s="40"/>
      <c r="CS967" s="40"/>
      <c r="CT967" s="40"/>
      <c r="CU967" s="40"/>
      <c r="CV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  <c r="BS968" s="40"/>
      <c r="BT968" s="40"/>
      <c r="BU968" s="40"/>
      <c r="BV968" s="40"/>
      <c r="BW968" s="40"/>
      <c r="BX968" s="40"/>
      <c r="BY968" s="40"/>
      <c r="BZ968" s="40"/>
      <c r="CA968" s="40"/>
      <c r="CB968" s="40"/>
      <c r="CC968" s="40"/>
      <c r="CD968" s="40"/>
      <c r="CE968" s="40"/>
      <c r="CF968" s="40"/>
      <c r="CG968" s="40"/>
      <c r="CH968" s="40"/>
      <c r="CI968" s="40"/>
      <c r="CJ968" s="40"/>
      <c r="CK968" s="40"/>
      <c r="CL968" s="40"/>
      <c r="CM968" s="40"/>
      <c r="CN968" s="40"/>
      <c r="CO968" s="40"/>
      <c r="CP968" s="40"/>
      <c r="CQ968" s="40"/>
      <c r="CR968" s="40"/>
      <c r="CS968" s="40"/>
      <c r="CT968" s="40"/>
      <c r="CU968" s="40"/>
      <c r="CV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  <c r="BS969" s="40"/>
      <c r="BT969" s="40"/>
      <c r="BU969" s="40"/>
      <c r="BV969" s="40"/>
      <c r="BW969" s="40"/>
      <c r="BX969" s="40"/>
      <c r="BY969" s="40"/>
      <c r="BZ969" s="40"/>
      <c r="CA969" s="40"/>
      <c r="CB969" s="40"/>
      <c r="CC969" s="40"/>
      <c r="CD969" s="40"/>
      <c r="CE969" s="40"/>
      <c r="CF969" s="40"/>
      <c r="CG969" s="40"/>
      <c r="CH969" s="40"/>
      <c r="CI969" s="40"/>
      <c r="CJ969" s="40"/>
      <c r="CK969" s="40"/>
      <c r="CL969" s="40"/>
      <c r="CM969" s="40"/>
      <c r="CN969" s="40"/>
      <c r="CO969" s="40"/>
      <c r="CP969" s="40"/>
      <c r="CQ969" s="40"/>
      <c r="CR969" s="40"/>
      <c r="CS969" s="40"/>
      <c r="CT969" s="40"/>
      <c r="CU969" s="40"/>
      <c r="CV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  <c r="BS970" s="40"/>
      <c r="BT970" s="40"/>
      <c r="BU970" s="40"/>
      <c r="BV970" s="40"/>
      <c r="BW970" s="40"/>
      <c r="BX970" s="40"/>
      <c r="BY970" s="40"/>
      <c r="BZ970" s="40"/>
      <c r="CA970" s="40"/>
      <c r="CB970" s="40"/>
      <c r="CC970" s="40"/>
      <c r="CD970" s="40"/>
      <c r="CE970" s="40"/>
      <c r="CF970" s="40"/>
      <c r="CG970" s="40"/>
      <c r="CH970" s="40"/>
      <c r="CI970" s="40"/>
      <c r="CJ970" s="40"/>
      <c r="CK970" s="40"/>
      <c r="CL970" s="40"/>
      <c r="CM970" s="40"/>
      <c r="CN970" s="40"/>
      <c r="CO970" s="40"/>
      <c r="CP970" s="40"/>
      <c r="CQ970" s="40"/>
      <c r="CR970" s="40"/>
      <c r="CS970" s="40"/>
      <c r="CT970" s="40"/>
      <c r="CU970" s="40"/>
      <c r="CV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  <c r="BS971" s="40"/>
      <c r="BT971" s="40"/>
      <c r="BU971" s="40"/>
      <c r="BV971" s="40"/>
      <c r="BW971" s="40"/>
      <c r="BX971" s="40"/>
      <c r="BY971" s="40"/>
      <c r="BZ971" s="40"/>
      <c r="CA971" s="40"/>
      <c r="CB971" s="40"/>
      <c r="CC971" s="40"/>
      <c r="CD971" s="40"/>
      <c r="CE971" s="40"/>
      <c r="CF971" s="40"/>
      <c r="CG971" s="40"/>
      <c r="CH971" s="40"/>
      <c r="CI971" s="40"/>
      <c r="CJ971" s="40"/>
      <c r="CK971" s="40"/>
      <c r="CL971" s="40"/>
      <c r="CM971" s="40"/>
      <c r="CN971" s="40"/>
      <c r="CO971" s="40"/>
      <c r="CP971" s="40"/>
      <c r="CQ971" s="40"/>
      <c r="CR971" s="40"/>
      <c r="CS971" s="40"/>
      <c r="CT971" s="40"/>
      <c r="CU971" s="40"/>
      <c r="CV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  <c r="BS972" s="40"/>
      <c r="BT972" s="40"/>
      <c r="BU972" s="40"/>
      <c r="BV972" s="40"/>
      <c r="BW972" s="40"/>
      <c r="BX972" s="40"/>
      <c r="BY972" s="40"/>
      <c r="BZ972" s="40"/>
      <c r="CA972" s="40"/>
      <c r="CB972" s="40"/>
      <c r="CC972" s="40"/>
      <c r="CD972" s="40"/>
      <c r="CE972" s="40"/>
      <c r="CF972" s="40"/>
      <c r="CG972" s="40"/>
      <c r="CH972" s="40"/>
      <c r="CI972" s="40"/>
      <c r="CJ972" s="40"/>
      <c r="CK972" s="40"/>
      <c r="CL972" s="40"/>
      <c r="CM972" s="40"/>
      <c r="CN972" s="40"/>
      <c r="CO972" s="40"/>
      <c r="CP972" s="40"/>
      <c r="CQ972" s="40"/>
      <c r="CR972" s="40"/>
      <c r="CS972" s="40"/>
      <c r="CT972" s="40"/>
      <c r="CU972" s="40"/>
      <c r="CV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  <c r="BS973" s="40"/>
      <c r="BT973" s="40"/>
      <c r="BU973" s="40"/>
      <c r="BV973" s="40"/>
      <c r="BW973" s="40"/>
      <c r="BX973" s="40"/>
      <c r="BY973" s="40"/>
      <c r="BZ973" s="40"/>
      <c r="CA973" s="40"/>
      <c r="CB973" s="40"/>
      <c r="CC973" s="40"/>
      <c r="CD973" s="40"/>
      <c r="CE973" s="40"/>
      <c r="CF973" s="40"/>
      <c r="CG973" s="40"/>
      <c r="CH973" s="40"/>
      <c r="CI973" s="40"/>
      <c r="CJ973" s="40"/>
      <c r="CK973" s="40"/>
      <c r="CL973" s="40"/>
      <c r="CM973" s="40"/>
      <c r="CN973" s="40"/>
      <c r="CO973" s="40"/>
      <c r="CP973" s="40"/>
      <c r="CQ973" s="40"/>
      <c r="CR973" s="40"/>
      <c r="CS973" s="40"/>
      <c r="CT973" s="40"/>
      <c r="CU973" s="40"/>
      <c r="CV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  <c r="BS974" s="40"/>
      <c r="BT974" s="40"/>
      <c r="BU974" s="40"/>
      <c r="BV974" s="40"/>
      <c r="BW974" s="40"/>
      <c r="BX974" s="40"/>
      <c r="BY974" s="40"/>
      <c r="BZ974" s="40"/>
      <c r="CA974" s="40"/>
      <c r="CB974" s="40"/>
      <c r="CC974" s="40"/>
      <c r="CD974" s="40"/>
      <c r="CE974" s="40"/>
      <c r="CF974" s="40"/>
      <c r="CG974" s="40"/>
      <c r="CH974" s="40"/>
      <c r="CI974" s="40"/>
      <c r="CJ974" s="40"/>
      <c r="CK974" s="40"/>
      <c r="CL974" s="40"/>
      <c r="CM974" s="40"/>
      <c r="CN974" s="40"/>
      <c r="CO974" s="40"/>
      <c r="CP974" s="40"/>
      <c r="CQ974" s="40"/>
      <c r="CR974" s="40"/>
      <c r="CS974" s="40"/>
      <c r="CT974" s="40"/>
      <c r="CU974" s="40"/>
      <c r="CV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  <c r="BS975" s="40"/>
      <c r="BT975" s="40"/>
      <c r="BU975" s="40"/>
      <c r="BV975" s="40"/>
      <c r="BW975" s="40"/>
      <c r="BX975" s="40"/>
      <c r="BY975" s="40"/>
      <c r="BZ975" s="40"/>
      <c r="CA975" s="40"/>
      <c r="CB975" s="40"/>
      <c r="CC975" s="40"/>
      <c r="CD975" s="40"/>
      <c r="CE975" s="40"/>
      <c r="CF975" s="40"/>
      <c r="CG975" s="40"/>
      <c r="CH975" s="40"/>
      <c r="CI975" s="40"/>
      <c r="CJ975" s="40"/>
      <c r="CK975" s="40"/>
      <c r="CL975" s="40"/>
      <c r="CM975" s="40"/>
      <c r="CN975" s="40"/>
      <c r="CO975" s="40"/>
      <c r="CP975" s="40"/>
      <c r="CQ975" s="40"/>
      <c r="CR975" s="40"/>
      <c r="CS975" s="40"/>
      <c r="CT975" s="40"/>
      <c r="CU975" s="40"/>
      <c r="CV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  <c r="BS976" s="40"/>
      <c r="BT976" s="40"/>
      <c r="BU976" s="40"/>
      <c r="BV976" s="40"/>
      <c r="BW976" s="40"/>
      <c r="BX976" s="40"/>
      <c r="BY976" s="40"/>
      <c r="BZ976" s="40"/>
      <c r="CA976" s="40"/>
      <c r="CB976" s="40"/>
      <c r="CC976" s="40"/>
      <c r="CD976" s="40"/>
      <c r="CE976" s="40"/>
      <c r="CF976" s="40"/>
      <c r="CG976" s="40"/>
      <c r="CH976" s="40"/>
      <c r="CI976" s="40"/>
      <c r="CJ976" s="40"/>
      <c r="CK976" s="40"/>
      <c r="CL976" s="40"/>
      <c r="CM976" s="40"/>
      <c r="CN976" s="40"/>
      <c r="CO976" s="40"/>
      <c r="CP976" s="40"/>
      <c r="CQ976" s="40"/>
      <c r="CR976" s="40"/>
      <c r="CS976" s="40"/>
      <c r="CT976" s="40"/>
      <c r="CU976" s="40"/>
      <c r="CV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  <c r="BS977" s="40"/>
      <c r="BT977" s="40"/>
      <c r="BU977" s="40"/>
      <c r="BV977" s="40"/>
      <c r="BW977" s="40"/>
      <c r="BX977" s="40"/>
      <c r="BY977" s="40"/>
      <c r="BZ977" s="40"/>
      <c r="CA977" s="40"/>
      <c r="CB977" s="40"/>
      <c r="CC977" s="40"/>
      <c r="CD977" s="40"/>
      <c r="CE977" s="40"/>
      <c r="CF977" s="40"/>
      <c r="CG977" s="40"/>
      <c r="CH977" s="40"/>
      <c r="CI977" s="40"/>
      <c r="CJ977" s="40"/>
      <c r="CK977" s="40"/>
      <c r="CL977" s="40"/>
      <c r="CM977" s="40"/>
      <c r="CN977" s="40"/>
      <c r="CO977" s="40"/>
      <c r="CP977" s="40"/>
      <c r="CQ977" s="40"/>
      <c r="CR977" s="40"/>
      <c r="CS977" s="40"/>
      <c r="CT977" s="40"/>
      <c r="CU977" s="40"/>
      <c r="CV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  <c r="BS978" s="40"/>
      <c r="BT978" s="40"/>
      <c r="BU978" s="40"/>
      <c r="BV978" s="40"/>
      <c r="BW978" s="40"/>
      <c r="BX978" s="40"/>
      <c r="BY978" s="40"/>
      <c r="BZ978" s="40"/>
      <c r="CA978" s="40"/>
      <c r="CB978" s="40"/>
      <c r="CC978" s="40"/>
      <c r="CD978" s="40"/>
      <c r="CE978" s="40"/>
      <c r="CF978" s="40"/>
      <c r="CG978" s="40"/>
      <c r="CH978" s="40"/>
      <c r="CI978" s="40"/>
      <c r="CJ978" s="40"/>
      <c r="CK978" s="40"/>
      <c r="CL978" s="40"/>
      <c r="CM978" s="40"/>
      <c r="CN978" s="40"/>
      <c r="CO978" s="40"/>
      <c r="CP978" s="40"/>
      <c r="CQ978" s="40"/>
      <c r="CR978" s="40"/>
      <c r="CS978" s="40"/>
      <c r="CT978" s="40"/>
      <c r="CU978" s="40"/>
      <c r="CV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  <c r="BU979" s="40"/>
      <c r="BV979" s="40"/>
      <c r="BW979" s="40"/>
      <c r="BX979" s="40"/>
      <c r="BY979" s="40"/>
      <c r="BZ979" s="40"/>
      <c r="CA979" s="40"/>
      <c r="CB979" s="40"/>
      <c r="CC979" s="40"/>
      <c r="CD979" s="40"/>
      <c r="CE979" s="40"/>
      <c r="CF979" s="40"/>
      <c r="CG979" s="40"/>
      <c r="CH979" s="40"/>
      <c r="CI979" s="40"/>
      <c r="CJ979" s="40"/>
      <c r="CK979" s="40"/>
      <c r="CL979" s="40"/>
      <c r="CM979" s="40"/>
      <c r="CN979" s="40"/>
      <c r="CO979" s="40"/>
      <c r="CP979" s="40"/>
      <c r="CQ979" s="40"/>
      <c r="CR979" s="40"/>
      <c r="CS979" s="40"/>
      <c r="CT979" s="40"/>
      <c r="CU979" s="40"/>
      <c r="CV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  <c r="BS980" s="40"/>
      <c r="BT980" s="40"/>
      <c r="BU980" s="40"/>
      <c r="BV980" s="40"/>
      <c r="BW980" s="40"/>
      <c r="BX980" s="40"/>
      <c r="BY980" s="40"/>
      <c r="BZ980" s="40"/>
      <c r="CA980" s="40"/>
      <c r="CB980" s="40"/>
      <c r="CC980" s="40"/>
      <c r="CD980" s="40"/>
      <c r="CE980" s="40"/>
      <c r="CF980" s="40"/>
      <c r="CG980" s="40"/>
      <c r="CH980" s="40"/>
      <c r="CI980" s="40"/>
      <c r="CJ980" s="40"/>
      <c r="CK980" s="40"/>
      <c r="CL980" s="40"/>
      <c r="CM980" s="40"/>
      <c r="CN980" s="40"/>
      <c r="CO980" s="40"/>
      <c r="CP980" s="40"/>
      <c r="CQ980" s="40"/>
      <c r="CR980" s="40"/>
      <c r="CS980" s="40"/>
      <c r="CT980" s="40"/>
      <c r="CU980" s="40"/>
      <c r="CV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  <c r="BS981" s="40"/>
      <c r="BT981" s="40"/>
      <c r="BU981" s="40"/>
      <c r="BV981" s="40"/>
      <c r="BW981" s="40"/>
      <c r="BX981" s="40"/>
      <c r="BY981" s="40"/>
      <c r="BZ981" s="40"/>
      <c r="CA981" s="40"/>
      <c r="CB981" s="40"/>
      <c r="CC981" s="40"/>
      <c r="CD981" s="40"/>
      <c r="CE981" s="40"/>
      <c r="CF981" s="40"/>
      <c r="CG981" s="40"/>
      <c r="CH981" s="40"/>
      <c r="CI981" s="40"/>
      <c r="CJ981" s="40"/>
      <c r="CK981" s="40"/>
      <c r="CL981" s="40"/>
      <c r="CM981" s="40"/>
      <c r="CN981" s="40"/>
      <c r="CO981" s="40"/>
      <c r="CP981" s="40"/>
      <c r="CQ981" s="40"/>
      <c r="CR981" s="40"/>
      <c r="CS981" s="40"/>
      <c r="CT981" s="40"/>
      <c r="CU981" s="40"/>
      <c r="CV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  <c r="BS982" s="40"/>
      <c r="BT982" s="40"/>
      <c r="BU982" s="40"/>
      <c r="BV982" s="40"/>
      <c r="BW982" s="40"/>
      <c r="BX982" s="40"/>
      <c r="BY982" s="40"/>
      <c r="BZ982" s="40"/>
      <c r="CA982" s="40"/>
      <c r="CB982" s="40"/>
      <c r="CC982" s="40"/>
      <c r="CD982" s="40"/>
      <c r="CE982" s="40"/>
      <c r="CF982" s="40"/>
      <c r="CG982" s="40"/>
      <c r="CH982" s="40"/>
      <c r="CI982" s="40"/>
      <c r="CJ982" s="40"/>
      <c r="CK982" s="40"/>
      <c r="CL982" s="40"/>
      <c r="CM982" s="40"/>
      <c r="CN982" s="40"/>
      <c r="CO982" s="40"/>
      <c r="CP982" s="40"/>
      <c r="CQ982" s="40"/>
      <c r="CR982" s="40"/>
      <c r="CS982" s="40"/>
      <c r="CT982" s="40"/>
      <c r="CU982" s="40"/>
      <c r="CV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  <c r="BS983" s="40"/>
      <c r="BT983" s="40"/>
      <c r="BU983" s="40"/>
      <c r="BV983" s="40"/>
      <c r="BW983" s="40"/>
      <c r="BX983" s="40"/>
      <c r="BY983" s="40"/>
      <c r="BZ983" s="40"/>
      <c r="CA983" s="40"/>
      <c r="CB983" s="40"/>
      <c r="CC983" s="40"/>
      <c r="CD983" s="40"/>
      <c r="CE983" s="40"/>
      <c r="CF983" s="40"/>
      <c r="CG983" s="40"/>
      <c r="CH983" s="40"/>
      <c r="CI983" s="40"/>
      <c r="CJ983" s="40"/>
      <c r="CK983" s="40"/>
      <c r="CL983" s="40"/>
      <c r="CM983" s="40"/>
      <c r="CN983" s="40"/>
      <c r="CO983" s="40"/>
      <c r="CP983" s="40"/>
      <c r="CQ983" s="40"/>
      <c r="CR983" s="40"/>
      <c r="CS983" s="40"/>
      <c r="CT983" s="40"/>
      <c r="CU983" s="40"/>
      <c r="CV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  <c r="BS984" s="40"/>
      <c r="BT984" s="40"/>
      <c r="BU984" s="40"/>
      <c r="BV984" s="40"/>
      <c r="BW984" s="40"/>
      <c r="BX984" s="40"/>
      <c r="BY984" s="40"/>
      <c r="BZ984" s="40"/>
      <c r="CA984" s="40"/>
      <c r="CB984" s="40"/>
      <c r="CC984" s="40"/>
      <c r="CD984" s="40"/>
      <c r="CE984" s="40"/>
      <c r="CF984" s="40"/>
      <c r="CG984" s="40"/>
      <c r="CH984" s="40"/>
      <c r="CI984" s="40"/>
      <c r="CJ984" s="40"/>
      <c r="CK984" s="40"/>
      <c r="CL984" s="40"/>
      <c r="CM984" s="40"/>
      <c r="CN984" s="40"/>
      <c r="CO984" s="40"/>
      <c r="CP984" s="40"/>
      <c r="CQ984" s="40"/>
      <c r="CR984" s="40"/>
      <c r="CS984" s="40"/>
      <c r="CT984" s="40"/>
      <c r="CU984" s="40"/>
      <c r="CV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  <c r="BS985" s="40"/>
      <c r="BT985" s="40"/>
      <c r="BU985" s="40"/>
      <c r="BV985" s="40"/>
      <c r="BW985" s="40"/>
      <c r="BX985" s="40"/>
      <c r="BY985" s="40"/>
      <c r="BZ985" s="40"/>
      <c r="CA985" s="40"/>
      <c r="CB985" s="40"/>
      <c r="CC985" s="40"/>
      <c r="CD985" s="40"/>
      <c r="CE985" s="40"/>
      <c r="CF985" s="40"/>
      <c r="CG985" s="40"/>
      <c r="CH985" s="40"/>
      <c r="CI985" s="40"/>
      <c r="CJ985" s="40"/>
      <c r="CK985" s="40"/>
      <c r="CL985" s="40"/>
      <c r="CM985" s="40"/>
      <c r="CN985" s="40"/>
      <c r="CO985" s="40"/>
      <c r="CP985" s="40"/>
      <c r="CQ985" s="40"/>
      <c r="CR985" s="40"/>
      <c r="CS985" s="40"/>
      <c r="CT985" s="40"/>
      <c r="CU985" s="40"/>
      <c r="CV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  <c r="BS986" s="40"/>
      <c r="BT986" s="40"/>
      <c r="BU986" s="40"/>
      <c r="BV986" s="40"/>
      <c r="BW986" s="40"/>
      <c r="BX986" s="40"/>
      <c r="BY986" s="40"/>
      <c r="BZ986" s="40"/>
      <c r="CA986" s="40"/>
      <c r="CB986" s="40"/>
      <c r="CC986" s="40"/>
      <c r="CD986" s="40"/>
      <c r="CE986" s="40"/>
      <c r="CF986" s="40"/>
      <c r="CG986" s="40"/>
      <c r="CH986" s="40"/>
      <c r="CI986" s="40"/>
      <c r="CJ986" s="40"/>
      <c r="CK986" s="40"/>
      <c r="CL986" s="40"/>
      <c r="CM986" s="40"/>
      <c r="CN986" s="40"/>
      <c r="CO986" s="40"/>
      <c r="CP986" s="40"/>
      <c r="CQ986" s="40"/>
      <c r="CR986" s="40"/>
      <c r="CS986" s="40"/>
      <c r="CT986" s="40"/>
      <c r="CU986" s="40"/>
      <c r="CV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  <c r="BS987" s="40"/>
      <c r="BT987" s="40"/>
      <c r="BU987" s="40"/>
      <c r="BV987" s="40"/>
      <c r="BW987" s="40"/>
      <c r="BX987" s="40"/>
      <c r="BY987" s="40"/>
      <c r="BZ987" s="40"/>
      <c r="CA987" s="40"/>
      <c r="CB987" s="40"/>
      <c r="CC987" s="40"/>
      <c r="CD987" s="40"/>
      <c r="CE987" s="40"/>
      <c r="CF987" s="40"/>
      <c r="CG987" s="40"/>
      <c r="CH987" s="40"/>
      <c r="CI987" s="40"/>
      <c r="CJ987" s="40"/>
      <c r="CK987" s="40"/>
      <c r="CL987" s="40"/>
      <c r="CM987" s="40"/>
      <c r="CN987" s="40"/>
      <c r="CO987" s="40"/>
      <c r="CP987" s="40"/>
      <c r="CQ987" s="40"/>
      <c r="CR987" s="40"/>
      <c r="CS987" s="40"/>
      <c r="CT987" s="40"/>
      <c r="CU987" s="40"/>
      <c r="CV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  <c r="BS988" s="40"/>
      <c r="BT988" s="40"/>
      <c r="BU988" s="40"/>
      <c r="BV988" s="40"/>
      <c r="BW988" s="40"/>
      <c r="BX988" s="40"/>
      <c r="BY988" s="40"/>
      <c r="BZ988" s="40"/>
      <c r="CA988" s="40"/>
      <c r="CB988" s="40"/>
      <c r="CC988" s="40"/>
      <c r="CD988" s="40"/>
      <c r="CE988" s="40"/>
      <c r="CF988" s="40"/>
      <c r="CG988" s="40"/>
      <c r="CH988" s="40"/>
      <c r="CI988" s="40"/>
      <c r="CJ988" s="40"/>
      <c r="CK988" s="40"/>
      <c r="CL988" s="40"/>
      <c r="CM988" s="40"/>
      <c r="CN988" s="40"/>
      <c r="CO988" s="40"/>
      <c r="CP988" s="40"/>
      <c r="CQ988" s="40"/>
      <c r="CR988" s="40"/>
      <c r="CS988" s="40"/>
      <c r="CT988" s="40"/>
      <c r="CU988" s="40"/>
      <c r="CV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  <c r="BS989" s="40"/>
      <c r="BT989" s="40"/>
      <c r="BU989" s="40"/>
      <c r="BV989" s="40"/>
      <c r="BW989" s="40"/>
      <c r="BX989" s="40"/>
      <c r="BY989" s="40"/>
      <c r="BZ989" s="40"/>
      <c r="CA989" s="40"/>
      <c r="CB989" s="40"/>
      <c r="CC989" s="40"/>
      <c r="CD989" s="40"/>
      <c r="CE989" s="40"/>
      <c r="CF989" s="40"/>
      <c r="CG989" s="40"/>
      <c r="CH989" s="40"/>
      <c r="CI989" s="40"/>
      <c r="CJ989" s="40"/>
      <c r="CK989" s="40"/>
      <c r="CL989" s="40"/>
      <c r="CM989" s="40"/>
      <c r="CN989" s="40"/>
      <c r="CO989" s="40"/>
      <c r="CP989" s="40"/>
      <c r="CQ989" s="40"/>
      <c r="CR989" s="40"/>
      <c r="CS989" s="40"/>
      <c r="CT989" s="40"/>
      <c r="CU989" s="40"/>
      <c r="CV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  <c r="BS990" s="40"/>
      <c r="BT990" s="40"/>
      <c r="BU990" s="40"/>
      <c r="BV990" s="40"/>
      <c r="BW990" s="40"/>
      <c r="BX990" s="40"/>
      <c r="BY990" s="40"/>
      <c r="BZ990" s="40"/>
      <c r="CA990" s="40"/>
      <c r="CB990" s="40"/>
      <c r="CC990" s="40"/>
      <c r="CD990" s="40"/>
      <c r="CE990" s="40"/>
      <c r="CF990" s="40"/>
      <c r="CG990" s="40"/>
      <c r="CH990" s="40"/>
      <c r="CI990" s="40"/>
      <c r="CJ990" s="40"/>
      <c r="CK990" s="40"/>
      <c r="CL990" s="40"/>
      <c r="CM990" s="40"/>
      <c r="CN990" s="40"/>
      <c r="CO990" s="40"/>
      <c r="CP990" s="40"/>
      <c r="CQ990" s="40"/>
      <c r="CR990" s="40"/>
      <c r="CS990" s="40"/>
      <c r="CT990" s="40"/>
      <c r="CU990" s="40"/>
      <c r="CV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  <c r="BS991" s="40"/>
      <c r="BT991" s="40"/>
      <c r="BU991" s="40"/>
      <c r="BV991" s="40"/>
      <c r="BW991" s="40"/>
      <c r="BX991" s="40"/>
      <c r="BY991" s="40"/>
      <c r="BZ991" s="40"/>
      <c r="CA991" s="40"/>
      <c r="CB991" s="40"/>
      <c r="CC991" s="40"/>
      <c r="CD991" s="40"/>
      <c r="CE991" s="40"/>
      <c r="CF991" s="40"/>
      <c r="CG991" s="40"/>
      <c r="CH991" s="40"/>
      <c r="CI991" s="40"/>
      <c r="CJ991" s="40"/>
      <c r="CK991" s="40"/>
      <c r="CL991" s="40"/>
      <c r="CM991" s="40"/>
      <c r="CN991" s="40"/>
      <c r="CO991" s="40"/>
      <c r="CP991" s="40"/>
      <c r="CQ991" s="40"/>
      <c r="CR991" s="40"/>
      <c r="CS991" s="40"/>
      <c r="CT991" s="40"/>
      <c r="CU991" s="40"/>
      <c r="CV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  <c r="BS992" s="40"/>
      <c r="BT992" s="40"/>
      <c r="BU992" s="40"/>
      <c r="BV992" s="40"/>
      <c r="BW992" s="40"/>
      <c r="BX992" s="40"/>
      <c r="BY992" s="40"/>
      <c r="BZ992" s="40"/>
      <c r="CA992" s="40"/>
      <c r="CB992" s="40"/>
      <c r="CC992" s="40"/>
      <c r="CD992" s="40"/>
      <c r="CE992" s="40"/>
      <c r="CF992" s="40"/>
      <c r="CG992" s="40"/>
      <c r="CH992" s="40"/>
      <c r="CI992" s="40"/>
      <c r="CJ992" s="40"/>
      <c r="CK992" s="40"/>
      <c r="CL992" s="40"/>
      <c r="CM992" s="40"/>
      <c r="CN992" s="40"/>
      <c r="CO992" s="40"/>
      <c r="CP992" s="40"/>
      <c r="CQ992" s="40"/>
      <c r="CR992" s="40"/>
      <c r="CS992" s="40"/>
      <c r="CT992" s="40"/>
      <c r="CU992" s="40"/>
      <c r="CV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  <c r="BS993" s="40"/>
      <c r="BT993" s="40"/>
      <c r="BU993" s="40"/>
      <c r="BV993" s="40"/>
      <c r="BW993" s="40"/>
      <c r="BX993" s="40"/>
      <c r="BY993" s="40"/>
      <c r="BZ993" s="40"/>
      <c r="CA993" s="40"/>
      <c r="CB993" s="40"/>
      <c r="CC993" s="40"/>
      <c r="CD993" s="40"/>
      <c r="CE993" s="40"/>
      <c r="CF993" s="40"/>
      <c r="CG993" s="40"/>
      <c r="CH993" s="40"/>
      <c r="CI993" s="40"/>
      <c r="CJ993" s="40"/>
      <c r="CK993" s="40"/>
      <c r="CL993" s="40"/>
      <c r="CM993" s="40"/>
      <c r="CN993" s="40"/>
      <c r="CO993" s="40"/>
      <c r="CP993" s="40"/>
      <c r="CQ993" s="40"/>
      <c r="CR993" s="40"/>
      <c r="CS993" s="40"/>
      <c r="CT993" s="40"/>
      <c r="CU993" s="40"/>
      <c r="CV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  <c r="BS994" s="40"/>
      <c r="BT994" s="40"/>
      <c r="BU994" s="40"/>
      <c r="BV994" s="40"/>
      <c r="BW994" s="40"/>
      <c r="BX994" s="40"/>
      <c r="BY994" s="40"/>
      <c r="BZ994" s="40"/>
      <c r="CA994" s="40"/>
      <c r="CB994" s="40"/>
      <c r="CC994" s="40"/>
      <c r="CD994" s="40"/>
      <c r="CE994" s="40"/>
      <c r="CF994" s="40"/>
      <c r="CG994" s="40"/>
      <c r="CH994" s="40"/>
      <c r="CI994" s="40"/>
      <c r="CJ994" s="40"/>
      <c r="CK994" s="40"/>
      <c r="CL994" s="40"/>
      <c r="CM994" s="40"/>
      <c r="CN994" s="40"/>
      <c r="CO994" s="40"/>
      <c r="CP994" s="40"/>
      <c r="CQ994" s="40"/>
      <c r="CR994" s="40"/>
      <c r="CS994" s="40"/>
      <c r="CT994" s="40"/>
      <c r="CU994" s="40"/>
      <c r="CV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  <c r="BS995" s="40"/>
      <c r="BT995" s="40"/>
      <c r="BU995" s="40"/>
      <c r="BV995" s="40"/>
      <c r="BW995" s="40"/>
      <c r="BX995" s="40"/>
      <c r="BY995" s="40"/>
      <c r="BZ995" s="40"/>
      <c r="CA995" s="40"/>
      <c r="CB995" s="40"/>
      <c r="CC995" s="40"/>
      <c r="CD995" s="40"/>
      <c r="CE995" s="40"/>
      <c r="CF995" s="40"/>
      <c r="CG995" s="40"/>
      <c r="CH995" s="40"/>
      <c r="CI995" s="40"/>
      <c r="CJ995" s="40"/>
      <c r="CK995" s="40"/>
      <c r="CL995" s="40"/>
      <c r="CM995" s="40"/>
      <c r="CN995" s="40"/>
      <c r="CO995" s="40"/>
      <c r="CP995" s="40"/>
      <c r="CQ995" s="40"/>
      <c r="CR995" s="40"/>
      <c r="CS995" s="40"/>
      <c r="CT995" s="40"/>
      <c r="CU995" s="40"/>
      <c r="CV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  <c r="BS996" s="40"/>
      <c r="BT996" s="40"/>
      <c r="BU996" s="40"/>
      <c r="BV996" s="40"/>
      <c r="BW996" s="40"/>
      <c r="BX996" s="40"/>
      <c r="BY996" s="40"/>
      <c r="BZ996" s="40"/>
      <c r="CA996" s="40"/>
      <c r="CB996" s="40"/>
      <c r="CC996" s="40"/>
      <c r="CD996" s="40"/>
      <c r="CE996" s="40"/>
      <c r="CF996" s="40"/>
      <c r="CG996" s="40"/>
      <c r="CH996" s="40"/>
      <c r="CI996" s="40"/>
      <c r="CJ996" s="40"/>
      <c r="CK996" s="40"/>
      <c r="CL996" s="40"/>
      <c r="CM996" s="40"/>
      <c r="CN996" s="40"/>
      <c r="CO996" s="40"/>
      <c r="CP996" s="40"/>
      <c r="CQ996" s="40"/>
      <c r="CR996" s="40"/>
      <c r="CS996" s="40"/>
      <c r="CT996" s="40"/>
      <c r="CU996" s="40"/>
      <c r="CV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  <c r="BS997" s="40"/>
      <c r="BT997" s="40"/>
      <c r="BU997" s="40"/>
      <c r="BV997" s="40"/>
      <c r="BW997" s="40"/>
      <c r="BX997" s="40"/>
      <c r="BY997" s="40"/>
      <c r="BZ997" s="40"/>
      <c r="CA997" s="40"/>
      <c r="CB997" s="40"/>
      <c r="CC997" s="40"/>
      <c r="CD997" s="40"/>
      <c r="CE997" s="40"/>
      <c r="CF997" s="40"/>
      <c r="CG997" s="40"/>
      <c r="CH997" s="40"/>
      <c r="CI997" s="40"/>
      <c r="CJ997" s="40"/>
      <c r="CK997" s="40"/>
      <c r="CL997" s="40"/>
      <c r="CM997" s="40"/>
      <c r="CN997" s="40"/>
      <c r="CO997" s="40"/>
      <c r="CP997" s="40"/>
      <c r="CQ997" s="40"/>
      <c r="CR997" s="40"/>
      <c r="CS997" s="40"/>
      <c r="CT997" s="40"/>
      <c r="CU997" s="40"/>
      <c r="CV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  <c r="BU998" s="40"/>
      <c r="BV998" s="40"/>
      <c r="BW998" s="40"/>
      <c r="BX998" s="40"/>
      <c r="BY998" s="40"/>
      <c r="BZ998" s="40"/>
      <c r="CA998" s="40"/>
      <c r="CB998" s="40"/>
      <c r="CC998" s="40"/>
      <c r="CD998" s="40"/>
      <c r="CE998" s="40"/>
      <c r="CF998" s="40"/>
      <c r="CG998" s="40"/>
      <c r="CH998" s="40"/>
      <c r="CI998" s="40"/>
      <c r="CJ998" s="40"/>
      <c r="CK998" s="40"/>
      <c r="CL998" s="40"/>
      <c r="CM998" s="40"/>
      <c r="CN998" s="40"/>
      <c r="CO998" s="40"/>
      <c r="CP998" s="40"/>
      <c r="CQ998" s="40"/>
      <c r="CR998" s="40"/>
      <c r="CS998" s="40"/>
      <c r="CT998" s="40"/>
      <c r="CU998" s="40"/>
      <c r="CV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  <c r="BS999" s="40"/>
      <c r="BT999" s="40"/>
      <c r="BU999" s="40"/>
      <c r="BV999" s="40"/>
      <c r="BW999" s="40"/>
      <c r="BX999" s="40"/>
      <c r="BY999" s="40"/>
      <c r="BZ999" s="40"/>
      <c r="CA999" s="40"/>
      <c r="CB999" s="40"/>
      <c r="CC999" s="40"/>
      <c r="CD999" s="40"/>
      <c r="CE999" s="40"/>
      <c r="CF999" s="40"/>
      <c r="CG999" s="40"/>
      <c r="CH999" s="40"/>
      <c r="CI999" s="40"/>
      <c r="CJ999" s="40"/>
      <c r="CK999" s="40"/>
      <c r="CL999" s="40"/>
      <c r="CM999" s="40"/>
      <c r="CN999" s="40"/>
      <c r="CO999" s="40"/>
      <c r="CP999" s="40"/>
      <c r="CQ999" s="40"/>
      <c r="CR999" s="40"/>
      <c r="CS999" s="40"/>
      <c r="CT999" s="40"/>
      <c r="CU999" s="40"/>
      <c r="CV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  <c r="BU1000" s="40"/>
      <c r="BV1000" s="40"/>
      <c r="BW1000" s="40"/>
      <c r="BX1000" s="40"/>
      <c r="BY1000" s="40"/>
      <c r="BZ1000" s="40"/>
      <c r="CA1000" s="40"/>
      <c r="CB1000" s="40"/>
      <c r="CC1000" s="40"/>
      <c r="CD1000" s="40"/>
      <c r="CE1000" s="40"/>
      <c r="CF1000" s="40"/>
      <c r="CG1000" s="40"/>
      <c r="CH1000" s="40"/>
      <c r="CI1000" s="40"/>
      <c r="CJ1000" s="40"/>
      <c r="CK1000" s="40"/>
      <c r="CL1000" s="40"/>
      <c r="CM1000" s="40"/>
      <c r="CN1000" s="40"/>
      <c r="CO1000" s="40"/>
      <c r="CP1000" s="40"/>
      <c r="CQ1000" s="40"/>
      <c r="CR1000" s="40"/>
      <c r="CS1000" s="40"/>
      <c r="CT1000" s="40"/>
      <c r="CU1000" s="40"/>
      <c r="CV1000" s="40"/>
    </row>
    <row r="100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  <c r="AO1001" s="40"/>
      <c r="AP1001" s="40"/>
      <c r="AQ1001" s="40"/>
      <c r="AR1001" s="40"/>
      <c r="AS1001" s="40"/>
      <c r="AT1001" s="40"/>
      <c r="AU1001" s="40"/>
      <c r="AV1001" s="40"/>
      <c r="AW1001" s="40"/>
      <c r="AX1001" s="40"/>
      <c r="AY1001" s="40"/>
      <c r="AZ1001" s="40"/>
      <c r="BA1001" s="40"/>
      <c r="BB1001" s="40"/>
      <c r="BC1001" s="40"/>
      <c r="BD1001" s="40"/>
      <c r="BE1001" s="40"/>
      <c r="BF1001" s="40"/>
      <c r="BG1001" s="40"/>
      <c r="BH1001" s="40"/>
      <c r="BI1001" s="40"/>
      <c r="BJ1001" s="40"/>
      <c r="BK1001" s="40"/>
      <c r="BL1001" s="40"/>
      <c r="BM1001" s="40"/>
      <c r="BN1001" s="40"/>
      <c r="BO1001" s="40"/>
      <c r="BP1001" s="40"/>
      <c r="BQ1001" s="40"/>
      <c r="BR1001" s="40"/>
      <c r="BS1001" s="40"/>
      <c r="BT1001" s="40"/>
      <c r="BU1001" s="40"/>
      <c r="BV1001" s="40"/>
      <c r="BW1001" s="40"/>
      <c r="BX1001" s="40"/>
      <c r="BY1001" s="40"/>
      <c r="BZ1001" s="40"/>
      <c r="CA1001" s="40"/>
      <c r="CB1001" s="40"/>
      <c r="CC1001" s="40"/>
      <c r="CD1001" s="40"/>
      <c r="CE1001" s="40"/>
      <c r="CF1001" s="40"/>
      <c r="CG1001" s="40"/>
      <c r="CH1001" s="40"/>
      <c r="CI1001" s="40"/>
      <c r="CJ1001" s="40"/>
      <c r="CK1001" s="40"/>
      <c r="CL1001" s="40"/>
      <c r="CM1001" s="40"/>
      <c r="CN1001" s="40"/>
      <c r="CO1001" s="40"/>
      <c r="CP1001" s="40"/>
      <c r="CQ1001" s="40"/>
      <c r="CR1001" s="40"/>
      <c r="CS1001" s="40"/>
      <c r="CT1001" s="40"/>
      <c r="CU1001" s="40"/>
      <c r="CV1001" s="40"/>
    </row>
    <row r="100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0"/>
      <c r="AJ1002" s="40"/>
      <c r="AK1002" s="40"/>
      <c r="AL1002" s="40"/>
      <c r="AM1002" s="40"/>
      <c r="AN1002" s="40"/>
      <c r="AO1002" s="40"/>
      <c r="AP1002" s="40"/>
      <c r="AQ1002" s="40"/>
      <c r="AR1002" s="40"/>
      <c r="AS1002" s="40"/>
      <c r="AT1002" s="40"/>
      <c r="AU1002" s="40"/>
      <c r="AV1002" s="40"/>
      <c r="AW1002" s="40"/>
      <c r="AX1002" s="40"/>
      <c r="AY1002" s="40"/>
      <c r="AZ1002" s="40"/>
      <c r="BA1002" s="40"/>
      <c r="BB1002" s="40"/>
      <c r="BC1002" s="40"/>
      <c r="BD1002" s="40"/>
      <c r="BE1002" s="40"/>
      <c r="BF1002" s="40"/>
      <c r="BG1002" s="40"/>
      <c r="BH1002" s="40"/>
      <c r="BI1002" s="40"/>
      <c r="BJ1002" s="40"/>
      <c r="BK1002" s="40"/>
      <c r="BL1002" s="40"/>
      <c r="BM1002" s="40"/>
      <c r="BN1002" s="40"/>
      <c r="BO1002" s="40"/>
      <c r="BP1002" s="40"/>
      <c r="BQ1002" s="40"/>
      <c r="BR1002" s="40"/>
      <c r="BS1002" s="40"/>
      <c r="BT1002" s="40"/>
      <c r="BU1002" s="40"/>
      <c r="BV1002" s="40"/>
      <c r="BW1002" s="40"/>
      <c r="BX1002" s="40"/>
      <c r="BY1002" s="40"/>
      <c r="BZ1002" s="40"/>
      <c r="CA1002" s="40"/>
      <c r="CB1002" s="40"/>
      <c r="CC1002" s="40"/>
      <c r="CD1002" s="40"/>
      <c r="CE1002" s="40"/>
      <c r="CF1002" s="40"/>
      <c r="CG1002" s="40"/>
      <c r="CH1002" s="40"/>
      <c r="CI1002" s="40"/>
      <c r="CJ1002" s="40"/>
      <c r="CK1002" s="40"/>
      <c r="CL1002" s="40"/>
      <c r="CM1002" s="40"/>
      <c r="CN1002" s="40"/>
      <c r="CO1002" s="40"/>
      <c r="CP1002" s="40"/>
      <c r="CQ1002" s="40"/>
      <c r="CR1002" s="40"/>
      <c r="CS1002" s="40"/>
      <c r="CT1002" s="40"/>
      <c r="CU1002" s="40"/>
      <c r="CV1002" s="40"/>
    </row>
    <row r="1003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  <c r="AI1003" s="40"/>
      <c r="AJ1003" s="40"/>
      <c r="AK1003" s="40"/>
      <c r="AL1003" s="40"/>
      <c r="AM1003" s="40"/>
      <c r="AN1003" s="40"/>
      <c r="AO1003" s="40"/>
      <c r="AP1003" s="40"/>
      <c r="AQ1003" s="40"/>
      <c r="AR1003" s="40"/>
      <c r="AS1003" s="40"/>
      <c r="AT1003" s="40"/>
      <c r="AU1003" s="40"/>
      <c r="AV1003" s="40"/>
      <c r="AW1003" s="40"/>
      <c r="AX1003" s="40"/>
      <c r="AY1003" s="40"/>
      <c r="AZ1003" s="40"/>
      <c r="BA1003" s="40"/>
      <c r="BB1003" s="40"/>
      <c r="BC1003" s="40"/>
      <c r="BD1003" s="40"/>
      <c r="BE1003" s="40"/>
      <c r="BF1003" s="40"/>
      <c r="BG1003" s="40"/>
      <c r="BH1003" s="40"/>
      <c r="BI1003" s="40"/>
      <c r="BJ1003" s="40"/>
      <c r="BK1003" s="40"/>
      <c r="BL1003" s="40"/>
      <c r="BM1003" s="40"/>
      <c r="BN1003" s="40"/>
      <c r="BO1003" s="40"/>
      <c r="BP1003" s="40"/>
      <c r="BQ1003" s="40"/>
      <c r="BR1003" s="40"/>
      <c r="BS1003" s="40"/>
      <c r="BT1003" s="40"/>
      <c r="BU1003" s="40"/>
      <c r="BV1003" s="40"/>
      <c r="BW1003" s="40"/>
      <c r="BX1003" s="40"/>
      <c r="BY1003" s="40"/>
      <c r="BZ1003" s="40"/>
      <c r="CA1003" s="40"/>
      <c r="CB1003" s="40"/>
      <c r="CC1003" s="40"/>
      <c r="CD1003" s="40"/>
      <c r="CE1003" s="40"/>
      <c r="CF1003" s="40"/>
      <c r="CG1003" s="40"/>
      <c r="CH1003" s="40"/>
      <c r="CI1003" s="40"/>
      <c r="CJ1003" s="40"/>
      <c r="CK1003" s="40"/>
      <c r="CL1003" s="40"/>
      <c r="CM1003" s="40"/>
      <c r="CN1003" s="40"/>
      <c r="CO1003" s="40"/>
      <c r="CP1003" s="40"/>
      <c r="CQ1003" s="40"/>
      <c r="CR1003" s="40"/>
      <c r="CS1003" s="40"/>
      <c r="CT1003" s="40"/>
      <c r="CU1003" s="40"/>
      <c r="CV1003" s="40"/>
    </row>
    <row r="1004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  <c r="AI1004" s="40"/>
      <c r="AJ1004" s="40"/>
      <c r="AK1004" s="40"/>
      <c r="AL1004" s="40"/>
      <c r="AM1004" s="40"/>
      <c r="AN1004" s="40"/>
      <c r="AO1004" s="40"/>
      <c r="AP1004" s="40"/>
      <c r="AQ1004" s="40"/>
      <c r="AR1004" s="40"/>
      <c r="AS1004" s="40"/>
      <c r="AT1004" s="40"/>
      <c r="AU1004" s="40"/>
      <c r="AV1004" s="40"/>
      <c r="AW1004" s="40"/>
      <c r="AX1004" s="40"/>
      <c r="AY1004" s="40"/>
      <c r="AZ1004" s="40"/>
      <c r="BA1004" s="40"/>
      <c r="BB1004" s="40"/>
      <c r="BC1004" s="40"/>
      <c r="BD1004" s="40"/>
      <c r="BE1004" s="40"/>
      <c r="BF1004" s="40"/>
      <c r="BG1004" s="40"/>
      <c r="BH1004" s="40"/>
      <c r="BI1004" s="40"/>
      <c r="BJ1004" s="40"/>
      <c r="BK1004" s="40"/>
      <c r="BL1004" s="40"/>
      <c r="BM1004" s="40"/>
      <c r="BN1004" s="40"/>
      <c r="BO1004" s="40"/>
      <c r="BP1004" s="40"/>
      <c r="BQ1004" s="40"/>
      <c r="BR1004" s="40"/>
      <c r="BS1004" s="40"/>
      <c r="BT1004" s="40"/>
      <c r="BU1004" s="40"/>
      <c r="BV1004" s="40"/>
      <c r="BW1004" s="40"/>
      <c r="BX1004" s="40"/>
      <c r="BY1004" s="40"/>
      <c r="BZ1004" s="40"/>
      <c r="CA1004" s="40"/>
      <c r="CB1004" s="40"/>
      <c r="CC1004" s="40"/>
      <c r="CD1004" s="40"/>
      <c r="CE1004" s="40"/>
      <c r="CF1004" s="40"/>
      <c r="CG1004" s="40"/>
      <c r="CH1004" s="40"/>
      <c r="CI1004" s="40"/>
      <c r="CJ1004" s="40"/>
      <c r="CK1004" s="40"/>
      <c r="CL1004" s="40"/>
      <c r="CM1004" s="40"/>
      <c r="CN1004" s="40"/>
      <c r="CO1004" s="40"/>
      <c r="CP1004" s="40"/>
      <c r="CQ1004" s="40"/>
      <c r="CR1004" s="40"/>
      <c r="CS1004" s="40"/>
      <c r="CT1004" s="40"/>
      <c r="CU1004" s="40"/>
      <c r="CV1004" s="40"/>
    </row>
    <row r="1005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  <c r="AF1005" s="40"/>
      <c r="AG1005" s="40"/>
      <c r="AH1005" s="40"/>
      <c r="AI1005" s="40"/>
      <c r="AJ1005" s="40"/>
      <c r="AK1005" s="40"/>
      <c r="AL1005" s="40"/>
      <c r="AM1005" s="40"/>
      <c r="AN1005" s="40"/>
      <c r="AO1005" s="40"/>
      <c r="AP1005" s="40"/>
      <c r="AQ1005" s="40"/>
      <c r="AR1005" s="40"/>
      <c r="AS1005" s="40"/>
      <c r="AT1005" s="40"/>
      <c r="AU1005" s="40"/>
      <c r="AV1005" s="40"/>
      <c r="AW1005" s="40"/>
      <c r="AX1005" s="40"/>
      <c r="AY1005" s="40"/>
      <c r="AZ1005" s="40"/>
      <c r="BA1005" s="40"/>
      <c r="BB1005" s="40"/>
      <c r="BC1005" s="40"/>
      <c r="BD1005" s="40"/>
      <c r="BE1005" s="40"/>
      <c r="BF1005" s="40"/>
      <c r="BG1005" s="40"/>
      <c r="BH1005" s="40"/>
      <c r="BI1005" s="40"/>
      <c r="BJ1005" s="40"/>
      <c r="BK1005" s="40"/>
      <c r="BL1005" s="40"/>
      <c r="BM1005" s="40"/>
      <c r="BN1005" s="40"/>
      <c r="BO1005" s="40"/>
      <c r="BP1005" s="40"/>
      <c r="BQ1005" s="40"/>
      <c r="BR1005" s="40"/>
      <c r="BS1005" s="40"/>
      <c r="BT1005" s="40"/>
      <c r="BU1005" s="40"/>
      <c r="BV1005" s="40"/>
      <c r="BW1005" s="40"/>
      <c r="BX1005" s="40"/>
      <c r="BY1005" s="40"/>
      <c r="BZ1005" s="40"/>
      <c r="CA1005" s="40"/>
      <c r="CB1005" s="40"/>
      <c r="CC1005" s="40"/>
      <c r="CD1005" s="40"/>
      <c r="CE1005" s="40"/>
      <c r="CF1005" s="40"/>
      <c r="CG1005" s="40"/>
      <c r="CH1005" s="40"/>
      <c r="CI1005" s="40"/>
      <c r="CJ1005" s="40"/>
      <c r="CK1005" s="40"/>
      <c r="CL1005" s="40"/>
      <c r="CM1005" s="40"/>
      <c r="CN1005" s="40"/>
      <c r="CO1005" s="40"/>
      <c r="CP1005" s="40"/>
      <c r="CQ1005" s="40"/>
      <c r="CR1005" s="40"/>
      <c r="CS1005" s="40"/>
      <c r="CT1005" s="40"/>
      <c r="CU1005" s="40"/>
      <c r="CV1005" s="40"/>
    </row>
    <row r="1006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  <c r="AF1006" s="40"/>
      <c r="AG1006" s="40"/>
      <c r="AH1006" s="40"/>
      <c r="AI1006" s="40"/>
      <c r="AJ1006" s="40"/>
      <c r="AK1006" s="40"/>
      <c r="AL1006" s="40"/>
      <c r="AM1006" s="40"/>
      <c r="AN1006" s="40"/>
      <c r="AO1006" s="40"/>
      <c r="AP1006" s="40"/>
      <c r="AQ1006" s="40"/>
      <c r="AR1006" s="40"/>
      <c r="AS1006" s="40"/>
      <c r="AT1006" s="40"/>
      <c r="AU1006" s="40"/>
      <c r="AV1006" s="40"/>
      <c r="AW1006" s="40"/>
      <c r="AX1006" s="40"/>
      <c r="AY1006" s="40"/>
      <c r="AZ1006" s="40"/>
      <c r="BA1006" s="40"/>
      <c r="BB1006" s="40"/>
      <c r="BC1006" s="40"/>
      <c r="BD1006" s="40"/>
      <c r="BE1006" s="40"/>
      <c r="BF1006" s="40"/>
      <c r="BG1006" s="40"/>
      <c r="BH1006" s="40"/>
      <c r="BI1006" s="40"/>
      <c r="BJ1006" s="40"/>
      <c r="BK1006" s="40"/>
      <c r="BL1006" s="40"/>
      <c r="BM1006" s="40"/>
      <c r="BN1006" s="40"/>
      <c r="BO1006" s="40"/>
      <c r="BP1006" s="40"/>
      <c r="BQ1006" s="40"/>
      <c r="BR1006" s="40"/>
      <c r="BS1006" s="40"/>
      <c r="BT1006" s="40"/>
      <c r="BU1006" s="40"/>
      <c r="BV1006" s="40"/>
      <c r="BW1006" s="40"/>
      <c r="BX1006" s="40"/>
      <c r="BY1006" s="40"/>
      <c r="BZ1006" s="40"/>
      <c r="CA1006" s="40"/>
      <c r="CB1006" s="40"/>
      <c r="CC1006" s="40"/>
      <c r="CD1006" s="40"/>
      <c r="CE1006" s="40"/>
      <c r="CF1006" s="40"/>
      <c r="CG1006" s="40"/>
      <c r="CH1006" s="40"/>
      <c r="CI1006" s="40"/>
      <c r="CJ1006" s="40"/>
      <c r="CK1006" s="40"/>
      <c r="CL1006" s="40"/>
      <c r="CM1006" s="40"/>
      <c r="CN1006" s="40"/>
      <c r="CO1006" s="40"/>
      <c r="CP1006" s="40"/>
      <c r="CQ1006" s="40"/>
      <c r="CR1006" s="40"/>
      <c r="CS1006" s="40"/>
      <c r="CT1006" s="40"/>
      <c r="CU1006" s="40"/>
      <c r="CV1006" s="40"/>
    </row>
    <row r="1007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F1007" s="40"/>
      <c r="AG1007" s="40"/>
      <c r="AH1007" s="40"/>
      <c r="AI1007" s="40"/>
      <c r="AJ1007" s="40"/>
      <c r="AK1007" s="40"/>
      <c r="AL1007" s="40"/>
      <c r="AM1007" s="40"/>
      <c r="AN1007" s="40"/>
      <c r="AO1007" s="40"/>
      <c r="AP1007" s="40"/>
      <c r="AQ1007" s="40"/>
      <c r="AR1007" s="40"/>
      <c r="AS1007" s="40"/>
      <c r="AT1007" s="40"/>
      <c r="AU1007" s="40"/>
      <c r="AV1007" s="40"/>
      <c r="AW1007" s="40"/>
      <c r="AX1007" s="40"/>
      <c r="AY1007" s="40"/>
      <c r="AZ1007" s="40"/>
      <c r="BA1007" s="40"/>
      <c r="BB1007" s="40"/>
      <c r="BC1007" s="40"/>
      <c r="BD1007" s="40"/>
      <c r="BE1007" s="40"/>
      <c r="BF1007" s="40"/>
      <c r="BG1007" s="40"/>
      <c r="BH1007" s="40"/>
      <c r="BI1007" s="40"/>
      <c r="BJ1007" s="40"/>
      <c r="BK1007" s="40"/>
      <c r="BL1007" s="40"/>
      <c r="BM1007" s="40"/>
      <c r="BN1007" s="40"/>
      <c r="BO1007" s="40"/>
      <c r="BP1007" s="40"/>
      <c r="BQ1007" s="40"/>
      <c r="BR1007" s="40"/>
      <c r="BS1007" s="40"/>
      <c r="BT1007" s="40"/>
      <c r="BU1007" s="40"/>
      <c r="BV1007" s="40"/>
      <c r="BW1007" s="40"/>
      <c r="BX1007" s="40"/>
      <c r="BY1007" s="40"/>
      <c r="BZ1007" s="40"/>
      <c r="CA1007" s="40"/>
      <c r="CB1007" s="40"/>
      <c r="CC1007" s="40"/>
      <c r="CD1007" s="40"/>
      <c r="CE1007" s="40"/>
      <c r="CF1007" s="40"/>
      <c r="CG1007" s="40"/>
      <c r="CH1007" s="40"/>
      <c r="CI1007" s="40"/>
      <c r="CJ1007" s="40"/>
      <c r="CK1007" s="40"/>
      <c r="CL1007" s="40"/>
      <c r="CM1007" s="40"/>
      <c r="CN1007" s="40"/>
      <c r="CO1007" s="40"/>
      <c r="CP1007" s="40"/>
      <c r="CQ1007" s="40"/>
      <c r="CR1007" s="40"/>
      <c r="CS1007" s="40"/>
      <c r="CT1007" s="40"/>
      <c r="CU1007" s="40"/>
      <c r="CV1007" s="40"/>
    </row>
    <row r="1008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F1008" s="40"/>
      <c r="AG1008" s="40"/>
      <c r="AH1008" s="40"/>
      <c r="AI1008" s="40"/>
      <c r="AJ1008" s="40"/>
      <c r="AK1008" s="40"/>
      <c r="AL1008" s="40"/>
      <c r="AM1008" s="40"/>
      <c r="AN1008" s="40"/>
      <c r="AO1008" s="40"/>
      <c r="AP1008" s="40"/>
      <c r="AQ1008" s="40"/>
      <c r="AR1008" s="40"/>
      <c r="AS1008" s="40"/>
      <c r="AT1008" s="40"/>
      <c r="AU1008" s="40"/>
      <c r="AV1008" s="40"/>
      <c r="AW1008" s="40"/>
      <c r="AX1008" s="40"/>
      <c r="AY1008" s="40"/>
      <c r="AZ1008" s="40"/>
      <c r="BA1008" s="40"/>
      <c r="BB1008" s="40"/>
      <c r="BC1008" s="40"/>
      <c r="BD1008" s="40"/>
      <c r="BE1008" s="40"/>
      <c r="BF1008" s="40"/>
      <c r="BG1008" s="40"/>
      <c r="BH1008" s="40"/>
      <c r="BI1008" s="40"/>
      <c r="BJ1008" s="40"/>
      <c r="BK1008" s="40"/>
      <c r="BL1008" s="40"/>
      <c r="BM1008" s="40"/>
      <c r="BN1008" s="40"/>
      <c r="BO1008" s="40"/>
      <c r="BP1008" s="40"/>
      <c r="BQ1008" s="40"/>
      <c r="BR1008" s="40"/>
      <c r="BS1008" s="40"/>
      <c r="BT1008" s="40"/>
      <c r="BU1008" s="40"/>
      <c r="BV1008" s="40"/>
      <c r="BW1008" s="40"/>
      <c r="BX1008" s="40"/>
      <c r="BY1008" s="40"/>
      <c r="BZ1008" s="40"/>
      <c r="CA1008" s="40"/>
      <c r="CB1008" s="40"/>
      <c r="CC1008" s="40"/>
      <c r="CD1008" s="40"/>
      <c r="CE1008" s="40"/>
      <c r="CF1008" s="40"/>
      <c r="CG1008" s="40"/>
      <c r="CH1008" s="40"/>
      <c r="CI1008" s="40"/>
      <c r="CJ1008" s="40"/>
      <c r="CK1008" s="40"/>
      <c r="CL1008" s="40"/>
      <c r="CM1008" s="40"/>
      <c r="CN1008" s="40"/>
      <c r="CO1008" s="40"/>
      <c r="CP1008" s="40"/>
      <c r="CQ1008" s="40"/>
      <c r="CR1008" s="40"/>
      <c r="CS1008" s="40"/>
      <c r="CT1008" s="40"/>
      <c r="CU1008" s="40"/>
      <c r="CV1008" s="40"/>
    </row>
    <row r="1009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  <c r="AB1009" s="40"/>
      <c r="AC1009" s="40"/>
      <c r="AD1009" s="40"/>
      <c r="AE1009" s="40"/>
      <c r="AF1009" s="40"/>
      <c r="AG1009" s="40"/>
      <c r="AH1009" s="40"/>
      <c r="AI1009" s="40"/>
      <c r="AJ1009" s="40"/>
      <c r="AK1009" s="40"/>
      <c r="AL1009" s="40"/>
      <c r="AM1009" s="40"/>
      <c r="AN1009" s="40"/>
      <c r="AO1009" s="40"/>
      <c r="AP1009" s="40"/>
      <c r="AQ1009" s="40"/>
      <c r="AR1009" s="40"/>
      <c r="AS1009" s="40"/>
      <c r="AT1009" s="40"/>
      <c r="AU1009" s="40"/>
      <c r="AV1009" s="40"/>
      <c r="AW1009" s="40"/>
      <c r="AX1009" s="40"/>
      <c r="AY1009" s="40"/>
      <c r="AZ1009" s="40"/>
      <c r="BA1009" s="40"/>
      <c r="BB1009" s="40"/>
      <c r="BC1009" s="40"/>
      <c r="BD1009" s="40"/>
      <c r="BE1009" s="40"/>
      <c r="BF1009" s="40"/>
      <c r="BG1009" s="40"/>
      <c r="BH1009" s="40"/>
      <c r="BI1009" s="40"/>
      <c r="BJ1009" s="40"/>
      <c r="BK1009" s="40"/>
      <c r="BL1009" s="40"/>
      <c r="BM1009" s="40"/>
      <c r="BN1009" s="40"/>
      <c r="BO1009" s="40"/>
      <c r="BP1009" s="40"/>
      <c r="BQ1009" s="40"/>
      <c r="BR1009" s="40"/>
      <c r="BS1009" s="40"/>
      <c r="BT1009" s="40"/>
      <c r="BU1009" s="40"/>
      <c r="BV1009" s="40"/>
      <c r="BW1009" s="40"/>
      <c r="BX1009" s="40"/>
      <c r="BY1009" s="40"/>
      <c r="BZ1009" s="40"/>
      <c r="CA1009" s="40"/>
      <c r="CB1009" s="40"/>
      <c r="CC1009" s="40"/>
      <c r="CD1009" s="40"/>
      <c r="CE1009" s="40"/>
      <c r="CF1009" s="40"/>
      <c r="CG1009" s="40"/>
      <c r="CH1009" s="40"/>
      <c r="CI1009" s="40"/>
      <c r="CJ1009" s="40"/>
      <c r="CK1009" s="40"/>
      <c r="CL1009" s="40"/>
      <c r="CM1009" s="40"/>
      <c r="CN1009" s="40"/>
      <c r="CO1009" s="40"/>
      <c r="CP1009" s="40"/>
      <c r="CQ1009" s="40"/>
      <c r="CR1009" s="40"/>
      <c r="CS1009" s="40"/>
      <c r="CT1009" s="40"/>
      <c r="CU1009" s="40"/>
      <c r="CV1009" s="40"/>
    </row>
    <row r="1010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  <c r="AB1010" s="40"/>
      <c r="AC1010" s="40"/>
      <c r="AD1010" s="40"/>
      <c r="AE1010" s="40"/>
      <c r="AF1010" s="40"/>
      <c r="AG1010" s="40"/>
      <c r="AH1010" s="40"/>
      <c r="AI1010" s="40"/>
      <c r="AJ1010" s="40"/>
      <c r="AK1010" s="40"/>
      <c r="AL1010" s="40"/>
      <c r="AM1010" s="40"/>
      <c r="AN1010" s="40"/>
      <c r="AO1010" s="40"/>
      <c r="AP1010" s="40"/>
      <c r="AQ1010" s="40"/>
      <c r="AR1010" s="40"/>
      <c r="AS1010" s="40"/>
      <c r="AT1010" s="40"/>
      <c r="AU1010" s="40"/>
      <c r="AV1010" s="40"/>
      <c r="AW1010" s="40"/>
      <c r="AX1010" s="40"/>
      <c r="AY1010" s="40"/>
      <c r="AZ1010" s="40"/>
      <c r="BA1010" s="40"/>
      <c r="BB1010" s="40"/>
      <c r="BC1010" s="40"/>
      <c r="BD1010" s="40"/>
      <c r="BE1010" s="40"/>
      <c r="BF1010" s="40"/>
      <c r="BG1010" s="40"/>
      <c r="BH1010" s="40"/>
      <c r="BI1010" s="40"/>
      <c r="BJ1010" s="40"/>
      <c r="BK1010" s="40"/>
      <c r="BL1010" s="40"/>
      <c r="BM1010" s="40"/>
      <c r="BN1010" s="40"/>
      <c r="BO1010" s="40"/>
      <c r="BP1010" s="40"/>
      <c r="BQ1010" s="40"/>
      <c r="BR1010" s="40"/>
      <c r="BS1010" s="40"/>
      <c r="BT1010" s="40"/>
      <c r="BU1010" s="40"/>
      <c r="BV1010" s="40"/>
      <c r="BW1010" s="40"/>
      <c r="BX1010" s="40"/>
      <c r="BY1010" s="40"/>
      <c r="BZ1010" s="40"/>
      <c r="CA1010" s="40"/>
      <c r="CB1010" s="40"/>
      <c r="CC1010" s="40"/>
      <c r="CD1010" s="40"/>
      <c r="CE1010" s="40"/>
      <c r="CF1010" s="40"/>
      <c r="CG1010" s="40"/>
      <c r="CH1010" s="40"/>
      <c r="CI1010" s="40"/>
      <c r="CJ1010" s="40"/>
      <c r="CK1010" s="40"/>
      <c r="CL1010" s="40"/>
      <c r="CM1010" s="40"/>
      <c r="CN1010" s="40"/>
      <c r="CO1010" s="40"/>
      <c r="CP1010" s="40"/>
      <c r="CQ1010" s="40"/>
      <c r="CR1010" s="40"/>
      <c r="CS1010" s="40"/>
      <c r="CT1010" s="40"/>
      <c r="CU1010" s="40"/>
      <c r="CV1010" s="40"/>
    </row>
  </sheetData>
  <mergeCells count="6">
    <mergeCell ref="I16:J16"/>
    <mergeCell ref="A40:AF40"/>
    <mergeCell ref="A63:AD63"/>
    <mergeCell ref="A72:AD72"/>
    <mergeCell ref="A81:AD81"/>
    <mergeCell ref="K83:L8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3" max="3" width="9.5"/>
    <col customWidth="1" min="4" max="4" width="18.63"/>
    <col customWidth="1" min="6" max="6" width="22.88"/>
    <col customWidth="1" min="7" max="7" width="14.5"/>
    <col customWidth="1" min="11" max="11" width="42.88"/>
    <col customWidth="1" min="12" max="12" width="13.63"/>
    <col customWidth="1" min="13" max="13" width="11.0"/>
    <col customWidth="1" min="14" max="14" width="6.38"/>
    <col customWidth="1" min="15" max="15" width="6.25"/>
    <col customWidth="1" min="16" max="16" width="8.13"/>
    <col customWidth="1" min="17" max="17" width="16.13"/>
    <col customWidth="1" min="19" max="19" width="7.88"/>
    <col customWidth="1" min="20" max="20" width="8.0"/>
    <col customWidth="1" min="21" max="21" width="9.63"/>
    <col customWidth="1" min="22" max="22" width="11.5"/>
  </cols>
  <sheetData>
    <row r="1" ht="41.25" customHeight="1">
      <c r="A1" s="2" t="s">
        <v>1</v>
      </c>
      <c r="B1" s="2" t="s">
        <v>2</v>
      </c>
      <c r="C1" s="6" t="s">
        <v>3</v>
      </c>
      <c r="D1" s="9" t="s">
        <v>4</v>
      </c>
      <c r="E1" s="11" t="s">
        <v>5</v>
      </c>
      <c r="F1" s="12" t="s">
        <v>6</v>
      </c>
      <c r="G1" s="14" t="s">
        <v>7</v>
      </c>
      <c r="H1" s="16" t="s">
        <v>8</v>
      </c>
      <c r="I1" s="18" t="s">
        <v>9</v>
      </c>
      <c r="J1" s="20" t="s">
        <v>11</v>
      </c>
      <c r="K1" s="14" t="s">
        <v>13</v>
      </c>
      <c r="L1" s="25" t="s">
        <v>14</v>
      </c>
      <c r="M1" s="27" t="s">
        <v>15</v>
      </c>
      <c r="N1" s="25" t="s">
        <v>16</v>
      </c>
      <c r="O1" s="25" t="s">
        <v>17</v>
      </c>
      <c r="P1" s="27" t="s">
        <v>18</v>
      </c>
      <c r="Q1" s="25" t="s">
        <v>19</v>
      </c>
      <c r="R1" s="27" t="s">
        <v>20</v>
      </c>
      <c r="S1" s="35"/>
      <c r="T1" s="35"/>
      <c r="U1" s="27" t="s">
        <v>22</v>
      </c>
      <c r="V1" s="27" t="s">
        <v>23</v>
      </c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</row>
    <row r="2">
      <c r="A2" s="48">
        <v>1.0</v>
      </c>
      <c r="B2" s="43" t="s">
        <v>53</v>
      </c>
      <c r="C2" s="53" t="s">
        <v>54</v>
      </c>
      <c r="D2" s="54" t="s">
        <v>55</v>
      </c>
      <c r="E2" s="45"/>
      <c r="F2" s="45"/>
      <c r="G2" s="45"/>
      <c r="H2" s="45"/>
      <c r="I2" s="45"/>
      <c r="J2" s="45"/>
      <c r="K2" s="56" t="s">
        <v>56</v>
      </c>
      <c r="L2" s="45"/>
      <c r="M2" s="48">
        <v>500.0</v>
      </c>
      <c r="N2" s="48">
        <v>108.0</v>
      </c>
      <c r="O2" s="48">
        <v>3.0</v>
      </c>
      <c r="P2" s="48">
        <v>215.0</v>
      </c>
      <c r="Q2" s="48" t="s">
        <v>59</v>
      </c>
      <c r="R2" s="48" t="s">
        <v>60</v>
      </c>
      <c r="S2" s="50">
        <f t="shared" ref="S2:S11" si="1">N2/8</f>
        <v>13.5</v>
      </c>
      <c r="T2" s="50">
        <f t="shared" ref="T2:T11" si="2">39.3*O2</f>
        <v>117.9</v>
      </c>
      <c r="U2" s="69">
        <f t="shared" ref="U2:U11" si="3">T2/S2</f>
        <v>8.733333333</v>
      </c>
      <c r="V2" s="70">
        <f t="shared" ref="V2:V11" si="4">M2/U2</f>
        <v>57.2519084</v>
      </c>
      <c r="W2" s="71"/>
      <c r="X2" s="71"/>
      <c r="Y2" s="71"/>
      <c r="Z2" s="71"/>
      <c r="AA2" s="71"/>
      <c r="AB2" s="71"/>
      <c r="AC2" s="71"/>
      <c r="AD2" s="71"/>
      <c r="AE2" s="71"/>
      <c r="AF2" s="71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</row>
    <row r="3">
      <c r="A3" s="48">
        <v>2.0</v>
      </c>
      <c r="B3" s="43" t="s">
        <v>53</v>
      </c>
      <c r="C3" s="53" t="s">
        <v>76</v>
      </c>
      <c r="D3" s="54" t="s">
        <v>55</v>
      </c>
      <c r="E3" s="45"/>
      <c r="F3" s="45"/>
      <c r="G3" s="45"/>
      <c r="H3" s="45"/>
      <c r="I3" s="45"/>
      <c r="J3" s="45"/>
      <c r="K3" s="56" t="s">
        <v>80</v>
      </c>
      <c r="L3" s="45"/>
      <c r="M3" s="48">
        <v>500.0</v>
      </c>
      <c r="N3" s="48">
        <v>69.0</v>
      </c>
      <c r="O3" s="48">
        <v>3.0</v>
      </c>
      <c r="P3" s="48">
        <v>215.0</v>
      </c>
      <c r="Q3" s="48" t="s">
        <v>59</v>
      </c>
      <c r="R3" s="48" t="s">
        <v>82</v>
      </c>
      <c r="S3" s="50">
        <f t="shared" si="1"/>
        <v>8.625</v>
      </c>
      <c r="T3" s="50">
        <f t="shared" si="2"/>
        <v>117.9</v>
      </c>
      <c r="U3" s="69">
        <f t="shared" si="3"/>
        <v>13.66956522</v>
      </c>
      <c r="V3" s="70">
        <f t="shared" si="4"/>
        <v>36.57760814</v>
      </c>
      <c r="W3" s="71"/>
      <c r="X3" s="71"/>
      <c r="Y3" s="71"/>
      <c r="Z3" s="71"/>
      <c r="AA3" s="71"/>
      <c r="AB3" s="71"/>
      <c r="AC3" s="71"/>
      <c r="AD3" s="71"/>
      <c r="AE3" s="71"/>
      <c r="AF3" s="71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/>
      <c r="CK3" s="40"/>
      <c r="CL3" s="40"/>
      <c r="CM3" s="40"/>
      <c r="CN3" s="40"/>
      <c r="CO3" s="40"/>
      <c r="CP3" s="40"/>
      <c r="CQ3" s="40"/>
      <c r="CR3" s="40"/>
      <c r="CS3" s="40"/>
      <c r="CT3" s="40"/>
      <c r="CU3" s="40"/>
      <c r="CV3" s="40"/>
    </row>
    <row r="4">
      <c r="A4" s="48">
        <v>3.0</v>
      </c>
      <c r="B4" s="43" t="s">
        <v>53</v>
      </c>
      <c r="C4" s="48" t="s">
        <v>94</v>
      </c>
      <c r="D4" s="54" t="s">
        <v>55</v>
      </c>
      <c r="E4" s="45"/>
      <c r="F4" s="45"/>
      <c r="G4" s="45"/>
      <c r="H4" s="45"/>
      <c r="I4" s="45"/>
      <c r="J4" s="45"/>
      <c r="K4" s="56" t="s">
        <v>96</v>
      </c>
      <c r="L4" s="45"/>
      <c r="M4" s="48">
        <v>500.0</v>
      </c>
      <c r="N4" s="48">
        <v>79.0</v>
      </c>
      <c r="O4" s="48">
        <v>2.0</v>
      </c>
      <c r="P4" s="48">
        <v>155.0</v>
      </c>
      <c r="Q4" s="48" t="s">
        <v>59</v>
      </c>
      <c r="R4" s="48" t="s">
        <v>97</v>
      </c>
      <c r="S4" s="50">
        <f t="shared" si="1"/>
        <v>9.875</v>
      </c>
      <c r="T4" s="50">
        <f t="shared" si="2"/>
        <v>78.6</v>
      </c>
      <c r="U4" s="69">
        <f t="shared" si="3"/>
        <v>7.959493671</v>
      </c>
      <c r="V4" s="70">
        <f t="shared" si="4"/>
        <v>62.81806616</v>
      </c>
      <c r="W4" s="45"/>
      <c r="X4" s="45"/>
      <c r="Y4" s="45"/>
      <c r="Z4" s="45"/>
      <c r="AA4" s="45"/>
      <c r="AB4" s="45"/>
      <c r="AC4" s="45"/>
      <c r="AD4" s="45"/>
      <c r="AE4" s="45"/>
      <c r="AF4" s="4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</row>
    <row r="5">
      <c r="A5" s="48">
        <v>4.0</v>
      </c>
      <c r="B5" s="43" t="s">
        <v>53</v>
      </c>
      <c r="C5" s="48" t="s">
        <v>113</v>
      </c>
      <c r="D5" s="54" t="s">
        <v>55</v>
      </c>
      <c r="E5" s="45"/>
      <c r="F5" s="45"/>
      <c r="G5" s="45"/>
      <c r="H5" s="45"/>
      <c r="I5" s="45"/>
      <c r="J5" s="45"/>
      <c r="K5" s="56" t="s">
        <v>118</v>
      </c>
      <c r="L5" s="45"/>
      <c r="M5" s="48">
        <v>500.0</v>
      </c>
      <c r="N5" s="48">
        <v>66.0</v>
      </c>
      <c r="O5" s="48">
        <v>3.0</v>
      </c>
      <c r="P5" s="48">
        <v>155.0</v>
      </c>
      <c r="Q5" s="48" t="s">
        <v>59</v>
      </c>
      <c r="R5" s="48" t="s">
        <v>121</v>
      </c>
      <c r="S5" s="50">
        <f t="shared" si="1"/>
        <v>8.25</v>
      </c>
      <c r="T5" s="50">
        <f t="shared" si="2"/>
        <v>117.9</v>
      </c>
      <c r="U5" s="69">
        <f t="shared" si="3"/>
        <v>14.29090909</v>
      </c>
      <c r="V5" s="70">
        <f t="shared" si="4"/>
        <v>34.98727735</v>
      </c>
      <c r="W5" s="45"/>
      <c r="X5" s="45"/>
      <c r="Y5" s="45"/>
      <c r="Z5" s="45"/>
      <c r="AA5" s="45"/>
      <c r="AB5" s="45"/>
      <c r="AC5" s="45"/>
      <c r="AD5" s="45"/>
      <c r="AE5" s="45"/>
      <c r="AF5" s="4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</row>
    <row r="6">
      <c r="A6" s="53">
        <v>5.0</v>
      </c>
      <c r="B6" s="43" t="s">
        <v>131</v>
      </c>
      <c r="C6" s="53" t="s">
        <v>133</v>
      </c>
      <c r="D6" s="51" t="s">
        <v>134</v>
      </c>
      <c r="E6" s="47"/>
      <c r="F6" s="47"/>
      <c r="G6" s="47"/>
      <c r="H6" s="47"/>
      <c r="I6" s="47"/>
      <c r="J6" s="47"/>
      <c r="K6" s="56" t="s">
        <v>137</v>
      </c>
      <c r="L6" s="47"/>
      <c r="M6" s="48">
        <v>5000.0</v>
      </c>
      <c r="N6" s="50">
        <v>79.0</v>
      </c>
      <c r="O6" s="50">
        <v>2.0</v>
      </c>
      <c r="P6" s="50">
        <v>95.0</v>
      </c>
      <c r="Q6" s="50" t="s">
        <v>138</v>
      </c>
      <c r="R6" s="50" t="s">
        <v>139</v>
      </c>
      <c r="S6" s="50">
        <f t="shared" si="1"/>
        <v>9.875</v>
      </c>
      <c r="T6" s="50">
        <f t="shared" si="2"/>
        <v>78.6</v>
      </c>
      <c r="U6" s="69">
        <f t="shared" si="3"/>
        <v>7.959493671</v>
      </c>
      <c r="V6" s="70">
        <f t="shared" si="4"/>
        <v>628.1806616</v>
      </c>
      <c r="W6" s="76"/>
      <c r="X6" s="76"/>
      <c r="Y6" s="76"/>
      <c r="Z6" s="76"/>
      <c r="AA6" s="76"/>
      <c r="AB6" s="76"/>
      <c r="AC6" s="76"/>
      <c r="AD6" s="76"/>
      <c r="AE6" s="76"/>
      <c r="AF6" s="76"/>
    </row>
    <row r="7">
      <c r="A7" s="48">
        <v>6.0</v>
      </c>
      <c r="B7" s="43" t="s">
        <v>142</v>
      </c>
      <c r="C7" s="53" t="s">
        <v>144</v>
      </c>
      <c r="D7" s="45" t="s">
        <v>78</v>
      </c>
      <c r="E7" s="45"/>
      <c r="F7" s="45"/>
      <c r="G7" s="45"/>
      <c r="H7" s="45"/>
      <c r="I7" s="111" t="s">
        <v>148</v>
      </c>
      <c r="J7" s="85"/>
      <c r="K7" s="56" t="s">
        <v>150</v>
      </c>
      <c r="L7" s="45"/>
      <c r="M7" s="48">
        <v>8000.0</v>
      </c>
      <c r="N7" s="50">
        <v>85.0</v>
      </c>
      <c r="O7" s="50">
        <v>6.0</v>
      </c>
      <c r="P7" s="50">
        <v>170.0</v>
      </c>
      <c r="Q7" s="50" t="s">
        <v>63</v>
      </c>
      <c r="R7" s="50" t="s">
        <v>83</v>
      </c>
      <c r="S7" s="66">
        <f t="shared" si="1"/>
        <v>10.625</v>
      </c>
      <c r="T7" s="66">
        <f t="shared" si="2"/>
        <v>235.8</v>
      </c>
      <c r="U7" s="113">
        <f t="shared" si="3"/>
        <v>22.19294118</v>
      </c>
      <c r="V7" s="114">
        <f t="shared" si="4"/>
        <v>360.4749788</v>
      </c>
      <c r="W7" s="71"/>
      <c r="X7" s="71"/>
      <c r="Y7" s="71"/>
      <c r="Z7" s="71"/>
      <c r="AA7" s="71"/>
      <c r="AB7" s="71"/>
      <c r="AC7" s="71"/>
      <c r="AD7" s="71"/>
      <c r="AE7" s="71"/>
      <c r="AF7" s="71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</row>
    <row r="8">
      <c r="A8" s="48">
        <v>7.0</v>
      </c>
      <c r="B8" s="43" t="s">
        <v>142</v>
      </c>
      <c r="C8" s="53" t="s">
        <v>165</v>
      </c>
      <c r="D8" s="45" t="s">
        <v>78</v>
      </c>
      <c r="E8" s="45"/>
      <c r="F8" s="45"/>
      <c r="G8" s="45"/>
      <c r="H8" s="45"/>
      <c r="I8" s="111" t="s">
        <v>148</v>
      </c>
      <c r="J8" s="85"/>
      <c r="K8" s="56" t="s">
        <v>167</v>
      </c>
      <c r="L8" s="45"/>
      <c r="M8" s="48">
        <v>10000.0</v>
      </c>
      <c r="N8" s="50">
        <v>85.0</v>
      </c>
      <c r="O8" s="50">
        <v>6.0</v>
      </c>
      <c r="P8" s="50">
        <v>170.0</v>
      </c>
      <c r="Q8" s="50" t="s">
        <v>63</v>
      </c>
      <c r="R8" s="50" t="s">
        <v>83</v>
      </c>
      <c r="S8" s="50">
        <f t="shared" si="1"/>
        <v>10.625</v>
      </c>
      <c r="T8" s="50">
        <f t="shared" si="2"/>
        <v>235.8</v>
      </c>
      <c r="U8" s="69">
        <f t="shared" si="3"/>
        <v>22.19294118</v>
      </c>
      <c r="V8" s="70">
        <f t="shared" si="4"/>
        <v>450.5937235</v>
      </c>
      <c r="W8" s="51"/>
      <c r="X8" s="51"/>
      <c r="Y8" s="51"/>
      <c r="Z8" s="51"/>
      <c r="AA8" s="51"/>
      <c r="AB8" s="51"/>
      <c r="AC8" s="51"/>
      <c r="AD8" s="51"/>
      <c r="AE8" s="51"/>
      <c r="AF8" s="51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</row>
    <row r="9">
      <c r="A9" s="48">
        <v>8.0</v>
      </c>
      <c r="B9" s="43" t="s">
        <v>142</v>
      </c>
      <c r="C9" s="53" t="s">
        <v>184</v>
      </c>
      <c r="D9" s="45" t="s">
        <v>78</v>
      </c>
      <c r="E9" s="45"/>
      <c r="F9" s="45"/>
      <c r="G9" s="45"/>
      <c r="H9" s="45"/>
      <c r="I9" s="111" t="s">
        <v>148</v>
      </c>
      <c r="J9" s="85"/>
      <c r="K9" s="56" t="s">
        <v>185</v>
      </c>
      <c r="L9" s="45"/>
      <c r="M9" s="48">
        <v>87000.0</v>
      </c>
      <c r="N9" s="48">
        <v>85.0</v>
      </c>
      <c r="O9" s="48">
        <v>6.0</v>
      </c>
      <c r="P9" s="48">
        <v>170.0</v>
      </c>
      <c r="Q9" s="66" t="s">
        <v>63</v>
      </c>
      <c r="R9" s="50" t="s">
        <v>83</v>
      </c>
      <c r="S9" s="50">
        <f t="shared" si="1"/>
        <v>10.625</v>
      </c>
      <c r="T9" s="50">
        <f t="shared" si="2"/>
        <v>235.8</v>
      </c>
      <c r="U9" s="69">
        <f t="shared" si="3"/>
        <v>22.19294118</v>
      </c>
      <c r="V9" s="70">
        <f t="shared" si="4"/>
        <v>3920.165394</v>
      </c>
      <c r="W9" s="51"/>
      <c r="X9" s="51"/>
      <c r="Y9" s="51"/>
      <c r="Z9" s="51"/>
      <c r="AA9" s="51"/>
      <c r="AB9" s="51"/>
      <c r="AC9" s="51"/>
      <c r="AD9" s="51"/>
      <c r="AE9" s="51"/>
      <c r="AF9" s="51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</row>
    <row r="10">
      <c r="A10" s="48">
        <v>9.0</v>
      </c>
      <c r="B10" s="43" t="s">
        <v>142</v>
      </c>
      <c r="C10" s="53" t="s">
        <v>194</v>
      </c>
      <c r="D10" s="96" t="s">
        <v>78</v>
      </c>
      <c r="E10" s="45"/>
      <c r="F10" s="45"/>
      <c r="G10" s="45"/>
      <c r="H10" s="45"/>
      <c r="I10" s="45"/>
      <c r="J10" s="45"/>
      <c r="K10" s="45" t="s">
        <v>195</v>
      </c>
      <c r="L10" s="45"/>
      <c r="M10" s="129">
        <v>71640.0</v>
      </c>
      <c r="N10" s="50">
        <v>79.0</v>
      </c>
      <c r="O10" s="50">
        <v>6.0</v>
      </c>
      <c r="P10" s="50">
        <v>225.0</v>
      </c>
      <c r="Q10" s="50" t="s">
        <v>145</v>
      </c>
      <c r="R10" s="50" t="s">
        <v>198</v>
      </c>
      <c r="S10" s="50">
        <f t="shared" si="1"/>
        <v>9.875</v>
      </c>
      <c r="T10" s="50">
        <f t="shared" si="2"/>
        <v>235.8</v>
      </c>
      <c r="U10" s="69">
        <f t="shared" si="3"/>
        <v>23.87848101</v>
      </c>
      <c r="V10" s="70">
        <f t="shared" si="4"/>
        <v>3000.19084</v>
      </c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</row>
    <row r="11">
      <c r="A11" s="48">
        <v>10.0</v>
      </c>
      <c r="B11" s="43" t="s">
        <v>142</v>
      </c>
      <c r="C11" s="53" t="s">
        <v>204</v>
      </c>
      <c r="D11" s="96" t="s">
        <v>78</v>
      </c>
      <c r="E11" s="45"/>
      <c r="F11" s="45"/>
      <c r="G11" s="45"/>
      <c r="H11" s="45"/>
      <c r="I11" s="45"/>
      <c r="J11" s="45"/>
      <c r="K11" s="131" t="s">
        <v>207</v>
      </c>
      <c r="L11" s="45"/>
      <c r="M11" s="129">
        <v>71150.0</v>
      </c>
      <c r="N11" s="50">
        <v>92.0</v>
      </c>
      <c r="O11" s="133">
        <v>6.0</v>
      </c>
      <c r="P11" s="133">
        <v>215.0</v>
      </c>
      <c r="Q11" s="50" t="s">
        <v>145</v>
      </c>
      <c r="R11" s="133" t="s">
        <v>209</v>
      </c>
      <c r="S11" s="50">
        <f t="shared" si="1"/>
        <v>11.5</v>
      </c>
      <c r="T11" s="50">
        <f t="shared" si="2"/>
        <v>235.8</v>
      </c>
      <c r="U11" s="69">
        <f t="shared" si="3"/>
        <v>20.50434783</v>
      </c>
      <c r="V11" s="70">
        <f t="shared" si="4"/>
        <v>3469.995759</v>
      </c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</row>
    <row r="1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</row>
    <row r="1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</row>
    <row r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</row>
    <row r="19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</row>
    <row r="20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</row>
    <row r="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</row>
    <row r="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</row>
    <row r="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40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  <c r="CH85" s="40"/>
      <c r="CI85" s="40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40"/>
      <c r="CR86" s="40"/>
      <c r="CS86" s="40"/>
      <c r="CT86" s="40"/>
      <c r="CU86" s="40"/>
      <c r="CV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  <c r="CO88" s="40"/>
      <c r="CP88" s="40"/>
      <c r="CQ88" s="40"/>
      <c r="CR88" s="40"/>
      <c r="CS88" s="40"/>
      <c r="CT88" s="40"/>
      <c r="CU88" s="40"/>
      <c r="CV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40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40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40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40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  <c r="CD99" s="40"/>
      <c r="CE99" s="40"/>
      <c r="CF99" s="40"/>
      <c r="CG99" s="40"/>
      <c r="CH99" s="40"/>
      <c r="CI99" s="40"/>
      <c r="CJ99" s="40"/>
      <c r="CK99" s="40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40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40"/>
      <c r="CO102" s="40"/>
      <c r="CP102" s="40"/>
      <c r="CQ102" s="40"/>
      <c r="CR102" s="40"/>
      <c r="CS102" s="40"/>
      <c r="CT102" s="40"/>
      <c r="CU102" s="40"/>
      <c r="CV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40"/>
      <c r="CP103" s="40"/>
      <c r="CQ103" s="40"/>
      <c r="CR103" s="40"/>
      <c r="CS103" s="40"/>
      <c r="CT103" s="40"/>
      <c r="CU103" s="40"/>
      <c r="CV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40"/>
      <c r="CQ104" s="40"/>
      <c r="CR104" s="40"/>
      <c r="CS104" s="40"/>
      <c r="CT104" s="40"/>
      <c r="CU104" s="40"/>
      <c r="CV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40"/>
      <c r="CR105" s="40"/>
      <c r="CS105" s="40"/>
      <c r="CT105" s="40"/>
      <c r="CU105" s="40"/>
      <c r="CV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40"/>
      <c r="CS106" s="40"/>
      <c r="CT106" s="40"/>
      <c r="CU106" s="40"/>
      <c r="CV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40"/>
      <c r="CT107" s="40"/>
      <c r="CU107" s="40"/>
      <c r="CV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40"/>
      <c r="CU108" s="40"/>
      <c r="CV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40"/>
      <c r="CV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40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40"/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40"/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40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40"/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40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40"/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40"/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  <c r="CK145" s="40"/>
      <c r="CL145" s="40"/>
      <c r="CM145" s="40"/>
      <c r="CN145" s="40"/>
      <c r="CO145" s="40"/>
      <c r="CP145" s="40"/>
      <c r="CQ145" s="40"/>
      <c r="CR145" s="40"/>
      <c r="CS145" s="40"/>
      <c r="CT145" s="40"/>
      <c r="CU145" s="40"/>
      <c r="CV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  <c r="CK146" s="40"/>
      <c r="CL146" s="40"/>
      <c r="CM146" s="40"/>
      <c r="CN146" s="40"/>
      <c r="CO146" s="40"/>
      <c r="CP146" s="40"/>
      <c r="CQ146" s="40"/>
      <c r="CR146" s="40"/>
      <c r="CS146" s="40"/>
      <c r="CT146" s="40"/>
      <c r="CU146" s="40"/>
      <c r="CV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G147" s="40"/>
      <c r="CH147" s="40"/>
      <c r="CI147" s="40"/>
      <c r="CJ147" s="40"/>
      <c r="CK147" s="40"/>
      <c r="CL147" s="40"/>
      <c r="CM147" s="40"/>
      <c r="CN147" s="40"/>
      <c r="CO147" s="40"/>
      <c r="CP147" s="40"/>
      <c r="CQ147" s="40"/>
      <c r="CR147" s="40"/>
      <c r="CS147" s="40"/>
      <c r="CT147" s="40"/>
      <c r="CU147" s="40"/>
      <c r="CV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G148" s="40"/>
      <c r="CH148" s="40"/>
      <c r="CI148" s="40"/>
      <c r="CJ148" s="40"/>
      <c r="CK148" s="40"/>
      <c r="CL148" s="40"/>
      <c r="CM148" s="40"/>
      <c r="CN148" s="40"/>
      <c r="CO148" s="40"/>
      <c r="CP148" s="40"/>
      <c r="CQ148" s="40"/>
      <c r="CR148" s="40"/>
      <c r="CS148" s="40"/>
      <c r="CT148" s="40"/>
      <c r="CU148" s="40"/>
      <c r="CV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  <c r="CI149" s="40"/>
      <c r="CJ149" s="40"/>
      <c r="CK149" s="40"/>
      <c r="CL149" s="40"/>
      <c r="CM149" s="40"/>
      <c r="CN149" s="40"/>
      <c r="CO149" s="40"/>
      <c r="CP149" s="40"/>
      <c r="CQ149" s="40"/>
      <c r="CR149" s="40"/>
      <c r="CS149" s="40"/>
      <c r="CT149" s="40"/>
      <c r="CU149" s="40"/>
      <c r="CV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  <c r="CI150" s="40"/>
      <c r="CJ150" s="40"/>
      <c r="CK150" s="40"/>
      <c r="CL150" s="40"/>
      <c r="CM150" s="40"/>
      <c r="CN150" s="40"/>
      <c r="CO150" s="40"/>
      <c r="CP150" s="40"/>
      <c r="CQ150" s="40"/>
      <c r="CR150" s="40"/>
      <c r="CS150" s="40"/>
      <c r="CT150" s="40"/>
      <c r="CU150" s="40"/>
      <c r="CV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G151" s="40"/>
      <c r="CH151" s="40"/>
      <c r="CI151" s="40"/>
      <c r="CJ151" s="40"/>
      <c r="CK151" s="40"/>
      <c r="CL151" s="40"/>
      <c r="CM151" s="40"/>
      <c r="CN151" s="40"/>
      <c r="CO151" s="40"/>
      <c r="CP151" s="40"/>
      <c r="CQ151" s="40"/>
      <c r="CR151" s="40"/>
      <c r="CS151" s="40"/>
      <c r="CT151" s="40"/>
      <c r="CU151" s="40"/>
      <c r="CV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G152" s="40"/>
      <c r="CH152" s="40"/>
      <c r="CI152" s="40"/>
      <c r="CJ152" s="40"/>
      <c r="CK152" s="40"/>
      <c r="CL152" s="40"/>
      <c r="CM152" s="40"/>
      <c r="CN152" s="40"/>
      <c r="CO152" s="40"/>
      <c r="CP152" s="40"/>
      <c r="CQ152" s="40"/>
      <c r="CR152" s="40"/>
      <c r="CS152" s="40"/>
      <c r="CT152" s="40"/>
      <c r="CU152" s="40"/>
      <c r="CV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C153" s="40"/>
      <c r="CD153" s="40"/>
      <c r="CE153" s="40"/>
      <c r="CF153" s="40"/>
      <c r="CG153" s="40"/>
      <c r="CH153" s="40"/>
      <c r="CI153" s="40"/>
      <c r="CJ153" s="40"/>
      <c r="CK153" s="40"/>
      <c r="CL153" s="40"/>
      <c r="CM153" s="40"/>
      <c r="CN153" s="40"/>
      <c r="CO153" s="40"/>
      <c r="CP153" s="40"/>
      <c r="CQ153" s="40"/>
      <c r="CR153" s="40"/>
      <c r="CS153" s="40"/>
      <c r="CT153" s="40"/>
      <c r="CU153" s="40"/>
      <c r="CV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40"/>
      <c r="CE154" s="40"/>
      <c r="CF154" s="40"/>
      <c r="CG154" s="40"/>
      <c r="CH154" s="40"/>
      <c r="CI154" s="40"/>
      <c r="CJ154" s="40"/>
      <c r="CK154" s="40"/>
      <c r="CL154" s="40"/>
      <c r="CM154" s="40"/>
      <c r="CN154" s="40"/>
      <c r="CO154" s="40"/>
      <c r="CP154" s="40"/>
      <c r="CQ154" s="40"/>
      <c r="CR154" s="40"/>
      <c r="CS154" s="40"/>
      <c r="CT154" s="40"/>
      <c r="CU154" s="40"/>
      <c r="CV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G156" s="40"/>
      <c r="CH156" s="40"/>
      <c r="CI156" s="40"/>
      <c r="CJ156" s="40"/>
      <c r="CK156" s="40"/>
      <c r="CL156" s="40"/>
      <c r="CM156" s="40"/>
      <c r="CN156" s="40"/>
      <c r="CO156" s="40"/>
      <c r="CP156" s="40"/>
      <c r="CQ156" s="40"/>
      <c r="CR156" s="40"/>
      <c r="CS156" s="40"/>
      <c r="CT156" s="40"/>
      <c r="CU156" s="40"/>
      <c r="CV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G157" s="40"/>
      <c r="CH157" s="40"/>
      <c r="CI157" s="40"/>
      <c r="CJ157" s="40"/>
      <c r="CK157" s="40"/>
      <c r="CL157" s="40"/>
      <c r="CM157" s="40"/>
      <c r="CN157" s="40"/>
      <c r="CO157" s="40"/>
      <c r="CP157" s="40"/>
      <c r="CQ157" s="40"/>
      <c r="CR157" s="40"/>
      <c r="CS157" s="40"/>
      <c r="CT157" s="40"/>
      <c r="CU157" s="40"/>
      <c r="CV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  <c r="CK158" s="40"/>
      <c r="CL158" s="40"/>
      <c r="CM158" s="40"/>
      <c r="CN158" s="40"/>
      <c r="CO158" s="40"/>
      <c r="CP158" s="40"/>
      <c r="CQ158" s="40"/>
      <c r="CR158" s="40"/>
      <c r="CS158" s="40"/>
      <c r="CT158" s="40"/>
      <c r="CU158" s="40"/>
      <c r="CV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  <c r="CD159" s="40"/>
      <c r="CE159" s="40"/>
      <c r="CF159" s="40"/>
      <c r="CG159" s="40"/>
      <c r="CH159" s="40"/>
      <c r="CI159" s="40"/>
      <c r="CJ159" s="40"/>
      <c r="CK159" s="40"/>
      <c r="CL159" s="40"/>
      <c r="CM159" s="40"/>
      <c r="CN159" s="40"/>
      <c r="CO159" s="40"/>
      <c r="CP159" s="40"/>
      <c r="CQ159" s="40"/>
      <c r="CR159" s="40"/>
      <c r="CS159" s="40"/>
      <c r="CT159" s="40"/>
      <c r="CU159" s="40"/>
      <c r="CV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  <c r="CB160" s="40"/>
      <c r="CC160" s="40"/>
      <c r="CD160" s="40"/>
      <c r="CE160" s="40"/>
      <c r="CF160" s="40"/>
      <c r="CG160" s="40"/>
      <c r="CH160" s="40"/>
      <c r="CI160" s="40"/>
      <c r="CJ160" s="40"/>
      <c r="CK160" s="40"/>
      <c r="CL160" s="40"/>
      <c r="CM160" s="40"/>
      <c r="CN160" s="40"/>
      <c r="CO160" s="40"/>
      <c r="CP160" s="40"/>
      <c r="CQ160" s="40"/>
      <c r="CR160" s="40"/>
      <c r="CS160" s="40"/>
      <c r="CT160" s="40"/>
      <c r="CU160" s="40"/>
      <c r="CV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0"/>
      <c r="CA161" s="40"/>
      <c r="CB161" s="40"/>
      <c r="CC161" s="40"/>
      <c r="CD161" s="40"/>
      <c r="CE161" s="40"/>
      <c r="CF161" s="40"/>
      <c r="CG161" s="40"/>
      <c r="CH161" s="40"/>
      <c r="CI161" s="40"/>
      <c r="CJ161" s="40"/>
      <c r="CK161" s="40"/>
      <c r="CL161" s="40"/>
      <c r="CM161" s="40"/>
      <c r="CN161" s="40"/>
      <c r="CO161" s="40"/>
      <c r="CP161" s="40"/>
      <c r="CQ161" s="40"/>
      <c r="CR161" s="40"/>
      <c r="CS161" s="40"/>
      <c r="CT161" s="40"/>
      <c r="CU161" s="40"/>
      <c r="CV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0"/>
      <c r="CA162" s="40"/>
      <c r="CB162" s="40"/>
      <c r="CC162" s="40"/>
      <c r="CD162" s="40"/>
      <c r="CE162" s="40"/>
      <c r="CF162" s="40"/>
      <c r="CG162" s="40"/>
      <c r="CH162" s="40"/>
      <c r="CI162" s="40"/>
      <c r="CJ162" s="40"/>
      <c r="CK162" s="40"/>
      <c r="CL162" s="40"/>
      <c r="CM162" s="40"/>
      <c r="CN162" s="40"/>
      <c r="CO162" s="40"/>
      <c r="CP162" s="40"/>
      <c r="CQ162" s="40"/>
      <c r="CR162" s="40"/>
      <c r="CS162" s="40"/>
      <c r="CT162" s="40"/>
      <c r="CU162" s="40"/>
      <c r="CV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  <c r="BW163" s="40"/>
      <c r="BX163" s="40"/>
      <c r="BY163" s="40"/>
      <c r="BZ163" s="40"/>
      <c r="CA163" s="40"/>
      <c r="CB163" s="40"/>
      <c r="CC163" s="40"/>
      <c r="CD163" s="40"/>
      <c r="CE163" s="40"/>
      <c r="CF163" s="40"/>
      <c r="CG163" s="40"/>
      <c r="CH163" s="40"/>
      <c r="CI163" s="40"/>
      <c r="CJ163" s="40"/>
      <c r="CK163" s="40"/>
      <c r="CL163" s="40"/>
      <c r="CM163" s="40"/>
      <c r="CN163" s="40"/>
      <c r="CO163" s="40"/>
      <c r="CP163" s="40"/>
      <c r="CQ163" s="40"/>
      <c r="CR163" s="40"/>
      <c r="CS163" s="40"/>
      <c r="CT163" s="40"/>
      <c r="CU163" s="40"/>
      <c r="CV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40"/>
      <c r="BX164" s="40"/>
      <c r="BY164" s="40"/>
      <c r="BZ164" s="40"/>
      <c r="CA164" s="40"/>
      <c r="CB164" s="40"/>
      <c r="CC164" s="40"/>
      <c r="CD164" s="40"/>
      <c r="CE164" s="40"/>
      <c r="CF164" s="40"/>
      <c r="CG164" s="40"/>
      <c r="CH164" s="40"/>
      <c r="CI164" s="40"/>
      <c r="CJ164" s="40"/>
      <c r="CK164" s="40"/>
      <c r="CL164" s="40"/>
      <c r="CM164" s="40"/>
      <c r="CN164" s="40"/>
      <c r="CO164" s="40"/>
      <c r="CP164" s="40"/>
      <c r="CQ164" s="40"/>
      <c r="CR164" s="40"/>
      <c r="CS164" s="40"/>
      <c r="CT164" s="40"/>
      <c r="CU164" s="40"/>
      <c r="CV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  <c r="BW165" s="40"/>
      <c r="BX165" s="40"/>
      <c r="BY165" s="40"/>
      <c r="BZ165" s="40"/>
      <c r="CA165" s="40"/>
      <c r="CB165" s="40"/>
      <c r="CC165" s="40"/>
      <c r="CD165" s="40"/>
      <c r="CE165" s="40"/>
      <c r="CF165" s="40"/>
      <c r="CG165" s="40"/>
      <c r="CH165" s="40"/>
      <c r="CI165" s="40"/>
      <c r="CJ165" s="40"/>
      <c r="CK165" s="40"/>
      <c r="CL165" s="40"/>
      <c r="CM165" s="40"/>
      <c r="CN165" s="40"/>
      <c r="CO165" s="40"/>
      <c r="CP165" s="40"/>
      <c r="CQ165" s="40"/>
      <c r="CR165" s="40"/>
      <c r="CS165" s="40"/>
      <c r="CT165" s="40"/>
      <c r="CU165" s="40"/>
      <c r="CV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  <c r="BW166" s="40"/>
      <c r="BX166" s="40"/>
      <c r="BY166" s="40"/>
      <c r="BZ166" s="40"/>
      <c r="CA166" s="40"/>
      <c r="CB166" s="40"/>
      <c r="CC166" s="40"/>
      <c r="CD166" s="40"/>
      <c r="CE166" s="40"/>
      <c r="CF166" s="40"/>
      <c r="CG166" s="40"/>
      <c r="CH166" s="40"/>
      <c r="CI166" s="40"/>
      <c r="CJ166" s="40"/>
      <c r="CK166" s="40"/>
      <c r="CL166" s="40"/>
      <c r="CM166" s="40"/>
      <c r="CN166" s="40"/>
      <c r="CO166" s="40"/>
      <c r="CP166" s="40"/>
      <c r="CQ166" s="40"/>
      <c r="CR166" s="40"/>
      <c r="CS166" s="40"/>
      <c r="CT166" s="40"/>
      <c r="CU166" s="40"/>
      <c r="CV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  <c r="BW167" s="40"/>
      <c r="BX167" s="40"/>
      <c r="BY167" s="40"/>
      <c r="BZ167" s="40"/>
      <c r="CA167" s="40"/>
      <c r="CB167" s="40"/>
      <c r="CC167" s="40"/>
      <c r="CD167" s="40"/>
      <c r="CE167" s="40"/>
      <c r="CF167" s="40"/>
      <c r="CG167" s="40"/>
      <c r="CH167" s="40"/>
      <c r="CI167" s="40"/>
      <c r="CJ167" s="40"/>
      <c r="CK167" s="40"/>
      <c r="CL167" s="40"/>
      <c r="CM167" s="40"/>
      <c r="CN167" s="40"/>
      <c r="CO167" s="40"/>
      <c r="CP167" s="40"/>
      <c r="CQ167" s="40"/>
      <c r="CR167" s="40"/>
      <c r="CS167" s="40"/>
      <c r="CT167" s="40"/>
      <c r="CU167" s="40"/>
      <c r="CV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  <c r="CD168" s="40"/>
      <c r="CE168" s="40"/>
      <c r="CF168" s="40"/>
      <c r="CG168" s="40"/>
      <c r="CH168" s="40"/>
      <c r="CI168" s="40"/>
      <c r="CJ168" s="40"/>
      <c r="CK168" s="40"/>
      <c r="CL168" s="40"/>
      <c r="CM168" s="40"/>
      <c r="CN168" s="40"/>
      <c r="CO168" s="40"/>
      <c r="CP168" s="40"/>
      <c r="CQ168" s="40"/>
      <c r="CR168" s="40"/>
      <c r="CS168" s="40"/>
      <c r="CT168" s="40"/>
      <c r="CU168" s="40"/>
      <c r="CV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0"/>
      <c r="CA169" s="40"/>
      <c r="CB169" s="40"/>
      <c r="CC169" s="40"/>
      <c r="CD169" s="40"/>
      <c r="CE169" s="40"/>
      <c r="CF169" s="40"/>
      <c r="CG169" s="40"/>
      <c r="CH169" s="40"/>
      <c r="CI169" s="40"/>
      <c r="CJ169" s="40"/>
      <c r="CK169" s="40"/>
      <c r="CL169" s="40"/>
      <c r="CM169" s="40"/>
      <c r="CN169" s="40"/>
      <c r="CO169" s="40"/>
      <c r="CP169" s="40"/>
      <c r="CQ169" s="40"/>
      <c r="CR169" s="40"/>
      <c r="CS169" s="40"/>
      <c r="CT169" s="40"/>
      <c r="CU169" s="40"/>
      <c r="CV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  <c r="CH170" s="40"/>
      <c r="CI170" s="40"/>
      <c r="CJ170" s="40"/>
      <c r="CK170" s="40"/>
      <c r="CL170" s="40"/>
      <c r="CM170" s="40"/>
      <c r="CN170" s="40"/>
      <c r="CO170" s="40"/>
      <c r="CP170" s="40"/>
      <c r="CQ170" s="40"/>
      <c r="CR170" s="40"/>
      <c r="CS170" s="40"/>
      <c r="CT170" s="40"/>
      <c r="CU170" s="40"/>
      <c r="CV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  <c r="CD171" s="40"/>
      <c r="CE171" s="40"/>
      <c r="CF171" s="40"/>
      <c r="CG171" s="40"/>
      <c r="CH171" s="40"/>
      <c r="CI171" s="40"/>
      <c r="CJ171" s="40"/>
      <c r="CK171" s="40"/>
      <c r="CL171" s="40"/>
      <c r="CM171" s="40"/>
      <c r="CN171" s="40"/>
      <c r="CO171" s="40"/>
      <c r="CP171" s="40"/>
      <c r="CQ171" s="40"/>
      <c r="CR171" s="40"/>
      <c r="CS171" s="40"/>
      <c r="CT171" s="40"/>
      <c r="CU171" s="40"/>
      <c r="CV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  <c r="BW172" s="40"/>
      <c r="BX172" s="40"/>
      <c r="BY172" s="40"/>
      <c r="BZ172" s="40"/>
      <c r="CA172" s="40"/>
      <c r="CB172" s="40"/>
      <c r="CC172" s="40"/>
      <c r="CD172" s="40"/>
      <c r="CE172" s="40"/>
      <c r="CF172" s="40"/>
      <c r="CG172" s="40"/>
      <c r="CH172" s="40"/>
      <c r="CI172" s="40"/>
      <c r="CJ172" s="40"/>
      <c r="CK172" s="40"/>
      <c r="CL172" s="40"/>
      <c r="CM172" s="40"/>
      <c r="CN172" s="40"/>
      <c r="CO172" s="40"/>
      <c r="CP172" s="40"/>
      <c r="CQ172" s="40"/>
      <c r="CR172" s="40"/>
      <c r="CS172" s="40"/>
      <c r="CT172" s="40"/>
      <c r="CU172" s="40"/>
      <c r="CV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  <c r="BW173" s="40"/>
      <c r="BX173" s="40"/>
      <c r="BY173" s="40"/>
      <c r="BZ173" s="40"/>
      <c r="CA173" s="40"/>
      <c r="CB173" s="40"/>
      <c r="CC173" s="40"/>
      <c r="CD173" s="40"/>
      <c r="CE173" s="40"/>
      <c r="CF173" s="40"/>
      <c r="CG173" s="40"/>
      <c r="CH173" s="40"/>
      <c r="CI173" s="40"/>
      <c r="CJ173" s="40"/>
      <c r="CK173" s="40"/>
      <c r="CL173" s="40"/>
      <c r="CM173" s="40"/>
      <c r="CN173" s="40"/>
      <c r="CO173" s="40"/>
      <c r="CP173" s="40"/>
      <c r="CQ173" s="40"/>
      <c r="CR173" s="40"/>
      <c r="CS173" s="40"/>
      <c r="CT173" s="40"/>
      <c r="CU173" s="40"/>
      <c r="CV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  <c r="BW175" s="40"/>
      <c r="BX175" s="40"/>
      <c r="BY175" s="40"/>
      <c r="BZ175" s="40"/>
      <c r="CA175" s="40"/>
      <c r="CB175" s="40"/>
      <c r="CC175" s="40"/>
      <c r="CD175" s="40"/>
      <c r="CE175" s="40"/>
      <c r="CF175" s="40"/>
      <c r="CG175" s="40"/>
      <c r="CH175" s="40"/>
      <c r="CI175" s="40"/>
      <c r="CJ175" s="40"/>
      <c r="CK175" s="40"/>
      <c r="CL175" s="40"/>
      <c r="CM175" s="40"/>
      <c r="CN175" s="40"/>
      <c r="CO175" s="40"/>
      <c r="CP175" s="40"/>
      <c r="CQ175" s="40"/>
      <c r="CR175" s="40"/>
      <c r="CS175" s="40"/>
      <c r="CT175" s="40"/>
      <c r="CU175" s="40"/>
      <c r="CV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  <c r="BW176" s="40"/>
      <c r="BX176" s="40"/>
      <c r="BY176" s="40"/>
      <c r="BZ176" s="40"/>
      <c r="CA176" s="40"/>
      <c r="CB176" s="40"/>
      <c r="CC176" s="40"/>
      <c r="CD176" s="40"/>
      <c r="CE176" s="40"/>
      <c r="CF176" s="40"/>
      <c r="CG176" s="40"/>
      <c r="CH176" s="40"/>
      <c r="CI176" s="40"/>
      <c r="CJ176" s="40"/>
      <c r="CK176" s="40"/>
      <c r="CL176" s="40"/>
      <c r="CM176" s="40"/>
      <c r="CN176" s="40"/>
      <c r="CO176" s="40"/>
      <c r="CP176" s="40"/>
      <c r="CQ176" s="40"/>
      <c r="CR176" s="40"/>
      <c r="CS176" s="40"/>
      <c r="CT176" s="40"/>
      <c r="CU176" s="40"/>
      <c r="CV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  <c r="BW177" s="40"/>
      <c r="BX177" s="40"/>
      <c r="BY177" s="40"/>
      <c r="BZ177" s="40"/>
      <c r="CA177" s="40"/>
      <c r="CB177" s="40"/>
      <c r="CC177" s="40"/>
      <c r="CD177" s="40"/>
      <c r="CE177" s="40"/>
      <c r="CF177" s="40"/>
      <c r="CG177" s="40"/>
      <c r="CH177" s="40"/>
      <c r="CI177" s="40"/>
      <c r="CJ177" s="40"/>
      <c r="CK177" s="40"/>
      <c r="CL177" s="40"/>
      <c r="CM177" s="40"/>
      <c r="CN177" s="40"/>
      <c r="CO177" s="40"/>
      <c r="CP177" s="40"/>
      <c r="CQ177" s="40"/>
      <c r="CR177" s="40"/>
      <c r="CS177" s="40"/>
      <c r="CT177" s="40"/>
      <c r="CU177" s="40"/>
      <c r="CV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  <c r="BW178" s="40"/>
      <c r="BX178" s="40"/>
      <c r="BY178" s="40"/>
      <c r="BZ178" s="40"/>
      <c r="CA178" s="40"/>
      <c r="CB178" s="40"/>
      <c r="CC178" s="40"/>
      <c r="CD178" s="40"/>
      <c r="CE178" s="40"/>
      <c r="CF178" s="40"/>
      <c r="CG178" s="40"/>
      <c r="CH178" s="40"/>
      <c r="CI178" s="40"/>
      <c r="CJ178" s="40"/>
      <c r="CK178" s="40"/>
      <c r="CL178" s="40"/>
      <c r="CM178" s="40"/>
      <c r="CN178" s="40"/>
      <c r="CO178" s="40"/>
      <c r="CP178" s="40"/>
      <c r="CQ178" s="40"/>
      <c r="CR178" s="40"/>
      <c r="CS178" s="40"/>
      <c r="CT178" s="40"/>
      <c r="CU178" s="40"/>
      <c r="CV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  <c r="BW179" s="40"/>
      <c r="BX179" s="40"/>
      <c r="BY179" s="40"/>
      <c r="BZ179" s="40"/>
      <c r="CA179" s="40"/>
      <c r="CB179" s="40"/>
      <c r="CC179" s="40"/>
      <c r="CD179" s="40"/>
      <c r="CE179" s="40"/>
      <c r="CF179" s="40"/>
      <c r="CG179" s="40"/>
      <c r="CH179" s="40"/>
      <c r="CI179" s="40"/>
      <c r="CJ179" s="40"/>
      <c r="CK179" s="40"/>
      <c r="CL179" s="40"/>
      <c r="CM179" s="40"/>
      <c r="CN179" s="40"/>
      <c r="CO179" s="40"/>
      <c r="CP179" s="40"/>
      <c r="CQ179" s="40"/>
      <c r="CR179" s="40"/>
      <c r="CS179" s="40"/>
      <c r="CT179" s="40"/>
      <c r="CU179" s="40"/>
      <c r="CV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  <c r="BW180" s="40"/>
      <c r="BX180" s="40"/>
      <c r="BY180" s="40"/>
      <c r="BZ180" s="40"/>
      <c r="CA180" s="40"/>
      <c r="CB180" s="40"/>
      <c r="CC180" s="40"/>
      <c r="CD180" s="40"/>
      <c r="CE180" s="40"/>
      <c r="CF180" s="40"/>
      <c r="CG180" s="40"/>
      <c r="CH180" s="40"/>
      <c r="CI180" s="40"/>
      <c r="CJ180" s="40"/>
      <c r="CK180" s="40"/>
      <c r="CL180" s="40"/>
      <c r="CM180" s="40"/>
      <c r="CN180" s="40"/>
      <c r="CO180" s="40"/>
      <c r="CP180" s="40"/>
      <c r="CQ180" s="40"/>
      <c r="CR180" s="40"/>
      <c r="CS180" s="40"/>
      <c r="CT180" s="40"/>
      <c r="CU180" s="40"/>
      <c r="CV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  <c r="BW181" s="40"/>
      <c r="BX181" s="40"/>
      <c r="BY181" s="40"/>
      <c r="BZ181" s="40"/>
      <c r="CA181" s="40"/>
      <c r="CB181" s="40"/>
      <c r="CC181" s="40"/>
      <c r="CD181" s="40"/>
      <c r="CE181" s="40"/>
      <c r="CF181" s="40"/>
      <c r="CG181" s="40"/>
      <c r="CH181" s="40"/>
      <c r="CI181" s="40"/>
      <c r="CJ181" s="40"/>
      <c r="CK181" s="40"/>
      <c r="CL181" s="40"/>
      <c r="CM181" s="40"/>
      <c r="CN181" s="40"/>
      <c r="CO181" s="40"/>
      <c r="CP181" s="40"/>
      <c r="CQ181" s="40"/>
      <c r="CR181" s="40"/>
      <c r="CS181" s="40"/>
      <c r="CT181" s="40"/>
      <c r="CU181" s="40"/>
      <c r="CV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0"/>
      <c r="BX182" s="40"/>
      <c r="BY182" s="40"/>
      <c r="BZ182" s="40"/>
      <c r="CA182" s="40"/>
      <c r="CB182" s="40"/>
      <c r="CC182" s="40"/>
      <c r="CD182" s="40"/>
      <c r="CE182" s="40"/>
      <c r="CF182" s="40"/>
      <c r="CG182" s="40"/>
      <c r="CH182" s="40"/>
      <c r="CI182" s="40"/>
      <c r="CJ182" s="40"/>
      <c r="CK182" s="40"/>
      <c r="CL182" s="40"/>
      <c r="CM182" s="40"/>
      <c r="CN182" s="40"/>
      <c r="CO182" s="40"/>
      <c r="CP182" s="40"/>
      <c r="CQ182" s="40"/>
      <c r="CR182" s="40"/>
      <c r="CS182" s="40"/>
      <c r="CT182" s="40"/>
      <c r="CU182" s="40"/>
      <c r="CV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  <c r="BW183" s="40"/>
      <c r="BX183" s="40"/>
      <c r="BY183" s="40"/>
      <c r="BZ183" s="40"/>
      <c r="CA183" s="40"/>
      <c r="CB183" s="40"/>
      <c r="CC183" s="40"/>
      <c r="CD183" s="40"/>
      <c r="CE183" s="40"/>
      <c r="CF183" s="40"/>
      <c r="CG183" s="40"/>
      <c r="CH183" s="40"/>
      <c r="CI183" s="40"/>
      <c r="CJ183" s="40"/>
      <c r="CK183" s="40"/>
      <c r="CL183" s="40"/>
      <c r="CM183" s="40"/>
      <c r="CN183" s="40"/>
      <c r="CO183" s="40"/>
      <c r="CP183" s="40"/>
      <c r="CQ183" s="40"/>
      <c r="CR183" s="40"/>
      <c r="CS183" s="40"/>
      <c r="CT183" s="40"/>
      <c r="CU183" s="40"/>
      <c r="CV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  <c r="BW184" s="40"/>
      <c r="BX184" s="40"/>
      <c r="BY184" s="40"/>
      <c r="BZ184" s="40"/>
      <c r="CA184" s="40"/>
      <c r="CB184" s="40"/>
      <c r="CC184" s="40"/>
      <c r="CD184" s="40"/>
      <c r="CE184" s="40"/>
      <c r="CF184" s="40"/>
      <c r="CG184" s="40"/>
      <c r="CH184" s="40"/>
      <c r="CI184" s="40"/>
      <c r="CJ184" s="40"/>
      <c r="CK184" s="40"/>
      <c r="CL184" s="40"/>
      <c r="CM184" s="40"/>
      <c r="CN184" s="40"/>
      <c r="CO184" s="40"/>
      <c r="CP184" s="40"/>
      <c r="CQ184" s="40"/>
      <c r="CR184" s="40"/>
      <c r="CS184" s="40"/>
      <c r="CT184" s="40"/>
      <c r="CU184" s="40"/>
      <c r="CV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  <c r="BW185" s="40"/>
      <c r="BX185" s="40"/>
      <c r="BY185" s="40"/>
      <c r="BZ185" s="40"/>
      <c r="CA185" s="40"/>
      <c r="CB185" s="40"/>
      <c r="CC185" s="40"/>
      <c r="CD185" s="40"/>
      <c r="CE185" s="40"/>
      <c r="CF185" s="40"/>
      <c r="CG185" s="40"/>
      <c r="CH185" s="40"/>
      <c r="CI185" s="40"/>
      <c r="CJ185" s="40"/>
      <c r="CK185" s="40"/>
      <c r="CL185" s="40"/>
      <c r="CM185" s="40"/>
      <c r="CN185" s="40"/>
      <c r="CO185" s="40"/>
      <c r="CP185" s="40"/>
      <c r="CQ185" s="40"/>
      <c r="CR185" s="40"/>
      <c r="CS185" s="40"/>
      <c r="CT185" s="40"/>
      <c r="CU185" s="40"/>
      <c r="CV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  <c r="BW186" s="40"/>
      <c r="BX186" s="40"/>
      <c r="BY186" s="40"/>
      <c r="BZ186" s="40"/>
      <c r="CA186" s="40"/>
      <c r="CB186" s="40"/>
      <c r="CC186" s="40"/>
      <c r="CD186" s="40"/>
      <c r="CE186" s="40"/>
      <c r="CF186" s="40"/>
      <c r="CG186" s="40"/>
      <c r="CH186" s="40"/>
      <c r="CI186" s="40"/>
      <c r="CJ186" s="40"/>
      <c r="CK186" s="40"/>
      <c r="CL186" s="40"/>
      <c r="CM186" s="40"/>
      <c r="CN186" s="40"/>
      <c r="CO186" s="40"/>
      <c r="CP186" s="40"/>
      <c r="CQ186" s="40"/>
      <c r="CR186" s="40"/>
      <c r="CS186" s="40"/>
      <c r="CT186" s="40"/>
      <c r="CU186" s="40"/>
      <c r="CV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  <c r="BW187" s="40"/>
      <c r="BX187" s="40"/>
      <c r="BY187" s="40"/>
      <c r="BZ187" s="40"/>
      <c r="CA187" s="40"/>
      <c r="CB187" s="40"/>
      <c r="CC187" s="40"/>
      <c r="CD187" s="40"/>
      <c r="CE187" s="40"/>
      <c r="CF187" s="40"/>
      <c r="CG187" s="40"/>
      <c r="CH187" s="40"/>
      <c r="CI187" s="40"/>
      <c r="CJ187" s="40"/>
      <c r="CK187" s="40"/>
      <c r="CL187" s="40"/>
      <c r="CM187" s="40"/>
      <c r="CN187" s="40"/>
      <c r="CO187" s="40"/>
      <c r="CP187" s="40"/>
      <c r="CQ187" s="40"/>
      <c r="CR187" s="40"/>
      <c r="CS187" s="40"/>
      <c r="CT187" s="40"/>
      <c r="CU187" s="40"/>
      <c r="CV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  <c r="BW188" s="40"/>
      <c r="BX188" s="40"/>
      <c r="BY188" s="40"/>
      <c r="BZ188" s="40"/>
      <c r="CA188" s="40"/>
      <c r="CB188" s="40"/>
      <c r="CC188" s="40"/>
      <c r="CD188" s="40"/>
      <c r="CE188" s="40"/>
      <c r="CF188" s="40"/>
      <c r="CG188" s="40"/>
      <c r="CH188" s="40"/>
      <c r="CI188" s="40"/>
      <c r="CJ188" s="40"/>
      <c r="CK188" s="40"/>
      <c r="CL188" s="40"/>
      <c r="CM188" s="40"/>
      <c r="CN188" s="40"/>
      <c r="CO188" s="40"/>
      <c r="CP188" s="40"/>
      <c r="CQ188" s="40"/>
      <c r="CR188" s="40"/>
      <c r="CS188" s="40"/>
      <c r="CT188" s="40"/>
      <c r="CU188" s="40"/>
      <c r="CV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  <c r="BW189" s="40"/>
      <c r="BX189" s="40"/>
      <c r="BY189" s="40"/>
      <c r="BZ189" s="40"/>
      <c r="CA189" s="40"/>
      <c r="CB189" s="40"/>
      <c r="CC189" s="40"/>
      <c r="CD189" s="40"/>
      <c r="CE189" s="40"/>
      <c r="CF189" s="40"/>
      <c r="CG189" s="40"/>
      <c r="CH189" s="40"/>
      <c r="CI189" s="40"/>
      <c r="CJ189" s="40"/>
      <c r="CK189" s="40"/>
      <c r="CL189" s="40"/>
      <c r="CM189" s="40"/>
      <c r="CN189" s="40"/>
      <c r="CO189" s="40"/>
      <c r="CP189" s="40"/>
      <c r="CQ189" s="40"/>
      <c r="CR189" s="40"/>
      <c r="CS189" s="40"/>
      <c r="CT189" s="40"/>
      <c r="CU189" s="40"/>
      <c r="CV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  <c r="BW190" s="40"/>
      <c r="BX190" s="40"/>
      <c r="BY190" s="40"/>
      <c r="BZ190" s="40"/>
      <c r="CA190" s="40"/>
      <c r="CB190" s="40"/>
      <c r="CC190" s="40"/>
      <c r="CD190" s="40"/>
      <c r="CE190" s="40"/>
      <c r="CF190" s="40"/>
      <c r="CG190" s="40"/>
      <c r="CH190" s="40"/>
      <c r="CI190" s="40"/>
      <c r="CJ190" s="40"/>
      <c r="CK190" s="40"/>
      <c r="CL190" s="40"/>
      <c r="CM190" s="40"/>
      <c r="CN190" s="40"/>
      <c r="CO190" s="40"/>
      <c r="CP190" s="40"/>
      <c r="CQ190" s="40"/>
      <c r="CR190" s="40"/>
      <c r="CS190" s="40"/>
      <c r="CT190" s="40"/>
      <c r="CU190" s="40"/>
      <c r="CV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  <c r="BW191" s="40"/>
      <c r="BX191" s="40"/>
      <c r="BY191" s="40"/>
      <c r="BZ191" s="40"/>
      <c r="CA191" s="40"/>
      <c r="CB191" s="40"/>
      <c r="CC191" s="40"/>
      <c r="CD191" s="40"/>
      <c r="CE191" s="40"/>
      <c r="CF191" s="40"/>
      <c r="CG191" s="40"/>
      <c r="CH191" s="40"/>
      <c r="CI191" s="40"/>
      <c r="CJ191" s="40"/>
      <c r="CK191" s="40"/>
      <c r="CL191" s="40"/>
      <c r="CM191" s="40"/>
      <c r="CN191" s="40"/>
      <c r="CO191" s="40"/>
      <c r="CP191" s="40"/>
      <c r="CQ191" s="40"/>
      <c r="CR191" s="40"/>
      <c r="CS191" s="40"/>
      <c r="CT191" s="40"/>
      <c r="CU191" s="40"/>
      <c r="CV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  <c r="BW192" s="40"/>
      <c r="BX192" s="40"/>
      <c r="BY192" s="40"/>
      <c r="BZ192" s="40"/>
      <c r="CA192" s="40"/>
      <c r="CB192" s="40"/>
      <c r="CC192" s="40"/>
      <c r="CD192" s="40"/>
      <c r="CE192" s="40"/>
      <c r="CF192" s="40"/>
      <c r="CG192" s="40"/>
      <c r="CH192" s="40"/>
      <c r="CI192" s="40"/>
      <c r="CJ192" s="40"/>
      <c r="CK192" s="40"/>
      <c r="CL192" s="40"/>
      <c r="CM192" s="40"/>
      <c r="CN192" s="40"/>
      <c r="CO192" s="40"/>
      <c r="CP192" s="40"/>
      <c r="CQ192" s="40"/>
      <c r="CR192" s="40"/>
      <c r="CS192" s="40"/>
      <c r="CT192" s="40"/>
      <c r="CU192" s="40"/>
      <c r="CV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  <c r="BW194" s="40"/>
      <c r="BX194" s="40"/>
      <c r="BY194" s="40"/>
      <c r="BZ194" s="40"/>
      <c r="CA194" s="40"/>
      <c r="CB194" s="40"/>
      <c r="CC194" s="40"/>
      <c r="CD194" s="40"/>
      <c r="CE194" s="40"/>
      <c r="CF194" s="40"/>
      <c r="CG194" s="40"/>
      <c r="CH194" s="40"/>
      <c r="CI194" s="40"/>
      <c r="CJ194" s="40"/>
      <c r="CK194" s="40"/>
      <c r="CL194" s="40"/>
      <c r="CM194" s="40"/>
      <c r="CN194" s="40"/>
      <c r="CO194" s="40"/>
      <c r="CP194" s="40"/>
      <c r="CQ194" s="40"/>
      <c r="CR194" s="40"/>
      <c r="CS194" s="40"/>
      <c r="CT194" s="40"/>
      <c r="CU194" s="40"/>
      <c r="CV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  <c r="BW195" s="40"/>
      <c r="BX195" s="40"/>
      <c r="BY195" s="40"/>
      <c r="BZ195" s="40"/>
      <c r="CA195" s="40"/>
      <c r="CB195" s="40"/>
      <c r="CC195" s="40"/>
      <c r="CD195" s="40"/>
      <c r="CE195" s="40"/>
      <c r="CF195" s="40"/>
      <c r="CG195" s="40"/>
      <c r="CH195" s="40"/>
      <c r="CI195" s="40"/>
      <c r="CJ195" s="40"/>
      <c r="CK195" s="40"/>
      <c r="CL195" s="40"/>
      <c r="CM195" s="40"/>
      <c r="CN195" s="40"/>
      <c r="CO195" s="40"/>
      <c r="CP195" s="40"/>
      <c r="CQ195" s="40"/>
      <c r="CR195" s="40"/>
      <c r="CS195" s="40"/>
      <c r="CT195" s="40"/>
      <c r="CU195" s="40"/>
      <c r="CV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  <c r="BW196" s="40"/>
      <c r="BX196" s="40"/>
      <c r="BY196" s="40"/>
      <c r="BZ196" s="40"/>
      <c r="CA196" s="40"/>
      <c r="CB196" s="40"/>
      <c r="CC196" s="40"/>
      <c r="CD196" s="40"/>
      <c r="CE196" s="40"/>
      <c r="CF196" s="40"/>
      <c r="CG196" s="40"/>
      <c r="CH196" s="40"/>
      <c r="CI196" s="40"/>
      <c r="CJ196" s="40"/>
      <c r="CK196" s="40"/>
      <c r="CL196" s="40"/>
      <c r="CM196" s="40"/>
      <c r="CN196" s="40"/>
      <c r="CO196" s="40"/>
      <c r="CP196" s="40"/>
      <c r="CQ196" s="40"/>
      <c r="CR196" s="40"/>
      <c r="CS196" s="40"/>
      <c r="CT196" s="40"/>
      <c r="CU196" s="40"/>
      <c r="CV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  <c r="BW197" s="40"/>
      <c r="BX197" s="40"/>
      <c r="BY197" s="40"/>
      <c r="BZ197" s="40"/>
      <c r="CA197" s="40"/>
      <c r="CB197" s="40"/>
      <c r="CC197" s="40"/>
      <c r="CD197" s="40"/>
      <c r="CE197" s="40"/>
      <c r="CF197" s="40"/>
      <c r="CG197" s="40"/>
      <c r="CH197" s="40"/>
      <c r="CI197" s="40"/>
      <c r="CJ197" s="40"/>
      <c r="CK197" s="40"/>
      <c r="CL197" s="40"/>
      <c r="CM197" s="40"/>
      <c r="CN197" s="40"/>
      <c r="CO197" s="40"/>
      <c r="CP197" s="40"/>
      <c r="CQ197" s="40"/>
      <c r="CR197" s="40"/>
      <c r="CS197" s="40"/>
      <c r="CT197" s="40"/>
      <c r="CU197" s="40"/>
      <c r="CV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  <c r="BW198" s="40"/>
      <c r="BX198" s="40"/>
      <c r="BY198" s="40"/>
      <c r="BZ198" s="40"/>
      <c r="CA198" s="40"/>
      <c r="CB198" s="40"/>
      <c r="CC198" s="40"/>
      <c r="CD198" s="40"/>
      <c r="CE198" s="40"/>
      <c r="CF198" s="40"/>
      <c r="CG198" s="40"/>
      <c r="CH198" s="40"/>
      <c r="CI198" s="40"/>
      <c r="CJ198" s="40"/>
      <c r="CK198" s="40"/>
      <c r="CL198" s="40"/>
      <c r="CM198" s="40"/>
      <c r="CN198" s="40"/>
      <c r="CO198" s="40"/>
      <c r="CP198" s="40"/>
      <c r="CQ198" s="40"/>
      <c r="CR198" s="40"/>
      <c r="CS198" s="40"/>
      <c r="CT198" s="40"/>
      <c r="CU198" s="40"/>
      <c r="CV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  <c r="BW199" s="40"/>
      <c r="BX199" s="40"/>
      <c r="BY199" s="40"/>
      <c r="BZ199" s="40"/>
      <c r="CA199" s="40"/>
      <c r="CB199" s="40"/>
      <c r="CC199" s="40"/>
      <c r="CD199" s="40"/>
      <c r="CE199" s="40"/>
      <c r="CF199" s="40"/>
      <c r="CG199" s="40"/>
      <c r="CH199" s="40"/>
      <c r="CI199" s="40"/>
      <c r="CJ199" s="40"/>
      <c r="CK199" s="40"/>
      <c r="CL199" s="40"/>
      <c r="CM199" s="40"/>
      <c r="CN199" s="40"/>
      <c r="CO199" s="40"/>
      <c r="CP199" s="40"/>
      <c r="CQ199" s="40"/>
      <c r="CR199" s="40"/>
      <c r="CS199" s="40"/>
      <c r="CT199" s="40"/>
      <c r="CU199" s="40"/>
      <c r="CV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  <c r="BW200" s="40"/>
      <c r="BX200" s="40"/>
      <c r="BY200" s="40"/>
      <c r="BZ200" s="40"/>
      <c r="CA200" s="40"/>
      <c r="CB200" s="40"/>
      <c r="CC200" s="40"/>
      <c r="CD200" s="40"/>
      <c r="CE200" s="40"/>
      <c r="CF200" s="40"/>
      <c r="CG200" s="40"/>
      <c r="CH200" s="40"/>
      <c r="CI200" s="40"/>
      <c r="CJ200" s="40"/>
      <c r="CK200" s="40"/>
      <c r="CL200" s="40"/>
      <c r="CM200" s="40"/>
      <c r="CN200" s="40"/>
      <c r="CO200" s="40"/>
      <c r="CP200" s="40"/>
      <c r="CQ200" s="40"/>
      <c r="CR200" s="40"/>
      <c r="CS200" s="40"/>
      <c r="CT200" s="40"/>
      <c r="CU200" s="40"/>
      <c r="CV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  <c r="BW201" s="40"/>
      <c r="BX201" s="40"/>
      <c r="BY201" s="40"/>
      <c r="BZ201" s="40"/>
      <c r="CA201" s="40"/>
      <c r="CB201" s="40"/>
      <c r="CC201" s="40"/>
      <c r="CD201" s="40"/>
      <c r="CE201" s="40"/>
      <c r="CF201" s="40"/>
      <c r="CG201" s="40"/>
      <c r="CH201" s="40"/>
      <c r="CI201" s="40"/>
      <c r="CJ201" s="40"/>
      <c r="CK201" s="40"/>
      <c r="CL201" s="40"/>
      <c r="CM201" s="40"/>
      <c r="CN201" s="40"/>
      <c r="CO201" s="40"/>
      <c r="CP201" s="40"/>
      <c r="CQ201" s="40"/>
      <c r="CR201" s="40"/>
      <c r="CS201" s="40"/>
      <c r="CT201" s="40"/>
      <c r="CU201" s="40"/>
      <c r="CV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  <c r="BW202" s="40"/>
      <c r="BX202" s="40"/>
      <c r="BY202" s="40"/>
      <c r="BZ202" s="40"/>
      <c r="CA202" s="40"/>
      <c r="CB202" s="40"/>
      <c r="CC202" s="40"/>
      <c r="CD202" s="40"/>
      <c r="CE202" s="40"/>
      <c r="CF202" s="40"/>
      <c r="CG202" s="40"/>
      <c r="CH202" s="40"/>
      <c r="CI202" s="40"/>
      <c r="CJ202" s="40"/>
      <c r="CK202" s="40"/>
      <c r="CL202" s="40"/>
      <c r="CM202" s="40"/>
      <c r="CN202" s="40"/>
      <c r="CO202" s="40"/>
      <c r="CP202" s="40"/>
      <c r="CQ202" s="40"/>
      <c r="CR202" s="40"/>
      <c r="CS202" s="40"/>
      <c r="CT202" s="40"/>
      <c r="CU202" s="40"/>
      <c r="CV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  <c r="BW203" s="40"/>
      <c r="BX203" s="40"/>
      <c r="BY203" s="40"/>
      <c r="BZ203" s="40"/>
      <c r="CA203" s="40"/>
      <c r="CB203" s="40"/>
      <c r="CC203" s="40"/>
      <c r="CD203" s="40"/>
      <c r="CE203" s="40"/>
      <c r="CF203" s="40"/>
      <c r="CG203" s="40"/>
      <c r="CH203" s="40"/>
      <c r="CI203" s="40"/>
      <c r="CJ203" s="40"/>
      <c r="CK203" s="40"/>
      <c r="CL203" s="40"/>
      <c r="CM203" s="40"/>
      <c r="CN203" s="40"/>
      <c r="CO203" s="40"/>
      <c r="CP203" s="40"/>
      <c r="CQ203" s="40"/>
      <c r="CR203" s="40"/>
      <c r="CS203" s="40"/>
      <c r="CT203" s="40"/>
      <c r="CU203" s="40"/>
      <c r="CV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  <c r="BW204" s="40"/>
      <c r="BX204" s="40"/>
      <c r="BY204" s="40"/>
      <c r="BZ204" s="40"/>
      <c r="CA204" s="40"/>
      <c r="CB204" s="40"/>
      <c r="CC204" s="40"/>
      <c r="CD204" s="40"/>
      <c r="CE204" s="40"/>
      <c r="CF204" s="40"/>
      <c r="CG204" s="40"/>
      <c r="CH204" s="40"/>
      <c r="CI204" s="40"/>
      <c r="CJ204" s="40"/>
      <c r="CK204" s="40"/>
      <c r="CL204" s="40"/>
      <c r="CM204" s="40"/>
      <c r="CN204" s="40"/>
      <c r="CO204" s="40"/>
      <c r="CP204" s="40"/>
      <c r="CQ204" s="40"/>
      <c r="CR204" s="40"/>
      <c r="CS204" s="40"/>
      <c r="CT204" s="40"/>
      <c r="CU204" s="40"/>
      <c r="CV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  <c r="BW205" s="40"/>
      <c r="BX205" s="40"/>
      <c r="BY205" s="40"/>
      <c r="BZ205" s="40"/>
      <c r="CA205" s="40"/>
      <c r="CB205" s="40"/>
      <c r="CC205" s="40"/>
      <c r="CD205" s="40"/>
      <c r="CE205" s="40"/>
      <c r="CF205" s="40"/>
      <c r="CG205" s="40"/>
      <c r="CH205" s="40"/>
      <c r="CI205" s="40"/>
      <c r="CJ205" s="40"/>
      <c r="CK205" s="40"/>
      <c r="CL205" s="40"/>
      <c r="CM205" s="40"/>
      <c r="CN205" s="40"/>
      <c r="CO205" s="40"/>
      <c r="CP205" s="40"/>
      <c r="CQ205" s="40"/>
      <c r="CR205" s="40"/>
      <c r="CS205" s="40"/>
      <c r="CT205" s="40"/>
      <c r="CU205" s="40"/>
      <c r="CV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  <c r="BW206" s="40"/>
      <c r="BX206" s="40"/>
      <c r="BY206" s="40"/>
      <c r="BZ206" s="40"/>
      <c r="CA206" s="40"/>
      <c r="CB206" s="40"/>
      <c r="CC206" s="40"/>
      <c r="CD206" s="40"/>
      <c r="CE206" s="40"/>
      <c r="CF206" s="40"/>
      <c r="CG206" s="40"/>
      <c r="CH206" s="40"/>
      <c r="CI206" s="40"/>
      <c r="CJ206" s="40"/>
      <c r="CK206" s="40"/>
      <c r="CL206" s="40"/>
      <c r="CM206" s="40"/>
      <c r="CN206" s="40"/>
      <c r="CO206" s="40"/>
      <c r="CP206" s="40"/>
      <c r="CQ206" s="40"/>
      <c r="CR206" s="40"/>
      <c r="CS206" s="40"/>
      <c r="CT206" s="40"/>
      <c r="CU206" s="40"/>
      <c r="CV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  <c r="BW207" s="40"/>
      <c r="BX207" s="40"/>
      <c r="BY207" s="40"/>
      <c r="BZ207" s="40"/>
      <c r="CA207" s="40"/>
      <c r="CB207" s="40"/>
      <c r="CC207" s="40"/>
      <c r="CD207" s="40"/>
      <c r="CE207" s="40"/>
      <c r="CF207" s="40"/>
      <c r="CG207" s="40"/>
      <c r="CH207" s="40"/>
      <c r="CI207" s="40"/>
      <c r="CJ207" s="40"/>
      <c r="CK207" s="40"/>
      <c r="CL207" s="40"/>
      <c r="CM207" s="40"/>
      <c r="CN207" s="40"/>
      <c r="CO207" s="40"/>
      <c r="CP207" s="40"/>
      <c r="CQ207" s="40"/>
      <c r="CR207" s="40"/>
      <c r="CS207" s="40"/>
      <c r="CT207" s="40"/>
      <c r="CU207" s="40"/>
      <c r="CV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  <c r="BW208" s="40"/>
      <c r="BX208" s="40"/>
      <c r="BY208" s="40"/>
      <c r="BZ208" s="40"/>
      <c r="CA208" s="40"/>
      <c r="CB208" s="40"/>
      <c r="CC208" s="40"/>
      <c r="CD208" s="40"/>
      <c r="CE208" s="40"/>
      <c r="CF208" s="40"/>
      <c r="CG208" s="40"/>
      <c r="CH208" s="40"/>
      <c r="CI208" s="40"/>
      <c r="CJ208" s="40"/>
      <c r="CK208" s="40"/>
      <c r="CL208" s="40"/>
      <c r="CM208" s="40"/>
      <c r="CN208" s="40"/>
      <c r="CO208" s="40"/>
      <c r="CP208" s="40"/>
      <c r="CQ208" s="40"/>
      <c r="CR208" s="40"/>
      <c r="CS208" s="40"/>
      <c r="CT208" s="40"/>
      <c r="CU208" s="40"/>
      <c r="CV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  <c r="BW209" s="40"/>
      <c r="BX209" s="40"/>
      <c r="BY209" s="40"/>
      <c r="BZ209" s="40"/>
      <c r="CA209" s="40"/>
      <c r="CB209" s="40"/>
      <c r="CC209" s="40"/>
      <c r="CD209" s="40"/>
      <c r="CE209" s="40"/>
      <c r="CF209" s="40"/>
      <c r="CG209" s="40"/>
      <c r="CH209" s="40"/>
      <c r="CI209" s="40"/>
      <c r="CJ209" s="40"/>
      <c r="CK209" s="40"/>
      <c r="CL209" s="40"/>
      <c r="CM209" s="40"/>
      <c r="CN209" s="40"/>
      <c r="CO209" s="40"/>
      <c r="CP209" s="40"/>
      <c r="CQ209" s="40"/>
      <c r="CR209" s="40"/>
      <c r="CS209" s="40"/>
      <c r="CT209" s="40"/>
      <c r="CU209" s="40"/>
      <c r="CV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  <c r="BW210" s="40"/>
      <c r="BX210" s="40"/>
      <c r="BY210" s="40"/>
      <c r="BZ210" s="40"/>
      <c r="CA210" s="40"/>
      <c r="CB210" s="40"/>
      <c r="CC210" s="40"/>
      <c r="CD210" s="40"/>
      <c r="CE210" s="40"/>
      <c r="CF210" s="40"/>
      <c r="CG210" s="40"/>
      <c r="CH210" s="40"/>
      <c r="CI210" s="40"/>
      <c r="CJ210" s="40"/>
      <c r="CK210" s="40"/>
      <c r="CL210" s="40"/>
      <c r="CM210" s="40"/>
      <c r="CN210" s="40"/>
      <c r="CO210" s="40"/>
      <c r="CP210" s="40"/>
      <c r="CQ210" s="40"/>
      <c r="CR210" s="40"/>
      <c r="CS210" s="40"/>
      <c r="CT210" s="40"/>
      <c r="CU210" s="40"/>
      <c r="CV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  <c r="BW211" s="40"/>
      <c r="BX211" s="40"/>
      <c r="BY211" s="40"/>
      <c r="BZ211" s="40"/>
      <c r="CA211" s="40"/>
      <c r="CB211" s="40"/>
      <c r="CC211" s="40"/>
      <c r="CD211" s="40"/>
      <c r="CE211" s="40"/>
      <c r="CF211" s="40"/>
      <c r="CG211" s="40"/>
      <c r="CH211" s="40"/>
      <c r="CI211" s="40"/>
      <c r="CJ211" s="40"/>
      <c r="CK211" s="40"/>
      <c r="CL211" s="40"/>
      <c r="CM211" s="40"/>
      <c r="CN211" s="40"/>
      <c r="CO211" s="40"/>
      <c r="CP211" s="40"/>
      <c r="CQ211" s="40"/>
      <c r="CR211" s="40"/>
      <c r="CS211" s="40"/>
      <c r="CT211" s="40"/>
      <c r="CU211" s="40"/>
      <c r="CV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  <c r="BW212" s="40"/>
      <c r="BX212" s="40"/>
      <c r="BY212" s="40"/>
      <c r="BZ212" s="40"/>
      <c r="CA212" s="40"/>
      <c r="CB212" s="40"/>
      <c r="CC212" s="40"/>
      <c r="CD212" s="40"/>
      <c r="CE212" s="40"/>
      <c r="CF212" s="40"/>
      <c r="CG212" s="40"/>
      <c r="CH212" s="40"/>
      <c r="CI212" s="40"/>
      <c r="CJ212" s="40"/>
      <c r="CK212" s="40"/>
      <c r="CL212" s="40"/>
      <c r="CM212" s="40"/>
      <c r="CN212" s="40"/>
      <c r="CO212" s="40"/>
      <c r="CP212" s="40"/>
      <c r="CQ212" s="40"/>
      <c r="CR212" s="40"/>
      <c r="CS212" s="40"/>
      <c r="CT212" s="40"/>
      <c r="CU212" s="40"/>
      <c r="CV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  <c r="BW213" s="40"/>
      <c r="BX213" s="40"/>
      <c r="BY213" s="40"/>
      <c r="BZ213" s="40"/>
      <c r="CA213" s="40"/>
      <c r="CB213" s="40"/>
      <c r="CC213" s="40"/>
      <c r="CD213" s="40"/>
      <c r="CE213" s="40"/>
      <c r="CF213" s="40"/>
      <c r="CG213" s="40"/>
      <c r="CH213" s="40"/>
      <c r="CI213" s="40"/>
      <c r="CJ213" s="40"/>
      <c r="CK213" s="40"/>
      <c r="CL213" s="40"/>
      <c r="CM213" s="40"/>
      <c r="CN213" s="40"/>
      <c r="CO213" s="40"/>
      <c r="CP213" s="40"/>
      <c r="CQ213" s="40"/>
      <c r="CR213" s="40"/>
      <c r="CS213" s="40"/>
      <c r="CT213" s="40"/>
      <c r="CU213" s="40"/>
      <c r="CV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  <c r="BW214" s="40"/>
      <c r="BX214" s="40"/>
      <c r="BY214" s="40"/>
      <c r="BZ214" s="40"/>
      <c r="CA214" s="40"/>
      <c r="CB214" s="40"/>
      <c r="CC214" s="40"/>
      <c r="CD214" s="40"/>
      <c r="CE214" s="40"/>
      <c r="CF214" s="40"/>
      <c r="CG214" s="40"/>
      <c r="CH214" s="40"/>
      <c r="CI214" s="40"/>
      <c r="CJ214" s="40"/>
      <c r="CK214" s="40"/>
      <c r="CL214" s="40"/>
      <c r="CM214" s="40"/>
      <c r="CN214" s="40"/>
      <c r="CO214" s="40"/>
      <c r="CP214" s="40"/>
      <c r="CQ214" s="40"/>
      <c r="CR214" s="40"/>
      <c r="CS214" s="40"/>
      <c r="CT214" s="40"/>
      <c r="CU214" s="40"/>
      <c r="CV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  <c r="BW215" s="40"/>
      <c r="BX215" s="40"/>
      <c r="BY215" s="40"/>
      <c r="BZ215" s="40"/>
      <c r="CA215" s="40"/>
      <c r="CB215" s="40"/>
      <c r="CC215" s="40"/>
      <c r="CD215" s="40"/>
      <c r="CE215" s="40"/>
      <c r="CF215" s="40"/>
      <c r="CG215" s="40"/>
      <c r="CH215" s="40"/>
      <c r="CI215" s="40"/>
      <c r="CJ215" s="40"/>
      <c r="CK215" s="40"/>
      <c r="CL215" s="40"/>
      <c r="CM215" s="40"/>
      <c r="CN215" s="40"/>
      <c r="CO215" s="40"/>
      <c r="CP215" s="40"/>
      <c r="CQ215" s="40"/>
      <c r="CR215" s="40"/>
      <c r="CS215" s="40"/>
      <c r="CT215" s="40"/>
      <c r="CU215" s="40"/>
      <c r="CV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  <c r="BW216" s="40"/>
      <c r="BX216" s="40"/>
      <c r="BY216" s="40"/>
      <c r="BZ216" s="40"/>
      <c r="CA216" s="40"/>
      <c r="CB216" s="40"/>
      <c r="CC216" s="40"/>
      <c r="CD216" s="40"/>
      <c r="CE216" s="40"/>
      <c r="CF216" s="40"/>
      <c r="CG216" s="40"/>
      <c r="CH216" s="40"/>
      <c r="CI216" s="40"/>
      <c r="CJ216" s="40"/>
      <c r="CK216" s="40"/>
      <c r="CL216" s="40"/>
      <c r="CM216" s="40"/>
      <c r="CN216" s="40"/>
      <c r="CO216" s="40"/>
      <c r="CP216" s="40"/>
      <c r="CQ216" s="40"/>
      <c r="CR216" s="40"/>
      <c r="CS216" s="40"/>
      <c r="CT216" s="40"/>
      <c r="CU216" s="40"/>
      <c r="CV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  <c r="BW217" s="40"/>
      <c r="BX217" s="40"/>
      <c r="BY217" s="40"/>
      <c r="BZ217" s="40"/>
      <c r="CA217" s="40"/>
      <c r="CB217" s="40"/>
      <c r="CC217" s="40"/>
      <c r="CD217" s="40"/>
      <c r="CE217" s="40"/>
      <c r="CF217" s="40"/>
      <c r="CG217" s="40"/>
      <c r="CH217" s="40"/>
      <c r="CI217" s="40"/>
      <c r="CJ217" s="40"/>
      <c r="CK217" s="40"/>
      <c r="CL217" s="40"/>
      <c r="CM217" s="40"/>
      <c r="CN217" s="40"/>
      <c r="CO217" s="40"/>
      <c r="CP217" s="40"/>
      <c r="CQ217" s="40"/>
      <c r="CR217" s="40"/>
      <c r="CS217" s="40"/>
      <c r="CT217" s="40"/>
      <c r="CU217" s="40"/>
      <c r="CV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  <c r="BW218" s="40"/>
      <c r="BX218" s="40"/>
      <c r="BY218" s="40"/>
      <c r="BZ218" s="40"/>
      <c r="CA218" s="40"/>
      <c r="CB218" s="40"/>
      <c r="CC218" s="40"/>
      <c r="CD218" s="40"/>
      <c r="CE218" s="40"/>
      <c r="CF218" s="40"/>
      <c r="CG218" s="40"/>
      <c r="CH218" s="40"/>
      <c r="CI218" s="40"/>
      <c r="CJ218" s="40"/>
      <c r="CK218" s="40"/>
      <c r="CL218" s="40"/>
      <c r="CM218" s="40"/>
      <c r="CN218" s="40"/>
      <c r="CO218" s="40"/>
      <c r="CP218" s="40"/>
      <c r="CQ218" s="40"/>
      <c r="CR218" s="40"/>
      <c r="CS218" s="40"/>
      <c r="CT218" s="40"/>
      <c r="CU218" s="40"/>
      <c r="CV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  <c r="BW219" s="40"/>
      <c r="BX219" s="40"/>
      <c r="BY219" s="40"/>
      <c r="BZ219" s="40"/>
      <c r="CA219" s="40"/>
      <c r="CB219" s="40"/>
      <c r="CC219" s="40"/>
      <c r="CD219" s="40"/>
      <c r="CE219" s="40"/>
      <c r="CF219" s="40"/>
      <c r="CG219" s="40"/>
      <c r="CH219" s="40"/>
      <c r="CI219" s="40"/>
      <c r="CJ219" s="40"/>
      <c r="CK219" s="40"/>
      <c r="CL219" s="40"/>
      <c r="CM219" s="40"/>
      <c r="CN219" s="40"/>
      <c r="CO219" s="40"/>
      <c r="CP219" s="40"/>
      <c r="CQ219" s="40"/>
      <c r="CR219" s="40"/>
      <c r="CS219" s="40"/>
      <c r="CT219" s="40"/>
      <c r="CU219" s="40"/>
      <c r="CV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  <c r="BW220" s="40"/>
      <c r="BX220" s="40"/>
      <c r="BY220" s="40"/>
      <c r="BZ220" s="40"/>
      <c r="CA220" s="40"/>
      <c r="CB220" s="40"/>
      <c r="CC220" s="40"/>
      <c r="CD220" s="40"/>
      <c r="CE220" s="40"/>
      <c r="CF220" s="40"/>
      <c r="CG220" s="40"/>
      <c r="CH220" s="40"/>
      <c r="CI220" s="40"/>
      <c r="CJ220" s="40"/>
      <c r="CK220" s="40"/>
      <c r="CL220" s="40"/>
      <c r="CM220" s="40"/>
      <c r="CN220" s="40"/>
      <c r="CO220" s="40"/>
      <c r="CP220" s="40"/>
      <c r="CQ220" s="40"/>
      <c r="CR220" s="40"/>
      <c r="CS220" s="40"/>
      <c r="CT220" s="40"/>
      <c r="CU220" s="40"/>
      <c r="CV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  <c r="BW221" s="40"/>
      <c r="BX221" s="40"/>
      <c r="BY221" s="40"/>
      <c r="BZ221" s="40"/>
      <c r="CA221" s="40"/>
      <c r="CB221" s="40"/>
      <c r="CC221" s="40"/>
      <c r="CD221" s="40"/>
      <c r="CE221" s="40"/>
      <c r="CF221" s="40"/>
      <c r="CG221" s="40"/>
      <c r="CH221" s="40"/>
      <c r="CI221" s="40"/>
      <c r="CJ221" s="40"/>
      <c r="CK221" s="40"/>
      <c r="CL221" s="40"/>
      <c r="CM221" s="40"/>
      <c r="CN221" s="40"/>
      <c r="CO221" s="40"/>
      <c r="CP221" s="40"/>
      <c r="CQ221" s="40"/>
      <c r="CR221" s="40"/>
      <c r="CS221" s="40"/>
      <c r="CT221" s="40"/>
      <c r="CU221" s="40"/>
      <c r="CV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  <c r="BW222" s="40"/>
      <c r="BX222" s="40"/>
      <c r="BY222" s="40"/>
      <c r="BZ222" s="40"/>
      <c r="CA222" s="40"/>
      <c r="CB222" s="40"/>
      <c r="CC222" s="40"/>
      <c r="CD222" s="40"/>
      <c r="CE222" s="40"/>
      <c r="CF222" s="40"/>
      <c r="CG222" s="40"/>
      <c r="CH222" s="40"/>
      <c r="CI222" s="40"/>
      <c r="CJ222" s="40"/>
      <c r="CK222" s="40"/>
      <c r="CL222" s="40"/>
      <c r="CM222" s="40"/>
      <c r="CN222" s="40"/>
      <c r="CO222" s="40"/>
      <c r="CP222" s="40"/>
      <c r="CQ222" s="40"/>
      <c r="CR222" s="40"/>
      <c r="CS222" s="40"/>
      <c r="CT222" s="40"/>
      <c r="CU222" s="40"/>
      <c r="CV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  <c r="BW223" s="40"/>
      <c r="BX223" s="40"/>
      <c r="BY223" s="40"/>
      <c r="BZ223" s="40"/>
      <c r="CA223" s="40"/>
      <c r="CB223" s="40"/>
      <c r="CC223" s="40"/>
      <c r="CD223" s="40"/>
      <c r="CE223" s="40"/>
      <c r="CF223" s="40"/>
      <c r="CG223" s="40"/>
      <c r="CH223" s="40"/>
      <c r="CI223" s="40"/>
      <c r="CJ223" s="40"/>
      <c r="CK223" s="40"/>
      <c r="CL223" s="40"/>
      <c r="CM223" s="40"/>
      <c r="CN223" s="40"/>
      <c r="CO223" s="40"/>
      <c r="CP223" s="40"/>
      <c r="CQ223" s="40"/>
      <c r="CR223" s="40"/>
      <c r="CS223" s="40"/>
      <c r="CT223" s="40"/>
      <c r="CU223" s="40"/>
      <c r="CV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  <c r="BW224" s="40"/>
      <c r="BX224" s="40"/>
      <c r="BY224" s="40"/>
      <c r="BZ224" s="40"/>
      <c r="CA224" s="40"/>
      <c r="CB224" s="40"/>
      <c r="CC224" s="40"/>
      <c r="CD224" s="40"/>
      <c r="CE224" s="40"/>
      <c r="CF224" s="40"/>
      <c r="CG224" s="40"/>
      <c r="CH224" s="40"/>
      <c r="CI224" s="40"/>
      <c r="CJ224" s="40"/>
      <c r="CK224" s="40"/>
      <c r="CL224" s="40"/>
      <c r="CM224" s="40"/>
      <c r="CN224" s="40"/>
      <c r="CO224" s="40"/>
      <c r="CP224" s="40"/>
      <c r="CQ224" s="40"/>
      <c r="CR224" s="40"/>
      <c r="CS224" s="40"/>
      <c r="CT224" s="40"/>
      <c r="CU224" s="40"/>
      <c r="CV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0"/>
      <c r="CA225" s="40"/>
      <c r="CB225" s="40"/>
      <c r="CC225" s="40"/>
      <c r="CD225" s="40"/>
      <c r="CE225" s="40"/>
      <c r="CF225" s="40"/>
      <c r="CG225" s="40"/>
      <c r="CH225" s="40"/>
      <c r="CI225" s="40"/>
      <c r="CJ225" s="40"/>
      <c r="CK225" s="40"/>
      <c r="CL225" s="40"/>
      <c r="CM225" s="40"/>
      <c r="CN225" s="40"/>
      <c r="CO225" s="40"/>
      <c r="CP225" s="40"/>
      <c r="CQ225" s="40"/>
      <c r="CR225" s="40"/>
      <c r="CS225" s="40"/>
      <c r="CT225" s="40"/>
      <c r="CU225" s="40"/>
      <c r="CV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  <c r="BW226" s="40"/>
      <c r="BX226" s="40"/>
      <c r="BY226" s="40"/>
      <c r="BZ226" s="40"/>
      <c r="CA226" s="40"/>
      <c r="CB226" s="40"/>
      <c r="CC226" s="40"/>
      <c r="CD226" s="40"/>
      <c r="CE226" s="40"/>
      <c r="CF226" s="40"/>
      <c r="CG226" s="40"/>
      <c r="CH226" s="40"/>
      <c r="CI226" s="40"/>
      <c r="CJ226" s="40"/>
      <c r="CK226" s="40"/>
      <c r="CL226" s="40"/>
      <c r="CM226" s="40"/>
      <c r="CN226" s="40"/>
      <c r="CO226" s="40"/>
      <c r="CP226" s="40"/>
      <c r="CQ226" s="40"/>
      <c r="CR226" s="40"/>
      <c r="CS226" s="40"/>
      <c r="CT226" s="40"/>
      <c r="CU226" s="40"/>
      <c r="CV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  <c r="BW227" s="40"/>
      <c r="BX227" s="40"/>
      <c r="BY227" s="40"/>
      <c r="BZ227" s="40"/>
      <c r="CA227" s="40"/>
      <c r="CB227" s="40"/>
      <c r="CC227" s="40"/>
      <c r="CD227" s="40"/>
      <c r="CE227" s="40"/>
      <c r="CF227" s="40"/>
      <c r="CG227" s="40"/>
      <c r="CH227" s="40"/>
      <c r="CI227" s="40"/>
      <c r="CJ227" s="40"/>
      <c r="CK227" s="40"/>
      <c r="CL227" s="40"/>
      <c r="CM227" s="40"/>
      <c r="CN227" s="40"/>
      <c r="CO227" s="40"/>
      <c r="CP227" s="40"/>
      <c r="CQ227" s="40"/>
      <c r="CR227" s="40"/>
      <c r="CS227" s="40"/>
      <c r="CT227" s="40"/>
      <c r="CU227" s="40"/>
      <c r="CV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  <c r="BW228" s="40"/>
      <c r="BX228" s="40"/>
      <c r="BY228" s="40"/>
      <c r="BZ228" s="40"/>
      <c r="CA228" s="40"/>
      <c r="CB228" s="40"/>
      <c r="CC228" s="40"/>
      <c r="CD228" s="40"/>
      <c r="CE228" s="40"/>
      <c r="CF228" s="40"/>
      <c r="CG228" s="40"/>
      <c r="CH228" s="40"/>
      <c r="CI228" s="40"/>
      <c r="CJ228" s="40"/>
      <c r="CK228" s="40"/>
      <c r="CL228" s="40"/>
      <c r="CM228" s="40"/>
      <c r="CN228" s="40"/>
      <c r="CO228" s="40"/>
      <c r="CP228" s="40"/>
      <c r="CQ228" s="40"/>
      <c r="CR228" s="40"/>
      <c r="CS228" s="40"/>
      <c r="CT228" s="40"/>
      <c r="CU228" s="40"/>
      <c r="CV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  <c r="BW229" s="40"/>
      <c r="BX229" s="40"/>
      <c r="BY229" s="40"/>
      <c r="BZ229" s="40"/>
      <c r="CA229" s="40"/>
      <c r="CB229" s="40"/>
      <c r="CC229" s="40"/>
      <c r="CD229" s="40"/>
      <c r="CE229" s="40"/>
      <c r="CF229" s="40"/>
      <c r="CG229" s="40"/>
      <c r="CH229" s="40"/>
      <c r="CI229" s="40"/>
      <c r="CJ229" s="40"/>
      <c r="CK229" s="40"/>
      <c r="CL229" s="40"/>
      <c r="CM229" s="40"/>
      <c r="CN229" s="40"/>
      <c r="CO229" s="40"/>
      <c r="CP229" s="40"/>
      <c r="CQ229" s="40"/>
      <c r="CR229" s="40"/>
      <c r="CS229" s="40"/>
      <c r="CT229" s="40"/>
      <c r="CU229" s="40"/>
      <c r="CV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  <c r="BW230" s="40"/>
      <c r="BX230" s="40"/>
      <c r="BY230" s="40"/>
      <c r="BZ230" s="40"/>
      <c r="CA230" s="40"/>
      <c r="CB230" s="40"/>
      <c r="CC230" s="40"/>
      <c r="CD230" s="40"/>
      <c r="CE230" s="40"/>
      <c r="CF230" s="40"/>
      <c r="CG230" s="40"/>
      <c r="CH230" s="40"/>
      <c r="CI230" s="40"/>
      <c r="CJ230" s="40"/>
      <c r="CK230" s="40"/>
      <c r="CL230" s="40"/>
      <c r="CM230" s="40"/>
      <c r="CN230" s="40"/>
      <c r="CO230" s="40"/>
      <c r="CP230" s="40"/>
      <c r="CQ230" s="40"/>
      <c r="CR230" s="40"/>
      <c r="CS230" s="40"/>
      <c r="CT230" s="40"/>
      <c r="CU230" s="40"/>
      <c r="CV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  <c r="BW231" s="40"/>
      <c r="BX231" s="40"/>
      <c r="BY231" s="40"/>
      <c r="BZ231" s="40"/>
      <c r="CA231" s="40"/>
      <c r="CB231" s="40"/>
      <c r="CC231" s="40"/>
      <c r="CD231" s="40"/>
      <c r="CE231" s="40"/>
      <c r="CF231" s="40"/>
      <c r="CG231" s="40"/>
      <c r="CH231" s="40"/>
      <c r="CI231" s="40"/>
      <c r="CJ231" s="40"/>
      <c r="CK231" s="40"/>
      <c r="CL231" s="40"/>
      <c r="CM231" s="40"/>
      <c r="CN231" s="40"/>
      <c r="CO231" s="40"/>
      <c r="CP231" s="40"/>
      <c r="CQ231" s="40"/>
      <c r="CR231" s="40"/>
      <c r="CS231" s="40"/>
      <c r="CT231" s="40"/>
      <c r="CU231" s="40"/>
      <c r="CV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0"/>
      <c r="BX232" s="40"/>
      <c r="BY232" s="40"/>
      <c r="BZ232" s="40"/>
      <c r="CA232" s="40"/>
      <c r="CB232" s="40"/>
      <c r="CC232" s="40"/>
      <c r="CD232" s="40"/>
      <c r="CE232" s="40"/>
      <c r="CF232" s="40"/>
      <c r="CG232" s="40"/>
      <c r="CH232" s="40"/>
      <c r="CI232" s="40"/>
      <c r="CJ232" s="40"/>
      <c r="CK232" s="40"/>
      <c r="CL232" s="40"/>
      <c r="CM232" s="40"/>
      <c r="CN232" s="40"/>
      <c r="CO232" s="40"/>
      <c r="CP232" s="40"/>
      <c r="CQ232" s="40"/>
      <c r="CR232" s="40"/>
      <c r="CS232" s="40"/>
      <c r="CT232" s="40"/>
      <c r="CU232" s="40"/>
      <c r="CV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  <c r="BW233" s="40"/>
      <c r="BX233" s="40"/>
      <c r="BY233" s="40"/>
      <c r="BZ233" s="40"/>
      <c r="CA233" s="40"/>
      <c r="CB233" s="40"/>
      <c r="CC233" s="40"/>
      <c r="CD233" s="40"/>
      <c r="CE233" s="40"/>
      <c r="CF233" s="40"/>
      <c r="CG233" s="40"/>
      <c r="CH233" s="40"/>
      <c r="CI233" s="40"/>
      <c r="CJ233" s="40"/>
      <c r="CK233" s="40"/>
      <c r="CL233" s="40"/>
      <c r="CM233" s="40"/>
      <c r="CN233" s="40"/>
      <c r="CO233" s="40"/>
      <c r="CP233" s="40"/>
      <c r="CQ233" s="40"/>
      <c r="CR233" s="40"/>
      <c r="CS233" s="40"/>
      <c r="CT233" s="40"/>
      <c r="CU233" s="40"/>
      <c r="CV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  <c r="BW234" s="40"/>
      <c r="BX234" s="40"/>
      <c r="BY234" s="40"/>
      <c r="BZ234" s="40"/>
      <c r="CA234" s="40"/>
      <c r="CB234" s="40"/>
      <c r="CC234" s="40"/>
      <c r="CD234" s="40"/>
      <c r="CE234" s="40"/>
      <c r="CF234" s="40"/>
      <c r="CG234" s="40"/>
      <c r="CH234" s="40"/>
      <c r="CI234" s="40"/>
      <c r="CJ234" s="40"/>
      <c r="CK234" s="40"/>
      <c r="CL234" s="40"/>
      <c r="CM234" s="40"/>
      <c r="CN234" s="40"/>
      <c r="CO234" s="40"/>
      <c r="CP234" s="40"/>
      <c r="CQ234" s="40"/>
      <c r="CR234" s="40"/>
      <c r="CS234" s="40"/>
      <c r="CT234" s="40"/>
      <c r="CU234" s="40"/>
      <c r="CV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  <c r="BW235" s="40"/>
      <c r="BX235" s="40"/>
      <c r="BY235" s="40"/>
      <c r="BZ235" s="40"/>
      <c r="CA235" s="40"/>
      <c r="CB235" s="40"/>
      <c r="CC235" s="40"/>
      <c r="CD235" s="40"/>
      <c r="CE235" s="40"/>
      <c r="CF235" s="40"/>
      <c r="CG235" s="40"/>
      <c r="CH235" s="40"/>
      <c r="CI235" s="40"/>
      <c r="CJ235" s="40"/>
      <c r="CK235" s="40"/>
      <c r="CL235" s="40"/>
      <c r="CM235" s="40"/>
      <c r="CN235" s="40"/>
      <c r="CO235" s="40"/>
      <c r="CP235" s="40"/>
      <c r="CQ235" s="40"/>
      <c r="CR235" s="40"/>
      <c r="CS235" s="40"/>
      <c r="CT235" s="40"/>
      <c r="CU235" s="40"/>
      <c r="CV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  <c r="BW236" s="40"/>
      <c r="BX236" s="40"/>
      <c r="BY236" s="40"/>
      <c r="BZ236" s="40"/>
      <c r="CA236" s="40"/>
      <c r="CB236" s="40"/>
      <c r="CC236" s="40"/>
      <c r="CD236" s="40"/>
      <c r="CE236" s="40"/>
      <c r="CF236" s="40"/>
      <c r="CG236" s="40"/>
      <c r="CH236" s="40"/>
      <c r="CI236" s="40"/>
      <c r="CJ236" s="40"/>
      <c r="CK236" s="40"/>
      <c r="CL236" s="40"/>
      <c r="CM236" s="40"/>
      <c r="CN236" s="40"/>
      <c r="CO236" s="40"/>
      <c r="CP236" s="40"/>
      <c r="CQ236" s="40"/>
      <c r="CR236" s="40"/>
      <c r="CS236" s="40"/>
      <c r="CT236" s="40"/>
      <c r="CU236" s="40"/>
      <c r="CV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  <c r="BW237" s="40"/>
      <c r="BX237" s="40"/>
      <c r="BY237" s="40"/>
      <c r="BZ237" s="40"/>
      <c r="CA237" s="40"/>
      <c r="CB237" s="40"/>
      <c r="CC237" s="40"/>
      <c r="CD237" s="40"/>
      <c r="CE237" s="40"/>
      <c r="CF237" s="40"/>
      <c r="CG237" s="40"/>
      <c r="CH237" s="40"/>
      <c r="CI237" s="40"/>
      <c r="CJ237" s="40"/>
      <c r="CK237" s="40"/>
      <c r="CL237" s="40"/>
      <c r="CM237" s="40"/>
      <c r="CN237" s="40"/>
      <c r="CO237" s="40"/>
      <c r="CP237" s="40"/>
      <c r="CQ237" s="40"/>
      <c r="CR237" s="40"/>
      <c r="CS237" s="40"/>
      <c r="CT237" s="40"/>
      <c r="CU237" s="40"/>
      <c r="CV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  <c r="BW238" s="40"/>
      <c r="BX238" s="40"/>
      <c r="BY238" s="40"/>
      <c r="BZ238" s="40"/>
      <c r="CA238" s="40"/>
      <c r="CB238" s="40"/>
      <c r="CC238" s="40"/>
      <c r="CD238" s="40"/>
      <c r="CE238" s="40"/>
      <c r="CF238" s="40"/>
      <c r="CG238" s="40"/>
      <c r="CH238" s="40"/>
      <c r="CI238" s="40"/>
      <c r="CJ238" s="40"/>
      <c r="CK238" s="40"/>
      <c r="CL238" s="40"/>
      <c r="CM238" s="40"/>
      <c r="CN238" s="40"/>
      <c r="CO238" s="40"/>
      <c r="CP238" s="40"/>
      <c r="CQ238" s="40"/>
      <c r="CR238" s="40"/>
      <c r="CS238" s="40"/>
      <c r="CT238" s="40"/>
      <c r="CU238" s="40"/>
      <c r="CV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  <c r="BW239" s="40"/>
      <c r="BX239" s="40"/>
      <c r="BY239" s="40"/>
      <c r="BZ239" s="40"/>
      <c r="CA239" s="40"/>
      <c r="CB239" s="40"/>
      <c r="CC239" s="40"/>
      <c r="CD239" s="40"/>
      <c r="CE239" s="40"/>
      <c r="CF239" s="40"/>
      <c r="CG239" s="40"/>
      <c r="CH239" s="40"/>
      <c r="CI239" s="40"/>
      <c r="CJ239" s="40"/>
      <c r="CK239" s="40"/>
      <c r="CL239" s="40"/>
      <c r="CM239" s="40"/>
      <c r="CN239" s="40"/>
      <c r="CO239" s="40"/>
      <c r="CP239" s="40"/>
      <c r="CQ239" s="40"/>
      <c r="CR239" s="40"/>
      <c r="CS239" s="40"/>
      <c r="CT239" s="40"/>
      <c r="CU239" s="40"/>
      <c r="CV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  <c r="BW240" s="40"/>
      <c r="BX240" s="40"/>
      <c r="BY240" s="40"/>
      <c r="BZ240" s="40"/>
      <c r="CA240" s="40"/>
      <c r="CB240" s="40"/>
      <c r="CC240" s="40"/>
      <c r="CD240" s="40"/>
      <c r="CE240" s="40"/>
      <c r="CF240" s="40"/>
      <c r="CG240" s="40"/>
      <c r="CH240" s="40"/>
      <c r="CI240" s="40"/>
      <c r="CJ240" s="40"/>
      <c r="CK240" s="40"/>
      <c r="CL240" s="40"/>
      <c r="CM240" s="40"/>
      <c r="CN240" s="40"/>
      <c r="CO240" s="40"/>
      <c r="CP240" s="40"/>
      <c r="CQ240" s="40"/>
      <c r="CR240" s="40"/>
      <c r="CS240" s="40"/>
      <c r="CT240" s="40"/>
      <c r="CU240" s="40"/>
      <c r="CV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  <c r="BW241" s="40"/>
      <c r="BX241" s="40"/>
      <c r="BY241" s="40"/>
      <c r="BZ241" s="40"/>
      <c r="CA241" s="40"/>
      <c r="CB241" s="40"/>
      <c r="CC241" s="40"/>
      <c r="CD241" s="40"/>
      <c r="CE241" s="40"/>
      <c r="CF241" s="40"/>
      <c r="CG241" s="40"/>
      <c r="CH241" s="40"/>
      <c r="CI241" s="40"/>
      <c r="CJ241" s="40"/>
      <c r="CK241" s="40"/>
      <c r="CL241" s="40"/>
      <c r="CM241" s="40"/>
      <c r="CN241" s="40"/>
      <c r="CO241" s="40"/>
      <c r="CP241" s="40"/>
      <c r="CQ241" s="40"/>
      <c r="CR241" s="40"/>
      <c r="CS241" s="40"/>
      <c r="CT241" s="40"/>
      <c r="CU241" s="40"/>
      <c r="CV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  <c r="BW242" s="40"/>
      <c r="BX242" s="40"/>
      <c r="BY242" s="40"/>
      <c r="BZ242" s="40"/>
      <c r="CA242" s="40"/>
      <c r="CB242" s="40"/>
      <c r="CC242" s="40"/>
      <c r="CD242" s="40"/>
      <c r="CE242" s="40"/>
      <c r="CF242" s="40"/>
      <c r="CG242" s="40"/>
      <c r="CH242" s="40"/>
      <c r="CI242" s="40"/>
      <c r="CJ242" s="40"/>
      <c r="CK242" s="40"/>
      <c r="CL242" s="40"/>
      <c r="CM242" s="40"/>
      <c r="CN242" s="40"/>
      <c r="CO242" s="40"/>
      <c r="CP242" s="40"/>
      <c r="CQ242" s="40"/>
      <c r="CR242" s="40"/>
      <c r="CS242" s="40"/>
      <c r="CT242" s="40"/>
      <c r="CU242" s="40"/>
      <c r="CV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  <c r="BW243" s="40"/>
      <c r="BX243" s="40"/>
      <c r="BY243" s="40"/>
      <c r="BZ243" s="40"/>
      <c r="CA243" s="40"/>
      <c r="CB243" s="40"/>
      <c r="CC243" s="40"/>
      <c r="CD243" s="40"/>
      <c r="CE243" s="40"/>
      <c r="CF243" s="40"/>
      <c r="CG243" s="40"/>
      <c r="CH243" s="40"/>
      <c r="CI243" s="40"/>
      <c r="CJ243" s="40"/>
      <c r="CK243" s="40"/>
      <c r="CL243" s="40"/>
      <c r="CM243" s="40"/>
      <c r="CN243" s="40"/>
      <c r="CO243" s="40"/>
      <c r="CP243" s="40"/>
      <c r="CQ243" s="40"/>
      <c r="CR243" s="40"/>
      <c r="CS243" s="40"/>
      <c r="CT243" s="40"/>
      <c r="CU243" s="40"/>
      <c r="CV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  <c r="BW244" s="40"/>
      <c r="BX244" s="40"/>
      <c r="BY244" s="40"/>
      <c r="BZ244" s="40"/>
      <c r="CA244" s="40"/>
      <c r="CB244" s="40"/>
      <c r="CC244" s="40"/>
      <c r="CD244" s="40"/>
      <c r="CE244" s="40"/>
      <c r="CF244" s="40"/>
      <c r="CG244" s="40"/>
      <c r="CH244" s="40"/>
      <c r="CI244" s="40"/>
      <c r="CJ244" s="40"/>
      <c r="CK244" s="40"/>
      <c r="CL244" s="40"/>
      <c r="CM244" s="40"/>
      <c r="CN244" s="40"/>
      <c r="CO244" s="40"/>
      <c r="CP244" s="40"/>
      <c r="CQ244" s="40"/>
      <c r="CR244" s="40"/>
      <c r="CS244" s="40"/>
      <c r="CT244" s="40"/>
      <c r="CU244" s="40"/>
      <c r="CV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  <c r="BW245" s="40"/>
      <c r="BX245" s="40"/>
      <c r="BY245" s="40"/>
      <c r="BZ245" s="40"/>
      <c r="CA245" s="40"/>
      <c r="CB245" s="40"/>
      <c r="CC245" s="40"/>
      <c r="CD245" s="40"/>
      <c r="CE245" s="40"/>
      <c r="CF245" s="40"/>
      <c r="CG245" s="40"/>
      <c r="CH245" s="40"/>
      <c r="CI245" s="40"/>
      <c r="CJ245" s="40"/>
      <c r="CK245" s="40"/>
      <c r="CL245" s="40"/>
      <c r="CM245" s="40"/>
      <c r="CN245" s="40"/>
      <c r="CO245" s="40"/>
      <c r="CP245" s="40"/>
      <c r="CQ245" s="40"/>
      <c r="CR245" s="40"/>
      <c r="CS245" s="40"/>
      <c r="CT245" s="40"/>
      <c r="CU245" s="40"/>
      <c r="CV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  <c r="BW246" s="40"/>
      <c r="BX246" s="40"/>
      <c r="BY246" s="40"/>
      <c r="BZ246" s="40"/>
      <c r="CA246" s="40"/>
      <c r="CB246" s="40"/>
      <c r="CC246" s="40"/>
      <c r="CD246" s="40"/>
      <c r="CE246" s="40"/>
      <c r="CF246" s="40"/>
      <c r="CG246" s="40"/>
      <c r="CH246" s="40"/>
      <c r="CI246" s="40"/>
      <c r="CJ246" s="40"/>
      <c r="CK246" s="40"/>
      <c r="CL246" s="40"/>
      <c r="CM246" s="40"/>
      <c r="CN246" s="40"/>
      <c r="CO246" s="40"/>
      <c r="CP246" s="40"/>
      <c r="CQ246" s="40"/>
      <c r="CR246" s="40"/>
      <c r="CS246" s="40"/>
      <c r="CT246" s="40"/>
      <c r="CU246" s="40"/>
      <c r="CV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  <c r="BW247" s="40"/>
      <c r="BX247" s="40"/>
      <c r="BY247" s="40"/>
      <c r="BZ247" s="40"/>
      <c r="CA247" s="40"/>
      <c r="CB247" s="40"/>
      <c r="CC247" s="40"/>
      <c r="CD247" s="40"/>
      <c r="CE247" s="40"/>
      <c r="CF247" s="40"/>
      <c r="CG247" s="40"/>
      <c r="CH247" s="40"/>
      <c r="CI247" s="40"/>
      <c r="CJ247" s="40"/>
      <c r="CK247" s="40"/>
      <c r="CL247" s="40"/>
      <c r="CM247" s="40"/>
      <c r="CN247" s="40"/>
      <c r="CO247" s="40"/>
      <c r="CP247" s="40"/>
      <c r="CQ247" s="40"/>
      <c r="CR247" s="40"/>
      <c r="CS247" s="40"/>
      <c r="CT247" s="40"/>
      <c r="CU247" s="40"/>
      <c r="CV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  <c r="BW248" s="40"/>
      <c r="BX248" s="40"/>
      <c r="BY248" s="40"/>
      <c r="BZ248" s="40"/>
      <c r="CA248" s="40"/>
      <c r="CB248" s="40"/>
      <c r="CC248" s="40"/>
      <c r="CD248" s="40"/>
      <c r="CE248" s="40"/>
      <c r="CF248" s="40"/>
      <c r="CG248" s="40"/>
      <c r="CH248" s="40"/>
      <c r="CI248" s="40"/>
      <c r="CJ248" s="40"/>
      <c r="CK248" s="40"/>
      <c r="CL248" s="40"/>
      <c r="CM248" s="40"/>
      <c r="CN248" s="40"/>
      <c r="CO248" s="40"/>
      <c r="CP248" s="40"/>
      <c r="CQ248" s="40"/>
      <c r="CR248" s="40"/>
      <c r="CS248" s="40"/>
      <c r="CT248" s="40"/>
      <c r="CU248" s="40"/>
      <c r="CV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  <c r="BW249" s="40"/>
      <c r="BX249" s="40"/>
      <c r="BY249" s="40"/>
      <c r="BZ249" s="40"/>
      <c r="CA249" s="40"/>
      <c r="CB249" s="40"/>
      <c r="CC249" s="40"/>
      <c r="CD249" s="40"/>
      <c r="CE249" s="40"/>
      <c r="CF249" s="40"/>
      <c r="CG249" s="40"/>
      <c r="CH249" s="40"/>
      <c r="CI249" s="40"/>
      <c r="CJ249" s="40"/>
      <c r="CK249" s="40"/>
      <c r="CL249" s="40"/>
      <c r="CM249" s="40"/>
      <c r="CN249" s="40"/>
      <c r="CO249" s="40"/>
      <c r="CP249" s="40"/>
      <c r="CQ249" s="40"/>
      <c r="CR249" s="40"/>
      <c r="CS249" s="40"/>
      <c r="CT249" s="40"/>
      <c r="CU249" s="40"/>
      <c r="CV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  <c r="BW250" s="40"/>
      <c r="BX250" s="40"/>
      <c r="BY250" s="40"/>
      <c r="BZ250" s="40"/>
      <c r="CA250" s="40"/>
      <c r="CB250" s="40"/>
      <c r="CC250" s="40"/>
      <c r="CD250" s="40"/>
      <c r="CE250" s="40"/>
      <c r="CF250" s="40"/>
      <c r="CG250" s="40"/>
      <c r="CH250" s="40"/>
      <c r="CI250" s="40"/>
      <c r="CJ250" s="40"/>
      <c r="CK250" s="40"/>
      <c r="CL250" s="40"/>
      <c r="CM250" s="40"/>
      <c r="CN250" s="40"/>
      <c r="CO250" s="40"/>
      <c r="CP250" s="40"/>
      <c r="CQ250" s="40"/>
      <c r="CR250" s="40"/>
      <c r="CS250" s="40"/>
      <c r="CT250" s="40"/>
      <c r="CU250" s="40"/>
      <c r="CV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  <c r="BW251" s="40"/>
      <c r="BX251" s="40"/>
      <c r="BY251" s="40"/>
      <c r="BZ251" s="40"/>
      <c r="CA251" s="40"/>
      <c r="CB251" s="40"/>
      <c r="CC251" s="40"/>
      <c r="CD251" s="40"/>
      <c r="CE251" s="40"/>
      <c r="CF251" s="40"/>
      <c r="CG251" s="40"/>
      <c r="CH251" s="40"/>
      <c r="CI251" s="40"/>
      <c r="CJ251" s="40"/>
      <c r="CK251" s="40"/>
      <c r="CL251" s="40"/>
      <c r="CM251" s="40"/>
      <c r="CN251" s="40"/>
      <c r="CO251" s="40"/>
      <c r="CP251" s="40"/>
      <c r="CQ251" s="40"/>
      <c r="CR251" s="40"/>
      <c r="CS251" s="40"/>
      <c r="CT251" s="40"/>
      <c r="CU251" s="40"/>
      <c r="CV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  <c r="BW252" s="40"/>
      <c r="BX252" s="40"/>
      <c r="BY252" s="40"/>
      <c r="BZ252" s="40"/>
      <c r="CA252" s="40"/>
      <c r="CB252" s="40"/>
      <c r="CC252" s="40"/>
      <c r="CD252" s="40"/>
      <c r="CE252" s="40"/>
      <c r="CF252" s="40"/>
      <c r="CG252" s="40"/>
      <c r="CH252" s="40"/>
      <c r="CI252" s="40"/>
      <c r="CJ252" s="40"/>
      <c r="CK252" s="40"/>
      <c r="CL252" s="40"/>
      <c r="CM252" s="40"/>
      <c r="CN252" s="40"/>
      <c r="CO252" s="40"/>
      <c r="CP252" s="40"/>
      <c r="CQ252" s="40"/>
      <c r="CR252" s="40"/>
      <c r="CS252" s="40"/>
      <c r="CT252" s="40"/>
      <c r="CU252" s="40"/>
      <c r="CV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  <c r="BW253" s="40"/>
      <c r="BX253" s="40"/>
      <c r="BY253" s="40"/>
      <c r="BZ253" s="40"/>
      <c r="CA253" s="40"/>
      <c r="CB253" s="40"/>
      <c r="CC253" s="40"/>
      <c r="CD253" s="40"/>
      <c r="CE253" s="40"/>
      <c r="CF253" s="40"/>
      <c r="CG253" s="40"/>
      <c r="CH253" s="40"/>
      <c r="CI253" s="40"/>
      <c r="CJ253" s="40"/>
      <c r="CK253" s="40"/>
      <c r="CL253" s="40"/>
      <c r="CM253" s="40"/>
      <c r="CN253" s="40"/>
      <c r="CO253" s="40"/>
      <c r="CP253" s="40"/>
      <c r="CQ253" s="40"/>
      <c r="CR253" s="40"/>
      <c r="CS253" s="40"/>
      <c r="CT253" s="40"/>
      <c r="CU253" s="40"/>
      <c r="CV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  <c r="BW254" s="40"/>
      <c r="BX254" s="40"/>
      <c r="BY254" s="40"/>
      <c r="BZ254" s="40"/>
      <c r="CA254" s="40"/>
      <c r="CB254" s="40"/>
      <c r="CC254" s="40"/>
      <c r="CD254" s="40"/>
      <c r="CE254" s="40"/>
      <c r="CF254" s="40"/>
      <c r="CG254" s="40"/>
      <c r="CH254" s="40"/>
      <c r="CI254" s="40"/>
      <c r="CJ254" s="40"/>
      <c r="CK254" s="40"/>
      <c r="CL254" s="40"/>
      <c r="CM254" s="40"/>
      <c r="CN254" s="40"/>
      <c r="CO254" s="40"/>
      <c r="CP254" s="40"/>
      <c r="CQ254" s="40"/>
      <c r="CR254" s="40"/>
      <c r="CS254" s="40"/>
      <c r="CT254" s="40"/>
      <c r="CU254" s="40"/>
      <c r="CV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  <c r="BW255" s="40"/>
      <c r="BX255" s="40"/>
      <c r="BY255" s="40"/>
      <c r="BZ255" s="40"/>
      <c r="CA255" s="40"/>
      <c r="CB255" s="40"/>
      <c r="CC255" s="40"/>
      <c r="CD255" s="40"/>
      <c r="CE255" s="40"/>
      <c r="CF255" s="40"/>
      <c r="CG255" s="40"/>
      <c r="CH255" s="40"/>
      <c r="CI255" s="40"/>
      <c r="CJ255" s="40"/>
      <c r="CK255" s="40"/>
      <c r="CL255" s="40"/>
      <c r="CM255" s="40"/>
      <c r="CN255" s="40"/>
      <c r="CO255" s="40"/>
      <c r="CP255" s="40"/>
      <c r="CQ255" s="40"/>
      <c r="CR255" s="40"/>
      <c r="CS255" s="40"/>
      <c r="CT255" s="40"/>
      <c r="CU255" s="40"/>
      <c r="CV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  <c r="BW256" s="40"/>
      <c r="BX256" s="40"/>
      <c r="BY256" s="40"/>
      <c r="BZ256" s="40"/>
      <c r="CA256" s="40"/>
      <c r="CB256" s="40"/>
      <c r="CC256" s="40"/>
      <c r="CD256" s="40"/>
      <c r="CE256" s="40"/>
      <c r="CF256" s="40"/>
      <c r="CG256" s="40"/>
      <c r="CH256" s="40"/>
      <c r="CI256" s="40"/>
      <c r="CJ256" s="40"/>
      <c r="CK256" s="40"/>
      <c r="CL256" s="40"/>
      <c r="CM256" s="40"/>
      <c r="CN256" s="40"/>
      <c r="CO256" s="40"/>
      <c r="CP256" s="40"/>
      <c r="CQ256" s="40"/>
      <c r="CR256" s="40"/>
      <c r="CS256" s="40"/>
      <c r="CT256" s="40"/>
      <c r="CU256" s="40"/>
      <c r="CV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  <c r="BW257" s="40"/>
      <c r="BX257" s="40"/>
      <c r="BY257" s="40"/>
      <c r="BZ257" s="40"/>
      <c r="CA257" s="40"/>
      <c r="CB257" s="40"/>
      <c r="CC257" s="40"/>
      <c r="CD257" s="40"/>
      <c r="CE257" s="40"/>
      <c r="CF257" s="40"/>
      <c r="CG257" s="40"/>
      <c r="CH257" s="40"/>
      <c r="CI257" s="40"/>
      <c r="CJ257" s="40"/>
      <c r="CK257" s="40"/>
      <c r="CL257" s="40"/>
      <c r="CM257" s="40"/>
      <c r="CN257" s="40"/>
      <c r="CO257" s="40"/>
      <c r="CP257" s="40"/>
      <c r="CQ257" s="40"/>
      <c r="CR257" s="40"/>
      <c r="CS257" s="40"/>
      <c r="CT257" s="40"/>
      <c r="CU257" s="40"/>
      <c r="CV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  <c r="BW258" s="40"/>
      <c r="BX258" s="40"/>
      <c r="BY258" s="40"/>
      <c r="BZ258" s="40"/>
      <c r="CA258" s="40"/>
      <c r="CB258" s="40"/>
      <c r="CC258" s="40"/>
      <c r="CD258" s="40"/>
      <c r="CE258" s="40"/>
      <c r="CF258" s="40"/>
      <c r="CG258" s="40"/>
      <c r="CH258" s="40"/>
      <c r="CI258" s="40"/>
      <c r="CJ258" s="40"/>
      <c r="CK258" s="40"/>
      <c r="CL258" s="40"/>
      <c r="CM258" s="40"/>
      <c r="CN258" s="40"/>
      <c r="CO258" s="40"/>
      <c r="CP258" s="40"/>
      <c r="CQ258" s="40"/>
      <c r="CR258" s="40"/>
      <c r="CS258" s="40"/>
      <c r="CT258" s="40"/>
      <c r="CU258" s="40"/>
      <c r="CV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  <c r="BW259" s="40"/>
      <c r="BX259" s="40"/>
      <c r="BY259" s="40"/>
      <c r="BZ259" s="40"/>
      <c r="CA259" s="40"/>
      <c r="CB259" s="40"/>
      <c r="CC259" s="40"/>
      <c r="CD259" s="40"/>
      <c r="CE259" s="40"/>
      <c r="CF259" s="40"/>
      <c r="CG259" s="40"/>
      <c r="CH259" s="40"/>
      <c r="CI259" s="40"/>
      <c r="CJ259" s="40"/>
      <c r="CK259" s="40"/>
      <c r="CL259" s="40"/>
      <c r="CM259" s="40"/>
      <c r="CN259" s="40"/>
      <c r="CO259" s="40"/>
      <c r="CP259" s="40"/>
      <c r="CQ259" s="40"/>
      <c r="CR259" s="40"/>
      <c r="CS259" s="40"/>
      <c r="CT259" s="40"/>
      <c r="CU259" s="40"/>
      <c r="CV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  <c r="BW260" s="40"/>
      <c r="BX260" s="40"/>
      <c r="BY260" s="40"/>
      <c r="BZ260" s="40"/>
      <c r="CA260" s="40"/>
      <c r="CB260" s="40"/>
      <c r="CC260" s="40"/>
      <c r="CD260" s="40"/>
      <c r="CE260" s="40"/>
      <c r="CF260" s="40"/>
      <c r="CG260" s="40"/>
      <c r="CH260" s="40"/>
      <c r="CI260" s="40"/>
      <c r="CJ260" s="40"/>
      <c r="CK260" s="40"/>
      <c r="CL260" s="40"/>
      <c r="CM260" s="40"/>
      <c r="CN260" s="40"/>
      <c r="CO260" s="40"/>
      <c r="CP260" s="40"/>
      <c r="CQ260" s="40"/>
      <c r="CR260" s="40"/>
      <c r="CS260" s="40"/>
      <c r="CT260" s="40"/>
      <c r="CU260" s="40"/>
      <c r="CV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  <c r="BW261" s="40"/>
      <c r="BX261" s="40"/>
      <c r="BY261" s="40"/>
      <c r="BZ261" s="40"/>
      <c r="CA261" s="40"/>
      <c r="CB261" s="40"/>
      <c r="CC261" s="40"/>
      <c r="CD261" s="40"/>
      <c r="CE261" s="40"/>
      <c r="CF261" s="40"/>
      <c r="CG261" s="40"/>
      <c r="CH261" s="40"/>
      <c r="CI261" s="40"/>
      <c r="CJ261" s="40"/>
      <c r="CK261" s="40"/>
      <c r="CL261" s="40"/>
      <c r="CM261" s="40"/>
      <c r="CN261" s="40"/>
      <c r="CO261" s="40"/>
      <c r="CP261" s="40"/>
      <c r="CQ261" s="40"/>
      <c r="CR261" s="40"/>
      <c r="CS261" s="40"/>
      <c r="CT261" s="40"/>
      <c r="CU261" s="40"/>
      <c r="CV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  <c r="BW262" s="40"/>
      <c r="BX262" s="40"/>
      <c r="BY262" s="40"/>
      <c r="BZ262" s="40"/>
      <c r="CA262" s="40"/>
      <c r="CB262" s="40"/>
      <c r="CC262" s="40"/>
      <c r="CD262" s="40"/>
      <c r="CE262" s="40"/>
      <c r="CF262" s="40"/>
      <c r="CG262" s="40"/>
      <c r="CH262" s="40"/>
      <c r="CI262" s="40"/>
      <c r="CJ262" s="40"/>
      <c r="CK262" s="40"/>
      <c r="CL262" s="40"/>
      <c r="CM262" s="40"/>
      <c r="CN262" s="40"/>
      <c r="CO262" s="40"/>
      <c r="CP262" s="40"/>
      <c r="CQ262" s="40"/>
      <c r="CR262" s="40"/>
      <c r="CS262" s="40"/>
      <c r="CT262" s="40"/>
      <c r="CU262" s="40"/>
      <c r="CV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  <c r="BW263" s="40"/>
      <c r="BX263" s="40"/>
      <c r="BY263" s="40"/>
      <c r="BZ263" s="40"/>
      <c r="CA263" s="40"/>
      <c r="CB263" s="40"/>
      <c r="CC263" s="40"/>
      <c r="CD263" s="40"/>
      <c r="CE263" s="40"/>
      <c r="CF263" s="40"/>
      <c r="CG263" s="40"/>
      <c r="CH263" s="40"/>
      <c r="CI263" s="40"/>
      <c r="CJ263" s="40"/>
      <c r="CK263" s="40"/>
      <c r="CL263" s="40"/>
      <c r="CM263" s="40"/>
      <c r="CN263" s="40"/>
      <c r="CO263" s="40"/>
      <c r="CP263" s="40"/>
      <c r="CQ263" s="40"/>
      <c r="CR263" s="40"/>
      <c r="CS263" s="40"/>
      <c r="CT263" s="40"/>
      <c r="CU263" s="40"/>
      <c r="CV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  <c r="BW264" s="40"/>
      <c r="BX264" s="40"/>
      <c r="BY264" s="40"/>
      <c r="BZ264" s="40"/>
      <c r="CA264" s="40"/>
      <c r="CB264" s="40"/>
      <c r="CC264" s="40"/>
      <c r="CD264" s="40"/>
      <c r="CE264" s="40"/>
      <c r="CF264" s="40"/>
      <c r="CG264" s="40"/>
      <c r="CH264" s="40"/>
      <c r="CI264" s="40"/>
      <c r="CJ264" s="40"/>
      <c r="CK264" s="40"/>
      <c r="CL264" s="40"/>
      <c r="CM264" s="40"/>
      <c r="CN264" s="40"/>
      <c r="CO264" s="40"/>
      <c r="CP264" s="40"/>
      <c r="CQ264" s="40"/>
      <c r="CR264" s="40"/>
      <c r="CS264" s="40"/>
      <c r="CT264" s="40"/>
      <c r="CU264" s="40"/>
      <c r="CV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  <c r="BW265" s="40"/>
      <c r="BX265" s="40"/>
      <c r="BY265" s="40"/>
      <c r="BZ265" s="40"/>
      <c r="CA265" s="40"/>
      <c r="CB265" s="40"/>
      <c r="CC265" s="40"/>
      <c r="CD265" s="40"/>
      <c r="CE265" s="40"/>
      <c r="CF265" s="40"/>
      <c r="CG265" s="40"/>
      <c r="CH265" s="40"/>
      <c r="CI265" s="40"/>
      <c r="CJ265" s="40"/>
      <c r="CK265" s="40"/>
      <c r="CL265" s="40"/>
      <c r="CM265" s="40"/>
      <c r="CN265" s="40"/>
      <c r="CO265" s="40"/>
      <c r="CP265" s="40"/>
      <c r="CQ265" s="40"/>
      <c r="CR265" s="40"/>
      <c r="CS265" s="40"/>
      <c r="CT265" s="40"/>
      <c r="CU265" s="40"/>
      <c r="CV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  <c r="BW266" s="40"/>
      <c r="BX266" s="40"/>
      <c r="BY266" s="40"/>
      <c r="BZ266" s="40"/>
      <c r="CA266" s="40"/>
      <c r="CB266" s="40"/>
      <c r="CC266" s="40"/>
      <c r="CD266" s="40"/>
      <c r="CE266" s="40"/>
      <c r="CF266" s="40"/>
      <c r="CG266" s="40"/>
      <c r="CH266" s="40"/>
      <c r="CI266" s="40"/>
      <c r="CJ266" s="40"/>
      <c r="CK266" s="40"/>
      <c r="CL266" s="40"/>
      <c r="CM266" s="40"/>
      <c r="CN266" s="40"/>
      <c r="CO266" s="40"/>
      <c r="CP266" s="40"/>
      <c r="CQ266" s="40"/>
      <c r="CR266" s="40"/>
      <c r="CS266" s="40"/>
      <c r="CT266" s="40"/>
      <c r="CU266" s="40"/>
      <c r="CV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  <c r="BW267" s="40"/>
      <c r="BX267" s="40"/>
      <c r="BY267" s="40"/>
      <c r="BZ267" s="40"/>
      <c r="CA267" s="40"/>
      <c r="CB267" s="40"/>
      <c r="CC267" s="40"/>
      <c r="CD267" s="40"/>
      <c r="CE267" s="40"/>
      <c r="CF267" s="40"/>
      <c r="CG267" s="40"/>
      <c r="CH267" s="40"/>
      <c r="CI267" s="40"/>
      <c r="CJ267" s="40"/>
      <c r="CK267" s="40"/>
      <c r="CL267" s="40"/>
      <c r="CM267" s="40"/>
      <c r="CN267" s="40"/>
      <c r="CO267" s="40"/>
      <c r="CP267" s="40"/>
      <c r="CQ267" s="40"/>
      <c r="CR267" s="40"/>
      <c r="CS267" s="40"/>
      <c r="CT267" s="40"/>
      <c r="CU267" s="40"/>
      <c r="CV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  <c r="BW268" s="40"/>
      <c r="BX268" s="40"/>
      <c r="BY268" s="40"/>
      <c r="BZ268" s="40"/>
      <c r="CA268" s="40"/>
      <c r="CB268" s="40"/>
      <c r="CC268" s="40"/>
      <c r="CD268" s="40"/>
      <c r="CE268" s="40"/>
      <c r="CF268" s="40"/>
      <c r="CG268" s="40"/>
      <c r="CH268" s="40"/>
      <c r="CI268" s="40"/>
      <c r="CJ268" s="40"/>
      <c r="CK268" s="40"/>
      <c r="CL268" s="40"/>
      <c r="CM268" s="40"/>
      <c r="CN268" s="40"/>
      <c r="CO268" s="40"/>
      <c r="CP268" s="40"/>
      <c r="CQ268" s="40"/>
      <c r="CR268" s="40"/>
      <c r="CS268" s="40"/>
      <c r="CT268" s="40"/>
      <c r="CU268" s="40"/>
      <c r="CV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  <c r="BW269" s="40"/>
      <c r="BX269" s="40"/>
      <c r="BY269" s="40"/>
      <c r="BZ269" s="40"/>
      <c r="CA269" s="40"/>
      <c r="CB269" s="40"/>
      <c r="CC269" s="40"/>
      <c r="CD269" s="40"/>
      <c r="CE269" s="40"/>
      <c r="CF269" s="40"/>
      <c r="CG269" s="40"/>
      <c r="CH269" s="40"/>
      <c r="CI269" s="40"/>
      <c r="CJ269" s="40"/>
      <c r="CK269" s="40"/>
      <c r="CL269" s="40"/>
      <c r="CM269" s="40"/>
      <c r="CN269" s="40"/>
      <c r="CO269" s="40"/>
      <c r="CP269" s="40"/>
      <c r="CQ269" s="40"/>
      <c r="CR269" s="40"/>
      <c r="CS269" s="40"/>
      <c r="CT269" s="40"/>
      <c r="CU269" s="40"/>
      <c r="CV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  <c r="BW270" s="40"/>
      <c r="BX270" s="40"/>
      <c r="BY270" s="40"/>
      <c r="BZ270" s="40"/>
      <c r="CA270" s="40"/>
      <c r="CB270" s="40"/>
      <c r="CC270" s="40"/>
      <c r="CD270" s="40"/>
      <c r="CE270" s="40"/>
      <c r="CF270" s="40"/>
      <c r="CG270" s="40"/>
      <c r="CH270" s="40"/>
      <c r="CI270" s="40"/>
      <c r="CJ270" s="40"/>
      <c r="CK270" s="40"/>
      <c r="CL270" s="40"/>
      <c r="CM270" s="40"/>
      <c r="CN270" s="40"/>
      <c r="CO270" s="40"/>
      <c r="CP270" s="40"/>
      <c r="CQ270" s="40"/>
      <c r="CR270" s="40"/>
      <c r="CS270" s="40"/>
      <c r="CT270" s="40"/>
      <c r="CU270" s="40"/>
      <c r="CV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  <c r="BW271" s="40"/>
      <c r="BX271" s="40"/>
      <c r="BY271" s="40"/>
      <c r="BZ271" s="40"/>
      <c r="CA271" s="40"/>
      <c r="CB271" s="40"/>
      <c r="CC271" s="40"/>
      <c r="CD271" s="40"/>
      <c r="CE271" s="40"/>
      <c r="CF271" s="40"/>
      <c r="CG271" s="40"/>
      <c r="CH271" s="40"/>
      <c r="CI271" s="40"/>
      <c r="CJ271" s="40"/>
      <c r="CK271" s="40"/>
      <c r="CL271" s="40"/>
      <c r="CM271" s="40"/>
      <c r="CN271" s="40"/>
      <c r="CO271" s="40"/>
      <c r="CP271" s="40"/>
      <c r="CQ271" s="40"/>
      <c r="CR271" s="40"/>
      <c r="CS271" s="40"/>
      <c r="CT271" s="40"/>
      <c r="CU271" s="40"/>
      <c r="CV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  <c r="BW272" s="40"/>
      <c r="BX272" s="40"/>
      <c r="BY272" s="40"/>
      <c r="BZ272" s="40"/>
      <c r="CA272" s="40"/>
      <c r="CB272" s="40"/>
      <c r="CC272" s="40"/>
      <c r="CD272" s="40"/>
      <c r="CE272" s="40"/>
      <c r="CF272" s="40"/>
      <c r="CG272" s="40"/>
      <c r="CH272" s="40"/>
      <c r="CI272" s="40"/>
      <c r="CJ272" s="40"/>
      <c r="CK272" s="40"/>
      <c r="CL272" s="40"/>
      <c r="CM272" s="40"/>
      <c r="CN272" s="40"/>
      <c r="CO272" s="40"/>
      <c r="CP272" s="40"/>
      <c r="CQ272" s="40"/>
      <c r="CR272" s="40"/>
      <c r="CS272" s="40"/>
      <c r="CT272" s="40"/>
      <c r="CU272" s="40"/>
      <c r="CV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  <c r="BW273" s="40"/>
      <c r="BX273" s="40"/>
      <c r="BY273" s="40"/>
      <c r="BZ273" s="40"/>
      <c r="CA273" s="40"/>
      <c r="CB273" s="40"/>
      <c r="CC273" s="40"/>
      <c r="CD273" s="40"/>
      <c r="CE273" s="40"/>
      <c r="CF273" s="40"/>
      <c r="CG273" s="40"/>
      <c r="CH273" s="40"/>
      <c r="CI273" s="40"/>
      <c r="CJ273" s="40"/>
      <c r="CK273" s="40"/>
      <c r="CL273" s="40"/>
      <c r="CM273" s="40"/>
      <c r="CN273" s="40"/>
      <c r="CO273" s="40"/>
      <c r="CP273" s="40"/>
      <c r="CQ273" s="40"/>
      <c r="CR273" s="40"/>
      <c r="CS273" s="40"/>
      <c r="CT273" s="40"/>
      <c r="CU273" s="40"/>
      <c r="CV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  <c r="BW274" s="40"/>
      <c r="BX274" s="40"/>
      <c r="BY274" s="40"/>
      <c r="BZ274" s="40"/>
      <c r="CA274" s="40"/>
      <c r="CB274" s="40"/>
      <c r="CC274" s="40"/>
      <c r="CD274" s="40"/>
      <c r="CE274" s="40"/>
      <c r="CF274" s="40"/>
      <c r="CG274" s="40"/>
      <c r="CH274" s="40"/>
      <c r="CI274" s="40"/>
      <c r="CJ274" s="40"/>
      <c r="CK274" s="40"/>
      <c r="CL274" s="40"/>
      <c r="CM274" s="40"/>
      <c r="CN274" s="40"/>
      <c r="CO274" s="40"/>
      <c r="CP274" s="40"/>
      <c r="CQ274" s="40"/>
      <c r="CR274" s="40"/>
      <c r="CS274" s="40"/>
      <c r="CT274" s="40"/>
      <c r="CU274" s="40"/>
      <c r="CV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  <c r="BW275" s="40"/>
      <c r="BX275" s="40"/>
      <c r="BY275" s="40"/>
      <c r="BZ275" s="40"/>
      <c r="CA275" s="40"/>
      <c r="CB275" s="40"/>
      <c r="CC275" s="40"/>
      <c r="CD275" s="40"/>
      <c r="CE275" s="40"/>
      <c r="CF275" s="40"/>
      <c r="CG275" s="40"/>
      <c r="CH275" s="40"/>
      <c r="CI275" s="40"/>
      <c r="CJ275" s="40"/>
      <c r="CK275" s="40"/>
      <c r="CL275" s="40"/>
      <c r="CM275" s="40"/>
      <c r="CN275" s="40"/>
      <c r="CO275" s="40"/>
      <c r="CP275" s="40"/>
      <c r="CQ275" s="40"/>
      <c r="CR275" s="40"/>
      <c r="CS275" s="40"/>
      <c r="CT275" s="40"/>
      <c r="CU275" s="40"/>
      <c r="CV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  <c r="BW276" s="40"/>
      <c r="BX276" s="40"/>
      <c r="BY276" s="40"/>
      <c r="BZ276" s="40"/>
      <c r="CA276" s="40"/>
      <c r="CB276" s="40"/>
      <c r="CC276" s="40"/>
      <c r="CD276" s="40"/>
      <c r="CE276" s="40"/>
      <c r="CF276" s="40"/>
      <c r="CG276" s="40"/>
      <c r="CH276" s="40"/>
      <c r="CI276" s="40"/>
      <c r="CJ276" s="40"/>
      <c r="CK276" s="40"/>
      <c r="CL276" s="40"/>
      <c r="CM276" s="40"/>
      <c r="CN276" s="40"/>
      <c r="CO276" s="40"/>
      <c r="CP276" s="40"/>
      <c r="CQ276" s="40"/>
      <c r="CR276" s="40"/>
      <c r="CS276" s="40"/>
      <c r="CT276" s="40"/>
      <c r="CU276" s="40"/>
      <c r="CV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  <c r="BW277" s="40"/>
      <c r="BX277" s="40"/>
      <c r="BY277" s="40"/>
      <c r="BZ277" s="40"/>
      <c r="CA277" s="40"/>
      <c r="CB277" s="40"/>
      <c r="CC277" s="40"/>
      <c r="CD277" s="40"/>
      <c r="CE277" s="40"/>
      <c r="CF277" s="40"/>
      <c r="CG277" s="40"/>
      <c r="CH277" s="40"/>
      <c r="CI277" s="40"/>
      <c r="CJ277" s="40"/>
      <c r="CK277" s="40"/>
      <c r="CL277" s="40"/>
      <c r="CM277" s="40"/>
      <c r="CN277" s="40"/>
      <c r="CO277" s="40"/>
      <c r="CP277" s="40"/>
      <c r="CQ277" s="40"/>
      <c r="CR277" s="40"/>
      <c r="CS277" s="40"/>
      <c r="CT277" s="40"/>
      <c r="CU277" s="40"/>
      <c r="CV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  <c r="BW278" s="40"/>
      <c r="BX278" s="40"/>
      <c r="BY278" s="40"/>
      <c r="BZ278" s="40"/>
      <c r="CA278" s="40"/>
      <c r="CB278" s="40"/>
      <c r="CC278" s="40"/>
      <c r="CD278" s="40"/>
      <c r="CE278" s="40"/>
      <c r="CF278" s="40"/>
      <c r="CG278" s="40"/>
      <c r="CH278" s="40"/>
      <c r="CI278" s="40"/>
      <c r="CJ278" s="40"/>
      <c r="CK278" s="40"/>
      <c r="CL278" s="40"/>
      <c r="CM278" s="40"/>
      <c r="CN278" s="40"/>
      <c r="CO278" s="40"/>
      <c r="CP278" s="40"/>
      <c r="CQ278" s="40"/>
      <c r="CR278" s="40"/>
      <c r="CS278" s="40"/>
      <c r="CT278" s="40"/>
      <c r="CU278" s="40"/>
      <c r="CV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  <c r="BW279" s="40"/>
      <c r="BX279" s="40"/>
      <c r="BY279" s="40"/>
      <c r="BZ279" s="40"/>
      <c r="CA279" s="40"/>
      <c r="CB279" s="40"/>
      <c r="CC279" s="40"/>
      <c r="CD279" s="40"/>
      <c r="CE279" s="40"/>
      <c r="CF279" s="40"/>
      <c r="CG279" s="40"/>
      <c r="CH279" s="40"/>
      <c r="CI279" s="40"/>
      <c r="CJ279" s="40"/>
      <c r="CK279" s="40"/>
      <c r="CL279" s="40"/>
      <c r="CM279" s="40"/>
      <c r="CN279" s="40"/>
      <c r="CO279" s="40"/>
      <c r="CP279" s="40"/>
      <c r="CQ279" s="40"/>
      <c r="CR279" s="40"/>
      <c r="CS279" s="40"/>
      <c r="CT279" s="40"/>
      <c r="CU279" s="40"/>
      <c r="CV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  <c r="BW280" s="40"/>
      <c r="BX280" s="40"/>
      <c r="BY280" s="40"/>
      <c r="BZ280" s="40"/>
      <c r="CA280" s="40"/>
      <c r="CB280" s="40"/>
      <c r="CC280" s="40"/>
      <c r="CD280" s="40"/>
      <c r="CE280" s="40"/>
      <c r="CF280" s="40"/>
      <c r="CG280" s="40"/>
      <c r="CH280" s="40"/>
      <c r="CI280" s="40"/>
      <c r="CJ280" s="40"/>
      <c r="CK280" s="40"/>
      <c r="CL280" s="40"/>
      <c r="CM280" s="40"/>
      <c r="CN280" s="40"/>
      <c r="CO280" s="40"/>
      <c r="CP280" s="40"/>
      <c r="CQ280" s="40"/>
      <c r="CR280" s="40"/>
      <c r="CS280" s="40"/>
      <c r="CT280" s="40"/>
      <c r="CU280" s="40"/>
      <c r="CV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  <c r="BW281" s="40"/>
      <c r="BX281" s="40"/>
      <c r="BY281" s="40"/>
      <c r="BZ281" s="40"/>
      <c r="CA281" s="40"/>
      <c r="CB281" s="40"/>
      <c r="CC281" s="40"/>
      <c r="CD281" s="40"/>
      <c r="CE281" s="40"/>
      <c r="CF281" s="40"/>
      <c r="CG281" s="40"/>
      <c r="CH281" s="40"/>
      <c r="CI281" s="40"/>
      <c r="CJ281" s="40"/>
      <c r="CK281" s="40"/>
      <c r="CL281" s="40"/>
      <c r="CM281" s="40"/>
      <c r="CN281" s="40"/>
      <c r="CO281" s="40"/>
      <c r="CP281" s="40"/>
      <c r="CQ281" s="40"/>
      <c r="CR281" s="40"/>
      <c r="CS281" s="40"/>
      <c r="CT281" s="40"/>
      <c r="CU281" s="40"/>
      <c r="CV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0"/>
      <c r="BX282" s="40"/>
      <c r="BY282" s="40"/>
      <c r="BZ282" s="40"/>
      <c r="CA282" s="40"/>
      <c r="CB282" s="40"/>
      <c r="CC282" s="40"/>
      <c r="CD282" s="40"/>
      <c r="CE282" s="40"/>
      <c r="CF282" s="40"/>
      <c r="CG282" s="40"/>
      <c r="CH282" s="40"/>
      <c r="CI282" s="40"/>
      <c r="CJ282" s="40"/>
      <c r="CK282" s="40"/>
      <c r="CL282" s="40"/>
      <c r="CM282" s="40"/>
      <c r="CN282" s="40"/>
      <c r="CO282" s="40"/>
      <c r="CP282" s="40"/>
      <c r="CQ282" s="40"/>
      <c r="CR282" s="40"/>
      <c r="CS282" s="40"/>
      <c r="CT282" s="40"/>
      <c r="CU282" s="40"/>
      <c r="CV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  <c r="BW283" s="40"/>
      <c r="BX283" s="40"/>
      <c r="BY283" s="40"/>
      <c r="BZ283" s="40"/>
      <c r="CA283" s="40"/>
      <c r="CB283" s="40"/>
      <c r="CC283" s="40"/>
      <c r="CD283" s="40"/>
      <c r="CE283" s="40"/>
      <c r="CF283" s="40"/>
      <c r="CG283" s="40"/>
      <c r="CH283" s="40"/>
      <c r="CI283" s="40"/>
      <c r="CJ283" s="40"/>
      <c r="CK283" s="40"/>
      <c r="CL283" s="40"/>
      <c r="CM283" s="40"/>
      <c r="CN283" s="40"/>
      <c r="CO283" s="40"/>
      <c r="CP283" s="40"/>
      <c r="CQ283" s="40"/>
      <c r="CR283" s="40"/>
      <c r="CS283" s="40"/>
      <c r="CT283" s="40"/>
      <c r="CU283" s="40"/>
      <c r="CV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  <c r="BW284" s="40"/>
      <c r="BX284" s="40"/>
      <c r="BY284" s="40"/>
      <c r="BZ284" s="40"/>
      <c r="CA284" s="40"/>
      <c r="CB284" s="40"/>
      <c r="CC284" s="40"/>
      <c r="CD284" s="40"/>
      <c r="CE284" s="40"/>
      <c r="CF284" s="40"/>
      <c r="CG284" s="40"/>
      <c r="CH284" s="40"/>
      <c r="CI284" s="40"/>
      <c r="CJ284" s="40"/>
      <c r="CK284" s="40"/>
      <c r="CL284" s="40"/>
      <c r="CM284" s="40"/>
      <c r="CN284" s="40"/>
      <c r="CO284" s="40"/>
      <c r="CP284" s="40"/>
      <c r="CQ284" s="40"/>
      <c r="CR284" s="40"/>
      <c r="CS284" s="40"/>
      <c r="CT284" s="40"/>
      <c r="CU284" s="40"/>
      <c r="CV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  <c r="BW285" s="40"/>
      <c r="BX285" s="40"/>
      <c r="BY285" s="40"/>
      <c r="BZ285" s="40"/>
      <c r="CA285" s="40"/>
      <c r="CB285" s="40"/>
      <c r="CC285" s="40"/>
      <c r="CD285" s="40"/>
      <c r="CE285" s="40"/>
      <c r="CF285" s="40"/>
      <c r="CG285" s="40"/>
      <c r="CH285" s="40"/>
      <c r="CI285" s="40"/>
      <c r="CJ285" s="40"/>
      <c r="CK285" s="40"/>
      <c r="CL285" s="40"/>
      <c r="CM285" s="40"/>
      <c r="CN285" s="40"/>
      <c r="CO285" s="40"/>
      <c r="CP285" s="40"/>
      <c r="CQ285" s="40"/>
      <c r="CR285" s="40"/>
      <c r="CS285" s="40"/>
      <c r="CT285" s="40"/>
      <c r="CU285" s="40"/>
      <c r="CV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  <c r="BW286" s="40"/>
      <c r="BX286" s="40"/>
      <c r="BY286" s="40"/>
      <c r="BZ286" s="40"/>
      <c r="CA286" s="40"/>
      <c r="CB286" s="40"/>
      <c r="CC286" s="40"/>
      <c r="CD286" s="40"/>
      <c r="CE286" s="40"/>
      <c r="CF286" s="40"/>
      <c r="CG286" s="40"/>
      <c r="CH286" s="40"/>
      <c r="CI286" s="40"/>
      <c r="CJ286" s="40"/>
      <c r="CK286" s="40"/>
      <c r="CL286" s="40"/>
      <c r="CM286" s="40"/>
      <c r="CN286" s="40"/>
      <c r="CO286" s="40"/>
      <c r="CP286" s="40"/>
      <c r="CQ286" s="40"/>
      <c r="CR286" s="40"/>
      <c r="CS286" s="40"/>
      <c r="CT286" s="40"/>
      <c r="CU286" s="40"/>
      <c r="CV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  <c r="BW287" s="40"/>
      <c r="BX287" s="40"/>
      <c r="BY287" s="40"/>
      <c r="BZ287" s="40"/>
      <c r="CA287" s="40"/>
      <c r="CB287" s="40"/>
      <c r="CC287" s="40"/>
      <c r="CD287" s="40"/>
      <c r="CE287" s="40"/>
      <c r="CF287" s="40"/>
      <c r="CG287" s="40"/>
      <c r="CH287" s="40"/>
      <c r="CI287" s="40"/>
      <c r="CJ287" s="40"/>
      <c r="CK287" s="40"/>
      <c r="CL287" s="40"/>
      <c r="CM287" s="40"/>
      <c r="CN287" s="40"/>
      <c r="CO287" s="40"/>
      <c r="CP287" s="40"/>
      <c r="CQ287" s="40"/>
      <c r="CR287" s="40"/>
      <c r="CS287" s="40"/>
      <c r="CT287" s="40"/>
      <c r="CU287" s="40"/>
      <c r="CV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  <c r="BW288" s="40"/>
      <c r="BX288" s="40"/>
      <c r="BY288" s="40"/>
      <c r="BZ288" s="40"/>
      <c r="CA288" s="40"/>
      <c r="CB288" s="40"/>
      <c r="CC288" s="40"/>
      <c r="CD288" s="40"/>
      <c r="CE288" s="40"/>
      <c r="CF288" s="40"/>
      <c r="CG288" s="40"/>
      <c r="CH288" s="40"/>
      <c r="CI288" s="40"/>
      <c r="CJ288" s="40"/>
      <c r="CK288" s="40"/>
      <c r="CL288" s="40"/>
      <c r="CM288" s="40"/>
      <c r="CN288" s="40"/>
      <c r="CO288" s="40"/>
      <c r="CP288" s="40"/>
      <c r="CQ288" s="40"/>
      <c r="CR288" s="40"/>
      <c r="CS288" s="40"/>
      <c r="CT288" s="40"/>
      <c r="CU288" s="40"/>
      <c r="CV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  <c r="BW289" s="40"/>
      <c r="BX289" s="40"/>
      <c r="BY289" s="40"/>
      <c r="BZ289" s="40"/>
      <c r="CA289" s="40"/>
      <c r="CB289" s="40"/>
      <c r="CC289" s="40"/>
      <c r="CD289" s="40"/>
      <c r="CE289" s="40"/>
      <c r="CF289" s="40"/>
      <c r="CG289" s="40"/>
      <c r="CH289" s="40"/>
      <c r="CI289" s="40"/>
      <c r="CJ289" s="40"/>
      <c r="CK289" s="40"/>
      <c r="CL289" s="40"/>
      <c r="CM289" s="40"/>
      <c r="CN289" s="40"/>
      <c r="CO289" s="40"/>
      <c r="CP289" s="40"/>
      <c r="CQ289" s="40"/>
      <c r="CR289" s="40"/>
      <c r="CS289" s="40"/>
      <c r="CT289" s="40"/>
      <c r="CU289" s="40"/>
      <c r="CV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  <c r="BW290" s="40"/>
      <c r="BX290" s="40"/>
      <c r="BY290" s="40"/>
      <c r="BZ290" s="40"/>
      <c r="CA290" s="40"/>
      <c r="CB290" s="40"/>
      <c r="CC290" s="40"/>
      <c r="CD290" s="40"/>
      <c r="CE290" s="40"/>
      <c r="CF290" s="40"/>
      <c r="CG290" s="40"/>
      <c r="CH290" s="40"/>
      <c r="CI290" s="40"/>
      <c r="CJ290" s="40"/>
      <c r="CK290" s="40"/>
      <c r="CL290" s="40"/>
      <c r="CM290" s="40"/>
      <c r="CN290" s="40"/>
      <c r="CO290" s="40"/>
      <c r="CP290" s="40"/>
      <c r="CQ290" s="40"/>
      <c r="CR290" s="40"/>
      <c r="CS290" s="40"/>
      <c r="CT290" s="40"/>
      <c r="CU290" s="40"/>
      <c r="CV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  <c r="BW291" s="40"/>
      <c r="BX291" s="40"/>
      <c r="BY291" s="40"/>
      <c r="BZ291" s="40"/>
      <c r="CA291" s="40"/>
      <c r="CB291" s="40"/>
      <c r="CC291" s="40"/>
      <c r="CD291" s="40"/>
      <c r="CE291" s="40"/>
      <c r="CF291" s="40"/>
      <c r="CG291" s="40"/>
      <c r="CH291" s="40"/>
      <c r="CI291" s="40"/>
      <c r="CJ291" s="40"/>
      <c r="CK291" s="40"/>
      <c r="CL291" s="40"/>
      <c r="CM291" s="40"/>
      <c r="CN291" s="40"/>
      <c r="CO291" s="40"/>
      <c r="CP291" s="40"/>
      <c r="CQ291" s="40"/>
      <c r="CR291" s="40"/>
      <c r="CS291" s="40"/>
      <c r="CT291" s="40"/>
      <c r="CU291" s="40"/>
      <c r="CV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  <c r="BW292" s="40"/>
      <c r="BX292" s="40"/>
      <c r="BY292" s="40"/>
      <c r="BZ292" s="40"/>
      <c r="CA292" s="40"/>
      <c r="CB292" s="40"/>
      <c r="CC292" s="40"/>
      <c r="CD292" s="40"/>
      <c r="CE292" s="40"/>
      <c r="CF292" s="40"/>
      <c r="CG292" s="40"/>
      <c r="CH292" s="40"/>
      <c r="CI292" s="40"/>
      <c r="CJ292" s="40"/>
      <c r="CK292" s="40"/>
      <c r="CL292" s="40"/>
      <c r="CM292" s="40"/>
      <c r="CN292" s="40"/>
      <c r="CO292" s="40"/>
      <c r="CP292" s="40"/>
      <c r="CQ292" s="40"/>
      <c r="CR292" s="40"/>
      <c r="CS292" s="40"/>
      <c r="CT292" s="40"/>
      <c r="CU292" s="40"/>
      <c r="CV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  <c r="BW293" s="40"/>
      <c r="BX293" s="40"/>
      <c r="BY293" s="40"/>
      <c r="BZ293" s="40"/>
      <c r="CA293" s="40"/>
      <c r="CB293" s="40"/>
      <c r="CC293" s="40"/>
      <c r="CD293" s="40"/>
      <c r="CE293" s="40"/>
      <c r="CF293" s="40"/>
      <c r="CG293" s="40"/>
      <c r="CH293" s="40"/>
      <c r="CI293" s="40"/>
      <c r="CJ293" s="40"/>
      <c r="CK293" s="40"/>
      <c r="CL293" s="40"/>
      <c r="CM293" s="40"/>
      <c r="CN293" s="40"/>
      <c r="CO293" s="40"/>
      <c r="CP293" s="40"/>
      <c r="CQ293" s="40"/>
      <c r="CR293" s="40"/>
      <c r="CS293" s="40"/>
      <c r="CT293" s="40"/>
      <c r="CU293" s="40"/>
      <c r="CV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  <c r="BW294" s="40"/>
      <c r="BX294" s="40"/>
      <c r="BY294" s="40"/>
      <c r="BZ294" s="40"/>
      <c r="CA294" s="40"/>
      <c r="CB294" s="40"/>
      <c r="CC294" s="40"/>
      <c r="CD294" s="40"/>
      <c r="CE294" s="40"/>
      <c r="CF294" s="40"/>
      <c r="CG294" s="40"/>
      <c r="CH294" s="40"/>
      <c r="CI294" s="40"/>
      <c r="CJ294" s="40"/>
      <c r="CK294" s="40"/>
      <c r="CL294" s="40"/>
      <c r="CM294" s="40"/>
      <c r="CN294" s="40"/>
      <c r="CO294" s="40"/>
      <c r="CP294" s="40"/>
      <c r="CQ294" s="40"/>
      <c r="CR294" s="40"/>
      <c r="CS294" s="40"/>
      <c r="CT294" s="40"/>
      <c r="CU294" s="40"/>
      <c r="CV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  <c r="BW295" s="40"/>
      <c r="BX295" s="40"/>
      <c r="BY295" s="40"/>
      <c r="BZ295" s="40"/>
      <c r="CA295" s="40"/>
      <c r="CB295" s="40"/>
      <c r="CC295" s="40"/>
      <c r="CD295" s="40"/>
      <c r="CE295" s="40"/>
      <c r="CF295" s="40"/>
      <c r="CG295" s="40"/>
      <c r="CH295" s="40"/>
      <c r="CI295" s="40"/>
      <c r="CJ295" s="40"/>
      <c r="CK295" s="40"/>
      <c r="CL295" s="40"/>
      <c r="CM295" s="40"/>
      <c r="CN295" s="40"/>
      <c r="CO295" s="40"/>
      <c r="CP295" s="40"/>
      <c r="CQ295" s="40"/>
      <c r="CR295" s="40"/>
      <c r="CS295" s="40"/>
      <c r="CT295" s="40"/>
      <c r="CU295" s="40"/>
      <c r="CV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  <c r="BW296" s="40"/>
      <c r="BX296" s="40"/>
      <c r="BY296" s="40"/>
      <c r="BZ296" s="40"/>
      <c r="CA296" s="40"/>
      <c r="CB296" s="40"/>
      <c r="CC296" s="40"/>
      <c r="CD296" s="40"/>
      <c r="CE296" s="40"/>
      <c r="CF296" s="40"/>
      <c r="CG296" s="40"/>
      <c r="CH296" s="40"/>
      <c r="CI296" s="40"/>
      <c r="CJ296" s="40"/>
      <c r="CK296" s="40"/>
      <c r="CL296" s="40"/>
      <c r="CM296" s="40"/>
      <c r="CN296" s="40"/>
      <c r="CO296" s="40"/>
      <c r="CP296" s="40"/>
      <c r="CQ296" s="40"/>
      <c r="CR296" s="40"/>
      <c r="CS296" s="40"/>
      <c r="CT296" s="40"/>
      <c r="CU296" s="40"/>
      <c r="CV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  <c r="BW297" s="40"/>
      <c r="BX297" s="40"/>
      <c r="BY297" s="40"/>
      <c r="BZ297" s="40"/>
      <c r="CA297" s="40"/>
      <c r="CB297" s="40"/>
      <c r="CC297" s="40"/>
      <c r="CD297" s="40"/>
      <c r="CE297" s="40"/>
      <c r="CF297" s="40"/>
      <c r="CG297" s="40"/>
      <c r="CH297" s="40"/>
      <c r="CI297" s="40"/>
      <c r="CJ297" s="40"/>
      <c r="CK297" s="40"/>
      <c r="CL297" s="40"/>
      <c r="CM297" s="40"/>
      <c r="CN297" s="40"/>
      <c r="CO297" s="40"/>
      <c r="CP297" s="40"/>
      <c r="CQ297" s="40"/>
      <c r="CR297" s="40"/>
      <c r="CS297" s="40"/>
      <c r="CT297" s="40"/>
      <c r="CU297" s="40"/>
      <c r="CV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  <c r="BW298" s="40"/>
      <c r="BX298" s="40"/>
      <c r="BY298" s="40"/>
      <c r="BZ298" s="40"/>
      <c r="CA298" s="40"/>
      <c r="CB298" s="40"/>
      <c r="CC298" s="40"/>
      <c r="CD298" s="40"/>
      <c r="CE298" s="40"/>
      <c r="CF298" s="40"/>
      <c r="CG298" s="40"/>
      <c r="CH298" s="40"/>
      <c r="CI298" s="40"/>
      <c r="CJ298" s="40"/>
      <c r="CK298" s="40"/>
      <c r="CL298" s="40"/>
      <c r="CM298" s="40"/>
      <c r="CN298" s="40"/>
      <c r="CO298" s="40"/>
      <c r="CP298" s="40"/>
      <c r="CQ298" s="40"/>
      <c r="CR298" s="40"/>
      <c r="CS298" s="40"/>
      <c r="CT298" s="40"/>
      <c r="CU298" s="40"/>
      <c r="CV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  <c r="BW299" s="40"/>
      <c r="BX299" s="40"/>
      <c r="BY299" s="40"/>
      <c r="BZ299" s="40"/>
      <c r="CA299" s="40"/>
      <c r="CB299" s="40"/>
      <c r="CC299" s="40"/>
      <c r="CD299" s="40"/>
      <c r="CE299" s="40"/>
      <c r="CF299" s="40"/>
      <c r="CG299" s="40"/>
      <c r="CH299" s="40"/>
      <c r="CI299" s="40"/>
      <c r="CJ299" s="40"/>
      <c r="CK299" s="40"/>
      <c r="CL299" s="40"/>
      <c r="CM299" s="40"/>
      <c r="CN299" s="40"/>
      <c r="CO299" s="40"/>
      <c r="CP299" s="40"/>
      <c r="CQ299" s="40"/>
      <c r="CR299" s="40"/>
      <c r="CS299" s="40"/>
      <c r="CT299" s="40"/>
      <c r="CU299" s="40"/>
      <c r="CV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  <c r="BW300" s="40"/>
      <c r="BX300" s="40"/>
      <c r="BY300" s="40"/>
      <c r="BZ300" s="40"/>
      <c r="CA300" s="40"/>
      <c r="CB300" s="40"/>
      <c r="CC300" s="40"/>
      <c r="CD300" s="40"/>
      <c r="CE300" s="40"/>
      <c r="CF300" s="40"/>
      <c r="CG300" s="40"/>
      <c r="CH300" s="40"/>
      <c r="CI300" s="40"/>
      <c r="CJ300" s="40"/>
      <c r="CK300" s="40"/>
      <c r="CL300" s="40"/>
      <c r="CM300" s="40"/>
      <c r="CN300" s="40"/>
      <c r="CO300" s="40"/>
      <c r="CP300" s="40"/>
      <c r="CQ300" s="40"/>
      <c r="CR300" s="40"/>
      <c r="CS300" s="40"/>
      <c r="CT300" s="40"/>
      <c r="CU300" s="40"/>
      <c r="CV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  <c r="BW301" s="40"/>
      <c r="BX301" s="40"/>
      <c r="BY301" s="40"/>
      <c r="BZ301" s="40"/>
      <c r="CA301" s="40"/>
      <c r="CB301" s="40"/>
      <c r="CC301" s="40"/>
      <c r="CD301" s="40"/>
      <c r="CE301" s="40"/>
      <c r="CF301" s="40"/>
      <c r="CG301" s="40"/>
      <c r="CH301" s="40"/>
      <c r="CI301" s="40"/>
      <c r="CJ301" s="40"/>
      <c r="CK301" s="40"/>
      <c r="CL301" s="40"/>
      <c r="CM301" s="40"/>
      <c r="CN301" s="40"/>
      <c r="CO301" s="40"/>
      <c r="CP301" s="40"/>
      <c r="CQ301" s="40"/>
      <c r="CR301" s="40"/>
      <c r="CS301" s="40"/>
      <c r="CT301" s="40"/>
      <c r="CU301" s="40"/>
      <c r="CV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  <c r="BW302" s="40"/>
      <c r="BX302" s="40"/>
      <c r="BY302" s="40"/>
      <c r="BZ302" s="40"/>
      <c r="CA302" s="40"/>
      <c r="CB302" s="40"/>
      <c r="CC302" s="40"/>
      <c r="CD302" s="40"/>
      <c r="CE302" s="40"/>
      <c r="CF302" s="40"/>
      <c r="CG302" s="40"/>
      <c r="CH302" s="40"/>
      <c r="CI302" s="40"/>
      <c r="CJ302" s="40"/>
      <c r="CK302" s="40"/>
      <c r="CL302" s="40"/>
      <c r="CM302" s="40"/>
      <c r="CN302" s="40"/>
      <c r="CO302" s="40"/>
      <c r="CP302" s="40"/>
      <c r="CQ302" s="40"/>
      <c r="CR302" s="40"/>
      <c r="CS302" s="40"/>
      <c r="CT302" s="40"/>
      <c r="CU302" s="40"/>
      <c r="CV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  <c r="BW303" s="40"/>
      <c r="BX303" s="40"/>
      <c r="BY303" s="40"/>
      <c r="BZ303" s="40"/>
      <c r="CA303" s="40"/>
      <c r="CB303" s="40"/>
      <c r="CC303" s="40"/>
      <c r="CD303" s="40"/>
      <c r="CE303" s="40"/>
      <c r="CF303" s="40"/>
      <c r="CG303" s="40"/>
      <c r="CH303" s="40"/>
      <c r="CI303" s="40"/>
      <c r="CJ303" s="40"/>
      <c r="CK303" s="40"/>
      <c r="CL303" s="40"/>
      <c r="CM303" s="40"/>
      <c r="CN303" s="40"/>
      <c r="CO303" s="40"/>
      <c r="CP303" s="40"/>
      <c r="CQ303" s="40"/>
      <c r="CR303" s="40"/>
      <c r="CS303" s="40"/>
      <c r="CT303" s="40"/>
      <c r="CU303" s="40"/>
      <c r="CV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  <c r="BW304" s="40"/>
      <c r="BX304" s="40"/>
      <c r="BY304" s="40"/>
      <c r="BZ304" s="40"/>
      <c r="CA304" s="40"/>
      <c r="CB304" s="40"/>
      <c r="CC304" s="40"/>
      <c r="CD304" s="40"/>
      <c r="CE304" s="40"/>
      <c r="CF304" s="40"/>
      <c r="CG304" s="40"/>
      <c r="CH304" s="40"/>
      <c r="CI304" s="40"/>
      <c r="CJ304" s="40"/>
      <c r="CK304" s="40"/>
      <c r="CL304" s="40"/>
      <c r="CM304" s="40"/>
      <c r="CN304" s="40"/>
      <c r="CO304" s="40"/>
      <c r="CP304" s="40"/>
      <c r="CQ304" s="40"/>
      <c r="CR304" s="40"/>
      <c r="CS304" s="40"/>
      <c r="CT304" s="40"/>
      <c r="CU304" s="40"/>
      <c r="CV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  <c r="BW305" s="40"/>
      <c r="BX305" s="40"/>
      <c r="BY305" s="40"/>
      <c r="BZ305" s="40"/>
      <c r="CA305" s="40"/>
      <c r="CB305" s="40"/>
      <c r="CC305" s="40"/>
      <c r="CD305" s="40"/>
      <c r="CE305" s="40"/>
      <c r="CF305" s="40"/>
      <c r="CG305" s="40"/>
      <c r="CH305" s="40"/>
      <c r="CI305" s="40"/>
      <c r="CJ305" s="40"/>
      <c r="CK305" s="40"/>
      <c r="CL305" s="40"/>
      <c r="CM305" s="40"/>
      <c r="CN305" s="40"/>
      <c r="CO305" s="40"/>
      <c r="CP305" s="40"/>
      <c r="CQ305" s="40"/>
      <c r="CR305" s="40"/>
      <c r="CS305" s="40"/>
      <c r="CT305" s="40"/>
      <c r="CU305" s="40"/>
      <c r="CV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  <c r="BW306" s="40"/>
      <c r="BX306" s="40"/>
      <c r="BY306" s="40"/>
      <c r="BZ306" s="40"/>
      <c r="CA306" s="40"/>
      <c r="CB306" s="40"/>
      <c r="CC306" s="40"/>
      <c r="CD306" s="40"/>
      <c r="CE306" s="40"/>
      <c r="CF306" s="40"/>
      <c r="CG306" s="40"/>
      <c r="CH306" s="40"/>
      <c r="CI306" s="40"/>
      <c r="CJ306" s="40"/>
      <c r="CK306" s="40"/>
      <c r="CL306" s="40"/>
      <c r="CM306" s="40"/>
      <c r="CN306" s="40"/>
      <c r="CO306" s="40"/>
      <c r="CP306" s="40"/>
      <c r="CQ306" s="40"/>
      <c r="CR306" s="40"/>
      <c r="CS306" s="40"/>
      <c r="CT306" s="40"/>
      <c r="CU306" s="40"/>
      <c r="CV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  <c r="BW307" s="40"/>
      <c r="BX307" s="40"/>
      <c r="BY307" s="40"/>
      <c r="BZ307" s="40"/>
      <c r="CA307" s="40"/>
      <c r="CB307" s="40"/>
      <c r="CC307" s="40"/>
      <c r="CD307" s="40"/>
      <c r="CE307" s="40"/>
      <c r="CF307" s="40"/>
      <c r="CG307" s="40"/>
      <c r="CH307" s="40"/>
      <c r="CI307" s="40"/>
      <c r="CJ307" s="40"/>
      <c r="CK307" s="40"/>
      <c r="CL307" s="40"/>
      <c r="CM307" s="40"/>
      <c r="CN307" s="40"/>
      <c r="CO307" s="40"/>
      <c r="CP307" s="40"/>
      <c r="CQ307" s="40"/>
      <c r="CR307" s="40"/>
      <c r="CS307" s="40"/>
      <c r="CT307" s="40"/>
      <c r="CU307" s="40"/>
      <c r="CV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  <c r="BW308" s="40"/>
      <c r="BX308" s="40"/>
      <c r="BY308" s="40"/>
      <c r="BZ308" s="40"/>
      <c r="CA308" s="40"/>
      <c r="CB308" s="40"/>
      <c r="CC308" s="40"/>
      <c r="CD308" s="40"/>
      <c r="CE308" s="40"/>
      <c r="CF308" s="40"/>
      <c r="CG308" s="40"/>
      <c r="CH308" s="40"/>
      <c r="CI308" s="40"/>
      <c r="CJ308" s="40"/>
      <c r="CK308" s="40"/>
      <c r="CL308" s="40"/>
      <c r="CM308" s="40"/>
      <c r="CN308" s="40"/>
      <c r="CO308" s="40"/>
      <c r="CP308" s="40"/>
      <c r="CQ308" s="40"/>
      <c r="CR308" s="40"/>
      <c r="CS308" s="40"/>
      <c r="CT308" s="40"/>
      <c r="CU308" s="40"/>
      <c r="CV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  <c r="BW309" s="40"/>
      <c r="BX309" s="40"/>
      <c r="BY309" s="40"/>
      <c r="BZ309" s="40"/>
      <c r="CA309" s="40"/>
      <c r="CB309" s="40"/>
      <c r="CC309" s="40"/>
      <c r="CD309" s="40"/>
      <c r="CE309" s="40"/>
      <c r="CF309" s="40"/>
      <c r="CG309" s="40"/>
      <c r="CH309" s="40"/>
      <c r="CI309" s="40"/>
      <c r="CJ309" s="40"/>
      <c r="CK309" s="40"/>
      <c r="CL309" s="40"/>
      <c r="CM309" s="40"/>
      <c r="CN309" s="40"/>
      <c r="CO309" s="40"/>
      <c r="CP309" s="40"/>
      <c r="CQ309" s="40"/>
      <c r="CR309" s="40"/>
      <c r="CS309" s="40"/>
      <c r="CT309" s="40"/>
      <c r="CU309" s="40"/>
      <c r="CV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  <c r="BW310" s="40"/>
      <c r="BX310" s="40"/>
      <c r="BY310" s="40"/>
      <c r="BZ310" s="40"/>
      <c r="CA310" s="40"/>
      <c r="CB310" s="40"/>
      <c r="CC310" s="40"/>
      <c r="CD310" s="40"/>
      <c r="CE310" s="40"/>
      <c r="CF310" s="40"/>
      <c r="CG310" s="40"/>
      <c r="CH310" s="40"/>
      <c r="CI310" s="40"/>
      <c r="CJ310" s="40"/>
      <c r="CK310" s="40"/>
      <c r="CL310" s="40"/>
      <c r="CM310" s="40"/>
      <c r="CN310" s="40"/>
      <c r="CO310" s="40"/>
      <c r="CP310" s="40"/>
      <c r="CQ310" s="40"/>
      <c r="CR310" s="40"/>
      <c r="CS310" s="40"/>
      <c r="CT310" s="40"/>
      <c r="CU310" s="40"/>
      <c r="CV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  <c r="BW311" s="40"/>
      <c r="BX311" s="40"/>
      <c r="BY311" s="40"/>
      <c r="BZ311" s="40"/>
      <c r="CA311" s="40"/>
      <c r="CB311" s="40"/>
      <c r="CC311" s="40"/>
      <c r="CD311" s="40"/>
      <c r="CE311" s="40"/>
      <c r="CF311" s="40"/>
      <c r="CG311" s="40"/>
      <c r="CH311" s="40"/>
      <c r="CI311" s="40"/>
      <c r="CJ311" s="40"/>
      <c r="CK311" s="40"/>
      <c r="CL311" s="40"/>
      <c r="CM311" s="40"/>
      <c r="CN311" s="40"/>
      <c r="CO311" s="40"/>
      <c r="CP311" s="40"/>
      <c r="CQ311" s="40"/>
      <c r="CR311" s="40"/>
      <c r="CS311" s="40"/>
      <c r="CT311" s="40"/>
      <c r="CU311" s="40"/>
      <c r="CV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  <c r="BW312" s="40"/>
      <c r="BX312" s="40"/>
      <c r="BY312" s="40"/>
      <c r="BZ312" s="40"/>
      <c r="CA312" s="40"/>
      <c r="CB312" s="40"/>
      <c r="CC312" s="40"/>
      <c r="CD312" s="40"/>
      <c r="CE312" s="40"/>
      <c r="CF312" s="40"/>
      <c r="CG312" s="40"/>
      <c r="CH312" s="40"/>
      <c r="CI312" s="40"/>
      <c r="CJ312" s="40"/>
      <c r="CK312" s="40"/>
      <c r="CL312" s="40"/>
      <c r="CM312" s="40"/>
      <c r="CN312" s="40"/>
      <c r="CO312" s="40"/>
      <c r="CP312" s="40"/>
      <c r="CQ312" s="40"/>
      <c r="CR312" s="40"/>
      <c r="CS312" s="40"/>
      <c r="CT312" s="40"/>
      <c r="CU312" s="40"/>
      <c r="CV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  <c r="BW313" s="40"/>
      <c r="BX313" s="40"/>
      <c r="BY313" s="40"/>
      <c r="BZ313" s="40"/>
      <c r="CA313" s="40"/>
      <c r="CB313" s="40"/>
      <c r="CC313" s="40"/>
      <c r="CD313" s="40"/>
      <c r="CE313" s="40"/>
      <c r="CF313" s="40"/>
      <c r="CG313" s="40"/>
      <c r="CH313" s="40"/>
      <c r="CI313" s="40"/>
      <c r="CJ313" s="40"/>
      <c r="CK313" s="40"/>
      <c r="CL313" s="40"/>
      <c r="CM313" s="40"/>
      <c r="CN313" s="40"/>
      <c r="CO313" s="40"/>
      <c r="CP313" s="40"/>
      <c r="CQ313" s="40"/>
      <c r="CR313" s="40"/>
      <c r="CS313" s="40"/>
      <c r="CT313" s="40"/>
      <c r="CU313" s="40"/>
      <c r="CV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  <c r="BW314" s="40"/>
      <c r="BX314" s="40"/>
      <c r="BY314" s="40"/>
      <c r="BZ314" s="40"/>
      <c r="CA314" s="40"/>
      <c r="CB314" s="40"/>
      <c r="CC314" s="40"/>
      <c r="CD314" s="40"/>
      <c r="CE314" s="40"/>
      <c r="CF314" s="40"/>
      <c r="CG314" s="40"/>
      <c r="CH314" s="40"/>
      <c r="CI314" s="40"/>
      <c r="CJ314" s="40"/>
      <c r="CK314" s="40"/>
      <c r="CL314" s="40"/>
      <c r="CM314" s="40"/>
      <c r="CN314" s="40"/>
      <c r="CO314" s="40"/>
      <c r="CP314" s="40"/>
      <c r="CQ314" s="40"/>
      <c r="CR314" s="40"/>
      <c r="CS314" s="40"/>
      <c r="CT314" s="40"/>
      <c r="CU314" s="40"/>
      <c r="CV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  <c r="BW315" s="40"/>
      <c r="BX315" s="40"/>
      <c r="BY315" s="40"/>
      <c r="BZ315" s="40"/>
      <c r="CA315" s="40"/>
      <c r="CB315" s="40"/>
      <c r="CC315" s="40"/>
      <c r="CD315" s="40"/>
      <c r="CE315" s="40"/>
      <c r="CF315" s="40"/>
      <c r="CG315" s="40"/>
      <c r="CH315" s="40"/>
      <c r="CI315" s="40"/>
      <c r="CJ315" s="40"/>
      <c r="CK315" s="40"/>
      <c r="CL315" s="40"/>
      <c r="CM315" s="40"/>
      <c r="CN315" s="40"/>
      <c r="CO315" s="40"/>
      <c r="CP315" s="40"/>
      <c r="CQ315" s="40"/>
      <c r="CR315" s="40"/>
      <c r="CS315" s="40"/>
      <c r="CT315" s="40"/>
      <c r="CU315" s="40"/>
      <c r="CV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  <c r="BW316" s="40"/>
      <c r="BX316" s="40"/>
      <c r="BY316" s="40"/>
      <c r="BZ316" s="40"/>
      <c r="CA316" s="40"/>
      <c r="CB316" s="40"/>
      <c r="CC316" s="40"/>
      <c r="CD316" s="40"/>
      <c r="CE316" s="40"/>
      <c r="CF316" s="40"/>
      <c r="CG316" s="40"/>
      <c r="CH316" s="40"/>
      <c r="CI316" s="40"/>
      <c r="CJ316" s="40"/>
      <c r="CK316" s="40"/>
      <c r="CL316" s="40"/>
      <c r="CM316" s="40"/>
      <c r="CN316" s="40"/>
      <c r="CO316" s="40"/>
      <c r="CP316" s="40"/>
      <c r="CQ316" s="40"/>
      <c r="CR316" s="40"/>
      <c r="CS316" s="40"/>
      <c r="CT316" s="40"/>
      <c r="CU316" s="40"/>
      <c r="CV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  <c r="BW317" s="40"/>
      <c r="BX317" s="40"/>
      <c r="BY317" s="40"/>
      <c r="BZ317" s="40"/>
      <c r="CA317" s="40"/>
      <c r="CB317" s="40"/>
      <c r="CC317" s="40"/>
      <c r="CD317" s="40"/>
      <c r="CE317" s="40"/>
      <c r="CF317" s="40"/>
      <c r="CG317" s="40"/>
      <c r="CH317" s="40"/>
      <c r="CI317" s="40"/>
      <c r="CJ317" s="40"/>
      <c r="CK317" s="40"/>
      <c r="CL317" s="40"/>
      <c r="CM317" s="40"/>
      <c r="CN317" s="40"/>
      <c r="CO317" s="40"/>
      <c r="CP317" s="40"/>
      <c r="CQ317" s="40"/>
      <c r="CR317" s="40"/>
      <c r="CS317" s="40"/>
      <c r="CT317" s="40"/>
      <c r="CU317" s="40"/>
      <c r="CV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  <c r="BW318" s="40"/>
      <c r="BX318" s="40"/>
      <c r="BY318" s="40"/>
      <c r="BZ318" s="40"/>
      <c r="CA318" s="40"/>
      <c r="CB318" s="40"/>
      <c r="CC318" s="40"/>
      <c r="CD318" s="40"/>
      <c r="CE318" s="40"/>
      <c r="CF318" s="40"/>
      <c r="CG318" s="40"/>
      <c r="CH318" s="40"/>
      <c r="CI318" s="40"/>
      <c r="CJ318" s="40"/>
      <c r="CK318" s="40"/>
      <c r="CL318" s="40"/>
      <c r="CM318" s="40"/>
      <c r="CN318" s="40"/>
      <c r="CO318" s="40"/>
      <c r="CP318" s="40"/>
      <c r="CQ318" s="40"/>
      <c r="CR318" s="40"/>
      <c r="CS318" s="40"/>
      <c r="CT318" s="40"/>
      <c r="CU318" s="40"/>
      <c r="CV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  <c r="BW319" s="40"/>
      <c r="BX319" s="40"/>
      <c r="BY319" s="40"/>
      <c r="BZ319" s="40"/>
      <c r="CA319" s="40"/>
      <c r="CB319" s="40"/>
      <c r="CC319" s="40"/>
      <c r="CD319" s="40"/>
      <c r="CE319" s="40"/>
      <c r="CF319" s="40"/>
      <c r="CG319" s="40"/>
      <c r="CH319" s="40"/>
      <c r="CI319" s="40"/>
      <c r="CJ319" s="40"/>
      <c r="CK319" s="40"/>
      <c r="CL319" s="40"/>
      <c r="CM319" s="40"/>
      <c r="CN319" s="40"/>
      <c r="CO319" s="40"/>
      <c r="CP319" s="40"/>
      <c r="CQ319" s="40"/>
      <c r="CR319" s="40"/>
      <c r="CS319" s="40"/>
      <c r="CT319" s="40"/>
      <c r="CU319" s="40"/>
      <c r="CV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  <c r="BW320" s="40"/>
      <c r="BX320" s="40"/>
      <c r="BY320" s="40"/>
      <c r="BZ320" s="40"/>
      <c r="CA320" s="40"/>
      <c r="CB320" s="40"/>
      <c r="CC320" s="40"/>
      <c r="CD320" s="40"/>
      <c r="CE320" s="40"/>
      <c r="CF320" s="40"/>
      <c r="CG320" s="40"/>
      <c r="CH320" s="40"/>
      <c r="CI320" s="40"/>
      <c r="CJ320" s="40"/>
      <c r="CK320" s="40"/>
      <c r="CL320" s="40"/>
      <c r="CM320" s="40"/>
      <c r="CN320" s="40"/>
      <c r="CO320" s="40"/>
      <c r="CP320" s="40"/>
      <c r="CQ320" s="40"/>
      <c r="CR320" s="40"/>
      <c r="CS320" s="40"/>
      <c r="CT320" s="40"/>
      <c r="CU320" s="40"/>
      <c r="CV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  <c r="BW321" s="40"/>
      <c r="BX321" s="40"/>
      <c r="BY321" s="40"/>
      <c r="BZ321" s="40"/>
      <c r="CA321" s="40"/>
      <c r="CB321" s="40"/>
      <c r="CC321" s="40"/>
      <c r="CD321" s="40"/>
      <c r="CE321" s="40"/>
      <c r="CF321" s="40"/>
      <c r="CG321" s="40"/>
      <c r="CH321" s="40"/>
      <c r="CI321" s="40"/>
      <c r="CJ321" s="40"/>
      <c r="CK321" s="40"/>
      <c r="CL321" s="40"/>
      <c r="CM321" s="40"/>
      <c r="CN321" s="40"/>
      <c r="CO321" s="40"/>
      <c r="CP321" s="40"/>
      <c r="CQ321" s="40"/>
      <c r="CR321" s="40"/>
      <c r="CS321" s="40"/>
      <c r="CT321" s="40"/>
      <c r="CU321" s="40"/>
      <c r="CV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  <c r="BW322" s="40"/>
      <c r="BX322" s="40"/>
      <c r="BY322" s="40"/>
      <c r="BZ322" s="40"/>
      <c r="CA322" s="40"/>
      <c r="CB322" s="40"/>
      <c r="CC322" s="40"/>
      <c r="CD322" s="40"/>
      <c r="CE322" s="40"/>
      <c r="CF322" s="40"/>
      <c r="CG322" s="40"/>
      <c r="CH322" s="40"/>
      <c r="CI322" s="40"/>
      <c r="CJ322" s="40"/>
      <c r="CK322" s="40"/>
      <c r="CL322" s="40"/>
      <c r="CM322" s="40"/>
      <c r="CN322" s="40"/>
      <c r="CO322" s="40"/>
      <c r="CP322" s="40"/>
      <c r="CQ322" s="40"/>
      <c r="CR322" s="40"/>
      <c r="CS322" s="40"/>
      <c r="CT322" s="40"/>
      <c r="CU322" s="40"/>
      <c r="CV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  <c r="BW323" s="40"/>
      <c r="BX323" s="40"/>
      <c r="BY323" s="40"/>
      <c r="BZ323" s="40"/>
      <c r="CA323" s="40"/>
      <c r="CB323" s="40"/>
      <c r="CC323" s="40"/>
      <c r="CD323" s="40"/>
      <c r="CE323" s="40"/>
      <c r="CF323" s="40"/>
      <c r="CG323" s="40"/>
      <c r="CH323" s="40"/>
      <c r="CI323" s="40"/>
      <c r="CJ323" s="40"/>
      <c r="CK323" s="40"/>
      <c r="CL323" s="40"/>
      <c r="CM323" s="40"/>
      <c r="CN323" s="40"/>
      <c r="CO323" s="40"/>
      <c r="CP323" s="40"/>
      <c r="CQ323" s="40"/>
      <c r="CR323" s="40"/>
      <c r="CS323" s="40"/>
      <c r="CT323" s="40"/>
      <c r="CU323" s="40"/>
      <c r="CV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  <c r="BW324" s="40"/>
      <c r="BX324" s="40"/>
      <c r="BY324" s="40"/>
      <c r="BZ324" s="40"/>
      <c r="CA324" s="40"/>
      <c r="CB324" s="40"/>
      <c r="CC324" s="40"/>
      <c r="CD324" s="40"/>
      <c r="CE324" s="40"/>
      <c r="CF324" s="40"/>
      <c r="CG324" s="40"/>
      <c r="CH324" s="40"/>
      <c r="CI324" s="40"/>
      <c r="CJ324" s="40"/>
      <c r="CK324" s="40"/>
      <c r="CL324" s="40"/>
      <c r="CM324" s="40"/>
      <c r="CN324" s="40"/>
      <c r="CO324" s="40"/>
      <c r="CP324" s="40"/>
      <c r="CQ324" s="40"/>
      <c r="CR324" s="40"/>
      <c r="CS324" s="40"/>
      <c r="CT324" s="40"/>
      <c r="CU324" s="40"/>
      <c r="CV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  <c r="BW325" s="40"/>
      <c r="BX325" s="40"/>
      <c r="BY325" s="40"/>
      <c r="BZ325" s="40"/>
      <c r="CA325" s="40"/>
      <c r="CB325" s="40"/>
      <c r="CC325" s="40"/>
      <c r="CD325" s="40"/>
      <c r="CE325" s="40"/>
      <c r="CF325" s="40"/>
      <c r="CG325" s="40"/>
      <c r="CH325" s="40"/>
      <c r="CI325" s="40"/>
      <c r="CJ325" s="40"/>
      <c r="CK325" s="40"/>
      <c r="CL325" s="40"/>
      <c r="CM325" s="40"/>
      <c r="CN325" s="40"/>
      <c r="CO325" s="40"/>
      <c r="CP325" s="40"/>
      <c r="CQ325" s="40"/>
      <c r="CR325" s="40"/>
      <c r="CS325" s="40"/>
      <c r="CT325" s="40"/>
      <c r="CU325" s="40"/>
      <c r="CV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  <c r="BW326" s="40"/>
      <c r="BX326" s="40"/>
      <c r="BY326" s="40"/>
      <c r="BZ326" s="40"/>
      <c r="CA326" s="40"/>
      <c r="CB326" s="40"/>
      <c r="CC326" s="40"/>
      <c r="CD326" s="40"/>
      <c r="CE326" s="40"/>
      <c r="CF326" s="40"/>
      <c r="CG326" s="40"/>
      <c r="CH326" s="40"/>
      <c r="CI326" s="40"/>
      <c r="CJ326" s="40"/>
      <c r="CK326" s="40"/>
      <c r="CL326" s="40"/>
      <c r="CM326" s="40"/>
      <c r="CN326" s="40"/>
      <c r="CO326" s="40"/>
      <c r="CP326" s="40"/>
      <c r="CQ326" s="40"/>
      <c r="CR326" s="40"/>
      <c r="CS326" s="40"/>
      <c r="CT326" s="40"/>
      <c r="CU326" s="40"/>
      <c r="CV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  <c r="BW327" s="40"/>
      <c r="BX327" s="40"/>
      <c r="BY327" s="40"/>
      <c r="BZ327" s="40"/>
      <c r="CA327" s="40"/>
      <c r="CB327" s="40"/>
      <c r="CC327" s="40"/>
      <c r="CD327" s="40"/>
      <c r="CE327" s="40"/>
      <c r="CF327" s="40"/>
      <c r="CG327" s="40"/>
      <c r="CH327" s="40"/>
      <c r="CI327" s="40"/>
      <c r="CJ327" s="40"/>
      <c r="CK327" s="40"/>
      <c r="CL327" s="40"/>
      <c r="CM327" s="40"/>
      <c r="CN327" s="40"/>
      <c r="CO327" s="40"/>
      <c r="CP327" s="40"/>
      <c r="CQ327" s="40"/>
      <c r="CR327" s="40"/>
      <c r="CS327" s="40"/>
      <c r="CT327" s="40"/>
      <c r="CU327" s="40"/>
      <c r="CV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  <c r="BW328" s="40"/>
      <c r="BX328" s="40"/>
      <c r="BY328" s="40"/>
      <c r="BZ328" s="40"/>
      <c r="CA328" s="40"/>
      <c r="CB328" s="40"/>
      <c r="CC328" s="40"/>
      <c r="CD328" s="40"/>
      <c r="CE328" s="40"/>
      <c r="CF328" s="40"/>
      <c r="CG328" s="40"/>
      <c r="CH328" s="40"/>
      <c r="CI328" s="40"/>
      <c r="CJ328" s="40"/>
      <c r="CK328" s="40"/>
      <c r="CL328" s="40"/>
      <c r="CM328" s="40"/>
      <c r="CN328" s="40"/>
      <c r="CO328" s="40"/>
      <c r="CP328" s="40"/>
      <c r="CQ328" s="40"/>
      <c r="CR328" s="40"/>
      <c r="CS328" s="40"/>
      <c r="CT328" s="40"/>
      <c r="CU328" s="40"/>
      <c r="CV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  <c r="BW329" s="40"/>
      <c r="BX329" s="40"/>
      <c r="BY329" s="40"/>
      <c r="BZ329" s="40"/>
      <c r="CA329" s="40"/>
      <c r="CB329" s="40"/>
      <c r="CC329" s="40"/>
      <c r="CD329" s="40"/>
      <c r="CE329" s="40"/>
      <c r="CF329" s="40"/>
      <c r="CG329" s="40"/>
      <c r="CH329" s="40"/>
      <c r="CI329" s="40"/>
      <c r="CJ329" s="40"/>
      <c r="CK329" s="40"/>
      <c r="CL329" s="40"/>
      <c r="CM329" s="40"/>
      <c r="CN329" s="40"/>
      <c r="CO329" s="40"/>
      <c r="CP329" s="40"/>
      <c r="CQ329" s="40"/>
      <c r="CR329" s="40"/>
      <c r="CS329" s="40"/>
      <c r="CT329" s="40"/>
      <c r="CU329" s="40"/>
      <c r="CV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  <c r="BW330" s="40"/>
      <c r="BX330" s="40"/>
      <c r="BY330" s="40"/>
      <c r="BZ330" s="40"/>
      <c r="CA330" s="40"/>
      <c r="CB330" s="40"/>
      <c r="CC330" s="40"/>
      <c r="CD330" s="40"/>
      <c r="CE330" s="40"/>
      <c r="CF330" s="40"/>
      <c r="CG330" s="40"/>
      <c r="CH330" s="40"/>
      <c r="CI330" s="40"/>
      <c r="CJ330" s="40"/>
      <c r="CK330" s="40"/>
      <c r="CL330" s="40"/>
      <c r="CM330" s="40"/>
      <c r="CN330" s="40"/>
      <c r="CO330" s="40"/>
      <c r="CP330" s="40"/>
      <c r="CQ330" s="40"/>
      <c r="CR330" s="40"/>
      <c r="CS330" s="40"/>
      <c r="CT330" s="40"/>
      <c r="CU330" s="40"/>
      <c r="CV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  <c r="BW331" s="40"/>
      <c r="BX331" s="40"/>
      <c r="BY331" s="40"/>
      <c r="BZ331" s="40"/>
      <c r="CA331" s="40"/>
      <c r="CB331" s="40"/>
      <c r="CC331" s="40"/>
      <c r="CD331" s="40"/>
      <c r="CE331" s="40"/>
      <c r="CF331" s="40"/>
      <c r="CG331" s="40"/>
      <c r="CH331" s="40"/>
      <c r="CI331" s="40"/>
      <c r="CJ331" s="40"/>
      <c r="CK331" s="40"/>
      <c r="CL331" s="40"/>
      <c r="CM331" s="40"/>
      <c r="CN331" s="40"/>
      <c r="CO331" s="40"/>
      <c r="CP331" s="40"/>
      <c r="CQ331" s="40"/>
      <c r="CR331" s="40"/>
      <c r="CS331" s="40"/>
      <c r="CT331" s="40"/>
      <c r="CU331" s="40"/>
      <c r="CV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  <c r="BW332" s="40"/>
      <c r="BX332" s="40"/>
      <c r="BY332" s="40"/>
      <c r="BZ332" s="40"/>
      <c r="CA332" s="40"/>
      <c r="CB332" s="40"/>
      <c r="CC332" s="40"/>
      <c r="CD332" s="40"/>
      <c r="CE332" s="40"/>
      <c r="CF332" s="40"/>
      <c r="CG332" s="40"/>
      <c r="CH332" s="40"/>
      <c r="CI332" s="40"/>
      <c r="CJ332" s="40"/>
      <c r="CK332" s="40"/>
      <c r="CL332" s="40"/>
      <c r="CM332" s="40"/>
      <c r="CN332" s="40"/>
      <c r="CO332" s="40"/>
      <c r="CP332" s="40"/>
      <c r="CQ332" s="40"/>
      <c r="CR332" s="40"/>
      <c r="CS332" s="40"/>
      <c r="CT332" s="40"/>
      <c r="CU332" s="40"/>
      <c r="CV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  <c r="BW333" s="40"/>
      <c r="BX333" s="40"/>
      <c r="BY333" s="40"/>
      <c r="BZ333" s="40"/>
      <c r="CA333" s="40"/>
      <c r="CB333" s="40"/>
      <c r="CC333" s="40"/>
      <c r="CD333" s="40"/>
      <c r="CE333" s="40"/>
      <c r="CF333" s="40"/>
      <c r="CG333" s="40"/>
      <c r="CH333" s="40"/>
      <c r="CI333" s="40"/>
      <c r="CJ333" s="40"/>
      <c r="CK333" s="40"/>
      <c r="CL333" s="40"/>
      <c r="CM333" s="40"/>
      <c r="CN333" s="40"/>
      <c r="CO333" s="40"/>
      <c r="CP333" s="40"/>
      <c r="CQ333" s="40"/>
      <c r="CR333" s="40"/>
      <c r="CS333" s="40"/>
      <c r="CT333" s="40"/>
      <c r="CU333" s="40"/>
      <c r="CV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  <c r="BW334" s="40"/>
      <c r="BX334" s="40"/>
      <c r="BY334" s="40"/>
      <c r="BZ334" s="40"/>
      <c r="CA334" s="40"/>
      <c r="CB334" s="40"/>
      <c r="CC334" s="40"/>
      <c r="CD334" s="40"/>
      <c r="CE334" s="40"/>
      <c r="CF334" s="40"/>
      <c r="CG334" s="40"/>
      <c r="CH334" s="40"/>
      <c r="CI334" s="40"/>
      <c r="CJ334" s="40"/>
      <c r="CK334" s="40"/>
      <c r="CL334" s="40"/>
      <c r="CM334" s="40"/>
      <c r="CN334" s="40"/>
      <c r="CO334" s="40"/>
      <c r="CP334" s="40"/>
      <c r="CQ334" s="40"/>
      <c r="CR334" s="40"/>
      <c r="CS334" s="40"/>
      <c r="CT334" s="40"/>
      <c r="CU334" s="40"/>
      <c r="CV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  <c r="BW335" s="40"/>
      <c r="BX335" s="40"/>
      <c r="BY335" s="40"/>
      <c r="BZ335" s="40"/>
      <c r="CA335" s="40"/>
      <c r="CB335" s="40"/>
      <c r="CC335" s="40"/>
      <c r="CD335" s="40"/>
      <c r="CE335" s="40"/>
      <c r="CF335" s="40"/>
      <c r="CG335" s="40"/>
      <c r="CH335" s="40"/>
      <c r="CI335" s="40"/>
      <c r="CJ335" s="40"/>
      <c r="CK335" s="40"/>
      <c r="CL335" s="40"/>
      <c r="CM335" s="40"/>
      <c r="CN335" s="40"/>
      <c r="CO335" s="40"/>
      <c r="CP335" s="40"/>
      <c r="CQ335" s="40"/>
      <c r="CR335" s="40"/>
      <c r="CS335" s="40"/>
      <c r="CT335" s="40"/>
      <c r="CU335" s="40"/>
      <c r="CV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  <c r="BW336" s="40"/>
      <c r="BX336" s="40"/>
      <c r="BY336" s="40"/>
      <c r="BZ336" s="40"/>
      <c r="CA336" s="40"/>
      <c r="CB336" s="40"/>
      <c r="CC336" s="40"/>
      <c r="CD336" s="40"/>
      <c r="CE336" s="40"/>
      <c r="CF336" s="40"/>
      <c r="CG336" s="40"/>
      <c r="CH336" s="40"/>
      <c r="CI336" s="40"/>
      <c r="CJ336" s="40"/>
      <c r="CK336" s="40"/>
      <c r="CL336" s="40"/>
      <c r="CM336" s="40"/>
      <c r="CN336" s="40"/>
      <c r="CO336" s="40"/>
      <c r="CP336" s="40"/>
      <c r="CQ336" s="40"/>
      <c r="CR336" s="40"/>
      <c r="CS336" s="40"/>
      <c r="CT336" s="40"/>
      <c r="CU336" s="40"/>
      <c r="CV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  <c r="BW337" s="40"/>
      <c r="BX337" s="40"/>
      <c r="BY337" s="40"/>
      <c r="BZ337" s="40"/>
      <c r="CA337" s="40"/>
      <c r="CB337" s="40"/>
      <c r="CC337" s="40"/>
      <c r="CD337" s="40"/>
      <c r="CE337" s="40"/>
      <c r="CF337" s="40"/>
      <c r="CG337" s="40"/>
      <c r="CH337" s="40"/>
      <c r="CI337" s="40"/>
      <c r="CJ337" s="40"/>
      <c r="CK337" s="40"/>
      <c r="CL337" s="40"/>
      <c r="CM337" s="40"/>
      <c r="CN337" s="40"/>
      <c r="CO337" s="40"/>
      <c r="CP337" s="40"/>
      <c r="CQ337" s="40"/>
      <c r="CR337" s="40"/>
      <c r="CS337" s="40"/>
      <c r="CT337" s="40"/>
      <c r="CU337" s="40"/>
      <c r="CV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  <c r="BW338" s="40"/>
      <c r="BX338" s="40"/>
      <c r="BY338" s="40"/>
      <c r="BZ338" s="40"/>
      <c r="CA338" s="40"/>
      <c r="CB338" s="40"/>
      <c r="CC338" s="40"/>
      <c r="CD338" s="40"/>
      <c r="CE338" s="40"/>
      <c r="CF338" s="40"/>
      <c r="CG338" s="40"/>
      <c r="CH338" s="40"/>
      <c r="CI338" s="40"/>
      <c r="CJ338" s="40"/>
      <c r="CK338" s="40"/>
      <c r="CL338" s="40"/>
      <c r="CM338" s="40"/>
      <c r="CN338" s="40"/>
      <c r="CO338" s="40"/>
      <c r="CP338" s="40"/>
      <c r="CQ338" s="40"/>
      <c r="CR338" s="40"/>
      <c r="CS338" s="40"/>
      <c r="CT338" s="40"/>
      <c r="CU338" s="40"/>
      <c r="CV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  <c r="BW339" s="40"/>
      <c r="BX339" s="40"/>
      <c r="BY339" s="40"/>
      <c r="BZ339" s="40"/>
      <c r="CA339" s="40"/>
      <c r="CB339" s="40"/>
      <c r="CC339" s="40"/>
      <c r="CD339" s="40"/>
      <c r="CE339" s="40"/>
      <c r="CF339" s="40"/>
      <c r="CG339" s="40"/>
      <c r="CH339" s="40"/>
      <c r="CI339" s="40"/>
      <c r="CJ339" s="40"/>
      <c r="CK339" s="40"/>
      <c r="CL339" s="40"/>
      <c r="CM339" s="40"/>
      <c r="CN339" s="40"/>
      <c r="CO339" s="40"/>
      <c r="CP339" s="40"/>
      <c r="CQ339" s="40"/>
      <c r="CR339" s="40"/>
      <c r="CS339" s="40"/>
      <c r="CT339" s="40"/>
      <c r="CU339" s="40"/>
      <c r="CV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  <c r="BW340" s="40"/>
      <c r="BX340" s="40"/>
      <c r="BY340" s="40"/>
      <c r="BZ340" s="40"/>
      <c r="CA340" s="40"/>
      <c r="CB340" s="40"/>
      <c r="CC340" s="40"/>
      <c r="CD340" s="40"/>
      <c r="CE340" s="40"/>
      <c r="CF340" s="40"/>
      <c r="CG340" s="40"/>
      <c r="CH340" s="40"/>
      <c r="CI340" s="40"/>
      <c r="CJ340" s="40"/>
      <c r="CK340" s="40"/>
      <c r="CL340" s="40"/>
      <c r="CM340" s="40"/>
      <c r="CN340" s="40"/>
      <c r="CO340" s="40"/>
      <c r="CP340" s="40"/>
      <c r="CQ340" s="40"/>
      <c r="CR340" s="40"/>
      <c r="CS340" s="40"/>
      <c r="CT340" s="40"/>
      <c r="CU340" s="40"/>
      <c r="CV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  <c r="BW341" s="40"/>
      <c r="BX341" s="40"/>
      <c r="BY341" s="40"/>
      <c r="BZ341" s="40"/>
      <c r="CA341" s="40"/>
      <c r="CB341" s="40"/>
      <c r="CC341" s="40"/>
      <c r="CD341" s="40"/>
      <c r="CE341" s="40"/>
      <c r="CF341" s="40"/>
      <c r="CG341" s="40"/>
      <c r="CH341" s="40"/>
      <c r="CI341" s="40"/>
      <c r="CJ341" s="40"/>
      <c r="CK341" s="40"/>
      <c r="CL341" s="40"/>
      <c r="CM341" s="40"/>
      <c r="CN341" s="40"/>
      <c r="CO341" s="40"/>
      <c r="CP341" s="40"/>
      <c r="CQ341" s="40"/>
      <c r="CR341" s="40"/>
      <c r="CS341" s="40"/>
      <c r="CT341" s="40"/>
      <c r="CU341" s="40"/>
      <c r="CV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  <c r="BW342" s="40"/>
      <c r="BX342" s="40"/>
      <c r="BY342" s="40"/>
      <c r="BZ342" s="40"/>
      <c r="CA342" s="40"/>
      <c r="CB342" s="40"/>
      <c r="CC342" s="40"/>
      <c r="CD342" s="40"/>
      <c r="CE342" s="40"/>
      <c r="CF342" s="40"/>
      <c r="CG342" s="40"/>
      <c r="CH342" s="40"/>
      <c r="CI342" s="40"/>
      <c r="CJ342" s="40"/>
      <c r="CK342" s="40"/>
      <c r="CL342" s="40"/>
      <c r="CM342" s="40"/>
      <c r="CN342" s="40"/>
      <c r="CO342" s="40"/>
      <c r="CP342" s="40"/>
      <c r="CQ342" s="40"/>
      <c r="CR342" s="40"/>
      <c r="CS342" s="40"/>
      <c r="CT342" s="40"/>
      <c r="CU342" s="40"/>
      <c r="CV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  <c r="BW343" s="40"/>
      <c r="BX343" s="40"/>
      <c r="BY343" s="40"/>
      <c r="BZ343" s="40"/>
      <c r="CA343" s="40"/>
      <c r="CB343" s="40"/>
      <c r="CC343" s="40"/>
      <c r="CD343" s="40"/>
      <c r="CE343" s="40"/>
      <c r="CF343" s="40"/>
      <c r="CG343" s="40"/>
      <c r="CH343" s="40"/>
      <c r="CI343" s="40"/>
      <c r="CJ343" s="40"/>
      <c r="CK343" s="40"/>
      <c r="CL343" s="40"/>
      <c r="CM343" s="40"/>
      <c r="CN343" s="40"/>
      <c r="CO343" s="40"/>
      <c r="CP343" s="40"/>
      <c r="CQ343" s="40"/>
      <c r="CR343" s="40"/>
      <c r="CS343" s="40"/>
      <c r="CT343" s="40"/>
      <c r="CU343" s="40"/>
      <c r="CV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  <c r="BW344" s="40"/>
      <c r="BX344" s="40"/>
      <c r="BY344" s="40"/>
      <c r="BZ344" s="40"/>
      <c r="CA344" s="40"/>
      <c r="CB344" s="40"/>
      <c r="CC344" s="40"/>
      <c r="CD344" s="40"/>
      <c r="CE344" s="40"/>
      <c r="CF344" s="40"/>
      <c r="CG344" s="40"/>
      <c r="CH344" s="40"/>
      <c r="CI344" s="40"/>
      <c r="CJ344" s="40"/>
      <c r="CK344" s="40"/>
      <c r="CL344" s="40"/>
      <c r="CM344" s="40"/>
      <c r="CN344" s="40"/>
      <c r="CO344" s="40"/>
      <c r="CP344" s="40"/>
      <c r="CQ344" s="40"/>
      <c r="CR344" s="40"/>
      <c r="CS344" s="40"/>
      <c r="CT344" s="40"/>
      <c r="CU344" s="40"/>
      <c r="CV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  <c r="BW345" s="40"/>
      <c r="BX345" s="40"/>
      <c r="BY345" s="40"/>
      <c r="BZ345" s="40"/>
      <c r="CA345" s="40"/>
      <c r="CB345" s="40"/>
      <c r="CC345" s="40"/>
      <c r="CD345" s="40"/>
      <c r="CE345" s="40"/>
      <c r="CF345" s="40"/>
      <c r="CG345" s="40"/>
      <c r="CH345" s="40"/>
      <c r="CI345" s="40"/>
      <c r="CJ345" s="40"/>
      <c r="CK345" s="40"/>
      <c r="CL345" s="40"/>
      <c r="CM345" s="40"/>
      <c r="CN345" s="40"/>
      <c r="CO345" s="40"/>
      <c r="CP345" s="40"/>
      <c r="CQ345" s="40"/>
      <c r="CR345" s="40"/>
      <c r="CS345" s="40"/>
      <c r="CT345" s="40"/>
      <c r="CU345" s="40"/>
      <c r="CV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  <c r="BW346" s="40"/>
      <c r="BX346" s="40"/>
      <c r="BY346" s="40"/>
      <c r="BZ346" s="40"/>
      <c r="CA346" s="40"/>
      <c r="CB346" s="40"/>
      <c r="CC346" s="40"/>
      <c r="CD346" s="40"/>
      <c r="CE346" s="40"/>
      <c r="CF346" s="40"/>
      <c r="CG346" s="40"/>
      <c r="CH346" s="40"/>
      <c r="CI346" s="40"/>
      <c r="CJ346" s="40"/>
      <c r="CK346" s="40"/>
      <c r="CL346" s="40"/>
      <c r="CM346" s="40"/>
      <c r="CN346" s="40"/>
      <c r="CO346" s="40"/>
      <c r="CP346" s="40"/>
      <c r="CQ346" s="40"/>
      <c r="CR346" s="40"/>
      <c r="CS346" s="40"/>
      <c r="CT346" s="40"/>
      <c r="CU346" s="40"/>
      <c r="CV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  <c r="BW347" s="40"/>
      <c r="BX347" s="40"/>
      <c r="BY347" s="40"/>
      <c r="BZ347" s="40"/>
      <c r="CA347" s="40"/>
      <c r="CB347" s="40"/>
      <c r="CC347" s="40"/>
      <c r="CD347" s="40"/>
      <c r="CE347" s="40"/>
      <c r="CF347" s="40"/>
      <c r="CG347" s="40"/>
      <c r="CH347" s="40"/>
      <c r="CI347" s="40"/>
      <c r="CJ347" s="40"/>
      <c r="CK347" s="40"/>
      <c r="CL347" s="40"/>
      <c r="CM347" s="40"/>
      <c r="CN347" s="40"/>
      <c r="CO347" s="40"/>
      <c r="CP347" s="40"/>
      <c r="CQ347" s="40"/>
      <c r="CR347" s="40"/>
      <c r="CS347" s="40"/>
      <c r="CT347" s="40"/>
      <c r="CU347" s="40"/>
      <c r="CV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  <c r="BW348" s="40"/>
      <c r="BX348" s="40"/>
      <c r="BY348" s="40"/>
      <c r="BZ348" s="40"/>
      <c r="CA348" s="40"/>
      <c r="CB348" s="40"/>
      <c r="CC348" s="40"/>
      <c r="CD348" s="40"/>
      <c r="CE348" s="40"/>
      <c r="CF348" s="40"/>
      <c r="CG348" s="40"/>
      <c r="CH348" s="40"/>
      <c r="CI348" s="40"/>
      <c r="CJ348" s="40"/>
      <c r="CK348" s="40"/>
      <c r="CL348" s="40"/>
      <c r="CM348" s="40"/>
      <c r="CN348" s="40"/>
      <c r="CO348" s="40"/>
      <c r="CP348" s="40"/>
      <c r="CQ348" s="40"/>
      <c r="CR348" s="40"/>
      <c r="CS348" s="40"/>
      <c r="CT348" s="40"/>
      <c r="CU348" s="40"/>
      <c r="CV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  <c r="BW349" s="40"/>
      <c r="BX349" s="40"/>
      <c r="BY349" s="40"/>
      <c r="BZ349" s="40"/>
      <c r="CA349" s="40"/>
      <c r="CB349" s="40"/>
      <c r="CC349" s="40"/>
      <c r="CD349" s="40"/>
      <c r="CE349" s="40"/>
      <c r="CF349" s="40"/>
      <c r="CG349" s="40"/>
      <c r="CH349" s="40"/>
      <c r="CI349" s="40"/>
      <c r="CJ349" s="40"/>
      <c r="CK349" s="40"/>
      <c r="CL349" s="40"/>
      <c r="CM349" s="40"/>
      <c r="CN349" s="40"/>
      <c r="CO349" s="40"/>
      <c r="CP349" s="40"/>
      <c r="CQ349" s="40"/>
      <c r="CR349" s="40"/>
      <c r="CS349" s="40"/>
      <c r="CT349" s="40"/>
      <c r="CU349" s="40"/>
      <c r="CV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  <c r="BW350" s="40"/>
      <c r="BX350" s="40"/>
      <c r="BY350" s="40"/>
      <c r="BZ350" s="40"/>
      <c r="CA350" s="40"/>
      <c r="CB350" s="40"/>
      <c r="CC350" s="40"/>
      <c r="CD350" s="40"/>
      <c r="CE350" s="40"/>
      <c r="CF350" s="40"/>
      <c r="CG350" s="40"/>
      <c r="CH350" s="40"/>
      <c r="CI350" s="40"/>
      <c r="CJ350" s="40"/>
      <c r="CK350" s="40"/>
      <c r="CL350" s="40"/>
      <c r="CM350" s="40"/>
      <c r="CN350" s="40"/>
      <c r="CO350" s="40"/>
      <c r="CP350" s="40"/>
      <c r="CQ350" s="40"/>
      <c r="CR350" s="40"/>
      <c r="CS350" s="40"/>
      <c r="CT350" s="40"/>
      <c r="CU350" s="40"/>
      <c r="CV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  <c r="BW351" s="40"/>
      <c r="BX351" s="40"/>
      <c r="BY351" s="40"/>
      <c r="BZ351" s="40"/>
      <c r="CA351" s="40"/>
      <c r="CB351" s="40"/>
      <c r="CC351" s="40"/>
      <c r="CD351" s="40"/>
      <c r="CE351" s="40"/>
      <c r="CF351" s="40"/>
      <c r="CG351" s="40"/>
      <c r="CH351" s="40"/>
      <c r="CI351" s="40"/>
      <c r="CJ351" s="40"/>
      <c r="CK351" s="40"/>
      <c r="CL351" s="40"/>
      <c r="CM351" s="40"/>
      <c r="CN351" s="40"/>
      <c r="CO351" s="40"/>
      <c r="CP351" s="40"/>
      <c r="CQ351" s="40"/>
      <c r="CR351" s="40"/>
      <c r="CS351" s="40"/>
      <c r="CT351" s="40"/>
      <c r="CU351" s="40"/>
      <c r="CV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  <c r="BW352" s="40"/>
      <c r="BX352" s="40"/>
      <c r="BY352" s="40"/>
      <c r="BZ352" s="40"/>
      <c r="CA352" s="40"/>
      <c r="CB352" s="40"/>
      <c r="CC352" s="40"/>
      <c r="CD352" s="40"/>
      <c r="CE352" s="40"/>
      <c r="CF352" s="40"/>
      <c r="CG352" s="40"/>
      <c r="CH352" s="40"/>
      <c r="CI352" s="40"/>
      <c r="CJ352" s="40"/>
      <c r="CK352" s="40"/>
      <c r="CL352" s="40"/>
      <c r="CM352" s="40"/>
      <c r="CN352" s="40"/>
      <c r="CO352" s="40"/>
      <c r="CP352" s="40"/>
      <c r="CQ352" s="40"/>
      <c r="CR352" s="40"/>
      <c r="CS352" s="40"/>
      <c r="CT352" s="40"/>
      <c r="CU352" s="40"/>
      <c r="CV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  <c r="BW353" s="40"/>
      <c r="BX353" s="40"/>
      <c r="BY353" s="40"/>
      <c r="BZ353" s="40"/>
      <c r="CA353" s="40"/>
      <c r="CB353" s="40"/>
      <c r="CC353" s="40"/>
      <c r="CD353" s="40"/>
      <c r="CE353" s="40"/>
      <c r="CF353" s="40"/>
      <c r="CG353" s="40"/>
      <c r="CH353" s="40"/>
      <c r="CI353" s="40"/>
      <c r="CJ353" s="40"/>
      <c r="CK353" s="40"/>
      <c r="CL353" s="40"/>
      <c r="CM353" s="40"/>
      <c r="CN353" s="40"/>
      <c r="CO353" s="40"/>
      <c r="CP353" s="40"/>
      <c r="CQ353" s="40"/>
      <c r="CR353" s="40"/>
      <c r="CS353" s="40"/>
      <c r="CT353" s="40"/>
      <c r="CU353" s="40"/>
      <c r="CV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  <c r="BW354" s="40"/>
      <c r="BX354" s="40"/>
      <c r="BY354" s="40"/>
      <c r="BZ354" s="40"/>
      <c r="CA354" s="40"/>
      <c r="CB354" s="40"/>
      <c r="CC354" s="40"/>
      <c r="CD354" s="40"/>
      <c r="CE354" s="40"/>
      <c r="CF354" s="40"/>
      <c r="CG354" s="40"/>
      <c r="CH354" s="40"/>
      <c r="CI354" s="40"/>
      <c r="CJ354" s="40"/>
      <c r="CK354" s="40"/>
      <c r="CL354" s="40"/>
      <c r="CM354" s="40"/>
      <c r="CN354" s="40"/>
      <c r="CO354" s="40"/>
      <c r="CP354" s="40"/>
      <c r="CQ354" s="40"/>
      <c r="CR354" s="40"/>
      <c r="CS354" s="40"/>
      <c r="CT354" s="40"/>
      <c r="CU354" s="40"/>
      <c r="CV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  <c r="BW355" s="40"/>
      <c r="BX355" s="40"/>
      <c r="BY355" s="40"/>
      <c r="BZ355" s="40"/>
      <c r="CA355" s="40"/>
      <c r="CB355" s="40"/>
      <c r="CC355" s="40"/>
      <c r="CD355" s="40"/>
      <c r="CE355" s="40"/>
      <c r="CF355" s="40"/>
      <c r="CG355" s="40"/>
      <c r="CH355" s="40"/>
      <c r="CI355" s="40"/>
      <c r="CJ355" s="40"/>
      <c r="CK355" s="40"/>
      <c r="CL355" s="40"/>
      <c r="CM355" s="40"/>
      <c r="CN355" s="40"/>
      <c r="CO355" s="40"/>
      <c r="CP355" s="40"/>
      <c r="CQ355" s="40"/>
      <c r="CR355" s="40"/>
      <c r="CS355" s="40"/>
      <c r="CT355" s="40"/>
      <c r="CU355" s="40"/>
      <c r="CV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  <c r="BW356" s="40"/>
      <c r="BX356" s="40"/>
      <c r="BY356" s="40"/>
      <c r="BZ356" s="40"/>
      <c r="CA356" s="40"/>
      <c r="CB356" s="40"/>
      <c r="CC356" s="40"/>
      <c r="CD356" s="40"/>
      <c r="CE356" s="40"/>
      <c r="CF356" s="40"/>
      <c r="CG356" s="40"/>
      <c r="CH356" s="40"/>
      <c r="CI356" s="40"/>
      <c r="CJ356" s="40"/>
      <c r="CK356" s="40"/>
      <c r="CL356" s="40"/>
      <c r="CM356" s="40"/>
      <c r="CN356" s="40"/>
      <c r="CO356" s="40"/>
      <c r="CP356" s="40"/>
      <c r="CQ356" s="40"/>
      <c r="CR356" s="40"/>
      <c r="CS356" s="40"/>
      <c r="CT356" s="40"/>
      <c r="CU356" s="40"/>
      <c r="CV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  <c r="BW357" s="40"/>
      <c r="BX357" s="40"/>
      <c r="BY357" s="40"/>
      <c r="BZ357" s="40"/>
      <c r="CA357" s="40"/>
      <c r="CB357" s="40"/>
      <c r="CC357" s="40"/>
      <c r="CD357" s="40"/>
      <c r="CE357" s="40"/>
      <c r="CF357" s="40"/>
      <c r="CG357" s="40"/>
      <c r="CH357" s="40"/>
      <c r="CI357" s="40"/>
      <c r="CJ357" s="40"/>
      <c r="CK357" s="40"/>
      <c r="CL357" s="40"/>
      <c r="CM357" s="40"/>
      <c r="CN357" s="40"/>
      <c r="CO357" s="40"/>
      <c r="CP357" s="40"/>
      <c r="CQ357" s="40"/>
      <c r="CR357" s="40"/>
      <c r="CS357" s="40"/>
      <c r="CT357" s="40"/>
      <c r="CU357" s="40"/>
      <c r="CV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  <c r="BW358" s="40"/>
      <c r="BX358" s="40"/>
      <c r="BY358" s="40"/>
      <c r="BZ358" s="40"/>
      <c r="CA358" s="40"/>
      <c r="CB358" s="40"/>
      <c r="CC358" s="40"/>
      <c r="CD358" s="40"/>
      <c r="CE358" s="40"/>
      <c r="CF358" s="40"/>
      <c r="CG358" s="40"/>
      <c r="CH358" s="40"/>
      <c r="CI358" s="40"/>
      <c r="CJ358" s="40"/>
      <c r="CK358" s="40"/>
      <c r="CL358" s="40"/>
      <c r="CM358" s="40"/>
      <c r="CN358" s="40"/>
      <c r="CO358" s="40"/>
      <c r="CP358" s="40"/>
      <c r="CQ358" s="40"/>
      <c r="CR358" s="40"/>
      <c r="CS358" s="40"/>
      <c r="CT358" s="40"/>
      <c r="CU358" s="40"/>
      <c r="CV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  <c r="BW359" s="40"/>
      <c r="BX359" s="40"/>
      <c r="BY359" s="40"/>
      <c r="BZ359" s="40"/>
      <c r="CA359" s="40"/>
      <c r="CB359" s="40"/>
      <c r="CC359" s="40"/>
      <c r="CD359" s="40"/>
      <c r="CE359" s="40"/>
      <c r="CF359" s="40"/>
      <c r="CG359" s="40"/>
      <c r="CH359" s="40"/>
      <c r="CI359" s="40"/>
      <c r="CJ359" s="40"/>
      <c r="CK359" s="40"/>
      <c r="CL359" s="40"/>
      <c r="CM359" s="40"/>
      <c r="CN359" s="40"/>
      <c r="CO359" s="40"/>
      <c r="CP359" s="40"/>
      <c r="CQ359" s="40"/>
      <c r="CR359" s="40"/>
      <c r="CS359" s="40"/>
      <c r="CT359" s="40"/>
      <c r="CU359" s="40"/>
      <c r="CV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  <c r="BW360" s="40"/>
      <c r="BX360" s="40"/>
      <c r="BY360" s="40"/>
      <c r="BZ360" s="40"/>
      <c r="CA360" s="40"/>
      <c r="CB360" s="40"/>
      <c r="CC360" s="40"/>
      <c r="CD360" s="40"/>
      <c r="CE360" s="40"/>
      <c r="CF360" s="40"/>
      <c r="CG360" s="40"/>
      <c r="CH360" s="40"/>
      <c r="CI360" s="40"/>
      <c r="CJ360" s="40"/>
      <c r="CK360" s="40"/>
      <c r="CL360" s="40"/>
      <c r="CM360" s="40"/>
      <c r="CN360" s="40"/>
      <c r="CO360" s="40"/>
      <c r="CP360" s="40"/>
      <c r="CQ360" s="40"/>
      <c r="CR360" s="40"/>
      <c r="CS360" s="40"/>
      <c r="CT360" s="40"/>
      <c r="CU360" s="40"/>
      <c r="CV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  <c r="BW361" s="40"/>
      <c r="BX361" s="40"/>
      <c r="BY361" s="40"/>
      <c r="BZ361" s="40"/>
      <c r="CA361" s="40"/>
      <c r="CB361" s="40"/>
      <c r="CC361" s="40"/>
      <c r="CD361" s="40"/>
      <c r="CE361" s="40"/>
      <c r="CF361" s="40"/>
      <c r="CG361" s="40"/>
      <c r="CH361" s="40"/>
      <c r="CI361" s="40"/>
      <c r="CJ361" s="40"/>
      <c r="CK361" s="40"/>
      <c r="CL361" s="40"/>
      <c r="CM361" s="40"/>
      <c r="CN361" s="40"/>
      <c r="CO361" s="40"/>
      <c r="CP361" s="40"/>
      <c r="CQ361" s="40"/>
      <c r="CR361" s="40"/>
      <c r="CS361" s="40"/>
      <c r="CT361" s="40"/>
      <c r="CU361" s="40"/>
      <c r="CV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  <c r="BW362" s="40"/>
      <c r="BX362" s="40"/>
      <c r="BY362" s="40"/>
      <c r="BZ362" s="40"/>
      <c r="CA362" s="40"/>
      <c r="CB362" s="40"/>
      <c r="CC362" s="40"/>
      <c r="CD362" s="40"/>
      <c r="CE362" s="40"/>
      <c r="CF362" s="40"/>
      <c r="CG362" s="40"/>
      <c r="CH362" s="40"/>
      <c r="CI362" s="40"/>
      <c r="CJ362" s="40"/>
      <c r="CK362" s="40"/>
      <c r="CL362" s="40"/>
      <c r="CM362" s="40"/>
      <c r="CN362" s="40"/>
      <c r="CO362" s="40"/>
      <c r="CP362" s="40"/>
      <c r="CQ362" s="40"/>
      <c r="CR362" s="40"/>
      <c r="CS362" s="40"/>
      <c r="CT362" s="40"/>
      <c r="CU362" s="40"/>
      <c r="CV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  <c r="BW363" s="40"/>
      <c r="BX363" s="40"/>
      <c r="BY363" s="40"/>
      <c r="BZ363" s="40"/>
      <c r="CA363" s="40"/>
      <c r="CB363" s="40"/>
      <c r="CC363" s="40"/>
      <c r="CD363" s="40"/>
      <c r="CE363" s="40"/>
      <c r="CF363" s="40"/>
      <c r="CG363" s="40"/>
      <c r="CH363" s="40"/>
      <c r="CI363" s="40"/>
      <c r="CJ363" s="40"/>
      <c r="CK363" s="40"/>
      <c r="CL363" s="40"/>
      <c r="CM363" s="40"/>
      <c r="CN363" s="40"/>
      <c r="CO363" s="40"/>
      <c r="CP363" s="40"/>
      <c r="CQ363" s="40"/>
      <c r="CR363" s="40"/>
      <c r="CS363" s="40"/>
      <c r="CT363" s="40"/>
      <c r="CU363" s="40"/>
      <c r="CV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  <c r="BW364" s="40"/>
      <c r="BX364" s="40"/>
      <c r="BY364" s="40"/>
      <c r="BZ364" s="40"/>
      <c r="CA364" s="40"/>
      <c r="CB364" s="40"/>
      <c r="CC364" s="40"/>
      <c r="CD364" s="40"/>
      <c r="CE364" s="40"/>
      <c r="CF364" s="40"/>
      <c r="CG364" s="40"/>
      <c r="CH364" s="40"/>
      <c r="CI364" s="40"/>
      <c r="CJ364" s="40"/>
      <c r="CK364" s="40"/>
      <c r="CL364" s="40"/>
      <c r="CM364" s="40"/>
      <c r="CN364" s="40"/>
      <c r="CO364" s="40"/>
      <c r="CP364" s="40"/>
      <c r="CQ364" s="40"/>
      <c r="CR364" s="40"/>
      <c r="CS364" s="40"/>
      <c r="CT364" s="40"/>
      <c r="CU364" s="40"/>
      <c r="CV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  <c r="BW365" s="40"/>
      <c r="BX365" s="40"/>
      <c r="BY365" s="40"/>
      <c r="BZ365" s="40"/>
      <c r="CA365" s="40"/>
      <c r="CB365" s="40"/>
      <c r="CC365" s="40"/>
      <c r="CD365" s="40"/>
      <c r="CE365" s="40"/>
      <c r="CF365" s="40"/>
      <c r="CG365" s="40"/>
      <c r="CH365" s="40"/>
      <c r="CI365" s="40"/>
      <c r="CJ365" s="40"/>
      <c r="CK365" s="40"/>
      <c r="CL365" s="40"/>
      <c r="CM365" s="40"/>
      <c r="CN365" s="40"/>
      <c r="CO365" s="40"/>
      <c r="CP365" s="40"/>
      <c r="CQ365" s="40"/>
      <c r="CR365" s="40"/>
      <c r="CS365" s="40"/>
      <c r="CT365" s="40"/>
      <c r="CU365" s="40"/>
      <c r="CV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  <c r="BW366" s="40"/>
      <c r="BX366" s="40"/>
      <c r="BY366" s="40"/>
      <c r="BZ366" s="40"/>
      <c r="CA366" s="40"/>
      <c r="CB366" s="40"/>
      <c r="CC366" s="40"/>
      <c r="CD366" s="40"/>
      <c r="CE366" s="40"/>
      <c r="CF366" s="40"/>
      <c r="CG366" s="40"/>
      <c r="CH366" s="40"/>
      <c r="CI366" s="40"/>
      <c r="CJ366" s="40"/>
      <c r="CK366" s="40"/>
      <c r="CL366" s="40"/>
      <c r="CM366" s="40"/>
      <c r="CN366" s="40"/>
      <c r="CO366" s="40"/>
      <c r="CP366" s="40"/>
      <c r="CQ366" s="40"/>
      <c r="CR366" s="40"/>
      <c r="CS366" s="40"/>
      <c r="CT366" s="40"/>
      <c r="CU366" s="40"/>
      <c r="CV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  <c r="BW367" s="40"/>
      <c r="BX367" s="40"/>
      <c r="BY367" s="40"/>
      <c r="BZ367" s="40"/>
      <c r="CA367" s="40"/>
      <c r="CB367" s="40"/>
      <c r="CC367" s="40"/>
      <c r="CD367" s="40"/>
      <c r="CE367" s="40"/>
      <c r="CF367" s="40"/>
      <c r="CG367" s="40"/>
      <c r="CH367" s="40"/>
      <c r="CI367" s="40"/>
      <c r="CJ367" s="40"/>
      <c r="CK367" s="40"/>
      <c r="CL367" s="40"/>
      <c r="CM367" s="40"/>
      <c r="CN367" s="40"/>
      <c r="CO367" s="40"/>
      <c r="CP367" s="40"/>
      <c r="CQ367" s="40"/>
      <c r="CR367" s="40"/>
      <c r="CS367" s="40"/>
      <c r="CT367" s="40"/>
      <c r="CU367" s="40"/>
      <c r="CV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  <c r="BW368" s="40"/>
      <c r="BX368" s="40"/>
      <c r="BY368" s="40"/>
      <c r="BZ368" s="40"/>
      <c r="CA368" s="40"/>
      <c r="CB368" s="40"/>
      <c r="CC368" s="40"/>
      <c r="CD368" s="40"/>
      <c r="CE368" s="40"/>
      <c r="CF368" s="40"/>
      <c r="CG368" s="40"/>
      <c r="CH368" s="40"/>
      <c r="CI368" s="40"/>
      <c r="CJ368" s="40"/>
      <c r="CK368" s="40"/>
      <c r="CL368" s="40"/>
      <c r="CM368" s="40"/>
      <c r="CN368" s="40"/>
      <c r="CO368" s="40"/>
      <c r="CP368" s="40"/>
      <c r="CQ368" s="40"/>
      <c r="CR368" s="40"/>
      <c r="CS368" s="40"/>
      <c r="CT368" s="40"/>
      <c r="CU368" s="40"/>
      <c r="CV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  <c r="BW369" s="40"/>
      <c r="BX369" s="40"/>
      <c r="BY369" s="40"/>
      <c r="BZ369" s="40"/>
      <c r="CA369" s="40"/>
      <c r="CB369" s="40"/>
      <c r="CC369" s="40"/>
      <c r="CD369" s="40"/>
      <c r="CE369" s="40"/>
      <c r="CF369" s="40"/>
      <c r="CG369" s="40"/>
      <c r="CH369" s="40"/>
      <c r="CI369" s="40"/>
      <c r="CJ369" s="40"/>
      <c r="CK369" s="40"/>
      <c r="CL369" s="40"/>
      <c r="CM369" s="40"/>
      <c r="CN369" s="40"/>
      <c r="CO369" s="40"/>
      <c r="CP369" s="40"/>
      <c r="CQ369" s="40"/>
      <c r="CR369" s="40"/>
      <c r="CS369" s="40"/>
      <c r="CT369" s="40"/>
      <c r="CU369" s="40"/>
      <c r="CV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  <c r="BW370" s="40"/>
      <c r="BX370" s="40"/>
      <c r="BY370" s="40"/>
      <c r="BZ370" s="40"/>
      <c r="CA370" s="40"/>
      <c r="CB370" s="40"/>
      <c r="CC370" s="40"/>
      <c r="CD370" s="40"/>
      <c r="CE370" s="40"/>
      <c r="CF370" s="40"/>
      <c r="CG370" s="40"/>
      <c r="CH370" s="40"/>
      <c r="CI370" s="40"/>
      <c r="CJ370" s="40"/>
      <c r="CK370" s="40"/>
      <c r="CL370" s="40"/>
      <c r="CM370" s="40"/>
      <c r="CN370" s="40"/>
      <c r="CO370" s="40"/>
      <c r="CP370" s="40"/>
      <c r="CQ370" s="40"/>
      <c r="CR370" s="40"/>
      <c r="CS370" s="40"/>
      <c r="CT370" s="40"/>
      <c r="CU370" s="40"/>
      <c r="CV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  <c r="BW371" s="40"/>
      <c r="BX371" s="40"/>
      <c r="BY371" s="40"/>
      <c r="BZ371" s="40"/>
      <c r="CA371" s="40"/>
      <c r="CB371" s="40"/>
      <c r="CC371" s="40"/>
      <c r="CD371" s="40"/>
      <c r="CE371" s="40"/>
      <c r="CF371" s="40"/>
      <c r="CG371" s="40"/>
      <c r="CH371" s="40"/>
      <c r="CI371" s="40"/>
      <c r="CJ371" s="40"/>
      <c r="CK371" s="40"/>
      <c r="CL371" s="40"/>
      <c r="CM371" s="40"/>
      <c r="CN371" s="40"/>
      <c r="CO371" s="40"/>
      <c r="CP371" s="40"/>
      <c r="CQ371" s="40"/>
      <c r="CR371" s="40"/>
      <c r="CS371" s="40"/>
      <c r="CT371" s="40"/>
      <c r="CU371" s="40"/>
      <c r="CV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  <c r="BW372" s="40"/>
      <c r="BX372" s="40"/>
      <c r="BY372" s="40"/>
      <c r="BZ372" s="40"/>
      <c r="CA372" s="40"/>
      <c r="CB372" s="40"/>
      <c r="CC372" s="40"/>
      <c r="CD372" s="40"/>
      <c r="CE372" s="40"/>
      <c r="CF372" s="40"/>
      <c r="CG372" s="40"/>
      <c r="CH372" s="40"/>
      <c r="CI372" s="40"/>
      <c r="CJ372" s="40"/>
      <c r="CK372" s="40"/>
      <c r="CL372" s="40"/>
      <c r="CM372" s="40"/>
      <c r="CN372" s="40"/>
      <c r="CO372" s="40"/>
      <c r="CP372" s="40"/>
      <c r="CQ372" s="40"/>
      <c r="CR372" s="40"/>
      <c r="CS372" s="40"/>
      <c r="CT372" s="40"/>
      <c r="CU372" s="40"/>
      <c r="CV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  <c r="BW373" s="40"/>
      <c r="BX373" s="40"/>
      <c r="BY373" s="40"/>
      <c r="BZ373" s="40"/>
      <c r="CA373" s="40"/>
      <c r="CB373" s="40"/>
      <c r="CC373" s="40"/>
      <c r="CD373" s="40"/>
      <c r="CE373" s="40"/>
      <c r="CF373" s="40"/>
      <c r="CG373" s="40"/>
      <c r="CH373" s="40"/>
      <c r="CI373" s="40"/>
      <c r="CJ373" s="40"/>
      <c r="CK373" s="40"/>
      <c r="CL373" s="40"/>
      <c r="CM373" s="40"/>
      <c r="CN373" s="40"/>
      <c r="CO373" s="40"/>
      <c r="CP373" s="40"/>
      <c r="CQ373" s="40"/>
      <c r="CR373" s="40"/>
      <c r="CS373" s="40"/>
      <c r="CT373" s="40"/>
      <c r="CU373" s="40"/>
      <c r="CV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  <c r="BW374" s="40"/>
      <c r="BX374" s="40"/>
      <c r="BY374" s="40"/>
      <c r="BZ374" s="40"/>
      <c r="CA374" s="40"/>
      <c r="CB374" s="40"/>
      <c r="CC374" s="40"/>
      <c r="CD374" s="40"/>
      <c r="CE374" s="40"/>
      <c r="CF374" s="40"/>
      <c r="CG374" s="40"/>
      <c r="CH374" s="40"/>
      <c r="CI374" s="40"/>
      <c r="CJ374" s="40"/>
      <c r="CK374" s="40"/>
      <c r="CL374" s="40"/>
      <c r="CM374" s="40"/>
      <c r="CN374" s="40"/>
      <c r="CO374" s="40"/>
      <c r="CP374" s="40"/>
      <c r="CQ374" s="40"/>
      <c r="CR374" s="40"/>
      <c r="CS374" s="40"/>
      <c r="CT374" s="40"/>
      <c r="CU374" s="40"/>
      <c r="CV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  <c r="BW375" s="40"/>
      <c r="BX375" s="40"/>
      <c r="BY375" s="40"/>
      <c r="BZ375" s="40"/>
      <c r="CA375" s="40"/>
      <c r="CB375" s="40"/>
      <c r="CC375" s="40"/>
      <c r="CD375" s="40"/>
      <c r="CE375" s="40"/>
      <c r="CF375" s="40"/>
      <c r="CG375" s="40"/>
      <c r="CH375" s="40"/>
      <c r="CI375" s="40"/>
      <c r="CJ375" s="40"/>
      <c r="CK375" s="40"/>
      <c r="CL375" s="40"/>
      <c r="CM375" s="40"/>
      <c r="CN375" s="40"/>
      <c r="CO375" s="40"/>
      <c r="CP375" s="40"/>
      <c r="CQ375" s="40"/>
      <c r="CR375" s="40"/>
      <c r="CS375" s="40"/>
      <c r="CT375" s="40"/>
      <c r="CU375" s="40"/>
      <c r="CV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  <c r="BW376" s="40"/>
      <c r="BX376" s="40"/>
      <c r="BY376" s="40"/>
      <c r="BZ376" s="40"/>
      <c r="CA376" s="40"/>
      <c r="CB376" s="40"/>
      <c r="CC376" s="40"/>
      <c r="CD376" s="40"/>
      <c r="CE376" s="40"/>
      <c r="CF376" s="40"/>
      <c r="CG376" s="40"/>
      <c r="CH376" s="40"/>
      <c r="CI376" s="40"/>
      <c r="CJ376" s="40"/>
      <c r="CK376" s="40"/>
      <c r="CL376" s="40"/>
      <c r="CM376" s="40"/>
      <c r="CN376" s="40"/>
      <c r="CO376" s="40"/>
      <c r="CP376" s="40"/>
      <c r="CQ376" s="40"/>
      <c r="CR376" s="40"/>
      <c r="CS376" s="40"/>
      <c r="CT376" s="40"/>
      <c r="CU376" s="40"/>
      <c r="CV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  <c r="BW377" s="40"/>
      <c r="BX377" s="40"/>
      <c r="BY377" s="40"/>
      <c r="BZ377" s="40"/>
      <c r="CA377" s="40"/>
      <c r="CB377" s="40"/>
      <c r="CC377" s="40"/>
      <c r="CD377" s="40"/>
      <c r="CE377" s="40"/>
      <c r="CF377" s="40"/>
      <c r="CG377" s="40"/>
      <c r="CH377" s="40"/>
      <c r="CI377" s="40"/>
      <c r="CJ377" s="40"/>
      <c r="CK377" s="40"/>
      <c r="CL377" s="40"/>
      <c r="CM377" s="40"/>
      <c r="CN377" s="40"/>
      <c r="CO377" s="40"/>
      <c r="CP377" s="40"/>
      <c r="CQ377" s="40"/>
      <c r="CR377" s="40"/>
      <c r="CS377" s="40"/>
      <c r="CT377" s="40"/>
      <c r="CU377" s="40"/>
      <c r="CV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  <c r="BW378" s="40"/>
      <c r="BX378" s="40"/>
      <c r="BY378" s="40"/>
      <c r="BZ378" s="40"/>
      <c r="CA378" s="40"/>
      <c r="CB378" s="40"/>
      <c r="CC378" s="40"/>
      <c r="CD378" s="40"/>
      <c r="CE378" s="40"/>
      <c r="CF378" s="40"/>
      <c r="CG378" s="40"/>
      <c r="CH378" s="40"/>
      <c r="CI378" s="40"/>
      <c r="CJ378" s="40"/>
      <c r="CK378" s="40"/>
      <c r="CL378" s="40"/>
      <c r="CM378" s="40"/>
      <c r="CN378" s="40"/>
      <c r="CO378" s="40"/>
      <c r="CP378" s="40"/>
      <c r="CQ378" s="40"/>
      <c r="CR378" s="40"/>
      <c r="CS378" s="40"/>
      <c r="CT378" s="40"/>
      <c r="CU378" s="40"/>
      <c r="CV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  <c r="BW379" s="40"/>
      <c r="BX379" s="40"/>
      <c r="BY379" s="40"/>
      <c r="BZ379" s="40"/>
      <c r="CA379" s="40"/>
      <c r="CB379" s="40"/>
      <c r="CC379" s="40"/>
      <c r="CD379" s="40"/>
      <c r="CE379" s="40"/>
      <c r="CF379" s="40"/>
      <c r="CG379" s="40"/>
      <c r="CH379" s="40"/>
      <c r="CI379" s="40"/>
      <c r="CJ379" s="40"/>
      <c r="CK379" s="40"/>
      <c r="CL379" s="40"/>
      <c r="CM379" s="40"/>
      <c r="CN379" s="40"/>
      <c r="CO379" s="40"/>
      <c r="CP379" s="40"/>
      <c r="CQ379" s="40"/>
      <c r="CR379" s="40"/>
      <c r="CS379" s="40"/>
      <c r="CT379" s="40"/>
      <c r="CU379" s="40"/>
      <c r="CV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  <c r="BW380" s="40"/>
      <c r="BX380" s="40"/>
      <c r="BY380" s="40"/>
      <c r="BZ380" s="40"/>
      <c r="CA380" s="40"/>
      <c r="CB380" s="40"/>
      <c r="CC380" s="40"/>
      <c r="CD380" s="40"/>
      <c r="CE380" s="40"/>
      <c r="CF380" s="40"/>
      <c r="CG380" s="40"/>
      <c r="CH380" s="40"/>
      <c r="CI380" s="40"/>
      <c r="CJ380" s="40"/>
      <c r="CK380" s="40"/>
      <c r="CL380" s="40"/>
      <c r="CM380" s="40"/>
      <c r="CN380" s="40"/>
      <c r="CO380" s="40"/>
      <c r="CP380" s="40"/>
      <c r="CQ380" s="40"/>
      <c r="CR380" s="40"/>
      <c r="CS380" s="40"/>
      <c r="CT380" s="40"/>
      <c r="CU380" s="40"/>
      <c r="CV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  <c r="BW381" s="40"/>
      <c r="BX381" s="40"/>
      <c r="BY381" s="40"/>
      <c r="BZ381" s="40"/>
      <c r="CA381" s="40"/>
      <c r="CB381" s="40"/>
      <c r="CC381" s="40"/>
      <c r="CD381" s="40"/>
      <c r="CE381" s="40"/>
      <c r="CF381" s="40"/>
      <c r="CG381" s="40"/>
      <c r="CH381" s="40"/>
      <c r="CI381" s="40"/>
      <c r="CJ381" s="40"/>
      <c r="CK381" s="40"/>
      <c r="CL381" s="40"/>
      <c r="CM381" s="40"/>
      <c r="CN381" s="40"/>
      <c r="CO381" s="40"/>
      <c r="CP381" s="40"/>
      <c r="CQ381" s="40"/>
      <c r="CR381" s="40"/>
      <c r="CS381" s="40"/>
      <c r="CT381" s="40"/>
      <c r="CU381" s="40"/>
      <c r="CV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  <c r="BW382" s="40"/>
      <c r="BX382" s="40"/>
      <c r="BY382" s="40"/>
      <c r="BZ382" s="40"/>
      <c r="CA382" s="40"/>
      <c r="CB382" s="40"/>
      <c r="CC382" s="40"/>
      <c r="CD382" s="40"/>
      <c r="CE382" s="40"/>
      <c r="CF382" s="40"/>
      <c r="CG382" s="40"/>
      <c r="CH382" s="40"/>
      <c r="CI382" s="40"/>
      <c r="CJ382" s="40"/>
      <c r="CK382" s="40"/>
      <c r="CL382" s="40"/>
      <c r="CM382" s="40"/>
      <c r="CN382" s="40"/>
      <c r="CO382" s="40"/>
      <c r="CP382" s="40"/>
      <c r="CQ382" s="40"/>
      <c r="CR382" s="40"/>
      <c r="CS382" s="40"/>
      <c r="CT382" s="40"/>
      <c r="CU382" s="40"/>
      <c r="CV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  <c r="BW383" s="40"/>
      <c r="BX383" s="40"/>
      <c r="BY383" s="40"/>
      <c r="BZ383" s="40"/>
      <c r="CA383" s="40"/>
      <c r="CB383" s="40"/>
      <c r="CC383" s="40"/>
      <c r="CD383" s="40"/>
      <c r="CE383" s="40"/>
      <c r="CF383" s="40"/>
      <c r="CG383" s="40"/>
      <c r="CH383" s="40"/>
      <c r="CI383" s="40"/>
      <c r="CJ383" s="40"/>
      <c r="CK383" s="40"/>
      <c r="CL383" s="40"/>
      <c r="CM383" s="40"/>
      <c r="CN383" s="40"/>
      <c r="CO383" s="40"/>
      <c r="CP383" s="40"/>
      <c r="CQ383" s="40"/>
      <c r="CR383" s="40"/>
      <c r="CS383" s="40"/>
      <c r="CT383" s="40"/>
      <c r="CU383" s="40"/>
      <c r="CV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  <c r="BW384" s="40"/>
      <c r="BX384" s="40"/>
      <c r="BY384" s="40"/>
      <c r="BZ384" s="40"/>
      <c r="CA384" s="40"/>
      <c r="CB384" s="40"/>
      <c r="CC384" s="40"/>
      <c r="CD384" s="40"/>
      <c r="CE384" s="40"/>
      <c r="CF384" s="40"/>
      <c r="CG384" s="40"/>
      <c r="CH384" s="40"/>
      <c r="CI384" s="40"/>
      <c r="CJ384" s="40"/>
      <c r="CK384" s="40"/>
      <c r="CL384" s="40"/>
      <c r="CM384" s="40"/>
      <c r="CN384" s="40"/>
      <c r="CO384" s="40"/>
      <c r="CP384" s="40"/>
      <c r="CQ384" s="40"/>
      <c r="CR384" s="40"/>
      <c r="CS384" s="40"/>
      <c r="CT384" s="40"/>
      <c r="CU384" s="40"/>
      <c r="CV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  <c r="BW385" s="40"/>
      <c r="BX385" s="40"/>
      <c r="BY385" s="40"/>
      <c r="BZ385" s="40"/>
      <c r="CA385" s="40"/>
      <c r="CB385" s="40"/>
      <c r="CC385" s="40"/>
      <c r="CD385" s="40"/>
      <c r="CE385" s="40"/>
      <c r="CF385" s="40"/>
      <c r="CG385" s="40"/>
      <c r="CH385" s="40"/>
      <c r="CI385" s="40"/>
      <c r="CJ385" s="40"/>
      <c r="CK385" s="40"/>
      <c r="CL385" s="40"/>
      <c r="CM385" s="40"/>
      <c r="CN385" s="40"/>
      <c r="CO385" s="40"/>
      <c r="CP385" s="40"/>
      <c r="CQ385" s="40"/>
      <c r="CR385" s="40"/>
      <c r="CS385" s="40"/>
      <c r="CT385" s="40"/>
      <c r="CU385" s="40"/>
      <c r="CV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  <c r="BW386" s="40"/>
      <c r="BX386" s="40"/>
      <c r="BY386" s="40"/>
      <c r="BZ386" s="40"/>
      <c r="CA386" s="40"/>
      <c r="CB386" s="40"/>
      <c r="CC386" s="40"/>
      <c r="CD386" s="40"/>
      <c r="CE386" s="40"/>
      <c r="CF386" s="40"/>
      <c r="CG386" s="40"/>
      <c r="CH386" s="40"/>
      <c r="CI386" s="40"/>
      <c r="CJ386" s="40"/>
      <c r="CK386" s="40"/>
      <c r="CL386" s="40"/>
      <c r="CM386" s="40"/>
      <c r="CN386" s="40"/>
      <c r="CO386" s="40"/>
      <c r="CP386" s="40"/>
      <c r="CQ386" s="40"/>
      <c r="CR386" s="40"/>
      <c r="CS386" s="40"/>
      <c r="CT386" s="40"/>
      <c r="CU386" s="40"/>
      <c r="CV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  <c r="BW387" s="40"/>
      <c r="BX387" s="40"/>
      <c r="BY387" s="40"/>
      <c r="BZ387" s="40"/>
      <c r="CA387" s="40"/>
      <c r="CB387" s="40"/>
      <c r="CC387" s="40"/>
      <c r="CD387" s="40"/>
      <c r="CE387" s="40"/>
      <c r="CF387" s="40"/>
      <c r="CG387" s="40"/>
      <c r="CH387" s="40"/>
      <c r="CI387" s="40"/>
      <c r="CJ387" s="40"/>
      <c r="CK387" s="40"/>
      <c r="CL387" s="40"/>
      <c r="CM387" s="40"/>
      <c r="CN387" s="40"/>
      <c r="CO387" s="40"/>
      <c r="CP387" s="40"/>
      <c r="CQ387" s="40"/>
      <c r="CR387" s="40"/>
      <c r="CS387" s="40"/>
      <c r="CT387" s="40"/>
      <c r="CU387" s="40"/>
      <c r="CV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  <c r="BW388" s="40"/>
      <c r="BX388" s="40"/>
      <c r="BY388" s="40"/>
      <c r="BZ388" s="40"/>
      <c r="CA388" s="40"/>
      <c r="CB388" s="40"/>
      <c r="CC388" s="40"/>
      <c r="CD388" s="40"/>
      <c r="CE388" s="40"/>
      <c r="CF388" s="40"/>
      <c r="CG388" s="40"/>
      <c r="CH388" s="40"/>
      <c r="CI388" s="40"/>
      <c r="CJ388" s="40"/>
      <c r="CK388" s="40"/>
      <c r="CL388" s="40"/>
      <c r="CM388" s="40"/>
      <c r="CN388" s="40"/>
      <c r="CO388" s="40"/>
      <c r="CP388" s="40"/>
      <c r="CQ388" s="40"/>
      <c r="CR388" s="40"/>
      <c r="CS388" s="40"/>
      <c r="CT388" s="40"/>
      <c r="CU388" s="40"/>
      <c r="CV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  <c r="BW389" s="40"/>
      <c r="BX389" s="40"/>
      <c r="BY389" s="40"/>
      <c r="BZ389" s="40"/>
      <c r="CA389" s="40"/>
      <c r="CB389" s="40"/>
      <c r="CC389" s="40"/>
      <c r="CD389" s="40"/>
      <c r="CE389" s="40"/>
      <c r="CF389" s="40"/>
      <c r="CG389" s="40"/>
      <c r="CH389" s="40"/>
      <c r="CI389" s="40"/>
      <c r="CJ389" s="40"/>
      <c r="CK389" s="40"/>
      <c r="CL389" s="40"/>
      <c r="CM389" s="40"/>
      <c r="CN389" s="40"/>
      <c r="CO389" s="40"/>
      <c r="CP389" s="40"/>
      <c r="CQ389" s="40"/>
      <c r="CR389" s="40"/>
      <c r="CS389" s="40"/>
      <c r="CT389" s="40"/>
      <c r="CU389" s="40"/>
      <c r="CV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  <c r="BW390" s="40"/>
      <c r="BX390" s="40"/>
      <c r="BY390" s="40"/>
      <c r="BZ390" s="40"/>
      <c r="CA390" s="40"/>
      <c r="CB390" s="40"/>
      <c r="CC390" s="40"/>
      <c r="CD390" s="40"/>
      <c r="CE390" s="40"/>
      <c r="CF390" s="40"/>
      <c r="CG390" s="40"/>
      <c r="CH390" s="40"/>
      <c r="CI390" s="40"/>
      <c r="CJ390" s="40"/>
      <c r="CK390" s="40"/>
      <c r="CL390" s="40"/>
      <c r="CM390" s="40"/>
      <c r="CN390" s="40"/>
      <c r="CO390" s="40"/>
      <c r="CP390" s="40"/>
      <c r="CQ390" s="40"/>
      <c r="CR390" s="40"/>
      <c r="CS390" s="40"/>
      <c r="CT390" s="40"/>
      <c r="CU390" s="40"/>
      <c r="CV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  <c r="BW391" s="40"/>
      <c r="BX391" s="40"/>
      <c r="BY391" s="40"/>
      <c r="BZ391" s="40"/>
      <c r="CA391" s="40"/>
      <c r="CB391" s="40"/>
      <c r="CC391" s="40"/>
      <c r="CD391" s="40"/>
      <c r="CE391" s="40"/>
      <c r="CF391" s="40"/>
      <c r="CG391" s="40"/>
      <c r="CH391" s="40"/>
      <c r="CI391" s="40"/>
      <c r="CJ391" s="40"/>
      <c r="CK391" s="40"/>
      <c r="CL391" s="40"/>
      <c r="CM391" s="40"/>
      <c r="CN391" s="40"/>
      <c r="CO391" s="40"/>
      <c r="CP391" s="40"/>
      <c r="CQ391" s="40"/>
      <c r="CR391" s="40"/>
      <c r="CS391" s="40"/>
      <c r="CT391" s="40"/>
      <c r="CU391" s="40"/>
      <c r="CV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  <c r="BW392" s="40"/>
      <c r="BX392" s="40"/>
      <c r="BY392" s="40"/>
      <c r="BZ392" s="40"/>
      <c r="CA392" s="40"/>
      <c r="CB392" s="40"/>
      <c r="CC392" s="40"/>
      <c r="CD392" s="40"/>
      <c r="CE392" s="40"/>
      <c r="CF392" s="40"/>
      <c r="CG392" s="40"/>
      <c r="CH392" s="40"/>
      <c r="CI392" s="40"/>
      <c r="CJ392" s="40"/>
      <c r="CK392" s="40"/>
      <c r="CL392" s="40"/>
      <c r="CM392" s="40"/>
      <c r="CN392" s="40"/>
      <c r="CO392" s="40"/>
      <c r="CP392" s="40"/>
      <c r="CQ392" s="40"/>
      <c r="CR392" s="40"/>
      <c r="CS392" s="40"/>
      <c r="CT392" s="40"/>
      <c r="CU392" s="40"/>
      <c r="CV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  <c r="BW393" s="40"/>
      <c r="BX393" s="40"/>
      <c r="BY393" s="40"/>
      <c r="BZ393" s="40"/>
      <c r="CA393" s="40"/>
      <c r="CB393" s="40"/>
      <c r="CC393" s="40"/>
      <c r="CD393" s="40"/>
      <c r="CE393" s="40"/>
      <c r="CF393" s="40"/>
      <c r="CG393" s="40"/>
      <c r="CH393" s="40"/>
      <c r="CI393" s="40"/>
      <c r="CJ393" s="40"/>
      <c r="CK393" s="40"/>
      <c r="CL393" s="40"/>
      <c r="CM393" s="40"/>
      <c r="CN393" s="40"/>
      <c r="CO393" s="40"/>
      <c r="CP393" s="40"/>
      <c r="CQ393" s="40"/>
      <c r="CR393" s="40"/>
      <c r="CS393" s="40"/>
      <c r="CT393" s="40"/>
      <c r="CU393" s="40"/>
      <c r="CV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  <c r="BW394" s="40"/>
      <c r="BX394" s="40"/>
      <c r="BY394" s="40"/>
      <c r="BZ394" s="40"/>
      <c r="CA394" s="40"/>
      <c r="CB394" s="40"/>
      <c r="CC394" s="40"/>
      <c r="CD394" s="40"/>
      <c r="CE394" s="40"/>
      <c r="CF394" s="40"/>
      <c r="CG394" s="40"/>
      <c r="CH394" s="40"/>
      <c r="CI394" s="40"/>
      <c r="CJ394" s="40"/>
      <c r="CK394" s="40"/>
      <c r="CL394" s="40"/>
      <c r="CM394" s="40"/>
      <c r="CN394" s="40"/>
      <c r="CO394" s="40"/>
      <c r="CP394" s="40"/>
      <c r="CQ394" s="40"/>
      <c r="CR394" s="40"/>
      <c r="CS394" s="40"/>
      <c r="CT394" s="40"/>
      <c r="CU394" s="40"/>
      <c r="CV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  <c r="BW395" s="40"/>
      <c r="BX395" s="40"/>
      <c r="BY395" s="40"/>
      <c r="BZ395" s="40"/>
      <c r="CA395" s="40"/>
      <c r="CB395" s="40"/>
      <c r="CC395" s="40"/>
      <c r="CD395" s="40"/>
      <c r="CE395" s="40"/>
      <c r="CF395" s="40"/>
      <c r="CG395" s="40"/>
      <c r="CH395" s="40"/>
      <c r="CI395" s="40"/>
      <c r="CJ395" s="40"/>
      <c r="CK395" s="40"/>
      <c r="CL395" s="40"/>
      <c r="CM395" s="40"/>
      <c r="CN395" s="40"/>
      <c r="CO395" s="40"/>
      <c r="CP395" s="40"/>
      <c r="CQ395" s="40"/>
      <c r="CR395" s="40"/>
      <c r="CS395" s="40"/>
      <c r="CT395" s="40"/>
      <c r="CU395" s="40"/>
      <c r="CV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  <c r="BW396" s="40"/>
      <c r="BX396" s="40"/>
      <c r="BY396" s="40"/>
      <c r="BZ396" s="40"/>
      <c r="CA396" s="40"/>
      <c r="CB396" s="40"/>
      <c r="CC396" s="40"/>
      <c r="CD396" s="40"/>
      <c r="CE396" s="40"/>
      <c r="CF396" s="40"/>
      <c r="CG396" s="40"/>
      <c r="CH396" s="40"/>
      <c r="CI396" s="40"/>
      <c r="CJ396" s="40"/>
      <c r="CK396" s="40"/>
      <c r="CL396" s="40"/>
      <c r="CM396" s="40"/>
      <c r="CN396" s="40"/>
      <c r="CO396" s="40"/>
      <c r="CP396" s="40"/>
      <c r="CQ396" s="40"/>
      <c r="CR396" s="40"/>
      <c r="CS396" s="40"/>
      <c r="CT396" s="40"/>
      <c r="CU396" s="40"/>
      <c r="CV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  <c r="BW397" s="40"/>
      <c r="BX397" s="40"/>
      <c r="BY397" s="40"/>
      <c r="BZ397" s="40"/>
      <c r="CA397" s="40"/>
      <c r="CB397" s="40"/>
      <c r="CC397" s="40"/>
      <c r="CD397" s="40"/>
      <c r="CE397" s="40"/>
      <c r="CF397" s="40"/>
      <c r="CG397" s="40"/>
      <c r="CH397" s="40"/>
      <c r="CI397" s="40"/>
      <c r="CJ397" s="40"/>
      <c r="CK397" s="40"/>
      <c r="CL397" s="40"/>
      <c r="CM397" s="40"/>
      <c r="CN397" s="40"/>
      <c r="CO397" s="40"/>
      <c r="CP397" s="40"/>
      <c r="CQ397" s="40"/>
      <c r="CR397" s="40"/>
      <c r="CS397" s="40"/>
      <c r="CT397" s="40"/>
      <c r="CU397" s="40"/>
      <c r="CV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  <c r="BW398" s="40"/>
      <c r="BX398" s="40"/>
      <c r="BY398" s="40"/>
      <c r="BZ398" s="40"/>
      <c r="CA398" s="40"/>
      <c r="CB398" s="40"/>
      <c r="CC398" s="40"/>
      <c r="CD398" s="40"/>
      <c r="CE398" s="40"/>
      <c r="CF398" s="40"/>
      <c r="CG398" s="40"/>
      <c r="CH398" s="40"/>
      <c r="CI398" s="40"/>
      <c r="CJ398" s="40"/>
      <c r="CK398" s="40"/>
      <c r="CL398" s="40"/>
      <c r="CM398" s="40"/>
      <c r="CN398" s="40"/>
      <c r="CO398" s="40"/>
      <c r="CP398" s="40"/>
      <c r="CQ398" s="40"/>
      <c r="CR398" s="40"/>
      <c r="CS398" s="40"/>
      <c r="CT398" s="40"/>
      <c r="CU398" s="40"/>
      <c r="CV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  <c r="BW399" s="40"/>
      <c r="BX399" s="40"/>
      <c r="BY399" s="40"/>
      <c r="BZ399" s="40"/>
      <c r="CA399" s="40"/>
      <c r="CB399" s="40"/>
      <c r="CC399" s="40"/>
      <c r="CD399" s="40"/>
      <c r="CE399" s="40"/>
      <c r="CF399" s="40"/>
      <c r="CG399" s="40"/>
      <c r="CH399" s="40"/>
      <c r="CI399" s="40"/>
      <c r="CJ399" s="40"/>
      <c r="CK399" s="40"/>
      <c r="CL399" s="40"/>
      <c r="CM399" s="40"/>
      <c r="CN399" s="40"/>
      <c r="CO399" s="40"/>
      <c r="CP399" s="40"/>
      <c r="CQ399" s="40"/>
      <c r="CR399" s="40"/>
      <c r="CS399" s="40"/>
      <c r="CT399" s="40"/>
      <c r="CU399" s="40"/>
      <c r="CV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  <c r="BW400" s="40"/>
      <c r="BX400" s="40"/>
      <c r="BY400" s="40"/>
      <c r="BZ400" s="40"/>
      <c r="CA400" s="40"/>
      <c r="CB400" s="40"/>
      <c r="CC400" s="40"/>
      <c r="CD400" s="40"/>
      <c r="CE400" s="40"/>
      <c r="CF400" s="40"/>
      <c r="CG400" s="40"/>
      <c r="CH400" s="40"/>
      <c r="CI400" s="40"/>
      <c r="CJ400" s="40"/>
      <c r="CK400" s="40"/>
      <c r="CL400" s="40"/>
      <c r="CM400" s="40"/>
      <c r="CN400" s="40"/>
      <c r="CO400" s="40"/>
      <c r="CP400" s="40"/>
      <c r="CQ400" s="40"/>
      <c r="CR400" s="40"/>
      <c r="CS400" s="40"/>
      <c r="CT400" s="40"/>
      <c r="CU400" s="40"/>
      <c r="CV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  <c r="BW401" s="40"/>
      <c r="BX401" s="40"/>
      <c r="BY401" s="40"/>
      <c r="BZ401" s="40"/>
      <c r="CA401" s="40"/>
      <c r="CB401" s="40"/>
      <c r="CC401" s="40"/>
      <c r="CD401" s="40"/>
      <c r="CE401" s="40"/>
      <c r="CF401" s="40"/>
      <c r="CG401" s="40"/>
      <c r="CH401" s="40"/>
      <c r="CI401" s="40"/>
      <c r="CJ401" s="40"/>
      <c r="CK401" s="40"/>
      <c r="CL401" s="40"/>
      <c r="CM401" s="40"/>
      <c r="CN401" s="40"/>
      <c r="CO401" s="40"/>
      <c r="CP401" s="40"/>
      <c r="CQ401" s="40"/>
      <c r="CR401" s="40"/>
      <c r="CS401" s="40"/>
      <c r="CT401" s="40"/>
      <c r="CU401" s="40"/>
      <c r="CV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  <c r="BW402" s="40"/>
      <c r="BX402" s="40"/>
      <c r="BY402" s="40"/>
      <c r="BZ402" s="40"/>
      <c r="CA402" s="40"/>
      <c r="CB402" s="40"/>
      <c r="CC402" s="40"/>
      <c r="CD402" s="40"/>
      <c r="CE402" s="40"/>
      <c r="CF402" s="40"/>
      <c r="CG402" s="40"/>
      <c r="CH402" s="40"/>
      <c r="CI402" s="40"/>
      <c r="CJ402" s="40"/>
      <c r="CK402" s="40"/>
      <c r="CL402" s="40"/>
      <c r="CM402" s="40"/>
      <c r="CN402" s="40"/>
      <c r="CO402" s="40"/>
      <c r="CP402" s="40"/>
      <c r="CQ402" s="40"/>
      <c r="CR402" s="40"/>
      <c r="CS402" s="40"/>
      <c r="CT402" s="40"/>
      <c r="CU402" s="40"/>
      <c r="CV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  <c r="BW403" s="40"/>
      <c r="BX403" s="40"/>
      <c r="BY403" s="40"/>
      <c r="BZ403" s="40"/>
      <c r="CA403" s="40"/>
      <c r="CB403" s="40"/>
      <c r="CC403" s="40"/>
      <c r="CD403" s="40"/>
      <c r="CE403" s="40"/>
      <c r="CF403" s="40"/>
      <c r="CG403" s="40"/>
      <c r="CH403" s="40"/>
      <c r="CI403" s="40"/>
      <c r="CJ403" s="40"/>
      <c r="CK403" s="40"/>
      <c r="CL403" s="40"/>
      <c r="CM403" s="40"/>
      <c r="CN403" s="40"/>
      <c r="CO403" s="40"/>
      <c r="CP403" s="40"/>
      <c r="CQ403" s="40"/>
      <c r="CR403" s="40"/>
      <c r="CS403" s="40"/>
      <c r="CT403" s="40"/>
      <c r="CU403" s="40"/>
      <c r="CV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  <c r="BW404" s="40"/>
      <c r="BX404" s="40"/>
      <c r="BY404" s="40"/>
      <c r="BZ404" s="40"/>
      <c r="CA404" s="40"/>
      <c r="CB404" s="40"/>
      <c r="CC404" s="40"/>
      <c r="CD404" s="40"/>
      <c r="CE404" s="40"/>
      <c r="CF404" s="40"/>
      <c r="CG404" s="40"/>
      <c r="CH404" s="40"/>
      <c r="CI404" s="40"/>
      <c r="CJ404" s="40"/>
      <c r="CK404" s="40"/>
      <c r="CL404" s="40"/>
      <c r="CM404" s="40"/>
      <c r="CN404" s="40"/>
      <c r="CO404" s="40"/>
      <c r="CP404" s="40"/>
      <c r="CQ404" s="40"/>
      <c r="CR404" s="40"/>
      <c r="CS404" s="40"/>
      <c r="CT404" s="40"/>
      <c r="CU404" s="40"/>
      <c r="CV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  <c r="BW405" s="40"/>
      <c r="BX405" s="40"/>
      <c r="BY405" s="40"/>
      <c r="BZ405" s="40"/>
      <c r="CA405" s="40"/>
      <c r="CB405" s="40"/>
      <c r="CC405" s="40"/>
      <c r="CD405" s="40"/>
      <c r="CE405" s="40"/>
      <c r="CF405" s="40"/>
      <c r="CG405" s="40"/>
      <c r="CH405" s="40"/>
      <c r="CI405" s="40"/>
      <c r="CJ405" s="40"/>
      <c r="CK405" s="40"/>
      <c r="CL405" s="40"/>
      <c r="CM405" s="40"/>
      <c r="CN405" s="40"/>
      <c r="CO405" s="40"/>
      <c r="CP405" s="40"/>
      <c r="CQ405" s="40"/>
      <c r="CR405" s="40"/>
      <c r="CS405" s="40"/>
      <c r="CT405" s="40"/>
      <c r="CU405" s="40"/>
      <c r="CV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  <c r="BW406" s="40"/>
      <c r="BX406" s="40"/>
      <c r="BY406" s="40"/>
      <c r="BZ406" s="40"/>
      <c r="CA406" s="40"/>
      <c r="CB406" s="40"/>
      <c r="CC406" s="40"/>
      <c r="CD406" s="40"/>
      <c r="CE406" s="40"/>
      <c r="CF406" s="40"/>
      <c r="CG406" s="40"/>
      <c r="CH406" s="40"/>
      <c r="CI406" s="40"/>
      <c r="CJ406" s="40"/>
      <c r="CK406" s="40"/>
      <c r="CL406" s="40"/>
      <c r="CM406" s="40"/>
      <c r="CN406" s="40"/>
      <c r="CO406" s="40"/>
      <c r="CP406" s="40"/>
      <c r="CQ406" s="40"/>
      <c r="CR406" s="40"/>
      <c r="CS406" s="40"/>
      <c r="CT406" s="40"/>
      <c r="CU406" s="40"/>
      <c r="CV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  <c r="BW407" s="40"/>
      <c r="BX407" s="40"/>
      <c r="BY407" s="40"/>
      <c r="BZ407" s="40"/>
      <c r="CA407" s="40"/>
      <c r="CB407" s="40"/>
      <c r="CC407" s="40"/>
      <c r="CD407" s="40"/>
      <c r="CE407" s="40"/>
      <c r="CF407" s="40"/>
      <c r="CG407" s="40"/>
      <c r="CH407" s="40"/>
      <c r="CI407" s="40"/>
      <c r="CJ407" s="40"/>
      <c r="CK407" s="40"/>
      <c r="CL407" s="40"/>
      <c r="CM407" s="40"/>
      <c r="CN407" s="40"/>
      <c r="CO407" s="40"/>
      <c r="CP407" s="40"/>
      <c r="CQ407" s="40"/>
      <c r="CR407" s="40"/>
      <c r="CS407" s="40"/>
      <c r="CT407" s="40"/>
      <c r="CU407" s="40"/>
      <c r="CV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  <c r="BW408" s="40"/>
      <c r="BX408" s="40"/>
      <c r="BY408" s="40"/>
      <c r="BZ408" s="40"/>
      <c r="CA408" s="40"/>
      <c r="CB408" s="40"/>
      <c r="CC408" s="40"/>
      <c r="CD408" s="40"/>
      <c r="CE408" s="40"/>
      <c r="CF408" s="40"/>
      <c r="CG408" s="40"/>
      <c r="CH408" s="40"/>
      <c r="CI408" s="40"/>
      <c r="CJ408" s="40"/>
      <c r="CK408" s="40"/>
      <c r="CL408" s="40"/>
      <c r="CM408" s="40"/>
      <c r="CN408" s="40"/>
      <c r="CO408" s="40"/>
      <c r="CP408" s="40"/>
      <c r="CQ408" s="40"/>
      <c r="CR408" s="40"/>
      <c r="CS408" s="40"/>
      <c r="CT408" s="40"/>
      <c r="CU408" s="40"/>
      <c r="CV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  <c r="BW409" s="40"/>
      <c r="BX409" s="40"/>
      <c r="BY409" s="40"/>
      <c r="BZ409" s="40"/>
      <c r="CA409" s="40"/>
      <c r="CB409" s="40"/>
      <c r="CC409" s="40"/>
      <c r="CD409" s="40"/>
      <c r="CE409" s="40"/>
      <c r="CF409" s="40"/>
      <c r="CG409" s="40"/>
      <c r="CH409" s="40"/>
      <c r="CI409" s="40"/>
      <c r="CJ409" s="40"/>
      <c r="CK409" s="40"/>
      <c r="CL409" s="40"/>
      <c r="CM409" s="40"/>
      <c r="CN409" s="40"/>
      <c r="CO409" s="40"/>
      <c r="CP409" s="40"/>
      <c r="CQ409" s="40"/>
      <c r="CR409" s="40"/>
      <c r="CS409" s="40"/>
      <c r="CT409" s="40"/>
      <c r="CU409" s="40"/>
      <c r="CV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  <c r="BW410" s="40"/>
      <c r="BX410" s="40"/>
      <c r="BY410" s="40"/>
      <c r="BZ410" s="40"/>
      <c r="CA410" s="40"/>
      <c r="CB410" s="40"/>
      <c r="CC410" s="40"/>
      <c r="CD410" s="40"/>
      <c r="CE410" s="40"/>
      <c r="CF410" s="40"/>
      <c r="CG410" s="40"/>
      <c r="CH410" s="40"/>
      <c r="CI410" s="40"/>
      <c r="CJ410" s="40"/>
      <c r="CK410" s="40"/>
      <c r="CL410" s="40"/>
      <c r="CM410" s="40"/>
      <c r="CN410" s="40"/>
      <c r="CO410" s="40"/>
      <c r="CP410" s="40"/>
      <c r="CQ410" s="40"/>
      <c r="CR410" s="40"/>
      <c r="CS410" s="40"/>
      <c r="CT410" s="40"/>
      <c r="CU410" s="40"/>
      <c r="CV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  <c r="BW411" s="40"/>
      <c r="BX411" s="40"/>
      <c r="BY411" s="40"/>
      <c r="BZ411" s="40"/>
      <c r="CA411" s="40"/>
      <c r="CB411" s="40"/>
      <c r="CC411" s="40"/>
      <c r="CD411" s="40"/>
      <c r="CE411" s="40"/>
      <c r="CF411" s="40"/>
      <c r="CG411" s="40"/>
      <c r="CH411" s="40"/>
      <c r="CI411" s="40"/>
      <c r="CJ411" s="40"/>
      <c r="CK411" s="40"/>
      <c r="CL411" s="40"/>
      <c r="CM411" s="40"/>
      <c r="CN411" s="40"/>
      <c r="CO411" s="40"/>
      <c r="CP411" s="40"/>
      <c r="CQ411" s="40"/>
      <c r="CR411" s="40"/>
      <c r="CS411" s="40"/>
      <c r="CT411" s="40"/>
      <c r="CU411" s="40"/>
      <c r="CV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  <c r="BW412" s="40"/>
      <c r="BX412" s="40"/>
      <c r="BY412" s="40"/>
      <c r="BZ412" s="40"/>
      <c r="CA412" s="40"/>
      <c r="CB412" s="40"/>
      <c r="CC412" s="40"/>
      <c r="CD412" s="40"/>
      <c r="CE412" s="40"/>
      <c r="CF412" s="40"/>
      <c r="CG412" s="40"/>
      <c r="CH412" s="40"/>
      <c r="CI412" s="40"/>
      <c r="CJ412" s="40"/>
      <c r="CK412" s="40"/>
      <c r="CL412" s="40"/>
      <c r="CM412" s="40"/>
      <c r="CN412" s="40"/>
      <c r="CO412" s="40"/>
      <c r="CP412" s="40"/>
      <c r="CQ412" s="40"/>
      <c r="CR412" s="40"/>
      <c r="CS412" s="40"/>
      <c r="CT412" s="40"/>
      <c r="CU412" s="40"/>
      <c r="CV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  <c r="BW413" s="40"/>
      <c r="BX413" s="40"/>
      <c r="BY413" s="40"/>
      <c r="BZ413" s="40"/>
      <c r="CA413" s="40"/>
      <c r="CB413" s="40"/>
      <c r="CC413" s="40"/>
      <c r="CD413" s="40"/>
      <c r="CE413" s="40"/>
      <c r="CF413" s="40"/>
      <c r="CG413" s="40"/>
      <c r="CH413" s="40"/>
      <c r="CI413" s="40"/>
      <c r="CJ413" s="40"/>
      <c r="CK413" s="40"/>
      <c r="CL413" s="40"/>
      <c r="CM413" s="40"/>
      <c r="CN413" s="40"/>
      <c r="CO413" s="40"/>
      <c r="CP413" s="40"/>
      <c r="CQ413" s="40"/>
      <c r="CR413" s="40"/>
      <c r="CS413" s="40"/>
      <c r="CT413" s="40"/>
      <c r="CU413" s="40"/>
      <c r="CV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  <c r="BW414" s="40"/>
      <c r="BX414" s="40"/>
      <c r="BY414" s="40"/>
      <c r="BZ414" s="40"/>
      <c r="CA414" s="40"/>
      <c r="CB414" s="40"/>
      <c r="CC414" s="40"/>
      <c r="CD414" s="40"/>
      <c r="CE414" s="40"/>
      <c r="CF414" s="40"/>
      <c r="CG414" s="40"/>
      <c r="CH414" s="40"/>
      <c r="CI414" s="40"/>
      <c r="CJ414" s="40"/>
      <c r="CK414" s="40"/>
      <c r="CL414" s="40"/>
      <c r="CM414" s="40"/>
      <c r="CN414" s="40"/>
      <c r="CO414" s="40"/>
      <c r="CP414" s="40"/>
      <c r="CQ414" s="40"/>
      <c r="CR414" s="40"/>
      <c r="CS414" s="40"/>
      <c r="CT414" s="40"/>
      <c r="CU414" s="40"/>
      <c r="CV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  <c r="BW415" s="40"/>
      <c r="BX415" s="40"/>
      <c r="BY415" s="40"/>
      <c r="BZ415" s="40"/>
      <c r="CA415" s="40"/>
      <c r="CB415" s="40"/>
      <c r="CC415" s="40"/>
      <c r="CD415" s="40"/>
      <c r="CE415" s="40"/>
      <c r="CF415" s="40"/>
      <c r="CG415" s="40"/>
      <c r="CH415" s="40"/>
      <c r="CI415" s="40"/>
      <c r="CJ415" s="40"/>
      <c r="CK415" s="40"/>
      <c r="CL415" s="40"/>
      <c r="CM415" s="40"/>
      <c r="CN415" s="40"/>
      <c r="CO415" s="40"/>
      <c r="CP415" s="40"/>
      <c r="CQ415" s="40"/>
      <c r="CR415" s="40"/>
      <c r="CS415" s="40"/>
      <c r="CT415" s="40"/>
      <c r="CU415" s="40"/>
      <c r="CV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  <c r="BW416" s="40"/>
      <c r="BX416" s="40"/>
      <c r="BY416" s="40"/>
      <c r="BZ416" s="40"/>
      <c r="CA416" s="40"/>
      <c r="CB416" s="40"/>
      <c r="CC416" s="40"/>
      <c r="CD416" s="40"/>
      <c r="CE416" s="40"/>
      <c r="CF416" s="40"/>
      <c r="CG416" s="40"/>
      <c r="CH416" s="40"/>
      <c r="CI416" s="40"/>
      <c r="CJ416" s="40"/>
      <c r="CK416" s="40"/>
      <c r="CL416" s="40"/>
      <c r="CM416" s="40"/>
      <c r="CN416" s="40"/>
      <c r="CO416" s="40"/>
      <c r="CP416" s="40"/>
      <c r="CQ416" s="40"/>
      <c r="CR416" s="40"/>
      <c r="CS416" s="40"/>
      <c r="CT416" s="40"/>
      <c r="CU416" s="40"/>
      <c r="CV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  <c r="BW417" s="40"/>
      <c r="BX417" s="40"/>
      <c r="BY417" s="40"/>
      <c r="BZ417" s="40"/>
      <c r="CA417" s="40"/>
      <c r="CB417" s="40"/>
      <c r="CC417" s="40"/>
      <c r="CD417" s="40"/>
      <c r="CE417" s="40"/>
      <c r="CF417" s="40"/>
      <c r="CG417" s="40"/>
      <c r="CH417" s="40"/>
      <c r="CI417" s="40"/>
      <c r="CJ417" s="40"/>
      <c r="CK417" s="40"/>
      <c r="CL417" s="40"/>
      <c r="CM417" s="40"/>
      <c r="CN417" s="40"/>
      <c r="CO417" s="40"/>
      <c r="CP417" s="40"/>
      <c r="CQ417" s="40"/>
      <c r="CR417" s="40"/>
      <c r="CS417" s="40"/>
      <c r="CT417" s="40"/>
      <c r="CU417" s="40"/>
      <c r="CV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  <c r="BW418" s="40"/>
      <c r="BX418" s="40"/>
      <c r="BY418" s="40"/>
      <c r="BZ418" s="40"/>
      <c r="CA418" s="40"/>
      <c r="CB418" s="40"/>
      <c r="CC418" s="40"/>
      <c r="CD418" s="40"/>
      <c r="CE418" s="40"/>
      <c r="CF418" s="40"/>
      <c r="CG418" s="40"/>
      <c r="CH418" s="40"/>
      <c r="CI418" s="40"/>
      <c r="CJ418" s="40"/>
      <c r="CK418" s="40"/>
      <c r="CL418" s="40"/>
      <c r="CM418" s="40"/>
      <c r="CN418" s="40"/>
      <c r="CO418" s="40"/>
      <c r="CP418" s="40"/>
      <c r="CQ418" s="40"/>
      <c r="CR418" s="40"/>
      <c r="CS418" s="40"/>
      <c r="CT418" s="40"/>
      <c r="CU418" s="40"/>
      <c r="CV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  <c r="BW419" s="40"/>
      <c r="BX419" s="40"/>
      <c r="BY419" s="40"/>
      <c r="BZ419" s="40"/>
      <c r="CA419" s="40"/>
      <c r="CB419" s="40"/>
      <c r="CC419" s="40"/>
      <c r="CD419" s="40"/>
      <c r="CE419" s="40"/>
      <c r="CF419" s="40"/>
      <c r="CG419" s="40"/>
      <c r="CH419" s="40"/>
      <c r="CI419" s="40"/>
      <c r="CJ419" s="40"/>
      <c r="CK419" s="40"/>
      <c r="CL419" s="40"/>
      <c r="CM419" s="40"/>
      <c r="CN419" s="40"/>
      <c r="CO419" s="40"/>
      <c r="CP419" s="40"/>
      <c r="CQ419" s="40"/>
      <c r="CR419" s="40"/>
      <c r="CS419" s="40"/>
      <c r="CT419" s="40"/>
      <c r="CU419" s="40"/>
      <c r="CV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  <c r="BW420" s="40"/>
      <c r="BX420" s="40"/>
      <c r="BY420" s="40"/>
      <c r="BZ420" s="40"/>
      <c r="CA420" s="40"/>
      <c r="CB420" s="40"/>
      <c r="CC420" s="40"/>
      <c r="CD420" s="40"/>
      <c r="CE420" s="40"/>
      <c r="CF420" s="40"/>
      <c r="CG420" s="40"/>
      <c r="CH420" s="40"/>
      <c r="CI420" s="40"/>
      <c r="CJ420" s="40"/>
      <c r="CK420" s="40"/>
      <c r="CL420" s="40"/>
      <c r="CM420" s="40"/>
      <c r="CN420" s="40"/>
      <c r="CO420" s="40"/>
      <c r="CP420" s="40"/>
      <c r="CQ420" s="40"/>
      <c r="CR420" s="40"/>
      <c r="CS420" s="40"/>
      <c r="CT420" s="40"/>
      <c r="CU420" s="40"/>
      <c r="CV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  <c r="BW421" s="40"/>
      <c r="BX421" s="40"/>
      <c r="BY421" s="40"/>
      <c r="BZ421" s="40"/>
      <c r="CA421" s="40"/>
      <c r="CB421" s="40"/>
      <c r="CC421" s="40"/>
      <c r="CD421" s="40"/>
      <c r="CE421" s="40"/>
      <c r="CF421" s="40"/>
      <c r="CG421" s="40"/>
      <c r="CH421" s="40"/>
      <c r="CI421" s="40"/>
      <c r="CJ421" s="40"/>
      <c r="CK421" s="40"/>
      <c r="CL421" s="40"/>
      <c r="CM421" s="40"/>
      <c r="CN421" s="40"/>
      <c r="CO421" s="40"/>
      <c r="CP421" s="40"/>
      <c r="CQ421" s="40"/>
      <c r="CR421" s="40"/>
      <c r="CS421" s="40"/>
      <c r="CT421" s="40"/>
      <c r="CU421" s="40"/>
      <c r="CV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  <c r="BW422" s="40"/>
      <c r="BX422" s="40"/>
      <c r="BY422" s="40"/>
      <c r="BZ422" s="40"/>
      <c r="CA422" s="40"/>
      <c r="CB422" s="40"/>
      <c r="CC422" s="40"/>
      <c r="CD422" s="40"/>
      <c r="CE422" s="40"/>
      <c r="CF422" s="40"/>
      <c r="CG422" s="40"/>
      <c r="CH422" s="40"/>
      <c r="CI422" s="40"/>
      <c r="CJ422" s="40"/>
      <c r="CK422" s="40"/>
      <c r="CL422" s="40"/>
      <c r="CM422" s="40"/>
      <c r="CN422" s="40"/>
      <c r="CO422" s="40"/>
      <c r="CP422" s="40"/>
      <c r="CQ422" s="40"/>
      <c r="CR422" s="40"/>
      <c r="CS422" s="40"/>
      <c r="CT422" s="40"/>
      <c r="CU422" s="40"/>
      <c r="CV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  <c r="BW423" s="40"/>
      <c r="BX423" s="40"/>
      <c r="BY423" s="40"/>
      <c r="BZ423" s="40"/>
      <c r="CA423" s="40"/>
      <c r="CB423" s="40"/>
      <c r="CC423" s="40"/>
      <c r="CD423" s="40"/>
      <c r="CE423" s="40"/>
      <c r="CF423" s="40"/>
      <c r="CG423" s="40"/>
      <c r="CH423" s="40"/>
      <c r="CI423" s="40"/>
      <c r="CJ423" s="40"/>
      <c r="CK423" s="40"/>
      <c r="CL423" s="40"/>
      <c r="CM423" s="40"/>
      <c r="CN423" s="40"/>
      <c r="CO423" s="40"/>
      <c r="CP423" s="40"/>
      <c r="CQ423" s="40"/>
      <c r="CR423" s="40"/>
      <c r="CS423" s="40"/>
      <c r="CT423" s="40"/>
      <c r="CU423" s="40"/>
      <c r="CV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  <c r="BW424" s="40"/>
      <c r="BX424" s="40"/>
      <c r="BY424" s="40"/>
      <c r="BZ424" s="40"/>
      <c r="CA424" s="40"/>
      <c r="CB424" s="40"/>
      <c r="CC424" s="40"/>
      <c r="CD424" s="40"/>
      <c r="CE424" s="40"/>
      <c r="CF424" s="40"/>
      <c r="CG424" s="40"/>
      <c r="CH424" s="40"/>
      <c r="CI424" s="40"/>
      <c r="CJ424" s="40"/>
      <c r="CK424" s="40"/>
      <c r="CL424" s="40"/>
      <c r="CM424" s="40"/>
      <c r="CN424" s="40"/>
      <c r="CO424" s="40"/>
      <c r="CP424" s="40"/>
      <c r="CQ424" s="40"/>
      <c r="CR424" s="40"/>
      <c r="CS424" s="40"/>
      <c r="CT424" s="40"/>
      <c r="CU424" s="40"/>
      <c r="CV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  <c r="BW425" s="40"/>
      <c r="BX425" s="40"/>
      <c r="BY425" s="40"/>
      <c r="BZ425" s="40"/>
      <c r="CA425" s="40"/>
      <c r="CB425" s="40"/>
      <c r="CC425" s="40"/>
      <c r="CD425" s="40"/>
      <c r="CE425" s="40"/>
      <c r="CF425" s="40"/>
      <c r="CG425" s="40"/>
      <c r="CH425" s="40"/>
      <c r="CI425" s="40"/>
      <c r="CJ425" s="40"/>
      <c r="CK425" s="40"/>
      <c r="CL425" s="40"/>
      <c r="CM425" s="40"/>
      <c r="CN425" s="40"/>
      <c r="CO425" s="40"/>
      <c r="CP425" s="40"/>
      <c r="CQ425" s="40"/>
      <c r="CR425" s="40"/>
      <c r="CS425" s="40"/>
      <c r="CT425" s="40"/>
      <c r="CU425" s="40"/>
      <c r="CV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  <c r="BW426" s="40"/>
      <c r="BX426" s="40"/>
      <c r="BY426" s="40"/>
      <c r="BZ426" s="40"/>
      <c r="CA426" s="40"/>
      <c r="CB426" s="40"/>
      <c r="CC426" s="40"/>
      <c r="CD426" s="40"/>
      <c r="CE426" s="40"/>
      <c r="CF426" s="40"/>
      <c r="CG426" s="40"/>
      <c r="CH426" s="40"/>
      <c r="CI426" s="40"/>
      <c r="CJ426" s="40"/>
      <c r="CK426" s="40"/>
      <c r="CL426" s="40"/>
      <c r="CM426" s="40"/>
      <c r="CN426" s="40"/>
      <c r="CO426" s="40"/>
      <c r="CP426" s="40"/>
      <c r="CQ426" s="40"/>
      <c r="CR426" s="40"/>
      <c r="CS426" s="40"/>
      <c r="CT426" s="40"/>
      <c r="CU426" s="40"/>
      <c r="CV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  <c r="BU427" s="40"/>
      <c r="BV427" s="40"/>
      <c r="BW427" s="40"/>
      <c r="BX427" s="40"/>
      <c r="BY427" s="40"/>
      <c r="BZ427" s="40"/>
      <c r="CA427" s="40"/>
      <c r="CB427" s="40"/>
      <c r="CC427" s="40"/>
      <c r="CD427" s="40"/>
      <c r="CE427" s="40"/>
      <c r="CF427" s="40"/>
      <c r="CG427" s="40"/>
      <c r="CH427" s="40"/>
      <c r="CI427" s="40"/>
      <c r="CJ427" s="40"/>
      <c r="CK427" s="40"/>
      <c r="CL427" s="40"/>
      <c r="CM427" s="40"/>
      <c r="CN427" s="40"/>
      <c r="CO427" s="40"/>
      <c r="CP427" s="40"/>
      <c r="CQ427" s="40"/>
      <c r="CR427" s="40"/>
      <c r="CS427" s="40"/>
      <c r="CT427" s="40"/>
      <c r="CU427" s="40"/>
      <c r="CV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  <c r="BW428" s="40"/>
      <c r="BX428" s="40"/>
      <c r="BY428" s="40"/>
      <c r="BZ428" s="40"/>
      <c r="CA428" s="40"/>
      <c r="CB428" s="40"/>
      <c r="CC428" s="40"/>
      <c r="CD428" s="40"/>
      <c r="CE428" s="40"/>
      <c r="CF428" s="40"/>
      <c r="CG428" s="40"/>
      <c r="CH428" s="40"/>
      <c r="CI428" s="40"/>
      <c r="CJ428" s="40"/>
      <c r="CK428" s="40"/>
      <c r="CL428" s="40"/>
      <c r="CM428" s="40"/>
      <c r="CN428" s="40"/>
      <c r="CO428" s="40"/>
      <c r="CP428" s="40"/>
      <c r="CQ428" s="40"/>
      <c r="CR428" s="40"/>
      <c r="CS428" s="40"/>
      <c r="CT428" s="40"/>
      <c r="CU428" s="40"/>
      <c r="CV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  <c r="BW429" s="40"/>
      <c r="BX429" s="40"/>
      <c r="BY429" s="40"/>
      <c r="BZ429" s="40"/>
      <c r="CA429" s="40"/>
      <c r="CB429" s="40"/>
      <c r="CC429" s="40"/>
      <c r="CD429" s="40"/>
      <c r="CE429" s="40"/>
      <c r="CF429" s="40"/>
      <c r="CG429" s="40"/>
      <c r="CH429" s="40"/>
      <c r="CI429" s="40"/>
      <c r="CJ429" s="40"/>
      <c r="CK429" s="40"/>
      <c r="CL429" s="40"/>
      <c r="CM429" s="40"/>
      <c r="CN429" s="40"/>
      <c r="CO429" s="40"/>
      <c r="CP429" s="40"/>
      <c r="CQ429" s="40"/>
      <c r="CR429" s="40"/>
      <c r="CS429" s="40"/>
      <c r="CT429" s="40"/>
      <c r="CU429" s="40"/>
      <c r="CV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  <c r="BW430" s="40"/>
      <c r="BX430" s="40"/>
      <c r="BY430" s="40"/>
      <c r="BZ430" s="40"/>
      <c r="CA430" s="40"/>
      <c r="CB430" s="40"/>
      <c r="CC430" s="40"/>
      <c r="CD430" s="40"/>
      <c r="CE430" s="40"/>
      <c r="CF430" s="40"/>
      <c r="CG430" s="40"/>
      <c r="CH430" s="40"/>
      <c r="CI430" s="40"/>
      <c r="CJ430" s="40"/>
      <c r="CK430" s="40"/>
      <c r="CL430" s="40"/>
      <c r="CM430" s="40"/>
      <c r="CN430" s="40"/>
      <c r="CO430" s="40"/>
      <c r="CP430" s="40"/>
      <c r="CQ430" s="40"/>
      <c r="CR430" s="40"/>
      <c r="CS430" s="40"/>
      <c r="CT430" s="40"/>
      <c r="CU430" s="40"/>
      <c r="CV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  <c r="BW431" s="40"/>
      <c r="BX431" s="40"/>
      <c r="BY431" s="40"/>
      <c r="BZ431" s="40"/>
      <c r="CA431" s="40"/>
      <c r="CB431" s="40"/>
      <c r="CC431" s="40"/>
      <c r="CD431" s="40"/>
      <c r="CE431" s="40"/>
      <c r="CF431" s="40"/>
      <c r="CG431" s="40"/>
      <c r="CH431" s="40"/>
      <c r="CI431" s="40"/>
      <c r="CJ431" s="40"/>
      <c r="CK431" s="40"/>
      <c r="CL431" s="40"/>
      <c r="CM431" s="40"/>
      <c r="CN431" s="40"/>
      <c r="CO431" s="40"/>
      <c r="CP431" s="40"/>
      <c r="CQ431" s="40"/>
      <c r="CR431" s="40"/>
      <c r="CS431" s="40"/>
      <c r="CT431" s="40"/>
      <c r="CU431" s="40"/>
      <c r="CV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  <c r="BW432" s="40"/>
      <c r="BX432" s="40"/>
      <c r="BY432" s="40"/>
      <c r="BZ432" s="40"/>
      <c r="CA432" s="40"/>
      <c r="CB432" s="40"/>
      <c r="CC432" s="40"/>
      <c r="CD432" s="40"/>
      <c r="CE432" s="40"/>
      <c r="CF432" s="40"/>
      <c r="CG432" s="40"/>
      <c r="CH432" s="40"/>
      <c r="CI432" s="40"/>
      <c r="CJ432" s="40"/>
      <c r="CK432" s="40"/>
      <c r="CL432" s="40"/>
      <c r="CM432" s="40"/>
      <c r="CN432" s="40"/>
      <c r="CO432" s="40"/>
      <c r="CP432" s="40"/>
      <c r="CQ432" s="40"/>
      <c r="CR432" s="40"/>
      <c r="CS432" s="40"/>
      <c r="CT432" s="40"/>
      <c r="CU432" s="40"/>
      <c r="CV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  <c r="BW433" s="40"/>
      <c r="BX433" s="40"/>
      <c r="BY433" s="40"/>
      <c r="BZ433" s="40"/>
      <c r="CA433" s="40"/>
      <c r="CB433" s="40"/>
      <c r="CC433" s="40"/>
      <c r="CD433" s="40"/>
      <c r="CE433" s="40"/>
      <c r="CF433" s="40"/>
      <c r="CG433" s="40"/>
      <c r="CH433" s="40"/>
      <c r="CI433" s="40"/>
      <c r="CJ433" s="40"/>
      <c r="CK433" s="40"/>
      <c r="CL433" s="40"/>
      <c r="CM433" s="40"/>
      <c r="CN433" s="40"/>
      <c r="CO433" s="40"/>
      <c r="CP433" s="40"/>
      <c r="CQ433" s="40"/>
      <c r="CR433" s="40"/>
      <c r="CS433" s="40"/>
      <c r="CT433" s="40"/>
      <c r="CU433" s="40"/>
      <c r="CV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  <c r="BW434" s="40"/>
      <c r="BX434" s="40"/>
      <c r="BY434" s="40"/>
      <c r="BZ434" s="40"/>
      <c r="CA434" s="40"/>
      <c r="CB434" s="40"/>
      <c r="CC434" s="40"/>
      <c r="CD434" s="40"/>
      <c r="CE434" s="40"/>
      <c r="CF434" s="40"/>
      <c r="CG434" s="40"/>
      <c r="CH434" s="40"/>
      <c r="CI434" s="40"/>
      <c r="CJ434" s="40"/>
      <c r="CK434" s="40"/>
      <c r="CL434" s="40"/>
      <c r="CM434" s="40"/>
      <c r="CN434" s="40"/>
      <c r="CO434" s="40"/>
      <c r="CP434" s="40"/>
      <c r="CQ434" s="40"/>
      <c r="CR434" s="40"/>
      <c r="CS434" s="40"/>
      <c r="CT434" s="40"/>
      <c r="CU434" s="40"/>
      <c r="CV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  <c r="BW435" s="40"/>
      <c r="BX435" s="40"/>
      <c r="BY435" s="40"/>
      <c r="BZ435" s="40"/>
      <c r="CA435" s="40"/>
      <c r="CB435" s="40"/>
      <c r="CC435" s="40"/>
      <c r="CD435" s="40"/>
      <c r="CE435" s="40"/>
      <c r="CF435" s="40"/>
      <c r="CG435" s="40"/>
      <c r="CH435" s="40"/>
      <c r="CI435" s="40"/>
      <c r="CJ435" s="40"/>
      <c r="CK435" s="40"/>
      <c r="CL435" s="40"/>
      <c r="CM435" s="40"/>
      <c r="CN435" s="40"/>
      <c r="CO435" s="40"/>
      <c r="CP435" s="40"/>
      <c r="CQ435" s="40"/>
      <c r="CR435" s="40"/>
      <c r="CS435" s="40"/>
      <c r="CT435" s="40"/>
      <c r="CU435" s="40"/>
      <c r="CV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  <c r="BW436" s="40"/>
      <c r="BX436" s="40"/>
      <c r="BY436" s="40"/>
      <c r="BZ436" s="40"/>
      <c r="CA436" s="40"/>
      <c r="CB436" s="40"/>
      <c r="CC436" s="40"/>
      <c r="CD436" s="40"/>
      <c r="CE436" s="40"/>
      <c r="CF436" s="40"/>
      <c r="CG436" s="40"/>
      <c r="CH436" s="40"/>
      <c r="CI436" s="40"/>
      <c r="CJ436" s="40"/>
      <c r="CK436" s="40"/>
      <c r="CL436" s="40"/>
      <c r="CM436" s="40"/>
      <c r="CN436" s="40"/>
      <c r="CO436" s="40"/>
      <c r="CP436" s="40"/>
      <c r="CQ436" s="40"/>
      <c r="CR436" s="40"/>
      <c r="CS436" s="40"/>
      <c r="CT436" s="40"/>
      <c r="CU436" s="40"/>
      <c r="CV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  <c r="BU437" s="40"/>
      <c r="BV437" s="40"/>
      <c r="BW437" s="40"/>
      <c r="BX437" s="40"/>
      <c r="BY437" s="40"/>
      <c r="BZ437" s="40"/>
      <c r="CA437" s="40"/>
      <c r="CB437" s="40"/>
      <c r="CC437" s="40"/>
      <c r="CD437" s="40"/>
      <c r="CE437" s="40"/>
      <c r="CF437" s="40"/>
      <c r="CG437" s="40"/>
      <c r="CH437" s="40"/>
      <c r="CI437" s="40"/>
      <c r="CJ437" s="40"/>
      <c r="CK437" s="40"/>
      <c r="CL437" s="40"/>
      <c r="CM437" s="40"/>
      <c r="CN437" s="40"/>
      <c r="CO437" s="40"/>
      <c r="CP437" s="40"/>
      <c r="CQ437" s="40"/>
      <c r="CR437" s="40"/>
      <c r="CS437" s="40"/>
      <c r="CT437" s="40"/>
      <c r="CU437" s="40"/>
      <c r="CV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  <c r="BU438" s="40"/>
      <c r="BV438" s="40"/>
      <c r="BW438" s="40"/>
      <c r="BX438" s="40"/>
      <c r="BY438" s="40"/>
      <c r="BZ438" s="40"/>
      <c r="CA438" s="40"/>
      <c r="CB438" s="40"/>
      <c r="CC438" s="40"/>
      <c r="CD438" s="40"/>
      <c r="CE438" s="40"/>
      <c r="CF438" s="40"/>
      <c r="CG438" s="40"/>
      <c r="CH438" s="40"/>
      <c r="CI438" s="40"/>
      <c r="CJ438" s="40"/>
      <c r="CK438" s="40"/>
      <c r="CL438" s="40"/>
      <c r="CM438" s="40"/>
      <c r="CN438" s="40"/>
      <c r="CO438" s="40"/>
      <c r="CP438" s="40"/>
      <c r="CQ438" s="40"/>
      <c r="CR438" s="40"/>
      <c r="CS438" s="40"/>
      <c r="CT438" s="40"/>
      <c r="CU438" s="40"/>
      <c r="CV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  <c r="BW439" s="40"/>
      <c r="BX439" s="40"/>
      <c r="BY439" s="40"/>
      <c r="BZ439" s="40"/>
      <c r="CA439" s="40"/>
      <c r="CB439" s="40"/>
      <c r="CC439" s="40"/>
      <c r="CD439" s="40"/>
      <c r="CE439" s="40"/>
      <c r="CF439" s="40"/>
      <c r="CG439" s="40"/>
      <c r="CH439" s="40"/>
      <c r="CI439" s="40"/>
      <c r="CJ439" s="40"/>
      <c r="CK439" s="40"/>
      <c r="CL439" s="40"/>
      <c r="CM439" s="40"/>
      <c r="CN439" s="40"/>
      <c r="CO439" s="40"/>
      <c r="CP439" s="40"/>
      <c r="CQ439" s="40"/>
      <c r="CR439" s="40"/>
      <c r="CS439" s="40"/>
      <c r="CT439" s="40"/>
      <c r="CU439" s="40"/>
      <c r="CV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  <c r="BW440" s="40"/>
      <c r="BX440" s="40"/>
      <c r="BY440" s="40"/>
      <c r="BZ440" s="40"/>
      <c r="CA440" s="40"/>
      <c r="CB440" s="40"/>
      <c r="CC440" s="40"/>
      <c r="CD440" s="40"/>
      <c r="CE440" s="40"/>
      <c r="CF440" s="40"/>
      <c r="CG440" s="40"/>
      <c r="CH440" s="40"/>
      <c r="CI440" s="40"/>
      <c r="CJ440" s="40"/>
      <c r="CK440" s="40"/>
      <c r="CL440" s="40"/>
      <c r="CM440" s="40"/>
      <c r="CN440" s="40"/>
      <c r="CO440" s="40"/>
      <c r="CP440" s="40"/>
      <c r="CQ440" s="40"/>
      <c r="CR440" s="40"/>
      <c r="CS440" s="40"/>
      <c r="CT440" s="40"/>
      <c r="CU440" s="40"/>
      <c r="CV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  <c r="BW441" s="40"/>
      <c r="BX441" s="40"/>
      <c r="BY441" s="40"/>
      <c r="BZ441" s="40"/>
      <c r="CA441" s="40"/>
      <c r="CB441" s="40"/>
      <c r="CC441" s="40"/>
      <c r="CD441" s="40"/>
      <c r="CE441" s="40"/>
      <c r="CF441" s="40"/>
      <c r="CG441" s="40"/>
      <c r="CH441" s="40"/>
      <c r="CI441" s="40"/>
      <c r="CJ441" s="40"/>
      <c r="CK441" s="40"/>
      <c r="CL441" s="40"/>
      <c r="CM441" s="40"/>
      <c r="CN441" s="40"/>
      <c r="CO441" s="40"/>
      <c r="CP441" s="40"/>
      <c r="CQ441" s="40"/>
      <c r="CR441" s="40"/>
      <c r="CS441" s="40"/>
      <c r="CT441" s="40"/>
      <c r="CU441" s="40"/>
      <c r="CV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  <c r="BU442" s="40"/>
      <c r="BV442" s="40"/>
      <c r="BW442" s="40"/>
      <c r="BX442" s="40"/>
      <c r="BY442" s="40"/>
      <c r="BZ442" s="40"/>
      <c r="CA442" s="40"/>
      <c r="CB442" s="40"/>
      <c r="CC442" s="40"/>
      <c r="CD442" s="40"/>
      <c r="CE442" s="40"/>
      <c r="CF442" s="40"/>
      <c r="CG442" s="40"/>
      <c r="CH442" s="40"/>
      <c r="CI442" s="40"/>
      <c r="CJ442" s="40"/>
      <c r="CK442" s="40"/>
      <c r="CL442" s="40"/>
      <c r="CM442" s="40"/>
      <c r="CN442" s="40"/>
      <c r="CO442" s="40"/>
      <c r="CP442" s="40"/>
      <c r="CQ442" s="40"/>
      <c r="CR442" s="40"/>
      <c r="CS442" s="40"/>
      <c r="CT442" s="40"/>
      <c r="CU442" s="40"/>
      <c r="CV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  <c r="BU443" s="40"/>
      <c r="BV443" s="40"/>
      <c r="BW443" s="40"/>
      <c r="BX443" s="40"/>
      <c r="BY443" s="40"/>
      <c r="BZ443" s="40"/>
      <c r="CA443" s="40"/>
      <c r="CB443" s="40"/>
      <c r="CC443" s="40"/>
      <c r="CD443" s="40"/>
      <c r="CE443" s="40"/>
      <c r="CF443" s="40"/>
      <c r="CG443" s="40"/>
      <c r="CH443" s="40"/>
      <c r="CI443" s="40"/>
      <c r="CJ443" s="40"/>
      <c r="CK443" s="40"/>
      <c r="CL443" s="40"/>
      <c r="CM443" s="40"/>
      <c r="CN443" s="40"/>
      <c r="CO443" s="40"/>
      <c r="CP443" s="40"/>
      <c r="CQ443" s="40"/>
      <c r="CR443" s="40"/>
      <c r="CS443" s="40"/>
      <c r="CT443" s="40"/>
      <c r="CU443" s="40"/>
      <c r="CV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  <c r="BW444" s="40"/>
      <c r="BX444" s="40"/>
      <c r="BY444" s="40"/>
      <c r="BZ444" s="40"/>
      <c r="CA444" s="40"/>
      <c r="CB444" s="40"/>
      <c r="CC444" s="40"/>
      <c r="CD444" s="40"/>
      <c r="CE444" s="40"/>
      <c r="CF444" s="40"/>
      <c r="CG444" s="40"/>
      <c r="CH444" s="40"/>
      <c r="CI444" s="40"/>
      <c r="CJ444" s="40"/>
      <c r="CK444" s="40"/>
      <c r="CL444" s="40"/>
      <c r="CM444" s="40"/>
      <c r="CN444" s="40"/>
      <c r="CO444" s="40"/>
      <c r="CP444" s="40"/>
      <c r="CQ444" s="40"/>
      <c r="CR444" s="40"/>
      <c r="CS444" s="40"/>
      <c r="CT444" s="40"/>
      <c r="CU444" s="40"/>
      <c r="CV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  <c r="BW445" s="40"/>
      <c r="BX445" s="40"/>
      <c r="BY445" s="40"/>
      <c r="BZ445" s="40"/>
      <c r="CA445" s="40"/>
      <c r="CB445" s="40"/>
      <c r="CC445" s="40"/>
      <c r="CD445" s="40"/>
      <c r="CE445" s="40"/>
      <c r="CF445" s="40"/>
      <c r="CG445" s="40"/>
      <c r="CH445" s="40"/>
      <c r="CI445" s="40"/>
      <c r="CJ445" s="40"/>
      <c r="CK445" s="40"/>
      <c r="CL445" s="40"/>
      <c r="CM445" s="40"/>
      <c r="CN445" s="40"/>
      <c r="CO445" s="40"/>
      <c r="CP445" s="40"/>
      <c r="CQ445" s="40"/>
      <c r="CR445" s="40"/>
      <c r="CS445" s="40"/>
      <c r="CT445" s="40"/>
      <c r="CU445" s="40"/>
      <c r="CV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  <c r="BU446" s="40"/>
      <c r="BV446" s="40"/>
      <c r="BW446" s="40"/>
      <c r="BX446" s="40"/>
      <c r="BY446" s="40"/>
      <c r="BZ446" s="40"/>
      <c r="CA446" s="40"/>
      <c r="CB446" s="40"/>
      <c r="CC446" s="40"/>
      <c r="CD446" s="40"/>
      <c r="CE446" s="40"/>
      <c r="CF446" s="40"/>
      <c r="CG446" s="40"/>
      <c r="CH446" s="40"/>
      <c r="CI446" s="40"/>
      <c r="CJ446" s="40"/>
      <c r="CK446" s="40"/>
      <c r="CL446" s="40"/>
      <c r="CM446" s="40"/>
      <c r="CN446" s="40"/>
      <c r="CO446" s="40"/>
      <c r="CP446" s="40"/>
      <c r="CQ446" s="40"/>
      <c r="CR446" s="40"/>
      <c r="CS446" s="40"/>
      <c r="CT446" s="40"/>
      <c r="CU446" s="40"/>
      <c r="CV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  <c r="BW447" s="40"/>
      <c r="BX447" s="40"/>
      <c r="BY447" s="40"/>
      <c r="BZ447" s="40"/>
      <c r="CA447" s="40"/>
      <c r="CB447" s="40"/>
      <c r="CC447" s="40"/>
      <c r="CD447" s="40"/>
      <c r="CE447" s="40"/>
      <c r="CF447" s="40"/>
      <c r="CG447" s="40"/>
      <c r="CH447" s="40"/>
      <c r="CI447" s="40"/>
      <c r="CJ447" s="40"/>
      <c r="CK447" s="40"/>
      <c r="CL447" s="40"/>
      <c r="CM447" s="40"/>
      <c r="CN447" s="40"/>
      <c r="CO447" s="40"/>
      <c r="CP447" s="40"/>
      <c r="CQ447" s="40"/>
      <c r="CR447" s="40"/>
      <c r="CS447" s="40"/>
      <c r="CT447" s="40"/>
      <c r="CU447" s="40"/>
      <c r="CV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  <c r="BW448" s="40"/>
      <c r="BX448" s="40"/>
      <c r="BY448" s="40"/>
      <c r="BZ448" s="40"/>
      <c r="CA448" s="40"/>
      <c r="CB448" s="40"/>
      <c r="CC448" s="40"/>
      <c r="CD448" s="40"/>
      <c r="CE448" s="40"/>
      <c r="CF448" s="40"/>
      <c r="CG448" s="40"/>
      <c r="CH448" s="40"/>
      <c r="CI448" s="40"/>
      <c r="CJ448" s="40"/>
      <c r="CK448" s="40"/>
      <c r="CL448" s="40"/>
      <c r="CM448" s="40"/>
      <c r="CN448" s="40"/>
      <c r="CO448" s="40"/>
      <c r="CP448" s="40"/>
      <c r="CQ448" s="40"/>
      <c r="CR448" s="40"/>
      <c r="CS448" s="40"/>
      <c r="CT448" s="40"/>
      <c r="CU448" s="40"/>
      <c r="CV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  <c r="BW449" s="40"/>
      <c r="BX449" s="40"/>
      <c r="BY449" s="40"/>
      <c r="BZ449" s="40"/>
      <c r="CA449" s="40"/>
      <c r="CB449" s="40"/>
      <c r="CC449" s="40"/>
      <c r="CD449" s="40"/>
      <c r="CE449" s="40"/>
      <c r="CF449" s="40"/>
      <c r="CG449" s="40"/>
      <c r="CH449" s="40"/>
      <c r="CI449" s="40"/>
      <c r="CJ449" s="40"/>
      <c r="CK449" s="40"/>
      <c r="CL449" s="40"/>
      <c r="CM449" s="40"/>
      <c r="CN449" s="40"/>
      <c r="CO449" s="40"/>
      <c r="CP449" s="40"/>
      <c r="CQ449" s="40"/>
      <c r="CR449" s="40"/>
      <c r="CS449" s="40"/>
      <c r="CT449" s="40"/>
      <c r="CU449" s="40"/>
      <c r="CV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  <c r="BW450" s="40"/>
      <c r="BX450" s="40"/>
      <c r="BY450" s="40"/>
      <c r="BZ450" s="40"/>
      <c r="CA450" s="40"/>
      <c r="CB450" s="40"/>
      <c r="CC450" s="40"/>
      <c r="CD450" s="40"/>
      <c r="CE450" s="40"/>
      <c r="CF450" s="40"/>
      <c r="CG450" s="40"/>
      <c r="CH450" s="40"/>
      <c r="CI450" s="40"/>
      <c r="CJ450" s="40"/>
      <c r="CK450" s="40"/>
      <c r="CL450" s="40"/>
      <c r="CM450" s="40"/>
      <c r="CN450" s="40"/>
      <c r="CO450" s="40"/>
      <c r="CP450" s="40"/>
      <c r="CQ450" s="40"/>
      <c r="CR450" s="40"/>
      <c r="CS450" s="40"/>
      <c r="CT450" s="40"/>
      <c r="CU450" s="40"/>
      <c r="CV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  <c r="BU451" s="40"/>
      <c r="BV451" s="40"/>
      <c r="BW451" s="40"/>
      <c r="BX451" s="40"/>
      <c r="BY451" s="40"/>
      <c r="BZ451" s="40"/>
      <c r="CA451" s="40"/>
      <c r="CB451" s="40"/>
      <c r="CC451" s="40"/>
      <c r="CD451" s="40"/>
      <c r="CE451" s="40"/>
      <c r="CF451" s="40"/>
      <c r="CG451" s="40"/>
      <c r="CH451" s="40"/>
      <c r="CI451" s="40"/>
      <c r="CJ451" s="40"/>
      <c r="CK451" s="40"/>
      <c r="CL451" s="40"/>
      <c r="CM451" s="40"/>
      <c r="CN451" s="40"/>
      <c r="CO451" s="40"/>
      <c r="CP451" s="40"/>
      <c r="CQ451" s="40"/>
      <c r="CR451" s="40"/>
      <c r="CS451" s="40"/>
      <c r="CT451" s="40"/>
      <c r="CU451" s="40"/>
      <c r="CV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  <c r="BW452" s="40"/>
      <c r="BX452" s="40"/>
      <c r="BY452" s="40"/>
      <c r="BZ452" s="40"/>
      <c r="CA452" s="40"/>
      <c r="CB452" s="40"/>
      <c r="CC452" s="40"/>
      <c r="CD452" s="40"/>
      <c r="CE452" s="40"/>
      <c r="CF452" s="40"/>
      <c r="CG452" s="40"/>
      <c r="CH452" s="40"/>
      <c r="CI452" s="40"/>
      <c r="CJ452" s="40"/>
      <c r="CK452" s="40"/>
      <c r="CL452" s="40"/>
      <c r="CM452" s="40"/>
      <c r="CN452" s="40"/>
      <c r="CO452" s="40"/>
      <c r="CP452" s="40"/>
      <c r="CQ452" s="40"/>
      <c r="CR452" s="40"/>
      <c r="CS452" s="40"/>
      <c r="CT452" s="40"/>
      <c r="CU452" s="40"/>
      <c r="CV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  <c r="BU453" s="40"/>
      <c r="BV453" s="40"/>
      <c r="BW453" s="40"/>
      <c r="BX453" s="40"/>
      <c r="BY453" s="40"/>
      <c r="BZ453" s="40"/>
      <c r="CA453" s="40"/>
      <c r="CB453" s="40"/>
      <c r="CC453" s="40"/>
      <c r="CD453" s="40"/>
      <c r="CE453" s="40"/>
      <c r="CF453" s="40"/>
      <c r="CG453" s="40"/>
      <c r="CH453" s="40"/>
      <c r="CI453" s="40"/>
      <c r="CJ453" s="40"/>
      <c r="CK453" s="40"/>
      <c r="CL453" s="40"/>
      <c r="CM453" s="40"/>
      <c r="CN453" s="40"/>
      <c r="CO453" s="40"/>
      <c r="CP453" s="40"/>
      <c r="CQ453" s="40"/>
      <c r="CR453" s="40"/>
      <c r="CS453" s="40"/>
      <c r="CT453" s="40"/>
      <c r="CU453" s="40"/>
      <c r="CV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  <c r="BW454" s="40"/>
      <c r="BX454" s="40"/>
      <c r="BY454" s="40"/>
      <c r="BZ454" s="40"/>
      <c r="CA454" s="40"/>
      <c r="CB454" s="40"/>
      <c r="CC454" s="40"/>
      <c r="CD454" s="40"/>
      <c r="CE454" s="40"/>
      <c r="CF454" s="40"/>
      <c r="CG454" s="40"/>
      <c r="CH454" s="40"/>
      <c r="CI454" s="40"/>
      <c r="CJ454" s="40"/>
      <c r="CK454" s="40"/>
      <c r="CL454" s="40"/>
      <c r="CM454" s="40"/>
      <c r="CN454" s="40"/>
      <c r="CO454" s="40"/>
      <c r="CP454" s="40"/>
      <c r="CQ454" s="40"/>
      <c r="CR454" s="40"/>
      <c r="CS454" s="40"/>
      <c r="CT454" s="40"/>
      <c r="CU454" s="40"/>
      <c r="CV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  <c r="BW455" s="40"/>
      <c r="BX455" s="40"/>
      <c r="BY455" s="40"/>
      <c r="BZ455" s="40"/>
      <c r="CA455" s="40"/>
      <c r="CB455" s="40"/>
      <c r="CC455" s="40"/>
      <c r="CD455" s="40"/>
      <c r="CE455" s="40"/>
      <c r="CF455" s="40"/>
      <c r="CG455" s="40"/>
      <c r="CH455" s="40"/>
      <c r="CI455" s="40"/>
      <c r="CJ455" s="40"/>
      <c r="CK455" s="40"/>
      <c r="CL455" s="40"/>
      <c r="CM455" s="40"/>
      <c r="CN455" s="40"/>
      <c r="CO455" s="40"/>
      <c r="CP455" s="40"/>
      <c r="CQ455" s="40"/>
      <c r="CR455" s="40"/>
      <c r="CS455" s="40"/>
      <c r="CT455" s="40"/>
      <c r="CU455" s="40"/>
      <c r="CV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  <c r="BW456" s="40"/>
      <c r="BX456" s="40"/>
      <c r="BY456" s="40"/>
      <c r="BZ456" s="40"/>
      <c r="CA456" s="40"/>
      <c r="CB456" s="40"/>
      <c r="CC456" s="40"/>
      <c r="CD456" s="40"/>
      <c r="CE456" s="40"/>
      <c r="CF456" s="40"/>
      <c r="CG456" s="40"/>
      <c r="CH456" s="40"/>
      <c r="CI456" s="40"/>
      <c r="CJ456" s="40"/>
      <c r="CK456" s="40"/>
      <c r="CL456" s="40"/>
      <c r="CM456" s="40"/>
      <c r="CN456" s="40"/>
      <c r="CO456" s="40"/>
      <c r="CP456" s="40"/>
      <c r="CQ456" s="40"/>
      <c r="CR456" s="40"/>
      <c r="CS456" s="40"/>
      <c r="CT456" s="40"/>
      <c r="CU456" s="40"/>
      <c r="CV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  <c r="BW457" s="40"/>
      <c r="BX457" s="40"/>
      <c r="BY457" s="40"/>
      <c r="BZ457" s="40"/>
      <c r="CA457" s="40"/>
      <c r="CB457" s="40"/>
      <c r="CC457" s="40"/>
      <c r="CD457" s="40"/>
      <c r="CE457" s="40"/>
      <c r="CF457" s="40"/>
      <c r="CG457" s="40"/>
      <c r="CH457" s="40"/>
      <c r="CI457" s="40"/>
      <c r="CJ457" s="40"/>
      <c r="CK457" s="40"/>
      <c r="CL457" s="40"/>
      <c r="CM457" s="40"/>
      <c r="CN457" s="40"/>
      <c r="CO457" s="40"/>
      <c r="CP457" s="40"/>
      <c r="CQ457" s="40"/>
      <c r="CR457" s="40"/>
      <c r="CS457" s="40"/>
      <c r="CT457" s="40"/>
      <c r="CU457" s="40"/>
      <c r="CV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  <c r="BW458" s="40"/>
      <c r="BX458" s="40"/>
      <c r="BY458" s="40"/>
      <c r="BZ458" s="40"/>
      <c r="CA458" s="40"/>
      <c r="CB458" s="40"/>
      <c r="CC458" s="40"/>
      <c r="CD458" s="40"/>
      <c r="CE458" s="40"/>
      <c r="CF458" s="40"/>
      <c r="CG458" s="40"/>
      <c r="CH458" s="40"/>
      <c r="CI458" s="40"/>
      <c r="CJ458" s="40"/>
      <c r="CK458" s="40"/>
      <c r="CL458" s="40"/>
      <c r="CM458" s="40"/>
      <c r="CN458" s="40"/>
      <c r="CO458" s="40"/>
      <c r="CP458" s="40"/>
      <c r="CQ458" s="40"/>
      <c r="CR458" s="40"/>
      <c r="CS458" s="40"/>
      <c r="CT458" s="40"/>
      <c r="CU458" s="40"/>
      <c r="CV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  <c r="BW459" s="40"/>
      <c r="BX459" s="40"/>
      <c r="BY459" s="40"/>
      <c r="BZ459" s="40"/>
      <c r="CA459" s="40"/>
      <c r="CB459" s="40"/>
      <c r="CC459" s="40"/>
      <c r="CD459" s="40"/>
      <c r="CE459" s="40"/>
      <c r="CF459" s="40"/>
      <c r="CG459" s="40"/>
      <c r="CH459" s="40"/>
      <c r="CI459" s="40"/>
      <c r="CJ459" s="40"/>
      <c r="CK459" s="40"/>
      <c r="CL459" s="40"/>
      <c r="CM459" s="40"/>
      <c r="CN459" s="40"/>
      <c r="CO459" s="40"/>
      <c r="CP459" s="40"/>
      <c r="CQ459" s="40"/>
      <c r="CR459" s="40"/>
      <c r="CS459" s="40"/>
      <c r="CT459" s="40"/>
      <c r="CU459" s="40"/>
      <c r="CV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  <c r="BW460" s="40"/>
      <c r="BX460" s="40"/>
      <c r="BY460" s="40"/>
      <c r="BZ460" s="40"/>
      <c r="CA460" s="40"/>
      <c r="CB460" s="40"/>
      <c r="CC460" s="40"/>
      <c r="CD460" s="40"/>
      <c r="CE460" s="40"/>
      <c r="CF460" s="40"/>
      <c r="CG460" s="40"/>
      <c r="CH460" s="40"/>
      <c r="CI460" s="40"/>
      <c r="CJ460" s="40"/>
      <c r="CK460" s="40"/>
      <c r="CL460" s="40"/>
      <c r="CM460" s="40"/>
      <c r="CN460" s="40"/>
      <c r="CO460" s="40"/>
      <c r="CP460" s="40"/>
      <c r="CQ460" s="40"/>
      <c r="CR460" s="40"/>
      <c r="CS460" s="40"/>
      <c r="CT460" s="40"/>
      <c r="CU460" s="40"/>
      <c r="CV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  <c r="BW461" s="40"/>
      <c r="BX461" s="40"/>
      <c r="BY461" s="40"/>
      <c r="BZ461" s="40"/>
      <c r="CA461" s="40"/>
      <c r="CB461" s="40"/>
      <c r="CC461" s="40"/>
      <c r="CD461" s="40"/>
      <c r="CE461" s="40"/>
      <c r="CF461" s="40"/>
      <c r="CG461" s="40"/>
      <c r="CH461" s="40"/>
      <c r="CI461" s="40"/>
      <c r="CJ461" s="40"/>
      <c r="CK461" s="40"/>
      <c r="CL461" s="40"/>
      <c r="CM461" s="40"/>
      <c r="CN461" s="40"/>
      <c r="CO461" s="40"/>
      <c r="CP461" s="40"/>
      <c r="CQ461" s="40"/>
      <c r="CR461" s="40"/>
      <c r="CS461" s="40"/>
      <c r="CT461" s="40"/>
      <c r="CU461" s="40"/>
      <c r="CV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  <c r="BW462" s="40"/>
      <c r="BX462" s="40"/>
      <c r="BY462" s="40"/>
      <c r="BZ462" s="40"/>
      <c r="CA462" s="40"/>
      <c r="CB462" s="40"/>
      <c r="CC462" s="40"/>
      <c r="CD462" s="40"/>
      <c r="CE462" s="40"/>
      <c r="CF462" s="40"/>
      <c r="CG462" s="40"/>
      <c r="CH462" s="40"/>
      <c r="CI462" s="40"/>
      <c r="CJ462" s="40"/>
      <c r="CK462" s="40"/>
      <c r="CL462" s="40"/>
      <c r="CM462" s="40"/>
      <c r="CN462" s="40"/>
      <c r="CO462" s="40"/>
      <c r="CP462" s="40"/>
      <c r="CQ462" s="40"/>
      <c r="CR462" s="40"/>
      <c r="CS462" s="40"/>
      <c r="CT462" s="40"/>
      <c r="CU462" s="40"/>
      <c r="CV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  <c r="BW463" s="40"/>
      <c r="BX463" s="40"/>
      <c r="BY463" s="40"/>
      <c r="BZ463" s="40"/>
      <c r="CA463" s="40"/>
      <c r="CB463" s="40"/>
      <c r="CC463" s="40"/>
      <c r="CD463" s="40"/>
      <c r="CE463" s="40"/>
      <c r="CF463" s="40"/>
      <c r="CG463" s="40"/>
      <c r="CH463" s="40"/>
      <c r="CI463" s="40"/>
      <c r="CJ463" s="40"/>
      <c r="CK463" s="40"/>
      <c r="CL463" s="40"/>
      <c r="CM463" s="40"/>
      <c r="CN463" s="40"/>
      <c r="CO463" s="40"/>
      <c r="CP463" s="40"/>
      <c r="CQ463" s="40"/>
      <c r="CR463" s="40"/>
      <c r="CS463" s="40"/>
      <c r="CT463" s="40"/>
      <c r="CU463" s="40"/>
      <c r="CV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  <c r="BW464" s="40"/>
      <c r="BX464" s="40"/>
      <c r="BY464" s="40"/>
      <c r="BZ464" s="40"/>
      <c r="CA464" s="40"/>
      <c r="CB464" s="40"/>
      <c r="CC464" s="40"/>
      <c r="CD464" s="40"/>
      <c r="CE464" s="40"/>
      <c r="CF464" s="40"/>
      <c r="CG464" s="40"/>
      <c r="CH464" s="40"/>
      <c r="CI464" s="40"/>
      <c r="CJ464" s="40"/>
      <c r="CK464" s="40"/>
      <c r="CL464" s="40"/>
      <c r="CM464" s="40"/>
      <c r="CN464" s="40"/>
      <c r="CO464" s="40"/>
      <c r="CP464" s="40"/>
      <c r="CQ464" s="40"/>
      <c r="CR464" s="40"/>
      <c r="CS464" s="40"/>
      <c r="CT464" s="40"/>
      <c r="CU464" s="40"/>
      <c r="CV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  <c r="BW465" s="40"/>
      <c r="BX465" s="40"/>
      <c r="BY465" s="40"/>
      <c r="BZ465" s="40"/>
      <c r="CA465" s="40"/>
      <c r="CB465" s="40"/>
      <c r="CC465" s="40"/>
      <c r="CD465" s="40"/>
      <c r="CE465" s="40"/>
      <c r="CF465" s="40"/>
      <c r="CG465" s="40"/>
      <c r="CH465" s="40"/>
      <c r="CI465" s="40"/>
      <c r="CJ465" s="40"/>
      <c r="CK465" s="40"/>
      <c r="CL465" s="40"/>
      <c r="CM465" s="40"/>
      <c r="CN465" s="40"/>
      <c r="CO465" s="40"/>
      <c r="CP465" s="40"/>
      <c r="CQ465" s="40"/>
      <c r="CR465" s="40"/>
      <c r="CS465" s="40"/>
      <c r="CT465" s="40"/>
      <c r="CU465" s="40"/>
      <c r="CV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  <c r="BW466" s="40"/>
      <c r="BX466" s="40"/>
      <c r="BY466" s="40"/>
      <c r="BZ466" s="40"/>
      <c r="CA466" s="40"/>
      <c r="CB466" s="40"/>
      <c r="CC466" s="40"/>
      <c r="CD466" s="40"/>
      <c r="CE466" s="40"/>
      <c r="CF466" s="40"/>
      <c r="CG466" s="40"/>
      <c r="CH466" s="40"/>
      <c r="CI466" s="40"/>
      <c r="CJ466" s="40"/>
      <c r="CK466" s="40"/>
      <c r="CL466" s="40"/>
      <c r="CM466" s="40"/>
      <c r="CN466" s="40"/>
      <c r="CO466" s="40"/>
      <c r="CP466" s="40"/>
      <c r="CQ466" s="40"/>
      <c r="CR466" s="40"/>
      <c r="CS466" s="40"/>
      <c r="CT466" s="40"/>
      <c r="CU466" s="40"/>
      <c r="CV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  <c r="BW467" s="40"/>
      <c r="BX467" s="40"/>
      <c r="BY467" s="40"/>
      <c r="BZ467" s="40"/>
      <c r="CA467" s="40"/>
      <c r="CB467" s="40"/>
      <c r="CC467" s="40"/>
      <c r="CD467" s="40"/>
      <c r="CE467" s="40"/>
      <c r="CF467" s="40"/>
      <c r="CG467" s="40"/>
      <c r="CH467" s="40"/>
      <c r="CI467" s="40"/>
      <c r="CJ467" s="40"/>
      <c r="CK467" s="40"/>
      <c r="CL467" s="40"/>
      <c r="CM467" s="40"/>
      <c r="CN467" s="40"/>
      <c r="CO467" s="40"/>
      <c r="CP467" s="40"/>
      <c r="CQ467" s="40"/>
      <c r="CR467" s="40"/>
      <c r="CS467" s="40"/>
      <c r="CT467" s="40"/>
      <c r="CU467" s="40"/>
      <c r="CV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  <c r="BW468" s="40"/>
      <c r="BX468" s="40"/>
      <c r="BY468" s="40"/>
      <c r="BZ468" s="40"/>
      <c r="CA468" s="40"/>
      <c r="CB468" s="40"/>
      <c r="CC468" s="40"/>
      <c r="CD468" s="40"/>
      <c r="CE468" s="40"/>
      <c r="CF468" s="40"/>
      <c r="CG468" s="40"/>
      <c r="CH468" s="40"/>
      <c r="CI468" s="40"/>
      <c r="CJ468" s="40"/>
      <c r="CK468" s="40"/>
      <c r="CL468" s="40"/>
      <c r="CM468" s="40"/>
      <c r="CN468" s="40"/>
      <c r="CO468" s="40"/>
      <c r="CP468" s="40"/>
      <c r="CQ468" s="40"/>
      <c r="CR468" s="40"/>
      <c r="CS468" s="40"/>
      <c r="CT468" s="40"/>
      <c r="CU468" s="40"/>
      <c r="CV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  <c r="BW469" s="40"/>
      <c r="BX469" s="40"/>
      <c r="BY469" s="40"/>
      <c r="BZ469" s="40"/>
      <c r="CA469" s="40"/>
      <c r="CB469" s="40"/>
      <c r="CC469" s="40"/>
      <c r="CD469" s="40"/>
      <c r="CE469" s="40"/>
      <c r="CF469" s="40"/>
      <c r="CG469" s="40"/>
      <c r="CH469" s="40"/>
      <c r="CI469" s="40"/>
      <c r="CJ469" s="40"/>
      <c r="CK469" s="40"/>
      <c r="CL469" s="40"/>
      <c r="CM469" s="40"/>
      <c r="CN469" s="40"/>
      <c r="CO469" s="40"/>
      <c r="CP469" s="40"/>
      <c r="CQ469" s="40"/>
      <c r="CR469" s="40"/>
      <c r="CS469" s="40"/>
      <c r="CT469" s="40"/>
      <c r="CU469" s="40"/>
      <c r="CV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  <c r="BW470" s="40"/>
      <c r="BX470" s="40"/>
      <c r="BY470" s="40"/>
      <c r="BZ470" s="40"/>
      <c r="CA470" s="40"/>
      <c r="CB470" s="40"/>
      <c r="CC470" s="40"/>
      <c r="CD470" s="40"/>
      <c r="CE470" s="40"/>
      <c r="CF470" s="40"/>
      <c r="CG470" s="40"/>
      <c r="CH470" s="40"/>
      <c r="CI470" s="40"/>
      <c r="CJ470" s="40"/>
      <c r="CK470" s="40"/>
      <c r="CL470" s="40"/>
      <c r="CM470" s="40"/>
      <c r="CN470" s="40"/>
      <c r="CO470" s="40"/>
      <c r="CP470" s="40"/>
      <c r="CQ470" s="40"/>
      <c r="CR470" s="40"/>
      <c r="CS470" s="40"/>
      <c r="CT470" s="40"/>
      <c r="CU470" s="40"/>
      <c r="CV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  <c r="BW471" s="40"/>
      <c r="BX471" s="40"/>
      <c r="BY471" s="40"/>
      <c r="BZ471" s="40"/>
      <c r="CA471" s="40"/>
      <c r="CB471" s="40"/>
      <c r="CC471" s="40"/>
      <c r="CD471" s="40"/>
      <c r="CE471" s="40"/>
      <c r="CF471" s="40"/>
      <c r="CG471" s="40"/>
      <c r="CH471" s="40"/>
      <c r="CI471" s="40"/>
      <c r="CJ471" s="40"/>
      <c r="CK471" s="40"/>
      <c r="CL471" s="40"/>
      <c r="CM471" s="40"/>
      <c r="CN471" s="40"/>
      <c r="CO471" s="40"/>
      <c r="CP471" s="40"/>
      <c r="CQ471" s="40"/>
      <c r="CR471" s="40"/>
      <c r="CS471" s="40"/>
      <c r="CT471" s="40"/>
      <c r="CU471" s="40"/>
      <c r="CV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  <c r="BW472" s="40"/>
      <c r="BX472" s="40"/>
      <c r="BY472" s="40"/>
      <c r="BZ472" s="40"/>
      <c r="CA472" s="40"/>
      <c r="CB472" s="40"/>
      <c r="CC472" s="40"/>
      <c r="CD472" s="40"/>
      <c r="CE472" s="40"/>
      <c r="CF472" s="40"/>
      <c r="CG472" s="40"/>
      <c r="CH472" s="40"/>
      <c r="CI472" s="40"/>
      <c r="CJ472" s="40"/>
      <c r="CK472" s="40"/>
      <c r="CL472" s="40"/>
      <c r="CM472" s="40"/>
      <c r="CN472" s="40"/>
      <c r="CO472" s="40"/>
      <c r="CP472" s="40"/>
      <c r="CQ472" s="40"/>
      <c r="CR472" s="40"/>
      <c r="CS472" s="40"/>
      <c r="CT472" s="40"/>
      <c r="CU472" s="40"/>
      <c r="CV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  <c r="BW473" s="40"/>
      <c r="BX473" s="40"/>
      <c r="BY473" s="40"/>
      <c r="BZ473" s="40"/>
      <c r="CA473" s="40"/>
      <c r="CB473" s="40"/>
      <c r="CC473" s="40"/>
      <c r="CD473" s="40"/>
      <c r="CE473" s="40"/>
      <c r="CF473" s="40"/>
      <c r="CG473" s="40"/>
      <c r="CH473" s="40"/>
      <c r="CI473" s="40"/>
      <c r="CJ473" s="40"/>
      <c r="CK473" s="40"/>
      <c r="CL473" s="40"/>
      <c r="CM473" s="40"/>
      <c r="CN473" s="40"/>
      <c r="CO473" s="40"/>
      <c r="CP473" s="40"/>
      <c r="CQ473" s="40"/>
      <c r="CR473" s="40"/>
      <c r="CS473" s="40"/>
      <c r="CT473" s="40"/>
      <c r="CU473" s="40"/>
      <c r="CV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  <c r="BW474" s="40"/>
      <c r="BX474" s="40"/>
      <c r="BY474" s="40"/>
      <c r="BZ474" s="40"/>
      <c r="CA474" s="40"/>
      <c r="CB474" s="40"/>
      <c r="CC474" s="40"/>
      <c r="CD474" s="40"/>
      <c r="CE474" s="40"/>
      <c r="CF474" s="40"/>
      <c r="CG474" s="40"/>
      <c r="CH474" s="40"/>
      <c r="CI474" s="40"/>
      <c r="CJ474" s="40"/>
      <c r="CK474" s="40"/>
      <c r="CL474" s="40"/>
      <c r="CM474" s="40"/>
      <c r="CN474" s="40"/>
      <c r="CO474" s="40"/>
      <c r="CP474" s="40"/>
      <c r="CQ474" s="40"/>
      <c r="CR474" s="40"/>
      <c r="CS474" s="40"/>
      <c r="CT474" s="40"/>
      <c r="CU474" s="40"/>
      <c r="CV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  <c r="BW475" s="40"/>
      <c r="BX475" s="40"/>
      <c r="BY475" s="40"/>
      <c r="BZ475" s="40"/>
      <c r="CA475" s="40"/>
      <c r="CB475" s="40"/>
      <c r="CC475" s="40"/>
      <c r="CD475" s="40"/>
      <c r="CE475" s="40"/>
      <c r="CF475" s="40"/>
      <c r="CG475" s="40"/>
      <c r="CH475" s="40"/>
      <c r="CI475" s="40"/>
      <c r="CJ475" s="40"/>
      <c r="CK475" s="40"/>
      <c r="CL475" s="40"/>
      <c r="CM475" s="40"/>
      <c r="CN475" s="40"/>
      <c r="CO475" s="40"/>
      <c r="CP475" s="40"/>
      <c r="CQ475" s="40"/>
      <c r="CR475" s="40"/>
      <c r="CS475" s="40"/>
      <c r="CT475" s="40"/>
      <c r="CU475" s="40"/>
      <c r="CV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  <c r="BW476" s="40"/>
      <c r="BX476" s="40"/>
      <c r="BY476" s="40"/>
      <c r="BZ476" s="40"/>
      <c r="CA476" s="40"/>
      <c r="CB476" s="40"/>
      <c r="CC476" s="40"/>
      <c r="CD476" s="40"/>
      <c r="CE476" s="40"/>
      <c r="CF476" s="40"/>
      <c r="CG476" s="40"/>
      <c r="CH476" s="40"/>
      <c r="CI476" s="40"/>
      <c r="CJ476" s="40"/>
      <c r="CK476" s="40"/>
      <c r="CL476" s="40"/>
      <c r="CM476" s="40"/>
      <c r="CN476" s="40"/>
      <c r="CO476" s="40"/>
      <c r="CP476" s="40"/>
      <c r="CQ476" s="40"/>
      <c r="CR476" s="40"/>
      <c r="CS476" s="40"/>
      <c r="CT476" s="40"/>
      <c r="CU476" s="40"/>
      <c r="CV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  <c r="BW477" s="40"/>
      <c r="BX477" s="40"/>
      <c r="BY477" s="40"/>
      <c r="BZ477" s="40"/>
      <c r="CA477" s="40"/>
      <c r="CB477" s="40"/>
      <c r="CC477" s="40"/>
      <c r="CD477" s="40"/>
      <c r="CE477" s="40"/>
      <c r="CF477" s="40"/>
      <c r="CG477" s="40"/>
      <c r="CH477" s="40"/>
      <c r="CI477" s="40"/>
      <c r="CJ477" s="40"/>
      <c r="CK477" s="40"/>
      <c r="CL477" s="40"/>
      <c r="CM477" s="40"/>
      <c r="CN477" s="40"/>
      <c r="CO477" s="40"/>
      <c r="CP477" s="40"/>
      <c r="CQ477" s="40"/>
      <c r="CR477" s="40"/>
      <c r="CS477" s="40"/>
      <c r="CT477" s="40"/>
      <c r="CU477" s="40"/>
      <c r="CV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  <c r="BW478" s="40"/>
      <c r="BX478" s="40"/>
      <c r="BY478" s="40"/>
      <c r="BZ478" s="40"/>
      <c r="CA478" s="40"/>
      <c r="CB478" s="40"/>
      <c r="CC478" s="40"/>
      <c r="CD478" s="40"/>
      <c r="CE478" s="40"/>
      <c r="CF478" s="40"/>
      <c r="CG478" s="40"/>
      <c r="CH478" s="40"/>
      <c r="CI478" s="40"/>
      <c r="CJ478" s="40"/>
      <c r="CK478" s="40"/>
      <c r="CL478" s="40"/>
      <c r="CM478" s="40"/>
      <c r="CN478" s="40"/>
      <c r="CO478" s="40"/>
      <c r="CP478" s="40"/>
      <c r="CQ478" s="40"/>
      <c r="CR478" s="40"/>
      <c r="CS478" s="40"/>
      <c r="CT478" s="40"/>
      <c r="CU478" s="40"/>
      <c r="CV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  <c r="BW479" s="40"/>
      <c r="BX479" s="40"/>
      <c r="BY479" s="40"/>
      <c r="BZ479" s="40"/>
      <c r="CA479" s="40"/>
      <c r="CB479" s="40"/>
      <c r="CC479" s="40"/>
      <c r="CD479" s="40"/>
      <c r="CE479" s="40"/>
      <c r="CF479" s="40"/>
      <c r="CG479" s="40"/>
      <c r="CH479" s="40"/>
      <c r="CI479" s="40"/>
      <c r="CJ479" s="40"/>
      <c r="CK479" s="40"/>
      <c r="CL479" s="40"/>
      <c r="CM479" s="40"/>
      <c r="CN479" s="40"/>
      <c r="CO479" s="40"/>
      <c r="CP479" s="40"/>
      <c r="CQ479" s="40"/>
      <c r="CR479" s="40"/>
      <c r="CS479" s="40"/>
      <c r="CT479" s="40"/>
      <c r="CU479" s="40"/>
      <c r="CV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  <c r="BW480" s="40"/>
      <c r="BX480" s="40"/>
      <c r="BY480" s="40"/>
      <c r="BZ480" s="40"/>
      <c r="CA480" s="40"/>
      <c r="CB480" s="40"/>
      <c r="CC480" s="40"/>
      <c r="CD480" s="40"/>
      <c r="CE480" s="40"/>
      <c r="CF480" s="40"/>
      <c r="CG480" s="40"/>
      <c r="CH480" s="40"/>
      <c r="CI480" s="40"/>
      <c r="CJ480" s="40"/>
      <c r="CK480" s="40"/>
      <c r="CL480" s="40"/>
      <c r="CM480" s="40"/>
      <c r="CN480" s="40"/>
      <c r="CO480" s="40"/>
      <c r="CP480" s="40"/>
      <c r="CQ480" s="40"/>
      <c r="CR480" s="40"/>
      <c r="CS480" s="40"/>
      <c r="CT480" s="40"/>
      <c r="CU480" s="40"/>
      <c r="CV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  <c r="BW481" s="40"/>
      <c r="BX481" s="40"/>
      <c r="BY481" s="40"/>
      <c r="BZ481" s="40"/>
      <c r="CA481" s="40"/>
      <c r="CB481" s="40"/>
      <c r="CC481" s="40"/>
      <c r="CD481" s="40"/>
      <c r="CE481" s="40"/>
      <c r="CF481" s="40"/>
      <c r="CG481" s="40"/>
      <c r="CH481" s="40"/>
      <c r="CI481" s="40"/>
      <c r="CJ481" s="40"/>
      <c r="CK481" s="40"/>
      <c r="CL481" s="40"/>
      <c r="CM481" s="40"/>
      <c r="CN481" s="40"/>
      <c r="CO481" s="40"/>
      <c r="CP481" s="40"/>
      <c r="CQ481" s="40"/>
      <c r="CR481" s="40"/>
      <c r="CS481" s="40"/>
      <c r="CT481" s="40"/>
      <c r="CU481" s="40"/>
      <c r="CV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  <c r="BW482" s="40"/>
      <c r="BX482" s="40"/>
      <c r="BY482" s="40"/>
      <c r="BZ482" s="40"/>
      <c r="CA482" s="40"/>
      <c r="CB482" s="40"/>
      <c r="CC482" s="40"/>
      <c r="CD482" s="40"/>
      <c r="CE482" s="40"/>
      <c r="CF482" s="40"/>
      <c r="CG482" s="40"/>
      <c r="CH482" s="40"/>
      <c r="CI482" s="40"/>
      <c r="CJ482" s="40"/>
      <c r="CK482" s="40"/>
      <c r="CL482" s="40"/>
      <c r="CM482" s="40"/>
      <c r="CN482" s="40"/>
      <c r="CO482" s="40"/>
      <c r="CP482" s="40"/>
      <c r="CQ482" s="40"/>
      <c r="CR482" s="40"/>
      <c r="CS482" s="40"/>
      <c r="CT482" s="40"/>
      <c r="CU482" s="40"/>
      <c r="CV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  <c r="BW483" s="40"/>
      <c r="BX483" s="40"/>
      <c r="BY483" s="40"/>
      <c r="BZ483" s="40"/>
      <c r="CA483" s="40"/>
      <c r="CB483" s="40"/>
      <c r="CC483" s="40"/>
      <c r="CD483" s="40"/>
      <c r="CE483" s="40"/>
      <c r="CF483" s="40"/>
      <c r="CG483" s="40"/>
      <c r="CH483" s="40"/>
      <c r="CI483" s="40"/>
      <c r="CJ483" s="40"/>
      <c r="CK483" s="40"/>
      <c r="CL483" s="40"/>
      <c r="CM483" s="40"/>
      <c r="CN483" s="40"/>
      <c r="CO483" s="40"/>
      <c r="CP483" s="40"/>
      <c r="CQ483" s="40"/>
      <c r="CR483" s="40"/>
      <c r="CS483" s="40"/>
      <c r="CT483" s="40"/>
      <c r="CU483" s="40"/>
      <c r="CV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  <c r="BW484" s="40"/>
      <c r="BX484" s="40"/>
      <c r="BY484" s="40"/>
      <c r="BZ484" s="40"/>
      <c r="CA484" s="40"/>
      <c r="CB484" s="40"/>
      <c r="CC484" s="40"/>
      <c r="CD484" s="40"/>
      <c r="CE484" s="40"/>
      <c r="CF484" s="40"/>
      <c r="CG484" s="40"/>
      <c r="CH484" s="40"/>
      <c r="CI484" s="40"/>
      <c r="CJ484" s="40"/>
      <c r="CK484" s="40"/>
      <c r="CL484" s="40"/>
      <c r="CM484" s="40"/>
      <c r="CN484" s="40"/>
      <c r="CO484" s="40"/>
      <c r="CP484" s="40"/>
      <c r="CQ484" s="40"/>
      <c r="CR484" s="40"/>
      <c r="CS484" s="40"/>
      <c r="CT484" s="40"/>
      <c r="CU484" s="40"/>
      <c r="CV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  <c r="BW485" s="40"/>
      <c r="BX485" s="40"/>
      <c r="BY485" s="40"/>
      <c r="BZ485" s="40"/>
      <c r="CA485" s="40"/>
      <c r="CB485" s="40"/>
      <c r="CC485" s="40"/>
      <c r="CD485" s="40"/>
      <c r="CE485" s="40"/>
      <c r="CF485" s="40"/>
      <c r="CG485" s="40"/>
      <c r="CH485" s="40"/>
      <c r="CI485" s="40"/>
      <c r="CJ485" s="40"/>
      <c r="CK485" s="40"/>
      <c r="CL485" s="40"/>
      <c r="CM485" s="40"/>
      <c r="CN485" s="40"/>
      <c r="CO485" s="40"/>
      <c r="CP485" s="40"/>
      <c r="CQ485" s="40"/>
      <c r="CR485" s="40"/>
      <c r="CS485" s="40"/>
      <c r="CT485" s="40"/>
      <c r="CU485" s="40"/>
      <c r="CV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  <c r="BW486" s="40"/>
      <c r="BX486" s="40"/>
      <c r="BY486" s="40"/>
      <c r="BZ486" s="40"/>
      <c r="CA486" s="40"/>
      <c r="CB486" s="40"/>
      <c r="CC486" s="40"/>
      <c r="CD486" s="40"/>
      <c r="CE486" s="40"/>
      <c r="CF486" s="40"/>
      <c r="CG486" s="40"/>
      <c r="CH486" s="40"/>
      <c r="CI486" s="40"/>
      <c r="CJ486" s="40"/>
      <c r="CK486" s="40"/>
      <c r="CL486" s="40"/>
      <c r="CM486" s="40"/>
      <c r="CN486" s="40"/>
      <c r="CO486" s="40"/>
      <c r="CP486" s="40"/>
      <c r="CQ486" s="40"/>
      <c r="CR486" s="40"/>
      <c r="CS486" s="40"/>
      <c r="CT486" s="40"/>
      <c r="CU486" s="40"/>
      <c r="CV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  <c r="BW487" s="40"/>
      <c r="BX487" s="40"/>
      <c r="BY487" s="40"/>
      <c r="BZ487" s="40"/>
      <c r="CA487" s="40"/>
      <c r="CB487" s="40"/>
      <c r="CC487" s="40"/>
      <c r="CD487" s="40"/>
      <c r="CE487" s="40"/>
      <c r="CF487" s="40"/>
      <c r="CG487" s="40"/>
      <c r="CH487" s="40"/>
      <c r="CI487" s="40"/>
      <c r="CJ487" s="40"/>
      <c r="CK487" s="40"/>
      <c r="CL487" s="40"/>
      <c r="CM487" s="40"/>
      <c r="CN487" s="40"/>
      <c r="CO487" s="40"/>
      <c r="CP487" s="40"/>
      <c r="CQ487" s="40"/>
      <c r="CR487" s="40"/>
      <c r="CS487" s="40"/>
      <c r="CT487" s="40"/>
      <c r="CU487" s="40"/>
      <c r="CV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  <c r="BW488" s="40"/>
      <c r="BX488" s="40"/>
      <c r="BY488" s="40"/>
      <c r="BZ488" s="40"/>
      <c r="CA488" s="40"/>
      <c r="CB488" s="40"/>
      <c r="CC488" s="40"/>
      <c r="CD488" s="40"/>
      <c r="CE488" s="40"/>
      <c r="CF488" s="40"/>
      <c r="CG488" s="40"/>
      <c r="CH488" s="40"/>
      <c r="CI488" s="40"/>
      <c r="CJ488" s="40"/>
      <c r="CK488" s="40"/>
      <c r="CL488" s="40"/>
      <c r="CM488" s="40"/>
      <c r="CN488" s="40"/>
      <c r="CO488" s="40"/>
      <c r="CP488" s="40"/>
      <c r="CQ488" s="40"/>
      <c r="CR488" s="40"/>
      <c r="CS488" s="40"/>
      <c r="CT488" s="40"/>
      <c r="CU488" s="40"/>
      <c r="CV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  <c r="BW489" s="40"/>
      <c r="BX489" s="40"/>
      <c r="BY489" s="40"/>
      <c r="BZ489" s="40"/>
      <c r="CA489" s="40"/>
      <c r="CB489" s="40"/>
      <c r="CC489" s="40"/>
      <c r="CD489" s="40"/>
      <c r="CE489" s="40"/>
      <c r="CF489" s="40"/>
      <c r="CG489" s="40"/>
      <c r="CH489" s="40"/>
      <c r="CI489" s="40"/>
      <c r="CJ489" s="40"/>
      <c r="CK489" s="40"/>
      <c r="CL489" s="40"/>
      <c r="CM489" s="40"/>
      <c r="CN489" s="40"/>
      <c r="CO489" s="40"/>
      <c r="CP489" s="40"/>
      <c r="CQ489" s="40"/>
      <c r="CR489" s="40"/>
      <c r="CS489" s="40"/>
      <c r="CT489" s="40"/>
      <c r="CU489" s="40"/>
      <c r="CV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  <c r="BW490" s="40"/>
      <c r="BX490" s="40"/>
      <c r="BY490" s="40"/>
      <c r="BZ490" s="40"/>
      <c r="CA490" s="40"/>
      <c r="CB490" s="40"/>
      <c r="CC490" s="40"/>
      <c r="CD490" s="40"/>
      <c r="CE490" s="40"/>
      <c r="CF490" s="40"/>
      <c r="CG490" s="40"/>
      <c r="CH490" s="40"/>
      <c r="CI490" s="40"/>
      <c r="CJ490" s="40"/>
      <c r="CK490" s="40"/>
      <c r="CL490" s="40"/>
      <c r="CM490" s="40"/>
      <c r="CN490" s="40"/>
      <c r="CO490" s="40"/>
      <c r="CP490" s="40"/>
      <c r="CQ490" s="40"/>
      <c r="CR490" s="40"/>
      <c r="CS490" s="40"/>
      <c r="CT490" s="40"/>
      <c r="CU490" s="40"/>
      <c r="CV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  <c r="BW491" s="40"/>
      <c r="BX491" s="40"/>
      <c r="BY491" s="40"/>
      <c r="BZ491" s="40"/>
      <c r="CA491" s="40"/>
      <c r="CB491" s="40"/>
      <c r="CC491" s="40"/>
      <c r="CD491" s="40"/>
      <c r="CE491" s="40"/>
      <c r="CF491" s="40"/>
      <c r="CG491" s="40"/>
      <c r="CH491" s="40"/>
      <c r="CI491" s="40"/>
      <c r="CJ491" s="40"/>
      <c r="CK491" s="40"/>
      <c r="CL491" s="40"/>
      <c r="CM491" s="40"/>
      <c r="CN491" s="40"/>
      <c r="CO491" s="40"/>
      <c r="CP491" s="40"/>
      <c r="CQ491" s="40"/>
      <c r="CR491" s="40"/>
      <c r="CS491" s="40"/>
      <c r="CT491" s="40"/>
      <c r="CU491" s="40"/>
      <c r="CV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  <c r="BW492" s="40"/>
      <c r="BX492" s="40"/>
      <c r="BY492" s="40"/>
      <c r="BZ492" s="40"/>
      <c r="CA492" s="40"/>
      <c r="CB492" s="40"/>
      <c r="CC492" s="40"/>
      <c r="CD492" s="40"/>
      <c r="CE492" s="40"/>
      <c r="CF492" s="40"/>
      <c r="CG492" s="40"/>
      <c r="CH492" s="40"/>
      <c r="CI492" s="40"/>
      <c r="CJ492" s="40"/>
      <c r="CK492" s="40"/>
      <c r="CL492" s="40"/>
      <c r="CM492" s="40"/>
      <c r="CN492" s="40"/>
      <c r="CO492" s="40"/>
      <c r="CP492" s="40"/>
      <c r="CQ492" s="40"/>
      <c r="CR492" s="40"/>
      <c r="CS492" s="40"/>
      <c r="CT492" s="40"/>
      <c r="CU492" s="40"/>
      <c r="CV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  <c r="BW493" s="40"/>
      <c r="BX493" s="40"/>
      <c r="BY493" s="40"/>
      <c r="BZ493" s="40"/>
      <c r="CA493" s="40"/>
      <c r="CB493" s="40"/>
      <c r="CC493" s="40"/>
      <c r="CD493" s="40"/>
      <c r="CE493" s="40"/>
      <c r="CF493" s="40"/>
      <c r="CG493" s="40"/>
      <c r="CH493" s="40"/>
      <c r="CI493" s="40"/>
      <c r="CJ493" s="40"/>
      <c r="CK493" s="40"/>
      <c r="CL493" s="40"/>
      <c r="CM493" s="40"/>
      <c r="CN493" s="40"/>
      <c r="CO493" s="40"/>
      <c r="CP493" s="40"/>
      <c r="CQ493" s="40"/>
      <c r="CR493" s="40"/>
      <c r="CS493" s="40"/>
      <c r="CT493" s="40"/>
      <c r="CU493" s="40"/>
      <c r="CV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  <c r="BW494" s="40"/>
      <c r="BX494" s="40"/>
      <c r="BY494" s="40"/>
      <c r="BZ494" s="40"/>
      <c r="CA494" s="40"/>
      <c r="CB494" s="40"/>
      <c r="CC494" s="40"/>
      <c r="CD494" s="40"/>
      <c r="CE494" s="40"/>
      <c r="CF494" s="40"/>
      <c r="CG494" s="40"/>
      <c r="CH494" s="40"/>
      <c r="CI494" s="40"/>
      <c r="CJ494" s="40"/>
      <c r="CK494" s="40"/>
      <c r="CL494" s="40"/>
      <c r="CM494" s="40"/>
      <c r="CN494" s="40"/>
      <c r="CO494" s="40"/>
      <c r="CP494" s="40"/>
      <c r="CQ494" s="40"/>
      <c r="CR494" s="40"/>
      <c r="CS494" s="40"/>
      <c r="CT494" s="40"/>
      <c r="CU494" s="40"/>
      <c r="CV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  <c r="BW495" s="40"/>
      <c r="BX495" s="40"/>
      <c r="BY495" s="40"/>
      <c r="BZ495" s="40"/>
      <c r="CA495" s="40"/>
      <c r="CB495" s="40"/>
      <c r="CC495" s="40"/>
      <c r="CD495" s="40"/>
      <c r="CE495" s="40"/>
      <c r="CF495" s="40"/>
      <c r="CG495" s="40"/>
      <c r="CH495" s="40"/>
      <c r="CI495" s="40"/>
      <c r="CJ495" s="40"/>
      <c r="CK495" s="40"/>
      <c r="CL495" s="40"/>
      <c r="CM495" s="40"/>
      <c r="CN495" s="40"/>
      <c r="CO495" s="40"/>
      <c r="CP495" s="40"/>
      <c r="CQ495" s="40"/>
      <c r="CR495" s="40"/>
      <c r="CS495" s="40"/>
      <c r="CT495" s="40"/>
      <c r="CU495" s="40"/>
      <c r="CV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  <c r="BW496" s="40"/>
      <c r="BX496" s="40"/>
      <c r="BY496" s="40"/>
      <c r="BZ496" s="40"/>
      <c r="CA496" s="40"/>
      <c r="CB496" s="40"/>
      <c r="CC496" s="40"/>
      <c r="CD496" s="40"/>
      <c r="CE496" s="40"/>
      <c r="CF496" s="40"/>
      <c r="CG496" s="40"/>
      <c r="CH496" s="40"/>
      <c r="CI496" s="40"/>
      <c r="CJ496" s="40"/>
      <c r="CK496" s="40"/>
      <c r="CL496" s="40"/>
      <c r="CM496" s="40"/>
      <c r="CN496" s="40"/>
      <c r="CO496" s="40"/>
      <c r="CP496" s="40"/>
      <c r="CQ496" s="40"/>
      <c r="CR496" s="40"/>
      <c r="CS496" s="40"/>
      <c r="CT496" s="40"/>
      <c r="CU496" s="40"/>
      <c r="CV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  <c r="BW497" s="40"/>
      <c r="BX497" s="40"/>
      <c r="BY497" s="40"/>
      <c r="BZ497" s="40"/>
      <c r="CA497" s="40"/>
      <c r="CB497" s="40"/>
      <c r="CC497" s="40"/>
      <c r="CD497" s="40"/>
      <c r="CE497" s="40"/>
      <c r="CF497" s="40"/>
      <c r="CG497" s="40"/>
      <c r="CH497" s="40"/>
      <c r="CI497" s="40"/>
      <c r="CJ497" s="40"/>
      <c r="CK497" s="40"/>
      <c r="CL497" s="40"/>
      <c r="CM497" s="40"/>
      <c r="CN497" s="40"/>
      <c r="CO497" s="40"/>
      <c r="CP497" s="40"/>
      <c r="CQ497" s="40"/>
      <c r="CR497" s="40"/>
      <c r="CS497" s="40"/>
      <c r="CT497" s="40"/>
      <c r="CU497" s="40"/>
      <c r="CV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  <c r="BW498" s="40"/>
      <c r="BX498" s="40"/>
      <c r="BY498" s="40"/>
      <c r="BZ498" s="40"/>
      <c r="CA498" s="40"/>
      <c r="CB498" s="40"/>
      <c r="CC498" s="40"/>
      <c r="CD498" s="40"/>
      <c r="CE498" s="40"/>
      <c r="CF498" s="40"/>
      <c r="CG498" s="40"/>
      <c r="CH498" s="40"/>
      <c r="CI498" s="40"/>
      <c r="CJ498" s="40"/>
      <c r="CK498" s="40"/>
      <c r="CL498" s="40"/>
      <c r="CM498" s="40"/>
      <c r="CN498" s="40"/>
      <c r="CO498" s="40"/>
      <c r="CP498" s="40"/>
      <c r="CQ498" s="40"/>
      <c r="CR498" s="40"/>
      <c r="CS498" s="40"/>
      <c r="CT498" s="40"/>
      <c r="CU498" s="40"/>
      <c r="CV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  <c r="BW499" s="40"/>
      <c r="BX499" s="40"/>
      <c r="BY499" s="40"/>
      <c r="BZ499" s="40"/>
      <c r="CA499" s="40"/>
      <c r="CB499" s="40"/>
      <c r="CC499" s="40"/>
      <c r="CD499" s="40"/>
      <c r="CE499" s="40"/>
      <c r="CF499" s="40"/>
      <c r="CG499" s="40"/>
      <c r="CH499" s="40"/>
      <c r="CI499" s="40"/>
      <c r="CJ499" s="40"/>
      <c r="CK499" s="40"/>
      <c r="CL499" s="40"/>
      <c r="CM499" s="40"/>
      <c r="CN499" s="40"/>
      <c r="CO499" s="40"/>
      <c r="CP499" s="40"/>
      <c r="CQ499" s="40"/>
      <c r="CR499" s="40"/>
      <c r="CS499" s="40"/>
      <c r="CT499" s="40"/>
      <c r="CU499" s="40"/>
      <c r="CV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  <c r="BW500" s="40"/>
      <c r="BX500" s="40"/>
      <c r="BY500" s="40"/>
      <c r="BZ500" s="40"/>
      <c r="CA500" s="40"/>
      <c r="CB500" s="40"/>
      <c r="CC500" s="40"/>
      <c r="CD500" s="40"/>
      <c r="CE500" s="40"/>
      <c r="CF500" s="40"/>
      <c r="CG500" s="40"/>
      <c r="CH500" s="40"/>
      <c r="CI500" s="40"/>
      <c r="CJ500" s="40"/>
      <c r="CK500" s="40"/>
      <c r="CL500" s="40"/>
      <c r="CM500" s="40"/>
      <c r="CN500" s="40"/>
      <c r="CO500" s="40"/>
      <c r="CP500" s="40"/>
      <c r="CQ500" s="40"/>
      <c r="CR500" s="40"/>
      <c r="CS500" s="40"/>
      <c r="CT500" s="40"/>
      <c r="CU500" s="40"/>
      <c r="CV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  <c r="BW501" s="40"/>
      <c r="BX501" s="40"/>
      <c r="BY501" s="40"/>
      <c r="BZ501" s="40"/>
      <c r="CA501" s="40"/>
      <c r="CB501" s="40"/>
      <c r="CC501" s="40"/>
      <c r="CD501" s="40"/>
      <c r="CE501" s="40"/>
      <c r="CF501" s="40"/>
      <c r="CG501" s="40"/>
      <c r="CH501" s="40"/>
      <c r="CI501" s="40"/>
      <c r="CJ501" s="40"/>
      <c r="CK501" s="40"/>
      <c r="CL501" s="40"/>
      <c r="CM501" s="40"/>
      <c r="CN501" s="40"/>
      <c r="CO501" s="40"/>
      <c r="CP501" s="40"/>
      <c r="CQ501" s="40"/>
      <c r="CR501" s="40"/>
      <c r="CS501" s="40"/>
      <c r="CT501" s="40"/>
      <c r="CU501" s="40"/>
      <c r="CV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  <c r="BW502" s="40"/>
      <c r="BX502" s="40"/>
      <c r="BY502" s="40"/>
      <c r="BZ502" s="40"/>
      <c r="CA502" s="40"/>
      <c r="CB502" s="40"/>
      <c r="CC502" s="40"/>
      <c r="CD502" s="40"/>
      <c r="CE502" s="40"/>
      <c r="CF502" s="40"/>
      <c r="CG502" s="40"/>
      <c r="CH502" s="40"/>
      <c r="CI502" s="40"/>
      <c r="CJ502" s="40"/>
      <c r="CK502" s="40"/>
      <c r="CL502" s="40"/>
      <c r="CM502" s="40"/>
      <c r="CN502" s="40"/>
      <c r="CO502" s="40"/>
      <c r="CP502" s="40"/>
      <c r="CQ502" s="40"/>
      <c r="CR502" s="40"/>
      <c r="CS502" s="40"/>
      <c r="CT502" s="40"/>
      <c r="CU502" s="40"/>
      <c r="CV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  <c r="BW503" s="40"/>
      <c r="BX503" s="40"/>
      <c r="BY503" s="40"/>
      <c r="BZ503" s="40"/>
      <c r="CA503" s="40"/>
      <c r="CB503" s="40"/>
      <c r="CC503" s="40"/>
      <c r="CD503" s="40"/>
      <c r="CE503" s="40"/>
      <c r="CF503" s="40"/>
      <c r="CG503" s="40"/>
      <c r="CH503" s="40"/>
      <c r="CI503" s="40"/>
      <c r="CJ503" s="40"/>
      <c r="CK503" s="40"/>
      <c r="CL503" s="40"/>
      <c r="CM503" s="40"/>
      <c r="CN503" s="40"/>
      <c r="CO503" s="40"/>
      <c r="CP503" s="40"/>
      <c r="CQ503" s="40"/>
      <c r="CR503" s="40"/>
      <c r="CS503" s="40"/>
      <c r="CT503" s="40"/>
      <c r="CU503" s="40"/>
      <c r="CV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  <c r="BW504" s="40"/>
      <c r="BX504" s="40"/>
      <c r="BY504" s="40"/>
      <c r="BZ504" s="40"/>
      <c r="CA504" s="40"/>
      <c r="CB504" s="40"/>
      <c r="CC504" s="40"/>
      <c r="CD504" s="40"/>
      <c r="CE504" s="40"/>
      <c r="CF504" s="40"/>
      <c r="CG504" s="40"/>
      <c r="CH504" s="40"/>
      <c r="CI504" s="40"/>
      <c r="CJ504" s="40"/>
      <c r="CK504" s="40"/>
      <c r="CL504" s="40"/>
      <c r="CM504" s="40"/>
      <c r="CN504" s="40"/>
      <c r="CO504" s="40"/>
      <c r="CP504" s="40"/>
      <c r="CQ504" s="40"/>
      <c r="CR504" s="40"/>
      <c r="CS504" s="40"/>
      <c r="CT504" s="40"/>
      <c r="CU504" s="40"/>
      <c r="CV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  <c r="BW505" s="40"/>
      <c r="BX505" s="40"/>
      <c r="BY505" s="40"/>
      <c r="BZ505" s="40"/>
      <c r="CA505" s="40"/>
      <c r="CB505" s="40"/>
      <c r="CC505" s="40"/>
      <c r="CD505" s="40"/>
      <c r="CE505" s="40"/>
      <c r="CF505" s="40"/>
      <c r="CG505" s="40"/>
      <c r="CH505" s="40"/>
      <c r="CI505" s="40"/>
      <c r="CJ505" s="40"/>
      <c r="CK505" s="40"/>
      <c r="CL505" s="40"/>
      <c r="CM505" s="40"/>
      <c r="CN505" s="40"/>
      <c r="CO505" s="40"/>
      <c r="CP505" s="40"/>
      <c r="CQ505" s="40"/>
      <c r="CR505" s="40"/>
      <c r="CS505" s="40"/>
      <c r="CT505" s="40"/>
      <c r="CU505" s="40"/>
      <c r="CV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  <c r="BW506" s="40"/>
      <c r="BX506" s="40"/>
      <c r="BY506" s="40"/>
      <c r="BZ506" s="40"/>
      <c r="CA506" s="40"/>
      <c r="CB506" s="40"/>
      <c r="CC506" s="40"/>
      <c r="CD506" s="40"/>
      <c r="CE506" s="40"/>
      <c r="CF506" s="40"/>
      <c r="CG506" s="40"/>
      <c r="CH506" s="40"/>
      <c r="CI506" s="40"/>
      <c r="CJ506" s="40"/>
      <c r="CK506" s="40"/>
      <c r="CL506" s="40"/>
      <c r="CM506" s="40"/>
      <c r="CN506" s="40"/>
      <c r="CO506" s="40"/>
      <c r="CP506" s="40"/>
      <c r="CQ506" s="40"/>
      <c r="CR506" s="40"/>
      <c r="CS506" s="40"/>
      <c r="CT506" s="40"/>
      <c r="CU506" s="40"/>
      <c r="CV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  <c r="BW507" s="40"/>
      <c r="BX507" s="40"/>
      <c r="BY507" s="40"/>
      <c r="BZ507" s="40"/>
      <c r="CA507" s="40"/>
      <c r="CB507" s="40"/>
      <c r="CC507" s="40"/>
      <c r="CD507" s="40"/>
      <c r="CE507" s="40"/>
      <c r="CF507" s="40"/>
      <c r="CG507" s="40"/>
      <c r="CH507" s="40"/>
      <c r="CI507" s="40"/>
      <c r="CJ507" s="40"/>
      <c r="CK507" s="40"/>
      <c r="CL507" s="40"/>
      <c r="CM507" s="40"/>
      <c r="CN507" s="40"/>
      <c r="CO507" s="40"/>
      <c r="CP507" s="40"/>
      <c r="CQ507" s="40"/>
      <c r="CR507" s="40"/>
      <c r="CS507" s="40"/>
      <c r="CT507" s="40"/>
      <c r="CU507" s="40"/>
      <c r="CV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  <c r="BW508" s="40"/>
      <c r="BX508" s="40"/>
      <c r="BY508" s="40"/>
      <c r="BZ508" s="40"/>
      <c r="CA508" s="40"/>
      <c r="CB508" s="40"/>
      <c r="CC508" s="40"/>
      <c r="CD508" s="40"/>
      <c r="CE508" s="40"/>
      <c r="CF508" s="40"/>
      <c r="CG508" s="40"/>
      <c r="CH508" s="40"/>
      <c r="CI508" s="40"/>
      <c r="CJ508" s="40"/>
      <c r="CK508" s="40"/>
      <c r="CL508" s="40"/>
      <c r="CM508" s="40"/>
      <c r="CN508" s="40"/>
      <c r="CO508" s="40"/>
      <c r="CP508" s="40"/>
      <c r="CQ508" s="40"/>
      <c r="CR508" s="40"/>
      <c r="CS508" s="40"/>
      <c r="CT508" s="40"/>
      <c r="CU508" s="40"/>
      <c r="CV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  <c r="BW509" s="40"/>
      <c r="BX509" s="40"/>
      <c r="BY509" s="40"/>
      <c r="BZ509" s="40"/>
      <c r="CA509" s="40"/>
      <c r="CB509" s="40"/>
      <c r="CC509" s="40"/>
      <c r="CD509" s="40"/>
      <c r="CE509" s="40"/>
      <c r="CF509" s="40"/>
      <c r="CG509" s="40"/>
      <c r="CH509" s="40"/>
      <c r="CI509" s="40"/>
      <c r="CJ509" s="40"/>
      <c r="CK509" s="40"/>
      <c r="CL509" s="40"/>
      <c r="CM509" s="40"/>
      <c r="CN509" s="40"/>
      <c r="CO509" s="40"/>
      <c r="CP509" s="40"/>
      <c r="CQ509" s="40"/>
      <c r="CR509" s="40"/>
      <c r="CS509" s="40"/>
      <c r="CT509" s="40"/>
      <c r="CU509" s="40"/>
      <c r="CV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  <c r="BW510" s="40"/>
      <c r="BX510" s="40"/>
      <c r="BY510" s="40"/>
      <c r="BZ510" s="40"/>
      <c r="CA510" s="40"/>
      <c r="CB510" s="40"/>
      <c r="CC510" s="40"/>
      <c r="CD510" s="40"/>
      <c r="CE510" s="40"/>
      <c r="CF510" s="40"/>
      <c r="CG510" s="40"/>
      <c r="CH510" s="40"/>
      <c r="CI510" s="40"/>
      <c r="CJ510" s="40"/>
      <c r="CK510" s="40"/>
      <c r="CL510" s="40"/>
      <c r="CM510" s="40"/>
      <c r="CN510" s="40"/>
      <c r="CO510" s="40"/>
      <c r="CP510" s="40"/>
      <c r="CQ510" s="40"/>
      <c r="CR510" s="40"/>
      <c r="CS510" s="40"/>
      <c r="CT510" s="40"/>
      <c r="CU510" s="40"/>
      <c r="CV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  <c r="BW511" s="40"/>
      <c r="BX511" s="40"/>
      <c r="BY511" s="40"/>
      <c r="BZ511" s="40"/>
      <c r="CA511" s="40"/>
      <c r="CB511" s="40"/>
      <c r="CC511" s="40"/>
      <c r="CD511" s="40"/>
      <c r="CE511" s="40"/>
      <c r="CF511" s="40"/>
      <c r="CG511" s="40"/>
      <c r="CH511" s="40"/>
      <c r="CI511" s="40"/>
      <c r="CJ511" s="40"/>
      <c r="CK511" s="40"/>
      <c r="CL511" s="40"/>
      <c r="CM511" s="40"/>
      <c r="CN511" s="40"/>
      <c r="CO511" s="40"/>
      <c r="CP511" s="40"/>
      <c r="CQ511" s="40"/>
      <c r="CR511" s="40"/>
      <c r="CS511" s="40"/>
      <c r="CT511" s="40"/>
      <c r="CU511" s="40"/>
      <c r="CV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  <c r="BW512" s="40"/>
      <c r="BX512" s="40"/>
      <c r="BY512" s="40"/>
      <c r="BZ512" s="40"/>
      <c r="CA512" s="40"/>
      <c r="CB512" s="40"/>
      <c r="CC512" s="40"/>
      <c r="CD512" s="40"/>
      <c r="CE512" s="40"/>
      <c r="CF512" s="40"/>
      <c r="CG512" s="40"/>
      <c r="CH512" s="40"/>
      <c r="CI512" s="40"/>
      <c r="CJ512" s="40"/>
      <c r="CK512" s="40"/>
      <c r="CL512" s="40"/>
      <c r="CM512" s="40"/>
      <c r="CN512" s="40"/>
      <c r="CO512" s="40"/>
      <c r="CP512" s="40"/>
      <c r="CQ512" s="40"/>
      <c r="CR512" s="40"/>
      <c r="CS512" s="40"/>
      <c r="CT512" s="40"/>
      <c r="CU512" s="40"/>
      <c r="CV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  <c r="BW513" s="40"/>
      <c r="BX513" s="40"/>
      <c r="BY513" s="40"/>
      <c r="BZ513" s="40"/>
      <c r="CA513" s="40"/>
      <c r="CB513" s="40"/>
      <c r="CC513" s="40"/>
      <c r="CD513" s="40"/>
      <c r="CE513" s="40"/>
      <c r="CF513" s="40"/>
      <c r="CG513" s="40"/>
      <c r="CH513" s="40"/>
      <c r="CI513" s="40"/>
      <c r="CJ513" s="40"/>
      <c r="CK513" s="40"/>
      <c r="CL513" s="40"/>
      <c r="CM513" s="40"/>
      <c r="CN513" s="40"/>
      <c r="CO513" s="40"/>
      <c r="CP513" s="40"/>
      <c r="CQ513" s="40"/>
      <c r="CR513" s="40"/>
      <c r="CS513" s="40"/>
      <c r="CT513" s="40"/>
      <c r="CU513" s="40"/>
      <c r="CV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  <c r="BW514" s="40"/>
      <c r="BX514" s="40"/>
      <c r="BY514" s="40"/>
      <c r="BZ514" s="40"/>
      <c r="CA514" s="40"/>
      <c r="CB514" s="40"/>
      <c r="CC514" s="40"/>
      <c r="CD514" s="40"/>
      <c r="CE514" s="40"/>
      <c r="CF514" s="40"/>
      <c r="CG514" s="40"/>
      <c r="CH514" s="40"/>
      <c r="CI514" s="40"/>
      <c r="CJ514" s="40"/>
      <c r="CK514" s="40"/>
      <c r="CL514" s="40"/>
      <c r="CM514" s="40"/>
      <c r="CN514" s="40"/>
      <c r="CO514" s="40"/>
      <c r="CP514" s="40"/>
      <c r="CQ514" s="40"/>
      <c r="CR514" s="40"/>
      <c r="CS514" s="40"/>
      <c r="CT514" s="40"/>
      <c r="CU514" s="40"/>
      <c r="CV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  <c r="BW515" s="40"/>
      <c r="BX515" s="40"/>
      <c r="BY515" s="40"/>
      <c r="BZ515" s="40"/>
      <c r="CA515" s="40"/>
      <c r="CB515" s="40"/>
      <c r="CC515" s="40"/>
      <c r="CD515" s="40"/>
      <c r="CE515" s="40"/>
      <c r="CF515" s="40"/>
      <c r="CG515" s="40"/>
      <c r="CH515" s="40"/>
      <c r="CI515" s="40"/>
      <c r="CJ515" s="40"/>
      <c r="CK515" s="40"/>
      <c r="CL515" s="40"/>
      <c r="CM515" s="40"/>
      <c r="CN515" s="40"/>
      <c r="CO515" s="40"/>
      <c r="CP515" s="40"/>
      <c r="CQ515" s="40"/>
      <c r="CR515" s="40"/>
      <c r="CS515" s="40"/>
      <c r="CT515" s="40"/>
      <c r="CU515" s="40"/>
      <c r="CV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  <c r="BW516" s="40"/>
      <c r="BX516" s="40"/>
      <c r="BY516" s="40"/>
      <c r="BZ516" s="40"/>
      <c r="CA516" s="40"/>
      <c r="CB516" s="40"/>
      <c r="CC516" s="40"/>
      <c r="CD516" s="40"/>
      <c r="CE516" s="40"/>
      <c r="CF516" s="40"/>
      <c r="CG516" s="40"/>
      <c r="CH516" s="40"/>
      <c r="CI516" s="40"/>
      <c r="CJ516" s="40"/>
      <c r="CK516" s="40"/>
      <c r="CL516" s="40"/>
      <c r="CM516" s="40"/>
      <c r="CN516" s="40"/>
      <c r="CO516" s="40"/>
      <c r="CP516" s="40"/>
      <c r="CQ516" s="40"/>
      <c r="CR516" s="40"/>
      <c r="CS516" s="40"/>
      <c r="CT516" s="40"/>
      <c r="CU516" s="40"/>
      <c r="CV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  <c r="BW517" s="40"/>
      <c r="BX517" s="40"/>
      <c r="BY517" s="40"/>
      <c r="BZ517" s="40"/>
      <c r="CA517" s="40"/>
      <c r="CB517" s="40"/>
      <c r="CC517" s="40"/>
      <c r="CD517" s="40"/>
      <c r="CE517" s="40"/>
      <c r="CF517" s="40"/>
      <c r="CG517" s="40"/>
      <c r="CH517" s="40"/>
      <c r="CI517" s="40"/>
      <c r="CJ517" s="40"/>
      <c r="CK517" s="40"/>
      <c r="CL517" s="40"/>
      <c r="CM517" s="40"/>
      <c r="CN517" s="40"/>
      <c r="CO517" s="40"/>
      <c r="CP517" s="40"/>
      <c r="CQ517" s="40"/>
      <c r="CR517" s="40"/>
      <c r="CS517" s="40"/>
      <c r="CT517" s="40"/>
      <c r="CU517" s="40"/>
      <c r="CV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  <c r="BW518" s="40"/>
      <c r="BX518" s="40"/>
      <c r="BY518" s="40"/>
      <c r="BZ518" s="40"/>
      <c r="CA518" s="40"/>
      <c r="CB518" s="40"/>
      <c r="CC518" s="40"/>
      <c r="CD518" s="40"/>
      <c r="CE518" s="40"/>
      <c r="CF518" s="40"/>
      <c r="CG518" s="40"/>
      <c r="CH518" s="40"/>
      <c r="CI518" s="40"/>
      <c r="CJ518" s="40"/>
      <c r="CK518" s="40"/>
      <c r="CL518" s="40"/>
      <c r="CM518" s="40"/>
      <c r="CN518" s="40"/>
      <c r="CO518" s="40"/>
      <c r="CP518" s="40"/>
      <c r="CQ518" s="40"/>
      <c r="CR518" s="40"/>
      <c r="CS518" s="40"/>
      <c r="CT518" s="40"/>
      <c r="CU518" s="40"/>
      <c r="CV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  <c r="BW519" s="40"/>
      <c r="BX519" s="40"/>
      <c r="BY519" s="40"/>
      <c r="BZ519" s="40"/>
      <c r="CA519" s="40"/>
      <c r="CB519" s="40"/>
      <c r="CC519" s="40"/>
      <c r="CD519" s="40"/>
      <c r="CE519" s="40"/>
      <c r="CF519" s="40"/>
      <c r="CG519" s="40"/>
      <c r="CH519" s="40"/>
      <c r="CI519" s="40"/>
      <c r="CJ519" s="40"/>
      <c r="CK519" s="40"/>
      <c r="CL519" s="40"/>
      <c r="CM519" s="40"/>
      <c r="CN519" s="40"/>
      <c r="CO519" s="40"/>
      <c r="CP519" s="40"/>
      <c r="CQ519" s="40"/>
      <c r="CR519" s="40"/>
      <c r="CS519" s="40"/>
      <c r="CT519" s="40"/>
      <c r="CU519" s="40"/>
      <c r="CV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  <c r="BW520" s="40"/>
      <c r="BX520" s="40"/>
      <c r="BY520" s="40"/>
      <c r="BZ520" s="40"/>
      <c r="CA520" s="40"/>
      <c r="CB520" s="40"/>
      <c r="CC520" s="40"/>
      <c r="CD520" s="40"/>
      <c r="CE520" s="40"/>
      <c r="CF520" s="40"/>
      <c r="CG520" s="40"/>
      <c r="CH520" s="40"/>
      <c r="CI520" s="40"/>
      <c r="CJ520" s="40"/>
      <c r="CK520" s="40"/>
      <c r="CL520" s="40"/>
      <c r="CM520" s="40"/>
      <c r="CN520" s="40"/>
      <c r="CO520" s="40"/>
      <c r="CP520" s="40"/>
      <c r="CQ520" s="40"/>
      <c r="CR520" s="40"/>
      <c r="CS520" s="40"/>
      <c r="CT520" s="40"/>
      <c r="CU520" s="40"/>
      <c r="CV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  <c r="BW521" s="40"/>
      <c r="BX521" s="40"/>
      <c r="BY521" s="40"/>
      <c r="BZ521" s="40"/>
      <c r="CA521" s="40"/>
      <c r="CB521" s="40"/>
      <c r="CC521" s="40"/>
      <c r="CD521" s="40"/>
      <c r="CE521" s="40"/>
      <c r="CF521" s="40"/>
      <c r="CG521" s="40"/>
      <c r="CH521" s="40"/>
      <c r="CI521" s="40"/>
      <c r="CJ521" s="40"/>
      <c r="CK521" s="40"/>
      <c r="CL521" s="40"/>
      <c r="CM521" s="40"/>
      <c r="CN521" s="40"/>
      <c r="CO521" s="40"/>
      <c r="CP521" s="40"/>
      <c r="CQ521" s="40"/>
      <c r="CR521" s="40"/>
      <c r="CS521" s="40"/>
      <c r="CT521" s="40"/>
      <c r="CU521" s="40"/>
      <c r="CV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  <c r="BW522" s="40"/>
      <c r="BX522" s="40"/>
      <c r="BY522" s="40"/>
      <c r="BZ522" s="40"/>
      <c r="CA522" s="40"/>
      <c r="CB522" s="40"/>
      <c r="CC522" s="40"/>
      <c r="CD522" s="40"/>
      <c r="CE522" s="40"/>
      <c r="CF522" s="40"/>
      <c r="CG522" s="40"/>
      <c r="CH522" s="40"/>
      <c r="CI522" s="40"/>
      <c r="CJ522" s="40"/>
      <c r="CK522" s="40"/>
      <c r="CL522" s="40"/>
      <c r="CM522" s="40"/>
      <c r="CN522" s="40"/>
      <c r="CO522" s="40"/>
      <c r="CP522" s="40"/>
      <c r="CQ522" s="40"/>
      <c r="CR522" s="40"/>
      <c r="CS522" s="40"/>
      <c r="CT522" s="40"/>
      <c r="CU522" s="40"/>
      <c r="CV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  <c r="BW523" s="40"/>
      <c r="BX523" s="40"/>
      <c r="BY523" s="40"/>
      <c r="BZ523" s="40"/>
      <c r="CA523" s="40"/>
      <c r="CB523" s="40"/>
      <c r="CC523" s="40"/>
      <c r="CD523" s="40"/>
      <c r="CE523" s="40"/>
      <c r="CF523" s="40"/>
      <c r="CG523" s="40"/>
      <c r="CH523" s="40"/>
      <c r="CI523" s="40"/>
      <c r="CJ523" s="40"/>
      <c r="CK523" s="40"/>
      <c r="CL523" s="40"/>
      <c r="CM523" s="40"/>
      <c r="CN523" s="40"/>
      <c r="CO523" s="40"/>
      <c r="CP523" s="40"/>
      <c r="CQ523" s="40"/>
      <c r="CR523" s="40"/>
      <c r="CS523" s="40"/>
      <c r="CT523" s="40"/>
      <c r="CU523" s="40"/>
      <c r="CV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  <c r="BW524" s="40"/>
      <c r="BX524" s="40"/>
      <c r="BY524" s="40"/>
      <c r="BZ524" s="40"/>
      <c r="CA524" s="40"/>
      <c r="CB524" s="40"/>
      <c r="CC524" s="40"/>
      <c r="CD524" s="40"/>
      <c r="CE524" s="40"/>
      <c r="CF524" s="40"/>
      <c r="CG524" s="40"/>
      <c r="CH524" s="40"/>
      <c r="CI524" s="40"/>
      <c r="CJ524" s="40"/>
      <c r="CK524" s="40"/>
      <c r="CL524" s="40"/>
      <c r="CM524" s="40"/>
      <c r="CN524" s="40"/>
      <c r="CO524" s="40"/>
      <c r="CP524" s="40"/>
      <c r="CQ524" s="40"/>
      <c r="CR524" s="40"/>
      <c r="CS524" s="40"/>
      <c r="CT524" s="40"/>
      <c r="CU524" s="40"/>
      <c r="CV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  <c r="BW525" s="40"/>
      <c r="BX525" s="40"/>
      <c r="BY525" s="40"/>
      <c r="BZ525" s="40"/>
      <c r="CA525" s="40"/>
      <c r="CB525" s="40"/>
      <c r="CC525" s="40"/>
      <c r="CD525" s="40"/>
      <c r="CE525" s="40"/>
      <c r="CF525" s="40"/>
      <c r="CG525" s="40"/>
      <c r="CH525" s="40"/>
      <c r="CI525" s="40"/>
      <c r="CJ525" s="40"/>
      <c r="CK525" s="40"/>
      <c r="CL525" s="40"/>
      <c r="CM525" s="40"/>
      <c r="CN525" s="40"/>
      <c r="CO525" s="40"/>
      <c r="CP525" s="40"/>
      <c r="CQ525" s="40"/>
      <c r="CR525" s="40"/>
      <c r="CS525" s="40"/>
      <c r="CT525" s="40"/>
      <c r="CU525" s="40"/>
      <c r="CV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  <c r="BW526" s="40"/>
      <c r="BX526" s="40"/>
      <c r="BY526" s="40"/>
      <c r="BZ526" s="40"/>
      <c r="CA526" s="40"/>
      <c r="CB526" s="40"/>
      <c r="CC526" s="40"/>
      <c r="CD526" s="40"/>
      <c r="CE526" s="40"/>
      <c r="CF526" s="40"/>
      <c r="CG526" s="40"/>
      <c r="CH526" s="40"/>
      <c r="CI526" s="40"/>
      <c r="CJ526" s="40"/>
      <c r="CK526" s="40"/>
      <c r="CL526" s="40"/>
      <c r="CM526" s="40"/>
      <c r="CN526" s="40"/>
      <c r="CO526" s="40"/>
      <c r="CP526" s="40"/>
      <c r="CQ526" s="40"/>
      <c r="CR526" s="40"/>
      <c r="CS526" s="40"/>
      <c r="CT526" s="40"/>
      <c r="CU526" s="40"/>
      <c r="CV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  <c r="BW527" s="40"/>
      <c r="BX527" s="40"/>
      <c r="BY527" s="40"/>
      <c r="BZ527" s="40"/>
      <c r="CA527" s="40"/>
      <c r="CB527" s="40"/>
      <c r="CC527" s="40"/>
      <c r="CD527" s="40"/>
      <c r="CE527" s="40"/>
      <c r="CF527" s="40"/>
      <c r="CG527" s="40"/>
      <c r="CH527" s="40"/>
      <c r="CI527" s="40"/>
      <c r="CJ527" s="40"/>
      <c r="CK527" s="40"/>
      <c r="CL527" s="40"/>
      <c r="CM527" s="40"/>
      <c r="CN527" s="40"/>
      <c r="CO527" s="40"/>
      <c r="CP527" s="40"/>
      <c r="CQ527" s="40"/>
      <c r="CR527" s="40"/>
      <c r="CS527" s="40"/>
      <c r="CT527" s="40"/>
      <c r="CU527" s="40"/>
      <c r="CV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  <c r="BW528" s="40"/>
      <c r="BX528" s="40"/>
      <c r="BY528" s="40"/>
      <c r="BZ528" s="40"/>
      <c r="CA528" s="40"/>
      <c r="CB528" s="40"/>
      <c r="CC528" s="40"/>
      <c r="CD528" s="40"/>
      <c r="CE528" s="40"/>
      <c r="CF528" s="40"/>
      <c r="CG528" s="40"/>
      <c r="CH528" s="40"/>
      <c r="CI528" s="40"/>
      <c r="CJ528" s="40"/>
      <c r="CK528" s="40"/>
      <c r="CL528" s="40"/>
      <c r="CM528" s="40"/>
      <c r="CN528" s="40"/>
      <c r="CO528" s="40"/>
      <c r="CP528" s="40"/>
      <c r="CQ528" s="40"/>
      <c r="CR528" s="40"/>
      <c r="CS528" s="40"/>
      <c r="CT528" s="40"/>
      <c r="CU528" s="40"/>
      <c r="CV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  <c r="BW529" s="40"/>
      <c r="BX529" s="40"/>
      <c r="BY529" s="40"/>
      <c r="BZ529" s="40"/>
      <c r="CA529" s="40"/>
      <c r="CB529" s="40"/>
      <c r="CC529" s="40"/>
      <c r="CD529" s="40"/>
      <c r="CE529" s="40"/>
      <c r="CF529" s="40"/>
      <c r="CG529" s="40"/>
      <c r="CH529" s="40"/>
      <c r="CI529" s="40"/>
      <c r="CJ529" s="40"/>
      <c r="CK529" s="40"/>
      <c r="CL529" s="40"/>
      <c r="CM529" s="40"/>
      <c r="CN529" s="40"/>
      <c r="CO529" s="40"/>
      <c r="CP529" s="40"/>
      <c r="CQ529" s="40"/>
      <c r="CR529" s="40"/>
      <c r="CS529" s="40"/>
      <c r="CT529" s="40"/>
      <c r="CU529" s="40"/>
      <c r="CV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  <c r="BW530" s="40"/>
      <c r="BX530" s="40"/>
      <c r="BY530" s="40"/>
      <c r="BZ530" s="40"/>
      <c r="CA530" s="40"/>
      <c r="CB530" s="40"/>
      <c r="CC530" s="40"/>
      <c r="CD530" s="40"/>
      <c r="CE530" s="40"/>
      <c r="CF530" s="40"/>
      <c r="CG530" s="40"/>
      <c r="CH530" s="40"/>
      <c r="CI530" s="40"/>
      <c r="CJ530" s="40"/>
      <c r="CK530" s="40"/>
      <c r="CL530" s="40"/>
      <c r="CM530" s="40"/>
      <c r="CN530" s="40"/>
      <c r="CO530" s="40"/>
      <c r="CP530" s="40"/>
      <c r="CQ530" s="40"/>
      <c r="CR530" s="40"/>
      <c r="CS530" s="40"/>
      <c r="CT530" s="40"/>
      <c r="CU530" s="40"/>
      <c r="CV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  <c r="BW531" s="40"/>
      <c r="BX531" s="40"/>
      <c r="BY531" s="40"/>
      <c r="BZ531" s="40"/>
      <c r="CA531" s="40"/>
      <c r="CB531" s="40"/>
      <c r="CC531" s="40"/>
      <c r="CD531" s="40"/>
      <c r="CE531" s="40"/>
      <c r="CF531" s="40"/>
      <c r="CG531" s="40"/>
      <c r="CH531" s="40"/>
      <c r="CI531" s="40"/>
      <c r="CJ531" s="40"/>
      <c r="CK531" s="40"/>
      <c r="CL531" s="40"/>
      <c r="CM531" s="40"/>
      <c r="CN531" s="40"/>
      <c r="CO531" s="40"/>
      <c r="CP531" s="40"/>
      <c r="CQ531" s="40"/>
      <c r="CR531" s="40"/>
      <c r="CS531" s="40"/>
      <c r="CT531" s="40"/>
      <c r="CU531" s="40"/>
      <c r="CV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  <c r="BW532" s="40"/>
      <c r="BX532" s="40"/>
      <c r="BY532" s="40"/>
      <c r="BZ532" s="40"/>
      <c r="CA532" s="40"/>
      <c r="CB532" s="40"/>
      <c r="CC532" s="40"/>
      <c r="CD532" s="40"/>
      <c r="CE532" s="40"/>
      <c r="CF532" s="40"/>
      <c r="CG532" s="40"/>
      <c r="CH532" s="40"/>
      <c r="CI532" s="40"/>
      <c r="CJ532" s="40"/>
      <c r="CK532" s="40"/>
      <c r="CL532" s="40"/>
      <c r="CM532" s="40"/>
      <c r="CN532" s="40"/>
      <c r="CO532" s="40"/>
      <c r="CP532" s="40"/>
      <c r="CQ532" s="40"/>
      <c r="CR532" s="40"/>
      <c r="CS532" s="40"/>
      <c r="CT532" s="40"/>
      <c r="CU532" s="40"/>
      <c r="CV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  <c r="BW533" s="40"/>
      <c r="BX533" s="40"/>
      <c r="BY533" s="40"/>
      <c r="BZ533" s="40"/>
      <c r="CA533" s="40"/>
      <c r="CB533" s="40"/>
      <c r="CC533" s="40"/>
      <c r="CD533" s="40"/>
      <c r="CE533" s="40"/>
      <c r="CF533" s="40"/>
      <c r="CG533" s="40"/>
      <c r="CH533" s="40"/>
      <c r="CI533" s="40"/>
      <c r="CJ533" s="40"/>
      <c r="CK533" s="40"/>
      <c r="CL533" s="40"/>
      <c r="CM533" s="40"/>
      <c r="CN533" s="40"/>
      <c r="CO533" s="40"/>
      <c r="CP533" s="40"/>
      <c r="CQ533" s="40"/>
      <c r="CR533" s="40"/>
      <c r="CS533" s="40"/>
      <c r="CT533" s="40"/>
      <c r="CU533" s="40"/>
      <c r="CV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  <c r="BW534" s="40"/>
      <c r="BX534" s="40"/>
      <c r="BY534" s="40"/>
      <c r="BZ534" s="40"/>
      <c r="CA534" s="40"/>
      <c r="CB534" s="40"/>
      <c r="CC534" s="40"/>
      <c r="CD534" s="40"/>
      <c r="CE534" s="40"/>
      <c r="CF534" s="40"/>
      <c r="CG534" s="40"/>
      <c r="CH534" s="40"/>
      <c r="CI534" s="40"/>
      <c r="CJ534" s="40"/>
      <c r="CK534" s="40"/>
      <c r="CL534" s="40"/>
      <c r="CM534" s="40"/>
      <c r="CN534" s="40"/>
      <c r="CO534" s="40"/>
      <c r="CP534" s="40"/>
      <c r="CQ534" s="40"/>
      <c r="CR534" s="40"/>
      <c r="CS534" s="40"/>
      <c r="CT534" s="40"/>
      <c r="CU534" s="40"/>
      <c r="CV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  <c r="BW535" s="40"/>
      <c r="BX535" s="40"/>
      <c r="BY535" s="40"/>
      <c r="BZ535" s="40"/>
      <c r="CA535" s="40"/>
      <c r="CB535" s="40"/>
      <c r="CC535" s="40"/>
      <c r="CD535" s="40"/>
      <c r="CE535" s="40"/>
      <c r="CF535" s="40"/>
      <c r="CG535" s="40"/>
      <c r="CH535" s="40"/>
      <c r="CI535" s="40"/>
      <c r="CJ535" s="40"/>
      <c r="CK535" s="40"/>
      <c r="CL535" s="40"/>
      <c r="CM535" s="40"/>
      <c r="CN535" s="40"/>
      <c r="CO535" s="40"/>
      <c r="CP535" s="40"/>
      <c r="CQ535" s="40"/>
      <c r="CR535" s="40"/>
      <c r="CS535" s="40"/>
      <c r="CT535" s="40"/>
      <c r="CU535" s="40"/>
      <c r="CV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  <c r="BW536" s="40"/>
      <c r="BX536" s="40"/>
      <c r="BY536" s="40"/>
      <c r="BZ536" s="40"/>
      <c r="CA536" s="40"/>
      <c r="CB536" s="40"/>
      <c r="CC536" s="40"/>
      <c r="CD536" s="40"/>
      <c r="CE536" s="40"/>
      <c r="CF536" s="40"/>
      <c r="CG536" s="40"/>
      <c r="CH536" s="40"/>
      <c r="CI536" s="40"/>
      <c r="CJ536" s="40"/>
      <c r="CK536" s="40"/>
      <c r="CL536" s="40"/>
      <c r="CM536" s="40"/>
      <c r="CN536" s="40"/>
      <c r="CO536" s="40"/>
      <c r="CP536" s="40"/>
      <c r="CQ536" s="40"/>
      <c r="CR536" s="40"/>
      <c r="CS536" s="40"/>
      <c r="CT536" s="40"/>
      <c r="CU536" s="40"/>
      <c r="CV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  <c r="BW537" s="40"/>
      <c r="BX537" s="40"/>
      <c r="BY537" s="40"/>
      <c r="BZ537" s="40"/>
      <c r="CA537" s="40"/>
      <c r="CB537" s="40"/>
      <c r="CC537" s="40"/>
      <c r="CD537" s="40"/>
      <c r="CE537" s="40"/>
      <c r="CF537" s="40"/>
      <c r="CG537" s="40"/>
      <c r="CH537" s="40"/>
      <c r="CI537" s="40"/>
      <c r="CJ537" s="40"/>
      <c r="CK537" s="40"/>
      <c r="CL537" s="40"/>
      <c r="CM537" s="40"/>
      <c r="CN537" s="40"/>
      <c r="CO537" s="40"/>
      <c r="CP537" s="40"/>
      <c r="CQ537" s="40"/>
      <c r="CR537" s="40"/>
      <c r="CS537" s="40"/>
      <c r="CT537" s="40"/>
      <c r="CU537" s="40"/>
      <c r="CV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  <c r="BW538" s="40"/>
      <c r="BX538" s="40"/>
      <c r="BY538" s="40"/>
      <c r="BZ538" s="40"/>
      <c r="CA538" s="40"/>
      <c r="CB538" s="40"/>
      <c r="CC538" s="40"/>
      <c r="CD538" s="40"/>
      <c r="CE538" s="40"/>
      <c r="CF538" s="40"/>
      <c r="CG538" s="40"/>
      <c r="CH538" s="40"/>
      <c r="CI538" s="40"/>
      <c r="CJ538" s="40"/>
      <c r="CK538" s="40"/>
      <c r="CL538" s="40"/>
      <c r="CM538" s="40"/>
      <c r="CN538" s="40"/>
      <c r="CO538" s="40"/>
      <c r="CP538" s="40"/>
      <c r="CQ538" s="40"/>
      <c r="CR538" s="40"/>
      <c r="CS538" s="40"/>
      <c r="CT538" s="40"/>
      <c r="CU538" s="40"/>
      <c r="CV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  <c r="BW539" s="40"/>
      <c r="BX539" s="40"/>
      <c r="BY539" s="40"/>
      <c r="BZ539" s="40"/>
      <c r="CA539" s="40"/>
      <c r="CB539" s="40"/>
      <c r="CC539" s="40"/>
      <c r="CD539" s="40"/>
      <c r="CE539" s="40"/>
      <c r="CF539" s="40"/>
      <c r="CG539" s="40"/>
      <c r="CH539" s="40"/>
      <c r="CI539" s="40"/>
      <c r="CJ539" s="40"/>
      <c r="CK539" s="40"/>
      <c r="CL539" s="40"/>
      <c r="CM539" s="40"/>
      <c r="CN539" s="40"/>
      <c r="CO539" s="40"/>
      <c r="CP539" s="40"/>
      <c r="CQ539" s="40"/>
      <c r="CR539" s="40"/>
      <c r="CS539" s="40"/>
      <c r="CT539" s="40"/>
      <c r="CU539" s="40"/>
      <c r="CV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  <c r="BW540" s="40"/>
      <c r="BX540" s="40"/>
      <c r="BY540" s="40"/>
      <c r="BZ540" s="40"/>
      <c r="CA540" s="40"/>
      <c r="CB540" s="40"/>
      <c r="CC540" s="40"/>
      <c r="CD540" s="40"/>
      <c r="CE540" s="40"/>
      <c r="CF540" s="40"/>
      <c r="CG540" s="40"/>
      <c r="CH540" s="40"/>
      <c r="CI540" s="40"/>
      <c r="CJ540" s="40"/>
      <c r="CK540" s="40"/>
      <c r="CL540" s="40"/>
      <c r="CM540" s="40"/>
      <c r="CN540" s="40"/>
      <c r="CO540" s="40"/>
      <c r="CP540" s="40"/>
      <c r="CQ540" s="40"/>
      <c r="CR540" s="40"/>
      <c r="CS540" s="40"/>
      <c r="CT540" s="40"/>
      <c r="CU540" s="40"/>
      <c r="CV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  <c r="BW541" s="40"/>
      <c r="BX541" s="40"/>
      <c r="BY541" s="40"/>
      <c r="BZ541" s="40"/>
      <c r="CA541" s="40"/>
      <c r="CB541" s="40"/>
      <c r="CC541" s="40"/>
      <c r="CD541" s="40"/>
      <c r="CE541" s="40"/>
      <c r="CF541" s="40"/>
      <c r="CG541" s="40"/>
      <c r="CH541" s="40"/>
      <c r="CI541" s="40"/>
      <c r="CJ541" s="40"/>
      <c r="CK541" s="40"/>
      <c r="CL541" s="40"/>
      <c r="CM541" s="40"/>
      <c r="CN541" s="40"/>
      <c r="CO541" s="40"/>
      <c r="CP541" s="40"/>
      <c r="CQ541" s="40"/>
      <c r="CR541" s="40"/>
      <c r="CS541" s="40"/>
      <c r="CT541" s="40"/>
      <c r="CU541" s="40"/>
      <c r="CV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  <c r="BW542" s="40"/>
      <c r="BX542" s="40"/>
      <c r="BY542" s="40"/>
      <c r="BZ542" s="40"/>
      <c r="CA542" s="40"/>
      <c r="CB542" s="40"/>
      <c r="CC542" s="40"/>
      <c r="CD542" s="40"/>
      <c r="CE542" s="40"/>
      <c r="CF542" s="40"/>
      <c r="CG542" s="40"/>
      <c r="CH542" s="40"/>
      <c r="CI542" s="40"/>
      <c r="CJ542" s="40"/>
      <c r="CK542" s="40"/>
      <c r="CL542" s="40"/>
      <c r="CM542" s="40"/>
      <c r="CN542" s="40"/>
      <c r="CO542" s="40"/>
      <c r="CP542" s="40"/>
      <c r="CQ542" s="40"/>
      <c r="CR542" s="40"/>
      <c r="CS542" s="40"/>
      <c r="CT542" s="40"/>
      <c r="CU542" s="40"/>
      <c r="CV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  <c r="BW543" s="40"/>
      <c r="BX543" s="40"/>
      <c r="BY543" s="40"/>
      <c r="BZ543" s="40"/>
      <c r="CA543" s="40"/>
      <c r="CB543" s="40"/>
      <c r="CC543" s="40"/>
      <c r="CD543" s="40"/>
      <c r="CE543" s="40"/>
      <c r="CF543" s="40"/>
      <c r="CG543" s="40"/>
      <c r="CH543" s="40"/>
      <c r="CI543" s="40"/>
      <c r="CJ543" s="40"/>
      <c r="CK543" s="40"/>
      <c r="CL543" s="40"/>
      <c r="CM543" s="40"/>
      <c r="CN543" s="40"/>
      <c r="CO543" s="40"/>
      <c r="CP543" s="40"/>
      <c r="CQ543" s="40"/>
      <c r="CR543" s="40"/>
      <c r="CS543" s="40"/>
      <c r="CT543" s="40"/>
      <c r="CU543" s="40"/>
      <c r="CV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  <c r="BW544" s="40"/>
      <c r="BX544" s="40"/>
      <c r="BY544" s="40"/>
      <c r="BZ544" s="40"/>
      <c r="CA544" s="40"/>
      <c r="CB544" s="40"/>
      <c r="CC544" s="40"/>
      <c r="CD544" s="40"/>
      <c r="CE544" s="40"/>
      <c r="CF544" s="40"/>
      <c r="CG544" s="40"/>
      <c r="CH544" s="40"/>
      <c r="CI544" s="40"/>
      <c r="CJ544" s="40"/>
      <c r="CK544" s="40"/>
      <c r="CL544" s="40"/>
      <c r="CM544" s="40"/>
      <c r="CN544" s="40"/>
      <c r="CO544" s="40"/>
      <c r="CP544" s="40"/>
      <c r="CQ544" s="40"/>
      <c r="CR544" s="40"/>
      <c r="CS544" s="40"/>
      <c r="CT544" s="40"/>
      <c r="CU544" s="40"/>
      <c r="CV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  <c r="BW545" s="40"/>
      <c r="BX545" s="40"/>
      <c r="BY545" s="40"/>
      <c r="BZ545" s="40"/>
      <c r="CA545" s="40"/>
      <c r="CB545" s="40"/>
      <c r="CC545" s="40"/>
      <c r="CD545" s="40"/>
      <c r="CE545" s="40"/>
      <c r="CF545" s="40"/>
      <c r="CG545" s="40"/>
      <c r="CH545" s="40"/>
      <c r="CI545" s="40"/>
      <c r="CJ545" s="40"/>
      <c r="CK545" s="40"/>
      <c r="CL545" s="40"/>
      <c r="CM545" s="40"/>
      <c r="CN545" s="40"/>
      <c r="CO545" s="40"/>
      <c r="CP545" s="40"/>
      <c r="CQ545" s="40"/>
      <c r="CR545" s="40"/>
      <c r="CS545" s="40"/>
      <c r="CT545" s="40"/>
      <c r="CU545" s="40"/>
      <c r="CV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  <c r="BW546" s="40"/>
      <c r="BX546" s="40"/>
      <c r="BY546" s="40"/>
      <c r="BZ546" s="40"/>
      <c r="CA546" s="40"/>
      <c r="CB546" s="40"/>
      <c r="CC546" s="40"/>
      <c r="CD546" s="40"/>
      <c r="CE546" s="40"/>
      <c r="CF546" s="40"/>
      <c r="CG546" s="40"/>
      <c r="CH546" s="40"/>
      <c r="CI546" s="40"/>
      <c r="CJ546" s="40"/>
      <c r="CK546" s="40"/>
      <c r="CL546" s="40"/>
      <c r="CM546" s="40"/>
      <c r="CN546" s="40"/>
      <c r="CO546" s="40"/>
      <c r="CP546" s="40"/>
      <c r="CQ546" s="40"/>
      <c r="CR546" s="40"/>
      <c r="CS546" s="40"/>
      <c r="CT546" s="40"/>
      <c r="CU546" s="40"/>
      <c r="CV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  <c r="BW547" s="40"/>
      <c r="BX547" s="40"/>
      <c r="BY547" s="40"/>
      <c r="BZ547" s="40"/>
      <c r="CA547" s="40"/>
      <c r="CB547" s="40"/>
      <c r="CC547" s="40"/>
      <c r="CD547" s="40"/>
      <c r="CE547" s="40"/>
      <c r="CF547" s="40"/>
      <c r="CG547" s="40"/>
      <c r="CH547" s="40"/>
      <c r="CI547" s="40"/>
      <c r="CJ547" s="40"/>
      <c r="CK547" s="40"/>
      <c r="CL547" s="40"/>
      <c r="CM547" s="40"/>
      <c r="CN547" s="40"/>
      <c r="CO547" s="40"/>
      <c r="CP547" s="40"/>
      <c r="CQ547" s="40"/>
      <c r="CR547" s="40"/>
      <c r="CS547" s="40"/>
      <c r="CT547" s="40"/>
      <c r="CU547" s="40"/>
      <c r="CV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  <c r="BW548" s="40"/>
      <c r="BX548" s="40"/>
      <c r="BY548" s="40"/>
      <c r="BZ548" s="40"/>
      <c r="CA548" s="40"/>
      <c r="CB548" s="40"/>
      <c r="CC548" s="40"/>
      <c r="CD548" s="40"/>
      <c r="CE548" s="40"/>
      <c r="CF548" s="40"/>
      <c r="CG548" s="40"/>
      <c r="CH548" s="40"/>
      <c r="CI548" s="40"/>
      <c r="CJ548" s="40"/>
      <c r="CK548" s="40"/>
      <c r="CL548" s="40"/>
      <c r="CM548" s="40"/>
      <c r="CN548" s="40"/>
      <c r="CO548" s="40"/>
      <c r="CP548" s="40"/>
      <c r="CQ548" s="40"/>
      <c r="CR548" s="40"/>
      <c r="CS548" s="40"/>
      <c r="CT548" s="40"/>
      <c r="CU548" s="40"/>
      <c r="CV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  <c r="BW549" s="40"/>
      <c r="BX549" s="40"/>
      <c r="BY549" s="40"/>
      <c r="BZ549" s="40"/>
      <c r="CA549" s="40"/>
      <c r="CB549" s="40"/>
      <c r="CC549" s="40"/>
      <c r="CD549" s="40"/>
      <c r="CE549" s="40"/>
      <c r="CF549" s="40"/>
      <c r="CG549" s="40"/>
      <c r="CH549" s="40"/>
      <c r="CI549" s="40"/>
      <c r="CJ549" s="40"/>
      <c r="CK549" s="40"/>
      <c r="CL549" s="40"/>
      <c r="CM549" s="40"/>
      <c r="CN549" s="40"/>
      <c r="CO549" s="40"/>
      <c r="CP549" s="40"/>
      <c r="CQ549" s="40"/>
      <c r="CR549" s="40"/>
      <c r="CS549" s="40"/>
      <c r="CT549" s="40"/>
      <c r="CU549" s="40"/>
      <c r="CV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  <c r="BW550" s="40"/>
      <c r="BX550" s="40"/>
      <c r="BY550" s="40"/>
      <c r="BZ550" s="40"/>
      <c r="CA550" s="40"/>
      <c r="CB550" s="40"/>
      <c r="CC550" s="40"/>
      <c r="CD550" s="40"/>
      <c r="CE550" s="40"/>
      <c r="CF550" s="40"/>
      <c r="CG550" s="40"/>
      <c r="CH550" s="40"/>
      <c r="CI550" s="40"/>
      <c r="CJ550" s="40"/>
      <c r="CK550" s="40"/>
      <c r="CL550" s="40"/>
      <c r="CM550" s="40"/>
      <c r="CN550" s="40"/>
      <c r="CO550" s="40"/>
      <c r="CP550" s="40"/>
      <c r="CQ550" s="40"/>
      <c r="CR550" s="40"/>
      <c r="CS550" s="40"/>
      <c r="CT550" s="40"/>
      <c r="CU550" s="40"/>
      <c r="CV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  <c r="BW551" s="40"/>
      <c r="BX551" s="40"/>
      <c r="BY551" s="40"/>
      <c r="BZ551" s="40"/>
      <c r="CA551" s="40"/>
      <c r="CB551" s="40"/>
      <c r="CC551" s="40"/>
      <c r="CD551" s="40"/>
      <c r="CE551" s="40"/>
      <c r="CF551" s="40"/>
      <c r="CG551" s="40"/>
      <c r="CH551" s="40"/>
      <c r="CI551" s="40"/>
      <c r="CJ551" s="40"/>
      <c r="CK551" s="40"/>
      <c r="CL551" s="40"/>
      <c r="CM551" s="40"/>
      <c r="CN551" s="40"/>
      <c r="CO551" s="40"/>
      <c r="CP551" s="40"/>
      <c r="CQ551" s="40"/>
      <c r="CR551" s="40"/>
      <c r="CS551" s="40"/>
      <c r="CT551" s="40"/>
      <c r="CU551" s="40"/>
      <c r="CV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  <c r="BW552" s="40"/>
      <c r="BX552" s="40"/>
      <c r="BY552" s="40"/>
      <c r="BZ552" s="40"/>
      <c r="CA552" s="40"/>
      <c r="CB552" s="40"/>
      <c r="CC552" s="40"/>
      <c r="CD552" s="40"/>
      <c r="CE552" s="40"/>
      <c r="CF552" s="40"/>
      <c r="CG552" s="40"/>
      <c r="CH552" s="40"/>
      <c r="CI552" s="40"/>
      <c r="CJ552" s="40"/>
      <c r="CK552" s="40"/>
      <c r="CL552" s="40"/>
      <c r="CM552" s="40"/>
      <c r="CN552" s="40"/>
      <c r="CO552" s="40"/>
      <c r="CP552" s="40"/>
      <c r="CQ552" s="40"/>
      <c r="CR552" s="40"/>
      <c r="CS552" s="40"/>
      <c r="CT552" s="40"/>
      <c r="CU552" s="40"/>
      <c r="CV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  <c r="BW553" s="40"/>
      <c r="BX553" s="40"/>
      <c r="BY553" s="40"/>
      <c r="BZ553" s="40"/>
      <c r="CA553" s="40"/>
      <c r="CB553" s="40"/>
      <c r="CC553" s="40"/>
      <c r="CD553" s="40"/>
      <c r="CE553" s="40"/>
      <c r="CF553" s="40"/>
      <c r="CG553" s="40"/>
      <c r="CH553" s="40"/>
      <c r="CI553" s="40"/>
      <c r="CJ553" s="40"/>
      <c r="CK553" s="40"/>
      <c r="CL553" s="40"/>
      <c r="CM553" s="40"/>
      <c r="CN553" s="40"/>
      <c r="CO553" s="40"/>
      <c r="CP553" s="40"/>
      <c r="CQ553" s="40"/>
      <c r="CR553" s="40"/>
      <c r="CS553" s="40"/>
      <c r="CT553" s="40"/>
      <c r="CU553" s="40"/>
      <c r="CV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  <c r="BW554" s="40"/>
      <c r="BX554" s="40"/>
      <c r="BY554" s="40"/>
      <c r="BZ554" s="40"/>
      <c r="CA554" s="40"/>
      <c r="CB554" s="40"/>
      <c r="CC554" s="40"/>
      <c r="CD554" s="40"/>
      <c r="CE554" s="40"/>
      <c r="CF554" s="40"/>
      <c r="CG554" s="40"/>
      <c r="CH554" s="40"/>
      <c r="CI554" s="40"/>
      <c r="CJ554" s="40"/>
      <c r="CK554" s="40"/>
      <c r="CL554" s="40"/>
      <c r="CM554" s="40"/>
      <c r="CN554" s="40"/>
      <c r="CO554" s="40"/>
      <c r="CP554" s="40"/>
      <c r="CQ554" s="40"/>
      <c r="CR554" s="40"/>
      <c r="CS554" s="40"/>
      <c r="CT554" s="40"/>
      <c r="CU554" s="40"/>
      <c r="CV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  <c r="BW555" s="40"/>
      <c r="BX555" s="40"/>
      <c r="BY555" s="40"/>
      <c r="BZ555" s="40"/>
      <c r="CA555" s="40"/>
      <c r="CB555" s="40"/>
      <c r="CC555" s="40"/>
      <c r="CD555" s="40"/>
      <c r="CE555" s="40"/>
      <c r="CF555" s="40"/>
      <c r="CG555" s="40"/>
      <c r="CH555" s="40"/>
      <c r="CI555" s="40"/>
      <c r="CJ555" s="40"/>
      <c r="CK555" s="40"/>
      <c r="CL555" s="40"/>
      <c r="CM555" s="40"/>
      <c r="CN555" s="40"/>
      <c r="CO555" s="40"/>
      <c r="CP555" s="40"/>
      <c r="CQ555" s="40"/>
      <c r="CR555" s="40"/>
      <c r="CS555" s="40"/>
      <c r="CT555" s="40"/>
      <c r="CU555" s="40"/>
      <c r="CV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  <c r="BW556" s="40"/>
      <c r="BX556" s="40"/>
      <c r="BY556" s="40"/>
      <c r="BZ556" s="40"/>
      <c r="CA556" s="40"/>
      <c r="CB556" s="40"/>
      <c r="CC556" s="40"/>
      <c r="CD556" s="40"/>
      <c r="CE556" s="40"/>
      <c r="CF556" s="40"/>
      <c r="CG556" s="40"/>
      <c r="CH556" s="40"/>
      <c r="CI556" s="40"/>
      <c r="CJ556" s="40"/>
      <c r="CK556" s="40"/>
      <c r="CL556" s="40"/>
      <c r="CM556" s="40"/>
      <c r="CN556" s="40"/>
      <c r="CO556" s="40"/>
      <c r="CP556" s="40"/>
      <c r="CQ556" s="40"/>
      <c r="CR556" s="40"/>
      <c r="CS556" s="40"/>
      <c r="CT556" s="40"/>
      <c r="CU556" s="40"/>
      <c r="CV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  <c r="BW557" s="40"/>
      <c r="BX557" s="40"/>
      <c r="BY557" s="40"/>
      <c r="BZ557" s="40"/>
      <c r="CA557" s="40"/>
      <c r="CB557" s="40"/>
      <c r="CC557" s="40"/>
      <c r="CD557" s="40"/>
      <c r="CE557" s="40"/>
      <c r="CF557" s="40"/>
      <c r="CG557" s="40"/>
      <c r="CH557" s="40"/>
      <c r="CI557" s="40"/>
      <c r="CJ557" s="40"/>
      <c r="CK557" s="40"/>
      <c r="CL557" s="40"/>
      <c r="CM557" s="40"/>
      <c r="CN557" s="40"/>
      <c r="CO557" s="40"/>
      <c r="CP557" s="40"/>
      <c r="CQ557" s="40"/>
      <c r="CR557" s="40"/>
      <c r="CS557" s="40"/>
      <c r="CT557" s="40"/>
      <c r="CU557" s="40"/>
      <c r="CV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  <c r="BW558" s="40"/>
      <c r="BX558" s="40"/>
      <c r="BY558" s="40"/>
      <c r="BZ558" s="40"/>
      <c r="CA558" s="40"/>
      <c r="CB558" s="40"/>
      <c r="CC558" s="40"/>
      <c r="CD558" s="40"/>
      <c r="CE558" s="40"/>
      <c r="CF558" s="40"/>
      <c r="CG558" s="40"/>
      <c r="CH558" s="40"/>
      <c r="CI558" s="40"/>
      <c r="CJ558" s="40"/>
      <c r="CK558" s="40"/>
      <c r="CL558" s="40"/>
      <c r="CM558" s="40"/>
      <c r="CN558" s="40"/>
      <c r="CO558" s="40"/>
      <c r="CP558" s="40"/>
      <c r="CQ558" s="40"/>
      <c r="CR558" s="40"/>
      <c r="CS558" s="40"/>
      <c r="CT558" s="40"/>
      <c r="CU558" s="40"/>
      <c r="CV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  <c r="BW559" s="40"/>
      <c r="BX559" s="40"/>
      <c r="BY559" s="40"/>
      <c r="BZ559" s="40"/>
      <c r="CA559" s="40"/>
      <c r="CB559" s="40"/>
      <c r="CC559" s="40"/>
      <c r="CD559" s="40"/>
      <c r="CE559" s="40"/>
      <c r="CF559" s="40"/>
      <c r="CG559" s="40"/>
      <c r="CH559" s="40"/>
      <c r="CI559" s="40"/>
      <c r="CJ559" s="40"/>
      <c r="CK559" s="40"/>
      <c r="CL559" s="40"/>
      <c r="CM559" s="40"/>
      <c r="CN559" s="40"/>
      <c r="CO559" s="40"/>
      <c r="CP559" s="40"/>
      <c r="CQ559" s="40"/>
      <c r="CR559" s="40"/>
      <c r="CS559" s="40"/>
      <c r="CT559" s="40"/>
      <c r="CU559" s="40"/>
      <c r="CV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  <c r="BW560" s="40"/>
      <c r="BX560" s="40"/>
      <c r="BY560" s="40"/>
      <c r="BZ560" s="40"/>
      <c r="CA560" s="40"/>
      <c r="CB560" s="40"/>
      <c r="CC560" s="40"/>
      <c r="CD560" s="40"/>
      <c r="CE560" s="40"/>
      <c r="CF560" s="40"/>
      <c r="CG560" s="40"/>
      <c r="CH560" s="40"/>
      <c r="CI560" s="40"/>
      <c r="CJ560" s="40"/>
      <c r="CK560" s="40"/>
      <c r="CL560" s="40"/>
      <c r="CM560" s="40"/>
      <c r="CN560" s="40"/>
      <c r="CO560" s="40"/>
      <c r="CP560" s="40"/>
      <c r="CQ560" s="40"/>
      <c r="CR560" s="40"/>
      <c r="CS560" s="40"/>
      <c r="CT560" s="40"/>
      <c r="CU560" s="40"/>
      <c r="CV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  <c r="BW561" s="40"/>
      <c r="BX561" s="40"/>
      <c r="BY561" s="40"/>
      <c r="BZ561" s="40"/>
      <c r="CA561" s="40"/>
      <c r="CB561" s="40"/>
      <c r="CC561" s="40"/>
      <c r="CD561" s="40"/>
      <c r="CE561" s="40"/>
      <c r="CF561" s="40"/>
      <c r="CG561" s="40"/>
      <c r="CH561" s="40"/>
      <c r="CI561" s="40"/>
      <c r="CJ561" s="40"/>
      <c r="CK561" s="40"/>
      <c r="CL561" s="40"/>
      <c r="CM561" s="40"/>
      <c r="CN561" s="40"/>
      <c r="CO561" s="40"/>
      <c r="CP561" s="40"/>
      <c r="CQ561" s="40"/>
      <c r="CR561" s="40"/>
      <c r="CS561" s="40"/>
      <c r="CT561" s="40"/>
      <c r="CU561" s="40"/>
      <c r="CV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  <c r="BW562" s="40"/>
      <c r="BX562" s="40"/>
      <c r="BY562" s="40"/>
      <c r="BZ562" s="40"/>
      <c r="CA562" s="40"/>
      <c r="CB562" s="40"/>
      <c r="CC562" s="40"/>
      <c r="CD562" s="40"/>
      <c r="CE562" s="40"/>
      <c r="CF562" s="40"/>
      <c r="CG562" s="40"/>
      <c r="CH562" s="40"/>
      <c r="CI562" s="40"/>
      <c r="CJ562" s="40"/>
      <c r="CK562" s="40"/>
      <c r="CL562" s="40"/>
      <c r="CM562" s="40"/>
      <c r="CN562" s="40"/>
      <c r="CO562" s="40"/>
      <c r="CP562" s="40"/>
      <c r="CQ562" s="40"/>
      <c r="CR562" s="40"/>
      <c r="CS562" s="40"/>
      <c r="CT562" s="40"/>
      <c r="CU562" s="40"/>
      <c r="CV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  <c r="BW563" s="40"/>
      <c r="BX563" s="40"/>
      <c r="BY563" s="40"/>
      <c r="BZ563" s="40"/>
      <c r="CA563" s="40"/>
      <c r="CB563" s="40"/>
      <c r="CC563" s="40"/>
      <c r="CD563" s="40"/>
      <c r="CE563" s="40"/>
      <c r="CF563" s="40"/>
      <c r="CG563" s="40"/>
      <c r="CH563" s="40"/>
      <c r="CI563" s="40"/>
      <c r="CJ563" s="40"/>
      <c r="CK563" s="40"/>
      <c r="CL563" s="40"/>
      <c r="CM563" s="40"/>
      <c r="CN563" s="40"/>
      <c r="CO563" s="40"/>
      <c r="CP563" s="40"/>
      <c r="CQ563" s="40"/>
      <c r="CR563" s="40"/>
      <c r="CS563" s="40"/>
      <c r="CT563" s="40"/>
      <c r="CU563" s="40"/>
      <c r="CV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  <c r="BW564" s="40"/>
      <c r="BX564" s="40"/>
      <c r="BY564" s="40"/>
      <c r="BZ564" s="40"/>
      <c r="CA564" s="40"/>
      <c r="CB564" s="40"/>
      <c r="CC564" s="40"/>
      <c r="CD564" s="40"/>
      <c r="CE564" s="40"/>
      <c r="CF564" s="40"/>
      <c r="CG564" s="40"/>
      <c r="CH564" s="40"/>
      <c r="CI564" s="40"/>
      <c r="CJ564" s="40"/>
      <c r="CK564" s="40"/>
      <c r="CL564" s="40"/>
      <c r="CM564" s="40"/>
      <c r="CN564" s="40"/>
      <c r="CO564" s="40"/>
      <c r="CP564" s="40"/>
      <c r="CQ564" s="40"/>
      <c r="CR564" s="40"/>
      <c r="CS564" s="40"/>
      <c r="CT564" s="40"/>
      <c r="CU564" s="40"/>
      <c r="CV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  <c r="BW565" s="40"/>
      <c r="BX565" s="40"/>
      <c r="BY565" s="40"/>
      <c r="BZ565" s="40"/>
      <c r="CA565" s="40"/>
      <c r="CB565" s="40"/>
      <c r="CC565" s="40"/>
      <c r="CD565" s="40"/>
      <c r="CE565" s="40"/>
      <c r="CF565" s="40"/>
      <c r="CG565" s="40"/>
      <c r="CH565" s="40"/>
      <c r="CI565" s="40"/>
      <c r="CJ565" s="40"/>
      <c r="CK565" s="40"/>
      <c r="CL565" s="40"/>
      <c r="CM565" s="40"/>
      <c r="CN565" s="40"/>
      <c r="CO565" s="40"/>
      <c r="CP565" s="40"/>
      <c r="CQ565" s="40"/>
      <c r="CR565" s="40"/>
      <c r="CS565" s="40"/>
      <c r="CT565" s="40"/>
      <c r="CU565" s="40"/>
      <c r="CV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  <c r="BW566" s="40"/>
      <c r="BX566" s="40"/>
      <c r="BY566" s="40"/>
      <c r="BZ566" s="40"/>
      <c r="CA566" s="40"/>
      <c r="CB566" s="40"/>
      <c r="CC566" s="40"/>
      <c r="CD566" s="40"/>
      <c r="CE566" s="40"/>
      <c r="CF566" s="40"/>
      <c r="CG566" s="40"/>
      <c r="CH566" s="40"/>
      <c r="CI566" s="40"/>
      <c r="CJ566" s="40"/>
      <c r="CK566" s="40"/>
      <c r="CL566" s="40"/>
      <c r="CM566" s="40"/>
      <c r="CN566" s="40"/>
      <c r="CO566" s="40"/>
      <c r="CP566" s="40"/>
      <c r="CQ566" s="40"/>
      <c r="CR566" s="40"/>
      <c r="CS566" s="40"/>
      <c r="CT566" s="40"/>
      <c r="CU566" s="40"/>
      <c r="CV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  <c r="BW567" s="40"/>
      <c r="BX567" s="40"/>
      <c r="BY567" s="40"/>
      <c r="BZ567" s="40"/>
      <c r="CA567" s="40"/>
      <c r="CB567" s="40"/>
      <c r="CC567" s="40"/>
      <c r="CD567" s="40"/>
      <c r="CE567" s="40"/>
      <c r="CF567" s="40"/>
      <c r="CG567" s="40"/>
      <c r="CH567" s="40"/>
      <c r="CI567" s="40"/>
      <c r="CJ567" s="40"/>
      <c r="CK567" s="40"/>
      <c r="CL567" s="40"/>
      <c r="CM567" s="40"/>
      <c r="CN567" s="40"/>
      <c r="CO567" s="40"/>
      <c r="CP567" s="40"/>
      <c r="CQ567" s="40"/>
      <c r="CR567" s="40"/>
      <c r="CS567" s="40"/>
      <c r="CT567" s="40"/>
      <c r="CU567" s="40"/>
      <c r="CV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  <c r="BW568" s="40"/>
      <c r="BX568" s="40"/>
      <c r="BY568" s="40"/>
      <c r="BZ568" s="40"/>
      <c r="CA568" s="40"/>
      <c r="CB568" s="40"/>
      <c r="CC568" s="40"/>
      <c r="CD568" s="40"/>
      <c r="CE568" s="40"/>
      <c r="CF568" s="40"/>
      <c r="CG568" s="40"/>
      <c r="CH568" s="40"/>
      <c r="CI568" s="40"/>
      <c r="CJ568" s="40"/>
      <c r="CK568" s="40"/>
      <c r="CL568" s="40"/>
      <c r="CM568" s="40"/>
      <c r="CN568" s="40"/>
      <c r="CO568" s="40"/>
      <c r="CP568" s="40"/>
      <c r="CQ568" s="40"/>
      <c r="CR568" s="40"/>
      <c r="CS568" s="40"/>
      <c r="CT568" s="40"/>
      <c r="CU568" s="40"/>
      <c r="CV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  <c r="BW569" s="40"/>
      <c r="BX569" s="40"/>
      <c r="BY569" s="40"/>
      <c r="BZ569" s="40"/>
      <c r="CA569" s="40"/>
      <c r="CB569" s="40"/>
      <c r="CC569" s="40"/>
      <c r="CD569" s="40"/>
      <c r="CE569" s="40"/>
      <c r="CF569" s="40"/>
      <c r="CG569" s="40"/>
      <c r="CH569" s="40"/>
      <c r="CI569" s="40"/>
      <c r="CJ569" s="40"/>
      <c r="CK569" s="40"/>
      <c r="CL569" s="40"/>
      <c r="CM569" s="40"/>
      <c r="CN569" s="40"/>
      <c r="CO569" s="40"/>
      <c r="CP569" s="40"/>
      <c r="CQ569" s="40"/>
      <c r="CR569" s="40"/>
      <c r="CS569" s="40"/>
      <c r="CT569" s="40"/>
      <c r="CU569" s="40"/>
      <c r="CV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  <c r="BW570" s="40"/>
      <c r="BX570" s="40"/>
      <c r="BY570" s="40"/>
      <c r="BZ570" s="40"/>
      <c r="CA570" s="40"/>
      <c r="CB570" s="40"/>
      <c r="CC570" s="40"/>
      <c r="CD570" s="40"/>
      <c r="CE570" s="40"/>
      <c r="CF570" s="40"/>
      <c r="CG570" s="40"/>
      <c r="CH570" s="40"/>
      <c r="CI570" s="40"/>
      <c r="CJ570" s="40"/>
      <c r="CK570" s="40"/>
      <c r="CL570" s="40"/>
      <c r="CM570" s="40"/>
      <c r="CN570" s="40"/>
      <c r="CO570" s="40"/>
      <c r="CP570" s="40"/>
      <c r="CQ570" s="40"/>
      <c r="CR570" s="40"/>
      <c r="CS570" s="40"/>
      <c r="CT570" s="40"/>
      <c r="CU570" s="40"/>
      <c r="CV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  <c r="BW571" s="40"/>
      <c r="BX571" s="40"/>
      <c r="BY571" s="40"/>
      <c r="BZ571" s="40"/>
      <c r="CA571" s="40"/>
      <c r="CB571" s="40"/>
      <c r="CC571" s="40"/>
      <c r="CD571" s="40"/>
      <c r="CE571" s="40"/>
      <c r="CF571" s="40"/>
      <c r="CG571" s="40"/>
      <c r="CH571" s="40"/>
      <c r="CI571" s="40"/>
      <c r="CJ571" s="40"/>
      <c r="CK571" s="40"/>
      <c r="CL571" s="40"/>
      <c r="CM571" s="40"/>
      <c r="CN571" s="40"/>
      <c r="CO571" s="40"/>
      <c r="CP571" s="40"/>
      <c r="CQ571" s="40"/>
      <c r="CR571" s="40"/>
      <c r="CS571" s="40"/>
      <c r="CT571" s="40"/>
      <c r="CU571" s="40"/>
      <c r="CV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  <c r="BW572" s="40"/>
      <c r="BX572" s="40"/>
      <c r="BY572" s="40"/>
      <c r="BZ572" s="40"/>
      <c r="CA572" s="40"/>
      <c r="CB572" s="40"/>
      <c r="CC572" s="40"/>
      <c r="CD572" s="40"/>
      <c r="CE572" s="40"/>
      <c r="CF572" s="40"/>
      <c r="CG572" s="40"/>
      <c r="CH572" s="40"/>
      <c r="CI572" s="40"/>
      <c r="CJ572" s="40"/>
      <c r="CK572" s="40"/>
      <c r="CL572" s="40"/>
      <c r="CM572" s="40"/>
      <c r="CN572" s="40"/>
      <c r="CO572" s="40"/>
      <c r="CP572" s="40"/>
      <c r="CQ572" s="40"/>
      <c r="CR572" s="40"/>
      <c r="CS572" s="40"/>
      <c r="CT572" s="40"/>
      <c r="CU572" s="40"/>
      <c r="CV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  <c r="BW573" s="40"/>
      <c r="BX573" s="40"/>
      <c r="BY573" s="40"/>
      <c r="BZ573" s="40"/>
      <c r="CA573" s="40"/>
      <c r="CB573" s="40"/>
      <c r="CC573" s="40"/>
      <c r="CD573" s="40"/>
      <c r="CE573" s="40"/>
      <c r="CF573" s="40"/>
      <c r="CG573" s="40"/>
      <c r="CH573" s="40"/>
      <c r="CI573" s="40"/>
      <c r="CJ573" s="40"/>
      <c r="CK573" s="40"/>
      <c r="CL573" s="40"/>
      <c r="CM573" s="40"/>
      <c r="CN573" s="40"/>
      <c r="CO573" s="40"/>
      <c r="CP573" s="40"/>
      <c r="CQ573" s="40"/>
      <c r="CR573" s="40"/>
      <c r="CS573" s="40"/>
      <c r="CT573" s="40"/>
      <c r="CU573" s="40"/>
      <c r="CV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  <c r="BW574" s="40"/>
      <c r="BX574" s="40"/>
      <c r="BY574" s="40"/>
      <c r="BZ574" s="40"/>
      <c r="CA574" s="40"/>
      <c r="CB574" s="40"/>
      <c r="CC574" s="40"/>
      <c r="CD574" s="40"/>
      <c r="CE574" s="40"/>
      <c r="CF574" s="40"/>
      <c r="CG574" s="40"/>
      <c r="CH574" s="40"/>
      <c r="CI574" s="40"/>
      <c r="CJ574" s="40"/>
      <c r="CK574" s="40"/>
      <c r="CL574" s="40"/>
      <c r="CM574" s="40"/>
      <c r="CN574" s="40"/>
      <c r="CO574" s="40"/>
      <c r="CP574" s="40"/>
      <c r="CQ574" s="40"/>
      <c r="CR574" s="40"/>
      <c r="CS574" s="40"/>
      <c r="CT574" s="40"/>
      <c r="CU574" s="40"/>
      <c r="CV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  <c r="BW575" s="40"/>
      <c r="BX575" s="40"/>
      <c r="BY575" s="40"/>
      <c r="BZ575" s="40"/>
      <c r="CA575" s="40"/>
      <c r="CB575" s="40"/>
      <c r="CC575" s="40"/>
      <c r="CD575" s="40"/>
      <c r="CE575" s="40"/>
      <c r="CF575" s="40"/>
      <c r="CG575" s="40"/>
      <c r="CH575" s="40"/>
      <c r="CI575" s="40"/>
      <c r="CJ575" s="40"/>
      <c r="CK575" s="40"/>
      <c r="CL575" s="40"/>
      <c r="CM575" s="40"/>
      <c r="CN575" s="40"/>
      <c r="CO575" s="40"/>
      <c r="CP575" s="40"/>
      <c r="CQ575" s="40"/>
      <c r="CR575" s="40"/>
      <c r="CS575" s="40"/>
      <c r="CT575" s="40"/>
      <c r="CU575" s="40"/>
      <c r="CV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  <c r="BW576" s="40"/>
      <c r="BX576" s="40"/>
      <c r="BY576" s="40"/>
      <c r="BZ576" s="40"/>
      <c r="CA576" s="40"/>
      <c r="CB576" s="40"/>
      <c r="CC576" s="40"/>
      <c r="CD576" s="40"/>
      <c r="CE576" s="40"/>
      <c r="CF576" s="40"/>
      <c r="CG576" s="40"/>
      <c r="CH576" s="40"/>
      <c r="CI576" s="40"/>
      <c r="CJ576" s="40"/>
      <c r="CK576" s="40"/>
      <c r="CL576" s="40"/>
      <c r="CM576" s="40"/>
      <c r="CN576" s="40"/>
      <c r="CO576" s="40"/>
      <c r="CP576" s="40"/>
      <c r="CQ576" s="40"/>
      <c r="CR576" s="40"/>
      <c r="CS576" s="40"/>
      <c r="CT576" s="40"/>
      <c r="CU576" s="40"/>
      <c r="CV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  <c r="BW577" s="40"/>
      <c r="BX577" s="40"/>
      <c r="BY577" s="40"/>
      <c r="BZ577" s="40"/>
      <c r="CA577" s="40"/>
      <c r="CB577" s="40"/>
      <c r="CC577" s="40"/>
      <c r="CD577" s="40"/>
      <c r="CE577" s="40"/>
      <c r="CF577" s="40"/>
      <c r="CG577" s="40"/>
      <c r="CH577" s="40"/>
      <c r="CI577" s="40"/>
      <c r="CJ577" s="40"/>
      <c r="CK577" s="40"/>
      <c r="CL577" s="40"/>
      <c r="CM577" s="40"/>
      <c r="CN577" s="40"/>
      <c r="CO577" s="40"/>
      <c r="CP577" s="40"/>
      <c r="CQ577" s="40"/>
      <c r="CR577" s="40"/>
      <c r="CS577" s="40"/>
      <c r="CT577" s="40"/>
      <c r="CU577" s="40"/>
      <c r="CV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  <c r="BW578" s="40"/>
      <c r="BX578" s="40"/>
      <c r="BY578" s="40"/>
      <c r="BZ578" s="40"/>
      <c r="CA578" s="40"/>
      <c r="CB578" s="40"/>
      <c r="CC578" s="40"/>
      <c r="CD578" s="40"/>
      <c r="CE578" s="40"/>
      <c r="CF578" s="40"/>
      <c r="CG578" s="40"/>
      <c r="CH578" s="40"/>
      <c r="CI578" s="40"/>
      <c r="CJ578" s="40"/>
      <c r="CK578" s="40"/>
      <c r="CL578" s="40"/>
      <c r="CM578" s="40"/>
      <c r="CN578" s="40"/>
      <c r="CO578" s="40"/>
      <c r="CP578" s="40"/>
      <c r="CQ578" s="40"/>
      <c r="CR578" s="40"/>
      <c r="CS578" s="40"/>
      <c r="CT578" s="40"/>
      <c r="CU578" s="40"/>
      <c r="CV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  <c r="BW579" s="40"/>
      <c r="BX579" s="40"/>
      <c r="BY579" s="40"/>
      <c r="BZ579" s="40"/>
      <c r="CA579" s="40"/>
      <c r="CB579" s="40"/>
      <c r="CC579" s="40"/>
      <c r="CD579" s="40"/>
      <c r="CE579" s="40"/>
      <c r="CF579" s="40"/>
      <c r="CG579" s="40"/>
      <c r="CH579" s="40"/>
      <c r="CI579" s="40"/>
      <c r="CJ579" s="40"/>
      <c r="CK579" s="40"/>
      <c r="CL579" s="40"/>
      <c r="CM579" s="40"/>
      <c r="CN579" s="40"/>
      <c r="CO579" s="40"/>
      <c r="CP579" s="40"/>
      <c r="CQ579" s="40"/>
      <c r="CR579" s="40"/>
      <c r="CS579" s="40"/>
      <c r="CT579" s="40"/>
      <c r="CU579" s="40"/>
      <c r="CV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  <c r="BW580" s="40"/>
      <c r="BX580" s="40"/>
      <c r="BY580" s="40"/>
      <c r="BZ580" s="40"/>
      <c r="CA580" s="40"/>
      <c r="CB580" s="40"/>
      <c r="CC580" s="40"/>
      <c r="CD580" s="40"/>
      <c r="CE580" s="40"/>
      <c r="CF580" s="40"/>
      <c r="CG580" s="40"/>
      <c r="CH580" s="40"/>
      <c r="CI580" s="40"/>
      <c r="CJ580" s="40"/>
      <c r="CK580" s="40"/>
      <c r="CL580" s="40"/>
      <c r="CM580" s="40"/>
      <c r="CN580" s="40"/>
      <c r="CO580" s="40"/>
      <c r="CP580" s="40"/>
      <c r="CQ580" s="40"/>
      <c r="CR580" s="40"/>
      <c r="CS580" s="40"/>
      <c r="CT580" s="40"/>
      <c r="CU580" s="40"/>
      <c r="CV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  <c r="BW581" s="40"/>
      <c r="BX581" s="40"/>
      <c r="BY581" s="40"/>
      <c r="BZ581" s="40"/>
      <c r="CA581" s="40"/>
      <c r="CB581" s="40"/>
      <c r="CC581" s="40"/>
      <c r="CD581" s="40"/>
      <c r="CE581" s="40"/>
      <c r="CF581" s="40"/>
      <c r="CG581" s="40"/>
      <c r="CH581" s="40"/>
      <c r="CI581" s="40"/>
      <c r="CJ581" s="40"/>
      <c r="CK581" s="40"/>
      <c r="CL581" s="40"/>
      <c r="CM581" s="40"/>
      <c r="CN581" s="40"/>
      <c r="CO581" s="40"/>
      <c r="CP581" s="40"/>
      <c r="CQ581" s="40"/>
      <c r="CR581" s="40"/>
      <c r="CS581" s="40"/>
      <c r="CT581" s="40"/>
      <c r="CU581" s="40"/>
      <c r="CV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  <c r="BW582" s="40"/>
      <c r="BX582" s="40"/>
      <c r="BY582" s="40"/>
      <c r="BZ582" s="40"/>
      <c r="CA582" s="40"/>
      <c r="CB582" s="40"/>
      <c r="CC582" s="40"/>
      <c r="CD582" s="40"/>
      <c r="CE582" s="40"/>
      <c r="CF582" s="40"/>
      <c r="CG582" s="40"/>
      <c r="CH582" s="40"/>
      <c r="CI582" s="40"/>
      <c r="CJ582" s="40"/>
      <c r="CK582" s="40"/>
      <c r="CL582" s="40"/>
      <c r="CM582" s="40"/>
      <c r="CN582" s="40"/>
      <c r="CO582" s="40"/>
      <c r="CP582" s="40"/>
      <c r="CQ582" s="40"/>
      <c r="CR582" s="40"/>
      <c r="CS582" s="40"/>
      <c r="CT582" s="40"/>
      <c r="CU582" s="40"/>
      <c r="CV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  <c r="BW583" s="40"/>
      <c r="BX583" s="40"/>
      <c r="BY583" s="40"/>
      <c r="BZ583" s="40"/>
      <c r="CA583" s="40"/>
      <c r="CB583" s="40"/>
      <c r="CC583" s="40"/>
      <c r="CD583" s="40"/>
      <c r="CE583" s="40"/>
      <c r="CF583" s="40"/>
      <c r="CG583" s="40"/>
      <c r="CH583" s="40"/>
      <c r="CI583" s="40"/>
      <c r="CJ583" s="40"/>
      <c r="CK583" s="40"/>
      <c r="CL583" s="40"/>
      <c r="CM583" s="40"/>
      <c r="CN583" s="40"/>
      <c r="CO583" s="40"/>
      <c r="CP583" s="40"/>
      <c r="CQ583" s="40"/>
      <c r="CR583" s="40"/>
      <c r="CS583" s="40"/>
      <c r="CT583" s="40"/>
      <c r="CU583" s="40"/>
      <c r="CV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  <c r="BW584" s="40"/>
      <c r="BX584" s="40"/>
      <c r="BY584" s="40"/>
      <c r="BZ584" s="40"/>
      <c r="CA584" s="40"/>
      <c r="CB584" s="40"/>
      <c r="CC584" s="40"/>
      <c r="CD584" s="40"/>
      <c r="CE584" s="40"/>
      <c r="CF584" s="40"/>
      <c r="CG584" s="40"/>
      <c r="CH584" s="40"/>
      <c r="CI584" s="40"/>
      <c r="CJ584" s="40"/>
      <c r="CK584" s="40"/>
      <c r="CL584" s="40"/>
      <c r="CM584" s="40"/>
      <c r="CN584" s="40"/>
      <c r="CO584" s="40"/>
      <c r="CP584" s="40"/>
      <c r="CQ584" s="40"/>
      <c r="CR584" s="40"/>
      <c r="CS584" s="40"/>
      <c r="CT584" s="40"/>
      <c r="CU584" s="40"/>
      <c r="CV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  <c r="BW585" s="40"/>
      <c r="BX585" s="40"/>
      <c r="BY585" s="40"/>
      <c r="BZ585" s="40"/>
      <c r="CA585" s="40"/>
      <c r="CB585" s="40"/>
      <c r="CC585" s="40"/>
      <c r="CD585" s="40"/>
      <c r="CE585" s="40"/>
      <c r="CF585" s="40"/>
      <c r="CG585" s="40"/>
      <c r="CH585" s="40"/>
      <c r="CI585" s="40"/>
      <c r="CJ585" s="40"/>
      <c r="CK585" s="40"/>
      <c r="CL585" s="40"/>
      <c r="CM585" s="40"/>
      <c r="CN585" s="40"/>
      <c r="CO585" s="40"/>
      <c r="CP585" s="40"/>
      <c r="CQ585" s="40"/>
      <c r="CR585" s="40"/>
      <c r="CS585" s="40"/>
      <c r="CT585" s="40"/>
      <c r="CU585" s="40"/>
      <c r="CV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  <c r="BW586" s="40"/>
      <c r="BX586" s="40"/>
      <c r="BY586" s="40"/>
      <c r="BZ586" s="40"/>
      <c r="CA586" s="40"/>
      <c r="CB586" s="40"/>
      <c r="CC586" s="40"/>
      <c r="CD586" s="40"/>
      <c r="CE586" s="40"/>
      <c r="CF586" s="40"/>
      <c r="CG586" s="40"/>
      <c r="CH586" s="40"/>
      <c r="CI586" s="40"/>
      <c r="CJ586" s="40"/>
      <c r="CK586" s="40"/>
      <c r="CL586" s="40"/>
      <c r="CM586" s="40"/>
      <c r="CN586" s="40"/>
      <c r="CO586" s="40"/>
      <c r="CP586" s="40"/>
      <c r="CQ586" s="40"/>
      <c r="CR586" s="40"/>
      <c r="CS586" s="40"/>
      <c r="CT586" s="40"/>
      <c r="CU586" s="40"/>
      <c r="CV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  <c r="BW587" s="40"/>
      <c r="BX587" s="40"/>
      <c r="BY587" s="40"/>
      <c r="BZ587" s="40"/>
      <c r="CA587" s="40"/>
      <c r="CB587" s="40"/>
      <c r="CC587" s="40"/>
      <c r="CD587" s="40"/>
      <c r="CE587" s="40"/>
      <c r="CF587" s="40"/>
      <c r="CG587" s="40"/>
      <c r="CH587" s="40"/>
      <c r="CI587" s="40"/>
      <c r="CJ587" s="40"/>
      <c r="CK587" s="40"/>
      <c r="CL587" s="40"/>
      <c r="CM587" s="40"/>
      <c r="CN587" s="40"/>
      <c r="CO587" s="40"/>
      <c r="CP587" s="40"/>
      <c r="CQ587" s="40"/>
      <c r="CR587" s="40"/>
      <c r="CS587" s="40"/>
      <c r="CT587" s="40"/>
      <c r="CU587" s="40"/>
      <c r="CV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  <c r="BW588" s="40"/>
      <c r="BX588" s="40"/>
      <c r="BY588" s="40"/>
      <c r="BZ588" s="40"/>
      <c r="CA588" s="40"/>
      <c r="CB588" s="40"/>
      <c r="CC588" s="40"/>
      <c r="CD588" s="40"/>
      <c r="CE588" s="40"/>
      <c r="CF588" s="40"/>
      <c r="CG588" s="40"/>
      <c r="CH588" s="40"/>
      <c r="CI588" s="40"/>
      <c r="CJ588" s="40"/>
      <c r="CK588" s="40"/>
      <c r="CL588" s="40"/>
      <c r="CM588" s="40"/>
      <c r="CN588" s="40"/>
      <c r="CO588" s="40"/>
      <c r="CP588" s="40"/>
      <c r="CQ588" s="40"/>
      <c r="CR588" s="40"/>
      <c r="CS588" s="40"/>
      <c r="CT588" s="40"/>
      <c r="CU588" s="40"/>
      <c r="CV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  <c r="BW589" s="40"/>
      <c r="BX589" s="40"/>
      <c r="BY589" s="40"/>
      <c r="BZ589" s="40"/>
      <c r="CA589" s="40"/>
      <c r="CB589" s="40"/>
      <c r="CC589" s="40"/>
      <c r="CD589" s="40"/>
      <c r="CE589" s="40"/>
      <c r="CF589" s="40"/>
      <c r="CG589" s="40"/>
      <c r="CH589" s="40"/>
      <c r="CI589" s="40"/>
      <c r="CJ589" s="40"/>
      <c r="CK589" s="40"/>
      <c r="CL589" s="40"/>
      <c r="CM589" s="40"/>
      <c r="CN589" s="40"/>
      <c r="CO589" s="40"/>
      <c r="CP589" s="40"/>
      <c r="CQ589" s="40"/>
      <c r="CR589" s="40"/>
      <c r="CS589" s="40"/>
      <c r="CT589" s="40"/>
      <c r="CU589" s="40"/>
      <c r="CV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  <c r="BW590" s="40"/>
      <c r="BX590" s="40"/>
      <c r="BY590" s="40"/>
      <c r="BZ590" s="40"/>
      <c r="CA590" s="40"/>
      <c r="CB590" s="40"/>
      <c r="CC590" s="40"/>
      <c r="CD590" s="40"/>
      <c r="CE590" s="40"/>
      <c r="CF590" s="40"/>
      <c r="CG590" s="40"/>
      <c r="CH590" s="40"/>
      <c r="CI590" s="40"/>
      <c r="CJ590" s="40"/>
      <c r="CK590" s="40"/>
      <c r="CL590" s="40"/>
      <c r="CM590" s="40"/>
      <c r="CN590" s="40"/>
      <c r="CO590" s="40"/>
      <c r="CP590" s="40"/>
      <c r="CQ590" s="40"/>
      <c r="CR590" s="40"/>
      <c r="CS590" s="40"/>
      <c r="CT590" s="40"/>
      <c r="CU590" s="40"/>
      <c r="CV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  <c r="BW591" s="40"/>
      <c r="BX591" s="40"/>
      <c r="BY591" s="40"/>
      <c r="BZ591" s="40"/>
      <c r="CA591" s="40"/>
      <c r="CB591" s="40"/>
      <c r="CC591" s="40"/>
      <c r="CD591" s="40"/>
      <c r="CE591" s="40"/>
      <c r="CF591" s="40"/>
      <c r="CG591" s="40"/>
      <c r="CH591" s="40"/>
      <c r="CI591" s="40"/>
      <c r="CJ591" s="40"/>
      <c r="CK591" s="40"/>
      <c r="CL591" s="40"/>
      <c r="CM591" s="40"/>
      <c r="CN591" s="40"/>
      <c r="CO591" s="40"/>
      <c r="CP591" s="40"/>
      <c r="CQ591" s="40"/>
      <c r="CR591" s="40"/>
      <c r="CS591" s="40"/>
      <c r="CT591" s="40"/>
      <c r="CU591" s="40"/>
      <c r="CV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  <c r="BW592" s="40"/>
      <c r="BX592" s="40"/>
      <c r="BY592" s="40"/>
      <c r="BZ592" s="40"/>
      <c r="CA592" s="40"/>
      <c r="CB592" s="40"/>
      <c r="CC592" s="40"/>
      <c r="CD592" s="40"/>
      <c r="CE592" s="40"/>
      <c r="CF592" s="40"/>
      <c r="CG592" s="40"/>
      <c r="CH592" s="40"/>
      <c r="CI592" s="40"/>
      <c r="CJ592" s="40"/>
      <c r="CK592" s="40"/>
      <c r="CL592" s="40"/>
      <c r="CM592" s="40"/>
      <c r="CN592" s="40"/>
      <c r="CO592" s="40"/>
      <c r="CP592" s="40"/>
      <c r="CQ592" s="40"/>
      <c r="CR592" s="40"/>
      <c r="CS592" s="40"/>
      <c r="CT592" s="40"/>
      <c r="CU592" s="40"/>
      <c r="CV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  <c r="BW593" s="40"/>
      <c r="BX593" s="40"/>
      <c r="BY593" s="40"/>
      <c r="BZ593" s="40"/>
      <c r="CA593" s="40"/>
      <c r="CB593" s="40"/>
      <c r="CC593" s="40"/>
      <c r="CD593" s="40"/>
      <c r="CE593" s="40"/>
      <c r="CF593" s="40"/>
      <c r="CG593" s="40"/>
      <c r="CH593" s="40"/>
      <c r="CI593" s="40"/>
      <c r="CJ593" s="40"/>
      <c r="CK593" s="40"/>
      <c r="CL593" s="40"/>
      <c r="CM593" s="40"/>
      <c r="CN593" s="40"/>
      <c r="CO593" s="40"/>
      <c r="CP593" s="40"/>
      <c r="CQ593" s="40"/>
      <c r="CR593" s="40"/>
      <c r="CS593" s="40"/>
      <c r="CT593" s="40"/>
      <c r="CU593" s="40"/>
      <c r="CV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  <c r="BW594" s="40"/>
      <c r="BX594" s="40"/>
      <c r="BY594" s="40"/>
      <c r="BZ594" s="40"/>
      <c r="CA594" s="40"/>
      <c r="CB594" s="40"/>
      <c r="CC594" s="40"/>
      <c r="CD594" s="40"/>
      <c r="CE594" s="40"/>
      <c r="CF594" s="40"/>
      <c r="CG594" s="40"/>
      <c r="CH594" s="40"/>
      <c r="CI594" s="40"/>
      <c r="CJ594" s="40"/>
      <c r="CK594" s="40"/>
      <c r="CL594" s="40"/>
      <c r="CM594" s="40"/>
      <c r="CN594" s="40"/>
      <c r="CO594" s="40"/>
      <c r="CP594" s="40"/>
      <c r="CQ594" s="40"/>
      <c r="CR594" s="40"/>
      <c r="CS594" s="40"/>
      <c r="CT594" s="40"/>
      <c r="CU594" s="40"/>
      <c r="CV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  <c r="BW595" s="40"/>
      <c r="BX595" s="40"/>
      <c r="BY595" s="40"/>
      <c r="BZ595" s="40"/>
      <c r="CA595" s="40"/>
      <c r="CB595" s="40"/>
      <c r="CC595" s="40"/>
      <c r="CD595" s="40"/>
      <c r="CE595" s="40"/>
      <c r="CF595" s="40"/>
      <c r="CG595" s="40"/>
      <c r="CH595" s="40"/>
      <c r="CI595" s="40"/>
      <c r="CJ595" s="40"/>
      <c r="CK595" s="40"/>
      <c r="CL595" s="40"/>
      <c r="CM595" s="40"/>
      <c r="CN595" s="40"/>
      <c r="CO595" s="40"/>
      <c r="CP595" s="40"/>
      <c r="CQ595" s="40"/>
      <c r="CR595" s="40"/>
      <c r="CS595" s="40"/>
      <c r="CT595" s="40"/>
      <c r="CU595" s="40"/>
      <c r="CV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  <c r="BW596" s="40"/>
      <c r="BX596" s="40"/>
      <c r="BY596" s="40"/>
      <c r="BZ596" s="40"/>
      <c r="CA596" s="40"/>
      <c r="CB596" s="40"/>
      <c r="CC596" s="40"/>
      <c r="CD596" s="40"/>
      <c r="CE596" s="40"/>
      <c r="CF596" s="40"/>
      <c r="CG596" s="40"/>
      <c r="CH596" s="40"/>
      <c r="CI596" s="40"/>
      <c r="CJ596" s="40"/>
      <c r="CK596" s="40"/>
      <c r="CL596" s="40"/>
      <c r="CM596" s="40"/>
      <c r="CN596" s="40"/>
      <c r="CO596" s="40"/>
      <c r="CP596" s="40"/>
      <c r="CQ596" s="40"/>
      <c r="CR596" s="40"/>
      <c r="CS596" s="40"/>
      <c r="CT596" s="40"/>
      <c r="CU596" s="40"/>
      <c r="CV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  <c r="BW597" s="40"/>
      <c r="BX597" s="40"/>
      <c r="BY597" s="40"/>
      <c r="BZ597" s="40"/>
      <c r="CA597" s="40"/>
      <c r="CB597" s="40"/>
      <c r="CC597" s="40"/>
      <c r="CD597" s="40"/>
      <c r="CE597" s="40"/>
      <c r="CF597" s="40"/>
      <c r="CG597" s="40"/>
      <c r="CH597" s="40"/>
      <c r="CI597" s="40"/>
      <c r="CJ597" s="40"/>
      <c r="CK597" s="40"/>
      <c r="CL597" s="40"/>
      <c r="CM597" s="40"/>
      <c r="CN597" s="40"/>
      <c r="CO597" s="40"/>
      <c r="CP597" s="40"/>
      <c r="CQ597" s="40"/>
      <c r="CR597" s="40"/>
      <c r="CS597" s="40"/>
      <c r="CT597" s="40"/>
      <c r="CU597" s="40"/>
      <c r="CV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  <c r="BW598" s="40"/>
      <c r="BX598" s="40"/>
      <c r="BY598" s="40"/>
      <c r="BZ598" s="40"/>
      <c r="CA598" s="40"/>
      <c r="CB598" s="40"/>
      <c r="CC598" s="40"/>
      <c r="CD598" s="40"/>
      <c r="CE598" s="40"/>
      <c r="CF598" s="40"/>
      <c r="CG598" s="40"/>
      <c r="CH598" s="40"/>
      <c r="CI598" s="40"/>
      <c r="CJ598" s="40"/>
      <c r="CK598" s="40"/>
      <c r="CL598" s="40"/>
      <c r="CM598" s="40"/>
      <c r="CN598" s="40"/>
      <c r="CO598" s="40"/>
      <c r="CP598" s="40"/>
      <c r="CQ598" s="40"/>
      <c r="CR598" s="40"/>
      <c r="CS598" s="40"/>
      <c r="CT598" s="40"/>
      <c r="CU598" s="40"/>
      <c r="CV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  <c r="BW599" s="40"/>
      <c r="BX599" s="40"/>
      <c r="BY599" s="40"/>
      <c r="BZ599" s="40"/>
      <c r="CA599" s="40"/>
      <c r="CB599" s="40"/>
      <c r="CC599" s="40"/>
      <c r="CD599" s="40"/>
      <c r="CE599" s="40"/>
      <c r="CF599" s="40"/>
      <c r="CG599" s="40"/>
      <c r="CH599" s="40"/>
      <c r="CI599" s="40"/>
      <c r="CJ599" s="40"/>
      <c r="CK599" s="40"/>
      <c r="CL599" s="40"/>
      <c r="CM599" s="40"/>
      <c r="CN599" s="40"/>
      <c r="CO599" s="40"/>
      <c r="CP599" s="40"/>
      <c r="CQ599" s="40"/>
      <c r="CR599" s="40"/>
      <c r="CS599" s="40"/>
      <c r="CT599" s="40"/>
      <c r="CU599" s="40"/>
      <c r="CV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  <c r="BW600" s="40"/>
      <c r="BX600" s="40"/>
      <c r="BY600" s="40"/>
      <c r="BZ600" s="40"/>
      <c r="CA600" s="40"/>
      <c r="CB600" s="40"/>
      <c r="CC600" s="40"/>
      <c r="CD600" s="40"/>
      <c r="CE600" s="40"/>
      <c r="CF600" s="40"/>
      <c r="CG600" s="40"/>
      <c r="CH600" s="40"/>
      <c r="CI600" s="40"/>
      <c r="CJ600" s="40"/>
      <c r="CK600" s="40"/>
      <c r="CL600" s="40"/>
      <c r="CM600" s="40"/>
      <c r="CN600" s="40"/>
      <c r="CO600" s="40"/>
      <c r="CP600" s="40"/>
      <c r="CQ600" s="40"/>
      <c r="CR600" s="40"/>
      <c r="CS600" s="40"/>
      <c r="CT600" s="40"/>
      <c r="CU600" s="40"/>
      <c r="CV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  <c r="BW601" s="40"/>
      <c r="BX601" s="40"/>
      <c r="BY601" s="40"/>
      <c r="BZ601" s="40"/>
      <c r="CA601" s="40"/>
      <c r="CB601" s="40"/>
      <c r="CC601" s="40"/>
      <c r="CD601" s="40"/>
      <c r="CE601" s="40"/>
      <c r="CF601" s="40"/>
      <c r="CG601" s="40"/>
      <c r="CH601" s="40"/>
      <c r="CI601" s="40"/>
      <c r="CJ601" s="40"/>
      <c r="CK601" s="40"/>
      <c r="CL601" s="40"/>
      <c r="CM601" s="40"/>
      <c r="CN601" s="40"/>
      <c r="CO601" s="40"/>
      <c r="CP601" s="40"/>
      <c r="CQ601" s="40"/>
      <c r="CR601" s="40"/>
      <c r="CS601" s="40"/>
      <c r="CT601" s="40"/>
      <c r="CU601" s="40"/>
      <c r="CV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  <c r="BW602" s="40"/>
      <c r="BX602" s="40"/>
      <c r="BY602" s="40"/>
      <c r="BZ602" s="40"/>
      <c r="CA602" s="40"/>
      <c r="CB602" s="40"/>
      <c r="CC602" s="40"/>
      <c r="CD602" s="40"/>
      <c r="CE602" s="40"/>
      <c r="CF602" s="40"/>
      <c r="CG602" s="40"/>
      <c r="CH602" s="40"/>
      <c r="CI602" s="40"/>
      <c r="CJ602" s="40"/>
      <c r="CK602" s="40"/>
      <c r="CL602" s="40"/>
      <c r="CM602" s="40"/>
      <c r="CN602" s="40"/>
      <c r="CO602" s="40"/>
      <c r="CP602" s="40"/>
      <c r="CQ602" s="40"/>
      <c r="CR602" s="40"/>
      <c r="CS602" s="40"/>
      <c r="CT602" s="40"/>
      <c r="CU602" s="40"/>
      <c r="CV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  <c r="BU603" s="40"/>
      <c r="BV603" s="40"/>
      <c r="BW603" s="40"/>
      <c r="BX603" s="40"/>
      <c r="BY603" s="40"/>
      <c r="BZ603" s="40"/>
      <c r="CA603" s="40"/>
      <c r="CB603" s="40"/>
      <c r="CC603" s="40"/>
      <c r="CD603" s="40"/>
      <c r="CE603" s="40"/>
      <c r="CF603" s="40"/>
      <c r="CG603" s="40"/>
      <c r="CH603" s="40"/>
      <c r="CI603" s="40"/>
      <c r="CJ603" s="40"/>
      <c r="CK603" s="40"/>
      <c r="CL603" s="40"/>
      <c r="CM603" s="40"/>
      <c r="CN603" s="40"/>
      <c r="CO603" s="40"/>
      <c r="CP603" s="40"/>
      <c r="CQ603" s="40"/>
      <c r="CR603" s="40"/>
      <c r="CS603" s="40"/>
      <c r="CT603" s="40"/>
      <c r="CU603" s="40"/>
      <c r="CV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  <c r="BU604" s="40"/>
      <c r="BV604" s="40"/>
      <c r="BW604" s="40"/>
      <c r="BX604" s="40"/>
      <c r="BY604" s="40"/>
      <c r="BZ604" s="40"/>
      <c r="CA604" s="40"/>
      <c r="CB604" s="40"/>
      <c r="CC604" s="40"/>
      <c r="CD604" s="40"/>
      <c r="CE604" s="40"/>
      <c r="CF604" s="40"/>
      <c r="CG604" s="40"/>
      <c r="CH604" s="40"/>
      <c r="CI604" s="40"/>
      <c r="CJ604" s="40"/>
      <c r="CK604" s="40"/>
      <c r="CL604" s="40"/>
      <c r="CM604" s="40"/>
      <c r="CN604" s="40"/>
      <c r="CO604" s="40"/>
      <c r="CP604" s="40"/>
      <c r="CQ604" s="40"/>
      <c r="CR604" s="40"/>
      <c r="CS604" s="40"/>
      <c r="CT604" s="40"/>
      <c r="CU604" s="40"/>
      <c r="CV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  <c r="BU605" s="40"/>
      <c r="BV605" s="40"/>
      <c r="BW605" s="40"/>
      <c r="BX605" s="40"/>
      <c r="BY605" s="40"/>
      <c r="BZ605" s="40"/>
      <c r="CA605" s="40"/>
      <c r="CB605" s="40"/>
      <c r="CC605" s="40"/>
      <c r="CD605" s="40"/>
      <c r="CE605" s="40"/>
      <c r="CF605" s="40"/>
      <c r="CG605" s="40"/>
      <c r="CH605" s="40"/>
      <c r="CI605" s="40"/>
      <c r="CJ605" s="40"/>
      <c r="CK605" s="40"/>
      <c r="CL605" s="40"/>
      <c r="CM605" s="40"/>
      <c r="CN605" s="40"/>
      <c r="CO605" s="40"/>
      <c r="CP605" s="40"/>
      <c r="CQ605" s="40"/>
      <c r="CR605" s="40"/>
      <c r="CS605" s="40"/>
      <c r="CT605" s="40"/>
      <c r="CU605" s="40"/>
      <c r="CV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  <c r="BW606" s="40"/>
      <c r="BX606" s="40"/>
      <c r="BY606" s="40"/>
      <c r="BZ606" s="40"/>
      <c r="CA606" s="40"/>
      <c r="CB606" s="40"/>
      <c r="CC606" s="40"/>
      <c r="CD606" s="40"/>
      <c r="CE606" s="40"/>
      <c r="CF606" s="40"/>
      <c r="CG606" s="40"/>
      <c r="CH606" s="40"/>
      <c r="CI606" s="40"/>
      <c r="CJ606" s="40"/>
      <c r="CK606" s="40"/>
      <c r="CL606" s="40"/>
      <c r="CM606" s="40"/>
      <c r="CN606" s="40"/>
      <c r="CO606" s="40"/>
      <c r="CP606" s="40"/>
      <c r="CQ606" s="40"/>
      <c r="CR606" s="40"/>
      <c r="CS606" s="40"/>
      <c r="CT606" s="40"/>
      <c r="CU606" s="40"/>
      <c r="CV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  <c r="BU607" s="40"/>
      <c r="BV607" s="40"/>
      <c r="BW607" s="40"/>
      <c r="BX607" s="40"/>
      <c r="BY607" s="40"/>
      <c r="BZ607" s="40"/>
      <c r="CA607" s="40"/>
      <c r="CB607" s="40"/>
      <c r="CC607" s="40"/>
      <c r="CD607" s="40"/>
      <c r="CE607" s="40"/>
      <c r="CF607" s="40"/>
      <c r="CG607" s="40"/>
      <c r="CH607" s="40"/>
      <c r="CI607" s="40"/>
      <c r="CJ607" s="40"/>
      <c r="CK607" s="40"/>
      <c r="CL607" s="40"/>
      <c r="CM607" s="40"/>
      <c r="CN607" s="40"/>
      <c r="CO607" s="40"/>
      <c r="CP607" s="40"/>
      <c r="CQ607" s="40"/>
      <c r="CR607" s="40"/>
      <c r="CS607" s="40"/>
      <c r="CT607" s="40"/>
      <c r="CU607" s="40"/>
      <c r="CV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  <c r="BU608" s="40"/>
      <c r="BV608" s="40"/>
      <c r="BW608" s="40"/>
      <c r="BX608" s="40"/>
      <c r="BY608" s="40"/>
      <c r="BZ608" s="40"/>
      <c r="CA608" s="40"/>
      <c r="CB608" s="40"/>
      <c r="CC608" s="40"/>
      <c r="CD608" s="40"/>
      <c r="CE608" s="40"/>
      <c r="CF608" s="40"/>
      <c r="CG608" s="40"/>
      <c r="CH608" s="40"/>
      <c r="CI608" s="40"/>
      <c r="CJ608" s="40"/>
      <c r="CK608" s="40"/>
      <c r="CL608" s="40"/>
      <c r="CM608" s="40"/>
      <c r="CN608" s="40"/>
      <c r="CO608" s="40"/>
      <c r="CP608" s="40"/>
      <c r="CQ608" s="40"/>
      <c r="CR608" s="40"/>
      <c r="CS608" s="40"/>
      <c r="CT608" s="40"/>
      <c r="CU608" s="40"/>
      <c r="CV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  <c r="BU609" s="40"/>
      <c r="BV609" s="40"/>
      <c r="BW609" s="40"/>
      <c r="BX609" s="40"/>
      <c r="BY609" s="40"/>
      <c r="BZ609" s="40"/>
      <c r="CA609" s="40"/>
      <c r="CB609" s="40"/>
      <c r="CC609" s="40"/>
      <c r="CD609" s="40"/>
      <c r="CE609" s="40"/>
      <c r="CF609" s="40"/>
      <c r="CG609" s="40"/>
      <c r="CH609" s="40"/>
      <c r="CI609" s="40"/>
      <c r="CJ609" s="40"/>
      <c r="CK609" s="40"/>
      <c r="CL609" s="40"/>
      <c r="CM609" s="40"/>
      <c r="CN609" s="40"/>
      <c r="CO609" s="40"/>
      <c r="CP609" s="40"/>
      <c r="CQ609" s="40"/>
      <c r="CR609" s="40"/>
      <c r="CS609" s="40"/>
      <c r="CT609" s="40"/>
      <c r="CU609" s="40"/>
      <c r="CV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  <c r="BU610" s="40"/>
      <c r="BV610" s="40"/>
      <c r="BW610" s="40"/>
      <c r="BX610" s="40"/>
      <c r="BY610" s="40"/>
      <c r="BZ610" s="40"/>
      <c r="CA610" s="40"/>
      <c r="CB610" s="40"/>
      <c r="CC610" s="40"/>
      <c r="CD610" s="40"/>
      <c r="CE610" s="40"/>
      <c r="CF610" s="40"/>
      <c r="CG610" s="40"/>
      <c r="CH610" s="40"/>
      <c r="CI610" s="40"/>
      <c r="CJ610" s="40"/>
      <c r="CK610" s="40"/>
      <c r="CL610" s="40"/>
      <c r="CM610" s="40"/>
      <c r="CN610" s="40"/>
      <c r="CO610" s="40"/>
      <c r="CP610" s="40"/>
      <c r="CQ610" s="40"/>
      <c r="CR610" s="40"/>
      <c r="CS610" s="40"/>
      <c r="CT610" s="40"/>
      <c r="CU610" s="40"/>
      <c r="CV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  <c r="BW611" s="40"/>
      <c r="BX611" s="40"/>
      <c r="BY611" s="40"/>
      <c r="BZ611" s="40"/>
      <c r="CA611" s="40"/>
      <c r="CB611" s="40"/>
      <c r="CC611" s="40"/>
      <c r="CD611" s="40"/>
      <c r="CE611" s="40"/>
      <c r="CF611" s="40"/>
      <c r="CG611" s="40"/>
      <c r="CH611" s="40"/>
      <c r="CI611" s="40"/>
      <c r="CJ611" s="40"/>
      <c r="CK611" s="40"/>
      <c r="CL611" s="40"/>
      <c r="CM611" s="40"/>
      <c r="CN611" s="40"/>
      <c r="CO611" s="40"/>
      <c r="CP611" s="40"/>
      <c r="CQ611" s="40"/>
      <c r="CR611" s="40"/>
      <c r="CS611" s="40"/>
      <c r="CT611" s="40"/>
      <c r="CU611" s="40"/>
      <c r="CV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  <c r="BU612" s="40"/>
      <c r="BV612" s="40"/>
      <c r="BW612" s="40"/>
      <c r="BX612" s="40"/>
      <c r="BY612" s="40"/>
      <c r="BZ612" s="40"/>
      <c r="CA612" s="40"/>
      <c r="CB612" s="40"/>
      <c r="CC612" s="40"/>
      <c r="CD612" s="40"/>
      <c r="CE612" s="40"/>
      <c r="CF612" s="40"/>
      <c r="CG612" s="40"/>
      <c r="CH612" s="40"/>
      <c r="CI612" s="40"/>
      <c r="CJ612" s="40"/>
      <c r="CK612" s="40"/>
      <c r="CL612" s="40"/>
      <c r="CM612" s="40"/>
      <c r="CN612" s="40"/>
      <c r="CO612" s="40"/>
      <c r="CP612" s="40"/>
      <c r="CQ612" s="40"/>
      <c r="CR612" s="40"/>
      <c r="CS612" s="40"/>
      <c r="CT612" s="40"/>
      <c r="CU612" s="40"/>
      <c r="CV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  <c r="BU613" s="40"/>
      <c r="BV613" s="40"/>
      <c r="BW613" s="40"/>
      <c r="BX613" s="40"/>
      <c r="BY613" s="40"/>
      <c r="BZ613" s="40"/>
      <c r="CA613" s="40"/>
      <c r="CB613" s="40"/>
      <c r="CC613" s="40"/>
      <c r="CD613" s="40"/>
      <c r="CE613" s="40"/>
      <c r="CF613" s="40"/>
      <c r="CG613" s="40"/>
      <c r="CH613" s="40"/>
      <c r="CI613" s="40"/>
      <c r="CJ613" s="40"/>
      <c r="CK613" s="40"/>
      <c r="CL613" s="40"/>
      <c r="CM613" s="40"/>
      <c r="CN613" s="40"/>
      <c r="CO613" s="40"/>
      <c r="CP613" s="40"/>
      <c r="CQ613" s="40"/>
      <c r="CR613" s="40"/>
      <c r="CS613" s="40"/>
      <c r="CT613" s="40"/>
      <c r="CU613" s="40"/>
      <c r="CV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  <c r="BU614" s="40"/>
      <c r="BV614" s="40"/>
      <c r="BW614" s="40"/>
      <c r="BX614" s="40"/>
      <c r="BY614" s="40"/>
      <c r="BZ614" s="40"/>
      <c r="CA614" s="40"/>
      <c r="CB614" s="40"/>
      <c r="CC614" s="40"/>
      <c r="CD614" s="40"/>
      <c r="CE614" s="40"/>
      <c r="CF614" s="40"/>
      <c r="CG614" s="40"/>
      <c r="CH614" s="40"/>
      <c r="CI614" s="40"/>
      <c r="CJ614" s="40"/>
      <c r="CK614" s="40"/>
      <c r="CL614" s="40"/>
      <c r="CM614" s="40"/>
      <c r="CN614" s="40"/>
      <c r="CO614" s="40"/>
      <c r="CP614" s="40"/>
      <c r="CQ614" s="40"/>
      <c r="CR614" s="40"/>
      <c r="CS614" s="40"/>
      <c r="CT614" s="40"/>
      <c r="CU614" s="40"/>
      <c r="CV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  <c r="BU615" s="40"/>
      <c r="BV615" s="40"/>
      <c r="BW615" s="40"/>
      <c r="BX615" s="40"/>
      <c r="BY615" s="40"/>
      <c r="BZ615" s="40"/>
      <c r="CA615" s="40"/>
      <c r="CB615" s="40"/>
      <c r="CC615" s="40"/>
      <c r="CD615" s="40"/>
      <c r="CE615" s="40"/>
      <c r="CF615" s="40"/>
      <c r="CG615" s="40"/>
      <c r="CH615" s="40"/>
      <c r="CI615" s="40"/>
      <c r="CJ615" s="40"/>
      <c r="CK615" s="40"/>
      <c r="CL615" s="40"/>
      <c r="CM615" s="40"/>
      <c r="CN615" s="40"/>
      <c r="CO615" s="40"/>
      <c r="CP615" s="40"/>
      <c r="CQ615" s="40"/>
      <c r="CR615" s="40"/>
      <c r="CS615" s="40"/>
      <c r="CT615" s="40"/>
      <c r="CU615" s="40"/>
      <c r="CV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  <c r="BU616" s="40"/>
      <c r="BV616" s="40"/>
      <c r="BW616" s="40"/>
      <c r="BX616" s="40"/>
      <c r="BY616" s="40"/>
      <c r="BZ616" s="40"/>
      <c r="CA616" s="40"/>
      <c r="CB616" s="40"/>
      <c r="CC616" s="40"/>
      <c r="CD616" s="40"/>
      <c r="CE616" s="40"/>
      <c r="CF616" s="40"/>
      <c r="CG616" s="40"/>
      <c r="CH616" s="40"/>
      <c r="CI616" s="40"/>
      <c r="CJ616" s="40"/>
      <c r="CK616" s="40"/>
      <c r="CL616" s="40"/>
      <c r="CM616" s="40"/>
      <c r="CN616" s="40"/>
      <c r="CO616" s="40"/>
      <c r="CP616" s="40"/>
      <c r="CQ616" s="40"/>
      <c r="CR616" s="40"/>
      <c r="CS616" s="40"/>
      <c r="CT616" s="40"/>
      <c r="CU616" s="40"/>
      <c r="CV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  <c r="BU617" s="40"/>
      <c r="BV617" s="40"/>
      <c r="BW617" s="40"/>
      <c r="BX617" s="40"/>
      <c r="BY617" s="40"/>
      <c r="BZ617" s="40"/>
      <c r="CA617" s="40"/>
      <c r="CB617" s="40"/>
      <c r="CC617" s="40"/>
      <c r="CD617" s="40"/>
      <c r="CE617" s="40"/>
      <c r="CF617" s="40"/>
      <c r="CG617" s="40"/>
      <c r="CH617" s="40"/>
      <c r="CI617" s="40"/>
      <c r="CJ617" s="40"/>
      <c r="CK617" s="40"/>
      <c r="CL617" s="40"/>
      <c r="CM617" s="40"/>
      <c r="CN617" s="40"/>
      <c r="CO617" s="40"/>
      <c r="CP617" s="40"/>
      <c r="CQ617" s="40"/>
      <c r="CR617" s="40"/>
      <c r="CS617" s="40"/>
      <c r="CT617" s="40"/>
      <c r="CU617" s="40"/>
      <c r="CV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  <c r="BW618" s="40"/>
      <c r="BX618" s="40"/>
      <c r="BY618" s="40"/>
      <c r="BZ618" s="40"/>
      <c r="CA618" s="40"/>
      <c r="CB618" s="40"/>
      <c r="CC618" s="40"/>
      <c r="CD618" s="40"/>
      <c r="CE618" s="40"/>
      <c r="CF618" s="40"/>
      <c r="CG618" s="40"/>
      <c r="CH618" s="40"/>
      <c r="CI618" s="40"/>
      <c r="CJ618" s="40"/>
      <c r="CK618" s="40"/>
      <c r="CL618" s="40"/>
      <c r="CM618" s="40"/>
      <c r="CN618" s="40"/>
      <c r="CO618" s="40"/>
      <c r="CP618" s="40"/>
      <c r="CQ618" s="40"/>
      <c r="CR618" s="40"/>
      <c r="CS618" s="40"/>
      <c r="CT618" s="40"/>
      <c r="CU618" s="40"/>
      <c r="CV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  <c r="BU619" s="40"/>
      <c r="BV619" s="40"/>
      <c r="BW619" s="40"/>
      <c r="BX619" s="40"/>
      <c r="BY619" s="40"/>
      <c r="BZ619" s="40"/>
      <c r="CA619" s="40"/>
      <c r="CB619" s="40"/>
      <c r="CC619" s="40"/>
      <c r="CD619" s="40"/>
      <c r="CE619" s="40"/>
      <c r="CF619" s="40"/>
      <c r="CG619" s="40"/>
      <c r="CH619" s="40"/>
      <c r="CI619" s="40"/>
      <c r="CJ619" s="40"/>
      <c r="CK619" s="40"/>
      <c r="CL619" s="40"/>
      <c r="CM619" s="40"/>
      <c r="CN619" s="40"/>
      <c r="CO619" s="40"/>
      <c r="CP619" s="40"/>
      <c r="CQ619" s="40"/>
      <c r="CR619" s="40"/>
      <c r="CS619" s="40"/>
      <c r="CT619" s="40"/>
      <c r="CU619" s="40"/>
      <c r="CV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  <c r="BU620" s="40"/>
      <c r="BV620" s="40"/>
      <c r="BW620" s="40"/>
      <c r="BX620" s="40"/>
      <c r="BY620" s="40"/>
      <c r="BZ620" s="40"/>
      <c r="CA620" s="40"/>
      <c r="CB620" s="40"/>
      <c r="CC620" s="40"/>
      <c r="CD620" s="40"/>
      <c r="CE620" s="40"/>
      <c r="CF620" s="40"/>
      <c r="CG620" s="40"/>
      <c r="CH620" s="40"/>
      <c r="CI620" s="40"/>
      <c r="CJ620" s="40"/>
      <c r="CK620" s="40"/>
      <c r="CL620" s="40"/>
      <c r="CM620" s="40"/>
      <c r="CN620" s="40"/>
      <c r="CO620" s="40"/>
      <c r="CP620" s="40"/>
      <c r="CQ620" s="40"/>
      <c r="CR620" s="40"/>
      <c r="CS620" s="40"/>
      <c r="CT620" s="40"/>
      <c r="CU620" s="40"/>
      <c r="CV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  <c r="BW621" s="40"/>
      <c r="BX621" s="40"/>
      <c r="BY621" s="40"/>
      <c r="BZ621" s="40"/>
      <c r="CA621" s="40"/>
      <c r="CB621" s="40"/>
      <c r="CC621" s="40"/>
      <c r="CD621" s="40"/>
      <c r="CE621" s="40"/>
      <c r="CF621" s="40"/>
      <c r="CG621" s="40"/>
      <c r="CH621" s="40"/>
      <c r="CI621" s="40"/>
      <c r="CJ621" s="40"/>
      <c r="CK621" s="40"/>
      <c r="CL621" s="40"/>
      <c r="CM621" s="40"/>
      <c r="CN621" s="40"/>
      <c r="CO621" s="40"/>
      <c r="CP621" s="40"/>
      <c r="CQ621" s="40"/>
      <c r="CR621" s="40"/>
      <c r="CS621" s="40"/>
      <c r="CT621" s="40"/>
      <c r="CU621" s="40"/>
      <c r="CV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  <c r="BU622" s="40"/>
      <c r="BV622" s="40"/>
      <c r="BW622" s="40"/>
      <c r="BX622" s="40"/>
      <c r="BY622" s="40"/>
      <c r="BZ622" s="40"/>
      <c r="CA622" s="40"/>
      <c r="CB622" s="40"/>
      <c r="CC622" s="40"/>
      <c r="CD622" s="40"/>
      <c r="CE622" s="40"/>
      <c r="CF622" s="40"/>
      <c r="CG622" s="40"/>
      <c r="CH622" s="40"/>
      <c r="CI622" s="40"/>
      <c r="CJ622" s="40"/>
      <c r="CK622" s="40"/>
      <c r="CL622" s="40"/>
      <c r="CM622" s="40"/>
      <c r="CN622" s="40"/>
      <c r="CO622" s="40"/>
      <c r="CP622" s="40"/>
      <c r="CQ622" s="40"/>
      <c r="CR622" s="40"/>
      <c r="CS622" s="40"/>
      <c r="CT622" s="40"/>
      <c r="CU622" s="40"/>
      <c r="CV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  <c r="BU623" s="40"/>
      <c r="BV623" s="40"/>
      <c r="BW623" s="40"/>
      <c r="BX623" s="40"/>
      <c r="BY623" s="40"/>
      <c r="BZ623" s="40"/>
      <c r="CA623" s="40"/>
      <c r="CB623" s="40"/>
      <c r="CC623" s="40"/>
      <c r="CD623" s="40"/>
      <c r="CE623" s="40"/>
      <c r="CF623" s="40"/>
      <c r="CG623" s="40"/>
      <c r="CH623" s="40"/>
      <c r="CI623" s="40"/>
      <c r="CJ623" s="40"/>
      <c r="CK623" s="40"/>
      <c r="CL623" s="40"/>
      <c r="CM623" s="40"/>
      <c r="CN623" s="40"/>
      <c r="CO623" s="40"/>
      <c r="CP623" s="40"/>
      <c r="CQ623" s="40"/>
      <c r="CR623" s="40"/>
      <c r="CS623" s="40"/>
      <c r="CT623" s="40"/>
      <c r="CU623" s="40"/>
      <c r="CV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  <c r="BU624" s="40"/>
      <c r="BV624" s="40"/>
      <c r="BW624" s="40"/>
      <c r="BX624" s="40"/>
      <c r="BY624" s="40"/>
      <c r="BZ624" s="40"/>
      <c r="CA624" s="40"/>
      <c r="CB624" s="40"/>
      <c r="CC624" s="40"/>
      <c r="CD624" s="40"/>
      <c r="CE624" s="40"/>
      <c r="CF624" s="40"/>
      <c r="CG624" s="40"/>
      <c r="CH624" s="40"/>
      <c r="CI624" s="40"/>
      <c r="CJ624" s="40"/>
      <c r="CK624" s="40"/>
      <c r="CL624" s="40"/>
      <c r="CM624" s="40"/>
      <c r="CN624" s="40"/>
      <c r="CO624" s="40"/>
      <c r="CP624" s="40"/>
      <c r="CQ624" s="40"/>
      <c r="CR624" s="40"/>
      <c r="CS624" s="40"/>
      <c r="CT624" s="40"/>
      <c r="CU624" s="40"/>
      <c r="CV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  <c r="BU625" s="40"/>
      <c r="BV625" s="40"/>
      <c r="BW625" s="40"/>
      <c r="BX625" s="40"/>
      <c r="BY625" s="40"/>
      <c r="BZ625" s="40"/>
      <c r="CA625" s="40"/>
      <c r="CB625" s="40"/>
      <c r="CC625" s="40"/>
      <c r="CD625" s="40"/>
      <c r="CE625" s="40"/>
      <c r="CF625" s="40"/>
      <c r="CG625" s="40"/>
      <c r="CH625" s="40"/>
      <c r="CI625" s="40"/>
      <c r="CJ625" s="40"/>
      <c r="CK625" s="40"/>
      <c r="CL625" s="40"/>
      <c r="CM625" s="40"/>
      <c r="CN625" s="40"/>
      <c r="CO625" s="40"/>
      <c r="CP625" s="40"/>
      <c r="CQ625" s="40"/>
      <c r="CR625" s="40"/>
      <c r="CS625" s="40"/>
      <c r="CT625" s="40"/>
      <c r="CU625" s="40"/>
      <c r="CV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  <c r="BU626" s="40"/>
      <c r="BV626" s="40"/>
      <c r="BW626" s="40"/>
      <c r="BX626" s="40"/>
      <c r="BY626" s="40"/>
      <c r="BZ626" s="40"/>
      <c r="CA626" s="40"/>
      <c r="CB626" s="40"/>
      <c r="CC626" s="40"/>
      <c r="CD626" s="40"/>
      <c r="CE626" s="40"/>
      <c r="CF626" s="40"/>
      <c r="CG626" s="40"/>
      <c r="CH626" s="40"/>
      <c r="CI626" s="40"/>
      <c r="CJ626" s="40"/>
      <c r="CK626" s="40"/>
      <c r="CL626" s="40"/>
      <c r="CM626" s="40"/>
      <c r="CN626" s="40"/>
      <c r="CO626" s="40"/>
      <c r="CP626" s="40"/>
      <c r="CQ626" s="40"/>
      <c r="CR626" s="40"/>
      <c r="CS626" s="40"/>
      <c r="CT626" s="40"/>
      <c r="CU626" s="40"/>
      <c r="CV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  <c r="BU627" s="40"/>
      <c r="BV627" s="40"/>
      <c r="BW627" s="40"/>
      <c r="BX627" s="40"/>
      <c r="BY627" s="40"/>
      <c r="BZ627" s="40"/>
      <c r="CA627" s="40"/>
      <c r="CB627" s="40"/>
      <c r="CC627" s="40"/>
      <c r="CD627" s="40"/>
      <c r="CE627" s="40"/>
      <c r="CF627" s="40"/>
      <c r="CG627" s="40"/>
      <c r="CH627" s="40"/>
      <c r="CI627" s="40"/>
      <c r="CJ627" s="40"/>
      <c r="CK627" s="40"/>
      <c r="CL627" s="40"/>
      <c r="CM627" s="40"/>
      <c r="CN627" s="40"/>
      <c r="CO627" s="40"/>
      <c r="CP627" s="40"/>
      <c r="CQ627" s="40"/>
      <c r="CR627" s="40"/>
      <c r="CS627" s="40"/>
      <c r="CT627" s="40"/>
      <c r="CU627" s="40"/>
      <c r="CV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  <c r="BW628" s="40"/>
      <c r="BX628" s="40"/>
      <c r="BY628" s="40"/>
      <c r="BZ628" s="40"/>
      <c r="CA628" s="40"/>
      <c r="CB628" s="40"/>
      <c r="CC628" s="40"/>
      <c r="CD628" s="40"/>
      <c r="CE628" s="40"/>
      <c r="CF628" s="40"/>
      <c r="CG628" s="40"/>
      <c r="CH628" s="40"/>
      <c r="CI628" s="40"/>
      <c r="CJ628" s="40"/>
      <c r="CK628" s="40"/>
      <c r="CL628" s="40"/>
      <c r="CM628" s="40"/>
      <c r="CN628" s="40"/>
      <c r="CO628" s="40"/>
      <c r="CP628" s="40"/>
      <c r="CQ628" s="40"/>
      <c r="CR628" s="40"/>
      <c r="CS628" s="40"/>
      <c r="CT628" s="40"/>
      <c r="CU628" s="40"/>
      <c r="CV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  <c r="BU629" s="40"/>
      <c r="BV629" s="40"/>
      <c r="BW629" s="40"/>
      <c r="BX629" s="40"/>
      <c r="BY629" s="40"/>
      <c r="BZ629" s="40"/>
      <c r="CA629" s="40"/>
      <c r="CB629" s="40"/>
      <c r="CC629" s="40"/>
      <c r="CD629" s="40"/>
      <c r="CE629" s="40"/>
      <c r="CF629" s="40"/>
      <c r="CG629" s="40"/>
      <c r="CH629" s="40"/>
      <c r="CI629" s="40"/>
      <c r="CJ629" s="40"/>
      <c r="CK629" s="40"/>
      <c r="CL629" s="40"/>
      <c r="CM629" s="40"/>
      <c r="CN629" s="40"/>
      <c r="CO629" s="40"/>
      <c r="CP629" s="40"/>
      <c r="CQ629" s="40"/>
      <c r="CR629" s="40"/>
      <c r="CS629" s="40"/>
      <c r="CT629" s="40"/>
      <c r="CU629" s="40"/>
      <c r="CV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  <c r="BW630" s="40"/>
      <c r="BX630" s="40"/>
      <c r="BY630" s="40"/>
      <c r="BZ630" s="40"/>
      <c r="CA630" s="40"/>
      <c r="CB630" s="40"/>
      <c r="CC630" s="40"/>
      <c r="CD630" s="40"/>
      <c r="CE630" s="40"/>
      <c r="CF630" s="40"/>
      <c r="CG630" s="40"/>
      <c r="CH630" s="40"/>
      <c r="CI630" s="40"/>
      <c r="CJ630" s="40"/>
      <c r="CK630" s="40"/>
      <c r="CL630" s="40"/>
      <c r="CM630" s="40"/>
      <c r="CN630" s="40"/>
      <c r="CO630" s="40"/>
      <c r="CP630" s="40"/>
      <c r="CQ630" s="40"/>
      <c r="CR630" s="40"/>
      <c r="CS630" s="40"/>
      <c r="CT630" s="40"/>
      <c r="CU630" s="40"/>
      <c r="CV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  <c r="BU631" s="40"/>
      <c r="BV631" s="40"/>
      <c r="BW631" s="40"/>
      <c r="BX631" s="40"/>
      <c r="BY631" s="40"/>
      <c r="BZ631" s="40"/>
      <c r="CA631" s="40"/>
      <c r="CB631" s="40"/>
      <c r="CC631" s="40"/>
      <c r="CD631" s="40"/>
      <c r="CE631" s="40"/>
      <c r="CF631" s="40"/>
      <c r="CG631" s="40"/>
      <c r="CH631" s="40"/>
      <c r="CI631" s="40"/>
      <c r="CJ631" s="40"/>
      <c r="CK631" s="40"/>
      <c r="CL631" s="40"/>
      <c r="CM631" s="40"/>
      <c r="CN631" s="40"/>
      <c r="CO631" s="40"/>
      <c r="CP631" s="40"/>
      <c r="CQ631" s="40"/>
      <c r="CR631" s="40"/>
      <c r="CS631" s="40"/>
      <c r="CT631" s="40"/>
      <c r="CU631" s="40"/>
      <c r="CV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  <c r="BU632" s="40"/>
      <c r="BV632" s="40"/>
      <c r="BW632" s="40"/>
      <c r="BX632" s="40"/>
      <c r="BY632" s="40"/>
      <c r="BZ632" s="40"/>
      <c r="CA632" s="40"/>
      <c r="CB632" s="40"/>
      <c r="CC632" s="40"/>
      <c r="CD632" s="40"/>
      <c r="CE632" s="40"/>
      <c r="CF632" s="40"/>
      <c r="CG632" s="40"/>
      <c r="CH632" s="40"/>
      <c r="CI632" s="40"/>
      <c r="CJ632" s="40"/>
      <c r="CK632" s="40"/>
      <c r="CL632" s="40"/>
      <c r="CM632" s="40"/>
      <c r="CN632" s="40"/>
      <c r="CO632" s="40"/>
      <c r="CP632" s="40"/>
      <c r="CQ632" s="40"/>
      <c r="CR632" s="40"/>
      <c r="CS632" s="40"/>
      <c r="CT632" s="40"/>
      <c r="CU632" s="40"/>
      <c r="CV632" s="40"/>
    </row>
  </sheetData>
  <mergeCells count="3">
    <mergeCell ref="I7:J7"/>
    <mergeCell ref="I8:J8"/>
    <mergeCell ref="I9:J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3" max="3" width="9.88"/>
    <col customWidth="1" min="4" max="4" width="19.38"/>
    <col customWidth="1" min="6" max="6" width="27.25"/>
    <col customWidth="1" min="7" max="7" width="19.75"/>
    <col customWidth="1" min="11" max="11" width="43.38"/>
    <col customWidth="1" min="12" max="12" width="15.25"/>
    <col customWidth="1" min="14" max="14" width="7.75"/>
    <col customWidth="1" min="15" max="15" width="7.5"/>
    <col customWidth="1" min="16" max="16" width="8.13"/>
    <col customWidth="1" min="17" max="17" width="21.0"/>
    <col customWidth="1" min="19" max="19" width="9.5"/>
    <col customWidth="1" min="20" max="20" width="9.75"/>
    <col customWidth="1" min="21" max="21" width="9.38"/>
    <col customWidth="1" min="22" max="22" width="10.38"/>
  </cols>
  <sheetData>
    <row r="1">
      <c r="A1" s="4"/>
      <c r="B1" s="7" t="s">
        <v>2</v>
      </c>
      <c r="C1" s="10" t="s">
        <v>3</v>
      </c>
      <c r="D1" s="10" t="s">
        <v>10</v>
      </c>
      <c r="E1" s="10" t="s">
        <v>5</v>
      </c>
      <c r="F1" s="23" t="s">
        <v>6</v>
      </c>
      <c r="G1" s="26" t="s">
        <v>7</v>
      </c>
      <c r="H1" s="10" t="s">
        <v>8</v>
      </c>
      <c r="I1" s="10" t="s">
        <v>9</v>
      </c>
      <c r="J1" s="10" t="s">
        <v>11</v>
      </c>
      <c r="K1" s="30" t="s">
        <v>13</v>
      </c>
      <c r="L1" s="10" t="s">
        <v>14</v>
      </c>
      <c r="M1" s="32" t="s">
        <v>15</v>
      </c>
      <c r="N1" s="32" t="s">
        <v>16</v>
      </c>
      <c r="O1" s="32" t="s">
        <v>17</v>
      </c>
      <c r="P1" s="32" t="s">
        <v>18</v>
      </c>
      <c r="Q1" s="32" t="s">
        <v>19</v>
      </c>
      <c r="R1" s="32" t="s">
        <v>20</v>
      </c>
      <c r="S1" s="39"/>
      <c r="T1" s="39"/>
      <c r="U1" s="32" t="s">
        <v>22</v>
      </c>
      <c r="V1" s="32" t="s">
        <v>23</v>
      </c>
      <c r="W1" s="32" t="s">
        <v>24</v>
      </c>
      <c r="X1" s="32" t="s">
        <v>36</v>
      </c>
      <c r="Y1" s="32" t="s">
        <v>38</v>
      </c>
    </row>
    <row r="2">
      <c r="A2" s="43">
        <v>5.0</v>
      </c>
      <c r="B2" s="44" t="s">
        <v>41</v>
      </c>
      <c r="C2" s="43" t="s">
        <v>43</v>
      </c>
      <c r="D2" s="45" t="s">
        <v>45</v>
      </c>
      <c r="E2" s="47"/>
      <c r="F2" s="48">
        <v>8.800015083E9</v>
      </c>
      <c r="G2" s="48" t="s">
        <v>47</v>
      </c>
      <c r="H2" s="48">
        <v>1199500.0</v>
      </c>
      <c r="I2" s="47"/>
      <c r="J2" s="47"/>
      <c r="K2" s="49" t="s">
        <v>48</v>
      </c>
      <c r="L2" s="50" t="s">
        <v>49</v>
      </c>
      <c r="M2" s="48">
        <v>100000.0</v>
      </c>
      <c r="N2" s="50">
        <v>75.0</v>
      </c>
      <c r="O2" s="48">
        <v>4.0</v>
      </c>
      <c r="P2" s="50">
        <v>100.0</v>
      </c>
      <c r="Q2" s="50" t="s">
        <v>50</v>
      </c>
      <c r="R2" s="50" t="s">
        <v>51</v>
      </c>
      <c r="S2" s="52">
        <f t="shared" ref="S2:S40" si="1">N2/8</f>
        <v>9.375</v>
      </c>
      <c r="T2" s="52">
        <f t="shared" ref="T2:T40" si="2">39.3*O2</f>
        <v>157.2</v>
      </c>
      <c r="U2" s="55">
        <f t="shared" ref="U2:U40" si="3">T2/S2</f>
        <v>16.768</v>
      </c>
      <c r="V2" s="58">
        <f t="shared" ref="V2:V40" si="4">M2/U2</f>
        <v>5963.740458</v>
      </c>
      <c r="W2" s="47"/>
      <c r="X2" s="47"/>
      <c r="Y2" s="47"/>
      <c r="Z2" s="47"/>
      <c r="AA2" s="47"/>
      <c r="AB2" s="47"/>
      <c r="AC2" s="47"/>
      <c r="AD2" s="47"/>
      <c r="AE2" s="47"/>
      <c r="AF2" s="47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63"/>
    </row>
    <row r="3">
      <c r="A3" s="48">
        <v>26.0</v>
      </c>
      <c r="B3" s="48" t="s">
        <v>65</v>
      </c>
      <c r="C3" s="53" t="s">
        <v>66</v>
      </c>
      <c r="D3" s="45" t="s">
        <v>67</v>
      </c>
      <c r="E3" s="47"/>
      <c r="F3" s="47"/>
      <c r="G3" s="47"/>
      <c r="H3" s="47"/>
      <c r="I3" s="47"/>
      <c r="J3" s="47"/>
      <c r="K3" s="45" t="s">
        <v>70</v>
      </c>
      <c r="L3" s="47"/>
      <c r="M3" s="50"/>
      <c r="N3" s="50">
        <v>79.0</v>
      </c>
      <c r="O3" s="50">
        <v>3.0</v>
      </c>
      <c r="P3" s="50">
        <v>100.0</v>
      </c>
      <c r="Q3" s="50" t="s">
        <v>50</v>
      </c>
      <c r="R3" s="50" t="s">
        <v>71</v>
      </c>
      <c r="S3" s="50">
        <f t="shared" si="1"/>
        <v>9.875</v>
      </c>
      <c r="T3" s="50">
        <f t="shared" si="2"/>
        <v>117.9</v>
      </c>
      <c r="U3" s="69">
        <f t="shared" si="3"/>
        <v>11.93924051</v>
      </c>
      <c r="V3" s="70">
        <f t="shared" si="4"/>
        <v>0</v>
      </c>
      <c r="W3" s="76"/>
      <c r="X3" s="76"/>
      <c r="Y3" s="76"/>
      <c r="Z3" s="76"/>
      <c r="AA3" s="76"/>
      <c r="AB3" s="76"/>
      <c r="AC3" s="76"/>
      <c r="AD3" s="76"/>
    </row>
    <row r="4" ht="21.0" customHeight="1">
      <c r="A4" s="48">
        <v>12.0</v>
      </c>
      <c r="B4" s="48" t="s">
        <v>75</v>
      </c>
      <c r="C4" s="48" t="s">
        <v>77</v>
      </c>
      <c r="D4" s="45" t="s">
        <v>78</v>
      </c>
      <c r="E4" s="76"/>
      <c r="F4" s="83"/>
      <c r="G4" s="83"/>
      <c r="H4" s="83"/>
      <c r="I4" s="84" t="s">
        <v>79</v>
      </c>
      <c r="J4" s="85"/>
      <c r="K4" s="56" t="s">
        <v>81</v>
      </c>
      <c r="L4" s="47"/>
      <c r="M4" s="86">
        <v>3000.0</v>
      </c>
      <c r="N4" s="50">
        <v>85.0</v>
      </c>
      <c r="O4" s="50">
        <v>6.0</v>
      </c>
      <c r="P4" s="50">
        <v>170.0</v>
      </c>
      <c r="Q4" s="50" t="s">
        <v>63</v>
      </c>
      <c r="R4" s="50" t="s">
        <v>83</v>
      </c>
      <c r="S4" s="50">
        <f t="shared" si="1"/>
        <v>10.625</v>
      </c>
      <c r="T4" s="50">
        <f t="shared" si="2"/>
        <v>235.8</v>
      </c>
      <c r="U4" s="69">
        <f t="shared" si="3"/>
        <v>22.19294118</v>
      </c>
      <c r="V4" s="70">
        <f t="shared" si="4"/>
        <v>135.178117</v>
      </c>
      <c r="W4" s="87"/>
      <c r="X4" s="83"/>
      <c r="Y4" s="88"/>
      <c r="Z4" s="89"/>
      <c r="AA4" s="83"/>
      <c r="AB4" s="87"/>
      <c r="AC4" s="83"/>
      <c r="AD4" s="76"/>
      <c r="AE4" s="76"/>
      <c r="AF4" s="76"/>
    </row>
    <row r="5">
      <c r="A5" s="48">
        <v>26.0</v>
      </c>
      <c r="B5" s="43" t="s">
        <v>53</v>
      </c>
      <c r="C5" s="87" t="s">
        <v>88</v>
      </c>
      <c r="D5" s="92" t="s">
        <v>55</v>
      </c>
      <c r="E5" s="47"/>
      <c r="F5" s="93"/>
      <c r="G5" s="93"/>
      <c r="H5" s="93"/>
      <c r="I5" s="47"/>
      <c r="J5" s="47"/>
      <c r="K5" s="94" t="s">
        <v>93</v>
      </c>
      <c r="L5" s="47"/>
      <c r="M5" s="95">
        <v>500.0</v>
      </c>
      <c r="N5" s="95">
        <v>118.0</v>
      </c>
      <c r="O5" s="72">
        <v>4.0</v>
      </c>
      <c r="P5" s="95">
        <v>170.0</v>
      </c>
      <c r="Q5" s="48" t="s">
        <v>59</v>
      </c>
      <c r="R5" s="95" t="s">
        <v>95</v>
      </c>
      <c r="S5" s="72">
        <f t="shared" si="1"/>
        <v>14.75</v>
      </c>
      <c r="T5" s="72">
        <f t="shared" si="2"/>
        <v>157.2</v>
      </c>
      <c r="U5" s="74">
        <f t="shared" si="3"/>
        <v>10.65762712</v>
      </c>
      <c r="V5" s="75">
        <f t="shared" si="4"/>
        <v>46.91475827</v>
      </c>
      <c r="W5" s="76"/>
      <c r="X5" s="76"/>
      <c r="Y5" s="76"/>
      <c r="Z5" s="76"/>
      <c r="AA5" s="76"/>
      <c r="AB5" s="76"/>
      <c r="AC5" s="76"/>
      <c r="AD5" s="76"/>
      <c r="AE5" s="76"/>
      <c r="AF5" s="76"/>
    </row>
    <row r="6">
      <c r="A6" s="50">
        <v>25.0</v>
      </c>
      <c r="B6" s="43" t="s">
        <v>53</v>
      </c>
      <c r="C6" s="87" t="s">
        <v>98</v>
      </c>
      <c r="D6" s="92" t="s">
        <v>55</v>
      </c>
      <c r="E6" s="47"/>
      <c r="F6" s="93"/>
      <c r="G6" s="93"/>
      <c r="H6" s="93"/>
      <c r="I6" s="47"/>
      <c r="J6" s="47"/>
      <c r="K6" s="94" t="s">
        <v>101</v>
      </c>
      <c r="L6" s="47"/>
      <c r="M6" s="95">
        <v>500.0</v>
      </c>
      <c r="N6" s="95">
        <v>75.0</v>
      </c>
      <c r="O6" s="72">
        <v>4.0</v>
      </c>
      <c r="P6" s="95">
        <v>120.0</v>
      </c>
      <c r="Q6" s="48" t="s">
        <v>59</v>
      </c>
      <c r="R6" s="95" t="s">
        <v>104</v>
      </c>
      <c r="S6" s="72">
        <f t="shared" si="1"/>
        <v>9.375</v>
      </c>
      <c r="T6" s="72">
        <f t="shared" si="2"/>
        <v>157.2</v>
      </c>
      <c r="U6" s="74">
        <f t="shared" si="3"/>
        <v>16.768</v>
      </c>
      <c r="V6" s="75">
        <f t="shared" si="4"/>
        <v>29.81870229</v>
      </c>
      <c r="W6" s="76"/>
      <c r="X6" s="76"/>
      <c r="Y6" s="76"/>
      <c r="Z6" s="76"/>
      <c r="AA6" s="76"/>
      <c r="AB6" s="76"/>
      <c r="AC6" s="76"/>
      <c r="AD6" s="76"/>
      <c r="AE6" s="76"/>
      <c r="AF6" s="76"/>
    </row>
    <row r="7">
      <c r="A7" s="43">
        <v>20.0</v>
      </c>
      <c r="B7" s="43" t="s">
        <v>108</v>
      </c>
      <c r="C7" s="48" t="s">
        <v>109</v>
      </c>
      <c r="D7" s="96" t="s">
        <v>110</v>
      </c>
      <c r="E7" s="47"/>
      <c r="F7" s="97">
        <v>5100.0</v>
      </c>
      <c r="G7" s="98" t="s">
        <v>111</v>
      </c>
      <c r="H7" s="97">
        <v>5000.0</v>
      </c>
      <c r="I7" s="99" t="s">
        <v>112</v>
      </c>
      <c r="J7" s="85"/>
      <c r="K7" s="56" t="s">
        <v>114</v>
      </c>
      <c r="L7" s="76"/>
      <c r="M7" s="53">
        <v>5000.0</v>
      </c>
      <c r="N7" s="50">
        <v>118.0</v>
      </c>
      <c r="O7" s="50">
        <v>10.0</v>
      </c>
      <c r="P7" s="50">
        <v>210.0</v>
      </c>
      <c r="Q7" s="100" t="s">
        <v>115</v>
      </c>
      <c r="R7" s="50" t="s">
        <v>116</v>
      </c>
      <c r="S7" s="50">
        <f t="shared" si="1"/>
        <v>14.75</v>
      </c>
      <c r="T7" s="50">
        <f t="shared" si="2"/>
        <v>393</v>
      </c>
      <c r="U7" s="69">
        <f t="shared" si="3"/>
        <v>26.6440678</v>
      </c>
      <c r="V7" s="70">
        <f t="shared" si="4"/>
        <v>187.6590331</v>
      </c>
      <c r="W7" s="76"/>
      <c r="X7" s="76"/>
      <c r="Y7" s="76"/>
      <c r="Z7" s="76"/>
      <c r="AA7" s="76"/>
      <c r="AB7" s="76"/>
      <c r="AC7" s="76"/>
      <c r="AD7" s="76"/>
      <c r="AE7" s="76"/>
      <c r="AF7" s="76"/>
    </row>
    <row r="8">
      <c r="A8" s="48">
        <v>3.0</v>
      </c>
      <c r="B8" s="43" t="s">
        <v>53</v>
      </c>
      <c r="C8" s="53" t="s">
        <v>122</v>
      </c>
      <c r="D8" s="96" t="s">
        <v>123</v>
      </c>
      <c r="E8" s="47"/>
      <c r="F8" s="47"/>
      <c r="G8" s="47"/>
      <c r="H8" s="47"/>
      <c r="I8" s="47"/>
      <c r="J8" s="47"/>
      <c r="K8" s="51" t="s">
        <v>126</v>
      </c>
      <c r="L8" s="47"/>
      <c r="M8" s="50">
        <v>3000.0</v>
      </c>
      <c r="N8" s="50">
        <v>108.0</v>
      </c>
      <c r="O8" s="50">
        <v>4.0</v>
      </c>
      <c r="P8" s="50">
        <v>115.0</v>
      </c>
      <c r="Q8" s="50" t="s">
        <v>63</v>
      </c>
      <c r="R8" s="50" t="s">
        <v>127</v>
      </c>
      <c r="S8" s="50">
        <f t="shared" si="1"/>
        <v>13.5</v>
      </c>
      <c r="T8" s="50">
        <f t="shared" si="2"/>
        <v>157.2</v>
      </c>
      <c r="U8" s="69">
        <f t="shared" si="3"/>
        <v>11.64444444</v>
      </c>
      <c r="V8" s="70">
        <f t="shared" si="4"/>
        <v>257.6335878</v>
      </c>
      <c r="W8" s="76"/>
      <c r="X8" s="76"/>
      <c r="Y8" s="76"/>
      <c r="Z8" s="76"/>
      <c r="AA8" s="76"/>
      <c r="AB8" s="76"/>
      <c r="AC8" s="76"/>
      <c r="AD8" s="76"/>
      <c r="AE8" s="76"/>
      <c r="AF8" s="76"/>
    </row>
    <row r="9">
      <c r="A9" s="48">
        <v>4.0</v>
      </c>
      <c r="B9" s="43" t="s">
        <v>53</v>
      </c>
      <c r="C9" s="53" t="s">
        <v>129</v>
      </c>
      <c r="D9" s="96" t="s">
        <v>123</v>
      </c>
      <c r="E9" s="47"/>
      <c r="F9" s="47"/>
      <c r="G9" s="47"/>
      <c r="H9" s="47"/>
      <c r="I9" s="47"/>
      <c r="J9" s="47"/>
      <c r="K9" s="56" t="s">
        <v>135</v>
      </c>
      <c r="L9" s="47"/>
      <c r="M9" s="50">
        <v>3000.0</v>
      </c>
      <c r="N9" s="50">
        <v>108.0</v>
      </c>
      <c r="O9" s="50">
        <v>4.0</v>
      </c>
      <c r="P9" s="50">
        <v>115.0</v>
      </c>
      <c r="Q9" s="50" t="s">
        <v>63</v>
      </c>
      <c r="R9" s="50" t="s">
        <v>127</v>
      </c>
      <c r="S9" s="50">
        <f t="shared" si="1"/>
        <v>13.5</v>
      </c>
      <c r="T9" s="50">
        <f t="shared" si="2"/>
        <v>157.2</v>
      </c>
      <c r="U9" s="69">
        <f t="shared" si="3"/>
        <v>11.64444444</v>
      </c>
      <c r="V9" s="70">
        <f t="shared" si="4"/>
        <v>257.6335878</v>
      </c>
      <c r="W9" s="76"/>
      <c r="X9" s="76"/>
      <c r="Y9" s="76"/>
      <c r="Z9" s="76"/>
      <c r="AA9" s="76"/>
      <c r="AB9" s="76"/>
      <c r="AC9" s="76"/>
      <c r="AD9" s="76"/>
      <c r="AE9" s="76"/>
      <c r="AF9" s="76"/>
    </row>
    <row r="10">
      <c r="A10" s="48">
        <v>1.0</v>
      </c>
      <c r="B10" s="43" t="s">
        <v>108</v>
      </c>
      <c r="C10" s="53" t="s">
        <v>140</v>
      </c>
      <c r="D10" s="105" t="s">
        <v>78</v>
      </c>
      <c r="E10" s="71"/>
      <c r="F10" s="106"/>
      <c r="G10" s="107"/>
      <c r="H10" s="107"/>
      <c r="I10" s="71"/>
      <c r="J10" s="71"/>
      <c r="K10" s="105" t="s">
        <v>143</v>
      </c>
      <c r="L10" s="108"/>
      <c r="M10" s="53">
        <v>62100.0</v>
      </c>
      <c r="N10" s="53">
        <v>81.0</v>
      </c>
      <c r="O10" s="53">
        <v>4.0</v>
      </c>
      <c r="P10" s="53">
        <v>160.0</v>
      </c>
      <c r="Q10" s="53" t="s">
        <v>145</v>
      </c>
      <c r="R10" s="53" t="s">
        <v>147</v>
      </c>
      <c r="S10" s="50">
        <f t="shared" si="1"/>
        <v>10.125</v>
      </c>
      <c r="T10" s="50">
        <f t="shared" si="2"/>
        <v>157.2</v>
      </c>
      <c r="U10" s="69">
        <f t="shared" si="3"/>
        <v>15.52592593</v>
      </c>
      <c r="V10" s="70">
        <f t="shared" si="4"/>
        <v>3999.76145</v>
      </c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  <c r="BL10" s="112"/>
      <c r="BM10" s="112"/>
      <c r="BN10" s="112"/>
      <c r="BO10" s="112"/>
      <c r="BP10" s="112"/>
      <c r="BQ10" s="112"/>
      <c r="BR10" s="112"/>
      <c r="BS10" s="112"/>
      <c r="BT10" s="112"/>
      <c r="BU10" s="112"/>
      <c r="BV10" s="112"/>
      <c r="BW10" s="112"/>
      <c r="BX10" s="112"/>
      <c r="BY10" s="112"/>
      <c r="BZ10" s="112"/>
      <c r="CA10" s="112"/>
      <c r="CB10" s="112"/>
      <c r="CC10" s="112"/>
      <c r="CD10" s="112"/>
      <c r="CE10" s="112"/>
      <c r="CF10" s="112"/>
      <c r="CG10" s="112"/>
      <c r="CH10" s="112"/>
      <c r="CI10" s="112"/>
      <c r="CJ10" s="112"/>
      <c r="CK10" s="112"/>
      <c r="CL10" s="112"/>
      <c r="CM10" s="112"/>
      <c r="CN10" s="112"/>
      <c r="CO10" s="112"/>
      <c r="CP10" s="112"/>
      <c r="CQ10" s="112"/>
      <c r="CR10" s="112"/>
      <c r="CS10" s="112"/>
      <c r="CT10" s="112"/>
      <c r="CU10" s="112"/>
      <c r="CV10" s="112"/>
    </row>
    <row r="11">
      <c r="A11" s="48">
        <v>2.0</v>
      </c>
      <c r="B11" s="48" t="s">
        <v>132</v>
      </c>
      <c r="C11" s="43" t="s">
        <v>158</v>
      </c>
      <c r="D11" s="45" t="s">
        <v>159</v>
      </c>
      <c r="E11" s="45"/>
      <c r="F11" s="45"/>
      <c r="G11" s="45"/>
      <c r="H11" s="71"/>
      <c r="I11" s="45"/>
      <c r="J11" s="45"/>
      <c r="K11" s="45" t="s">
        <v>160</v>
      </c>
      <c r="L11" s="50" t="s">
        <v>161</v>
      </c>
      <c r="M11" s="50">
        <v>20000.0</v>
      </c>
      <c r="N11" s="50">
        <v>92.0</v>
      </c>
      <c r="O11" s="50">
        <v>1.0</v>
      </c>
      <c r="P11" s="50">
        <v>165.0</v>
      </c>
      <c r="Q11" s="50" t="s">
        <v>162</v>
      </c>
      <c r="R11" s="50" t="s">
        <v>163</v>
      </c>
      <c r="S11" s="50">
        <f t="shared" si="1"/>
        <v>11.5</v>
      </c>
      <c r="T11" s="50">
        <f t="shared" si="2"/>
        <v>39.3</v>
      </c>
      <c r="U11" s="69">
        <f t="shared" si="3"/>
        <v>3.417391304</v>
      </c>
      <c r="V11" s="70">
        <f t="shared" si="4"/>
        <v>5852.417303</v>
      </c>
      <c r="W11" s="76"/>
      <c r="X11" s="76"/>
      <c r="Y11" s="76"/>
      <c r="Z11" s="76"/>
      <c r="AA11" s="76"/>
      <c r="AB11" s="76"/>
      <c r="AC11" s="76"/>
      <c r="AD11" s="76"/>
      <c r="AE11" s="76"/>
      <c r="AF11" s="76"/>
    </row>
    <row r="12">
      <c r="A12" s="116">
        <v>3.0</v>
      </c>
      <c r="B12" s="48" t="s">
        <v>132</v>
      </c>
      <c r="C12" s="43" t="s">
        <v>166</v>
      </c>
      <c r="D12" s="45" t="s">
        <v>159</v>
      </c>
      <c r="E12" s="45"/>
      <c r="F12" s="73"/>
      <c r="G12" s="73"/>
      <c r="H12" s="107"/>
      <c r="I12" s="45"/>
      <c r="J12" s="45"/>
      <c r="K12" s="45" t="s">
        <v>168</v>
      </c>
      <c r="L12" s="50" t="s">
        <v>161</v>
      </c>
      <c r="M12" s="50">
        <v>10000.0</v>
      </c>
      <c r="N12" s="66">
        <v>72.0</v>
      </c>
      <c r="O12" s="66">
        <v>1.0</v>
      </c>
      <c r="P12" s="66">
        <v>135.0</v>
      </c>
      <c r="Q12" s="50" t="s">
        <v>162</v>
      </c>
      <c r="R12" s="66" t="s">
        <v>169</v>
      </c>
      <c r="S12" s="50">
        <f t="shared" si="1"/>
        <v>9</v>
      </c>
      <c r="T12" s="50">
        <f t="shared" si="2"/>
        <v>39.3</v>
      </c>
      <c r="U12" s="69">
        <f t="shared" si="3"/>
        <v>4.366666667</v>
      </c>
      <c r="V12" s="70">
        <f t="shared" si="4"/>
        <v>2290.076336</v>
      </c>
      <c r="W12" s="76"/>
      <c r="X12" s="76"/>
      <c r="Y12" s="76"/>
      <c r="Z12" s="76"/>
      <c r="AA12" s="76"/>
      <c r="AB12" s="76"/>
      <c r="AC12" s="76"/>
      <c r="AD12" s="76"/>
      <c r="AE12" s="76"/>
      <c r="AF12" s="76"/>
    </row>
    <row r="13">
      <c r="A13" s="109">
        <v>7.0</v>
      </c>
      <c r="B13" s="66" t="s">
        <v>174</v>
      </c>
      <c r="C13" s="50" t="s">
        <v>175</v>
      </c>
      <c r="D13" s="45" t="s">
        <v>176</v>
      </c>
      <c r="E13" s="47"/>
      <c r="F13" s="52" t="s">
        <v>177</v>
      </c>
      <c r="G13" s="123">
        <v>46148.0</v>
      </c>
      <c r="H13" s="124">
        <v>100000.0</v>
      </c>
      <c r="I13" s="47"/>
      <c r="J13" s="47"/>
      <c r="K13" s="45" t="s">
        <v>179</v>
      </c>
      <c r="L13" s="125" t="s">
        <v>180</v>
      </c>
      <c r="M13" s="50">
        <v>100000.0</v>
      </c>
      <c r="N13" s="50">
        <v>66.0</v>
      </c>
      <c r="O13" s="50">
        <v>4.0</v>
      </c>
      <c r="P13" s="50">
        <v>205.0</v>
      </c>
      <c r="Q13" s="50" t="s">
        <v>181</v>
      </c>
      <c r="R13" s="50" t="s">
        <v>182</v>
      </c>
      <c r="S13" s="126">
        <f t="shared" si="1"/>
        <v>8.25</v>
      </c>
      <c r="T13" s="126">
        <f t="shared" si="2"/>
        <v>157.2</v>
      </c>
      <c r="U13" s="127">
        <f t="shared" si="3"/>
        <v>19.05454545</v>
      </c>
      <c r="V13" s="128">
        <f t="shared" si="4"/>
        <v>5248.091603</v>
      </c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  <c r="CT13" s="63"/>
      <c r="CU13" s="63"/>
      <c r="CV13" s="63"/>
    </row>
    <row r="14">
      <c r="A14" s="50">
        <v>8.0</v>
      </c>
      <c r="B14" s="66" t="s">
        <v>174</v>
      </c>
      <c r="C14" s="50" t="s">
        <v>186</v>
      </c>
      <c r="D14" s="45" t="s">
        <v>176</v>
      </c>
      <c r="E14" s="47"/>
      <c r="I14" s="47"/>
      <c r="J14" s="47"/>
      <c r="K14" s="45" t="s">
        <v>189</v>
      </c>
      <c r="L14" s="125" t="s">
        <v>180</v>
      </c>
      <c r="M14" s="50">
        <v>100000.0</v>
      </c>
      <c r="N14" s="50">
        <v>66.0</v>
      </c>
      <c r="O14" s="50">
        <v>4.0</v>
      </c>
      <c r="P14" s="50">
        <v>205.0</v>
      </c>
      <c r="Q14" s="50" t="s">
        <v>181</v>
      </c>
      <c r="R14" s="50" t="s">
        <v>182</v>
      </c>
      <c r="S14" s="126">
        <f t="shared" si="1"/>
        <v>8.25</v>
      </c>
      <c r="T14" s="126">
        <f t="shared" si="2"/>
        <v>157.2</v>
      </c>
      <c r="U14" s="127">
        <f t="shared" si="3"/>
        <v>19.05454545</v>
      </c>
      <c r="V14" s="128">
        <f t="shared" si="4"/>
        <v>5248.091603</v>
      </c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</row>
    <row r="15">
      <c r="A15" s="48">
        <v>38.0</v>
      </c>
      <c r="B15" s="115">
        <v>46302.0</v>
      </c>
      <c r="C15" s="48" t="s">
        <v>199</v>
      </c>
      <c r="D15" s="56" t="s">
        <v>200</v>
      </c>
      <c r="E15" s="47"/>
      <c r="F15" s="73"/>
      <c r="G15" s="130"/>
      <c r="H15" s="130"/>
      <c r="I15" s="47"/>
      <c r="J15" s="47"/>
      <c r="K15" s="56" t="s">
        <v>201</v>
      </c>
      <c r="L15" s="47"/>
      <c r="M15" s="50">
        <v>10000.0</v>
      </c>
      <c r="N15" s="48">
        <v>94.0</v>
      </c>
      <c r="O15" s="50">
        <v>2.0</v>
      </c>
      <c r="P15" s="48">
        <v>200.0</v>
      </c>
      <c r="Q15" s="50" t="s">
        <v>73</v>
      </c>
      <c r="R15" s="48" t="s">
        <v>202</v>
      </c>
      <c r="S15" s="50">
        <f t="shared" si="1"/>
        <v>11.75</v>
      </c>
      <c r="T15" s="50">
        <f t="shared" si="2"/>
        <v>78.6</v>
      </c>
      <c r="U15" s="69">
        <f t="shared" si="3"/>
        <v>6.689361702</v>
      </c>
      <c r="V15" s="70">
        <f t="shared" si="4"/>
        <v>1494.910941</v>
      </c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</row>
    <row r="16">
      <c r="A16" s="48">
        <v>1.0</v>
      </c>
      <c r="B16" s="43" t="s">
        <v>53</v>
      </c>
      <c r="C16" s="53" t="s">
        <v>212</v>
      </c>
      <c r="D16" s="54" t="s">
        <v>55</v>
      </c>
      <c r="E16" s="45"/>
      <c r="F16" s="45"/>
      <c r="G16" s="45"/>
      <c r="H16" s="45"/>
      <c r="I16" s="45"/>
      <c r="J16" s="45"/>
      <c r="K16" s="56" t="s">
        <v>215</v>
      </c>
      <c r="L16" s="45"/>
      <c r="M16" s="48">
        <v>500.0</v>
      </c>
      <c r="N16" s="48">
        <v>118.0</v>
      </c>
      <c r="O16" s="50">
        <v>4.0</v>
      </c>
      <c r="P16" s="48">
        <v>170.0</v>
      </c>
      <c r="Q16" s="48" t="s">
        <v>59</v>
      </c>
      <c r="R16" s="48" t="s">
        <v>95</v>
      </c>
      <c r="S16" s="50">
        <f t="shared" si="1"/>
        <v>14.75</v>
      </c>
      <c r="T16" s="50">
        <f t="shared" si="2"/>
        <v>157.2</v>
      </c>
      <c r="U16" s="69">
        <f t="shared" si="3"/>
        <v>10.65762712</v>
      </c>
      <c r="V16" s="70">
        <f t="shared" si="4"/>
        <v>46.91475827</v>
      </c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</row>
    <row r="17">
      <c r="A17" s="48">
        <v>8.0</v>
      </c>
      <c r="B17" s="43" t="s">
        <v>53</v>
      </c>
      <c r="C17" s="48" t="s">
        <v>220</v>
      </c>
      <c r="D17" s="54" t="s">
        <v>55</v>
      </c>
      <c r="E17" s="45"/>
      <c r="F17" s="45"/>
      <c r="G17" s="45"/>
      <c r="H17" s="45"/>
      <c r="I17" s="45"/>
      <c r="J17" s="45"/>
      <c r="K17" s="56" t="s">
        <v>222</v>
      </c>
      <c r="L17" s="45"/>
      <c r="M17" s="48">
        <v>500.0</v>
      </c>
      <c r="N17" s="48">
        <v>89.0</v>
      </c>
      <c r="O17" s="48">
        <v>3.0</v>
      </c>
      <c r="P17" s="48">
        <v>170.0</v>
      </c>
      <c r="Q17" s="48" t="s">
        <v>59</v>
      </c>
      <c r="R17" s="48" t="s">
        <v>225</v>
      </c>
      <c r="S17" s="50">
        <f t="shared" si="1"/>
        <v>11.125</v>
      </c>
      <c r="T17" s="50">
        <f t="shared" si="2"/>
        <v>117.9</v>
      </c>
      <c r="U17" s="69">
        <f t="shared" si="3"/>
        <v>10.59775281</v>
      </c>
      <c r="V17" s="70">
        <f t="shared" si="4"/>
        <v>47.1798134</v>
      </c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</row>
    <row r="18">
      <c r="A18" s="48">
        <v>9.0</v>
      </c>
      <c r="B18" s="43" t="s">
        <v>53</v>
      </c>
      <c r="C18" s="48" t="s">
        <v>228</v>
      </c>
      <c r="D18" s="54" t="s">
        <v>55</v>
      </c>
      <c r="E18" s="45"/>
      <c r="F18" s="45"/>
      <c r="G18" s="45"/>
      <c r="H18" s="45"/>
      <c r="I18" s="45"/>
      <c r="J18" s="45"/>
      <c r="K18" s="56" t="s">
        <v>229</v>
      </c>
      <c r="L18" s="45"/>
      <c r="M18" s="48">
        <v>500.0</v>
      </c>
      <c r="N18" s="48">
        <v>79.0</v>
      </c>
      <c r="O18" s="48">
        <v>4.0</v>
      </c>
      <c r="P18" s="48">
        <v>126.0</v>
      </c>
      <c r="Q18" s="48" t="s">
        <v>59</v>
      </c>
      <c r="R18" s="48" t="s">
        <v>231</v>
      </c>
      <c r="S18" s="50">
        <f t="shared" si="1"/>
        <v>9.875</v>
      </c>
      <c r="T18" s="50">
        <f t="shared" si="2"/>
        <v>157.2</v>
      </c>
      <c r="U18" s="69">
        <f t="shared" si="3"/>
        <v>15.91898734</v>
      </c>
      <c r="V18" s="70">
        <f t="shared" si="4"/>
        <v>31.40903308</v>
      </c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</row>
    <row r="19">
      <c r="A19" s="48">
        <v>1.0</v>
      </c>
      <c r="B19" s="43" t="s">
        <v>53</v>
      </c>
      <c r="C19" s="53" t="s">
        <v>235</v>
      </c>
      <c r="D19" s="54" t="s">
        <v>55</v>
      </c>
      <c r="E19" s="45"/>
      <c r="F19" s="45"/>
      <c r="G19" s="45"/>
      <c r="H19" s="45"/>
      <c r="I19" s="45"/>
      <c r="J19" s="45"/>
      <c r="K19" s="56" t="s">
        <v>236</v>
      </c>
      <c r="L19" s="45"/>
      <c r="M19" s="48">
        <v>500.0</v>
      </c>
      <c r="N19" s="48">
        <v>75.0</v>
      </c>
      <c r="O19" s="50">
        <v>4.0</v>
      </c>
      <c r="P19" s="48">
        <v>120.0</v>
      </c>
      <c r="Q19" s="48" t="s">
        <v>59</v>
      </c>
      <c r="R19" s="48" t="s">
        <v>104</v>
      </c>
      <c r="S19" s="50">
        <f t="shared" si="1"/>
        <v>9.375</v>
      </c>
      <c r="T19" s="50">
        <f t="shared" si="2"/>
        <v>157.2</v>
      </c>
      <c r="U19" s="69">
        <f t="shared" si="3"/>
        <v>16.768</v>
      </c>
      <c r="V19" s="70">
        <f t="shared" si="4"/>
        <v>29.81870229</v>
      </c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</row>
    <row r="20">
      <c r="A20" s="48">
        <v>18.0</v>
      </c>
      <c r="B20" s="43" t="s">
        <v>245</v>
      </c>
      <c r="C20" s="53" t="s">
        <v>246</v>
      </c>
      <c r="D20" s="45" t="s">
        <v>247</v>
      </c>
      <c r="E20" s="45"/>
      <c r="F20" s="43" t="s">
        <v>248</v>
      </c>
      <c r="G20" s="137">
        <v>46088.0</v>
      </c>
      <c r="H20" s="48">
        <v>10000.0</v>
      </c>
      <c r="I20" s="45"/>
      <c r="J20" s="138" t="s">
        <v>250</v>
      </c>
      <c r="K20" s="56" t="s">
        <v>251</v>
      </c>
      <c r="L20" s="50" t="s">
        <v>252</v>
      </c>
      <c r="M20" s="48">
        <v>10000.0</v>
      </c>
      <c r="N20" s="50">
        <v>89.0</v>
      </c>
      <c r="O20" s="50">
        <v>1.0</v>
      </c>
      <c r="P20" s="50">
        <v>160.0</v>
      </c>
      <c r="Q20" s="50" t="s">
        <v>63</v>
      </c>
      <c r="R20" s="50" t="s">
        <v>254</v>
      </c>
      <c r="S20" s="50">
        <f t="shared" si="1"/>
        <v>11.125</v>
      </c>
      <c r="T20" s="50">
        <f t="shared" si="2"/>
        <v>39.3</v>
      </c>
      <c r="U20" s="69">
        <f t="shared" si="3"/>
        <v>3.53258427</v>
      </c>
      <c r="V20" s="70">
        <f t="shared" si="4"/>
        <v>2830.788804</v>
      </c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</row>
    <row r="21">
      <c r="A21" s="48">
        <v>21.0</v>
      </c>
      <c r="B21" s="43" t="s">
        <v>261</v>
      </c>
      <c r="C21" s="53" t="s">
        <v>263</v>
      </c>
      <c r="D21" s="45" t="s">
        <v>247</v>
      </c>
      <c r="E21" s="71"/>
      <c r="F21" s="48" t="s">
        <v>265</v>
      </c>
      <c r="G21" s="53" t="s">
        <v>266</v>
      </c>
      <c r="H21" s="53">
        <v>5000.0</v>
      </c>
      <c r="I21" s="71"/>
      <c r="J21" s="138" t="s">
        <v>250</v>
      </c>
      <c r="K21" s="56" t="s">
        <v>267</v>
      </c>
      <c r="L21" s="50" t="s">
        <v>252</v>
      </c>
      <c r="M21" s="48">
        <v>5000.0</v>
      </c>
      <c r="N21" s="50">
        <v>89.0</v>
      </c>
      <c r="O21" s="50">
        <v>1.0</v>
      </c>
      <c r="P21" s="50">
        <v>160.0</v>
      </c>
      <c r="Q21" s="50" t="s">
        <v>63</v>
      </c>
      <c r="R21" s="50" t="s">
        <v>254</v>
      </c>
      <c r="S21" s="50">
        <f t="shared" si="1"/>
        <v>11.125</v>
      </c>
      <c r="T21" s="50">
        <f t="shared" si="2"/>
        <v>39.3</v>
      </c>
      <c r="U21" s="69">
        <f t="shared" si="3"/>
        <v>3.53258427</v>
      </c>
      <c r="V21" s="70">
        <f t="shared" si="4"/>
        <v>1415.394402</v>
      </c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</row>
    <row r="22">
      <c r="A22" s="48">
        <v>17.0</v>
      </c>
      <c r="B22" s="133" t="s">
        <v>274</v>
      </c>
      <c r="C22" s="48" t="s">
        <v>275</v>
      </c>
      <c r="D22" s="45" t="s">
        <v>247</v>
      </c>
      <c r="E22" s="45"/>
      <c r="F22" s="48" t="s">
        <v>276</v>
      </c>
      <c r="G22" s="48" t="s">
        <v>277</v>
      </c>
      <c r="H22" s="48">
        <v>8000.0</v>
      </c>
      <c r="I22" s="45"/>
      <c r="J22" s="138" t="s">
        <v>250</v>
      </c>
      <c r="K22" s="45" t="s">
        <v>278</v>
      </c>
      <c r="L22" s="50" t="s">
        <v>252</v>
      </c>
      <c r="M22" s="50">
        <v>8000.0</v>
      </c>
      <c r="N22" s="50">
        <v>89.0</v>
      </c>
      <c r="O22" s="50">
        <v>1.0</v>
      </c>
      <c r="P22" s="50">
        <v>160.0</v>
      </c>
      <c r="Q22" s="50" t="s">
        <v>63</v>
      </c>
      <c r="R22" s="50" t="s">
        <v>254</v>
      </c>
      <c r="S22" s="50">
        <f t="shared" si="1"/>
        <v>11.125</v>
      </c>
      <c r="T22" s="50">
        <f t="shared" si="2"/>
        <v>39.3</v>
      </c>
      <c r="U22" s="69">
        <f t="shared" si="3"/>
        <v>3.53258427</v>
      </c>
      <c r="V22" s="70">
        <f t="shared" si="4"/>
        <v>2264.631043</v>
      </c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</row>
    <row r="23">
      <c r="A23" s="48">
        <v>5.0</v>
      </c>
      <c r="B23" s="48" t="s">
        <v>237</v>
      </c>
      <c r="C23" s="48" t="s">
        <v>288</v>
      </c>
      <c r="D23" s="45" t="s">
        <v>78</v>
      </c>
      <c r="E23" s="76"/>
      <c r="F23" s="76"/>
      <c r="G23" s="76"/>
      <c r="H23" s="76"/>
      <c r="I23" s="76"/>
      <c r="J23" s="76"/>
      <c r="K23" s="56" t="s">
        <v>292</v>
      </c>
      <c r="L23" s="47"/>
      <c r="M23" s="48">
        <v>15000.0</v>
      </c>
      <c r="N23" s="48">
        <v>92.0</v>
      </c>
      <c r="O23" s="48">
        <v>3.0</v>
      </c>
      <c r="P23" s="48">
        <v>195.0</v>
      </c>
      <c r="Q23" s="48" t="s">
        <v>243</v>
      </c>
      <c r="R23" s="48" t="s">
        <v>244</v>
      </c>
      <c r="S23" s="50">
        <f t="shared" si="1"/>
        <v>11.5</v>
      </c>
      <c r="T23" s="50">
        <f t="shared" si="2"/>
        <v>117.9</v>
      </c>
      <c r="U23" s="69">
        <f t="shared" si="3"/>
        <v>10.25217391</v>
      </c>
      <c r="V23" s="70">
        <f t="shared" si="4"/>
        <v>1463.104326</v>
      </c>
      <c r="W23" s="87"/>
      <c r="X23" s="83"/>
      <c r="Y23" s="88"/>
      <c r="Z23" s="89"/>
      <c r="AA23" s="83"/>
      <c r="AB23" s="87"/>
      <c r="AC23" s="83"/>
      <c r="AD23" s="76"/>
      <c r="AE23" s="76"/>
      <c r="AF23" s="76"/>
    </row>
    <row r="24">
      <c r="A24" s="48">
        <v>3.0</v>
      </c>
      <c r="B24" s="43" t="s">
        <v>108</v>
      </c>
      <c r="C24" s="48" t="s">
        <v>297</v>
      </c>
      <c r="D24" s="96" t="s">
        <v>110</v>
      </c>
      <c r="E24" s="47"/>
      <c r="F24" s="98">
        <v>5100.0</v>
      </c>
      <c r="G24" s="98" t="s">
        <v>111</v>
      </c>
      <c r="H24" s="98">
        <v>3700.0</v>
      </c>
      <c r="I24" s="99" t="s">
        <v>112</v>
      </c>
      <c r="J24" s="85"/>
      <c r="K24" s="56" t="s">
        <v>300</v>
      </c>
      <c r="L24" s="76"/>
      <c r="M24" s="53">
        <v>3700.0</v>
      </c>
      <c r="N24" s="50">
        <v>118.0</v>
      </c>
      <c r="O24" s="50">
        <v>8.0</v>
      </c>
      <c r="P24" s="50">
        <v>210.0</v>
      </c>
      <c r="Q24" s="50" t="s">
        <v>303</v>
      </c>
      <c r="R24" s="50" t="s">
        <v>304</v>
      </c>
      <c r="S24" s="50">
        <f t="shared" si="1"/>
        <v>14.75</v>
      </c>
      <c r="T24" s="50">
        <f t="shared" si="2"/>
        <v>314.4</v>
      </c>
      <c r="U24" s="69">
        <f t="shared" si="3"/>
        <v>21.31525424</v>
      </c>
      <c r="V24" s="70">
        <f t="shared" si="4"/>
        <v>173.5846056</v>
      </c>
      <c r="W24" s="71"/>
      <c r="X24" s="71"/>
      <c r="Y24" s="71"/>
      <c r="Z24" s="71"/>
      <c r="AA24" s="71"/>
      <c r="AB24" s="71"/>
      <c r="AC24" s="71"/>
      <c r="AD24" s="71"/>
      <c r="AE24" s="71"/>
      <c r="AF24" s="71"/>
    </row>
    <row r="25">
      <c r="A25" s="48">
        <v>1.0</v>
      </c>
      <c r="B25" s="43" t="s">
        <v>108</v>
      </c>
      <c r="C25" s="48" t="s">
        <v>306</v>
      </c>
      <c r="D25" s="96" t="s">
        <v>110</v>
      </c>
      <c r="E25" s="47"/>
      <c r="F25" s="98">
        <v>5100.0</v>
      </c>
      <c r="G25" s="98" t="s">
        <v>111</v>
      </c>
      <c r="H25" s="98">
        <v>4000.0</v>
      </c>
      <c r="I25" s="99" t="s">
        <v>112</v>
      </c>
      <c r="J25" s="85"/>
      <c r="K25" s="56" t="s">
        <v>307</v>
      </c>
      <c r="L25" s="76"/>
      <c r="M25" s="53">
        <v>4000.0</v>
      </c>
      <c r="N25" s="50">
        <v>118.0</v>
      </c>
      <c r="O25" s="50">
        <v>10.0</v>
      </c>
      <c r="P25" s="50">
        <v>210.0</v>
      </c>
      <c r="Q25" s="100" t="s">
        <v>115</v>
      </c>
      <c r="R25" s="50" t="s">
        <v>116</v>
      </c>
      <c r="S25" s="50">
        <f t="shared" si="1"/>
        <v>14.75</v>
      </c>
      <c r="T25" s="50">
        <f t="shared" si="2"/>
        <v>393</v>
      </c>
      <c r="U25" s="69">
        <f t="shared" si="3"/>
        <v>26.6440678</v>
      </c>
      <c r="V25" s="70">
        <f t="shared" si="4"/>
        <v>150.1272265</v>
      </c>
      <c r="W25" s="71"/>
      <c r="X25" s="71"/>
      <c r="Y25" s="71"/>
      <c r="Z25" s="71"/>
      <c r="AA25" s="71"/>
      <c r="AB25" s="71"/>
      <c r="AC25" s="71"/>
      <c r="AD25" s="71"/>
      <c r="AE25" s="71"/>
      <c r="AF25" s="71"/>
    </row>
    <row r="26">
      <c r="A26" s="48">
        <v>4.0</v>
      </c>
      <c r="B26" s="43" t="s">
        <v>261</v>
      </c>
      <c r="C26" s="53" t="s">
        <v>313</v>
      </c>
      <c r="D26" s="45" t="s">
        <v>247</v>
      </c>
      <c r="E26" s="71"/>
      <c r="F26" s="48" t="s">
        <v>265</v>
      </c>
      <c r="G26" s="153" t="s">
        <v>266</v>
      </c>
      <c r="H26" s="48">
        <v>5000.0</v>
      </c>
      <c r="I26" s="71"/>
      <c r="J26" s="71"/>
      <c r="K26" s="56" t="s">
        <v>314</v>
      </c>
      <c r="L26" s="50" t="s">
        <v>252</v>
      </c>
      <c r="M26" s="48">
        <v>5000.0</v>
      </c>
      <c r="N26" s="100">
        <v>124.0</v>
      </c>
      <c r="O26" s="100">
        <v>6.0</v>
      </c>
      <c r="P26" s="100">
        <v>195.0</v>
      </c>
      <c r="Q26" s="50" t="s">
        <v>63</v>
      </c>
      <c r="R26" s="100" t="s">
        <v>315</v>
      </c>
      <c r="S26" s="50">
        <f t="shared" si="1"/>
        <v>15.5</v>
      </c>
      <c r="T26" s="50">
        <f t="shared" si="2"/>
        <v>235.8</v>
      </c>
      <c r="U26" s="69">
        <f t="shared" si="3"/>
        <v>15.21290323</v>
      </c>
      <c r="V26" s="70">
        <f t="shared" si="4"/>
        <v>328.668363</v>
      </c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</row>
    <row r="27">
      <c r="A27" s="48">
        <v>5.0</v>
      </c>
      <c r="B27" s="43" t="s">
        <v>245</v>
      </c>
      <c r="C27" s="48" t="s">
        <v>320</v>
      </c>
      <c r="D27" s="45" t="s">
        <v>247</v>
      </c>
      <c r="E27" s="45"/>
      <c r="F27" s="43" t="s">
        <v>321</v>
      </c>
      <c r="G27" s="137">
        <v>46060.0</v>
      </c>
      <c r="H27" s="48">
        <v>10000.0</v>
      </c>
      <c r="I27" s="45"/>
      <c r="J27" s="138" t="s">
        <v>322</v>
      </c>
      <c r="K27" s="56" t="s">
        <v>323</v>
      </c>
      <c r="L27" s="50" t="s">
        <v>252</v>
      </c>
      <c r="M27" s="48">
        <v>10000.0</v>
      </c>
      <c r="N27" s="100">
        <v>69.0</v>
      </c>
      <c r="O27" s="100">
        <v>1.0</v>
      </c>
      <c r="P27" s="100">
        <v>135.0</v>
      </c>
      <c r="Q27" s="50" t="s">
        <v>63</v>
      </c>
      <c r="R27" s="100" t="s">
        <v>324</v>
      </c>
      <c r="S27" s="50">
        <f t="shared" si="1"/>
        <v>8.625</v>
      </c>
      <c r="T27" s="50">
        <f t="shared" si="2"/>
        <v>39.3</v>
      </c>
      <c r="U27" s="69">
        <f t="shared" si="3"/>
        <v>4.556521739</v>
      </c>
      <c r="V27" s="70">
        <f t="shared" si="4"/>
        <v>2194.656489</v>
      </c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</row>
    <row r="28">
      <c r="A28" s="48">
        <v>6.0</v>
      </c>
      <c r="B28" s="43" t="s">
        <v>261</v>
      </c>
      <c r="C28" s="53" t="s">
        <v>331</v>
      </c>
      <c r="D28" s="45" t="s">
        <v>247</v>
      </c>
      <c r="E28" s="71"/>
      <c r="F28" s="48" t="s">
        <v>265</v>
      </c>
      <c r="G28" s="53" t="s">
        <v>266</v>
      </c>
      <c r="H28" s="53">
        <v>4000.0</v>
      </c>
      <c r="I28" s="71"/>
      <c r="J28" s="138"/>
      <c r="K28" s="56" t="s">
        <v>333</v>
      </c>
      <c r="L28" s="50" t="s">
        <v>252</v>
      </c>
      <c r="M28" s="48">
        <v>4000.0</v>
      </c>
      <c r="N28" s="100">
        <v>69.0</v>
      </c>
      <c r="O28" s="100">
        <v>1.0</v>
      </c>
      <c r="P28" s="100">
        <v>135.0</v>
      </c>
      <c r="Q28" s="50" t="s">
        <v>63</v>
      </c>
      <c r="R28" s="100" t="s">
        <v>324</v>
      </c>
      <c r="S28" s="50">
        <f t="shared" si="1"/>
        <v>8.625</v>
      </c>
      <c r="T28" s="50">
        <f t="shared" si="2"/>
        <v>39.3</v>
      </c>
      <c r="U28" s="69">
        <f t="shared" si="3"/>
        <v>4.556521739</v>
      </c>
      <c r="V28" s="70">
        <f t="shared" si="4"/>
        <v>877.8625954</v>
      </c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</row>
    <row r="29">
      <c r="A29" s="48">
        <v>7.0</v>
      </c>
      <c r="B29" s="43" t="s">
        <v>261</v>
      </c>
      <c r="C29" s="53" t="s">
        <v>336</v>
      </c>
      <c r="D29" s="45" t="s">
        <v>247</v>
      </c>
      <c r="E29" s="71"/>
      <c r="F29" s="48" t="s">
        <v>265</v>
      </c>
      <c r="G29" s="53" t="s">
        <v>266</v>
      </c>
      <c r="H29" s="53">
        <v>6000.0</v>
      </c>
      <c r="I29" s="71"/>
      <c r="J29" s="138"/>
      <c r="K29" s="56" t="s">
        <v>339</v>
      </c>
      <c r="L29" s="50" t="s">
        <v>252</v>
      </c>
      <c r="M29" s="48">
        <v>6000.0</v>
      </c>
      <c r="N29" s="133">
        <v>124.0</v>
      </c>
      <c r="O29" s="50">
        <v>6.0</v>
      </c>
      <c r="P29" s="133">
        <v>230.0</v>
      </c>
      <c r="Q29" s="50" t="s">
        <v>63</v>
      </c>
      <c r="R29" s="50" t="s">
        <v>341</v>
      </c>
      <c r="S29" s="50">
        <f t="shared" si="1"/>
        <v>15.5</v>
      </c>
      <c r="T29" s="50">
        <f t="shared" si="2"/>
        <v>235.8</v>
      </c>
      <c r="U29" s="69">
        <f t="shared" si="3"/>
        <v>15.21290323</v>
      </c>
      <c r="V29" s="70">
        <f t="shared" si="4"/>
        <v>394.4020356</v>
      </c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</row>
    <row r="30">
      <c r="A30" s="48">
        <v>8.0</v>
      </c>
      <c r="B30" s="43" t="s">
        <v>261</v>
      </c>
      <c r="C30" s="53" t="s">
        <v>344</v>
      </c>
      <c r="D30" s="45" t="s">
        <v>247</v>
      </c>
      <c r="E30" s="71"/>
      <c r="F30" s="48" t="s">
        <v>265</v>
      </c>
      <c r="G30" s="53" t="s">
        <v>266</v>
      </c>
      <c r="H30" s="53">
        <v>5000.0</v>
      </c>
      <c r="I30" s="71"/>
      <c r="J30" s="138"/>
      <c r="K30" s="56" t="s">
        <v>345</v>
      </c>
      <c r="L30" s="50" t="s">
        <v>252</v>
      </c>
      <c r="M30" s="48">
        <v>5000.0</v>
      </c>
      <c r="N30" s="133">
        <v>124.0</v>
      </c>
      <c r="O30" s="50">
        <v>6.0</v>
      </c>
      <c r="P30" s="133">
        <v>230.0</v>
      </c>
      <c r="Q30" s="50" t="s">
        <v>63</v>
      </c>
      <c r="R30" s="50" t="s">
        <v>341</v>
      </c>
      <c r="S30" s="50">
        <f t="shared" si="1"/>
        <v>15.5</v>
      </c>
      <c r="T30" s="50">
        <f t="shared" si="2"/>
        <v>235.8</v>
      </c>
      <c r="U30" s="69">
        <f t="shared" si="3"/>
        <v>15.21290323</v>
      </c>
      <c r="V30" s="70">
        <f t="shared" si="4"/>
        <v>328.668363</v>
      </c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</row>
    <row r="31">
      <c r="A31" s="48">
        <v>9.0</v>
      </c>
      <c r="B31" s="43" t="s">
        <v>261</v>
      </c>
      <c r="C31" s="53" t="s">
        <v>354</v>
      </c>
      <c r="D31" s="45" t="s">
        <v>247</v>
      </c>
      <c r="E31" s="71"/>
      <c r="F31" s="48" t="s">
        <v>265</v>
      </c>
      <c r="G31" s="53" t="s">
        <v>266</v>
      </c>
      <c r="H31" s="53">
        <v>5000.0</v>
      </c>
      <c r="I31" s="71"/>
      <c r="J31" s="71"/>
      <c r="K31" s="56" t="s">
        <v>355</v>
      </c>
      <c r="L31" s="50" t="s">
        <v>252</v>
      </c>
      <c r="M31" s="48">
        <v>5000.0</v>
      </c>
      <c r="N31" s="133">
        <v>124.0</v>
      </c>
      <c r="O31" s="50">
        <v>6.0</v>
      </c>
      <c r="P31" s="133">
        <v>230.0</v>
      </c>
      <c r="Q31" s="50" t="s">
        <v>63</v>
      </c>
      <c r="R31" s="50" t="s">
        <v>341</v>
      </c>
      <c r="S31" s="50">
        <f t="shared" si="1"/>
        <v>15.5</v>
      </c>
      <c r="T31" s="50">
        <f t="shared" si="2"/>
        <v>235.8</v>
      </c>
      <c r="U31" s="69">
        <f t="shared" si="3"/>
        <v>15.21290323</v>
      </c>
      <c r="V31" s="70">
        <f t="shared" si="4"/>
        <v>328.668363</v>
      </c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</row>
    <row r="32">
      <c r="A32" s="48">
        <v>10.0</v>
      </c>
      <c r="B32" s="43" t="s">
        <v>261</v>
      </c>
      <c r="C32" s="53" t="s">
        <v>364</v>
      </c>
      <c r="D32" s="45" t="s">
        <v>247</v>
      </c>
      <c r="E32" s="71"/>
      <c r="F32" s="48" t="s">
        <v>265</v>
      </c>
      <c r="G32" s="53" t="s">
        <v>266</v>
      </c>
      <c r="H32" s="53">
        <v>5000.0</v>
      </c>
      <c r="I32" s="71"/>
      <c r="J32" s="71"/>
      <c r="K32" s="56" t="s">
        <v>365</v>
      </c>
      <c r="L32" s="50" t="s">
        <v>252</v>
      </c>
      <c r="M32" s="48">
        <v>5000.0</v>
      </c>
      <c r="N32" s="100">
        <v>92.0</v>
      </c>
      <c r="O32" s="100">
        <v>4.0</v>
      </c>
      <c r="P32" s="100">
        <v>140.0</v>
      </c>
      <c r="Q32" s="50" t="s">
        <v>63</v>
      </c>
      <c r="R32" s="100" t="s">
        <v>366</v>
      </c>
      <c r="S32" s="50">
        <f t="shared" si="1"/>
        <v>11.5</v>
      </c>
      <c r="T32" s="50">
        <f t="shared" si="2"/>
        <v>157.2</v>
      </c>
      <c r="U32" s="69">
        <f t="shared" si="3"/>
        <v>13.66956522</v>
      </c>
      <c r="V32" s="70">
        <f t="shared" si="4"/>
        <v>365.7760814</v>
      </c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</row>
    <row r="33">
      <c r="A33" s="48">
        <v>38.0</v>
      </c>
      <c r="B33" s="43" t="s">
        <v>261</v>
      </c>
      <c r="C33" s="53" t="s">
        <v>369</v>
      </c>
      <c r="D33" s="45" t="s">
        <v>247</v>
      </c>
      <c r="E33" s="71"/>
      <c r="F33" s="48" t="s">
        <v>371</v>
      </c>
      <c r="G33" s="53" t="s">
        <v>373</v>
      </c>
      <c r="H33" s="53" t="s">
        <v>374</v>
      </c>
      <c r="I33" s="71"/>
      <c r="J33" s="53" t="s">
        <v>377</v>
      </c>
      <c r="K33" s="51" t="s">
        <v>378</v>
      </c>
      <c r="L33" s="50" t="s">
        <v>252</v>
      </c>
      <c r="M33" s="50">
        <v>15000.0</v>
      </c>
      <c r="N33" s="100">
        <v>124.0</v>
      </c>
      <c r="O33" s="100">
        <v>6.0</v>
      </c>
      <c r="P33" s="100">
        <v>195.0</v>
      </c>
      <c r="Q33" s="50" t="s">
        <v>63</v>
      </c>
      <c r="R33" s="100" t="s">
        <v>315</v>
      </c>
      <c r="S33" s="50">
        <f t="shared" si="1"/>
        <v>15.5</v>
      </c>
      <c r="T33" s="50">
        <f t="shared" si="2"/>
        <v>235.8</v>
      </c>
      <c r="U33" s="69">
        <f t="shared" si="3"/>
        <v>15.21290323</v>
      </c>
      <c r="V33" s="70">
        <f t="shared" si="4"/>
        <v>986.0050891</v>
      </c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</row>
    <row r="34">
      <c r="A34" s="48">
        <v>1.0</v>
      </c>
      <c r="B34" s="43" t="s">
        <v>356</v>
      </c>
      <c r="C34" s="53" t="s">
        <v>380</v>
      </c>
      <c r="D34" s="45" t="s">
        <v>247</v>
      </c>
      <c r="E34" s="71"/>
      <c r="F34" s="71"/>
      <c r="G34" s="71"/>
      <c r="H34" s="71"/>
      <c r="I34" s="71"/>
      <c r="J34" s="71"/>
      <c r="K34" s="45" t="s">
        <v>382</v>
      </c>
      <c r="L34" s="50" t="s">
        <v>252</v>
      </c>
      <c r="M34" s="50">
        <v>15000.0</v>
      </c>
      <c r="N34" s="100">
        <v>72.0</v>
      </c>
      <c r="O34" s="100">
        <v>2.0</v>
      </c>
      <c r="P34" s="100">
        <v>185.0</v>
      </c>
      <c r="Q34" s="50" t="s">
        <v>63</v>
      </c>
      <c r="R34" s="100" t="s">
        <v>384</v>
      </c>
      <c r="S34" s="50">
        <f t="shared" si="1"/>
        <v>9</v>
      </c>
      <c r="T34" s="50">
        <f t="shared" si="2"/>
        <v>78.6</v>
      </c>
      <c r="U34" s="69">
        <f t="shared" si="3"/>
        <v>8.733333333</v>
      </c>
      <c r="V34" s="70">
        <f t="shared" si="4"/>
        <v>1717.557252</v>
      </c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</row>
    <row r="35">
      <c r="A35" s="48">
        <v>2.0</v>
      </c>
      <c r="B35" s="43" t="s">
        <v>386</v>
      </c>
      <c r="C35" s="53" t="s">
        <v>387</v>
      </c>
      <c r="D35" s="45" t="s">
        <v>247</v>
      </c>
      <c r="E35" s="71"/>
      <c r="F35" s="71"/>
      <c r="G35" s="71"/>
      <c r="H35" s="71"/>
      <c r="I35" s="71"/>
      <c r="J35" s="71"/>
      <c r="K35" s="56" t="s">
        <v>390</v>
      </c>
      <c r="L35" s="50" t="s">
        <v>252</v>
      </c>
      <c r="M35" s="48">
        <v>10000.0</v>
      </c>
      <c r="N35" s="100">
        <v>72.0</v>
      </c>
      <c r="O35" s="100">
        <v>2.0</v>
      </c>
      <c r="P35" s="100">
        <v>185.0</v>
      </c>
      <c r="Q35" s="50" t="s">
        <v>63</v>
      </c>
      <c r="R35" s="100" t="s">
        <v>384</v>
      </c>
      <c r="S35" s="126">
        <f t="shared" si="1"/>
        <v>9</v>
      </c>
      <c r="T35" s="126">
        <f t="shared" si="2"/>
        <v>78.6</v>
      </c>
      <c r="U35" s="127">
        <f t="shared" si="3"/>
        <v>8.733333333</v>
      </c>
      <c r="V35" s="128">
        <f t="shared" si="4"/>
        <v>1145.038168</v>
      </c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</row>
    <row r="36">
      <c r="A36" s="48">
        <v>3.0</v>
      </c>
      <c r="B36" s="43" t="s">
        <v>261</v>
      </c>
      <c r="C36" s="53" t="s">
        <v>393</v>
      </c>
      <c r="D36" s="45" t="s">
        <v>247</v>
      </c>
      <c r="E36" s="71"/>
      <c r="F36" s="48" t="s">
        <v>265</v>
      </c>
      <c r="G36" s="53" t="s">
        <v>266</v>
      </c>
      <c r="H36" s="53">
        <v>5000.0</v>
      </c>
      <c r="I36" s="71"/>
      <c r="J36" s="71"/>
      <c r="K36" s="45" t="s">
        <v>351</v>
      </c>
      <c r="L36" s="50" t="s">
        <v>252</v>
      </c>
      <c r="M36" s="48">
        <v>5000.0</v>
      </c>
      <c r="N36" s="100">
        <v>85.0</v>
      </c>
      <c r="O36" s="100">
        <v>2.0</v>
      </c>
      <c r="P36" s="100">
        <v>170.0</v>
      </c>
      <c r="Q36" s="50" t="s">
        <v>162</v>
      </c>
      <c r="R36" s="50" t="s">
        <v>353</v>
      </c>
      <c r="S36" s="50">
        <f t="shared" si="1"/>
        <v>10.625</v>
      </c>
      <c r="T36" s="50">
        <f t="shared" si="2"/>
        <v>78.6</v>
      </c>
      <c r="U36" s="69">
        <f t="shared" si="3"/>
        <v>7.397647059</v>
      </c>
      <c r="V36" s="70">
        <f t="shared" si="4"/>
        <v>675.8905852</v>
      </c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</row>
    <row r="37">
      <c r="A37" s="48">
        <v>29.0</v>
      </c>
      <c r="B37" s="43" t="s">
        <v>395</v>
      </c>
      <c r="C37" s="53" t="s">
        <v>396</v>
      </c>
      <c r="D37" s="56" t="s">
        <v>78</v>
      </c>
      <c r="E37" s="71"/>
      <c r="F37" s="71"/>
      <c r="G37" s="71"/>
      <c r="H37" s="71"/>
      <c r="I37" s="71"/>
      <c r="J37" s="71"/>
      <c r="K37" s="168" t="s">
        <v>399</v>
      </c>
      <c r="L37" s="52"/>
      <c r="M37" s="48">
        <v>127300.0</v>
      </c>
      <c r="N37" s="53">
        <v>79.0</v>
      </c>
      <c r="O37" s="53">
        <v>32.0</v>
      </c>
      <c r="P37" s="53">
        <v>150.0</v>
      </c>
      <c r="Q37" s="53" t="s">
        <v>115</v>
      </c>
      <c r="R37" s="53" t="s">
        <v>400</v>
      </c>
      <c r="S37" s="50">
        <f t="shared" si="1"/>
        <v>9.875</v>
      </c>
      <c r="T37" s="50">
        <f t="shared" si="2"/>
        <v>1257.6</v>
      </c>
      <c r="U37" s="69">
        <f t="shared" si="3"/>
        <v>127.3518987</v>
      </c>
      <c r="V37" s="70">
        <f t="shared" si="4"/>
        <v>999.5924777</v>
      </c>
      <c r="W37" s="52"/>
      <c r="X37" s="52"/>
      <c r="Y37" s="52"/>
      <c r="Z37" s="52"/>
      <c r="AA37" s="45"/>
      <c r="AB37" s="45"/>
      <c r="AC37" s="45"/>
      <c r="AD37" s="45"/>
      <c r="AE37" s="45"/>
      <c r="AF37" s="45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</row>
    <row r="38">
      <c r="A38" s="48">
        <v>1.0</v>
      </c>
      <c r="B38" s="43" t="s">
        <v>108</v>
      </c>
      <c r="C38" s="48" t="s">
        <v>401</v>
      </c>
      <c r="D38" s="96" t="s">
        <v>110</v>
      </c>
      <c r="E38" s="45"/>
      <c r="F38" s="98">
        <v>5100.0</v>
      </c>
      <c r="G38" s="98" t="s">
        <v>111</v>
      </c>
      <c r="H38" s="98">
        <v>2500.0</v>
      </c>
      <c r="I38" s="99" t="s">
        <v>112</v>
      </c>
      <c r="J38" s="85"/>
      <c r="K38" s="56" t="s">
        <v>403</v>
      </c>
      <c r="L38" s="71"/>
      <c r="M38" s="53">
        <v>2500.0</v>
      </c>
      <c r="N38" s="50">
        <v>118.0</v>
      </c>
      <c r="O38" s="50">
        <v>10.0</v>
      </c>
      <c r="P38" s="50">
        <v>210.0</v>
      </c>
      <c r="Q38" s="100" t="s">
        <v>115</v>
      </c>
      <c r="R38" s="50" t="s">
        <v>116</v>
      </c>
      <c r="S38" s="50">
        <f t="shared" si="1"/>
        <v>14.75</v>
      </c>
      <c r="T38" s="50">
        <f t="shared" si="2"/>
        <v>393</v>
      </c>
      <c r="U38" s="69">
        <f t="shared" si="3"/>
        <v>26.6440678</v>
      </c>
      <c r="V38" s="70">
        <f t="shared" si="4"/>
        <v>93.82951654</v>
      </c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</row>
    <row r="39">
      <c r="A39" s="48">
        <v>6.0</v>
      </c>
      <c r="B39" s="43" t="s">
        <v>53</v>
      </c>
      <c r="C39" s="48" t="s">
        <v>404</v>
      </c>
      <c r="D39" s="54" t="s">
        <v>55</v>
      </c>
      <c r="E39" s="45"/>
      <c r="F39" s="45"/>
      <c r="G39" s="45"/>
      <c r="H39" s="45"/>
      <c r="I39" s="45"/>
      <c r="J39" s="45"/>
      <c r="K39" s="56" t="s">
        <v>405</v>
      </c>
      <c r="L39" s="45"/>
      <c r="M39" s="48">
        <v>500.0</v>
      </c>
      <c r="N39" s="48">
        <v>75.0</v>
      </c>
      <c r="O39" s="48">
        <v>3.0</v>
      </c>
      <c r="P39" s="48">
        <v>175.0</v>
      </c>
      <c r="Q39" s="48" t="s">
        <v>59</v>
      </c>
      <c r="R39" s="48" t="s">
        <v>406</v>
      </c>
      <c r="S39" s="50">
        <f t="shared" si="1"/>
        <v>9.375</v>
      </c>
      <c r="T39" s="50">
        <f t="shared" si="2"/>
        <v>117.9</v>
      </c>
      <c r="U39" s="69">
        <f t="shared" si="3"/>
        <v>12.576</v>
      </c>
      <c r="V39" s="70">
        <f t="shared" si="4"/>
        <v>39.75826972</v>
      </c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</row>
    <row r="40">
      <c r="A40" s="48">
        <v>7.0</v>
      </c>
      <c r="B40" s="43" t="s">
        <v>53</v>
      </c>
      <c r="C40" s="48" t="s">
        <v>413</v>
      </c>
      <c r="D40" s="54" t="s">
        <v>55</v>
      </c>
      <c r="E40" s="45"/>
      <c r="F40" s="45"/>
      <c r="G40" s="45"/>
      <c r="H40" s="45"/>
      <c r="I40" s="45"/>
      <c r="J40" s="45"/>
      <c r="K40" s="56" t="s">
        <v>414</v>
      </c>
      <c r="L40" s="45"/>
      <c r="M40" s="48">
        <v>500.0</v>
      </c>
      <c r="N40" s="48">
        <v>69.0</v>
      </c>
      <c r="O40" s="48">
        <v>3.0</v>
      </c>
      <c r="P40" s="48">
        <v>150.0</v>
      </c>
      <c r="Q40" s="48" t="s">
        <v>59</v>
      </c>
      <c r="R40" s="48" t="s">
        <v>415</v>
      </c>
      <c r="S40" s="50">
        <f t="shared" si="1"/>
        <v>8.625</v>
      </c>
      <c r="T40" s="50">
        <f t="shared" si="2"/>
        <v>117.9</v>
      </c>
      <c r="U40" s="69">
        <f t="shared" si="3"/>
        <v>13.66956522</v>
      </c>
      <c r="V40" s="70">
        <f t="shared" si="4"/>
        <v>36.57760814</v>
      </c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</row>
  </sheetData>
  <mergeCells count="5">
    <mergeCell ref="I4:J4"/>
    <mergeCell ref="I7:J7"/>
    <mergeCell ref="I24:J24"/>
    <mergeCell ref="I25:J25"/>
    <mergeCell ref="I38:J3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4" max="4" width="19.0"/>
    <col customWidth="1" min="6" max="6" width="26.63"/>
    <col customWidth="1" min="7" max="7" width="27.13"/>
    <col customWidth="1" min="8" max="8" width="18.75"/>
    <col customWidth="1" min="11" max="11" width="39.5"/>
    <col customWidth="1" min="14" max="14" width="9.63"/>
    <col customWidth="1" min="15" max="15" width="8.88"/>
    <col customWidth="1" min="16" max="16" width="9.38"/>
    <col customWidth="1" min="17" max="17" width="17.25"/>
    <col customWidth="1" min="18" max="18" width="15.5"/>
    <col customWidth="1" min="19" max="19" width="10.88"/>
    <col customWidth="1" min="21" max="21" width="10.38"/>
    <col customWidth="1" min="22" max="22" width="11.38"/>
    <col customWidth="1" min="26" max="26" width="21.75"/>
  </cols>
  <sheetData>
    <row r="1">
      <c r="A1" s="13" t="s">
        <v>12</v>
      </c>
      <c r="B1" s="15" t="s">
        <v>2</v>
      </c>
      <c r="C1" s="17" t="s">
        <v>3</v>
      </c>
      <c r="D1" s="17" t="s">
        <v>4</v>
      </c>
      <c r="E1" s="21" t="s">
        <v>21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11</v>
      </c>
      <c r="K1" s="28" t="s">
        <v>13</v>
      </c>
      <c r="L1" s="17" t="s">
        <v>14</v>
      </c>
      <c r="M1" s="17" t="s">
        <v>30</v>
      </c>
      <c r="N1" s="17" t="s">
        <v>16</v>
      </c>
      <c r="O1" s="17" t="s">
        <v>17</v>
      </c>
      <c r="P1" s="17" t="s">
        <v>18</v>
      </c>
      <c r="Q1" s="17" t="s">
        <v>19</v>
      </c>
      <c r="R1" s="17" t="s">
        <v>20</v>
      </c>
      <c r="S1" s="38"/>
      <c r="T1" s="38"/>
      <c r="U1" s="17" t="s">
        <v>22</v>
      </c>
      <c r="V1" s="17" t="s">
        <v>23</v>
      </c>
      <c r="W1" s="17" t="s">
        <v>35</v>
      </c>
      <c r="X1" s="41" t="s">
        <v>37</v>
      </c>
      <c r="Y1" s="42" t="s">
        <v>39</v>
      </c>
      <c r="Z1" s="17" t="s">
        <v>40</v>
      </c>
      <c r="AA1" s="17" t="s">
        <v>42</v>
      </c>
      <c r="AB1" s="17" t="s">
        <v>44</v>
      </c>
      <c r="AC1" s="17" t="s">
        <v>46</v>
      </c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</row>
    <row r="2" ht="20.25" customHeight="1">
      <c r="A2" s="48"/>
      <c r="B2" s="57">
        <v>46085.0</v>
      </c>
      <c r="C2" s="50" t="s">
        <v>57</v>
      </c>
      <c r="D2" s="59" t="s">
        <v>58</v>
      </c>
      <c r="E2" s="60"/>
      <c r="F2" s="61" t="s">
        <v>61</v>
      </c>
      <c r="G2" s="62">
        <v>46085.0</v>
      </c>
      <c r="H2" s="64">
        <v>40000.0</v>
      </c>
      <c r="I2" s="60"/>
      <c r="J2" s="60"/>
      <c r="K2" s="51" t="s">
        <v>62</v>
      </c>
      <c r="L2" s="60"/>
      <c r="M2" s="66">
        <v>40000.0</v>
      </c>
      <c r="N2" s="67">
        <v>72.0</v>
      </c>
      <c r="O2" s="67">
        <v>28.0</v>
      </c>
      <c r="P2" s="67">
        <v>145.0</v>
      </c>
      <c r="Q2" s="68" t="s">
        <v>63</v>
      </c>
      <c r="R2" s="67" t="s">
        <v>64</v>
      </c>
      <c r="S2" s="72">
        <f t="shared" ref="S2:S33" si="1">N2/8</f>
        <v>9</v>
      </c>
      <c r="T2" s="72">
        <f t="shared" ref="T2:T33" si="2">39.3*O2</f>
        <v>1100.4</v>
      </c>
      <c r="U2" s="74">
        <f t="shared" ref="U2:U33" si="3">T2/S2</f>
        <v>122.2666667</v>
      </c>
      <c r="V2" s="75">
        <f t="shared" ref="V2:V33" si="4">M2/U2</f>
        <v>327.1537623</v>
      </c>
      <c r="W2" s="77"/>
      <c r="X2" s="78"/>
      <c r="Y2" s="79"/>
      <c r="Z2" s="77"/>
      <c r="AA2" s="80"/>
      <c r="AB2" s="81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82"/>
      <c r="CH2" s="82"/>
      <c r="CI2" s="82"/>
      <c r="CJ2" s="82"/>
      <c r="CK2" s="82"/>
      <c r="CL2" s="82"/>
      <c r="CM2" s="82"/>
      <c r="CN2" s="82"/>
      <c r="CO2" s="82"/>
      <c r="CP2" s="82"/>
      <c r="CQ2" s="82"/>
      <c r="CR2" s="82"/>
      <c r="CS2" s="82"/>
      <c r="CT2" s="82"/>
      <c r="CU2" s="82"/>
      <c r="CV2" s="82"/>
    </row>
    <row r="3" ht="20.25" customHeight="1">
      <c r="A3" s="48"/>
      <c r="B3" s="57">
        <v>46026.0</v>
      </c>
      <c r="C3" s="66" t="s">
        <v>86</v>
      </c>
      <c r="D3" s="90" t="s">
        <v>78</v>
      </c>
      <c r="E3" s="60"/>
      <c r="F3" s="60"/>
      <c r="G3" s="60"/>
      <c r="H3" s="60"/>
      <c r="I3" s="60"/>
      <c r="J3" s="91" t="s">
        <v>89</v>
      </c>
      <c r="K3" s="51" t="s">
        <v>90</v>
      </c>
      <c r="L3" s="47"/>
      <c r="M3" s="50">
        <v>50800.0</v>
      </c>
      <c r="N3" s="50">
        <v>99.0</v>
      </c>
      <c r="O3" s="50">
        <v>8.0</v>
      </c>
      <c r="P3" s="50">
        <v>390.0</v>
      </c>
      <c r="Q3" s="50" t="s">
        <v>50</v>
      </c>
      <c r="R3" s="50" t="s">
        <v>92</v>
      </c>
      <c r="S3" s="50">
        <f t="shared" si="1"/>
        <v>12.375</v>
      </c>
      <c r="T3" s="50">
        <f t="shared" si="2"/>
        <v>314.4</v>
      </c>
      <c r="U3" s="69">
        <f t="shared" si="3"/>
        <v>25.40606061</v>
      </c>
      <c r="V3" s="70">
        <f t="shared" si="4"/>
        <v>1999.522901</v>
      </c>
      <c r="W3" s="77"/>
      <c r="X3" s="78"/>
      <c r="Y3" s="79"/>
      <c r="Z3" s="77"/>
      <c r="AA3" s="80"/>
      <c r="AB3" s="81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  <c r="CG3" s="82"/>
      <c r="CH3" s="82"/>
      <c r="CI3" s="82"/>
      <c r="CJ3" s="82"/>
      <c r="CK3" s="82"/>
      <c r="CL3" s="82"/>
      <c r="CM3" s="82"/>
      <c r="CN3" s="82"/>
      <c r="CO3" s="82"/>
      <c r="CP3" s="82"/>
      <c r="CQ3" s="82"/>
      <c r="CR3" s="82"/>
      <c r="CS3" s="82"/>
      <c r="CT3" s="82"/>
      <c r="CU3" s="82"/>
      <c r="CV3" s="82"/>
    </row>
    <row r="4" ht="20.25" customHeight="1">
      <c r="A4" s="48"/>
      <c r="B4" s="57">
        <v>46085.0</v>
      </c>
      <c r="C4" s="50" t="s">
        <v>102</v>
      </c>
      <c r="D4" s="45" t="s">
        <v>103</v>
      </c>
      <c r="E4" s="47"/>
      <c r="F4" s="47"/>
      <c r="G4" s="47"/>
      <c r="H4" s="47"/>
      <c r="I4" s="47"/>
      <c r="J4" s="47"/>
      <c r="K4" s="45" t="s">
        <v>105</v>
      </c>
      <c r="L4" s="47"/>
      <c r="M4" s="50">
        <v>102467.0</v>
      </c>
      <c r="N4" s="50">
        <v>108.0</v>
      </c>
      <c r="O4" s="50">
        <v>10.0</v>
      </c>
      <c r="P4" s="50">
        <v>230.0</v>
      </c>
      <c r="Q4" s="50" t="s">
        <v>106</v>
      </c>
      <c r="R4" s="50" t="s">
        <v>107</v>
      </c>
      <c r="S4" s="50">
        <f t="shared" si="1"/>
        <v>13.5</v>
      </c>
      <c r="T4" s="50">
        <f t="shared" si="2"/>
        <v>393</v>
      </c>
      <c r="U4" s="69">
        <f t="shared" si="3"/>
        <v>29.11111111</v>
      </c>
      <c r="V4" s="70">
        <f t="shared" si="4"/>
        <v>3519.858779</v>
      </c>
      <c r="W4" s="77"/>
      <c r="X4" s="78"/>
      <c r="Y4" s="79"/>
      <c r="Z4" s="77"/>
      <c r="AA4" s="80"/>
      <c r="AB4" s="81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</row>
    <row r="5" ht="20.25" customHeight="1">
      <c r="A5" s="48"/>
      <c r="B5" s="57">
        <v>46116.0</v>
      </c>
      <c r="C5" s="50" t="s">
        <v>120</v>
      </c>
      <c r="D5" s="51" t="s">
        <v>67</v>
      </c>
      <c r="E5" s="47"/>
      <c r="F5" s="101">
        <v>5.400091917E9</v>
      </c>
      <c r="G5" s="102">
        <v>46116.0</v>
      </c>
      <c r="H5" s="103">
        <v>2050.0</v>
      </c>
      <c r="I5" s="47"/>
      <c r="J5" s="50">
        <v>207741.0</v>
      </c>
      <c r="K5" s="51" t="s">
        <v>124</v>
      </c>
      <c r="L5" s="47"/>
      <c r="M5" s="50">
        <v>2050.0</v>
      </c>
      <c r="N5" s="50">
        <v>89.0</v>
      </c>
      <c r="O5" s="50">
        <v>1.0</v>
      </c>
      <c r="P5" s="50">
        <v>205.0</v>
      </c>
      <c r="Q5" s="50" t="s">
        <v>63</v>
      </c>
      <c r="R5" s="50" t="s">
        <v>125</v>
      </c>
      <c r="S5" s="50">
        <f t="shared" si="1"/>
        <v>11.125</v>
      </c>
      <c r="T5" s="50">
        <f t="shared" si="2"/>
        <v>39.3</v>
      </c>
      <c r="U5" s="69">
        <f t="shared" si="3"/>
        <v>3.53258427</v>
      </c>
      <c r="V5" s="70">
        <f t="shared" si="4"/>
        <v>580.3117048</v>
      </c>
      <c r="W5" s="77"/>
      <c r="X5" s="78"/>
      <c r="Y5" s="79"/>
      <c r="Z5" s="77"/>
      <c r="AA5" s="80"/>
      <c r="AB5" s="81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  <c r="CG5" s="82"/>
      <c r="CH5" s="82"/>
      <c r="CI5" s="82"/>
      <c r="CJ5" s="82"/>
      <c r="CK5" s="82"/>
      <c r="CL5" s="82"/>
      <c r="CM5" s="82"/>
      <c r="CN5" s="82"/>
      <c r="CO5" s="82"/>
      <c r="CP5" s="82"/>
      <c r="CQ5" s="82"/>
      <c r="CR5" s="82"/>
      <c r="CS5" s="82"/>
      <c r="CT5" s="82"/>
      <c r="CU5" s="82"/>
      <c r="CV5" s="82"/>
    </row>
    <row r="6" ht="20.25" customHeight="1">
      <c r="A6" s="48"/>
      <c r="B6" s="57">
        <v>46116.0</v>
      </c>
      <c r="C6" s="50" t="s">
        <v>128</v>
      </c>
      <c r="D6" s="51" t="s">
        <v>67</v>
      </c>
      <c r="E6" s="47"/>
      <c r="F6" s="104"/>
      <c r="G6" s="104"/>
      <c r="H6" s="104"/>
      <c r="I6" s="47"/>
      <c r="J6" s="50">
        <v>207741.0</v>
      </c>
      <c r="K6" s="51" t="s">
        <v>130</v>
      </c>
      <c r="L6" s="47"/>
      <c r="M6" s="50">
        <v>2050.0</v>
      </c>
      <c r="N6" s="50">
        <v>89.0</v>
      </c>
      <c r="O6" s="50">
        <v>1.0</v>
      </c>
      <c r="P6" s="50">
        <v>205.0</v>
      </c>
      <c r="Q6" s="50" t="s">
        <v>63</v>
      </c>
      <c r="R6" s="50" t="s">
        <v>125</v>
      </c>
      <c r="S6" s="50">
        <f t="shared" si="1"/>
        <v>11.125</v>
      </c>
      <c r="T6" s="50">
        <f t="shared" si="2"/>
        <v>39.3</v>
      </c>
      <c r="U6" s="69">
        <f t="shared" si="3"/>
        <v>3.53258427</v>
      </c>
      <c r="V6" s="70">
        <f t="shared" si="4"/>
        <v>580.3117048</v>
      </c>
      <c r="W6" s="77"/>
      <c r="X6" s="78"/>
      <c r="Y6" s="79"/>
      <c r="Z6" s="77"/>
      <c r="AA6" s="80"/>
      <c r="AB6" s="81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/>
      <c r="CU6" s="82"/>
      <c r="CV6" s="82"/>
    </row>
    <row r="7" ht="20.25" customHeight="1">
      <c r="A7" s="48"/>
      <c r="B7" s="57">
        <v>46116.0</v>
      </c>
      <c r="C7" s="50" t="s">
        <v>141</v>
      </c>
      <c r="D7" s="51" t="s">
        <v>67</v>
      </c>
      <c r="E7" s="47"/>
      <c r="F7" s="109">
        <v>5.400091917E9</v>
      </c>
      <c r="G7" s="110">
        <v>46116.0</v>
      </c>
      <c r="H7" s="50">
        <v>4100.0</v>
      </c>
      <c r="I7" s="47"/>
      <c r="J7" s="50">
        <v>207739.0</v>
      </c>
      <c r="K7" s="51" t="s">
        <v>146</v>
      </c>
      <c r="L7" s="47"/>
      <c r="M7" s="50">
        <v>4100.0</v>
      </c>
      <c r="N7" s="50">
        <v>108.0</v>
      </c>
      <c r="O7" s="50">
        <v>2.0</v>
      </c>
      <c r="P7" s="50">
        <v>320.0</v>
      </c>
      <c r="Q7" s="50" t="s">
        <v>63</v>
      </c>
      <c r="R7" s="50" t="s">
        <v>149</v>
      </c>
      <c r="S7" s="50">
        <f t="shared" si="1"/>
        <v>13.5</v>
      </c>
      <c r="T7" s="50">
        <f t="shared" si="2"/>
        <v>78.6</v>
      </c>
      <c r="U7" s="69">
        <f t="shared" si="3"/>
        <v>5.822222222</v>
      </c>
      <c r="V7" s="70">
        <f t="shared" si="4"/>
        <v>704.1984733</v>
      </c>
      <c r="W7" s="77"/>
      <c r="X7" s="78"/>
      <c r="Y7" s="79"/>
      <c r="Z7" s="77"/>
      <c r="AA7" s="80"/>
      <c r="AB7" s="81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</row>
    <row r="8" ht="20.25" customHeight="1">
      <c r="A8" s="48"/>
      <c r="B8" s="50" t="s">
        <v>152</v>
      </c>
      <c r="C8" s="50" t="s">
        <v>153</v>
      </c>
      <c r="D8" s="45" t="s">
        <v>154</v>
      </c>
      <c r="E8" s="47"/>
      <c r="F8" s="47"/>
      <c r="G8" s="47"/>
      <c r="H8" s="47"/>
      <c r="I8" s="47"/>
      <c r="J8" s="47"/>
      <c r="K8" s="45" t="s">
        <v>155</v>
      </c>
      <c r="L8" s="47"/>
      <c r="M8" s="50">
        <v>26500.0</v>
      </c>
      <c r="N8" s="50">
        <v>92.0</v>
      </c>
      <c r="O8" s="50">
        <v>8.0</v>
      </c>
      <c r="P8" s="50">
        <v>140.0</v>
      </c>
      <c r="Q8" s="100" t="s">
        <v>156</v>
      </c>
      <c r="R8" s="50" t="s">
        <v>157</v>
      </c>
      <c r="S8" s="50">
        <f t="shared" si="1"/>
        <v>11.5</v>
      </c>
      <c r="T8" s="50">
        <f t="shared" si="2"/>
        <v>314.4</v>
      </c>
      <c r="U8" s="69">
        <f t="shared" si="3"/>
        <v>27.33913043</v>
      </c>
      <c r="V8" s="70">
        <f t="shared" si="4"/>
        <v>969.3066158</v>
      </c>
      <c r="W8" s="77"/>
      <c r="X8" s="78"/>
      <c r="Y8" s="79"/>
      <c r="Z8" s="77"/>
      <c r="AA8" s="80"/>
      <c r="AB8" s="81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  <c r="BT8" s="82"/>
      <c r="BU8" s="82"/>
      <c r="BV8" s="82"/>
      <c r="BW8" s="82"/>
      <c r="BX8" s="82"/>
      <c r="BY8" s="82"/>
      <c r="BZ8" s="82"/>
      <c r="CA8" s="82"/>
      <c r="CB8" s="82"/>
      <c r="CC8" s="82"/>
      <c r="CD8" s="82"/>
      <c r="CE8" s="82"/>
      <c r="CF8" s="82"/>
      <c r="CG8" s="82"/>
      <c r="CH8" s="82"/>
      <c r="CI8" s="82"/>
      <c r="CJ8" s="82"/>
      <c r="CK8" s="82"/>
      <c r="CL8" s="82"/>
      <c r="CM8" s="82"/>
      <c r="CN8" s="82"/>
      <c r="CO8" s="82"/>
      <c r="CP8" s="82"/>
      <c r="CQ8" s="82"/>
      <c r="CR8" s="82"/>
      <c r="CS8" s="82"/>
      <c r="CT8" s="82"/>
      <c r="CU8" s="82"/>
      <c r="CV8" s="82"/>
    </row>
    <row r="9" ht="20.25" customHeight="1">
      <c r="A9" s="48"/>
      <c r="B9" s="117">
        <v>46299.0</v>
      </c>
      <c r="C9" s="118" t="s">
        <v>170</v>
      </c>
      <c r="D9" s="51" t="s">
        <v>67</v>
      </c>
      <c r="E9" s="60"/>
      <c r="F9" s="119">
        <v>5.40008815E9</v>
      </c>
      <c r="G9" s="120" t="s">
        <v>171</v>
      </c>
      <c r="H9" s="66">
        <v>6300.0</v>
      </c>
      <c r="I9" s="60"/>
      <c r="J9" s="66">
        <v>206931.0</v>
      </c>
      <c r="K9" s="51" t="s">
        <v>172</v>
      </c>
      <c r="L9" s="121" t="s">
        <v>173</v>
      </c>
      <c r="M9" s="122">
        <v>5000.0</v>
      </c>
      <c r="N9" s="50">
        <v>108.0</v>
      </c>
      <c r="O9" s="50">
        <v>2.0</v>
      </c>
      <c r="P9" s="50">
        <v>125.0</v>
      </c>
      <c r="Q9" s="50" t="s">
        <v>63</v>
      </c>
      <c r="R9" s="50" t="s">
        <v>178</v>
      </c>
      <c r="S9" s="66">
        <f t="shared" si="1"/>
        <v>13.5</v>
      </c>
      <c r="T9" s="66">
        <f t="shared" si="2"/>
        <v>78.6</v>
      </c>
      <c r="U9" s="113">
        <f t="shared" si="3"/>
        <v>5.822222222</v>
      </c>
      <c r="V9" s="114">
        <f t="shared" si="4"/>
        <v>858.778626</v>
      </c>
      <c r="W9" s="77"/>
      <c r="X9" s="78"/>
      <c r="Y9" s="79"/>
      <c r="Z9" s="77"/>
      <c r="AA9" s="80"/>
      <c r="AB9" s="81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  <c r="BT9" s="82"/>
      <c r="BU9" s="82"/>
      <c r="BV9" s="82"/>
      <c r="BW9" s="82"/>
      <c r="BX9" s="82"/>
      <c r="BY9" s="82"/>
      <c r="BZ9" s="82"/>
      <c r="CA9" s="82"/>
      <c r="CB9" s="82"/>
      <c r="CC9" s="82"/>
      <c r="CD9" s="82"/>
      <c r="CE9" s="82"/>
      <c r="CF9" s="82"/>
      <c r="CG9" s="82"/>
      <c r="CH9" s="82"/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82"/>
      <c r="CU9" s="82"/>
      <c r="CV9" s="82"/>
    </row>
    <row r="10" ht="20.25" customHeight="1">
      <c r="A10" s="48"/>
      <c r="B10" s="50" t="s">
        <v>188</v>
      </c>
      <c r="C10" s="66" t="s">
        <v>190</v>
      </c>
      <c r="D10" s="45" t="s">
        <v>191</v>
      </c>
      <c r="E10" s="47"/>
      <c r="F10" s="109">
        <v>5.200030003E9</v>
      </c>
      <c r="G10" s="110">
        <v>46207.0</v>
      </c>
      <c r="H10" s="50">
        <v>55000.0</v>
      </c>
      <c r="I10" s="47"/>
      <c r="J10" s="47"/>
      <c r="K10" s="45" t="s">
        <v>193</v>
      </c>
      <c r="L10" s="50" t="s">
        <v>49</v>
      </c>
      <c r="M10" s="50">
        <v>55000.0</v>
      </c>
      <c r="N10" s="50">
        <v>69.0</v>
      </c>
      <c r="O10" s="50">
        <v>14.0</v>
      </c>
      <c r="P10" s="50">
        <v>118.0</v>
      </c>
      <c r="Q10" s="50" t="s">
        <v>196</v>
      </c>
      <c r="R10" s="50" t="s">
        <v>197</v>
      </c>
      <c r="S10" s="50">
        <f t="shared" si="1"/>
        <v>8.625</v>
      </c>
      <c r="T10" s="50">
        <f t="shared" si="2"/>
        <v>550.2</v>
      </c>
      <c r="U10" s="69">
        <f t="shared" si="3"/>
        <v>63.79130435</v>
      </c>
      <c r="V10" s="70">
        <f t="shared" si="4"/>
        <v>862.1864776</v>
      </c>
      <c r="W10" s="77"/>
      <c r="X10" s="78"/>
      <c r="Y10" s="79"/>
      <c r="Z10" s="77"/>
      <c r="AA10" s="80"/>
      <c r="AB10" s="81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2"/>
      <c r="CA10" s="82"/>
      <c r="CB10" s="82"/>
      <c r="CC10" s="82"/>
      <c r="CD10" s="82"/>
      <c r="CE10" s="82"/>
      <c r="CF10" s="82"/>
      <c r="CG10" s="82"/>
      <c r="CH10" s="82"/>
      <c r="CI10" s="82"/>
      <c r="CJ10" s="82"/>
      <c r="CK10" s="82"/>
      <c r="CL10" s="82"/>
      <c r="CM10" s="82"/>
      <c r="CN10" s="82"/>
      <c r="CO10" s="82"/>
      <c r="CP10" s="82"/>
      <c r="CQ10" s="82"/>
      <c r="CR10" s="82"/>
      <c r="CS10" s="82"/>
      <c r="CT10" s="82"/>
      <c r="CU10" s="82"/>
      <c r="CV10" s="82"/>
    </row>
    <row r="11" ht="20.25" customHeight="1">
      <c r="A11" s="48"/>
      <c r="B11" s="50" t="s">
        <v>205</v>
      </c>
      <c r="C11" s="50" t="s">
        <v>206</v>
      </c>
      <c r="D11" s="51" t="s">
        <v>67</v>
      </c>
      <c r="E11" s="47"/>
      <c r="F11" s="109">
        <v>5.40009213E9</v>
      </c>
      <c r="G11" s="132" t="s">
        <v>208</v>
      </c>
      <c r="H11" s="50">
        <v>5000.0</v>
      </c>
      <c r="I11" s="47"/>
      <c r="J11" s="134">
        <v>206026.0</v>
      </c>
      <c r="K11" s="135" t="s">
        <v>210</v>
      </c>
      <c r="L11" s="136" t="s">
        <v>211</v>
      </c>
      <c r="M11" s="136">
        <v>5000.0</v>
      </c>
      <c r="N11" s="66">
        <v>94.0</v>
      </c>
      <c r="O11" s="136">
        <v>2.0</v>
      </c>
      <c r="P11" s="136">
        <v>290.0</v>
      </c>
      <c r="Q11" s="66" t="s">
        <v>213</v>
      </c>
      <c r="R11" s="136" t="s">
        <v>214</v>
      </c>
      <c r="S11" s="50">
        <f t="shared" si="1"/>
        <v>11.75</v>
      </c>
      <c r="T11" s="50">
        <f t="shared" si="2"/>
        <v>78.6</v>
      </c>
      <c r="U11" s="69">
        <f t="shared" si="3"/>
        <v>6.689361702</v>
      </c>
      <c r="V11" s="70">
        <f t="shared" si="4"/>
        <v>747.4554707</v>
      </c>
      <c r="W11" s="77"/>
      <c r="X11" s="78"/>
      <c r="Y11" s="79"/>
      <c r="Z11" s="77"/>
      <c r="AA11" s="80"/>
      <c r="AB11" s="81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  <c r="BT11" s="82"/>
      <c r="BU11" s="82"/>
      <c r="BV11" s="82"/>
      <c r="BW11" s="82"/>
      <c r="BX11" s="82"/>
      <c r="BY11" s="82"/>
      <c r="BZ11" s="82"/>
      <c r="CA11" s="82"/>
      <c r="CB11" s="82"/>
      <c r="CC11" s="82"/>
      <c r="CD11" s="82"/>
      <c r="CE11" s="82"/>
      <c r="CF11" s="82"/>
      <c r="CG11" s="82"/>
      <c r="CH11" s="82"/>
      <c r="CI11" s="82"/>
      <c r="CJ11" s="82"/>
      <c r="CK11" s="82"/>
      <c r="CL11" s="82"/>
      <c r="CM11" s="82"/>
      <c r="CN11" s="82"/>
      <c r="CO11" s="82"/>
      <c r="CP11" s="82"/>
      <c r="CQ11" s="82"/>
      <c r="CR11" s="82"/>
      <c r="CS11" s="82"/>
      <c r="CT11" s="82"/>
      <c r="CU11" s="82"/>
      <c r="CV11" s="82"/>
    </row>
    <row r="12" ht="20.25" customHeight="1">
      <c r="A12" s="48"/>
      <c r="B12" s="50" t="s">
        <v>205</v>
      </c>
      <c r="C12" s="50" t="s">
        <v>221</v>
      </c>
      <c r="D12" s="51" t="s">
        <v>67</v>
      </c>
      <c r="E12" s="47"/>
      <c r="F12" s="109">
        <v>5.40009213E9</v>
      </c>
      <c r="G12" s="132" t="s">
        <v>208</v>
      </c>
      <c r="H12" s="50">
        <v>20000.0</v>
      </c>
      <c r="I12" s="47"/>
      <c r="J12" s="134">
        <v>206028.0</v>
      </c>
      <c r="K12" s="135" t="s">
        <v>223</v>
      </c>
      <c r="L12" s="136" t="s">
        <v>211</v>
      </c>
      <c r="M12" s="136">
        <v>20000.0</v>
      </c>
      <c r="N12" s="136">
        <v>116.0</v>
      </c>
      <c r="O12" s="136">
        <v>6.0</v>
      </c>
      <c r="P12" s="136">
        <v>300.0</v>
      </c>
      <c r="Q12" s="50" t="s">
        <v>213</v>
      </c>
      <c r="R12" s="136" t="s">
        <v>224</v>
      </c>
      <c r="S12" s="50">
        <f t="shared" si="1"/>
        <v>14.5</v>
      </c>
      <c r="T12" s="50">
        <f t="shared" si="2"/>
        <v>235.8</v>
      </c>
      <c r="U12" s="69">
        <f t="shared" si="3"/>
        <v>16.26206897</v>
      </c>
      <c r="V12" s="70">
        <f t="shared" si="4"/>
        <v>1229.85581</v>
      </c>
      <c r="W12" s="77"/>
      <c r="X12" s="78"/>
      <c r="Y12" s="79"/>
      <c r="Z12" s="77"/>
      <c r="AA12" s="80"/>
      <c r="AB12" s="81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  <c r="BT12" s="82"/>
      <c r="BU12" s="82"/>
      <c r="BV12" s="82"/>
      <c r="BW12" s="82"/>
      <c r="BX12" s="82"/>
      <c r="BY12" s="82"/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R12" s="82"/>
      <c r="CS12" s="82"/>
      <c r="CT12" s="82"/>
      <c r="CU12" s="82"/>
      <c r="CV12" s="82"/>
    </row>
    <row r="13" ht="20.25" customHeight="1">
      <c r="A13" s="48"/>
      <c r="B13" s="50" t="s">
        <v>205</v>
      </c>
      <c r="C13" s="50" t="s">
        <v>230</v>
      </c>
      <c r="D13" s="51" t="s">
        <v>67</v>
      </c>
      <c r="E13" s="47"/>
      <c r="F13" s="109">
        <v>5.40009213E9</v>
      </c>
      <c r="G13" s="132" t="s">
        <v>208</v>
      </c>
      <c r="H13" s="50">
        <v>10000.0</v>
      </c>
      <c r="I13" s="47"/>
      <c r="J13" s="134">
        <v>206027.0</v>
      </c>
      <c r="K13" s="135" t="s">
        <v>232</v>
      </c>
      <c r="L13" s="136" t="s">
        <v>211</v>
      </c>
      <c r="M13" s="136">
        <v>10000.0</v>
      </c>
      <c r="N13" s="50">
        <v>99.0</v>
      </c>
      <c r="O13" s="100">
        <v>6.0</v>
      </c>
      <c r="P13" s="100">
        <v>175.0</v>
      </c>
      <c r="Q13" s="50" t="s">
        <v>213</v>
      </c>
      <c r="R13" s="100" t="s">
        <v>233</v>
      </c>
      <c r="S13" s="50">
        <f t="shared" si="1"/>
        <v>12.375</v>
      </c>
      <c r="T13" s="50">
        <f t="shared" si="2"/>
        <v>235.8</v>
      </c>
      <c r="U13" s="69">
        <f t="shared" si="3"/>
        <v>19.05454545</v>
      </c>
      <c r="V13" s="70">
        <f t="shared" si="4"/>
        <v>524.8091603</v>
      </c>
      <c r="W13" s="77"/>
      <c r="X13" s="78"/>
      <c r="Y13" s="79"/>
      <c r="Z13" s="77"/>
      <c r="AA13" s="80"/>
      <c r="AB13" s="81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82"/>
      <c r="CU13" s="82"/>
      <c r="CV13" s="82"/>
    </row>
    <row r="14" ht="20.25" customHeight="1">
      <c r="A14" s="48"/>
      <c r="B14" s="50" t="s">
        <v>205</v>
      </c>
      <c r="C14" s="50" t="s">
        <v>238</v>
      </c>
      <c r="D14" s="51" t="s">
        <v>67</v>
      </c>
      <c r="E14" s="47"/>
      <c r="F14" s="109">
        <v>5.40009213E9</v>
      </c>
      <c r="G14" s="132" t="s">
        <v>208</v>
      </c>
      <c r="H14" s="50">
        <v>10000.0</v>
      </c>
      <c r="I14" s="47"/>
      <c r="J14" s="134">
        <v>206029.0</v>
      </c>
      <c r="K14" s="135" t="s">
        <v>240</v>
      </c>
      <c r="L14" s="136" t="s">
        <v>211</v>
      </c>
      <c r="M14" s="136">
        <v>10000.0</v>
      </c>
      <c r="N14" s="100">
        <v>75.0</v>
      </c>
      <c r="O14" s="100">
        <v>1.0</v>
      </c>
      <c r="P14" s="100">
        <v>115.0</v>
      </c>
      <c r="Q14" s="100" t="s">
        <v>213</v>
      </c>
      <c r="R14" s="100" t="s">
        <v>241</v>
      </c>
      <c r="S14" s="50">
        <f t="shared" si="1"/>
        <v>9.375</v>
      </c>
      <c r="T14" s="50">
        <f t="shared" si="2"/>
        <v>39.3</v>
      </c>
      <c r="U14" s="69">
        <f t="shared" si="3"/>
        <v>4.192</v>
      </c>
      <c r="V14" s="70">
        <f t="shared" si="4"/>
        <v>2385.496183</v>
      </c>
      <c r="W14" s="77"/>
      <c r="X14" s="78"/>
      <c r="Y14" s="79"/>
      <c r="Z14" s="77"/>
      <c r="AA14" s="80"/>
      <c r="AB14" s="81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82"/>
      <c r="CU14" s="82"/>
      <c r="CV14" s="82"/>
    </row>
    <row r="15" ht="20.25" customHeight="1">
      <c r="A15" s="48"/>
      <c r="B15" s="50" t="s">
        <v>205</v>
      </c>
      <c r="C15" s="50" t="s">
        <v>249</v>
      </c>
      <c r="D15" s="51" t="s">
        <v>67</v>
      </c>
      <c r="E15" s="47"/>
      <c r="F15" s="109">
        <v>5.40009213E9</v>
      </c>
      <c r="G15" s="132" t="s">
        <v>208</v>
      </c>
      <c r="H15" s="50">
        <v>3000.0</v>
      </c>
      <c r="I15" s="47"/>
      <c r="J15" s="134">
        <v>206040.0</v>
      </c>
      <c r="K15" s="135" t="s">
        <v>253</v>
      </c>
      <c r="L15" s="136" t="s">
        <v>211</v>
      </c>
      <c r="M15" s="136">
        <v>3000.0</v>
      </c>
      <c r="N15" s="50">
        <v>108.0</v>
      </c>
      <c r="O15" s="50">
        <v>2.0</v>
      </c>
      <c r="P15" s="50">
        <v>125.0</v>
      </c>
      <c r="Q15" s="50" t="s">
        <v>63</v>
      </c>
      <c r="R15" s="50" t="s">
        <v>178</v>
      </c>
      <c r="S15" s="50">
        <f t="shared" si="1"/>
        <v>13.5</v>
      </c>
      <c r="T15" s="50">
        <f t="shared" si="2"/>
        <v>78.6</v>
      </c>
      <c r="U15" s="69">
        <f t="shared" si="3"/>
        <v>5.822222222</v>
      </c>
      <c r="V15" s="70">
        <f t="shared" si="4"/>
        <v>515.2671756</v>
      </c>
      <c r="W15" s="77"/>
      <c r="X15" s="78"/>
      <c r="Y15" s="79"/>
      <c r="Z15" s="77"/>
      <c r="AA15" s="80"/>
      <c r="AB15" s="81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  <c r="BY15" s="82"/>
      <c r="BZ15" s="82"/>
      <c r="CA15" s="82"/>
      <c r="CB15" s="82"/>
      <c r="CC15" s="82"/>
      <c r="CD15" s="82"/>
      <c r="CE15" s="82"/>
      <c r="CF15" s="82"/>
      <c r="CG15" s="82"/>
      <c r="CH15" s="82"/>
      <c r="CI15" s="82"/>
      <c r="CJ15" s="82"/>
      <c r="CK15" s="82"/>
      <c r="CL15" s="82"/>
      <c r="CM15" s="82"/>
      <c r="CN15" s="82"/>
      <c r="CO15" s="82"/>
      <c r="CP15" s="82"/>
      <c r="CQ15" s="82"/>
      <c r="CR15" s="82"/>
      <c r="CS15" s="82"/>
      <c r="CT15" s="82"/>
      <c r="CU15" s="82"/>
      <c r="CV15" s="82"/>
    </row>
    <row r="16" ht="20.25" customHeight="1">
      <c r="A16" s="48"/>
      <c r="B16" s="50" t="s">
        <v>188</v>
      </c>
      <c r="C16" s="143" t="s">
        <v>260</v>
      </c>
      <c r="D16" s="45" t="s">
        <v>67</v>
      </c>
      <c r="E16" s="47"/>
      <c r="F16" s="47"/>
      <c r="G16" s="47"/>
      <c r="H16" s="144"/>
      <c r="I16" s="47"/>
      <c r="J16" s="50">
        <v>206353.0</v>
      </c>
      <c r="K16" s="51" t="s">
        <v>262</v>
      </c>
      <c r="L16" s="50" t="s">
        <v>264</v>
      </c>
      <c r="M16" s="50">
        <v>1000000.0</v>
      </c>
      <c r="N16" s="50">
        <v>79.0</v>
      </c>
      <c r="O16" s="50">
        <v>40.0</v>
      </c>
      <c r="P16" s="50">
        <v>155.0</v>
      </c>
      <c r="Q16" s="50" t="s">
        <v>63</v>
      </c>
      <c r="R16" s="50" t="s">
        <v>268</v>
      </c>
      <c r="S16" s="50">
        <f t="shared" si="1"/>
        <v>9.875</v>
      </c>
      <c r="T16" s="50">
        <f t="shared" si="2"/>
        <v>1572</v>
      </c>
      <c r="U16" s="69">
        <f t="shared" si="3"/>
        <v>159.1898734</v>
      </c>
      <c r="V16" s="70">
        <f t="shared" si="4"/>
        <v>6281.806616</v>
      </c>
      <c r="W16" s="77"/>
      <c r="X16" s="78"/>
      <c r="Y16" s="79"/>
      <c r="Z16" s="77"/>
      <c r="AA16" s="80"/>
      <c r="AB16" s="81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82"/>
      <c r="CH16" s="82"/>
      <c r="CI16" s="82"/>
      <c r="CJ16" s="82"/>
      <c r="CK16" s="82"/>
      <c r="CL16" s="82"/>
      <c r="CM16" s="82"/>
      <c r="CN16" s="82"/>
      <c r="CO16" s="82"/>
      <c r="CP16" s="82"/>
      <c r="CQ16" s="82"/>
      <c r="CR16" s="82"/>
      <c r="CS16" s="82"/>
      <c r="CT16" s="82"/>
      <c r="CU16" s="82"/>
      <c r="CV16" s="82"/>
    </row>
    <row r="17" ht="20.25" customHeight="1">
      <c r="A17" s="48"/>
      <c r="B17" s="50" t="s">
        <v>205</v>
      </c>
      <c r="C17" s="50" t="s">
        <v>271</v>
      </c>
      <c r="D17" s="51" t="s">
        <v>67</v>
      </c>
      <c r="E17" s="47"/>
      <c r="F17" s="109">
        <v>5.400092135E9</v>
      </c>
      <c r="G17" s="132" t="s">
        <v>208</v>
      </c>
      <c r="H17" s="72">
        <v>3000.0</v>
      </c>
      <c r="I17" s="47"/>
      <c r="J17" s="50">
        <v>204317.0</v>
      </c>
      <c r="K17" s="51" t="s">
        <v>272</v>
      </c>
      <c r="L17" s="50" t="s">
        <v>273</v>
      </c>
      <c r="M17" s="50">
        <v>3000.0</v>
      </c>
      <c r="N17" s="50">
        <v>108.0</v>
      </c>
      <c r="O17" s="50">
        <v>2.0</v>
      </c>
      <c r="P17" s="50">
        <v>125.0</v>
      </c>
      <c r="Q17" s="50" t="s">
        <v>63</v>
      </c>
      <c r="R17" s="50" t="s">
        <v>178</v>
      </c>
      <c r="S17" s="50">
        <f t="shared" si="1"/>
        <v>13.5</v>
      </c>
      <c r="T17" s="50">
        <f t="shared" si="2"/>
        <v>78.6</v>
      </c>
      <c r="U17" s="69">
        <f t="shared" si="3"/>
        <v>5.822222222</v>
      </c>
      <c r="V17" s="70">
        <f t="shared" si="4"/>
        <v>515.2671756</v>
      </c>
      <c r="W17" s="77"/>
      <c r="X17" s="78"/>
      <c r="Y17" s="79"/>
      <c r="Z17" s="77"/>
      <c r="AA17" s="80"/>
      <c r="AB17" s="81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82"/>
      <c r="CU17" s="82"/>
      <c r="CV17" s="82"/>
    </row>
    <row r="18" ht="20.25" customHeight="1">
      <c r="A18" s="48"/>
      <c r="B18" s="117">
        <v>46299.0</v>
      </c>
      <c r="C18" s="66" t="s">
        <v>280</v>
      </c>
      <c r="D18" s="45" t="s">
        <v>282</v>
      </c>
      <c r="E18" s="47"/>
      <c r="F18" s="47"/>
      <c r="G18" s="47"/>
      <c r="H18" s="47"/>
      <c r="I18" s="47"/>
      <c r="J18" s="47"/>
      <c r="K18" s="145" t="s">
        <v>284</v>
      </c>
      <c r="L18" s="50" t="s">
        <v>285</v>
      </c>
      <c r="M18" s="100">
        <v>10000.0</v>
      </c>
      <c r="N18" s="100">
        <v>89.0</v>
      </c>
      <c r="O18" s="100">
        <v>9.0</v>
      </c>
      <c r="P18" s="100">
        <v>125.0</v>
      </c>
      <c r="Q18" s="100" t="s">
        <v>63</v>
      </c>
      <c r="R18" s="100" t="s">
        <v>286</v>
      </c>
      <c r="S18" s="66">
        <f t="shared" si="1"/>
        <v>11.125</v>
      </c>
      <c r="T18" s="66">
        <f t="shared" si="2"/>
        <v>353.7</v>
      </c>
      <c r="U18" s="113">
        <f t="shared" si="3"/>
        <v>31.79325843</v>
      </c>
      <c r="V18" s="114">
        <f t="shared" si="4"/>
        <v>314.5320893</v>
      </c>
      <c r="W18" s="77"/>
      <c r="X18" s="78"/>
      <c r="Y18" s="79"/>
      <c r="Z18" s="77"/>
      <c r="AA18" s="80"/>
      <c r="AB18" s="81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82"/>
      <c r="CU18" s="82"/>
      <c r="CV18" s="82"/>
    </row>
    <row r="19" ht="20.25" customHeight="1">
      <c r="A19" s="48"/>
      <c r="B19" s="57">
        <v>46269.0</v>
      </c>
      <c r="C19" s="66" t="s">
        <v>287</v>
      </c>
      <c r="D19" s="51" t="s">
        <v>67</v>
      </c>
      <c r="E19" s="146"/>
      <c r="F19" s="147">
        <v>5.4000912183E10</v>
      </c>
      <c r="G19" s="148" t="s">
        <v>289</v>
      </c>
      <c r="H19" s="149" t="s">
        <v>52</v>
      </c>
      <c r="I19" s="146"/>
      <c r="J19" s="50">
        <v>202590.0</v>
      </c>
      <c r="K19" s="45" t="s">
        <v>293</v>
      </c>
      <c r="L19" s="50" t="s">
        <v>234</v>
      </c>
      <c r="M19" s="150">
        <v>1000.0</v>
      </c>
      <c r="N19" s="52">
        <v>92.0</v>
      </c>
      <c r="O19" s="52">
        <v>1.0</v>
      </c>
      <c r="P19" s="52">
        <v>180.0</v>
      </c>
      <c r="Q19" s="50" t="s">
        <v>213</v>
      </c>
      <c r="R19" s="52" t="s">
        <v>296</v>
      </c>
      <c r="S19" s="50">
        <f t="shared" si="1"/>
        <v>11.5</v>
      </c>
      <c r="T19" s="50">
        <f t="shared" si="2"/>
        <v>39.3</v>
      </c>
      <c r="U19" s="69">
        <f t="shared" si="3"/>
        <v>3.417391304</v>
      </c>
      <c r="V19" s="70">
        <f t="shared" si="4"/>
        <v>292.6208651</v>
      </c>
      <c r="W19" s="77"/>
      <c r="X19" s="78"/>
      <c r="Y19" s="79"/>
      <c r="Z19" s="77"/>
      <c r="AA19" s="80"/>
      <c r="AB19" s="81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  <c r="BY19" s="82"/>
      <c r="BZ19" s="82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82"/>
      <c r="CU19" s="82"/>
      <c r="CV19" s="82"/>
    </row>
    <row r="20" ht="20.25" customHeight="1">
      <c r="A20" s="48"/>
      <c r="B20" s="117">
        <v>46116.0</v>
      </c>
      <c r="C20" s="50" t="s">
        <v>298</v>
      </c>
      <c r="D20" s="45" t="s">
        <v>78</v>
      </c>
      <c r="E20" s="47"/>
      <c r="F20" s="47"/>
      <c r="G20" s="47"/>
      <c r="H20" s="47"/>
      <c r="I20" s="111" t="s">
        <v>148</v>
      </c>
      <c r="J20" s="85"/>
      <c r="K20" s="45" t="s">
        <v>299</v>
      </c>
      <c r="L20" s="47"/>
      <c r="M20" s="50">
        <v>25400.0</v>
      </c>
      <c r="N20" s="50">
        <v>99.0</v>
      </c>
      <c r="O20" s="50">
        <v>4.0</v>
      </c>
      <c r="P20" s="50">
        <v>140.0</v>
      </c>
      <c r="Q20" s="66" t="s">
        <v>63</v>
      </c>
      <c r="R20" s="50" t="s">
        <v>302</v>
      </c>
      <c r="S20" s="66">
        <f t="shared" si="1"/>
        <v>12.375</v>
      </c>
      <c r="T20" s="66">
        <f t="shared" si="2"/>
        <v>157.2</v>
      </c>
      <c r="U20" s="113">
        <f t="shared" si="3"/>
        <v>12.7030303</v>
      </c>
      <c r="V20" s="114">
        <f t="shared" si="4"/>
        <v>1999.522901</v>
      </c>
      <c r="W20" s="77"/>
      <c r="X20" s="78"/>
      <c r="Y20" s="79"/>
      <c r="Z20" s="77"/>
      <c r="AA20" s="80"/>
      <c r="AB20" s="81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I20" s="82"/>
      <c r="CJ20" s="82"/>
      <c r="CK20" s="82"/>
      <c r="CL20" s="82"/>
      <c r="CM20" s="82"/>
      <c r="CN20" s="82"/>
      <c r="CO20" s="82"/>
      <c r="CP20" s="82"/>
      <c r="CQ20" s="82"/>
      <c r="CR20" s="82"/>
      <c r="CS20" s="82"/>
      <c r="CT20" s="82"/>
      <c r="CU20" s="82"/>
      <c r="CV20" s="82"/>
    </row>
    <row r="21" ht="20.25" customHeight="1">
      <c r="A21" s="48"/>
      <c r="B21" s="117">
        <v>46116.0</v>
      </c>
      <c r="C21" s="50" t="s">
        <v>308</v>
      </c>
      <c r="D21" s="45" t="s">
        <v>78</v>
      </c>
      <c r="E21" s="47"/>
      <c r="F21" s="47"/>
      <c r="G21" s="47"/>
      <c r="H21" s="47"/>
      <c r="I21" s="111" t="s">
        <v>148</v>
      </c>
      <c r="J21" s="85"/>
      <c r="K21" s="45" t="s">
        <v>309</v>
      </c>
      <c r="L21" s="47"/>
      <c r="M21" s="50">
        <v>12700.0</v>
      </c>
      <c r="N21" s="50">
        <v>99.0</v>
      </c>
      <c r="O21" s="50">
        <v>4.0</v>
      </c>
      <c r="P21" s="50">
        <v>140.0</v>
      </c>
      <c r="Q21" s="66" t="s">
        <v>63</v>
      </c>
      <c r="R21" s="50" t="s">
        <v>302</v>
      </c>
      <c r="S21" s="66">
        <f t="shared" si="1"/>
        <v>12.375</v>
      </c>
      <c r="T21" s="66">
        <f t="shared" si="2"/>
        <v>157.2</v>
      </c>
      <c r="U21" s="113">
        <f t="shared" si="3"/>
        <v>12.7030303</v>
      </c>
      <c r="V21" s="114">
        <f t="shared" si="4"/>
        <v>999.7614504</v>
      </c>
      <c r="W21" s="77"/>
      <c r="X21" s="78"/>
      <c r="Y21" s="79"/>
      <c r="Z21" s="77"/>
      <c r="AA21" s="80"/>
      <c r="AB21" s="81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/>
      <c r="CM21" s="82"/>
      <c r="CN21" s="82"/>
      <c r="CO21" s="82"/>
      <c r="CP21" s="82"/>
      <c r="CQ21" s="82"/>
      <c r="CR21" s="82"/>
      <c r="CS21" s="82"/>
      <c r="CT21" s="82"/>
      <c r="CU21" s="82"/>
      <c r="CV21" s="82"/>
    </row>
    <row r="22" ht="20.25" customHeight="1">
      <c r="A22" s="48"/>
      <c r="B22" s="117">
        <v>46116.0</v>
      </c>
      <c r="C22" s="50" t="s">
        <v>317</v>
      </c>
      <c r="D22" s="45" t="s">
        <v>78</v>
      </c>
      <c r="E22" s="47"/>
      <c r="F22" s="47"/>
      <c r="G22" s="47"/>
      <c r="H22" s="47"/>
      <c r="I22" s="111" t="s">
        <v>148</v>
      </c>
      <c r="J22" s="85"/>
      <c r="K22" s="45" t="s">
        <v>319</v>
      </c>
      <c r="L22" s="47"/>
      <c r="M22" s="50">
        <v>19060.0</v>
      </c>
      <c r="N22" s="50">
        <v>99.0</v>
      </c>
      <c r="O22" s="50">
        <v>4.0</v>
      </c>
      <c r="P22" s="50">
        <v>140.0</v>
      </c>
      <c r="Q22" s="66" t="s">
        <v>63</v>
      </c>
      <c r="R22" s="50" t="s">
        <v>302</v>
      </c>
      <c r="S22" s="66">
        <f t="shared" si="1"/>
        <v>12.375</v>
      </c>
      <c r="T22" s="66">
        <f t="shared" si="2"/>
        <v>157.2</v>
      </c>
      <c r="U22" s="113">
        <f t="shared" si="3"/>
        <v>12.7030303</v>
      </c>
      <c r="V22" s="114">
        <f t="shared" si="4"/>
        <v>1500.429389</v>
      </c>
      <c r="W22" s="77"/>
      <c r="X22" s="78"/>
      <c r="Y22" s="79"/>
      <c r="Z22" s="77"/>
      <c r="AA22" s="80"/>
      <c r="AB22" s="81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I22" s="82"/>
      <c r="CJ22" s="82"/>
      <c r="CK22" s="82"/>
      <c r="CL22" s="82"/>
      <c r="CM22" s="82"/>
      <c r="CN22" s="82"/>
      <c r="CO22" s="82"/>
      <c r="CP22" s="82"/>
      <c r="CQ22" s="82"/>
      <c r="CR22" s="82"/>
      <c r="CS22" s="82"/>
      <c r="CT22" s="82"/>
      <c r="CU22" s="82"/>
      <c r="CV22" s="82"/>
    </row>
    <row r="23" ht="20.25" customHeight="1">
      <c r="A23" s="48"/>
      <c r="B23" s="50" t="s">
        <v>326</v>
      </c>
      <c r="C23" s="66" t="s">
        <v>327</v>
      </c>
      <c r="D23" s="45" t="s">
        <v>247</v>
      </c>
      <c r="E23" s="60"/>
      <c r="F23" s="64" t="s">
        <v>328</v>
      </c>
      <c r="G23" s="155">
        <v>46299.0</v>
      </c>
      <c r="H23" s="64">
        <v>10000.0</v>
      </c>
      <c r="I23" s="60"/>
      <c r="J23" s="60"/>
      <c r="K23" s="45" t="s">
        <v>329</v>
      </c>
      <c r="L23" s="50" t="s">
        <v>252</v>
      </c>
      <c r="M23" s="50">
        <v>10000.0</v>
      </c>
      <c r="N23" s="50">
        <v>92.0</v>
      </c>
      <c r="O23" s="50">
        <v>2.0</v>
      </c>
      <c r="P23" s="50">
        <v>220.0</v>
      </c>
      <c r="Q23" s="50" t="s">
        <v>63</v>
      </c>
      <c r="R23" s="50" t="s">
        <v>330</v>
      </c>
      <c r="S23" s="50">
        <f t="shared" si="1"/>
        <v>11.5</v>
      </c>
      <c r="T23" s="50">
        <f t="shared" si="2"/>
        <v>78.6</v>
      </c>
      <c r="U23" s="69">
        <f t="shared" si="3"/>
        <v>6.834782609</v>
      </c>
      <c r="V23" s="70">
        <f t="shared" si="4"/>
        <v>1463.104326</v>
      </c>
      <c r="W23" s="77"/>
      <c r="X23" s="78"/>
      <c r="Y23" s="79"/>
      <c r="Z23" s="77"/>
      <c r="AA23" s="80"/>
      <c r="AB23" s="81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I23" s="82"/>
      <c r="CJ23" s="82"/>
      <c r="CK23" s="82"/>
      <c r="CL23" s="82"/>
      <c r="CM23" s="82"/>
      <c r="CN23" s="82"/>
      <c r="CO23" s="82"/>
      <c r="CP23" s="82"/>
      <c r="CQ23" s="82"/>
      <c r="CR23" s="82"/>
      <c r="CS23" s="82"/>
      <c r="CT23" s="82"/>
      <c r="CU23" s="82"/>
      <c r="CV23" s="82"/>
    </row>
    <row r="24" ht="20.25" customHeight="1">
      <c r="A24" s="48"/>
      <c r="B24" s="57">
        <v>46238.0</v>
      </c>
      <c r="C24" s="50" t="s">
        <v>337</v>
      </c>
      <c r="D24" s="45" t="s">
        <v>247</v>
      </c>
      <c r="E24" s="47"/>
      <c r="F24" s="64" t="s">
        <v>328</v>
      </c>
      <c r="G24" s="158">
        <v>46299.0</v>
      </c>
      <c r="H24" s="159">
        <v>6000.0</v>
      </c>
      <c r="I24" s="111" t="s">
        <v>340</v>
      </c>
      <c r="J24" s="85"/>
      <c r="K24" s="45" t="s">
        <v>342</v>
      </c>
      <c r="L24" s="50" t="s">
        <v>252</v>
      </c>
      <c r="M24" s="50">
        <v>6000.0</v>
      </c>
      <c r="N24" s="50">
        <v>85.0</v>
      </c>
      <c r="O24" s="50">
        <v>2.0</v>
      </c>
      <c r="P24" s="50">
        <v>230.0</v>
      </c>
      <c r="Q24" s="50" t="s">
        <v>162</v>
      </c>
      <c r="R24" s="50" t="s">
        <v>343</v>
      </c>
      <c r="S24" s="50">
        <f t="shared" si="1"/>
        <v>10.625</v>
      </c>
      <c r="T24" s="50">
        <f t="shared" si="2"/>
        <v>78.6</v>
      </c>
      <c r="U24" s="69">
        <f t="shared" si="3"/>
        <v>7.397647059</v>
      </c>
      <c r="V24" s="70">
        <f t="shared" si="4"/>
        <v>811.0687023</v>
      </c>
      <c r="W24" s="77"/>
      <c r="X24" s="78"/>
      <c r="Y24" s="79"/>
      <c r="Z24" s="77"/>
      <c r="AA24" s="80"/>
      <c r="AB24" s="81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  <c r="BT24" s="82"/>
      <c r="BU24" s="82"/>
      <c r="BV24" s="82"/>
      <c r="BW24" s="82"/>
      <c r="BX24" s="82"/>
      <c r="BY24" s="82"/>
      <c r="BZ24" s="82"/>
      <c r="CA24" s="82"/>
      <c r="CB24" s="82"/>
      <c r="CC24" s="82"/>
      <c r="CD24" s="82"/>
      <c r="CE24" s="82"/>
      <c r="CF24" s="82"/>
      <c r="CG24" s="82"/>
      <c r="CH24" s="82"/>
      <c r="CI24" s="82"/>
      <c r="CJ24" s="82"/>
      <c r="CK24" s="82"/>
      <c r="CL24" s="82"/>
      <c r="CM24" s="82"/>
      <c r="CN24" s="82"/>
      <c r="CO24" s="82"/>
      <c r="CP24" s="82"/>
      <c r="CQ24" s="82"/>
      <c r="CR24" s="82"/>
      <c r="CS24" s="82"/>
      <c r="CT24" s="82"/>
      <c r="CU24" s="82"/>
      <c r="CV24" s="82"/>
    </row>
    <row r="25" ht="20.25" customHeight="1">
      <c r="A25" s="48"/>
      <c r="B25" s="57">
        <v>46238.0</v>
      </c>
      <c r="C25" s="143" t="s">
        <v>348</v>
      </c>
      <c r="D25" s="45" t="s">
        <v>247</v>
      </c>
      <c r="E25" s="47"/>
      <c r="F25" s="64" t="s">
        <v>328</v>
      </c>
      <c r="G25" s="158">
        <v>46299.0</v>
      </c>
      <c r="H25" s="161">
        <v>7000.0</v>
      </c>
      <c r="I25" s="111" t="s">
        <v>340</v>
      </c>
      <c r="J25" s="85"/>
      <c r="K25" s="45" t="s">
        <v>351</v>
      </c>
      <c r="L25" s="50" t="s">
        <v>252</v>
      </c>
      <c r="M25" s="50">
        <v>6000.0</v>
      </c>
      <c r="N25" s="100">
        <v>85.0</v>
      </c>
      <c r="O25" s="100">
        <v>2.0</v>
      </c>
      <c r="P25" s="100">
        <v>170.0</v>
      </c>
      <c r="Q25" s="50" t="s">
        <v>162</v>
      </c>
      <c r="R25" s="50" t="s">
        <v>353</v>
      </c>
      <c r="S25" s="50">
        <f t="shared" si="1"/>
        <v>10.625</v>
      </c>
      <c r="T25" s="50">
        <f t="shared" si="2"/>
        <v>78.6</v>
      </c>
      <c r="U25" s="69">
        <f t="shared" si="3"/>
        <v>7.397647059</v>
      </c>
      <c r="V25" s="70">
        <f t="shared" si="4"/>
        <v>811.0687023</v>
      </c>
      <c r="W25" s="77"/>
      <c r="X25" s="78"/>
      <c r="Y25" s="79"/>
      <c r="Z25" s="77"/>
      <c r="AA25" s="80"/>
      <c r="AB25" s="81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82"/>
      <c r="BU25" s="82"/>
      <c r="BV25" s="82"/>
      <c r="BW25" s="82"/>
      <c r="BX25" s="82"/>
      <c r="BY25" s="82"/>
      <c r="BZ25" s="82"/>
      <c r="CA25" s="82"/>
      <c r="CB25" s="82"/>
      <c r="CC25" s="82"/>
      <c r="CD25" s="82"/>
      <c r="CE25" s="82"/>
      <c r="CF25" s="82"/>
      <c r="CG25" s="82"/>
      <c r="CH25" s="82"/>
      <c r="CI25" s="82"/>
      <c r="CJ25" s="82"/>
      <c r="CK25" s="82"/>
      <c r="CL25" s="82"/>
      <c r="CM25" s="82"/>
      <c r="CN25" s="82"/>
      <c r="CO25" s="82"/>
      <c r="CP25" s="82"/>
      <c r="CQ25" s="82"/>
      <c r="CR25" s="82"/>
      <c r="CS25" s="82"/>
      <c r="CT25" s="82"/>
      <c r="CU25" s="82"/>
      <c r="CV25" s="82"/>
    </row>
    <row r="26" ht="20.25" customHeight="1">
      <c r="A26" s="48"/>
      <c r="B26" s="117">
        <v>46269.0</v>
      </c>
      <c r="C26" s="66" t="s">
        <v>357</v>
      </c>
      <c r="D26" s="51" t="s">
        <v>67</v>
      </c>
      <c r="E26" s="146"/>
      <c r="F26" s="147" t="s">
        <v>358</v>
      </c>
      <c r="G26" s="148" t="s">
        <v>359</v>
      </c>
      <c r="H26" s="162" t="s">
        <v>360</v>
      </c>
      <c r="I26" s="146"/>
      <c r="J26" s="66">
        <v>203113.0</v>
      </c>
      <c r="K26" s="51" t="s">
        <v>362</v>
      </c>
      <c r="L26" s="66" t="s">
        <v>258</v>
      </c>
      <c r="M26" s="150">
        <v>5000.0</v>
      </c>
      <c r="N26" s="66">
        <v>94.0</v>
      </c>
      <c r="O26" s="66">
        <v>6.0</v>
      </c>
      <c r="P26" s="66">
        <v>170.0</v>
      </c>
      <c r="Q26" s="66" t="s">
        <v>63</v>
      </c>
      <c r="R26" s="66" t="s">
        <v>363</v>
      </c>
      <c r="S26" s="66">
        <f t="shared" si="1"/>
        <v>11.75</v>
      </c>
      <c r="T26" s="66">
        <f t="shared" si="2"/>
        <v>235.8</v>
      </c>
      <c r="U26" s="113">
        <f t="shared" si="3"/>
        <v>20.06808511</v>
      </c>
      <c r="V26" s="114">
        <f t="shared" si="4"/>
        <v>249.1518236</v>
      </c>
      <c r="W26" s="77"/>
      <c r="X26" s="78"/>
      <c r="Y26" s="79"/>
      <c r="Z26" s="77"/>
      <c r="AA26" s="80"/>
      <c r="AB26" s="81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82"/>
      <c r="BZ26" s="82"/>
      <c r="CA26" s="82"/>
      <c r="CB26" s="82"/>
      <c r="CC26" s="82"/>
      <c r="CD26" s="82"/>
      <c r="CE26" s="82"/>
      <c r="CF26" s="82"/>
      <c r="CG26" s="82"/>
      <c r="CH26" s="82"/>
      <c r="CI26" s="82"/>
      <c r="CJ26" s="82"/>
      <c r="CK26" s="82"/>
      <c r="CL26" s="82"/>
      <c r="CM26" s="82"/>
      <c r="CN26" s="82"/>
      <c r="CO26" s="82"/>
      <c r="CP26" s="82"/>
      <c r="CQ26" s="82"/>
      <c r="CR26" s="82"/>
      <c r="CS26" s="82"/>
      <c r="CT26" s="82"/>
      <c r="CU26" s="82"/>
      <c r="CV26" s="82"/>
    </row>
    <row r="27" ht="20.25" customHeight="1">
      <c r="A27" s="48"/>
      <c r="B27" s="66" t="s">
        <v>367</v>
      </c>
      <c r="C27" s="66" t="s">
        <v>368</v>
      </c>
      <c r="D27" s="51" t="s">
        <v>67</v>
      </c>
      <c r="E27" s="60"/>
      <c r="F27" s="119">
        <v>5.400091518E9</v>
      </c>
      <c r="G27" s="120" t="s">
        <v>370</v>
      </c>
      <c r="H27" s="66">
        <v>11000.0</v>
      </c>
      <c r="I27" s="60"/>
      <c r="J27" s="164">
        <v>207193.0</v>
      </c>
      <c r="K27" s="135" t="s">
        <v>375</v>
      </c>
      <c r="L27" s="136" t="s">
        <v>376</v>
      </c>
      <c r="M27" s="122">
        <v>11000.0</v>
      </c>
      <c r="N27" s="162">
        <v>94.0</v>
      </c>
      <c r="O27" s="162">
        <v>6.0</v>
      </c>
      <c r="P27" s="162">
        <v>170.0</v>
      </c>
      <c r="Q27" s="136" t="s">
        <v>63</v>
      </c>
      <c r="R27" s="162" t="s">
        <v>178</v>
      </c>
      <c r="S27" s="66">
        <f t="shared" si="1"/>
        <v>11.75</v>
      </c>
      <c r="T27" s="66">
        <f t="shared" si="2"/>
        <v>235.8</v>
      </c>
      <c r="U27" s="113">
        <f t="shared" si="3"/>
        <v>20.06808511</v>
      </c>
      <c r="V27" s="114">
        <f t="shared" si="4"/>
        <v>548.1340119</v>
      </c>
      <c r="W27" s="77"/>
      <c r="X27" s="78"/>
      <c r="Y27" s="79"/>
      <c r="Z27" s="77"/>
      <c r="AA27" s="80"/>
      <c r="AB27" s="81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82"/>
      <c r="CF27" s="82"/>
      <c r="CG27" s="82"/>
      <c r="CH27" s="82"/>
      <c r="CI27" s="82"/>
      <c r="CJ27" s="82"/>
      <c r="CK27" s="82"/>
      <c r="CL27" s="82"/>
      <c r="CM27" s="82"/>
      <c r="CN27" s="82"/>
      <c r="CO27" s="82"/>
      <c r="CP27" s="82"/>
      <c r="CQ27" s="82"/>
      <c r="CR27" s="82"/>
      <c r="CS27" s="82"/>
      <c r="CT27" s="82"/>
      <c r="CU27" s="82"/>
      <c r="CV27" s="82"/>
    </row>
    <row r="28" ht="20.25" customHeight="1">
      <c r="A28" s="48"/>
      <c r="B28" s="66" t="s">
        <v>205</v>
      </c>
      <c r="C28" s="50" t="s">
        <v>381</v>
      </c>
      <c r="D28" s="45" t="s">
        <v>78</v>
      </c>
      <c r="E28" s="47"/>
      <c r="F28" s="47"/>
      <c r="G28" s="47"/>
      <c r="H28" s="47"/>
      <c r="I28" s="47"/>
      <c r="J28" s="47"/>
      <c r="K28" s="45" t="s">
        <v>383</v>
      </c>
      <c r="L28" s="47"/>
      <c r="M28" s="50">
        <v>20060.0</v>
      </c>
      <c r="N28" s="50">
        <v>94.0</v>
      </c>
      <c r="O28" s="50">
        <v>6.0</v>
      </c>
      <c r="P28" s="50">
        <v>190.0</v>
      </c>
      <c r="Q28" s="50" t="s">
        <v>63</v>
      </c>
      <c r="R28" s="50" t="s">
        <v>385</v>
      </c>
      <c r="S28" s="50">
        <f t="shared" si="1"/>
        <v>11.75</v>
      </c>
      <c r="T28" s="50">
        <f t="shared" si="2"/>
        <v>235.8</v>
      </c>
      <c r="U28" s="69">
        <f t="shared" si="3"/>
        <v>20.06808511</v>
      </c>
      <c r="V28" s="70">
        <f t="shared" si="4"/>
        <v>999.5971162</v>
      </c>
      <c r="W28" s="77"/>
      <c r="X28" s="78"/>
      <c r="Y28" s="79"/>
      <c r="Z28" s="77"/>
      <c r="AA28" s="80"/>
      <c r="AB28" s="81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82"/>
      <c r="BW28" s="82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I28" s="82"/>
      <c r="CJ28" s="82"/>
      <c r="CK28" s="82"/>
      <c r="CL28" s="82"/>
      <c r="CM28" s="82"/>
      <c r="CN28" s="82"/>
      <c r="CO28" s="82"/>
      <c r="CP28" s="82"/>
      <c r="CQ28" s="82"/>
      <c r="CR28" s="82"/>
      <c r="CS28" s="82"/>
      <c r="CT28" s="82"/>
      <c r="CU28" s="82"/>
      <c r="CV28" s="82"/>
    </row>
    <row r="29" ht="20.25" customHeight="1">
      <c r="A29" s="48"/>
      <c r="B29" s="66" t="s">
        <v>205</v>
      </c>
      <c r="C29" s="50" t="s">
        <v>388</v>
      </c>
      <c r="D29" s="45" t="s">
        <v>78</v>
      </c>
      <c r="E29" s="47"/>
      <c r="F29" s="47"/>
      <c r="G29" s="47"/>
      <c r="H29" s="47"/>
      <c r="I29" s="47"/>
      <c r="J29" s="47"/>
      <c r="K29" s="45" t="s">
        <v>389</v>
      </c>
      <c r="L29" s="47"/>
      <c r="M29" s="100">
        <v>23875.0</v>
      </c>
      <c r="N29" s="100">
        <v>79.0</v>
      </c>
      <c r="O29" s="100">
        <v>6.0</v>
      </c>
      <c r="P29" s="100">
        <v>190.0</v>
      </c>
      <c r="Q29" s="100" t="s">
        <v>50</v>
      </c>
      <c r="R29" s="100" t="s">
        <v>391</v>
      </c>
      <c r="S29" s="126">
        <f t="shared" si="1"/>
        <v>9.875</v>
      </c>
      <c r="T29" s="126">
        <f t="shared" si="2"/>
        <v>235.8</v>
      </c>
      <c r="U29" s="127">
        <f t="shared" si="3"/>
        <v>23.87848101</v>
      </c>
      <c r="V29" s="128">
        <f t="shared" si="4"/>
        <v>999.8542197</v>
      </c>
      <c r="W29" s="77"/>
      <c r="X29" s="78"/>
      <c r="Y29" s="79"/>
      <c r="Z29" s="77"/>
      <c r="AA29" s="80"/>
      <c r="AB29" s="81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82"/>
      <c r="BU29" s="82"/>
      <c r="BV29" s="82"/>
      <c r="BW29" s="82"/>
      <c r="BX29" s="82"/>
      <c r="BY29" s="82"/>
      <c r="BZ29" s="82"/>
      <c r="CA29" s="82"/>
      <c r="CB29" s="82"/>
      <c r="CC29" s="82"/>
      <c r="CD29" s="82"/>
      <c r="CE29" s="82"/>
      <c r="CF29" s="82"/>
      <c r="CG29" s="82"/>
      <c r="CH29" s="82"/>
      <c r="CI29" s="82"/>
      <c r="CJ29" s="82"/>
      <c r="CK29" s="82"/>
      <c r="CL29" s="82"/>
      <c r="CM29" s="82"/>
      <c r="CN29" s="82"/>
      <c r="CO29" s="82"/>
      <c r="CP29" s="82"/>
      <c r="CQ29" s="82"/>
      <c r="CR29" s="82"/>
      <c r="CS29" s="82"/>
      <c r="CT29" s="82"/>
      <c r="CU29" s="82"/>
      <c r="CV29" s="82"/>
    </row>
    <row r="30" ht="20.25" customHeight="1">
      <c r="A30" s="48"/>
      <c r="B30" s="66" t="s">
        <v>205</v>
      </c>
      <c r="C30" s="50" t="s">
        <v>392</v>
      </c>
      <c r="D30" s="45" t="s">
        <v>78</v>
      </c>
      <c r="E30" s="47"/>
      <c r="F30" s="47"/>
      <c r="G30" s="47"/>
      <c r="H30" s="47"/>
      <c r="I30" s="47"/>
      <c r="J30" s="47"/>
      <c r="K30" s="45" t="s">
        <v>394</v>
      </c>
      <c r="L30" s="47"/>
      <c r="M30" s="50">
        <v>20060.0</v>
      </c>
      <c r="N30" s="50">
        <v>94.0</v>
      </c>
      <c r="O30" s="50">
        <v>6.0</v>
      </c>
      <c r="P30" s="50">
        <v>190.0</v>
      </c>
      <c r="Q30" s="50" t="s">
        <v>63</v>
      </c>
      <c r="R30" s="50" t="s">
        <v>385</v>
      </c>
      <c r="S30" s="50">
        <f t="shared" si="1"/>
        <v>11.75</v>
      </c>
      <c r="T30" s="50">
        <f t="shared" si="2"/>
        <v>235.8</v>
      </c>
      <c r="U30" s="69">
        <f t="shared" si="3"/>
        <v>20.06808511</v>
      </c>
      <c r="V30" s="70">
        <f t="shared" si="4"/>
        <v>999.5971162</v>
      </c>
      <c r="W30" s="77"/>
      <c r="X30" s="78"/>
      <c r="Y30" s="79"/>
      <c r="Z30" s="77"/>
      <c r="AA30" s="80"/>
      <c r="AB30" s="81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82"/>
      <c r="BU30" s="82"/>
      <c r="BV30" s="82"/>
      <c r="BW30" s="82"/>
      <c r="BX30" s="82"/>
      <c r="BY30" s="82"/>
      <c r="BZ30" s="82"/>
      <c r="CA30" s="82"/>
      <c r="CB30" s="82"/>
      <c r="CC30" s="82"/>
      <c r="CD30" s="82"/>
      <c r="CE30" s="82"/>
      <c r="CF30" s="82"/>
      <c r="CG30" s="82"/>
      <c r="CH30" s="82"/>
      <c r="CI30" s="82"/>
      <c r="CJ30" s="82"/>
      <c r="CK30" s="82"/>
      <c r="CL30" s="82"/>
      <c r="CM30" s="82"/>
      <c r="CN30" s="82"/>
      <c r="CO30" s="82"/>
      <c r="CP30" s="82"/>
      <c r="CQ30" s="82"/>
      <c r="CR30" s="82"/>
      <c r="CS30" s="82"/>
      <c r="CT30" s="82"/>
      <c r="CU30" s="82"/>
      <c r="CV30" s="82"/>
    </row>
    <row r="31" ht="20.25" customHeight="1">
      <c r="A31" s="48"/>
      <c r="B31" s="50" t="s">
        <v>397</v>
      </c>
      <c r="C31" s="66" t="s">
        <v>398</v>
      </c>
      <c r="D31" s="45" t="s">
        <v>159</v>
      </c>
      <c r="E31" s="47"/>
      <c r="F31" s="47"/>
      <c r="G31" s="47"/>
      <c r="H31" s="167"/>
      <c r="I31" s="47"/>
      <c r="J31" s="47"/>
      <c r="K31" s="45" t="s">
        <v>168</v>
      </c>
      <c r="L31" s="50" t="s">
        <v>161</v>
      </c>
      <c r="M31" s="50">
        <v>10000.0</v>
      </c>
      <c r="N31" s="66">
        <v>72.0</v>
      </c>
      <c r="O31" s="66">
        <v>1.0</v>
      </c>
      <c r="P31" s="66">
        <v>135.0</v>
      </c>
      <c r="Q31" s="50" t="s">
        <v>162</v>
      </c>
      <c r="R31" s="66" t="s">
        <v>169</v>
      </c>
      <c r="S31" s="126">
        <f t="shared" si="1"/>
        <v>9</v>
      </c>
      <c r="T31" s="126">
        <f t="shared" si="2"/>
        <v>39.3</v>
      </c>
      <c r="U31" s="127">
        <f t="shared" si="3"/>
        <v>4.366666667</v>
      </c>
      <c r="V31" s="128">
        <f t="shared" si="4"/>
        <v>2290.076336</v>
      </c>
      <c r="W31" s="77"/>
      <c r="X31" s="78"/>
      <c r="Y31" s="79"/>
      <c r="Z31" s="77"/>
      <c r="AA31" s="80"/>
      <c r="AB31" s="81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82"/>
      <c r="BU31" s="82"/>
      <c r="BV31" s="82"/>
      <c r="BW31" s="82"/>
      <c r="BX31" s="82"/>
      <c r="BY31" s="82"/>
      <c r="BZ31" s="82"/>
      <c r="CA31" s="82"/>
      <c r="CB31" s="82"/>
      <c r="CC31" s="82"/>
      <c r="CD31" s="82"/>
      <c r="CE31" s="82"/>
      <c r="CF31" s="82"/>
      <c r="CG31" s="82"/>
      <c r="CH31" s="82"/>
      <c r="CI31" s="82"/>
      <c r="CJ31" s="82"/>
      <c r="CK31" s="82"/>
      <c r="CL31" s="82"/>
      <c r="CM31" s="82"/>
      <c r="CN31" s="82"/>
      <c r="CO31" s="82"/>
      <c r="CP31" s="82"/>
      <c r="CQ31" s="82"/>
      <c r="CR31" s="82"/>
      <c r="CS31" s="82"/>
      <c r="CT31" s="82"/>
      <c r="CU31" s="82"/>
      <c r="CV31" s="82"/>
    </row>
    <row r="32" ht="20.25" customHeight="1">
      <c r="A32" s="48"/>
      <c r="B32" s="50" t="s">
        <v>397</v>
      </c>
      <c r="C32" s="66" t="s">
        <v>402</v>
      </c>
      <c r="D32" s="45" t="s">
        <v>159</v>
      </c>
      <c r="E32" s="47"/>
      <c r="F32" s="47"/>
      <c r="G32" s="47"/>
      <c r="H32" s="167"/>
      <c r="I32" s="47"/>
      <c r="J32" s="47"/>
      <c r="K32" s="45" t="s">
        <v>160</v>
      </c>
      <c r="L32" s="50" t="s">
        <v>161</v>
      </c>
      <c r="M32" s="50">
        <v>20000.0</v>
      </c>
      <c r="N32" s="50">
        <v>92.0</v>
      </c>
      <c r="O32" s="50">
        <v>1.0</v>
      </c>
      <c r="P32" s="50">
        <v>165.0</v>
      </c>
      <c r="Q32" s="50" t="s">
        <v>162</v>
      </c>
      <c r="R32" s="50" t="s">
        <v>163</v>
      </c>
      <c r="S32" s="126">
        <f t="shared" si="1"/>
        <v>11.5</v>
      </c>
      <c r="T32" s="126">
        <f t="shared" si="2"/>
        <v>39.3</v>
      </c>
      <c r="U32" s="127">
        <f t="shared" si="3"/>
        <v>3.417391304</v>
      </c>
      <c r="V32" s="128">
        <f t="shared" si="4"/>
        <v>5852.417303</v>
      </c>
      <c r="W32" s="77"/>
      <c r="X32" s="78"/>
      <c r="Y32" s="79"/>
      <c r="Z32" s="77"/>
      <c r="AA32" s="80"/>
      <c r="AB32" s="81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82"/>
      <c r="BU32" s="82"/>
      <c r="BV32" s="82"/>
      <c r="BW32" s="82"/>
      <c r="BX32" s="82"/>
      <c r="BY32" s="82"/>
      <c r="BZ32" s="82"/>
      <c r="CA32" s="82"/>
      <c r="CB32" s="82"/>
      <c r="CC32" s="82"/>
      <c r="CD32" s="82"/>
      <c r="CE32" s="82"/>
      <c r="CF32" s="82"/>
      <c r="CG32" s="82"/>
      <c r="CH32" s="82"/>
      <c r="CI32" s="82"/>
      <c r="CJ32" s="82"/>
      <c r="CK32" s="82"/>
      <c r="CL32" s="82"/>
      <c r="CM32" s="82"/>
      <c r="CN32" s="82"/>
      <c r="CO32" s="82"/>
      <c r="CP32" s="82"/>
      <c r="CQ32" s="82"/>
      <c r="CR32" s="82"/>
      <c r="CS32" s="82"/>
      <c r="CT32" s="82"/>
      <c r="CU32" s="82"/>
      <c r="CV32" s="82"/>
    </row>
    <row r="33" ht="20.25" customHeight="1">
      <c r="A33" s="48"/>
      <c r="B33" s="50" t="s">
        <v>407</v>
      </c>
      <c r="C33" s="50" t="s">
        <v>408</v>
      </c>
      <c r="D33" s="51" t="s">
        <v>409</v>
      </c>
      <c r="E33" s="47"/>
      <c r="F33" s="66" t="s">
        <v>410</v>
      </c>
      <c r="G33" s="66" t="s">
        <v>52</v>
      </c>
      <c r="H33" s="66">
        <v>10250.0</v>
      </c>
      <c r="I33" s="47"/>
      <c r="J33" s="47"/>
      <c r="K33" s="51" t="s">
        <v>411</v>
      </c>
      <c r="L33" s="47"/>
      <c r="M33" s="66">
        <v>10250.0</v>
      </c>
      <c r="N33" s="66">
        <v>108.0</v>
      </c>
      <c r="O33" s="66">
        <v>4.0</v>
      </c>
      <c r="P33" s="66">
        <v>125.0</v>
      </c>
      <c r="Q33" s="66" t="s">
        <v>50</v>
      </c>
      <c r="R33" s="66" t="s">
        <v>412</v>
      </c>
      <c r="S33" s="66">
        <f t="shared" si="1"/>
        <v>13.5</v>
      </c>
      <c r="T33" s="66">
        <f t="shared" si="2"/>
        <v>157.2</v>
      </c>
      <c r="U33" s="113">
        <f t="shared" si="3"/>
        <v>11.64444444</v>
      </c>
      <c r="V33" s="114">
        <f t="shared" si="4"/>
        <v>880.2480916</v>
      </c>
      <c r="W33" s="77"/>
      <c r="X33" s="78"/>
      <c r="Y33" s="79"/>
      <c r="Z33" s="77"/>
      <c r="AA33" s="80"/>
      <c r="AB33" s="81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82"/>
      <c r="BU33" s="82"/>
      <c r="BV33" s="82"/>
      <c r="BW33" s="82"/>
      <c r="BX33" s="82"/>
      <c r="BY33" s="82"/>
      <c r="BZ33" s="82"/>
      <c r="CA33" s="82"/>
      <c r="CB33" s="82"/>
      <c r="CC33" s="82"/>
      <c r="CD33" s="82"/>
      <c r="CE33" s="82"/>
      <c r="CF33" s="82"/>
      <c r="CG33" s="82"/>
      <c r="CH33" s="82"/>
      <c r="CI33" s="82"/>
      <c r="CJ33" s="82"/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</row>
    <row r="34" ht="20.25" customHeight="1">
      <c r="A34" s="66">
        <v>3.0</v>
      </c>
      <c r="B34" s="50" t="s">
        <v>188</v>
      </c>
      <c r="C34" s="66" t="s">
        <v>416</v>
      </c>
      <c r="D34" s="45" t="s">
        <v>67</v>
      </c>
      <c r="E34" s="47"/>
      <c r="F34" s="169" t="s">
        <v>310</v>
      </c>
      <c r="G34" s="170"/>
      <c r="H34" s="47"/>
      <c r="I34" s="111" t="s">
        <v>417</v>
      </c>
      <c r="J34" s="85"/>
      <c r="K34" s="45" t="s">
        <v>418</v>
      </c>
      <c r="L34" s="50" t="s">
        <v>258</v>
      </c>
      <c r="M34" s="50">
        <v>100.0</v>
      </c>
      <c r="N34" s="171"/>
      <c r="O34" s="171"/>
      <c r="P34" s="171"/>
      <c r="Q34" s="171"/>
      <c r="R34" s="100" t="s">
        <v>178</v>
      </c>
      <c r="S34" s="80"/>
      <c r="T34" s="80"/>
      <c r="U34" s="173"/>
      <c r="V34" s="175"/>
      <c r="X34" s="60"/>
      <c r="Y34" s="60"/>
      <c r="Z34" s="60"/>
      <c r="AA34" s="80"/>
      <c r="AB34" s="81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82"/>
      <c r="CC34" s="82"/>
      <c r="CD34" s="82"/>
      <c r="CE34" s="82"/>
      <c r="CF34" s="82"/>
      <c r="CG34" s="82"/>
      <c r="CH34" s="82"/>
      <c r="CI34" s="82"/>
      <c r="CJ34" s="82"/>
      <c r="CK34" s="82"/>
      <c r="CL34" s="82"/>
      <c r="CM34" s="82"/>
      <c r="CN34" s="82"/>
      <c r="CO34" s="82"/>
      <c r="CP34" s="82"/>
      <c r="CQ34" s="82"/>
      <c r="CR34" s="82"/>
      <c r="CS34" s="82"/>
      <c r="CT34" s="82"/>
      <c r="CU34" s="82"/>
      <c r="CV34" s="82"/>
    </row>
    <row r="35" ht="20.25" customHeight="1">
      <c r="A35" s="162">
        <v>21.0</v>
      </c>
      <c r="B35" s="45" t="s">
        <v>423</v>
      </c>
      <c r="C35" s="50" t="s">
        <v>424</v>
      </c>
      <c r="D35" s="45" t="s">
        <v>247</v>
      </c>
      <c r="E35" s="47"/>
      <c r="F35" s="64" t="s">
        <v>328</v>
      </c>
      <c r="G35" s="155">
        <v>46299.0</v>
      </c>
      <c r="H35" s="125">
        <v>15000.0</v>
      </c>
      <c r="I35" s="47"/>
      <c r="J35" s="47"/>
      <c r="K35" s="45" t="s">
        <v>425</v>
      </c>
      <c r="L35" s="50" t="s">
        <v>252</v>
      </c>
      <c r="M35" s="50">
        <v>15000.0</v>
      </c>
      <c r="N35" s="50">
        <v>108.0</v>
      </c>
      <c r="O35" s="50">
        <v>4.0</v>
      </c>
      <c r="P35" s="50">
        <v>130.0</v>
      </c>
      <c r="Q35" s="50" t="s">
        <v>63</v>
      </c>
      <c r="R35" s="50" t="s">
        <v>426</v>
      </c>
      <c r="S35" s="50">
        <f t="shared" ref="S35:S68" si="5">N35/8</f>
        <v>13.5</v>
      </c>
      <c r="T35" s="50">
        <f t="shared" ref="T35:T68" si="6">39.3*O35</f>
        <v>157.2</v>
      </c>
      <c r="U35" s="69">
        <f t="shared" ref="U35:U68" si="7">T35/S35</f>
        <v>11.64444444</v>
      </c>
      <c r="V35" s="70">
        <f t="shared" ref="V35:V68" si="8">M35/U35</f>
        <v>1288.167939</v>
      </c>
      <c r="X35" s="47"/>
      <c r="Y35" s="47"/>
      <c r="Z35" s="47"/>
      <c r="AA35" s="80"/>
      <c r="AB35" s="81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82"/>
      <c r="BU35" s="82"/>
      <c r="BV35" s="82"/>
      <c r="BW35" s="82"/>
      <c r="BX35" s="82"/>
      <c r="BY35" s="82"/>
      <c r="BZ35" s="82"/>
      <c r="CA35" s="82"/>
      <c r="CB35" s="82"/>
      <c r="CC35" s="82"/>
      <c r="CD35" s="82"/>
      <c r="CE35" s="82"/>
      <c r="CF35" s="82"/>
      <c r="CG35" s="82"/>
      <c r="CH35" s="82"/>
      <c r="CI35" s="82"/>
      <c r="CJ35" s="82"/>
      <c r="CK35" s="82"/>
      <c r="CL35" s="82"/>
      <c r="CM35" s="82"/>
      <c r="CN35" s="82"/>
      <c r="CO35" s="82"/>
      <c r="CP35" s="82"/>
      <c r="CQ35" s="82"/>
      <c r="CR35" s="82"/>
      <c r="CS35" s="82"/>
      <c r="CT35" s="82"/>
      <c r="CU35" s="82"/>
      <c r="CV35" s="82"/>
    </row>
    <row r="36" ht="20.25" customHeight="1">
      <c r="A36" s="162">
        <v>22.0</v>
      </c>
      <c r="B36" s="45" t="s">
        <v>423</v>
      </c>
      <c r="C36" s="50" t="s">
        <v>429</v>
      </c>
      <c r="D36" s="45" t="s">
        <v>247</v>
      </c>
      <c r="E36" s="47"/>
      <c r="F36" s="64" t="s">
        <v>430</v>
      </c>
      <c r="G36" s="125" t="s">
        <v>431</v>
      </c>
      <c r="H36" s="125">
        <v>10000.0</v>
      </c>
      <c r="I36" s="47"/>
      <c r="J36" s="47"/>
      <c r="K36" s="45" t="s">
        <v>432</v>
      </c>
      <c r="L36" s="50" t="s">
        <v>252</v>
      </c>
      <c r="M36" s="50">
        <v>10000.0</v>
      </c>
      <c r="N36" s="50">
        <v>108.0</v>
      </c>
      <c r="O36" s="50">
        <v>4.0</v>
      </c>
      <c r="P36" s="50">
        <v>130.0</v>
      </c>
      <c r="Q36" s="50" t="s">
        <v>63</v>
      </c>
      <c r="R36" s="50" t="s">
        <v>426</v>
      </c>
      <c r="S36" s="50">
        <f t="shared" si="5"/>
        <v>13.5</v>
      </c>
      <c r="T36" s="50">
        <f t="shared" si="6"/>
        <v>157.2</v>
      </c>
      <c r="U36" s="69">
        <f t="shared" si="7"/>
        <v>11.64444444</v>
      </c>
      <c r="V36" s="70">
        <f t="shared" si="8"/>
        <v>858.778626</v>
      </c>
      <c r="X36" s="47"/>
      <c r="Y36" s="47"/>
      <c r="Z36" s="47"/>
      <c r="AA36" s="80"/>
      <c r="AB36" s="81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82"/>
      <c r="BU36" s="82"/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I36" s="82"/>
      <c r="CJ36" s="82"/>
      <c r="CK36" s="82"/>
      <c r="CL36" s="82"/>
      <c r="CM36" s="82"/>
      <c r="CN36" s="82"/>
      <c r="CO36" s="82"/>
      <c r="CP36" s="82"/>
      <c r="CQ36" s="82"/>
      <c r="CR36" s="82"/>
      <c r="CS36" s="82"/>
      <c r="CT36" s="82"/>
      <c r="CU36" s="82"/>
      <c r="CV36" s="82"/>
    </row>
    <row r="37" ht="20.25" customHeight="1">
      <c r="A37" s="66">
        <v>2.0</v>
      </c>
      <c r="B37" s="117">
        <v>46269.0</v>
      </c>
      <c r="C37" s="66" t="s">
        <v>434</v>
      </c>
      <c r="D37" s="51" t="s">
        <v>67</v>
      </c>
      <c r="E37" s="146"/>
      <c r="F37" s="162" t="s">
        <v>435</v>
      </c>
      <c r="G37" s="162" t="s">
        <v>436</v>
      </c>
      <c r="H37" s="162" t="s">
        <v>437</v>
      </c>
      <c r="I37" s="146"/>
      <c r="J37" s="66">
        <v>206500.0</v>
      </c>
      <c r="K37" s="51" t="s">
        <v>438</v>
      </c>
      <c r="L37" s="66" t="s">
        <v>258</v>
      </c>
      <c r="M37" s="122">
        <v>3000.0</v>
      </c>
      <c r="N37" s="66">
        <v>92.0</v>
      </c>
      <c r="O37" s="66">
        <v>2.0</v>
      </c>
      <c r="P37" s="66">
        <v>280.0</v>
      </c>
      <c r="Q37" s="66" t="s">
        <v>63</v>
      </c>
      <c r="R37" s="66" t="s">
        <v>439</v>
      </c>
      <c r="S37" s="66">
        <f t="shared" si="5"/>
        <v>11.5</v>
      </c>
      <c r="T37" s="66">
        <f t="shared" si="6"/>
        <v>78.6</v>
      </c>
      <c r="U37" s="113">
        <f t="shared" si="7"/>
        <v>6.834782609</v>
      </c>
      <c r="V37" s="114">
        <f t="shared" si="8"/>
        <v>438.9312977</v>
      </c>
      <c r="X37" s="60"/>
      <c r="Y37" s="60"/>
      <c r="Z37" s="60"/>
      <c r="AA37" s="80"/>
      <c r="AB37" s="81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82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I37" s="82"/>
      <c r="CJ37" s="82"/>
      <c r="CK37" s="82"/>
      <c r="CL37" s="82"/>
      <c r="CM37" s="82"/>
      <c r="CN37" s="82"/>
      <c r="CO37" s="82"/>
      <c r="CP37" s="82"/>
      <c r="CQ37" s="82"/>
      <c r="CR37" s="82"/>
      <c r="CS37" s="82"/>
      <c r="CT37" s="82"/>
      <c r="CU37" s="82"/>
      <c r="CV37" s="82"/>
    </row>
    <row r="38" ht="20.25" customHeight="1">
      <c r="A38" s="66">
        <v>1.0</v>
      </c>
      <c r="B38" s="50" t="s">
        <v>367</v>
      </c>
      <c r="C38" s="50" t="s">
        <v>441</v>
      </c>
      <c r="D38" s="51" t="s">
        <v>67</v>
      </c>
      <c r="E38" s="47"/>
      <c r="F38" s="66">
        <v>5.400092196E9</v>
      </c>
      <c r="G38" s="66" t="s">
        <v>442</v>
      </c>
      <c r="H38" s="66">
        <v>2050.0</v>
      </c>
      <c r="I38" s="47"/>
      <c r="J38" s="50">
        <v>207741.0</v>
      </c>
      <c r="K38" s="51" t="s">
        <v>124</v>
      </c>
      <c r="L38" s="47"/>
      <c r="M38" s="50">
        <v>2050.0</v>
      </c>
      <c r="N38" s="50">
        <v>89.0</v>
      </c>
      <c r="O38" s="50">
        <v>1.0</v>
      </c>
      <c r="P38" s="50">
        <v>205.0</v>
      </c>
      <c r="Q38" s="50" t="s">
        <v>63</v>
      </c>
      <c r="R38" s="50" t="s">
        <v>125</v>
      </c>
      <c r="S38" s="50">
        <f t="shared" si="5"/>
        <v>11.125</v>
      </c>
      <c r="T38" s="50">
        <f t="shared" si="6"/>
        <v>39.3</v>
      </c>
      <c r="U38" s="69">
        <f t="shared" si="7"/>
        <v>3.53258427</v>
      </c>
      <c r="V38" s="70">
        <f t="shared" si="8"/>
        <v>580.3117048</v>
      </c>
      <c r="X38" s="47"/>
      <c r="Y38" s="47"/>
      <c r="Z38" s="47"/>
      <c r="AA38" s="80"/>
      <c r="AB38" s="81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  <c r="CA38" s="82"/>
      <c r="CB38" s="82"/>
      <c r="CC38" s="82"/>
      <c r="CD38" s="82"/>
      <c r="CE38" s="82"/>
      <c r="CF38" s="82"/>
      <c r="CG38" s="82"/>
      <c r="CH38" s="82"/>
      <c r="CI38" s="82"/>
      <c r="CJ38" s="82"/>
      <c r="CK38" s="82"/>
      <c r="CL38" s="82"/>
      <c r="CM38" s="82"/>
      <c r="CN38" s="82"/>
      <c r="CO38" s="82"/>
      <c r="CP38" s="82"/>
      <c r="CQ38" s="82"/>
      <c r="CR38" s="82"/>
      <c r="CS38" s="82"/>
      <c r="CT38" s="82"/>
      <c r="CU38" s="82"/>
      <c r="CV38" s="82"/>
    </row>
    <row r="39" ht="20.25" customHeight="1">
      <c r="A39" s="66">
        <v>2.0</v>
      </c>
      <c r="B39" s="50" t="s">
        <v>367</v>
      </c>
      <c r="C39" s="50" t="s">
        <v>444</v>
      </c>
      <c r="D39" s="51" t="s">
        <v>67</v>
      </c>
      <c r="E39" s="47"/>
      <c r="F39" s="66">
        <v>5.400092196E9</v>
      </c>
      <c r="G39" s="66" t="s">
        <v>442</v>
      </c>
      <c r="H39" s="66">
        <v>2050.0</v>
      </c>
      <c r="I39" s="47"/>
      <c r="J39" s="50">
        <v>207741.0</v>
      </c>
      <c r="K39" s="51" t="s">
        <v>130</v>
      </c>
      <c r="L39" s="47"/>
      <c r="M39" s="50">
        <v>2050.0</v>
      </c>
      <c r="N39" s="50">
        <v>89.0</v>
      </c>
      <c r="O39" s="50">
        <v>1.0</v>
      </c>
      <c r="P39" s="50">
        <v>205.0</v>
      </c>
      <c r="Q39" s="50" t="s">
        <v>63</v>
      </c>
      <c r="R39" s="50" t="s">
        <v>125</v>
      </c>
      <c r="S39" s="50">
        <f t="shared" si="5"/>
        <v>11.125</v>
      </c>
      <c r="T39" s="50">
        <f t="shared" si="6"/>
        <v>39.3</v>
      </c>
      <c r="U39" s="69">
        <f t="shared" si="7"/>
        <v>3.53258427</v>
      </c>
      <c r="V39" s="70">
        <f t="shared" si="8"/>
        <v>580.3117048</v>
      </c>
      <c r="X39" s="47"/>
      <c r="Y39" s="47"/>
      <c r="Z39" s="47"/>
      <c r="AA39" s="80"/>
      <c r="AB39" s="81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82"/>
      <c r="BU39" s="82"/>
      <c r="BV39" s="82"/>
      <c r="BW39" s="82"/>
      <c r="BX39" s="82"/>
      <c r="BY39" s="82"/>
      <c r="BZ39" s="82"/>
      <c r="CA39" s="82"/>
      <c r="CB39" s="82"/>
      <c r="CC39" s="82"/>
      <c r="CD39" s="82"/>
      <c r="CE39" s="82"/>
      <c r="CF39" s="82"/>
      <c r="CG39" s="82"/>
      <c r="CH39" s="82"/>
      <c r="CI39" s="82"/>
      <c r="CJ39" s="82"/>
      <c r="CK39" s="82"/>
      <c r="CL39" s="82"/>
      <c r="CM39" s="82"/>
      <c r="CN39" s="82"/>
      <c r="CO39" s="82"/>
      <c r="CP39" s="82"/>
      <c r="CQ39" s="82"/>
      <c r="CR39" s="82"/>
      <c r="CS39" s="82"/>
      <c r="CT39" s="82"/>
      <c r="CU39" s="82"/>
      <c r="CV39" s="82"/>
    </row>
    <row r="40" ht="20.25" customHeight="1">
      <c r="A40" s="66">
        <v>3.0</v>
      </c>
      <c r="B40" s="50" t="s">
        <v>367</v>
      </c>
      <c r="C40" s="50" t="s">
        <v>446</v>
      </c>
      <c r="D40" s="51" t="s">
        <v>67</v>
      </c>
      <c r="E40" s="47"/>
      <c r="F40" s="66">
        <v>5.400092196E9</v>
      </c>
      <c r="G40" s="66" t="s">
        <v>442</v>
      </c>
      <c r="H40" s="66">
        <v>4100.0</v>
      </c>
      <c r="I40" s="47"/>
      <c r="J40" s="50">
        <v>207739.0</v>
      </c>
      <c r="K40" s="51" t="s">
        <v>146</v>
      </c>
      <c r="L40" s="47"/>
      <c r="M40" s="50">
        <v>4100.0</v>
      </c>
      <c r="N40" s="50">
        <v>108.0</v>
      </c>
      <c r="O40" s="50">
        <v>2.0</v>
      </c>
      <c r="P40" s="50">
        <v>320.0</v>
      </c>
      <c r="Q40" s="50" t="s">
        <v>63</v>
      </c>
      <c r="R40" s="50" t="s">
        <v>149</v>
      </c>
      <c r="S40" s="50">
        <f t="shared" si="5"/>
        <v>13.5</v>
      </c>
      <c r="T40" s="50">
        <f t="shared" si="6"/>
        <v>78.6</v>
      </c>
      <c r="U40" s="69">
        <f t="shared" si="7"/>
        <v>5.822222222</v>
      </c>
      <c r="V40" s="70">
        <f t="shared" si="8"/>
        <v>704.1984733</v>
      </c>
      <c r="X40" s="47"/>
      <c r="Y40" s="47"/>
      <c r="Z40" s="47"/>
      <c r="AA40" s="80"/>
      <c r="AB40" s="81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82"/>
      <c r="BU40" s="82"/>
      <c r="BV40" s="82"/>
      <c r="BW40" s="82"/>
      <c r="BX40" s="82"/>
      <c r="BY40" s="82"/>
      <c r="BZ40" s="82"/>
      <c r="CA40" s="82"/>
      <c r="CB40" s="82"/>
      <c r="CC40" s="82"/>
      <c r="CD40" s="82"/>
      <c r="CE40" s="82"/>
      <c r="CF40" s="82"/>
      <c r="CG40" s="82"/>
      <c r="CH40" s="82"/>
      <c r="CI40" s="82"/>
      <c r="CJ40" s="82"/>
      <c r="CK40" s="82"/>
      <c r="CL40" s="82"/>
      <c r="CM40" s="82"/>
      <c r="CN40" s="82"/>
      <c r="CO40" s="82"/>
      <c r="CP40" s="82"/>
      <c r="CQ40" s="82"/>
      <c r="CR40" s="82"/>
      <c r="CS40" s="82"/>
      <c r="CT40" s="82"/>
      <c r="CU40" s="82"/>
      <c r="CV40" s="82"/>
    </row>
    <row r="41" ht="20.25" customHeight="1">
      <c r="A41" s="66">
        <v>1.0</v>
      </c>
      <c r="B41" s="50" t="s">
        <v>450</v>
      </c>
      <c r="C41" s="50" t="s">
        <v>451</v>
      </c>
      <c r="D41" s="45" t="s">
        <v>452</v>
      </c>
      <c r="E41" s="47"/>
      <c r="F41" s="47"/>
      <c r="G41" s="47"/>
      <c r="H41" s="47"/>
      <c r="I41" s="47"/>
      <c r="J41" s="47"/>
      <c r="K41" s="51" t="s">
        <v>453</v>
      </c>
      <c r="L41" s="60"/>
      <c r="M41" s="66">
        <v>35700.0</v>
      </c>
      <c r="N41" s="66">
        <v>132.0</v>
      </c>
      <c r="O41" s="66">
        <v>5.0</v>
      </c>
      <c r="P41" s="66">
        <v>355.0</v>
      </c>
      <c r="Q41" s="66" t="s">
        <v>454</v>
      </c>
      <c r="R41" s="66" t="s">
        <v>455</v>
      </c>
      <c r="S41" s="50">
        <f t="shared" si="5"/>
        <v>16.5</v>
      </c>
      <c r="T41" s="50">
        <f t="shared" si="6"/>
        <v>196.5</v>
      </c>
      <c r="U41" s="69">
        <f t="shared" si="7"/>
        <v>11.90909091</v>
      </c>
      <c r="V41" s="70">
        <f t="shared" si="8"/>
        <v>2997.709924</v>
      </c>
      <c r="X41" s="47"/>
      <c r="Y41" s="47"/>
      <c r="Z41" s="47"/>
      <c r="AA41" s="80"/>
      <c r="AB41" s="81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82"/>
    </row>
    <row r="42" ht="20.25" customHeight="1">
      <c r="A42" s="66">
        <v>2.0</v>
      </c>
      <c r="B42" s="50" t="s">
        <v>423</v>
      </c>
      <c r="C42" s="50" t="s">
        <v>457</v>
      </c>
      <c r="D42" s="45" t="s">
        <v>458</v>
      </c>
      <c r="E42" s="47"/>
      <c r="F42" s="47"/>
      <c r="G42" s="47"/>
      <c r="H42" s="47"/>
      <c r="I42" s="179" t="s">
        <v>461</v>
      </c>
      <c r="J42" s="47"/>
      <c r="K42" s="45" t="s">
        <v>464</v>
      </c>
      <c r="L42" s="47"/>
      <c r="M42" s="50">
        <v>15000.0</v>
      </c>
      <c r="N42" s="50">
        <v>124.0</v>
      </c>
      <c r="O42" s="50">
        <v>4.0</v>
      </c>
      <c r="P42" s="50">
        <v>138.0</v>
      </c>
      <c r="Q42" s="50" t="s">
        <v>50</v>
      </c>
      <c r="R42" s="50" t="s">
        <v>466</v>
      </c>
      <c r="S42" s="50">
        <f t="shared" si="5"/>
        <v>15.5</v>
      </c>
      <c r="T42" s="50">
        <f t="shared" si="6"/>
        <v>157.2</v>
      </c>
      <c r="U42" s="69">
        <f t="shared" si="7"/>
        <v>10.14193548</v>
      </c>
      <c r="V42" s="70">
        <f t="shared" si="8"/>
        <v>1479.007634</v>
      </c>
      <c r="X42" s="47"/>
      <c r="Y42" s="47"/>
      <c r="Z42" s="47"/>
      <c r="AA42" s="80"/>
      <c r="AB42" s="81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82"/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2"/>
      <c r="CF42" s="82"/>
      <c r="CG42" s="82"/>
      <c r="CH42" s="82"/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/>
      <c r="CV42" s="82"/>
    </row>
    <row r="43" ht="20.25" customHeight="1">
      <c r="A43" s="66">
        <v>3.0</v>
      </c>
      <c r="B43" s="50" t="s">
        <v>423</v>
      </c>
      <c r="C43" s="50" t="s">
        <v>472</v>
      </c>
      <c r="D43" s="45" t="s">
        <v>458</v>
      </c>
      <c r="E43" s="47"/>
      <c r="F43" s="47"/>
      <c r="G43" s="47"/>
      <c r="H43" s="47"/>
      <c r="I43" s="47"/>
      <c r="J43" s="47"/>
      <c r="K43" s="45" t="s">
        <v>473</v>
      </c>
      <c r="L43" s="47"/>
      <c r="M43" s="50">
        <v>15000.0</v>
      </c>
      <c r="N43" s="50">
        <v>99.0</v>
      </c>
      <c r="O43" s="50">
        <v>4.0</v>
      </c>
      <c r="P43" s="50">
        <v>118.0</v>
      </c>
      <c r="Q43" s="50" t="s">
        <v>50</v>
      </c>
      <c r="R43" s="50" t="s">
        <v>474</v>
      </c>
      <c r="S43" s="50">
        <f t="shared" si="5"/>
        <v>12.375</v>
      </c>
      <c r="T43" s="50">
        <f t="shared" si="6"/>
        <v>157.2</v>
      </c>
      <c r="U43" s="69">
        <f t="shared" si="7"/>
        <v>12.7030303</v>
      </c>
      <c r="V43" s="70">
        <f t="shared" si="8"/>
        <v>1180.820611</v>
      </c>
      <c r="X43" s="47"/>
      <c r="Y43" s="47"/>
      <c r="Z43" s="47"/>
      <c r="AA43" s="80"/>
      <c r="AB43" s="81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82"/>
      <c r="BU43" s="82"/>
      <c r="BV43" s="82"/>
      <c r="BW43" s="82"/>
      <c r="BX43" s="82"/>
      <c r="BY43" s="82"/>
      <c r="BZ43" s="82"/>
      <c r="CA43" s="82"/>
      <c r="CB43" s="82"/>
      <c r="CC43" s="82"/>
      <c r="CD43" s="82"/>
      <c r="CE43" s="82"/>
      <c r="CF43" s="82"/>
      <c r="CG43" s="82"/>
      <c r="CH43" s="82"/>
      <c r="CI43" s="82"/>
      <c r="CJ43" s="82"/>
      <c r="CK43" s="82"/>
      <c r="CL43" s="82"/>
      <c r="CM43" s="82"/>
      <c r="CN43" s="82"/>
      <c r="CO43" s="82"/>
      <c r="CP43" s="82"/>
      <c r="CQ43" s="82"/>
      <c r="CR43" s="82"/>
      <c r="CS43" s="82"/>
      <c r="CT43" s="82"/>
      <c r="CU43" s="82"/>
      <c r="CV43" s="82"/>
    </row>
    <row r="44" ht="20.25" customHeight="1">
      <c r="A44" s="162">
        <v>4.0</v>
      </c>
      <c r="B44" s="50" t="s">
        <v>476</v>
      </c>
      <c r="C44" s="50" t="s">
        <v>477</v>
      </c>
      <c r="D44" s="51" t="s">
        <v>409</v>
      </c>
      <c r="E44" s="47"/>
      <c r="F44" s="109" t="s">
        <v>478</v>
      </c>
      <c r="G44" s="132" t="s">
        <v>479</v>
      </c>
      <c r="H44" s="50">
        <v>25500.0</v>
      </c>
      <c r="I44" s="186" t="s">
        <v>480</v>
      </c>
      <c r="J44" s="85"/>
      <c r="K44" s="45" t="s">
        <v>481</v>
      </c>
      <c r="L44" s="47"/>
      <c r="M44" s="50">
        <v>25500.0</v>
      </c>
      <c r="N44" s="136">
        <v>89.0</v>
      </c>
      <c r="O44" s="136">
        <v>3.0</v>
      </c>
      <c r="P44" s="136">
        <v>125.0</v>
      </c>
      <c r="Q44" s="100" t="s">
        <v>50</v>
      </c>
      <c r="R44" s="136" t="s">
        <v>482</v>
      </c>
      <c r="S44" s="50">
        <f t="shared" si="5"/>
        <v>11.125</v>
      </c>
      <c r="T44" s="50">
        <f t="shared" si="6"/>
        <v>117.9</v>
      </c>
      <c r="U44" s="69">
        <f t="shared" si="7"/>
        <v>10.59775281</v>
      </c>
      <c r="V44" s="70">
        <f t="shared" si="8"/>
        <v>2406.170483</v>
      </c>
      <c r="X44" s="47"/>
      <c r="Y44" s="47"/>
      <c r="Z44" s="47"/>
      <c r="AA44" s="80"/>
      <c r="AB44" s="81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BT44" s="82"/>
      <c r="BU44" s="82"/>
      <c r="BV44" s="82"/>
      <c r="BW44" s="82"/>
      <c r="BX44" s="82"/>
      <c r="BY44" s="82"/>
      <c r="BZ44" s="82"/>
      <c r="CA44" s="82"/>
      <c r="CB44" s="82"/>
      <c r="CC44" s="82"/>
      <c r="CD44" s="82"/>
      <c r="CE44" s="82"/>
      <c r="CF44" s="82"/>
      <c r="CG44" s="82"/>
      <c r="CH44" s="82"/>
      <c r="CI44" s="82"/>
      <c r="CJ44" s="82"/>
      <c r="CK44" s="82"/>
      <c r="CL44" s="82"/>
      <c r="CM44" s="82"/>
      <c r="CN44" s="82"/>
      <c r="CO44" s="82"/>
      <c r="CP44" s="82"/>
      <c r="CQ44" s="82"/>
      <c r="CR44" s="82"/>
      <c r="CS44" s="82"/>
      <c r="CT44" s="82"/>
      <c r="CU44" s="82"/>
      <c r="CV44" s="82"/>
    </row>
    <row r="45" ht="20.25" customHeight="1">
      <c r="A45" s="66">
        <v>18.0</v>
      </c>
      <c r="B45" s="50" t="s">
        <v>484</v>
      </c>
      <c r="C45" s="50" t="s">
        <v>485</v>
      </c>
      <c r="D45" s="45" t="s">
        <v>486</v>
      </c>
      <c r="E45" s="47"/>
      <c r="F45" s="47"/>
      <c r="G45" s="47"/>
      <c r="H45" s="47"/>
      <c r="I45" s="47"/>
      <c r="J45" s="47"/>
      <c r="K45" s="51" t="s">
        <v>487</v>
      </c>
      <c r="L45" s="50" t="s">
        <v>350</v>
      </c>
      <c r="M45" s="50">
        <v>10000.0</v>
      </c>
      <c r="N45" s="50">
        <v>89.0</v>
      </c>
      <c r="O45" s="50">
        <v>6.0</v>
      </c>
      <c r="P45" s="50">
        <v>105.0</v>
      </c>
      <c r="Q45" s="50" t="s">
        <v>488</v>
      </c>
      <c r="R45" s="50" t="s">
        <v>489</v>
      </c>
      <c r="S45" s="50">
        <f t="shared" si="5"/>
        <v>11.125</v>
      </c>
      <c r="T45" s="50">
        <f t="shared" si="6"/>
        <v>235.8</v>
      </c>
      <c r="U45" s="69">
        <f t="shared" si="7"/>
        <v>21.19550562</v>
      </c>
      <c r="V45" s="70">
        <f t="shared" si="8"/>
        <v>471.798134</v>
      </c>
      <c r="X45" s="47"/>
      <c r="Y45" s="47"/>
      <c r="Z45" s="47"/>
      <c r="AA45" s="80"/>
      <c r="AB45" s="81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U45" s="82"/>
      <c r="BV45" s="82"/>
      <c r="BW45" s="82"/>
      <c r="BX45" s="82"/>
      <c r="BY45" s="82"/>
      <c r="BZ45" s="82"/>
      <c r="CA45" s="82"/>
      <c r="CB45" s="82"/>
      <c r="CC45" s="82"/>
      <c r="CD45" s="82"/>
      <c r="CE45" s="82"/>
      <c r="CF45" s="82"/>
      <c r="CG45" s="82"/>
      <c r="CH45" s="82"/>
      <c r="CI45" s="82"/>
      <c r="CJ45" s="82"/>
      <c r="CK45" s="82"/>
      <c r="CL45" s="82"/>
      <c r="CM45" s="82"/>
      <c r="CN45" s="82"/>
      <c r="CO45" s="82"/>
      <c r="CP45" s="82"/>
      <c r="CQ45" s="82"/>
      <c r="CR45" s="82"/>
      <c r="CS45" s="82"/>
      <c r="CT45" s="82"/>
      <c r="CU45" s="82"/>
      <c r="CV45" s="82"/>
    </row>
    <row r="46" ht="20.25" customHeight="1">
      <c r="A46" s="66">
        <v>63.0</v>
      </c>
      <c r="B46" s="50" t="s">
        <v>491</v>
      </c>
      <c r="C46" s="66" t="s">
        <v>492</v>
      </c>
      <c r="D46" s="51" t="s">
        <v>67</v>
      </c>
      <c r="E46" s="146"/>
      <c r="F46" s="147">
        <v>5.400092222E9</v>
      </c>
      <c r="G46" s="149" t="s">
        <v>493</v>
      </c>
      <c r="H46" s="149">
        <v>5000.0</v>
      </c>
      <c r="I46" s="146"/>
      <c r="J46" s="50">
        <v>202590.0</v>
      </c>
      <c r="K46" s="45" t="s">
        <v>293</v>
      </c>
      <c r="L46" s="50" t="s">
        <v>234</v>
      </c>
      <c r="M46" s="150">
        <v>1000.0</v>
      </c>
      <c r="N46" s="52">
        <v>92.0</v>
      </c>
      <c r="O46" s="52">
        <v>1.0</v>
      </c>
      <c r="P46" s="52">
        <v>180.0</v>
      </c>
      <c r="Q46" s="50" t="s">
        <v>213</v>
      </c>
      <c r="R46" s="52" t="s">
        <v>296</v>
      </c>
      <c r="S46" s="50">
        <f t="shared" si="5"/>
        <v>11.5</v>
      </c>
      <c r="T46" s="50">
        <f t="shared" si="6"/>
        <v>39.3</v>
      </c>
      <c r="U46" s="69">
        <f t="shared" si="7"/>
        <v>3.417391304</v>
      </c>
      <c r="V46" s="70">
        <f t="shared" si="8"/>
        <v>292.6208651</v>
      </c>
      <c r="X46" s="60"/>
      <c r="Y46" s="60"/>
      <c r="Z46" s="60"/>
      <c r="AA46" s="80"/>
      <c r="AB46" s="81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  <c r="BW46" s="82"/>
      <c r="BX46" s="82"/>
      <c r="BY46" s="82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82"/>
      <c r="CN46" s="82"/>
      <c r="CO46" s="82"/>
      <c r="CP46" s="82"/>
      <c r="CQ46" s="82"/>
      <c r="CR46" s="82"/>
      <c r="CS46" s="82"/>
      <c r="CT46" s="82"/>
      <c r="CU46" s="82"/>
      <c r="CV46" s="82"/>
    </row>
    <row r="47" ht="20.25" customHeight="1">
      <c r="A47" s="66">
        <v>2.0</v>
      </c>
      <c r="B47" s="50" t="s">
        <v>495</v>
      </c>
      <c r="C47" s="50" t="s">
        <v>496</v>
      </c>
      <c r="D47" s="45" t="s">
        <v>247</v>
      </c>
      <c r="E47" s="47"/>
      <c r="F47" s="64" t="s">
        <v>328</v>
      </c>
      <c r="G47" s="187">
        <v>46299.0</v>
      </c>
      <c r="H47" s="125">
        <v>10000.0</v>
      </c>
      <c r="I47" s="47"/>
      <c r="J47" s="47"/>
      <c r="K47" s="45" t="s">
        <v>497</v>
      </c>
      <c r="L47" s="50" t="s">
        <v>252</v>
      </c>
      <c r="M47" s="50">
        <v>10000.0</v>
      </c>
      <c r="N47" s="50">
        <v>124.0</v>
      </c>
      <c r="O47" s="50">
        <v>6.0</v>
      </c>
      <c r="P47" s="50">
        <v>230.0</v>
      </c>
      <c r="Q47" s="100" t="s">
        <v>63</v>
      </c>
      <c r="R47" s="50" t="s">
        <v>341</v>
      </c>
      <c r="S47" s="50">
        <f t="shared" si="5"/>
        <v>15.5</v>
      </c>
      <c r="T47" s="50">
        <f t="shared" si="6"/>
        <v>235.8</v>
      </c>
      <c r="U47" s="69">
        <f t="shared" si="7"/>
        <v>15.21290323</v>
      </c>
      <c r="V47" s="70">
        <f t="shared" si="8"/>
        <v>657.336726</v>
      </c>
      <c r="X47" s="47"/>
      <c r="Y47" s="47"/>
      <c r="Z47" s="47"/>
      <c r="AA47" s="80"/>
      <c r="AB47" s="81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82"/>
      <c r="CU47" s="82"/>
      <c r="CV47" s="82"/>
    </row>
    <row r="48" ht="20.25" customHeight="1">
      <c r="A48" s="50">
        <v>3.0</v>
      </c>
      <c r="B48" s="50" t="s">
        <v>495</v>
      </c>
      <c r="C48" s="50" t="s">
        <v>499</v>
      </c>
      <c r="D48" s="45" t="s">
        <v>247</v>
      </c>
      <c r="E48" s="47"/>
      <c r="F48" s="64" t="s">
        <v>328</v>
      </c>
      <c r="G48" s="187">
        <v>46299.0</v>
      </c>
      <c r="H48" s="188">
        <v>15000.0</v>
      </c>
      <c r="I48" s="63"/>
      <c r="J48" s="47"/>
      <c r="K48" s="145" t="s">
        <v>500</v>
      </c>
      <c r="L48" s="50" t="s">
        <v>252</v>
      </c>
      <c r="M48" s="100">
        <v>15000.0</v>
      </c>
      <c r="N48" s="100">
        <v>92.0</v>
      </c>
      <c r="O48" s="100">
        <v>4.0</v>
      </c>
      <c r="P48" s="100">
        <v>140.0</v>
      </c>
      <c r="Q48" s="50" t="s">
        <v>63</v>
      </c>
      <c r="R48" s="100" t="s">
        <v>501</v>
      </c>
      <c r="S48" s="126">
        <f t="shared" si="5"/>
        <v>11.5</v>
      </c>
      <c r="T48" s="126">
        <f t="shared" si="6"/>
        <v>157.2</v>
      </c>
      <c r="U48" s="127">
        <f t="shared" si="7"/>
        <v>13.66956522</v>
      </c>
      <c r="V48" s="128">
        <f t="shared" si="8"/>
        <v>1097.328244</v>
      </c>
      <c r="X48" s="47"/>
      <c r="Y48" s="47"/>
      <c r="Z48" s="47"/>
      <c r="AA48" s="80"/>
      <c r="AB48" s="81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BU48" s="82"/>
      <c r="BV48" s="82"/>
      <c r="BW48" s="82"/>
      <c r="BX48" s="82"/>
      <c r="BY48" s="82"/>
      <c r="BZ48" s="82"/>
      <c r="CA48" s="82"/>
      <c r="CB48" s="82"/>
      <c r="CC48" s="82"/>
      <c r="CD48" s="82"/>
      <c r="CE48" s="82"/>
      <c r="CF48" s="82"/>
      <c r="CG48" s="82"/>
      <c r="CH48" s="82"/>
      <c r="CI48" s="82"/>
      <c r="CJ48" s="82"/>
      <c r="CK48" s="82"/>
      <c r="CL48" s="82"/>
      <c r="CM48" s="82"/>
      <c r="CN48" s="82"/>
      <c r="CO48" s="82"/>
      <c r="CP48" s="82"/>
      <c r="CQ48" s="82"/>
      <c r="CR48" s="82"/>
      <c r="CS48" s="82"/>
      <c r="CT48" s="82"/>
      <c r="CU48" s="82"/>
      <c r="CV48" s="82"/>
    </row>
    <row r="49" ht="20.25" customHeight="1">
      <c r="A49" s="66">
        <v>4.0</v>
      </c>
      <c r="B49" s="50" t="s">
        <v>476</v>
      </c>
      <c r="C49" s="50" t="s">
        <v>503</v>
      </c>
      <c r="D49" s="45" t="s">
        <v>486</v>
      </c>
      <c r="E49" s="47"/>
      <c r="F49" s="189" t="s">
        <v>504</v>
      </c>
      <c r="G49" s="190" t="s">
        <v>52</v>
      </c>
      <c r="H49" s="125">
        <v>210000.0</v>
      </c>
      <c r="I49" s="47"/>
      <c r="J49" s="47"/>
      <c r="K49" s="51" t="s">
        <v>505</v>
      </c>
      <c r="L49" s="60"/>
      <c r="M49" s="66">
        <v>210000.0</v>
      </c>
      <c r="N49" s="66">
        <v>92.0</v>
      </c>
      <c r="O49" s="66">
        <v>18.0</v>
      </c>
      <c r="P49" s="66">
        <v>138.0</v>
      </c>
      <c r="Q49" s="66" t="s">
        <v>63</v>
      </c>
      <c r="R49" s="66" t="s">
        <v>506</v>
      </c>
      <c r="S49" s="50">
        <f t="shared" si="5"/>
        <v>11.5</v>
      </c>
      <c r="T49" s="50">
        <f t="shared" si="6"/>
        <v>707.4</v>
      </c>
      <c r="U49" s="69">
        <f t="shared" si="7"/>
        <v>61.51304348</v>
      </c>
      <c r="V49" s="70">
        <f t="shared" si="8"/>
        <v>3413.910093</v>
      </c>
      <c r="X49" s="47"/>
      <c r="Y49" s="47"/>
      <c r="Z49" s="47"/>
      <c r="AA49" s="80"/>
      <c r="AB49" s="81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  <c r="BT49" s="82"/>
      <c r="BU49" s="82"/>
      <c r="BV49" s="82"/>
      <c r="BW49" s="82"/>
      <c r="BX49" s="82"/>
      <c r="BY49" s="82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82"/>
      <c r="CU49" s="82"/>
      <c r="CV49" s="82"/>
    </row>
    <row r="50" ht="20.25" customHeight="1">
      <c r="A50" s="50">
        <v>35.0</v>
      </c>
      <c r="B50" s="50" t="s">
        <v>508</v>
      </c>
      <c r="C50" s="50" t="s">
        <v>509</v>
      </c>
      <c r="D50" s="45" t="s">
        <v>510</v>
      </c>
      <c r="E50" s="47"/>
      <c r="F50" s="47"/>
      <c r="G50" s="47"/>
      <c r="H50" s="47"/>
      <c r="I50" s="47"/>
      <c r="J50" s="47"/>
      <c r="K50" s="45" t="s">
        <v>511</v>
      </c>
      <c r="L50" s="47"/>
      <c r="M50" s="50">
        <v>13970.0</v>
      </c>
      <c r="N50" s="50">
        <v>180.0</v>
      </c>
      <c r="O50" s="50">
        <v>4.0</v>
      </c>
      <c r="P50" s="50">
        <v>230.0</v>
      </c>
      <c r="Q50" s="50" t="s">
        <v>512</v>
      </c>
      <c r="R50" s="50" t="s">
        <v>513</v>
      </c>
      <c r="S50" s="50">
        <f t="shared" si="5"/>
        <v>22.5</v>
      </c>
      <c r="T50" s="50">
        <f t="shared" si="6"/>
        <v>157.2</v>
      </c>
      <c r="U50" s="69">
        <f t="shared" si="7"/>
        <v>6.986666667</v>
      </c>
      <c r="V50" s="70">
        <f t="shared" si="8"/>
        <v>1999.522901</v>
      </c>
      <c r="X50" s="47"/>
      <c r="Y50" s="47"/>
      <c r="Z50" s="47"/>
      <c r="AA50" s="80"/>
      <c r="AB50" s="81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82"/>
      <c r="CU50" s="82"/>
      <c r="CV50" s="82"/>
    </row>
    <row r="51" ht="20.25" customHeight="1">
      <c r="A51" s="66">
        <v>12.0</v>
      </c>
      <c r="B51" s="57">
        <v>46269.0</v>
      </c>
      <c r="C51" s="66" t="s">
        <v>516</v>
      </c>
      <c r="D51" s="51" t="s">
        <v>67</v>
      </c>
      <c r="E51" s="146"/>
      <c r="F51" s="162" t="s">
        <v>519</v>
      </c>
      <c r="G51" s="162" t="s">
        <v>521</v>
      </c>
      <c r="H51" s="162" t="s">
        <v>522</v>
      </c>
      <c r="I51" s="146"/>
      <c r="J51" s="50">
        <v>203074.0</v>
      </c>
      <c r="K51" s="51" t="s">
        <v>523</v>
      </c>
      <c r="L51" s="50" t="s">
        <v>258</v>
      </c>
      <c r="M51" s="122">
        <v>10200.0</v>
      </c>
      <c r="N51" s="50">
        <v>108.0</v>
      </c>
      <c r="O51" s="50">
        <v>2.0</v>
      </c>
      <c r="P51" s="50">
        <v>125.0</v>
      </c>
      <c r="Q51" s="50" t="s">
        <v>524</v>
      </c>
      <c r="R51" s="50" t="s">
        <v>178</v>
      </c>
      <c r="S51" s="50">
        <f t="shared" si="5"/>
        <v>13.5</v>
      </c>
      <c r="T51" s="50">
        <f t="shared" si="6"/>
        <v>78.6</v>
      </c>
      <c r="U51" s="69">
        <f t="shared" si="7"/>
        <v>5.822222222</v>
      </c>
      <c r="V51" s="70">
        <f t="shared" si="8"/>
        <v>1751.908397</v>
      </c>
      <c r="X51" s="60"/>
      <c r="Y51" s="60"/>
      <c r="Z51" s="60"/>
      <c r="AA51" s="80"/>
      <c r="AB51" s="81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/>
      <c r="CU51" s="82"/>
      <c r="CV51" s="82"/>
    </row>
    <row r="52" ht="20.25" customHeight="1">
      <c r="A52" s="66">
        <v>10.0</v>
      </c>
      <c r="B52" s="57">
        <v>46269.0</v>
      </c>
      <c r="C52" s="66" t="s">
        <v>525</v>
      </c>
      <c r="D52" s="51" t="s">
        <v>67</v>
      </c>
      <c r="E52" s="146"/>
      <c r="F52" s="162" t="s">
        <v>526</v>
      </c>
      <c r="G52" s="162" t="s">
        <v>527</v>
      </c>
      <c r="H52" s="162" t="s">
        <v>528</v>
      </c>
      <c r="I52" s="146"/>
      <c r="J52" s="50">
        <v>206508.0</v>
      </c>
      <c r="K52" s="51" t="s">
        <v>529</v>
      </c>
      <c r="L52" s="50" t="s">
        <v>258</v>
      </c>
      <c r="M52" s="122">
        <v>5800.0</v>
      </c>
      <c r="N52" s="50">
        <v>108.0</v>
      </c>
      <c r="O52" s="50">
        <v>2.0</v>
      </c>
      <c r="P52" s="50">
        <v>125.0</v>
      </c>
      <c r="Q52" s="50" t="s">
        <v>524</v>
      </c>
      <c r="R52" s="50" t="s">
        <v>178</v>
      </c>
      <c r="S52" s="50">
        <f t="shared" si="5"/>
        <v>13.5</v>
      </c>
      <c r="T52" s="50">
        <f t="shared" si="6"/>
        <v>78.6</v>
      </c>
      <c r="U52" s="69">
        <f t="shared" si="7"/>
        <v>5.822222222</v>
      </c>
      <c r="V52" s="70">
        <f t="shared" si="8"/>
        <v>996.1832061</v>
      </c>
      <c r="X52" s="60"/>
      <c r="Y52" s="60"/>
      <c r="Z52" s="60"/>
      <c r="AA52" s="80"/>
      <c r="AB52" s="81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U52" s="82"/>
      <c r="BV52" s="82"/>
      <c r="BW52" s="82"/>
      <c r="BX52" s="82"/>
      <c r="BY52" s="82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82"/>
      <c r="CU52" s="82"/>
      <c r="CV52" s="82"/>
    </row>
    <row r="53" ht="20.25" customHeight="1">
      <c r="A53" s="66">
        <v>4.0</v>
      </c>
      <c r="B53" s="57">
        <v>46269.0</v>
      </c>
      <c r="C53" s="66" t="s">
        <v>530</v>
      </c>
      <c r="D53" s="51" t="s">
        <v>67</v>
      </c>
      <c r="E53" s="47"/>
      <c r="F53" s="50" t="s">
        <v>519</v>
      </c>
      <c r="G53" s="50" t="s">
        <v>531</v>
      </c>
      <c r="H53" s="50" t="s">
        <v>532</v>
      </c>
      <c r="I53" s="47"/>
      <c r="J53" s="50">
        <v>206367.0</v>
      </c>
      <c r="K53" s="51" t="s">
        <v>533</v>
      </c>
      <c r="L53" s="50" t="s">
        <v>258</v>
      </c>
      <c r="M53" s="122">
        <v>3000.0</v>
      </c>
      <c r="N53" s="50">
        <v>108.0</v>
      </c>
      <c r="O53" s="50">
        <v>2.0</v>
      </c>
      <c r="P53" s="50">
        <v>125.0</v>
      </c>
      <c r="Q53" s="50" t="s">
        <v>524</v>
      </c>
      <c r="R53" s="50" t="s">
        <v>178</v>
      </c>
      <c r="S53" s="50">
        <f t="shared" si="5"/>
        <v>13.5</v>
      </c>
      <c r="T53" s="50">
        <f t="shared" si="6"/>
        <v>78.6</v>
      </c>
      <c r="U53" s="69">
        <f t="shared" si="7"/>
        <v>5.822222222</v>
      </c>
      <c r="V53" s="70">
        <f t="shared" si="8"/>
        <v>515.2671756</v>
      </c>
      <c r="X53" s="47"/>
      <c r="Y53" s="47"/>
      <c r="Z53" s="47"/>
      <c r="AA53" s="80"/>
      <c r="AB53" s="81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2"/>
      <c r="BU53" s="82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82"/>
      <c r="CL53" s="82"/>
      <c r="CM53" s="82"/>
      <c r="CN53" s="82"/>
      <c r="CO53" s="82"/>
      <c r="CP53" s="82"/>
      <c r="CQ53" s="82"/>
      <c r="CR53" s="82"/>
      <c r="CS53" s="82"/>
      <c r="CT53" s="82"/>
      <c r="CU53" s="82"/>
      <c r="CV53" s="82"/>
    </row>
    <row r="54" ht="20.25" customHeight="1">
      <c r="A54" s="66">
        <v>5.0</v>
      </c>
      <c r="B54" s="57">
        <v>46269.0</v>
      </c>
      <c r="C54" s="66" t="s">
        <v>534</v>
      </c>
      <c r="D54" s="51" t="s">
        <v>67</v>
      </c>
      <c r="E54" s="146"/>
      <c r="F54" s="162">
        <v>5.400091672E9</v>
      </c>
      <c r="G54" s="162" t="s">
        <v>535</v>
      </c>
      <c r="H54" s="162">
        <v>11270.0</v>
      </c>
      <c r="I54" s="146"/>
      <c r="J54" s="50">
        <v>205944.0</v>
      </c>
      <c r="K54" s="51" t="s">
        <v>536</v>
      </c>
      <c r="L54" s="50" t="s">
        <v>258</v>
      </c>
      <c r="M54" s="122">
        <v>5000.0</v>
      </c>
      <c r="N54" s="50">
        <v>108.0</v>
      </c>
      <c r="O54" s="50">
        <v>2.0</v>
      </c>
      <c r="P54" s="50">
        <v>125.0</v>
      </c>
      <c r="Q54" s="50" t="s">
        <v>524</v>
      </c>
      <c r="R54" s="50" t="s">
        <v>178</v>
      </c>
      <c r="S54" s="50">
        <f t="shared" si="5"/>
        <v>13.5</v>
      </c>
      <c r="T54" s="50">
        <f t="shared" si="6"/>
        <v>78.6</v>
      </c>
      <c r="U54" s="69">
        <f t="shared" si="7"/>
        <v>5.822222222</v>
      </c>
      <c r="V54" s="70">
        <f t="shared" si="8"/>
        <v>858.778626</v>
      </c>
      <c r="X54" s="60"/>
      <c r="Y54" s="60"/>
      <c r="Z54" s="60"/>
      <c r="AA54" s="80"/>
      <c r="AB54" s="81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/>
      <c r="BX54" s="82"/>
      <c r="BY54" s="82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82"/>
      <c r="CU54" s="82"/>
      <c r="CV54" s="82"/>
    </row>
    <row r="55" ht="20.25" customHeight="1">
      <c r="A55" s="66">
        <v>6.0</v>
      </c>
      <c r="B55" s="50" t="s">
        <v>538</v>
      </c>
      <c r="C55" s="66" t="s">
        <v>539</v>
      </c>
      <c r="D55" s="51" t="s">
        <v>67</v>
      </c>
      <c r="E55" s="146"/>
      <c r="F55" s="162">
        <v>5.400092348E9</v>
      </c>
      <c r="G55" s="162" t="s">
        <v>540</v>
      </c>
      <c r="H55" s="149">
        <v>4000.0</v>
      </c>
      <c r="I55" s="146"/>
      <c r="J55" s="134">
        <v>206931.0</v>
      </c>
      <c r="K55" s="135" t="s">
        <v>172</v>
      </c>
      <c r="L55" s="136" t="s">
        <v>258</v>
      </c>
      <c r="M55" s="192">
        <v>3000.0</v>
      </c>
      <c r="N55" s="50">
        <v>108.0</v>
      </c>
      <c r="O55" s="50">
        <v>2.0</v>
      </c>
      <c r="P55" s="50">
        <v>125.0</v>
      </c>
      <c r="Q55" s="50" t="s">
        <v>524</v>
      </c>
      <c r="R55" s="50" t="s">
        <v>178</v>
      </c>
      <c r="S55" s="50">
        <f t="shared" si="5"/>
        <v>13.5</v>
      </c>
      <c r="T55" s="50">
        <f t="shared" si="6"/>
        <v>78.6</v>
      </c>
      <c r="U55" s="69">
        <f t="shared" si="7"/>
        <v>5.822222222</v>
      </c>
      <c r="V55" s="70">
        <f t="shared" si="8"/>
        <v>515.2671756</v>
      </c>
      <c r="X55" s="60"/>
      <c r="Y55" s="60"/>
      <c r="Z55" s="60"/>
      <c r="AA55" s="80"/>
      <c r="AB55" s="81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82"/>
      <c r="CU55" s="82"/>
      <c r="CV55" s="82"/>
    </row>
    <row r="56" ht="20.25" customHeight="1">
      <c r="A56" s="66">
        <v>7.0</v>
      </c>
      <c r="B56" s="50" t="s">
        <v>508</v>
      </c>
      <c r="C56" s="66" t="s">
        <v>541</v>
      </c>
      <c r="D56" s="51" t="s">
        <v>67</v>
      </c>
      <c r="E56" s="146"/>
      <c r="F56" s="162">
        <v>5.400092348E9</v>
      </c>
      <c r="G56" s="162" t="s">
        <v>540</v>
      </c>
      <c r="H56" s="149">
        <v>5000.0</v>
      </c>
      <c r="I56" s="146"/>
      <c r="J56" s="134">
        <v>207041.0</v>
      </c>
      <c r="K56" s="135" t="s">
        <v>542</v>
      </c>
      <c r="L56" s="136" t="s">
        <v>258</v>
      </c>
      <c r="M56" s="136">
        <v>5000.0</v>
      </c>
      <c r="N56" s="50">
        <v>108.0</v>
      </c>
      <c r="O56" s="50">
        <v>2.0</v>
      </c>
      <c r="P56" s="50">
        <v>125.0</v>
      </c>
      <c r="Q56" s="50" t="s">
        <v>63</v>
      </c>
      <c r="R56" s="50" t="s">
        <v>178</v>
      </c>
      <c r="S56" s="50">
        <f t="shared" si="5"/>
        <v>13.5</v>
      </c>
      <c r="T56" s="50">
        <f t="shared" si="6"/>
        <v>78.6</v>
      </c>
      <c r="U56" s="69">
        <f t="shared" si="7"/>
        <v>5.822222222</v>
      </c>
      <c r="V56" s="70">
        <f t="shared" si="8"/>
        <v>858.778626</v>
      </c>
      <c r="X56" s="60"/>
      <c r="Y56" s="60"/>
      <c r="Z56" s="60"/>
      <c r="AA56" s="80"/>
      <c r="AB56" s="81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2"/>
      <c r="BU56" s="82"/>
      <c r="BV56" s="82"/>
      <c r="BW56" s="82"/>
      <c r="BX56" s="82"/>
      <c r="BY56" s="82"/>
      <c r="BZ56" s="82"/>
      <c r="CA56" s="82"/>
      <c r="CB56" s="82"/>
      <c r="CC56" s="82"/>
      <c r="CD56" s="82"/>
      <c r="CE56" s="82"/>
      <c r="CF56" s="82"/>
      <c r="CG56" s="82"/>
      <c r="CH56" s="82"/>
      <c r="CI56" s="82"/>
      <c r="CJ56" s="82"/>
      <c r="CK56" s="82"/>
      <c r="CL56" s="82"/>
      <c r="CM56" s="82"/>
      <c r="CN56" s="82"/>
      <c r="CO56" s="82"/>
      <c r="CP56" s="82"/>
      <c r="CQ56" s="82"/>
      <c r="CR56" s="82"/>
      <c r="CS56" s="82"/>
      <c r="CT56" s="82"/>
      <c r="CU56" s="82"/>
      <c r="CV56" s="82"/>
    </row>
    <row r="57" ht="20.25" customHeight="1">
      <c r="A57" s="66">
        <v>13.0</v>
      </c>
      <c r="B57" s="50" t="s">
        <v>543</v>
      </c>
      <c r="C57" s="50" t="s">
        <v>544</v>
      </c>
      <c r="D57" s="45" t="s">
        <v>545</v>
      </c>
      <c r="E57" s="47"/>
      <c r="F57" s="47"/>
      <c r="G57" s="47"/>
      <c r="H57" s="47"/>
      <c r="I57" s="47"/>
      <c r="J57" s="47"/>
      <c r="K57" s="51" t="s">
        <v>546</v>
      </c>
      <c r="L57" s="47"/>
      <c r="M57" s="47"/>
      <c r="N57" s="50">
        <v>79.0</v>
      </c>
      <c r="O57" s="50">
        <v>2.0</v>
      </c>
      <c r="P57" s="50">
        <v>430.0</v>
      </c>
      <c r="Q57" s="50" t="s">
        <v>73</v>
      </c>
      <c r="R57" s="50" t="s">
        <v>547</v>
      </c>
      <c r="S57" s="50">
        <f t="shared" si="5"/>
        <v>9.875</v>
      </c>
      <c r="T57" s="50">
        <f t="shared" si="6"/>
        <v>78.6</v>
      </c>
      <c r="U57" s="69">
        <f t="shared" si="7"/>
        <v>7.959493671</v>
      </c>
      <c r="V57" s="70">
        <f t="shared" si="8"/>
        <v>0</v>
      </c>
      <c r="X57" s="47"/>
      <c r="Y57" s="47"/>
      <c r="Z57" s="47"/>
      <c r="AA57" s="80"/>
      <c r="AB57" s="81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2"/>
      <c r="BV57" s="82"/>
      <c r="BW57" s="82"/>
      <c r="BX57" s="82"/>
      <c r="BY57" s="82"/>
      <c r="BZ57" s="82"/>
      <c r="CA57" s="82"/>
      <c r="CB57" s="82"/>
      <c r="CC57" s="82"/>
      <c r="CD57" s="82"/>
      <c r="CE57" s="82"/>
      <c r="CF57" s="82"/>
      <c r="CG57" s="82"/>
      <c r="CH57" s="82"/>
      <c r="CI57" s="82"/>
      <c r="CJ57" s="82"/>
      <c r="CK57" s="82"/>
      <c r="CL57" s="82"/>
      <c r="CM57" s="82"/>
      <c r="CN57" s="82"/>
      <c r="CO57" s="82"/>
      <c r="CP57" s="82"/>
      <c r="CQ57" s="82"/>
      <c r="CR57" s="82"/>
      <c r="CS57" s="82"/>
      <c r="CT57" s="82"/>
      <c r="CU57" s="82"/>
      <c r="CV57" s="82"/>
    </row>
    <row r="58" ht="20.25" customHeight="1">
      <c r="A58" s="66">
        <v>5.0</v>
      </c>
      <c r="B58" s="50" t="s">
        <v>548</v>
      </c>
      <c r="C58" s="50" t="s">
        <v>549</v>
      </c>
      <c r="D58" s="45" t="s">
        <v>67</v>
      </c>
      <c r="E58" s="47"/>
      <c r="F58" s="47"/>
      <c r="G58" s="47"/>
      <c r="H58" s="47"/>
      <c r="I58" s="47"/>
      <c r="J58" s="47"/>
      <c r="K58" s="45" t="s">
        <v>70</v>
      </c>
      <c r="L58" s="47"/>
      <c r="M58" s="50">
        <v>3000.0</v>
      </c>
      <c r="N58" s="50">
        <v>79.0</v>
      </c>
      <c r="O58" s="50">
        <v>3.0</v>
      </c>
      <c r="P58" s="50">
        <v>100.0</v>
      </c>
      <c r="Q58" s="50" t="s">
        <v>50</v>
      </c>
      <c r="R58" s="50" t="s">
        <v>71</v>
      </c>
      <c r="S58" s="50">
        <f t="shared" si="5"/>
        <v>9.875</v>
      </c>
      <c r="T58" s="50">
        <f t="shared" si="6"/>
        <v>117.9</v>
      </c>
      <c r="U58" s="69">
        <f t="shared" si="7"/>
        <v>11.93924051</v>
      </c>
      <c r="V58" s="70">
        <f t="shared" si="8"/>
        <v>251.2722646</v>
      </c>
      <c r="X58" s="47"/>
      <c r="Y58" s="47"/>
      <c r="Z58" s="47"/>
      <c r="AA58" s="80"/>
      <c r="AB58" s="81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2"/>
      <c r="BU58" s="82"/>
      <c r="BV58" s="82"/>
      <c r="BW58" s="82"/>
      <c r="BX58" s="82"/>
      <c r="BY58" s="82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2"/>
      <c r="CL58" s="82"/>
      <c r="CM58" s="82"/>
      <c r="CN58" s="82"/>
      <c r="CO58" s="82"/>
      <c r="CP58" s="82"/>
      <c r="CQ58" s="82"/>
      <c r="CR58" s="82"/>
      <c r="CS58" s="82"/>
      <c r="CT58" s="82"/>
      <c r="CU58" s="82"/>
      <c r="CV58" s="82"/>
    </row>
    <row r="59" ht="20.25" customHeight="1">
      <c r="A59" s="66">
        <v>4.0</v>
      </c>
      <c r="B59" s="50" t="s">
        <v>550</v>
      </c>
      <c r="C59" s="50" t="s">
        <v>551</v>
      </c>
      <c r="D59" s="51" t="s">
        <v>67</v>
      </c>
      <c r="E59" s="47"/>
      <c r="F59" s="50">
        <v>5.400092326E9</v>
      </c>
      <c r="G59" s="50" t="s">
        <v>552</v>
      </c>
      <c r="H59" s="50">
        <v>860.0</v>
      </c>
      <c r="I59" s="125" t="s">
        <v>553</v>
      </c>
      <c r="J59" s="194">
        <v>208125.0</v>
      </c>
      <c r="K59" s="51" t="s">
        <v>554</v>
      </c>
      <c r="L59" s="50" t="s">
        <v>376</v>
      </c>
      <c r="M59" s="50">
        <v>860.0</v>
      </c>
      <c r="N59" s="47"/>
      <c r="O59" s="47"/>
      <c r="P59" s="47"/>
      <c r="Q59" s="100" t="s">
        <v>63</v>
      </c>
      <c r="R59" s="50" t="s">
        <v>555</v>
      </c>
      <c r="S59" s="50">
        <f t="shared" si="5"/>
        <v>0</v>
      </c>
      <c r="T59" s="50">
        <f t="shared" si="6"/>
        <v>0</v>
      </c>
      <c r="U59" s="69" t="str">
        <f t="shared" si="7"/>
        <v>#DIV/0!</v>
      </c>
      <c r="V59" s="70" t="str">
        <f t="shared" si="8"/>
        <v>#DIV/0!</v>
      </c>
      <c r="X59" s="47"/>
      <c r="Y59" s="47"/>
      <c r="Z59" s="47"/>
      <c r="AA59" s="80"/>
      <c r="AB59" s="81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  <c r="BT59" s="82"/>
      <c r="BU59" s="82"/>
      <c r="BV59" s="82"/>
      <c r="BW59" s="82"/>
      <c r="BX59" s="82"/>
      <c r="BY59" s="82"/>
      <c r="BZ59" s="82"/>
      <c r="CA59" s="82"/>
      <c r="CB59" s="82"/>
      <c r="CC59" s="82"/>
      <c r="CD59" s="82"/>
      <c r="CE59" s="82"/>
      <c r="CF59" s="82"/>
      <c r="CG59" s="82"/>
      <c r="CH59" s="82"/>
      <c r="CI59" s="82"/>
      <c r="CJ59" s="82"/>
      <c r="CK59" s="82"/>
      <c r="CL59" s="82"/>
      <c r="CM59" s="82"/>
      <c r="CN59" s="82"/>
      <c r="CO59" s="82"/>
      <c r="CP59" s="82"/>
      <c r="CQ59" s="82"/>
      <c r="CR59" s="82"/>
      <c r="CS59" s="82"/>
      <c r="CT59" s="82"/>
      <c r="CU59" s="82"/>
      <c r="CV59" s="82"/>
    </row>
    <row r="60" ht="20.25" customHeight="1">
      <c r="A60" s="66">
        <v>5.0</v>
      </c>
      <c r="B60" s="50" t="s">
        <v>550</v>
      </c>
      <c r="C60" s="50" t="s">
        <v>556</v>
      </c>
      <c r="D60" s="51" t="s">
        <v>67</v>
      </c>
      <c r="E60" s="47"/>
      <c r="F60" s="50">
        <v>5.400092326E9</v>
      </c>
      <c r="G60" s="50" t="s">
        <v>552</v>
      </c>
      <c r="H60" s="50">
        <v>860.0</v>
      </c>
      <c r="I60" s="125" t="s">
        <v>553</v>
      </c>
      <c r="J60" s="194">
        <v>208125.0</v>
      </c>
      <c r="K60" s="51" t="s">
        <v>557</v>
      </c>
      <c r="L60" s="50" t="s">
        <v>376</v>
      </c>
      <c r="M60" s="50">
        <v>860.0</v>
      </c>
      <c r="N60" s="47"/>
      <c r="O60" s="47"/>
      <c r="P60" s="47"/>
      <c r="Q60" s="100" t="s">
        <v>63</v>
      </c>
      <c r="R60" s="50" t="s">
        <v>555</v>
      </c>
      <c r="S60" s="50">
        <f t="shared" si="5"/>
        <v>0</v>
      </c>
      <c r="T60" s="50">
        <f t="shared" si="6"/>
        <v>0</v>
      </c>
      <c r="U60" s="69" t="str">
        <f t="shared" si="7"/>
        <v>#DIV/0!</v>
      </c>
      <c r="V60" s="70" t="str">
        <f t="shared" si="8"/>
        <v>#DIV/0!</v>
      </c>
      <c r="X60" s="47"/>
      <c r="Y60" s="47"/>
      <c r="Z60" s="47"/>
      <c r="AA60" s="80"/>
      <c r="AB60" s="81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T60" s="82"/>
      <c r="BU60" s="82"/>
      <c r="BV60" s="82"/>
      <c r="BW60" s="82"/>
      <c r="BX60" s="82"/>
      <c r="BY60" s="82"/>
      <c r="BZ60" s="82"/>
      <c r="CA60" s="82"/>
      <c r="CB60" s="82"/>
      <c r="CC60" s="82"/>
      <c r="CD60" s="82"/>
      <c r="CE60" s="82"/>
      <c r="CF60" s="82"/>
      <c r="CG60" s="82"/>
      <c r="CH60" s="82"/>
      <c r="CI60" s="82"/>
      <c r="CJ60" s="82"/>
      <c r="CK60" s="82"/>
      <c r="CL60" s="82"/>
      <c r="CM60" s="82"/>
      <c r="CN60" s="82"/>
      <c r="CO60" s="82"/>
      <c r="CP60" s="82"/>
      <c r="CQ60" s="82"/>
      <c r="CR60" s="82"/>
      <c r="CS60" s="82"/>
      <c r="CT60" s="82"/>
      <c r="CU60" s="82"/>
      <c r="CV60" s="82"/>
    </row>
    <row r="61" ht="20.25" customHeight="1">
      <c r="A61" s="66">
        <v>6.0</v>
      </c>
      <c r="B61" s="50" t="s">
        <v>550</v>
      </c>
      <c r="C61" s="50" t="s">
        <v>559</v>
      </c>
      <c r="D61" s="51" t="s">
        <v>67</v>
      </c>
      <c r="E61" s="47"/>
      <c r="F61" s="50">
        <v>5.400092326E9</v>
      </c>
      <c r="G61" s="50" t="s">
        <v>552</v>
      </c>
      <c r="H61" s="50">
        <v>860.0</v>
      </c>
      <c r="I61" s="125" t="s">
        <v>553</v>
      </c>
      <c r="J61" s="194">
        <v>208123.0</v>
      </c>
      <c r="K61" s="51" t="s">
        <v>560</v>
      </c>
      <c r="L61" s="50" t="s">
        <v>376</v>
      </c>
      <c r="M61" s="50">
        <v>860.0</v>
      </c>
      <c r="N61" s="47"/>
      <c r="O61" s="47"/>
      <c r="P61" s="47"/>
      <c r="Q61" s="100" t="s">
        <v>63</v>
      </c>
      <c r="R61" s="50" t="s">
        <v>561</v>
      </c>
      <c r="S61" s="50">
        <f t="shared" si="5"/>
        <v>0</v>
      </c>
      <c r="T61" s="50">
        <f t="shared" si="6"/>
        <v>0</v>
      </c>
      <c r="U61" s="69" t="str">
        <f t="shared" si="7"/>
        <v>#DIV/0!</v>
      </c>
      <c r="V61" s="70" t="str">
        <f t="shared" si="8"/>
        <v>#DIV/0!</v>
      </c>
      <c r="X61" s="47"/>
      <c r="Y61" s="47"/>
      <c r="Z61" s="47"/>
      <c r="AA61" s="80"/>
      <c r="AB61" s="81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  <c r="BT61" s="82"/>
      <c r="BU61" s="82"/>
      <c r="BV61" s="82"/>
      <c r="BW61" s="82"/>
      <c r="BX61" s="82"/>
      <c r="BY61" s="82"/>
      <c r="BZ61" s="82"/>
      <c r="CA61" s="82"/>
      <c r="CB61" s="82"/>
      <c r="CC61" s="82"/>
      <c r="CD61" s="82"/>
      <c r="CE61" s="82"/>
      <c r="CF61" s="82"/>
      <c r="CG61" s="82"/>
      <c r="CH61" s="82"/>
      <c r="CI61" s="82"/>
      <c r="CJ61" s="82"/>
      <c r="CK61" s="82"/>
      <c r="CL61" s="82"/>
      <c r="CM61" s="82"/>
      <c r="CN61" s="82"/>
      <c r="CO61" s="82"/>
      <c r="CP61" s="82"/>
      <c r="CQ61" s="82"/>
      <c r="CR61" s="82"/>
      <c r="CS61" s="82"/>
      <c r="CT61" s="82"/>
      <c r="CU61" s="82"/>
      <c r="CV61" s="82"/>
    </row>
    <row r="62" ht="20.25" customHeight="1">
      <c r="A62" s="66">
        <v>6.0</v>
      </c>
      <c r="B62" s="50" t="s">
        <v>508</v>
      </c>
      <c r="C62" s="66" t="s">
        <v>565</v>
      </c>
      <c r="D62" s="51" t="s">
        <v>67</v>
      </c>
      <c r="E62" s="146"/>
      <c r="F62" s="162">
        <v>5.400092348E9</v>
      </c>
      <c r="G62" s="162" t="s">
        <v>540</v>
      </c>
      <c r="H62" s="149">
        <v>19000.0</v>
      </c>
      <c r="I62" s="146"/>
      <c r="J62" s="134">
        <v>207048.0</v>
      </c>
      <c r="K62" s="135" t="s">
        <v>566</v>
      </c>
      <c r="L62" s="136" t="s">
        <v>258</v>
      </c>
      <c r="M62" s="136">
        <v>18000.0</v>
      </c>
      <c r="N62" s="50">
        <v>94.0</v>
      </c>
      <c r="O62" s="50">
        <v>2.0</v>
      </c>
      <c r="P62" s="50">
        <v>290.0</v>
      </c>
      <c r="Q62" s="100" t="s">
        <v>213</v>
      </c>
      <c r="R62" s="50" t="s">
        <v>214</v>
      </c>
      <c r="S62" s="50">
        <f t="shared" si="5"/>
        <v>11.75</v>
      </c>
      <c r="T62" s="50">
        <f t="shared" si="6"/>
        <v>78.6</v>
      </c>
      <c r="U62" s="69">
        <f t="shared" si="7"/>
        <v>6.689361702</v>
      </c>
      <c r="V62" s="70">
        <f t="shared" si="8"/>
        <v>2690.839695</v>
      </c>
      <c r="X62" s="60"/>
      <c r="Y62" s="60"/>
      <c r="Z62" s="60"/>
      <c r="AA62" s="80"/>
      <c r="AB62" s="81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  <c r="BT62" s="82"/>
      <c r="BU62" s="82"/>
      <c r="BV62" s="82"/>
      <c r="BW62" s="82"/>
      <c r="BX62" s="82"/>
      <c r="BY62" s="82"/>
      <c r="BZ62" s="82"/>
      <c r="CA62" s="82"/>
      <c r="CB62" s="82"/>
      <c r="CC62" s="82"/>
      <c r="CD62" s="82"/>
      <c r="CE62" s="82"/>
      <c r="CF62" s="82"/>
      <c r="CG62" s="82"/>
      <c r="CH62" s="82"/>
      <c r="CI62" s="82"/>
      <c r="CJ62" s="82"/>
      <c r="CK62" s="82"/>
      <c r="CL62" s="82"/>
      <c r="CM62" s="82"/>
      <c r="CN62" s="82"/>
      <c r="CO62" s="82"/>
      <c r="CP62" s="82"/>
      <c r="CQ62" s="82"/>
      <c r="CR62" s="82"/>
      <c r="CS62" s="82"/>
      <c r="CT62" s="82"/>
      <c r="CU62" s="82"/>
      <c r="CV62" s="82"/>
    </row>
    <row r="63" ht="20.25" customHeight="1">
      <c r="A63" s="66">
        <v>7.0</v>
      </c>
      <c r="B63" s="50" t="s">
        <v>495</v>
      </c>
      <c r="C63" s="50" t="s">
        <v>567</v>
      </c>
      <c r="D63" s="45" t="s">
        <v>247</v>
      </c>
      <c r="E63" s="47"/>
      <c r="F63" s="64" t="s">
        <v>328</v>
      </c>
      <c r="G63" s="187">
        <v>46299.0</v>
      </c>
      <c r="H63" s="125">
        <v>15000.0</v>
      </c>
      <c r="I63" s="47"/>
      <c r="J63" s="47"/>
      <c r="K63" s="51" t="s">
        <v>507</v>
      </c>
      <c r="L63" s="50" t="s">
        <v>252</v>
      </c>
      <c r="M63" s="50">
        <v>15000.0</v>
      </c>
      <c r="N63" s="50">
        <v>92.0</v>
      </c>
      <c r="O63" s="50">
        <v>2.0</v>
      </c>
      <c r="P63" s="50">
        <v>220.0</v>
      </c>
      <c r="Q63" s="50" t="s">
        <v>63</v>
      </c>
      <c r="R63" s="50" t="s">
        <v>330</v>
      </c>
      <c r="S63" s="50">
        <f t="shared" si="5"/>
        <v>11.5</v>
      </c>
      <c r="T63" s="50">
        <f t="shared" si="6"/>
        <v>78.6</v>
      </c>
      <c r="U63" s="69">
        <f t="shared" si="7"/>
        <v>6.834782609</v>
      </c>
      <c r="V63" s="70">
        <f t="shared" si="8"/>
        <v>2194.656489</v>
      </c>
      <c r="X63" s="47"/>
      <c r="Y63" s="47"/>
      <c r="Z63" s="47"/>
      <c r="AA63" s="80"/>
      <c r="AB63" s="81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</row>
    <row r="64" ht="20.25" customHeight="1">
      <c r="A64" s="66">
        <v>7.0</v>
      </c>
      <c r="B64" s="50" t="s">
        <v>508</v>
      </c>
      <c r="C64" s="66" t="s">
        <v>568</v>
      </c>
      <c r="D64" s="51" t="s">
        <v>67</v>
      </c>
      <c r="E64" s="146"/>
      <c r="F64" s="162">
        <v>5.400092348E9</v>
      </c>
      <c r="G64" s="162" t="s">
        <v>540</v>
      </c>
      <c r="H64" s="149">
        <v>41000.0</v>
      </c>
      <c r="I64" s="146"/>
      <c r="J64" s="134">
        <v>207036.0</v>
      </c>
      <c r="K64" s="135" t="s">
        <v>569</v>
      </c>
      <c r="L64" s="136" t="s">
        <v>258</v>
      </c>
      <c r="M64" s="136">
        <v>40000.0</v>
      </c>
      <c r="N64" s="50">
        <v>99.0</v>
      </c>
      <c r="O64" s="50">
        <v>9.0</v>
      </c>
      <c r="P64" s="50">
        <v>150.0</v>
      </c>
      <c r="Q64" s="151" t="s">
        <v>213</v>
      </c>
      <c r="R64" s="50" t="s">
        <v>570</v>
      </c>
      <c r="S64" s="50">
        <f t="shared" si="5"/>
        <v>12.375</v>
      </c>
      <c r="T64" s="50">
        <f t="shared" si="6"/>
        <v>353.7</v>
      </c>
      <c r="U64" s="69">
        <f t="shared" si="7"/>
        <v>28.58181818</v>
      </c>
      <c r="V64" s="70">
        <f t="shared" si="8"/>
        <v>1399.491094</v>
      </c>
      <c r="X64" s="60"/>
      <c r="Y64" s="60"/>
      <c r="Z64" s="60"/>
      <c r="AA64" s="80"/>
      <c r="AB64" s="81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/>
      <c r="BX64" s="82"/>
      <c r="BY64" s="82"/>
      <c r="BZ64" s="82"/>
      <c r="CA64" s="82"/>
      <c r="CB64" s="82"/>
      <c r="CC64" s="82"/>
      <c r="CD64" s="82"/>
      <c r="CE64" s="82"/>
      <c r="CF64" s="82"/>
      <c r="CG64" s="82"/>
      <c r="CH64" s="82"/>
      <c r="CI64" s="82"/>
      <c r="CJ64" s="82"/>
      <c r="CK64" s="82"/>
      <c r="CL64" s="82"/>
      <c r="CM64" s="82"/>
      <c r="CN64" s="82"/>
      <c r="CO64" s="82"/>
      <c r="CP64" s="82"/>
      <c r="CQ64" s="82"/>
      <c r="CR64" s="82"/>
      <c r="CS64" s="82"/>
      <c r="CT64" s="82"/>
      <c r="CU64" s="82"/>
      <c r="CV64" s="82"/>
    </row>
    <row r="65" ht="20.25" customHeight="1">
      <c r="A65" s="66">
        <v>1.0</v>
      </c>
      <c r="B65" s="50" t="s">
        <v>484</v>
      </c>
      <c r="C65" s="50" t="s">
        <v>571</v>
      </c>
      <c r="D65" s="45" t="s">
        <v>78</v>
      </c>
      <c r="E65" s="47"/>
      <c r="F65" s="47"/>
      <c r="G65" s="47"/>
      <c r="H65" s="47"/>
      <c r="I65" s="47"/>
      <c r="J65" s="47"/>
      <c r="K65" s="51" t="s">
        <v>572</v>
      </c>
      <c r="L65" s="47"/>
      <c r="M65" s="50">
        <v>231400.0</v>
      </c>
      <c r="N65" s="50">
        <v>75.0</v>
      </c>
      <c r="O65" s="50">
        <v>6.0</v>
      </c>
      <c r="P65" s="50">
        <v>170.0</v>
      </c>
      <c r="Q65" s="50" t="s">
        <v>50</v>
      </c>
      <c r="R65" s="50" t="s">
        <v>573</v>
      </c>
      <c r="S65" s="50">
        <f t="shared" si="5"/>
        <v>9.375</v>
      </c>
      <c r="T65" s="50">
        <f t="shared" si="6"/>
        <v>235.8</v>
      </c>
      <c r="U65" s="69">
        <f t="shared" si="7"/>
        <v>25.152</v>
      </c>
      <c r="V65" s="70">
        <f t="shared" si="8"/>
        <v>9200.063613</v>
      </c>
      <c r="X65" s="47"/>
      <c r="Y65" s="47"/>
      <c r="Z65" s="47"/>
      <c r="AA65" s="80"/>
      <c r="AB65" s="81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  <c r="BT65" s="82"/>
      <c r="BU65" s="82"/>
      <c r="BV65" s="82"/>
      <c r="BW65" s="82"/>
      <c r="BX65" s="82"/>
      <c r="BY65" s="82"/>
      <c r="BZ65" s="82"/>
      <c r="CA65" s="82"/>
      <c r="CB65" s="82"/>
      <c r="CC65" s="82"/>
      <c r="CD65" s="82"/>
      <c r="CE65" s="82"/>
      <c r="CF65" s="82"/>
      <c r="CG65" s="82"/>
      <c r="CH65" s="82"/>
      <c r="CI65" s="82"/>
      <c r="CJ65" s="82"/>
      <c r="CK65" s="82"/>
      <c r="CL65" s="82"/>
      <c r="CM65" s="82"/>
      <c r="CN65" s="82"/>
      <c r="CO65" s="82"/>
      <c r="CP65" s="82"/>
      <c r="CQ65" s="82"/>
      <c r="CR65" s="82"/>
      <c r="CS65" s="82"/>
      <c r="CT65" s="82"/>
      <c r="CU65" s="82"/>
      <c r="CV65" s="82"/>
    </row>
    <row r="66" ht="20.25" customHeight="1">
      <c r="A66" s="66">
        <v>13.0</v>
      </c>
      <c r="B66" s="50" t="s">
        <v>543</v>
      </c>
      <c r="C66" s="50" t="s">
        <v>574</v>
      </c>
      <c r="D66" s="45" t="s">
        <v>545</v>
      </c>
      <c r="E66" s="47"/>
      <c r="F66" s="47"/>
      <c r="G66" s="47"/>
      <c r="H66" s="47"/>
      <c r="I66" s="47"/>
      <c r="J66" s="47"/>
      <c r="K66" s="51" t="s">
        <v>575</v>
      </c>
      <c r="L66" s="47"/>
      <c r="M66" s="47"/>
      <c r="N66" s="50">
        <v>79.0</v>
      </c>
      <c r="O66" s="50">
        <v>2.0</v>
      </c>
      <c r="P66" s="50">
        <v>430.0</v>
      </c>
      <c r="Q66" s="50" t="s">
        <v>73</v>
      </c>
      <c r="R66" s="50" t="s">
        <v>547</v>
      </c>
      <c r="S66" s="50">
        <f t="shared" si="5"/>
        <v>9.875</v>
      </c>
      <c r="T66" s="50">
        <f t="shared" si="6"/>
        <v>78.6</v>
      </c>
      <c r="U66" s="69">
        <f t="shared" si="7"/>
        <v>7.959493671</v>
      </c>
      <c r="V66" s="70">
        <f t="shared" si="8"/>
        <v>0</v>
      </c>
      <c r="X66" s="47"/>
      <c r="Y66" s="47"/>
      <c r="Z66" s="47"/>
      <c r="AA66" s="80"/>
      <c r="AB66" s="81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82"/>
      <c r="BQ66" s="82"/>
      <c r="BR66" s="82"/>
      <c r="BS66" s="82"/>
      <c r="BT66" s="82"/>
      <c r="BU66" s="82"/>
      <c r="BV66" s="82"/>
      <c r="BW66" s="82"/>
      <c r="BX66" s="82"/>
      <c r="BY66" s="82"/>
      <c r="BZ66" s="82"/>
      <c r="CA66" s="82"/>
      <c r="CB66" s="82"/>
      <c r="CC66" s="82"/>
      <c r="CD66" s="82"/>
      <c r="CE66" s="82"/>
      <c r="CF66" s="82"/>
      <c r="CG66" s="82"/>
      <c r="CH66" s="82"/>
      <c r="CI66" s="82"/>
      <c r="CJ66" s="82"/>
      <c r="CK66" s="82"/>
      <c r="CL66" s="82"/>
      <c r="CM66" s="82"/>
      <c r="CN66" s="82"/>
      <c r="CO66" s="82"/>
      <c r="CP66" s="82"/>
      <c r="CQ66" s="82"/>
      <c r="CR66" s="82"/>
      <c r="CS66" s="82"/>
      <c r="CT66" s="82"/>
      <c r="CU66" s="82"/>
      <c r="CV66" s="82"/>
    </row>
    <row r="67" ht="20.25" customHeight="1">
      <c r="A67" s="66">
        <v>4.0</v>
      </c>
      <c r="B67" s="45" t="s">
        <v>367</v>
      </c>
      <c r="C67" s="162" t="s">
        <v>577</v>
      </c>
      <c r="D67" s="90" t="s">
        <v>578</v>
      </c>
      <c r="E67" s="146"/>
      <c r="F67" s="146"/>
      <c r="G67" s="146"/>
      <c r="H67" s="146"/>
      <c r="I67" s="146"/>
      <c r="J67" s="201" t="s">
        <v>580</v>
      </c>
      <c r="K67" s="90" t="s">
        <v>582</v>
      </c>
      <c r="L67" s="146"/>
      <c r="M67" s="162">
        <v>10000.0</v>
      </c>
      <c r="N67" s="50">
        <v>116.0</v>
      </c>
      <c r="O67" s="50">
        <v>2.0</v>
      </c>
      <c r="P67" s="50">
        <v>100.0</v>
      </c>
      <c r="Q67" s="50" t="s">
        <v>50</v>
      </c>
      <c r="R67" s="162" t="s">
        <v>585</v>
      </c>
      <c r="S67" s="50">
        <f t="shared" si="5"/>
        <v>14.5</v>
      </c>
      <c r="T67" s="50">
        <f t="shared" si="6"/>
        <v>78.6</v>
      </c>
      <c r="U67" s="69">
        <f t="shared" si="7"/>
        <v>5.420689655</v>
      </c>
      <c r="V67" s="70">
        <f t="shared" si="8"/>
        <v>1844.783715</v>
      </c>
      <c r="X67" s="146"/>
      <c r="Y67" s="146"/>
      <c r="Z67" s="146"/>
      <c r="AA67" s="80"/>
      <c r="AB67" s="81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  <c r="BT67" s="82"/>
      <c r="BU67" s="82"/>
      <c r="BV67" s="82"/>
      <c r="BW67" s="82"/>
      <c r="BX67" s="82"/>
      <c r="BY67" s="82"/>
      <c r="BZ67" s="82"/>
      <c r="CA67" s="82"/>
      <c r="CB67" s="82"/>
      <c r="CC67" s="82"/>
      <c r="CD67" s="82"/>
      <c r="CE67" s="82"/>
      <c r="CF67" s="82"/>
      <c r="CG67" s="82"/>
      <c r="CH67" s="82"/>
      <c r="CI67" s="82"/>
      <c r="CJ67" s="82"/>
      <c r="CK67" s="82"/>
      <c r="CL67" s="82"/>
      <c r="CM67" s="82"/>
      <c r="CN67" s="82"/>
      <c r="CO67" s="82"/>
      <c r="CP67" s="82"/>
      <c r="CQ67" s="82"/>
      <c r="CR67" s="82"/>
      <c r="CS67" s="82"/>
      <c r="CT67" s="82"/>
      <c r="CU67" s="82"/>
      <c r="CV67" s="82"/>
    </row>
    <row r="68" ht="20.25" customHeight="1">
      <c r="A68" s="66">
        <v>3.0</v>
      </c>
      <c r="B68" s="50" t="s">
        <v>508</v>
      </c>
      <c r="C68" s="66" t="s">
        <v>586</v>
      </c>
      <c r="D68" s="51" t="s">
        <v>67</v>
      </c>
      <c r="E68" s="146"/>
      <c r="F68" s="162">
        <v>5.400092348E9</v>
      </c>
      <c r="G68" s="162" t="s">
        <v>540</v>
      </c>
      <c r="H68" s="149">
        <v>291000.0</v>
      </c>
      <c r="I68" s="146"/>
      <c r="J68" s="134">
        <v>207045.0</v>
      </c>
      <c r="K68" s="135" t="s">
        <v>587</v>
      </c>
      <c r="L68" s="136" t="s">
        <v>258</v>
      </c>
      <c r="M68" s="136">
        <v>290000.0</v>
      </c>
      <c r="N68" s="50">
        <v>99.0</v>
      </c>
      <c r="O68" s="50">
        <v>6.0</v>
      </c>
      <c r="P68" s="50">
        <v>176.0</v>
      </c>
      <c r="Q68" s="136" t="s">
        <v>63</v>
      </c>
      <c r="R68" s="50" t="s">
        <v>233</v>
      </c>
      <c r="S68" s="50">
        <f t="shared" si="5"/>
        <v>12.375</v>
      </c>
      <c r="T68" s="50">
        <f t="shared" si="6"/>
        <v>235.8</v>
      </c>
      <c r="U68" s="69">
        <f t="shared" si="7"/>
        <v>19.05454545</v>
      </c>
      <c r="V68" s="70">
        <f t="shared" si="8"/>
        <v>15219.46565</v>
      </c>
      <c r="X68" s="60"/>
      <c r="Y68" s="60"/>
      <c r="Z68" s="60"/>
      <c r="AA68" s="80"/>
      <c r="AB68" s="81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  <c r="BT68" s="82"/>
      <c r="BU68" s="82"/>
      <c r="BV68" s="82"/>
      <c r="BW68" s="82"/>
      <c r="BX68" s="82"/>
      <c r="BY68" s="82"/>
      <c r="BZ68" s="82"/>
      <c r="CA68" s="82"/>
      <c r="CB68" s="82"/>
      <c r="CC68" s="82"/>
      <c r="CD68" s="82"/>
      <c r="CE68" s="82"/>
      <c r="CF68" s="82"/>
      <c r="CG68" s="82"/>
      <c r="CH68" s="82"/>
      <c r="CI68" s="82"/>
      <c r="CJ68" s="82"/>
      <c r="CK68" s="82"/>
      <c r="CL68" s="82"/>
      <c r="CM68" s="82"/>
      <c r="CN68" s="82"/>
      <c r="CO68" s="82"/>
      <c r="CP68" s="82"/>
      <c r="CQ68" s="82"/>
      <c r="CR68" s="82"/>
      <c r="CS68" s="82"/>
      <c r="CT68" s="82"/>
      <c r="CU68" s="82"/>
      <c r="CV68" s="82"/>
    </row>
    <row r="69" ht="20.25" customHeight="1">
      <c r="A69" s="66">
        <v>13.0</v>
      </c>
      <c r="B69" s="50" t="s">
        <v>590</v>
      </c>
      <c r="C69" s="50" t="s">
        <v>591</v>
      </c>
      <c r="D69" s="51" t="s">
        <v>67</v>
      </c>
      <c r="E69" s="47"/>
      <c r="F69" s="50">
        <v>5.400092388E9</v>
      </c>
      <c r="G69" s="45" t="s">
        <v>592</v>
      </c>
      <c r="H69" s="93">
        <v>1800.0</v>
      </c>
      <c r="I69" s="203" t="s">
        <v>417</v>
      </c>
      <c r="J69" s="50">
        <v>205270.0</v>
      </c>
      <c r="K69" s="51" t="s">
        <v>593</v>
      </c>
      <c r="L69" s="47"/>
      <c r="M69" s="50">
        <v>1800.0</v>
      </c>
      <c r="N69" s="47"/>
      <c r="O69" s="47"/>
      <c r="P69" s="47"/>
      <c r="Q69" s="50" t="s">
        <v>63</v>
      </c>
      <c r="R69" s="50" t="s">
        <v>594</v>
      </c>
      <c r="S69" s="47"/>
      <c r="T69" s="47"/>
      <c r="U69" s="47"/>
      <c r="V69" s="47"/>
      <c r="X69" s="47"/>
      <c r="Y69" s="47"/>
      <c r="Z69" s="47"/>
      <c r="AA69" s="80"/>
      <c r="AB69" s="81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  <c r="BT69" s="82"/>
      <c r="BU69" s="82"/>
      <c r="BV69" s="82"/>
      <c r="BW69" s="82"/>
      <c r="BX69" s="82"/>
      <c r="BY69" s="82"/>
      <c r="BZ69" s="82"/>
      <c r="CA69" s="82"/>
      <c r="CB69" s="82"/>
      <c r="CC69" s="82"/>
      <c r="CD69" s="82"/>
      <c r="CE69" s="82"/>
      <c r="CF69" s="82"/>
      <c r="CG69" s="82"/>
      <c r="CH69" s="82"/>
      <c r="CI69" s="82"/>
      <c r="CJ69" s="82"/>
      <c r="CK69" s="82"/>
      <c r="CL69" s="82"/>
      <c r="CM69" s="82"/>
      <c r="CN69" s="82"/>
      <c r="CO69" s="82"/>
      <c r="CP69" s="82"/>
      <c r="CQ69" s="82"/>
      <c r="CR69" s="82"/>
      <c r="CS69" s="82"/>
      <c r="CT69" s="82"/>
      <c r="CU69" s="82"/>
      <c r="CV69" s="82"/>
    </row>
    <row r="70" ht="20.25" customHeight="1">
      <c r="A70" s="66">
        <v>2.0</v>
      </c>
      <c r="B70" s="45" t="s">
        <v>367</v>
      </c>
      <c r="C70" s="162" t="s">
        <v>599</v>
      </c>
      <c r="D70" s="90" t="s">
        <v>578</v>
      </c>
      <c r="E70" s="146"/>
      <c r="F70" s="146"/>
      <c r="G70" s="146"/>
      <c r="H70" s="146"/>
      <c r="I70" s="146"/>
      <c r="J70" s="201" t="s">
        <v>580</v>
      </c>
      <c r="K70" s="90" t="s">
        <v>600</v>
      </c>
      <c r="L70" s="146"/>
      <c r="M70" s="162">
        <v>10000.0</v>
      </c>
      <c r="N70" s="50">
        <v>116.0</v>
      </c>
      <c r="O70" s="50">
        <v>4.0</v>
      </c>
      <c r="P70" s="50">
        <v>110.0</v>
      </c>
      <c r="Q70" s="50" t="s">
        <v>50</v>
      </c>
      <c r="R70" s="162" t="s">
        <v>601</v>
      </c>
      <c r="S70" s="50">
        <f t="shared" ref="S70:S151" si="9">N70/8</f>
        <v>14.5</v>
      </c>
      <c r="T70" s="50">
        <f t="shared" ref="T70:T151" si="10">39.3*O70</f>
        <v>157.2</v>
      </c>
      <c r="U70" s="69">
        <f t="shared" ref="U70:U151" si="11">T70/S70</f>
        <v>10.84137931</v>
      </c>
      <c r="V70" s="70">
        <f t="shared" ref="V70:V151" si="12">M70/U70</f>
        <v>922.3918575</v>
      </c>
      <c r="X70" s="146"/>
      <c r="Y70" s="146"/>
      <c r="Z70" s="146"/>
      <c r="AA70" s="80"/>
      <c r="AB70" s="81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  <c r="BT70" s="82"/>
      <c r="BU70" s="82"/>
      <c r="BV70" s="82"/>
      <c r="BW70" s="82"/>
      <c r="BX70" s="82"/>
      <c r="BY70" s="82"/>
      <c r="BZ70" s="82"/>
      <c r="CA70" s="82"/>
      <c r="CB70" s="82"/>
      <c r="CC70" s="82"/>
      <c r="CD70" s="82"/>
      <c r="CE70" s="82"/>
      <c r="CF70" s="82"/>
      <c r="CG70" s="82"/>
      <c r="CH70" s="82"/>
      <c r="CI70" s="82"/>
      <c r="CJ70" s="82"/>
      <c r="CK70" s="82"/>
      <c r="CL70" s="82"/>
      <c r="CM70" s="82"/>
      <c r="CN70" s="82"/>
      <c r="CO70" s="82"/>
      <c r="CP70" s="82"/>
      <c r="CQ70" s="82"/>
      <c r="CR70" s="82"/>
      <c r="CS70" s="82"/>
      <c r="CT70" s="82"/>
      <c r="CU70" s="82"/>
      <c r="CV70" s="82"/>
    </row>
    <row r="71" ht="20.25" customHeight="1">
      <c r="A71" s="66">
        <v>1.0</v>
      </c>
      <c r="B71" s="45" t="s">
        <v>367</v>
      </c>
      <c r="C71" s="162" t="s">
        <v>604</v>
      </c>
      <c r="D71" s="90" t="s">
        <v>578</v>
      </c>
      <c r="E71" s="146"/>
      <c r="F71" s="146"/>
      <c r="G71" s="146"/>
      <c r="H71" s="146"/>
      <c r="I71" s="146"/>
      <c r="J71" s="201" t="s">
        <v>580</v>
      </c>
      <c r="K71" s="90" t="s">
        <v>605</v>
      </c>
      <c r="L71" s="146"/>
      <c r="M71" s="162">
        <v>10000.0</v>
      </c>
      <c r="N71" s="50">
        <v>116.0</v>
      </c>
      <c r="O71" s="50">
        <v>4.0</v>
      </c>
      <c r="P71" s="50">
        <v>110.0</v>
      </c>
      <c r="Q71" s="50" t="s">
        <v>50</v>
      </c>
      <c r="R71" s="162" t="s">
        <v>601</v>
      </c>
      <c r="S71" s="50">
        <f t="shared" si="9"/>
        <v>14.5</v>
      </c>
      <c r="T71" s="50">
        <f t="shared" si="10"/>
        <v>157.2</v>
      </c>
      <c r="U71" s="69">
        <f t="shared" si="11"/>
        <v>10.84137931</v>
      </c>
      <c r="V71" s="70">
        <f t="shared" si="12"/>
        <v>922.3918575</v>
      </c>
      <c r="X71" s="146"/>
      <c r="Y71" s="146"/>
      <c r="Z71" s="146"/>
      <c r="AA71" s="80"/>
      <c r="AB71" s="81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  <c r="BT71" s="82"/>
      <c r="BU71" s="82"/>
      <c r="BV71" s="82"/>
      <c r="BW71" s="82"/>
      <c r="BX71" s="82"/>
      <c r="BY71" s="82"/>
      <c r="BZ71" s="82"/>
      <c r="CA71" s="82"/>
      <c r="CB71" s="82"/>
      <c r="CC71" s="82"/>
      <c r="CD71" s="82"/>
      <c r="CE71" s="82"/>
      <c r="CF71" s="82"/>
      <c r="CG71" s="82"/>
      <c r="CH71" s="82"/>
      <c r="CI71" s="82"/>
      <c r="CJ71" s="82"/>
      <c r="CK71" s="82"/>
      <c r="CL71" s="82"/>
      <c r="CM71" s="82"/>
      <c r="CN71" s="82"/>
      <c r="CO71" s="82"/>
      <c r="CP71" s="82"/>
      <c r="CQ71" s="82"/>
      <c r="CR71" s="82"/>
      <c r="CS71" s="82"/>
      <c r="CT71" s="82"/>
      <c r="CU71" s="82"/>
      <c r="CV71" s="82"/>
    </row>
    <row r="72" ht="20.25" customHeight="1">
      <c r="A72" s="66">
        <v>4.0</v>
      </c>
      <c r="B72" s="50" t="s">
        <v>495</v>
      </c>
      <c r="C72" s="50" t="s">
        <v>608</v>
      </c>
      <c r="D72" s="45" t="s">
        <v>247</v>
      </c>
      <c r="E72" s="47"/>
      <c r="F72" s="64" t="s">
        <v>328</v>
      </c>
      <c r="G72" s="187">
        <v>46299.0</v>
      </c>
      <c r="H72" s="125">
        <v>15000.0</v>
      </c>
      <c r="I72" s="47"/>
      <c r="J72" s="47"/>
      <c r="K72" s="45" t="s">
        <v>382</v>
      </c>
      <c r="L72" s="50" t="s">
        <v>252</v>
      </c>
      <c r="M72" s="50">
        <v>15000.0</v>
      </c>
      <c r="N72" s="100">
        <v>72.0</v>
      </c>
      <c r="O72" s="100">
        <v>2.0</v>
      </c>
      <c r="P72" s="100">
        <v>185.0</v>
      </c>
      <c r="Q72" s="50" t="s">
        <v>63</v>
      </c>
      <c r="R72" s="100" t="s">
        <v>384</v>
      </c>
      <c r="S72" s="50">
        <f t="shared" si="9"/>
        <v>9</v>
      </c>
      <c r="T72" s="50">
        <f t="shared" si="10"/>
        <v>78.6</v>
      </c>
      <c r="U72" s="69">
        <f t="shared" si="11"/>
        <v>8.733333333</v>
      </c>
      <c r="V72" s="70">
        <f t="shared" si="12"/>
        <v>1717.557252</v>
      </c>
      <c r="X72" s="47"/>
      <c r="Y72" s="47"/>
      <c r="Z72" s="47"/>
      <c r="AA72" s="80"/>
      <c r="AB72" s="81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  <c r="BT72" s="82"/>
      <c r="BU72" s="82"/>
      <c r="BV72" s="82"/>
      <c r="BW72" s="82"/>
      <c r="BX72" s="82"/>
      <c r="BY72" s="82"/>
      <c r="BZ72" s="82"/>
      <c r="CA72" s="82"/>
      <c r="CB72" s="82"/>
      <c r="CC72" s="82"/>
      <c r="CD72" s="82"/>
      <c r="CE72" s="82"/>
      <c r="CF72" s="82"/>
      <c r="CG72" s="82"/>
      <c r="CH72" s="82"/>
      <c r="CI72" s="82"/>
      <c r="CJ72" s="82"/>
      <c r="CK72" s="82"/>
      <c r="CL72" s="82"/>
      <c r="CM72" s="82"/>
      <c r="CN72" s="82"/>
      <c r="CO72" s="82"/>
      <c r="CP72" s="82"/>
      <c r="CQ72" s="82"/>
      <c r="CR72" s="82"/>
      <c r="CS72" s="82"/>
      <c r="CT72" s="82"/>
      <c r="CU72" s="82"/>
      <c r="CV72" s="82"/>
    </row>
    <row r="73" ht="20.25" customHeight="1">
      <c r="A73" s="66">
        <v>5.0</v>
      </c>
      <c r="B73" s="50" t="s">
        <v>495</v>
      </c>
      <c r="C73" s="50" t="s">
        <v>609</v>
      </c>
      <c r="D73" s="45" t="s">
        <v>247</v>
      </c>
      <c r="E73" s="47"/>
      <c r="F73" s="64" t="s">
        <v>328</v>
      </c>
      <c r="G73" s="187">
        <v>46299.0</v>
      </c>
      <c r="H73" s="125">
        <v>15000.0</v>
      </c>
      <c r="I73" s="47"/>
      <c r="J73" s="47"/>
      <c r="K73" s="51" t="s">
        <v>378</v>
      </c>
      <c r="L73" s="50" t="s">
        <v>252</v>
      </c>
      <c r="M73" s="50">
        <v>15000.0</v>
      </c>
      <c r="N73" s="100">
        <v>124.0</v>
      </c>
      <c r="O73" s="100">
        <v>6.0</v>
      </c>
      <c r="P73" s="100">
        <v>195.0</v>
      </c>
      <c r="Q73" s="50" t="s">
        <v>63</v>
      </c>
      <c r="R73" s="100" t="s">
        <v>315</v>
      </c>
      <c r="S73" s="50">
        <f t="shared" si="9"/>
        <v>15.5</v>
      </c>
      <c r="T73" s="50">
        <f t="shared" si="10"/>
        <v>235.8</v>
      </c>
      <c r="U73" s="69">
        <f t="shared" si="11"/>
        <v>15.21290323</v>
      </c>
      <c r="V73" s="70">
        <f t="shared" si="12"/>
        <v>986.0050891</v>
      </c>
      <c r="X73" s="47"/>
      <c r="Y73" s="47"/>
      <c r="Z73" s="47"/>
      <c r="AA73" s="80"/>
      <c r="AB73" s="81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82"/>
      <c r="BU73" s="82"/>
      <c r="BV73" s="82"/>
      <c r="BW73" s="82"/>
      <c r="BX73" s="82"/>
      <c r="BY73" s="82"/>
      <c r="BZ73" s="82"/>
      <c r="CA73" s="82"/>
      <c r="CB73" s="82"/>
      <c r="CC73" s="82"/>
      <c r="CD73" s="82"/>
      <c r="CE73" s="82"/>
      <c r="CF73" s="82"/>
      <c r="CG73" s="82"/>
      <c r="CH73" s="82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  <c r="CT73" s="82"/>
      <c r="CU73" s="82"/>
      <c r="CV73" s="82"/>
    </row>
    <row r="74" ht="20.25" customHeight="1">
      <c r="A74" s="66">
        <v>3.0</v>
      </c>
      <c r="B74" s="50" t="s">
        <v>543</v>
      </c>
      <c r="C74" s="50" t="s">
        <v>610</v>
      </c>
      <c r="D74" s="45" t="s">
        <v>545</v>
      </c>
      <c r="E74" s="47"/>
      <c r="F74" s="47"/>
      <c r="G74" s="47"/>
      <c r="H74" s="47"/>
      <c r="I74" s="47"/>
      <c r="J74" s="47"/>
      <c r="K74" s="51" t="s">
        <v>611</v>
      </c>
      <c r="L74" s="47"/>
      <c r="M74" s="50">
        <v>10000.0</v>
      </c>
      <c r="N74" s="50">
        <v>89.0</v>
      </c>
      <c r="O74" s="50">
        <v>2.0</v>
      </c>
      <c r="P74" s="50">
        <v>430.0</v>
      </c>
      <c r="Q74" s="50" t="s">
        <v>73</v>
      </c>
      <c r="R74" s="50" t="s">
        <v>547</v>
      </c>
      <c r="S74" s="50">
        <f t="shared" si="9"/>
        <v>11.125</v>
      </c>
      <c r="T74" s="50">
        <f t="shared" si="10"/>
        <v>78.6</v>
      </c>
      <c r="U74" s="69">
        <f t="shared" si="11"/>
        <v>7.065168539</v>
      </c>
      <c r="V74" s="70">
        <f t="shared" si="12"/>
        <v>1415.394402</v>
      </c>
      <c r="X74" s="47"/>
      <c r="Y74" s="47"/>
      <c r="Z74" s="47"/>
      <c r="AA74" s="80"/>
      <c r="AB74" s="81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</row>
    <row r="75" ht="20.25" customHeight="1">
      <c r="A75" s="66">
        <v>1.0</v>
      </c>
      <c r="B75" s="50" t="s">
        <v>508</v>
      </c>
      <c r="C75" s="66" t="s">
        <v>612</v>
      </c>
      <c r="D75" s="51" t="s">
        <v>67</v>
      </c>
      <c r="E75" s="146"/>
      <c r="F75" s="162">
        <v>5.400092348E9</v>
      </c>
      <c r="G75" s="162" t="s">
        <v>540</v>
      </c>
      <c r="H75" s="149">
        <v>31000.0</v>
      </c>
      <c r="I75" s="146"/>
      <c r="J75" s="134">
        <v>207046.0</v>
      </c>
      <c r="K75" s="135" t="s">
        <v>613</v>
      </c>
      <c r="L75" s="136" t="s">
        <v>258</v>
      </c>
      <c r="M75" s="136">
        <v>30000.0</v>
      </c>
      <c r="N75" s="52">
        <v>116.0</v>
      </c>
      <c r="O75" s="52">
        <v>6.0</v>
      </c>
      <c r="P75" s="52">
        <v>300.0</v>
      </c>
      <c r="Q75" s="52" t="s">
        <v>213</v>
      </c>
      <c r="R75" s="52" t="s">
        <v>224</v>
      </c>
      <c r="S75" s="50">
        <f t="shared" si="9"/>
        <v>14.5</v>
      </c>
      <c r="T75" s="50">
        <f t="shared" si="10"/>
        <v>235.8</v>
      </c>
      <c r="U75" s="69">
        <f t="shared" si="11"/>
        <v>16.26206897</v>
      </c>
      <c r="V75" s="70">
        <f t="shared" si="12"/>
        <v>1844.783715</v>
      </c>
      <c r="X75" s="60"/>
      <c r="Y75" s="60"/>
      <c r="Z75" s="60"/>
      <c r="AA75" s="80"/>
      <c r="AB75" s="81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  <c r="BT75" s="82"/>
      <c r="BU75" s="82"/>
      <c r="BV75" s="82"/>
      <c r="BW75" s="82"/>
      <c r="BX75" s="82"/>
      <c r="BY75" s="82"/>
      <c r="BZ75" s="82"/>
      <c r="CA75" s="82"/>
      <c r="CB75" s="82"/>
      <c r="CC75" s="82"/>
      <c r="CD75" s="82"/>
      <c r="CE75" s="82"/>
      <c r="CF75" s="82"/>
      <c r="CG75" s="82"/>
      <c r="CH75" s="82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  <c r="CT75" s="82"/>
      <c r="CU75" s="82"/>
      <c r="CV75" s="82"/>
    </row>
    <row r="76" ht="20.25" customHeight="1">
      <c r="A76" s="66">
        <v>2.0</v>
      </c>
      <c r="B76" s="50" t="s">
        <v>508</v>
      </c>
      <c r="C76" s="66" t="s">
        <v>614</v>
      </c>
      <c r="D76" s="51" t="s">
        <v>67</v>
      </c>
      <c r="E76" s="146"/>
      <c r="F76" s="162">
        <v>5.400092348E9</v>
      </c>
      <c r="G76" s="162" t="s">
        <v>540</v>
      </c>
      <c r="H76" s="149">
        <v>22000.0</v>
      </c>
      <c r="I76" s="146"/>
      <c r="J76" s="134">
        <v>207047.0</v>
      </c>
      <c r="K76" s="135" t="s">
        <v>615</v>
      </c>
      <c r="L76" s="136" t="s">
        <v>258</v>
      </c>
      <c r="M76" s="136">
        <v>21000.0</v>
      </c>
      <c r="N76" s="100">
        <v>75.0</v>
      </c>
      <c r="O76" s="100">
        <v>3.0</v>
      </c>
      <c r="P76" s="100">
        <v>330.0</v>
      </c>
      <c r="Q76" s="100" t="s">
        <v>213</v>
      </c>
      <c r="R76" s="100" t="s">
        <v>616</v>
      </c>
      <c r="S76" s="50">
        <f t="shared" si="9"/>
        <v>9.375</v>
      </c>
      <c r="T76" s="50">
        <f t="shared" si="10"/>
        <v>117.9</v>
      </c>
      <c r="U76" s="69">
        <f t="shared" si="11"/>
        <v>12.576</v>
      </c>
      <c r="V76" s="70">
        <f t="shared" si="12"/>
        <v>1669.847328</v>
      </c>
      <c r="X76" s="60"/>
      <c r="Y76" s="60"/>
      <c r="Z76" s="60"/>
      <c r="AA76" s="80"/>
      <c r="AB76" s="81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  <c r="BT76" s="82"/>
      <c r="BU76" s="82"/>
      <c r="BV76" s="82"/>
      <c r="BW76" s="82"/>
      <c r="BX76" s="82"/>
      <c r="BY76" s="82"/>
      <c r="BZ76" s="82"/>
      <c r="CA76" s="82"/>
      <c r="CB76" s="82"/>
      <c r="CC76" s="82"/>
      <c r="CD76" s="82"/>
      <c r="CE76" s="82"/>
      <c r="CF76" s="82"/>
      <c r="CG76" s="82"/>
      <c r="CH76" s="82"/>
      <c r="CI76" s="82"/>
      <c r="CJ76" s="82"/>
      <c r="CK76" s="82"/>
      <c r="CL76" s="82"/>
      <c r="CM76" s="82"/>
      <c r="CN76" s="82"/>
      <c r="CO76" s="82"/>
      <c r="CP76" s="82"/>
      <c r="CQ76" s="82"/>
      <c r="CR76" s="82"/>
      <c r="CS76" s="82"/>
      <c r="CT76" s="82"/>
      <c r="CU76" s="82"/>
      <c r="CV76" s="82"/>
    </row>
    <row r="77" ht="20.25" customHeight="1">
      <c r="A77" s="66">
        <v>3.0</v>
      </c>
      <c r="B77" s="50" t="s">
        <v>508</v>
      </c>
      <c r="C77" s="66" t="s">
        <v>617</v>
      </c>
      <c r="D77" s="51" t="s">
        <v>67</v>
      </c>
      <c r="E77" s="146"/>
      <c r="F77" s="162">
        <v>5.400092348E9</v>
      </c>
      <c r="G77" s="162" t="s">
        <v>540</v>
      </c>
      <c r="H77" s="149">
        <v>10000.0</v>
      </c>
      <c r="I77" s="146"/>
      <c r="J77" s="134">
        <v>207042.0</v>
      </c>
      <c r="K77" s="135" t="s">
        <v>618</v>
      </c>
      <c r="L77" s="136" t="s">
        <v>258</v>
      </c>
      <c r="M77" s="136">
        <v>9000.0</v>
      </c>
      <c r="N77" s="50">
        <v>92.0</v>
      </c>
      <c r="O77" s="50">
        <v>8.0</v>
      </c>
      <c r="P77" s="50">
        <v>150.0</v>
      </c>
      <c r="Q77" s="136" t="s">
        <v>63</v>
      </c>
      <c r="R77" s="50" t="s">
        <v>619</v>
      </c>
      <c r="S77" s="50">
        <f t="shared" si="9"/>
        <v>11.5</v>
      </c>
      <c r="T77" s="50">
        <f t="shared" si="10"/>
        <v>314.4</v>
      </c>
      <c r="U77" s="69">
        <f t="shared" si="11"/>
        <v>27.33913043</v>
      </c>
      <c r="V77" s="70">
        <f t="shared" si="12"/>
        <v>329.1984733</v>
      </c>
      <c r="X77" s="60"/>
      <c r="Y77" s="60"/>
      <c r="Z77" s="60"/>
      <c r="AA77" s="80"/>
      <c r="AB77" s="81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  <c r="BT77" s="82"/>
      <c r="BU77" s="82"/>
      <c r="BV77" s="82"/>
      <c r="BW77" s="82"/>
      <c r="BX77" s="82"/>
      <c r="BY77" s="82"/>
      <c r="BZ77" s="82"/>
      <c r="CA77" s="82"/>
      <c r="CB77" s="82"/>
      <c r="CC77" s="82"/>
      <c r="CD77" s="82"/>
      <c r="CE77" s="82"/>
      <c r="CF77" s="82"/>
      <c r="CG77" s="82"/>
      <c r="CH77" s="82"/>
      <c r="CI77" s="82"/>
      <c r="CJ77" s="82"/>
      <c r="CK77" s="82"/>
      <c r="CL77" s="82"/>
      <c r="CM77" s="82"/>
      <c r="CN77" s="82"/>
      <c r="CO77" s="82"/>
      <c r="CP77" s="82"/>
      <c r="CQ77" s="82"/>
      <c r="CR77" s="82"/>
      <c r="CS77" s="82"/>
      <c r="CT77" s="82"/>
      <c r="CU77" s="82"/>
      <c r="CV77" s="82"/>
    </row>
    <row r="78" ht="20.25" customHeight="1">
      <c r="A78" s="66">
        <v>2.0</v>
      </c>
      <c r="B78" s="45" t="s">
        <v>367</v>
      </c>
      <c r="C78" s="50" t="s">
        <v>620</v>
      </c>
      <c r="D78" s="45" t="s">
        <v>621</v>
      </c>
      <c r="E78" s="47"/>
      <c r="F78" s="47"/>
      <c r="G78" s="47"/>
      <c r="H78" s="47"/>
      <c r="I78" s="47"/>
      <c r="J78" s="47"/>
      <c r="K78" s="51" t="s">
        <v>622</v>
      </c>
      <c r="L78" s="47"/>
      <c r="M78" s="50">
        <v>5000.0</v>
      </c>
      <c r="N78" s="50">
        <v>75.0</v>
      </c>
      <c r="O78" s="50">
        <v>4.0</v>
      </c>
      <c r="P78" s="50">
        <v>170.0</v>
      </c>
      <c r="Q78" s="50" t="s">
        <v>63</v>
      </c>
      <c r="R78" s="50" t="s">
        <v>623</v>
      </c>
      <c r="S78" s="126">
        <f t="shared" si="9"/>
        <v>9.375</v>
      </c>
      <c r="T78" s="126">
        <f t="shared" si="10"/>
        <v>157.2</v>
      </c>
      <c r="U78" s="127">
        <f t="shared" si="11"/>
        <v>16.768</v>
      </c>
      <c r="V78" s="128">
        <f t="shared" si="12"/>
        <v>298.1870229</v>
      </c>
      <c r="X78" s="47"/>
      <c r="Y78" s="47"/>
      <c r="Z78" s="47"/>
      <c r="AA78" s="80"/>
      <c r="AB78" s="81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  <c r="BT78" s="82"/>
      <c r="BU78" s="82"/>
      <c r="BV78" s="82"/>
      <c r="BW78" s="82"/>
      <c r="BX78" s="82"/>
      <c r="BY78" s="82"/>
      <c r="BZ78" s="82"/>
      <c r="CA78" s="82"/>
      <c r="CB78" s="82"/>
      <c r="CC78" s="82"/>
      <c r="CD78" s="82"/>
      <c r="CE78" s="82"/>
      <c r="CF78" s="82"/>
      <c r="CG78" s="82"/>
      <c r="CH78" s="82"/>
      <c r="CI78" s="82"/>
      <c r="CJ78" s="82"/>
      <c r="CK78" s="82"/>
      <c r="CL78" s="82"/>
      <c r="CM78" s="82"/>
      <c r="CN78" s="82"/>
      <c r="CO78" s="82"/>
      <c r="CP78" s="82"/>
      <c r="CQ78" s="82"/>
      <c r="CR78" s="82"/>
      <c r="CS78" s="82"/>
      <c r="CT78" s="82"/>
      <c r="CU78" s="82"/>
      <c r="CV78" s="82"/>
    </row>
    <row r="79" ht="20.25" customHeight="1">
      <c r="A79" s="66">
        <v>12.0</v>
      </c>
      <c r="B79" s="57">
        <v>46269.0</v>
      </c>
      <c r="C79" s="66" t="s">
        <v>624</v>
      </c>
      <c r="D79" s="51" t="s">
        <v>67</v>
      </c>
      <c r="E79" s="146"/>
      <c r="F79" s="162">
        <v>5.400092171E9</v>
      </c>
      <c r="G79" s="162" t="s">
        <v>52</v>
      </c>
      <c r="H79" s="162">
        <v>5000.0</v>
      </c>
      <c r="I79" s="146"/>
      <c r="J79" s="50">
        <v>206848.0</v>
      </c>
      <c r="K79" s="51" t="s">
        <v>625</v>
      </c>
      <c r="L79" s="50" t="s">
        <v>258</v>
      </c>
      <c r="M79" s="122">
        <v>5000.0</v>
      </c>
      <c r="N79" s="162">
        <v>75.0</v>
      </c>
      <c r="O79" s="162">
        <v>3.0</v>
      </c>
      <c r="P79" s="162">
        <v>330.0</v>
      </c>
      <c r="Q79" s="66" t="s">
        <v>213</v>
      </c>
      <c r="R79" s="162" t="s">
        <v>241</v>
      </c>
      <c r="S79" s="50">
        <f t="shared" si="9"/>
        <v>9.375</v>
      </c>
      <c r="T79" s="50">
        <f t="shared" si="10"/>
        <v>117.9</v>
      </c>
      <c r="U79" s="69">
        <f t="shared" si="11"/>
        <v>12.576</v>
      </c>
      <c r="V79" s="70">
        <f t="shared" si="12"/>
        <v>397.5826972</v>
      </c>
      <c r="X79" s="60"/>
      <c r="Y79" s="60"/>
      <c r="Z79" s="60"/>
      <c r="AA79" s="80"/>
      <c r="AB79" s="81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Q79" s="82"/>
      <c r="BR79" s="82"/>
      <c r="BS79" s="82"/>
      <c r="BT79" s="82"/>
      <c r="BU79" s="82"/>
      <c r="BV79" s="82"/>
      <c r="BW79" s="82"/>
      <c r="BX79" s="82"/>
      <c r="BY79" s="82"/>
      <c r="BZ79" s="82"/>
      <c r="CA79" s="82"/>
      <c r="CB79" s="82"/>
      <c r="CC79" s="82"/>
      <c r="CD79" s="82"/>
      <c r="CE79" s="82"/>
      <c r="CF79" s="82"/>
      <c r="CG79" s="82"/>
      <c r="CH79" s="82"/>
      <c r="CI79" s="82"/>
      <c r="CJ79" s="82"/>
      <c r="CK79" s="82"/>
      <c r="CL79" s="82"/>
      <c r="CM79" s="82"/>
      <c r="CN79" s="82"/>
      <c r="CO79" s="82"/>
      <c r="CP79" s="82"/>
      <c r="CQ79" s="82"/>
      <c r="CR79" s="82"/>
      <c r="CS79" s="82"/>
      <c r="CT79" s="82"/>
      <c r="CU79" s="82"/>
      <c r="CV79" s="82"/>
    </row>
    <row r="80" ht="20.25" customHeight="1">
      <c r="A80" s="66">
        <v>9.0</v>
      </c>
      <c r="B80" s="57">
        <v>46269.0</v>
      </c>
      <c r="C80" s="66" t="s">
        <v>626</v>
      </c>
      <c r="D80" s="51" t="s">
        <v>67</v>
      </c>
      <c r="E80" s="146"/>
      <c r="F80" s="162" t="s">
        <v>627</v>
      </c>
      <c r="G80" s="162" t="s">
        <v>628</v>
      </c>
      <c r="H80" s="162" t="s">
        <v>629</v>
      </c>
      <c r="I80" s="146"/>
      <c r="J80" s="50">
        <v>205943.0</v>
      </c>
      <c r="K80" s="51" t="s">
        <v>630</v>
      </c>
      <c r="L80" s="50" t="s">
        <v>258</v>
      </c>
      <c r="M80" s="122">
        <v>30000.0</v>
      </c>
      <c r="N80" s="66">
        <v>116.0</v>
      </c>
      <c r="O80" s="66">
        <v>6.0</v>
      </c>
      <c r="P80" s="66">
        <v>300.0</v>
      </c>
      <c r="Q80" s="50" t="s">
        <v>213</v>
      </c>
      <c r="R80" s="66" t="s">
        <v>224</v>
      </c>
      <c r="S80" s="50">
        <f t="shared" si="9"/>
        <v>14.5</v>
      </c>
      <c r="T80" s="50">
        <f t="shared" si="10"/>
        <v>235.8</v>
      </c>
      <c r="U80" s="69">
        <f t="shared" si="11"/>
        <v>16.26206897</v>
      </c>
      <c r="V80" s="70">
        <f t="shared" si="12"/>
        <v>1844.783715</v>
      </c>
      <c r="X80" s="60"/>
      <c r="Y80" s="60"/>
      <c r="Z80" s="60"/>
      <c r="AA80" s="80"/>
      <c r="AB80" s="81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  <c r="BT80" s="82"/>
      <c r="BU80" s="82"/>
      <c r="BV80" s="82"/>
      <c r="BW80" s="82"/>
      <c r="BX80" s="82"/>
      <c r="BY80" s="82"/>
      <c r="BZ80" s="82"/>
      <c r="CA80" s="82"/>
      <c r="CB80" s="82"/>
      <c r="CC80" s="82"/>
      <c r="CD80" s="82"/>
      <c r="CE80" s="82"/>
      <c r="CF80" s="82"/>
      <c r="CG80" s="82"/>
      <c r="CH80" s="82"/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</row>
    <row r="81" ht="20.25" customHeight="1">
      <c r="A81" s="66">
        <v>6.0</v>
      </c>
      <c r="B81" s="57">
        <v>46269.0</v>
      </c>
      <c r="C81" s="66" t="s">
        <v>631</v>
      </c>
      <c r="D81" s="51" t="s">
        <v>67</v>
      </c>
      <c r="E81" s="146"/>
      <c r="F81" s="162">
        <v>5.400092627E9</v>
      </c>
      <c r="G81" s="207">
        <v>46361.0</v>
      </c>
      <c r="H81" s="162">
        <v>10000.0</v>
      </c>
      <c r="I81" s="146"/>
      <c r="J81" s="50">
        <v>202308.0</v>
      </c>
      <c r="K81" s="51" t="s">
        <v>632</v>
      </c>
      <c r="L81" s="50" t="s">
        <v>258</v>
      </c>
      <c r="M81" s="122">
        <v>5000.0</v>
      </c>
      <c r="N81" s="50">
        <v>180.0</v>
      </c>
      <c r="O81" s="50">
        <v>1.0</v>
      </c>
      <c r="P81" s="50">
        <v>145.0</v>
      </c>
      <c r="Q81" s="52" t="s">
        <v>213</v>
      </c>
      <c r="R81" s="50" t="s">
        <v>633</v>
      </c>
      <c r="S81" s="50">
        <f t="shared" si="9"/>
        <v>22.5</v>
      </c>
      <c r="T81" s="50">
        <f t="shared" si="10"/>
        <v>39.3</v>
      </c>
      <c r="U81" s="69">
        <f t="shared" si="11"/>
        <v>1.746666667</v>
      </c>
      <c r="V81" s="70">
        <f t="shared" si="12"/>
        <v>2862.59542</v>
      </c>
      <c r="X81" s="60"/>
      <c r="Y81" s="60"/>
      <c r="Z81" s="60"/>
      <c r="AA81" s="80"/>
      <c r="AB81" s="81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  <c r="BT81" s="82"/>
      <c r="BU81" s="82"/>
      <c r="BV81" s="82"/>
      <c r="BW81" s="82"/>
      <c r="BX81" s="82"/>
      <c r="BY81" s="82"/>
      <c r="BZ81" s="82"/>
      <c r="CA81" s="82"/>
      <c r="CB81" s="82"/>
      <c r="CC81" s="82"/>
      <c r="CD81" s="82"/>
      <c r="CE81" s="82"/>
      <c r="CF81" s="82"/>
      <c r="CG81" s="82"/>
      <c r="CH81" s="82"/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</row>
    <row r="82" ht="20.25" customHeight="1">
      <c r="A82" s="66">
        <v>8.0</v>
      </c>
      <c r="B82" s="57">
        <v>46269.0</v>
      </c>
      <c r="C82" s="66" t="s">
        <v>634</v>
      </c>
      <c r="D82" s="51" t="s">
        <v>67</v>
      </c>
      <c r="E82" s="146"/>
      <c r="F82" s="162" t="s">
        <v>635</v>
      </c>
      <c r="G82" s="162" t="s">
        <v>636</v>
      </c>
      <c r="H82" s="162" t="s">
        <v>637</v>
      </c>
      <c r="I82" s="146"/>
      <c r="J82" s="50">
        <v>207485.0</v>
      </c>
      <c r="K82" s="51" t="s">
        <v>638</v>
      </c>
      <c r="L82" s="50" t="s">
        <v>258</v>
      </c>
      <c r="M82" s="122">
        <v>11000.0</v>
      </c>
      <c r="N82" s="52">
        <v>116.0</v>
      </c>
      <c r="O82" s="52">
        <v>6.0</v>
      </c>
      <c r="P82" s="52">
        <v>300.0</v>
      </c>
      <c r="Q82" s="52" t="s">
        <v>213</v>
      </c>
      <c r="R82" s="52" t="s">
        <v>224</v>
      </c>
      <c r="S82" s="50">
        <f t="shared" si="9"/>
        <v>14.5</v>
      </c>
      <c r="T82" s="50">
        <f t="shared" si="10"/>
        <v>235.8</v>
      </c>
      <c r="U82" s="69">
        <f t="shared" si="11"/>
        <v>16.26206897</v>
      </c>
      <c r="V82" s="70">
        <f t="shared" si="12"/>
        <v>676.4206955</v>
      </c>
      <c r="X82" s="60"/>
      <c r="Y82" s="60"/>
      <c r="Z82" s="60"/>
      <c r="AA82" s="80"/>
      <c r="AB82" s="81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Q82" s="82"/>
      <c r="BR82" s="82"/>
      <c r="BS82" s="82"/>
      <c r="BT82" s="82"/>
      <c r="BU82" s="82"/>
      <c r="BV82" s="82"/>
      <c r="BW82" s="82"/>
      <c r="BX82" s="82"/>
      <c r="BY82" s="82"/>
      <c r="BZ82" s="82"/>
      <c r="CA82" s="82"/>
      <c r="CB82" s="82"/>
      <c r="CC82" s="82"/>
      <c r="CD82" s="82"/>
      <c r="CE82" s="82"/>
      <c r="CF82" s="82"/>
      <c r="CG82" s="82"/>
      <c r="CH82" s="82"/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</row>
    <row r="83" ht="20.25" customHeight="1">
      <c r="A83" s="66">
        <v>10.0</v>
      </c>
      <c r="B83" s="57">
        <v>46269.0</v>
      </c>
      <c r="C83" s="66" t="s">
        <v>639</v>
      </c>
      <c r="D83" s="51" t="s">
        <v>67</v>
      </c>
      <c r="E83" s="146"/>
      <c r="F83" s="162" t="s">
        <v>640</v>
      </c>
      <c r="G83" s="162" t="s">
        <v>641</v>
      </c>
      <c r="H83" s="162" t="s">
        <v>642</v>
      </c>
      <c r="I83" s="146"/>
      <c r="J83" s="66">
        <v>206555.0</v>
      </c>
      <c r="K83" s="51" t="s">
        <v>643</v>
      </c>
      <c r="L83" s="66" t="s">
        <v>258</v>
      </c>
      <c r="M83" s="122">
        <v>10400.0</v>
      </c>
      <c r="N83" s="50">
        <v>112.0</v>
      </c>
      <c r="O83" s="50">
        <v>1.0</v>
      </c>
      <c r="P83" s="50">
        <v>205.0</v>
      </c>
      <c r="Q83" s="50" t="s">
        <v>213</v>
      </c>
      <c r="R83" s="50" t="s">
        <v>644</v>
      </c>
      <c r="S83" s="50">
        <f t="shared" si="9"/>
        <v>14</v>
      </c>
      <c r="T83" s="50">
        <f t="shared" si="10"/>
        <v>39.3</v>
      </c>
      <c r="U83" s="69">
        <f t="shared" si="11"/>
        <v>2.807142857</v>
      </c>
      <c r="V83" s="70">
        <f t="shared" si="12"/>
        <v>3704.834606</v>
      </c>
      <c r="X83" s="60"/>
      <c r="Y83" s="60"/>
      <c r="Z83" s="60"/>
      <c r="AA83" s="80"/>
      <c r="AB83" s="81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  <c r="BT83" s="82"/>
      <c r="BU83" s="82"/>
      <c r="BV83" s="82"/>
      <c r="BW83" s="82"/>
      <c r="BX83" s="82"/>
      <c r="BY83" s="82"/>
      <c r="BZ83" s="82"/>
      <c r="CA83" s="82"/>
      <c r="CB83" s="82"/>
      <c r="CC83" s="82"/>
      <c r="CD83" s="82"/>
      <c r="CE83" s="82"/>
      <c r="CF83" s="82"/>
      <c r="CG83" s="82"/>
      <c r="CH83" s="82"/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</row>
    <row r="84" ht="20.25" customHeight="1">
      <c r="A84" s="66">
        <v>2.0</v>
      </c>
      <c r="B84" s="57">
        <v>46269.0</v>
      </c>
      <c r="C84" s="66" t="s">
        <v>645</v>
      </c>
      <c r="D84" s="51" t="s">
        <v>67</v>
      </c>
      <c r="E84" s="146"/>
      <c r="F84" s="162">
        <v>5.400092423E9</v>
      </c>
      <c r="G84" s="207">
        <v>46117.0</v>
      </c>
      <c r="H84" s="162">
        <v>15000.0</v>
      </c>
      <c r="I84" s="146"/>
      <c r="J84" s="50">
        <v>206778.0</v>
      </c>
      <c r="K84" s="51" t="s">
        <v>646</v>
      </c>
      <c r="L84" s="50" t="s">
        <v>258</v>
      </c>
      <c r="M84" s="122">
        <v>11300.0</v>
      </c>
      <c r="N84" s="50">
        <v>94.0</v>
      </c>
      <c r="O84" s="50">
        <v>8.0</v>
      </c>
      <c r="P84" s="50">
        <v>210.0</v>
      </c>
      <c r="Q84" s="50" t="s">
        <v>213</v>
      </c>
      <c r="R84" s="50" t="s">
        <v>647</v>
      </c>
      <c r="S84" s="50">
        <f t="shared" si="9"/>
        <v>11.75</v>
      </c>
      <c r="T84" s="50">
        <f t="shared" si="10"/>
        <v>314.4</v>
      </c>
      <c r="U84" s="69">
        <f t="shared" si="11"/>
        <v>26.75744681</v>
      </c>
      <c r="V84" s="70">
        <f t="shared" si="12"/>
        <v>422.312341</v>
      </c>
      <c r="X84" s="60"/>
      <c r="Y84" s="60"/>
      <c r="Z84" s="60"/>
    </row>
    <row r="85" ht="20.25" customHeight="1">
      <c r="A85" s="66">
        <v>3.0</v>
      </c>
      <c r="B85" s="50" t="s">
        <v>648</v>
      </c>
      <c r="C85" s="50" t="s">
        <v>649</v>
      </c>
      <c r="D85" s="45" t="s">
        <v>78</v>
      </c>
      <c r="E85" s="47"/>
      <c r="F85" s="47"/>
      <c r="G85" s="47"/>
      <c r="H85" s="47"/>
      <c r="I85" s="111" t="s">
        <v>148</v>
      </c>
      <c r="J85" s="85"/>
      <c r="K85" s="51" t="s">
        <v>299</v>
      </c>
      <c r="L85" s="47"/>
      <c r="M85" s="50">
        <v>25400.0</v>
      </c>
      <c r="N85" s="50">
        <v>99.0</v>
      </c>
      <c r="O85" s="50">
        <v>4.0</v>
      </c>
      <c r="P85" s="50">
        <v>140.0</v>
      </c>
      <c r="Q85" s="66" t="s">
        <v>63</v>
      </c>
      <c r="R85" s="50" t="s">
        <v>302</v>
      </c>
      <c r="S85" s="66">
        <f t="shared" si="9"/>
        <v>12.375</v>
      </c>
      <c r="T85" s="66">
        <f t="shared" si="10"/>
        <v>157.2</v>
      </c>
      <c r="U85" s="113">
        <f t="shared" si="11"/>
        <v>12.7030303</v>
      </c>
      <c r="V85" s="114">
        <f t="shared" si="12"/>
        <v>1999.522901</v>
      </c>
      <c r="X85" s="47"/>
      <c r="Y85" s="47"/>
      <c r="Z85" s="47"/>
    </row>
    <row r="86" ht="20.25" customHeight="1">
      <c r="A86" s="66">
        <v>4.0</v>
      </c>
      <c r="B86" s="50" t="s">
        <v>484</v>
      </c>
      <c r="C86" s="50" t="s">
        <v>650</v>
      </c>
      <c r="D86" s="45" t="s">
        <v>78</v>
      </c>
      <c r="E86" s="47"/>
      <c r="F86" s="47"/>
      <c r="G86" s="47"/>
      <c r="H86" s="47"/>
      <c r="I86" s="111" t="s">
        <v>148</v>
      </c>
      <c r="J86" s="85"/>
      <c r="K86" s="51" t="s">
        <v>651</v>
      </c>
      <c r="L86" s="47"/>
      <c r="M86" s="50">
        <v>12700.0</v>
      </c>
      <c r="N86" s="50">
        <v>99.0</v>
      </c>
      <c r="O86" s="50">
        <v>4.0</v>
      </c>
      <c r="P86" s="50">
        <v>140.0</v>
      </c>
      <c r="Q86" s="66" t="s">
        <v>63</v>
      </c>
      <c r="R86" s="50" t="s">
        <v>302</v>
      </c>
      <c r="S86" s="66">
        <f t="shared" si="9"/>
        <v>12.375</v>
      </c>
      <c r="T86" s="66">
        <f t="shared" si="10"/>
        <v>157.2</v>
      </c>
      <c r="U86" s="113">
        <f t="shared" si="11"/>
        <v>12.7030303</v>
      </c>
      <c r="V86" s="114">
        <f t="shared" si="12"/>
        <v>999.7614504</v>
      </c>
      <c r="X86" s="47"/>
      <c r="Y86" s="47"/>
      <c r="Z86" s="47"/>
    </row>
    <row r="87" ht="20.25" customHeight="1">
      <c r="A87" s="66">
        <v>17.0</v>
      </c>
      <c r="B87" s="50" t="s">
        <v>652</v>
      </c>
      <c r="C87" s="50" t="s">
        <v>653</v>
      </c>
      <c r="D87" s="51" t="s">
        <v>67</v>
      </c>
      <c r="E87" s="47"/>
      <c r="F87" s="162">
        <v>5.400092639E9</v>
      </c>
      <c r="G87" s="50" t="s">
        <v>654</v>
      </c>
      <c r="H87" s="50">
        <v>11000.0</v>
      </c>
      <c r="I87" s="47"/>
      <c r="J87" s="50">
        <v>207862.0</v>
      </c>
      <c r="K87" s="135" t="s">
        <v>655</v>
      </c>
      <c r="L87" s="47"/>
      <c r="M87" s="66">
        <v>10300.0</v>
      </c>
      <c r="N87" s="100">
        <v>75.0</v>
      </c>
      <c r="O87" s="100">
        <v>3.0</v>
      </c>
      <c r="P87" s="100">
        <v>240.0</v>
      </c>
      <c r="Q87" s="100" t="s">
        <v>213</v>
      </c>
      <c r="R87" s="100" t="s">
        <v>656</v>
      </c>
      <c r="S87" s="50">
        <f t="shared" si="9"/>
        <v>9.375</v>
      </c>
      <c r="T87" s="50">
        <f t="shared" si="10"/>
        <v>117.9</v>
      </c>
      <c r="U87" s="69">
        <f t="shared" si="11"/>
        <v>12.576</v>
      </c>
      <c r="V87" s="70">
        <f t="shared" si="12"/>
        <v>819.0203562</v>
      </c>
      <c r="X87" s="47"/>
      <c r="Y87" s="47"/>
      <c r="Z87" s="47"/>
    </row>
    <row r="88" ht="20.25" customHeight="1">
      <c r="A88" s="66">
        <v>18.0</v>
      </c>
      <c r="B88" s="50" t="s">
        <v>652</v>
      </c>
      <c r="C88" s="50" t="s">
        <v>657</v>
      </c>
      <c r="D88" s="51" t="s">
        <v>67</v>
      </c>
      <c r="E88" s="47"/>
      <c r="F88" s="50">
        <v>5.400092551E9</v>
      </c>
      <c r="G88" s="153">
        <v>46239.0</v>
      </c>
      <c r="H88" s="50">
        <v>10000.0</v>
      </c>
      <c r="I88" s="47"/>
      <c r="J88" s="50">
        <v>207878.0</v>
      </c>
      <c r="K88" s="135" t="s">
        <v>658</v>
      </c>
      <c r="L88" s="47"/>
      <c r="M88" s="66">
        <v>8000.0</v>
      </c>
      <c r="N88" s="100">
        <v>75.0</v>
      </c>
      <c r="O88" s="100">
        <v>3.0</v>
      </c>
      <c r="P88" s="100">
        <v>240.0</v>
      </c>
      <c r="Q88" s="100" t="s">
        <v>213</v>
      </c>
      <c r="R88" s="100" t="s">
        <v>656</v>
      </c>
      <c r="S88" s="50">
        <f t="shared" si="9"/>
        <v>9.375</v>
      </c>
      <c r="T88" s="50">
        <f t="shared" si="10"/>
        <v>117.9</v>
      </c>
      <c r="U88" s="69">
        <f t="shared" si="11"/>
        <v>12.576</v>
      </c>
      <c r="V88" s="70">
        <f t="shared" si="12"/>
        <v>636.1323155</v>
      </c>
      <c r="X88" s="47"/>
      <c r="Y88" s="47"/>
      <c r="Z88" s="47"/>
    </row>
    <row r="89" ht="20.25" customHeight="1">
      <c r="A89" s="66">
        <v>22.0</v>
      </c>
      <c r="B89" s="50" t="s">
        <v>652</v>
      </c>
      <c r="C89" s="50" t="s">
        <v>659</v>
      </c>
      <c r="D89" s="51" t="s">
        <v>67</v>
      </c>
      <c r="E89" s="47"/>
      <c r="F89" s="50">
        <v>5.400092551E9</v>
      </c>
      <c r="G89" s="153">
        <v>46239.0</v>
      </c>
      <c r="H89" s="50">
        <v>5000.0</v>
      </c>
      <c r="I89" s="47"/>
      <c r="J89" s="50">
        <v>207872.0</v>
      </c>
      <c r="K89" s="135" t="s">
        <v>660</v>
      </c>
      <c r="L89" s="47"/>
      <c r="M89" s="66">
        <v>3000.0</v>
      </c>
      <c r="N89" s="100">
        <v>75.0</v>
      </c>
      <c r="O89" s="100">
        <v>3.0</v>
      </c>
      <c r="P89" s="100">
        <v>240.0</v>
      </c>
      <c r="Q89" s="100" t="s">
        <v>213</v>
      </c>
      <c r="R89" s="100" t="s">
        <v>656</v>
      </c>
      <c r="S89" s="50">
        <f t="shared" si="9"/>
        <v>9.375</v>
      </c>
      <c r="T89" s="50">
        <f t="shared" si="10"/>
        <v>117.9</v>
      </c>
      <c r="U89" s="69">
        <f t="shared" si="11"/>
        <v>12.576</v>
      </c>
      <c r="V89" s="70">
        <f t="shared" si="12"/>
        <v>238.5496183</v>
      </c>
      <c r="X89" s="47"/>
      <c r="Y89" s="47"/>
      <c r="Z89" s="47"/>
    </row>
    <row r="90" ht="20.25" customHeight="1">
      <c r="A90" s="66">
        <v>20.0</v>
      </c>
      <c r="B90" s="50" t="s">
        <v>652</v>
      </c>
      <c r="C90" s="50" t="s">
        <v>661</v>
      </c>
      <c r="D90" s="51" t="s">
        <v>67</v>
      </c>
      <c r="E90" s="47"/>
      <c r="F90" s="50">
        <v>5.400092551E9</v>
      </c>
      <c r="G90" s="153">
        <v>46239.0</v>
      </c>
      <c r="H90" s="50">
        <v>5000.0</v>
      </c>
      <c r="I90" s="47"/>
      <c r="J90" s="50">
        <v>207876.0</v>
      </c>
      <c r="K90" s="135" t="s">
        <v>662</v>
      </c>
      <c r="L90" s="47"/>
      <c r="M90" s="66">
        <v>3000.0</v>
      </c>
      <c r="N90" s="100">
        <v>75.0</v>
      </c>
      <c r="O90" s="100">
        <v>3.0</v>
      </c>
      <c r="P90" s="100">
        <v>240.0</v>
      </c>
      <c r="Q90" s="100" t="s">
        <v>213</v>
      </c>
      <c r="R90" s="100" t="s">
        <v>656</v>
      </c>
      <c r="S90" s="50">
        <f t="shared" si="9"/>
        <v>9.375</v>
      </c>
      <c r="T90" s="50">
        <f t="shared" si="10"/>
        <v>117.9</v>
      </c>
      <c r="U90" s="69">
        <f t="shared" si="11"/>
        <v>12.576</v>
      </c>
      <c r="V90" s="70">
        <f t="shared" si="12"/>
        <v>238.5496183</v>
      </c>
      <c r="X90" s="47"/>
      <c r="Y90" s="47"/>
      <c r="Z90" s="47"/>
    </row>
    <row r="91" ht="20.25" customHeight="1">
      <c r="A91" s="66">
        <v>19.0</v>
      </c>
      <c r="B91" s="50" t="s">
        <v>652</v>
      </c>
      <c r="C91" s="50" t="s">
        <v>663</v>
      </c>
      <c r="D91" s="51" t="s">
        <v>67</v>
      </c>
      <c r="E91" s="47"/>
      <c r="F91" s="50">
        <v>5.400092551E9</v>
      </c>
      <c r="G91" s="153">
        <v>46239.0</v>
      </c>
      <c r="H91" s="50">
        <v>5000.0</v>
      </c>
      <c r="I91" s="47"/>
      <c r="J91" s="50">
        <v>207870.0</v>
      </c>
      <c r="K91" s="135" t="s">
        <v>664</v>
      </c>
      <c r="L91" s="47"/>
      <c r="M91" s="66">
        <v>3500.0</v>
      </c>
      <c r="N91" s="100">
        <v>94.0</v>
      </c>
      <c r="O91" s="100">
        <v>2.0</v>
      </c>
      <c r="P91" s="100">
        <v>290.0</v>
      </c>
      <c r="Q91" s="50" t="s">
        <v>213</v>
      </c>
      <c r="R91" s="100" t="s">
        <v>214</v>
      </c>
      <c r="S91" s="50">
        <f t="shared" si="9"/>
        <v>11.75</v>
      </c>
      <c r="T91" s="50">
        <f t="shared" si="10"/>
        <v>78.6</v>
      </c>
      <c r="U91" s="69">
        <f t="shared" si="11"/>
        <v>6.689361702</v>
      </c>
      <c r="V91" s="70">
        <f t="shared" si="12"/>
        <v>523.2188295</v>
      </c>
      <c r="X91" s="47"/>
      <c r="Y91" s="47"/>
      <c r="Z91" s="47"/>
    </row>
    <row r="92" ht="20.25" customHeight="1">
      <c r="A92" s="66">
        <v>6.0</v>
      </c>
      <c r="B92" s="50" t="s">
        <v>652</v>
      </c>
      <c r="C92" s="50" t="s">
        <v>665</v>
      </c>
      <c r="D92" s="51" t="s">
        <v>67</v>
      </c>
      <c r="E92" s="47"/>
      <c r="F92" s="50">
        <v>5.400092551E9</v>
      </c>
      <c r="G92" s="153">
        <v>46239.0</v>
      </c>
      <c r="H92" s="50">
        <v>5500.0</v>
      </c>
      <c r="I92" s="47"/>
      <c r="J92" s="50">
        <v>207969.0</v>
      </c>
      <c r="K92" s="135" t="s">
        <v>666</v>
      </c>
      <c r="L92" s="47"/>
      <c r="M92" s="66">
        <v>5200.0</v>
      </c>
      <c r="N92" s="100">
        <v>94.0</v>
      </c>
      <c r="O92" s="100">
        <v>2.0</v>
      </c>
      <c r="P92" s="100">
        <v>290.0</v>
      </c>
      <c r="Q92" s="50" t="s">
        <v>213</v>
      </c>
      <c r="R92" s="100" t="s">
        <v>214</v>
      </c>
      <c r="S92" s="50">
        <f t="shared" si="9"/>
        <v>11.75</v>
      </c>
      <c r="T92" s="50">
        <f t="shared" si="10"/>
        <v>78.6</v>
      </c>
      <c r="U92" s="69">
        <f t="shared" si="11"/>
        <v>6.689361702</v>
      </c>
      <c r="V92" s="70">
        <f t="shared" si="12"/>
        <v>777.3536896</v>
      </c>
      <c r="X92" s="47"/>
      <c r="Y92" s="47"/>
      <c r="Z92" s="47"/>
    </row>
    <row r="93" ht="20.25" customHeight="1">
      <c r="A93" s="66">
        <v>1.0</v>
      </c>
      <c r="B93" s="50" t="s">
        <v>652</v>
      </c>
      <c r="C93" s="50" t="s">
        <v>667</v>
      </c>
      <c r="D93" s="51" t="s">
        <v>67</v>
      </c>
      <c r="E93" s="47"/>
      <c r="F93" s="50">
        <v>5.400092551E9</v>
      </c>
      <c r="G93" s="153">
        <v>46239.0</v>
      </c>
      <c r="H93" s="50">
        <v>5000.0</v>
      </c>
      <c r="I93" s="47"/>
      <c r="J93" s="50">
        <v>207959.0</v>
      </c>
      <c r="K93" s="135" t="s">
        <v>668</v>
      </c>
      <c r="L93" s="47"/>
      <c r="M93" s="66">
        <v>5000.0</v>
      </c>
      <c r="N93" s="100">
        <v>94.0</v>
      </c>
      <c r="O93" s="100">
        <v>2.0</v>
      </c>
      <c r="P93" s="100">
        <v>290.0</v>
      </c>
      <c r="Q93" s="50" t="s">
        <v>213</v>
      </c>
      <c r="R93" s="100" t="s">
        <v>214</v>
      </c>
      <c r="S93" s="50">
        <f t="shared" si="9"/>
        <v>11.75</v>
      </c>
      <c r="T93" s="50">
        <f t="shared" si="10"/>
        <v>78.6</v>
      </c>
      <c r="U93" s="69">
        <f t="shared" si="11"/>
        <v>6.689361702</v>
      </c>
      <c r="V93" s="70">
        <f t="shared" si="12"/>
        <v>747.4554707</v>
      </c>
      <c r="X93" s="47"/>
      <c r="Y93" s="47"/>
      <c r="Z93" s="47"/>
    </row>
    <row r="94" ht="20.25" customHeight="1">
      <c r="A94" s="66">
        <v>8.0</v>
      </c>
      <c r="B94" s="50" t="s">
        <v>550</v>
      </c>
      <c r="C94" s="50" t="s">
        <v>669</v>
      </c>
      <c r="D94" s="45" t="s">
        <v>78</v>
      </c>
      <c r="E94" s="47"/>
      <c r="F94" s="171"/>
      <c r="G94" s="171"/>
      <c r="H94" s="208"/>
      <c r="I94" s="171"/>
      <c r="J94" s="171"/>
      <c r="K94" s="51" t="s">
        <v>670</v>
      </c>
      <c r="L94" s="47"/>
      <c r="M94" s="50">
        <v>69560.0</v>
      </c>
      <c r="N94" s="50">
        <v>94.0</v>
      </c>
      <c r="O94" s="50">
        <v>8.0</v>
      </c>
      <c r="P94" s="50">
        <v>180.0</v>
      </c>
      <c r="Q94" s="50" t="s">
        <v>50</v>
      </c>
      <c r="R94" s="50" t="s">
        <v>671</v>
      </c>
      <c r="S94" s="50">
        <f t="shared" si="9"/>
        <v>11.75</v>
      </c>
      <c r="T94" s="50">
        <f t="shared" si="10"/>
        <v>314.4</v>
      </c>
      <c r="U94" s="69">
        <f t="shared" si="11"/>
        <v>26.75744681</v>
      </c>
      <c r="V94" s="70">
        <f t="shared" si="12"/>
        <v>2599.650127</v>
      </c>
      <c r="X94" s="47"/>
      <c r="Y94" s="47"/>
      <c r="Z94" s="47"/>
    </row>
    <row r="95" ht="20.25" customHeight="1">
      <c r="A95" s="66">
        <v>9.0</v>
      </c>
      <c r="B95" s="50" t="s">
        <v>550</v>
      </c>
      <c r="C95" s="50" t="s">
        <v>672</v>
      </c>
      <c r="D95" s="45" t="s">
        <v>78</v>
      </c>
      <c r="E95" s="47"/>
      <c r="F95" s="171"/>
      <c r="G95" s="171"/>
      <c r="H95" s="208"/>
      <c r="I95" s="171"/>
      <c r="J95" s="171"/>
      <c r="K95" s="135" t="s">
        <v>673</v>
      </c>
      <c r="L95" s="171"/>
      <c r="M95" s="100">
        <v>57560.0</v>
      </c>
      <c r="N95" s="100">
        <v>118.0</v>
      </c>
      <c r="O95" s="100">
        <v>8.0</v>
      </c>
      <c r="P95" s="100">
        <v>240.0</v>
      </c>
      <c r="Q95" s="50" t="s">
        <v>50</v>
      </c>
      <c r="R95" s="100" t="s">
        <v>674</v>
      </c>
      <c r="S95" s="50">
        <f t="shared" si="9"/>
        <v>14.75</v>
      </c>
      <c r="T95" s="50">
        <f t="shared" si="10"/>
        <v>314.4</v>
      </c>
      <c r="U95" s="69">
        <f t="shared" si="11"/>
        <v>21.31525424</v>
      </c>
      <c r="V95" s="70">
        <f t="shared" si="12"/>
        <v>2700.413486</v>
      </c>
      <c r="X95" s="47"/>
      <c r="Y95" s="47"/>
      <c r="Z95" s="47"/>
    </row>
    <row r="96" ht="20.25" customHeight="1">
      <c r="A96" s="66">
        <v>2.0</v>
      </c>
      <c r="B96" s="50" t="s">
        <v>652</v>
      </c>
      <c r="C96" s="50" t="s">
        <v>675</v>
      </c>
      <c r="D96" s="51" t="s">
        <v>67</v>
      </c>
      <c r="E96" s="47"/>
      <c r="F96" s="162">
        <v>5.400092639E9</v>
      </c>
      <c r="G96" s="50" t="s">
        <v>654</v>
      </c>
      <c r="H96" s="50">
        <v>5000.0</v>
      </c>
      <c r="I96" s="47"/>
      <c r="J96" s="50">
        <v>207883.0</v>
      </c>
      <c r="K96" s="135" t="s">
        <v>676</v>
      </c>
      <c r="L96" s="47"/>
      <c r="M96" s="66">
        <v>5000.0</v>
      </c>
      <c r="N96" s="100">
        <v>94.0</v>
      </c>
      <c r="O96" s="100">
        <v>2.0</v>
      </c>
      <c r="P96" s="100">
        <v>290.0</v>
      </c>
      <c r="Q96" s="50" t="s">
        <v>213</v>
      </c>
      <c r="R96" s="100" t="s">
        <v>214</v>
      </c>
      <c r="S96" s="50">
        <f t="shared" si="9"/>
        <v>11.75</v>
      </c>
      <c r="T96" s="50">
        <f t="shared" si="10"/>
        <v>78.6</v>
      </c>
      <c r="U96" s="69">
        <f t="shared" si="11"/>
        <v>6.689361702</v>
      </c>
      <c r="V96" s="70">
        <f t="shared" si="12"/>
        <v>747.4554707</v>
      </c>
      <c r="X96" s="47"/>
      <c r="Y96" s="47"/>
      <c r="Z96" s="47"/>
    </row>
    <row r="97" ht="20.25" customHeight="1">
      <c r="A97" s="66">
        <v>1.0</v>
      </c>
      <c r="B97" s="50" t="s">
        <v>677</v>
      </c>
      <c r="C97" s="50" t="s">
        <v>678</v>
      </c>
      <c r="D97" s="51" t="s">
        <v>409</v>
      </c>
      <c r="E97" s="47"/>
      <c r="F97" s="66" t="s">
        <v>679</v>
      </c>
      <c r="G97" s="66" t="s">
        <v>479</v>
      </c>
      <c r="H97" s="66">
        <v>10250.0</v>
      </c>
      <c r="I97" s="47"/>
      <c r="J97" s="47"/>
      <c r="K97" s="51" t="s">
        <v>680</v>
      </c>
      <c r="L97" s="47"/>
      <c r="M97" s="66">
        <v>10250.0</v>
      </c>
      <c r="N97" s="66">
        <v>108.0</v>
      </c>
      <c r="O97" s="66">
        <v>4.0</v>
      </c>
      <c r="P97" s="66">
        <v>125.0</v>
      </c>
      <c r="Q97" s="66" t="s">
        <v>50</v>
      </c>
      <c r="R97" s="66" t="s">
        <v>412</v>
      </c>
      <c r="S97" s="66">
        <f t="shared" si="9"/>
        <v>13.5</v>
      </c>
      <c r="T97" s="66">
        <f t="shared" si="10"/>
        <v>157.2</v>
      </c>
      <c r="U97" s="113">
        <f t="shared" si="11"/>
        <v>11.64444444</v>
      </c>
      <c r="V97" s="114">
        <f t="shared" si="12"/>
        <v>880.2480916</v>
      </c>
      <c r="X97" s="47"/>
      <c r="Y97" s="47"/>
      <c r="Z97" s="47"/>
    </row>
    <row r="98" ht="20.25" customHeight="1">
      <c r="A98" s="66">
        <v>2.0</v>
      </c>
      <c r="B98" s="50" t="s">
        <v>652</v>
      </c>
      <c r="C98" s="50" t="s">
        <v>681</v>
      </c>
      <c r="D98" s="51" t="s">
        <v>67</v>
      </c>
      <c r="E98" s="47"/>
      <c r="F98" s="50">
        <v>5.400092551E9</v>
      </c>
      <c r="G98" s="153">
        <v>46239.0</v>
      </c>
      <c r="H98" s="50">
        <v>1000.0</v>
      </c>
      <c r="I98" s="47"/>
      <c r="J98" s="50">
        <v>207860.0</v>
      </c>
      <c r="K98" s="135" t="s">
        <v>682</v>
      </c>
      <c r="L98" s="47"/>
      <c r="M98" s="66">
        <v>1000.0</v>
      </c>
      <c r="N98" s="136">
        <v>108.0</v>
      </c>
      <c r="O98" s="136">
        <v>2.0</v>
      </c>
      <c r="P98" s="136">
        <v>320.0</v>
      </c>
      <c r="Q98" s="50" t="s">
        <v>213</v>
      </c>
      <c r="R98" s="136" t="s">
        <v>149</v>
      </c>
      <c r="S98" s="50">
        <f t="shared" si="9"/>
        <v>13.5</v>
      </c>
      <c r="T98" s="50">
        <f t="shared" si="10"/>
        <v>78.6</v>
      </c>
      <c r="U98" s="69">
        <f t="shared" si="11"/>
        <v>5.822222222</v>
      </c>
      <c r="V98" s="70">
        <f t="shared" si="12"/>
        <v>171.7557252</v>
      </c>
      <c r="X98" s="47"/>
      <c r="Y98" s="47"/>
      <c r="Z98" s="47"/>
    </row>
    <row r="99" ht="20.25" customHeight="1">
      <c r="A99" s="66">
        <v>4.0</v>
      </c>
      <c r="B99" s="50" t="s">
        <v>508</v>
      </c>
      <c r="C99" s="66" t="s">
        <v>683</v>
      </c>
      <c r="D99" s="51" t="s">
        <v>67</v>
      </c>
      <c r="E99" s="146"/>
      <c r="F99" s="50">
        <v>5.400092551E9</v>
      </c>
      <c r="G99" s="153">
        <v>46239.0</v>
      </c>
      <c r="H99" s="162">
        <v>5500.0</v>
      </c>
      <c r="I99" s="146"/>
      <c r="J99" s="66">
        <v>207875.0</v>
      </c>
      <c r="K99" s="51" t="s">
        <v>684</v>
      </c>
      <c r="L99" s="60"/>
      <c r="M99" s="66">
        <v>5500.0</v>
      </c>
      <c r="N99" s="100">
        <v>116.0</v>
      </c>
      <c r="O99" s="100">
        <v>4.0</v>
      </c>
      <c r="P99" s="100">
        <v>160.0</v>
      </c>
      <c r="Q99" s="100" t="s">
        <v>213</v>
      </c>
      <c r="R99" s="100" t="s">
        <v>685</v>
      </c>
      <c r="S99" s="50">
        <f t="shared" si="9"/>
        <v>14.5</v>
      </c>
      <c r="T99" s="50">
        <f t="shared" si="10"/>
        <v>157.2</v>
      </c>
      <c r="U99" s="69">
        <f t="shared" si="11"/>
        <v>10.84137931</v>
      </c>
      <c r="V99" s="70">
        <f t="shared" si="12"/>
        <v>507.3155216</v>
      </c>
      <c r="X99" s="60"/>
      <c r="Y99" s="60"/>
      <c r="Z99" s="60"/>
    </row>
    <row r="100" ht="20.25" customHeight="1">
      <c r="A100" s="66">
        <v>3.0</v>
      </c>
      <c r="B100" s="50" t="s">
        <v>652</v>
      </c>
      <c r="C100" s="50" t="s">
        <v>686</v>
      </c>
      <c r="D100" s="51" t="s">
        <v>67</v>
      </c>
      <c r="E100" s="47"/>
      <c r="F100" s="50">
        <v>5.400092551E9</v>
      </c>
      <c r="G100" s="153">
        <v>46239.0</v>
      </c>
      <c r="H100" s="50">
        <v>10000.0</v>
      </c>
      <c r="I100" s="47"/>
      <c r="J100" s="50">
        <v>207916.0</v>
      </c>
      <c r="K100" s="135" t="s">
        <v>687</v>
      </c>
      <c r="L100" s="47"/>
      <c r="M100" s="66">
        <v>8000.0</v>
      </c>
      <c r="N100" s="100">
        <v>116.0</v>
      </c>
      <c r="O100" s="100">
        <v>4.0</v>
      </c>
      <c r="P100" s="100">
        <v>160.0</v>
      </c>
      <c r="Q100" s="100" t="s">
        <v>213</v>
      </c>
      <c r="R100" s="100" t="s">
        <v>685</v>
      </c>
      <c r="S100" s="50">
        <f t="shared" si="9"/>
        <v>14.5</v>
      </c>
      <c r="T100" s="50">
        <f t="shared" si="10"/>
        <v>157.2</v>
      </c>
      <c r="U100" s="69">
        <f t="shared" si="11"/>
        <v>10.84137931</v>
      </c>
      <c r="V100" s="70">
        <f t="shared" si="12"/>
        <v>737.913486</v>
      </c>
      <c r="X100" s="47"/>
      <c r="Y100" s="47"/>
      <c r="Z100" s="47"/>
    </row>
    <row r="101" ht="20.25" customHeight="1">
      <c r="A101" s="66">
        <v>5.0</v>
      </c>
      <c r="B101" s="50" t="s">
        <v>508</v>
      </c>
      <c r="C101" s="66" t="s">
        <v>688</v>
      </c>
      <c r="D101" s="51" t="s">
        <v>67</v>
      </c>
      <c r="E101" s="146"/>
      <c r="F101" s="162">
        <v>5.400092639E9</v>
      </c>
      <c r="G101" s="50" t="s">
        <v>654</v>
      </c>
      <c r="H101" s="50">
        <v>5500.0</v>
      </c>
      <c r="I101" s="146"/>
      <c r="J101" s="66">
        <v>207925.0</v>
      </c>
      <c r="K101" s="51" t="s">
        <v>689</v>
      </c>
      <c r="L101" s="60"/>
      <c r="M101" s="66">
        <v>5500.0</v>
      </c>
      <c r="N101" s="50">
        <v>75.0</v>
      </c>
      <c r="O101" s="50">
        <v>3.0</v>
      </c>
      <c r="P101" s="50">
        <v>240.0</v>
      </c>
      <c r="Q101" s="50" t="s">
        <v>213</v>
      </c>
      <c r="R101" s="50" t="s">
        <v>656</v>
      </c>
      <c r="S101" s="50">
        <f t="shared" si="9"/>
        <v>9.375</v>
      </c>
      <c r="T101" s="50">
        <f t="shared" si="10"/>
        <v>117.9</v>
      </c>
      <c r="U101" s="69">
        <f t="shared" si="11"/>
        <v>12.576</v>
      </c>
      <c r="V101" s="70">
        <f t="shared" si="12"/>
        <v>437.3409669</v>
      </c>
      <c r="X101" s="60"/>
      <c r="Y101" s="60"/>
      <c r="Z101" s="60"/>
    </row>
    <row r="102" ht="20.25" customHeight="1">
      <c r="A102" s="66">
        <v>2.0</v>
      </c>
      <c r="B102" s="57">
        <v>46117.0</v>
      </c>
      <c r="C102" s="50" t="s">
        <v>690</v>
      </c>
      <c r="D102" s="51" t="s">
        <v>67</v>
      </c>
      <c r="E102" s="47"/>
      <c r="F102" s="162">
        <v>5.400092628E9</v>
      </c>
      <c r="G102" s="209">
        <v>46361.0</v>
      </c>
      <c r="H102" s="159">
        <v>17000.0</v>
      </c>
      <c r="I102" s="47"/>
      <c r="J102" s="50">
        <v>207623.0</v>
      </c>
      <c r="K102" s="51" t="s">
        <v>691</v>
      </c>
      <c r="L102" s="66" t="s">
        <v>692</v>
      </c>
      <c r="M102" s="122">
        <v>15000.0</v>
      </c>
      <c r="N102" s="50">
        <v>75.0</v>
      </c>
      <c r="O102" s="126">
        <v>3.0</v>
      </c>
      <c r="P102" s="126">
        <v>240.0</v>
      </c>
      <c r="Q102" s="100" t="s">
        <v>213</v>
      </c>
      <c r="R102" s="126" t="s">
        <v>656</v>
      </c>
      <c r="S102" s="50">
        <f t="shared" si="9"/>
        <v>9.375</v>
      </c>
      <c r="T102" s="50">
        <f t="shared" si="10"/>
        <v>117.9</v>
      </c>
      <c r="U102" s="69">
        <f t="shared" si="11"/>
        <v>12.576</v>
      </c>
      <c r="V102" s="70">
        <f t="shared" si="12"/>
        <v>1192.748092</v>
      </c>
      <c r="X102" s="47"/>
      <c r="Y102" s="47"/>
      <c r="Z102" s="47"/>
    </row>
    <row r="103" ht="20.25" customHeight="1">
      <c r="A103" s="66">
        <v>3.0</v>
      </c>
      <c r="B103" s="57">
        <v>46117.0</v>
      </c>
      <c r="C103" s="50" t="s">
        <v>693</v>
      </c>
      <c r="D103" s="51" t="s">
        <v>67</v>
      </c>
      <c r="E103" s="47"/>
      <c r="F103" s="162">
        <v>5.400092628E9</v>
      </c>
      <c r="G103" s="209">
        <v>46361.0</v>
      </c>
      <c r="H103" s="159">
        <v>5000.0</v>
      </c>
      <c r="I103" s="47"/>
      <c r="J103" s="50">
        <v>207358.0</v>
      </c>
      <c r="K103" s="51" t="s">
        <v>694</v>
      </c>
      <c r="L103" s="50" t="s">
        <v>692</v>
      </c>
      <c r="M103" s="50">
        <v>4000.0</v>
      </c>
      <c r="N103" s="50">
        <v>108.0</v>
      </c>
      <c r="O103" s="50">
        <v>2.0</v>
      </c>
      <c r="P103" s="50">
        <v>125.0</v>
      </c>
      <c r="Q103" s="50" t="s">
        <v>63</v>
      </c>
      <c r="R103" s="50" t="s">
        <v>178</v>
      </c>
      <c r="S103" s="50">
        <f t="shared" si="9"/>
        <v>13.5</v>
      </c>
      <c r="T103" s="50">
        <f t="shared" si="10"/>
        <v>78.6</v>
      </c>
      <c r="U103" s="69">
        <f t="shared" si="11"/>
        <v>5.822222222</v>
      </c>
      <c r="V103" s="70">
        <f t="shared" si="12"/>
        <v>687.0229008</v>
      </c>
      <c r="X103" s="47"/>
      <c r="Y103" s="47"/>
      <c r="Z103" s="47"/>
    </row>
    <row r="104" ht="20.25" customHeight="1">
      <c r="A104" s="66">
        <v>4.0</v>
      </c>
      <c r="B104" s="57">
        <v>46058.0</v>
      </c>
      <c r="C104" s="50" t="s">
        <v>695</v>
      </c>
      <c r="D104" s="45" t="s">
        <v>696</v>
      </c>
      <c r="E104" s="47"/>
      <c r="F104" s="47"/>
      <c r="G104" s="47"/>
      <c r="H104" s="47"/>
      <c r="I104" s="47"/>
      <c r="J104" s="47"/>
      <c r="K104" s="51" t="s">
        <v>697</v>
      </c>
      <c r="L104" s="47"/>
      <c r="M104" s="50">
        <v>10200.0</v>
      </c>
      <c r="N104" s="50">
        <v>81.0</v>
      </c>
      <c r="O104" s="50">
        <v>4.0</v>
      </c>
      <c r="P104" s="50">
        <v>110.0</v>
      </c>
      <c r="Q104" s="50" t="s">
        <v>63</v>
      </c>
      <c r="R104" s="50" t="s">
        <v>698</v>
      </c>
      <c r="S104" s="50">
        <f t="shared" si="9"/>
        <v>10.125</v>
      </c>
      <c r="T104" s="50">
        <f t="shared" si="10"/>
        <v>157.2</v>
      </c>
      <c r="U104" s="69">
        <f t="shared" si="11"/>
        <v>15.52592593</v>
      </c>
      <c r="V104" s="70">
        <f t="shared" si="12"/>
        <v>656.9656489</v>
      </c>
      <c r="X104" s="47"/>
      <c r="Y104" s="47"/>
      <c r="Z104" s="47"/>
    </row>
    <row r="105" ht="20.25" customHeight="1">
      <c r="A105" s="66">
        <v>5.0</v>
      </c>
      <c r="B105" s="57">
        <v>46058.0</v>
      </c>
      <c r="C105" s="50" t="s">
        <v>699</v>
      </c>
      <c r="D105" s="45" t="s">
        <v>696</v>
      </c>
      <c r="E105" s="47"/>
      <c r="F105" s="47"/>
      <c r="G105" s="47"/>
      <c r="H105" s="47"/>
      <c r="I105" s="47"/>
      <c r="J105" s="47"/>
      <c r="K105" s="51" t="s">
        <v>700</v>
      </c>
      <c r="L105" s="47"/>
      <c r="M105" s="50">
        <v>15300.0</v>
      </c>
      <c r="N105" s="100">
        <v>81.0</v>
      </c>
      <c r="O105" s="100">
        <v>4.0</v>
      </c>
      <c r="P105" s="100">
        <v>110.0</v>
      </c>
      <c r="Q105" s="50" t="s">
        <v>63</v>
      </c>
      <c r="R105" s="50" t="s">
        <v>698</v>
      </c>
      <c r="S105" s="50">
        <f t="shared" si="9"/>
        <v>10.125</v>
      </c>
      <c r="T105" s="50">
        <f t="shared" si="10"/>
        <v>157.2</v>
      </c>
      <c r="U105" s="69">
        <f t="shared" si="11"/>
        <v>15.52592593</v>
      </c>
      <c r="V105" s="70">
        <f t="shared" si="12"/>
        <v>985.4484733</v>
      </c>
      <c r="X105" s="47"/>
      <c r="Y105" s="47"/>
      <c r="Z105" s="47"/>
    </row>
    <row r="106" ht="20.25" customHeight="1">
      <c r="A106" s="66">
        <v>1.0</v>
      </c>
      <c r="B106" s="57">
        <v>46058.0</v>
      </c>
      <c r="C106" s="50" t="s">
        <v>701</v>
      </c>
      <c r="D106" s="45" t="s">
        <v>696</v>
      </c>
      <c r="E106" s="47"/>
      <c r="F106" s="47"/>
      <c r="G106" s="47"/>
      <c r="H106" s="47"/>
      <c r="I106" s="47"/>
      <c r="J106" s="47"/>
      <c r="K106" s="51" t="s">
        <v>702</v>
      </c>
      <c r="L106" s="47"/>
      <c r="M106" s="50">
        <v>20200.0</v>
      </c>
      <c r="N106" s="50">
        <v>69.0</v>
      </c>
      <c r="O106" s="50">
        <v>4.0</v>
      </c>
      <c r="P106" s="50">
        <v>130.0</v>
      </c>
      <c r="Q106" s="50" t="s">
        <v>243</v>
      </c>
      <c r="R106" s="50" t="s">
        <v>703</v>
      </c>
      <c r="S106" s="50">
        <f t="shared" si="9"/>
        <v>8.625</v>
      </c>
      <c r="T106" s="50">
        <f t="shared" si="10"/>
        <v>157.2</v>
      </c>
      <c r="U106" s="69">
        <f t="shared" si="11"/>
        <v>18.22608696</v>
      </c>
      <c r="V106" s="70">
        <f t="shared" si="12"/>
        <v>1108.301527</v>
      </c>
      <c r="X106" s="47"/>
      <c r="Y106" s="47"/>
      <c r="Z106" s="47"/>
    </row>
    <row r="107" ht="20.25" customHeight="1">
      <c r="A107" s="66">
        <v>9.0</v>
      </c>
      <c r="B107" s="50" t="s">
        <v>484</v>
      </c>
      <c r="C107" s="50" t="s">
        <v>704</v>
      </c>
      <c r="D107" s="45" t="s">
        <v>247</v>
      </c>
      <c r="E107" s="47"/>
      <c r="F107" s="64" t="s">
        <v>430</v>
      </c>
      <c r="G107" s="64" t="s">
        <v>431</v>
      </c>
      <c r="H107" s="125">
        <v>3000.0</v>
      </c>
      <c r="I107" s="47"/>
      <c r="J107" s="47"/>
      <c r="K107" s="51" t="s">
        <v>705</v>
      </c>
      <c r="L107" s="50" t="s">
        <v>252</v>
      </c>
      <c r="M107" s="50">
        <v>4000.0</v>
      </c>
      <c r="N107" s="100">
        <v>89.0</v>
      </c>
      <c r="O107" s="100">
        <v>1.0</v>
      </c>
      <c r="P107" s="100">
        <v>160.0</v>
      </c>
      <c r="Q107" s="50" t="s">
        <v>162</v>
      </c>
      <c r="R107" s="100" t="s">
        <v>254</v>
      </c>
      <c r="S107" s="126">
        <f t="shared" si="9"/>
        <v>11.125</v>
      </c>
      <c r="T107" s="126">
        <f t="shared" si="10"/>
        <v>39.3</v>
      </c>
      <c r="U107" s="127">
        <f t="shared" si="11"/>
        <v>3.53258427</v>
      </c>
      <c r="V107" s="128">
        <f t="shared" si="12"/>
        <v>1132.315522</v>
      </c>
      <c r="X107" s="47"/>
      <c r="Y107" s="47"/>
      <c r="Z107" s="47"/>
    </row>
    <row r="108" ht="20.25" customHeight="1">
      <c r="A108" s="66">
        <v>10.0</v>
      </c>
      <c r="B108" s="50" t="s">
        <v>495</v>
      </c>
      <c r="C108" s="50" t="s">
        <v>706</v>
      </c>
      <c r="D108" s="45" t="s">
        <v>247</v>
      </c>
      <c r="E108" s="47"/>
      <c r="F108" s="64" t="s">
        <v>328</v>
      </c>
      <c r="G108" s="187">
        <v>46299.0</v>
      </c>
      <c r="H108" s="125">
        <v>5000.0</v>
      </c>
      <c r="I108" s="47"/>
      <c r="J108" s="47"/>
      <c r="K108" s="51" t="s">
        <v>707</v>
      </c>
      <c r="L108" s="50" t="s">
        <v>252</v>
      </c>
      <c r="M108" s="50">
        <v>5000.0</v>
      </c>
      <c r="N108" s="100">
        <v>89.0</v>
      </c>
      <c r="O108" s="100">
        <v>1.0</v>
      </c>
      <c r="P108" s="100">
        <v>160.0</v>
      </c>
      <c r="Q108" s="50" t="s">
        <v>63</v>
      </c>
      <c r="R108" s="100" t="s">
        <v>254</v>
      </c>
      <c r="S108" s="126">
        <f t="shared" si="9"/>
        <v>11.125</v>
      </c>
      <c r="T108" s="126">
        <f t="shared" si="10"/>
        <v>39.3</v>
      </c>
      <c r="U108" s="127">
        <f t="shared" si="11"/>
        <v>3.53258427</v>
      </c>
      <c r="V108" s="128">
        <f t="shared" si="12"/>
        <v>1415.394402</v>
      </c>
      <c r="X108" s="47"/>
      <c r="Y108" s="47"/>
      <c r="Z108" s="47"/>
    </row>
    <row r="109" ht="20.25" customHeight="1">
      <c r="A109" s="66">
        <v>5.0</v>
      </c>
      <c r="B109" s="50" t="s">
        <v>708</v>
      </c>
      <c r="C109" s="50" t="s">
        <v>709</v>
      </c>
      <c r="D109" s="45" t="s">
        <v>247</v>
      </c>
      <c r="E109" s="47"/>
      <c r="F109" s="64" t="s">
        <v>710</v>
      </c>
      <c r="G109" s="153">
        <v>46117.0</v>
      </c>
      <c r="H109" s="125">
        <v>5000.0</v>
      </c>
      <c r="I109" s="47"/>
      <c r="J109" s="47"/>
      <c r="K109" s="51" t="s">
        <v>711</v>
      </c>
      <c r="L109" s="50" t="s">
        <v>252</v>
      </c>
      <c r="M109" s="50">
        <v>5000.0</v>
      </c>
      <c r="N109" s="66">
        <v>89.0</v>
      </c>
      <c r="O109" s="66">
        <v>1.0</v>
      </c>
      <c r="P109" s="66">
        <v>160.0</v>
      </c>
      <c r="Q109" s="50" t="s">
        <v>63</v>
      </c>
      <c r="R109" s="66" t="s">
        <v>254</v>
      </c>
      <c r="S109" s="50">
        <f t="shared" si="9"/>
        <v>11.125</v>
      </c>
      <c r="T109" s="50">
        <f t="shared" si="10"/>
        <v>39.3</v>
      </c>
      <c r="U109" s="69">
        <f t="shared" si="11"/>
        <v>3.53258427</v>
      </c>
      <c r="V109" s="70">
        <f t="shared" si="12"/>
        <v>1415.394402</v>
      </c>
      <c r="X109" s="47"/>
      <c r="Y109" s="47"/>
      <c r="Z109" s="47"/>
    </row>
    <row r="110" ht="20.25" customHeight="1">
      <c r="A110" s="66">
        <v>3.0</v>
      </c>
      <c r="B110" s="50" t="s">
        <v>484</v>
      </c>
      <c r="C110" s="50" t="s">
        <v>712</v>
      </c>
      <c r="D110" s="45" t="s">
        <v>247</v>
      </c>
      <c r="E110" s="47"/>
      <c r="F110" s="64" t="s">
        <v>430</v>
      </c>
      <c r="G110" s="64" t="s">
        <v>431</v>
      </c>
      <c r="H110" s="125">
        <v>4000.0</v>
      </c>
      <c r="I110" s="47"/>
      <c r="J110" s="47"/>
      <c r="K110" s="45" t="s">
        <v>713</v>
      </c>
      <c r="L110" s="50" t="s">
        <v>252</v>
      </c>
      <c r="M110" s="50">
        <v>4000.0</v>
      </c>
      <c r="N110" s="100">
        <v>69.0</v>
      </c>
      <c r="O110" s="100">
        <v>1.0</v>
      </c>
      <c r="P110" s="100">
        <v>135.0</v>
      </c>
      <c r="Q110" s="100" t="s">
        <v>63</v>
      </c>
      <c r="R110" s="100" t="s">
        <v>324</v>
      </c>
      <c r="S110" s="50">
        <f t="shared" si="9"/>
        <v>8.625</v>
      </c>
      <c r="T110" s="50">
        <f t="shared" si="10"/>
        <v>39.3</v>
      </c>
      <c r="U110" s="69">
        <f t="shared" si="11"/>
        <v>4.556521739</v>
      </c>
      <c r="V110" s="70">
        <f t="shared" si="12"/>
        <v>877.8625954</v>
      </c>
      <c r="X110" s="47"/>
      <c r="Y110" s="47"/>
      <c r="Z110" s="47"/>
    </row>
    <row r="111" ht="20.25" customHeight="1">
      <c r="A111" s="66">
        <v>4.0</v>
      </c>
      <c r="B111" s="50" t="s">
        <v>484</v>
      </c>
      <c r="C111" s="50" t="s">
        <v>714</v>
      </c>
      <c r="D111" s="45" t="s">
        <v>247</v>
      </c>
      <c r="E111" s="47"/>
      <c r="F111" s="64" t="s">
        <v>430</v>
      </c>
      <c r="G111" s="64" t="s">
        <v>431</v>
      </c>
      <c r="H111" s="125">
        <v>12000.0</v>
      </c>
      <c r="I111" s="47"/>
      <c r="J111" s="47"/>
      <c r="K111" s="45" t="s">
        <v>715</v>
      </c>
      <c r="L111" s="50" t="s">
        <v>252</v>
      </c>
      <c r="M111" s="50">
        <v>12000.0</v>
      </c>
      <c r="N111" s="100">
        <v>92.0</v>
      </c>
      <c r="O111" s="100">
        <v>4.0</v>
      </c>
      <c r="P111" s="100">
        <v>140.0</v>
      </c>
      <c r="Q111" s="50" t="s">
        <v>63</v>
      </c>
      <c r="R111" s="100" t="s">
        <v>366</v>
      </c>
      <c r="S111" s="50">
        <f t="shared" si="9"/>
        <v>11.5</v>
      </c>
      <c r="T111" s="50">
        <f t="shared" si="10"/>
        <v>157.2</v>
      </c>
      <c r="U111" s="69">
        <f t="shared" si="11"/>
        <v>13.66956522</v>
      </c>
      <c r="V111" s="70">
        <f t="shared" si="12"/>
        <v>877.8625954</v>
      </c>
      <c r="X111" s="47"/>
      <c r="Y111" s="47"/>
      <c r="Z111" s="47"/>
    </row>
    <row r="112" ht="20.25" customHeight="1">
      <c r="A112" s="66">
        <v>1.0</v>
      </c>
      <c r="B112" s="50" t="s">
        <v>484</v>
      </c>
      <c r="C112" s="50" t="s">
        <v>716</v>
      </c>
      <c r="D112" s="45" t="s">
        <v>247</v>
      </c>
      <c r="E112" s="47"/>
      <c r="F112" s="64" t="s">
        <v>430</v>
      </c>
      <c r="G112" s="64" t="s">
        <v>431</v>
      </c>
      <c r="H112" s="125">
        <v>10000.0</v>
      </c>
      <c r="I112" s="47"/>
      <c r="J112" s="47"/>
      <c r="K112" s="45" t="s">
        <v>717</v>
      </c>
      <c r="L112" s="50" t="s">
        <v>252</v>
      </c>
      <c r="M112" s="50">
        <v>10000.0</v>
      </c>
      <c r="N112" s="66">
        <v>124.0</v>
      </c>
      <c r="O112" s="66">
        <v>6.0</v>
      </c>
      <c r="P112" s="66">
        <v>230.0</v>
      </c>
      <c r="Q112" s="100" t="s">
        <v>63</v>
      </c>
      <c r="R112" s="66" t="s">
        <v>341</v>
      </c>
      <c r="S112" s="50">
        <f t="shared" si="9"/>
        <v>15.5</v>
      </c>
      <c r="T112" s="50">
        <f t="shared" si="10"/>
        <v>235.8</v>
      </c>
      <c r="U112" s="69">
        <f t="shared" si="11"/>
        <v>15.21290323</v>
      </c>
      <c r="V112" s="70">
        <f t="shared" si="12"/>
        <v>657.336726</v>
      </c>
      <c r="X112" s="47"/>
      <c r="Y112" s="47"/>
      <c r="Z112" s="47"/>
    </row>
    <row r="113" ht="20.25" customHeight="1">
      <c r="A113" s="66">
        <v>2.0</v>
      </c>
      <c r="B113" s="50" t="s">
        <v>495</v>
      </c>
      <c r="C113" s="50" t="s">
        <v>718</v>
      </c>
      <c r="D113" s="45" t="s">
        <v>247</v>
      </c>
      <c r="E113" s="47"/>
      <c r="F113" s="64" t="s">
        <v>328</v>
      </c>
      <c r="G113" s="187">
        <v>46299.0</v>
      </c>
      <c r="H113" s="125">
        <v>10000.0</v>
      </c>
      <c r="I113" s="47"/>
      <c r="J113" s="47"/>
      <c r="K113" s="45" t="s">
        <v>719</v>
      </c>
      <c r="L113" s="50" t="s">
        <v>252</v>
      </c>
      <c r="M113" s="50">
        <v>10000.0</v>
      </c>
      <c r="N113" s="50">
        <v>92.0</v>
      </c>
      <c r="O113" s="50">
        <v>4.0</v>
      </c>
      <c r="P113" s="50">
        <v>140.0</v>
      </c>
      <c r="Q113" s="100" t="s">
        <v>63</v>
      </c>
      <c r="R113" s="50" t="s">
        <v>366</v>
      </c>
      <c r="S113" s="50">
        <f t="shared" si="9"/>
        <v>11.5</v>
      </c>
      <c r="T113" s="50">
        <f t="shared" si="10"/>
        <v>157.2</v>
      </c>
      <c r="U113" s="69">
        <f t="shared" si="11"/>
        <v>13.66956522</v>
      </c>
      <c r="V113" s="70">
        <f t="shared" si="12"/>
        <v>731.5521628</v>
      </c>
      <c r="X113" s="47"/>
      <c r="Y113" s="47"/>
      <c r="Z113" s="47"/>
    </row>
    <row r="114" ht="20.25" customHeight="1">
      <c r="A114" s="66">
        <v>3.0</v>
      </c>
      <c r="B114" s="50" t="s">
        <v>484</v>
      </c>
      <c r="C114" s="50" t="s">
        <v>720</v>
      </c>
      <c r="D114" s="45" t="s">
        <v>247</v>
      </c>
      <c r="E114" s="47"/>
      <c r="F114" s="64" t="s">
        <v>430</v>
      </c>
      <c r="G114" s="64" t="s">
        <v>431</v>
      </c>
      <c r="H114" s="125">
        <v>10000.0</v>
      </c>
      <c r="I114" s="47"/>
      <c r="J114" s="47"/>
      <c r="K114" s="45" t="s">
        <v>721</v>
      </c>
      <c r="L114" s="50" t="s">
        <v>252</v>
      </c>
      <c r="M114" s="50">
        <v>10000.0</v>
      </c>
      <c r="N114" s="66">
        <v>124.0</v>
      </c>
      <c r="O114" s="66">
        <v>6.0</v>
      </c>
      <c r="P114" s="66">
        <v>230.0</v>
      </c>
      <c r="Q114" s="100" t="s">
        <v>63</v>
      </c>
      <c r="R114" s="66" t="s">
        <v>341</v>
      </c>
      <c r="S114" s="50">
        <f t="shared" si="9"/>
        <v>15.5</v>
      </c>
      <c r="T114" s="50">
        <f t="shared" si="10"/>
        <v>235.8</v>
      </c>
      <c r="U114" s="69">
        <f t="shared" si="11"/>
        <v>15.21290323</v>
      </c>
      <c r="V114" s="70">
        <f t="shared" si="12"/>
        <v>657.336726</v>
      </c>
      <c r="X114" s="47"/>
      <c r="Y114" s="47"/>
      <c r="Z114" s="47"/>
    </row>
    <row r="115" ht="20.25" customHeight="1">
      <c r="A115" s="66">
        <v>4.0</v>
      </c>
      <c r="B115" s="57">
        <v>46058.0</v>
      </c>
      <c r="C115" s="50" t="s">
        <v>722</v>
      </c>
      <c r="D115" s="45" t="s">
        <v>696</v>
      </c>
      <c r="E115" s="47"/>
      <c r="F115" s="47"/>
      <c r="G115" s="47"/>
      <c r="H115" s="47"/>
      <c r="I115" s="47"/>
      <c r="J115" s="47"/>
      <c r="K115" s="45" t="s">
        <v>723</v>
      </c>
      <c r="L115" s="47"/>
      <c r="M115" s="50">
        <v>40000.0</v>
      </c>
      <c r="N115" s="50">
        <v>89.0</v>
      </c>
      <c r="O115" s="50">
        <v>20.0</v>
      </c>
      <c r="P115" s="50">
        <v>120.0</v>
      </c>
      <c r="Q115" s="50" t="s">
        <v>63</v>
      </c>
      <c r="R115" s="50" t="s">
        <v>724</v>
      </c>
      <c r="S115" s="50">
        <f t="shared" si="9"/>
        <v>11.125</v>
      </c>
      <c r="T115" s="50">
        <f t="shared" si="10"/>
        <v>786</v>
      </c>
      <c r="U115" s="69">
        <f t="shared" si="11"/>
        <v>70.65168539</v>
      </c>
      <c r="V115" s="70">
        <f t="shared" si="12"/>
        <v>566.1577608</v>
      </c>
      <c r="X115" s="47"/>
      <c r="Y115" s="47"/>
      <c r="Z115" s="47"/>
    </row>
    <row r="116" ht="20.25" customHeight="1">
      <c r="A116" s="66">
        <v>5.0</v>
      </c>
      <c r="B116" s="57">
        <v>46086.0</v>
      </c>
      <c r="C116" s="50" t="s">
        <v>725</v>
      </c>
      <c r="D116" s="45" t="s">
        <v>726</v>
      </c>
      <c r="E116" s="47"/>
      <c r="F116" s="47"/>
      <c r="G116" s="47"/>
      <c r="H116" s="47"/>
      <c r="I116" s="47"/>
      <c r="J116" s="47"/>
      <c r="K116" s="45" t="s">
        <v>727</v>
      </c>
      <c r="L116" s="100" t="s">
        <v>728</v>
      </c>
      <c r="M116" s="50">
        <v>5000.0</v>
      </c>
      <c r="N116" s="50">
        <v>89.0</v>
      </c>
      <c r="O116" s="50">
        <v>1.0</v>
      </c>
      <c r="P116" s="50">
        <v>159.0</v>
      </c>
      <c r="Q116" s="50" t="s">
        <v>63</v>
      </c>
      <c r="R116" s="50" t="s">
        <v>729</v>
      </c>
      <c r="S116" s="50">
        <f t="shared" si="9"/>
        <v>11.125</v>
      </c>
      <c r="T116" s="50">
        <f t="shared" si="10"/>
        <v>39.3</v>
      </c>
      <c r="U116" s="69">
        <f t="shared" si="11"/>
        <v>3.53258427</v>
      </c>
      <c r="V116" s="70">
        <f t="shared" si="12"/>
        <v>1415.394402</v>
      </c>
      <c r="X116" s="47"/>
      <c r="Y116" s="47"/>
      <c r="Z116" s="47"/>
    </row>
    <row r="117" ht="20.25" customHeight="1">
      <c r="A117" s="66">
        <v>6.0</v>
      </c>
      <c r="B117" s="57">
        <v>46086.0</v>
      </c>
      <c r="C117" s="50" t="s">
        <v>730</v>
      </c>
      <c r="D117" s="45" t="s">
        <v>726</v>
      </c>
      <c r="E117" s="47"/>
      <c r="F117" s="47"/>
      <c r="G117" s="47"/>
      <c r="H117" s="47"/>
      <c r="I117" s="47"/>
      <c r="J117" s="47"/>
      <c r="K117" s="135" t="s">
        <v>731</v>
      </c>
      <c r="L117" s="100" t="s">
        <v>728</v>
      </c>
      <c r="M117" s="100">
        <v>5000.0</v>
      </c>
      <c r="N117" s="100">
        <v>69.0</v>
      </c>
      <c r="O117" s="100">
        <v>1.0</v>
      </c>
      <c r="P117" s="100">
        <v>135.0</v>
      </c>
      <c r="Q117" s="100" t="s">
        <v>63</v>
      </c>
      <c r="R117" s="100" t="s">
        <v>732</v>
      </c>
      <c r="S117" s="126">
        <f t="shared" si="9"/>
        <v>8.625</v>
      </c>
      <c r="T117" s="126">
        <f t="shared" si="10"/>
        <v>39.3</v>
      </c>
      <c r="U117" s="127">
        <f t="shared" si="11"/>
        <v>4.556521739</v>
      </c>
      <c r="V117" s="128">
        <f t="shared" si="12"/>
        <v>1097.328244</v>
      </c>
      <c r="X117" s="47"/>
      <c r="Y117" s="47"/>
      <c r="Z117" s="47"/>
    </row>
    <row r="118" ht="20.25" customHeight="1">
      <c r="A118" s="66">
        <v>5.0</v>
      </c>
      <c r="B118" s="50" t="s">
        <v>538</v>
      </c>
      <c r="C118" s="66" t="s">
        <v>733</v>
      </c>
      <c r="D118" s="51" t="s">
        <v>67</v>
      </c>
      <c r="E118" s="146"/>
      <c r="F118" s="162">
        <v>5.400092348E9</v>
      </c>
      <c r="G118" s="162" t="s">
        <v>540</v>
      </c>
      <c r="H118" s="149">
        <v>8000.0</v>
      </c>
      <c r="I118" s="146"/>
      <c r="J118" s="134">
        <v>205961.0</v>
      </c>
      <c r="K118" s="135" t="s">
        <v>734</v>
      </c>
      <c r="L118" s="136" t="s">
        <v>258</v>
      </c>
      <c r="M118" s="205">
        <v>7100.0</v>
      </c>
      <c r="N118" s="50">
        <v>75.0</v>
      </c>
      <c r="O118" s="50">
        <v>3.0</v>
      </c>
      <c r="P118" s="50">
        <v>335.0</v>
      </c>
      <c r="Q118" s="50" t="s">
        <v>213</v>
      </c>
      <c r="R118" s="50" t="s">
        <v>241</v>
      </c>
      <c r="S118" s="50">
        <f t="shared" si="9"/>
        <v>9.375</v>
      </c>
      <c r="T118" s="50">
        <f t="shared" si="10"/>
        <v>117.9</v>
      </c>
      <c r="U118" s="69">
        <f t="shared" si="11"/>
        <v>12.576</v>
      </c>
      <c r="V118" s="70">
        <f t="shared" si="12"/>
        <v>564.56743</v>
      </c>
      <c r="X118" s="60"/>
      <c r="Y118" s="60"/>
      <c r="Z118" s="60"/>
    </row>
    <row r="119" ht="20.25" customHeight="1">
      <c r="A119" s="66">
        <v>2.0</v>
      </c>
      <c r="B119" s="57">
        <v>46269.0</v>
      </c>
      <c r="C119" s="50" t="s">
        <v>735</v>
      </c>
      <c r="D119" s="51" t="s">
        <v>67</v>
      </c>
      <c r="E119" s="146"/>
      <c r="F119" s="162">
        <v>5.400092423E9</v>
      </c>
      <c r="G119" s="207">
        <v>46117.0</v>
      </c>
      <c r="H119" s="162">
        <v>30000.0</v>
      </c>
      <c r="I119" s="146"/>
      <c r="J119" s="50">
        <v>206346.0</v>
      </c>
      <c r="K119" s="51" t="s">
        <v>736</v>
      </c>
      <c r="L119" s="50" t="s">
        <v>258</v>
      </c>
      <c r="M119" s="122">
        <v>25000.0</v>
      </c>
      <c r="N119" s="52">
        <v>75.0</v>
      </c>
      <c r="O119" s="52">
        <v>4.0</v>
      </c>
      <c r="P119" s="52">
        <v>175.0</v>
      </c>
      <c r="Q119" s="52" t="s">
        <v>213</v>
      </c>
      <c r="R119" s="52" t="s">
        <v>737</v>
      </c>
      <c r="S119" s="50">
        <f t="shared" si="9"/>
        <v>9.375</v>
      </c>
      <c r="T119" s="50">
        <f t="shared" si="10"/>
        <v>157.2</v>
      </c>
      <c r="U119" s="69">
        <f t="shared" si="11"/>
        <v>16.768</v>
      </c>
      <c r="V119" s="70">
        <f t="shared" si="12"/>
        <v>1490.935115</v>
      </c>
      <c r="X119" s="60"/>
      <c r="Y119" s="60"/>
      <c r="Z119" s="60"/>
    </row>
    <row r="120" ht="20.25" customHeight="1">
      <c r="A120" s="66">
        <v>5.0</v>
      </c>
      <c r="B120" s="50" t="s">
        <v>538</v>
      </c>
      <c r="C120" s="66" t="s">
        <v>738</v>
      </c>
      <c r="D120" s="51" t="s">
        <v>67</v>
      </c>
      <c r="E120" s="146"/>
      <c r="F120" s="162">
        <v>5.400092349E9</v>
      </c>
      <c r="G120" s="162" t="s">
        <v>540</v>
      </c>
      <c r="H120" s="149">
        <v>10000.0</v>
      </c>
      <c r="I120" s="146"/>
      <c r="J120" s="134">
        <v>206540.0</v>
      </c>
      <c r="K120" s="135" t="s">
        <v>739</v>
      </c>
      <c r="L120" s="136" t="s">
        <v>740</v>
      </c>
      <c r="M120" s="192">
        <v>4100.0</v>
      </c>
      <c r="N120" s="100">
        <v>112.0</v>
      </c>
      <c r="O120" s="100">
        <v>1.0</v>
      </c>
      <c r="P120" s="100">
        <v>210.0</v>
      </c>
      <c r="Q120" s="50" t="s">
        <v>213</v>
      </c>
      <c r="R120" s="100" t="s">
        <v>644</v>
      </c>
      <c r="S120" s="50">
        <f t="shared" si="9"/>
        <v>14</v>
      </c>
      <c r="T120" s="50">
        <f t="shared" si="10"/>
        <v>39.3</v>
      </c>
      <c r="U120" s="69">
        <f t="shared" si="11"/>
        <v>2.807142857</v>
      </c>
      <c r="V120" s="70">
        <f t="shared" si="12"/>
        <v>1460.559796</v>
      </c>
      <c r="X120" s="60"/>
      <c r="Y120" s="60"/>
      <c r="Z120" s="60"/>
    </row>
    <row r="121" ht="20.25" customHeight="1">
      <c r="A121" s="66">
        <v>8.0</v>
      </c>
      <c r="B121" s="57">
        <v>46208.0</v>
      </c>
      <c r="C121" s="50" t="s">
        <v>741</v>
      </c>
      <c r="D121" s="51" t="s">
        <v>67</v>
      </c>
      <c r="E121" s="47"/>
      <c r="F121" s="162" t="s">
        <v>742</v>
      </c>
      <c r="G121" s="50" t="s">
        <v>743</v>
      </c>
      <c r="H121" s="50" t="s">
        <v>744</v>
      </c>
      <c r="I121" s="47"/>
      <c r="J121" s="204">
        <v>206557.0</v>
      </c>
      <c r="K121" s="135" t="s">
        <v>81</v>
      </c>
      <c r="L121" s="100" t="s">
        <v>258</v>
      </c>
      <c r="M121" s="66">
        <v>3000.0</v>
      </c>
      <c r="N121" s="50">
        <v>75.0</v>
      </c>
      <c r="O121" s="50">
        <v>3.0</v>
      </c>
      <c r="P121" s="50">
        <v>330.0</v>
      </c>
      <c r="Q121" s="50" t="s">
        <v>213</v>
      </c>
      <c r="R121" s="50" t="s">
        <v>241</v>
      </c>
      <c r="S121" s="50">
        <f t="shared" si="9"/>
        <v>9.375</v>
      </c>
      <c r="T121" s="50">
        <f t="shared" si="10"/>
        <v>117.9</v>
      </c>
      <c r="U121" s="69">
        <f t="shared" si="11"/>
        <v>12.576</v>
      </c>
      <c r="V121" s="70">
        <f t="shared" si="12"/>
        <v>238.5496183</v>
      </c>
      <c r="X121" s="47"/>
      <c r="Y121" s="47"/>
      <c r="Z121" s="47"/>
    </row>
    <row r="122" ht="20.25" customHeight="1">
      <c r="A122" s="66">
        <v>9.0</v>
      </c>
      <c r="B122" s="50" t="s">
        <v>538</v>
      </c>
      <c r="C122" s="66" t="s">
        <v>745</v>
      </c>
      <c r="D122" s="51" t="s">
        <v>67</v>
      </c>
      <c r="E122" s="146"/>
      <c r="F122" s="210">
        <v>5.400092348E9</v>
      </c>
      <c r="G122" s="210" t="s">
        <v>540</v>
      </c>
      <c r="H122" s="201">
        <v>300.0</v>
      </c>
      <c r="I122" s="146"/>
      <c r="J122" s="134">
        <v>203113.0</v>
      </c>
      <c r="K122" s="135" t="s">
        <v>746</v>
      </c>
      <c r="L122" s="136" t="s">
        <v>258</v>
      </c>
      <c r="M122" s="136">
        <v>3000.0</v>
      </c>
      <c r="N122" s="66">
        <v>94.0</v>
      </c>
      <c r="O122" s="66">
        <v>6.0</v>
      </c>
      <c r="P122" s="66">
        <v>170.0</v>
      </c>
      <c r="Q122" s="66" t="s">
        <v>63</v>
      </c>
      <c r="R122" s="66" t="s">
        <v>363</v>
      </c>
      <c r="S122" s="50">
        <f t="shared" si="9"/>
        <v>11.75</v>
      </c>
      <c r="T122" s="50">
        <f t="shared" si="10"/>
        <v>235.8</v>
      </c>
      <c r="U122" s="69">
        <f t="shared" si="11"/>
        <v>20.06808511</v>
      </c>
      <c r="V122" s="70">
        <f t="shared" si="12"/>
        <v>149.4910941</v>
      </c>
      <c r="X122" s="60"/>
      <c r="Y122" s="60"/>
      <c r="Z122" s="60"/>
    </row>
    <row r="123" ht="20.25" customHeight="1">
      <c r="A123" s="66">
        <v>7.0</v>
      </c>
      <c r="B123" s="50" t="s">
        <v>538</v>
      </c>
      <c r="C123" s="66" t="s">
        <v>747</v>
      </c>
      <c r="D123" s="51" t="s">
        <v>67</v>
      </c>
      <c r="E123" s="146"/>
      <c r="F123" s="162">
        <v>5.400092348E9</v>
      </c>
      <c r="G123" s="162" t="s">
        <v>540</v>
      </c>
      <c r="H123" s="162">
        <v>3000.0</v>
      </c>
      <c r="I123" s="146"/>
      <c r="J123" s="134">
        <v>203116.0</v>
      </c>
      <c r="K123" s="135" t="s">
        <v>748</v>
      </c>
      <c r="L123" s="136" t="s">
        <v>258</v>
      </c>
      <c r="M123" s="205">
        <v>3000.0</v>
      </c>
      <c r="N123" s="66">
        <v>94.0</v>
      </c>
      <c r="O123" s="66">
        <v>6.0</v>
      </c>
      <c r="P123" s="66">
        <v>170.0</v>
      </c>
      <c r="Q123" s="66" t="s">
        <v>63</v>
      </c>
      <c r="R123" s="66" t="s">
        <v>363</v>
      </c>
      <c r="S123" s="66">
        <f t="shared" si="9"/>
        <v>11.75</v>
      </c>
      <c r="T123" s="66">
        <f t="shared" si="10"/>
        <v>235.8</v>
      </c>
      <c r="U123" s="113">
        <f t="shared" si="11"/>
        <v>20.06808511</v>
      </c>
      <c r="V123" s="114">
        <f t="shared" si="12"/>
        <v>149.4910941</v>
      </c>
      <c r="X123" s="60"/>
      <c r="Y123" s="60"/>
      <c r="Z123" s="60"/>
    </row>
    <row r="124" ht="20.25" customHeight="1">
      <c r="A124" s="66">
        <v>8.0</v>
      </c>
      <c r="B124" s="50" t="s">
        <v>508</v>
      </c>
      <c r="C124" s="50" t="s">
        <v>749</v>
      </c>
      <c r="D124" s="51" t="s">
        <v>67</v>
      </c>
      <c r="E124" s="146"/>
      <c r="F124" s="162">
        <v>5.400092348E9</v>
      </c>
      <c r="G124" s="162" t="s">
        <v>540</v>
      </c>
      <c r="H124" s="162">
        <v>16000.0</v>
      </c>
      <c r="I124" s="146"/>
      <c r="J124" s="134">
        <v>207040.0</v>
      </c>
      <c r="K124" s="135" t="s">
        <v>750</v>
      </c>
      <c r="L124" s="136" t="s">
        <v>258</v>
      </c>
      <c r="M124" s="136">
        <v>15000.0</v>
      </c>
      <c r="N124" s="66">
        <v>94.0</v>
      </c>
      <c r="O124" s="66">
        <v>6.0</v>
      </c>
      <c r="P124" s="66">
        <v>170.0</v>
      </c>
      <c r="Q124" s="136" t="s">
        <v>63</v>
      </c>
      <c r="R124" s="66" t="s">
        <v>363</v>
      </c>
      <c r="S124" s="50">
        <f t="shared" si="9"/>
        <v>11.75</v>
      </c>
      <c r="T124" s="50">
        <f t="shared" si="10"/>
        <v>235.8</v>
      </c>
      <c r="U124" s="69">
        <f t="shared" si="11"/>
        <v>20.06808511</v>
      </c>
      <c r="V124" s="70">
        <f t="shared" si="12"/>
        <v>747.4554707</v>
      </c>
      <c r="X124" s="60"/>
      <c r="Y124" s="60"/>
      <c r="Z124" s="60"/>
    </row>
    <row r="125" ht="20.25" customHeight="1">
      <c r="A125" s="66">
        <v>9.0</v>
      </c>
      <c r="B125" s="57">
        <v>46208.0</v>
      </c>
      <c r="C125" s="50" t="s">
        <v>751</v>
      </c>
      <c r="D125" s="51" t="s">
        <v>67</v>
      </c>
      <c r="E125" s="47"/>
      <c r="F125" s="162" t="s">
        <v>742</v>
      </c>
      <c r="G125" s="45" t="s">
        <v>743</v>
      </c>
      <c r="H125" s="50" t="s">
        <v>752</v>
      </c>
      <c r="I125" s="47"/>
      <c r="J125" s="204">
        <v>206793.0</v>
      </c>
      <c r="K125" s="135" t="s">
        <v>753</v>
      </c>
      <c r="L125" s="100" t="s">
        <v>258</v>
      </c>
      <c r="M125" s="66">
        <v>3000.0</v>
      </c>
      <c r="N125" s="50">
        <v>94.0</v>
      </c>
      <c r="O125" s="50">
        <v>6.0</v>
      </c>
      <c r="P125" s="50">
        <v>170.0</v>
      </c>
      <c r="Q125" s="50" t="s">
        <v>63</v>
      </c>
      <c r="R125" s="50" t="s">
        <v>363</v>
      </c>
      <c r="S125" s="50">
        <f t="shared" si="9"/>
        <v>11.75</v>
      </c>
      <c r="T125" s="50">
        <f t="shared" si="10"/>
        <v>235.8</v>
      </c>
      <c r="U125" s="69">
        <f t="shared" si="11"/>
        <v>20.06808511</v>
      </c>
      <c r="V125" s="70">
        <f t="shared" si="12"/>
        <v>149.4910941</v>
      </c>
      <c r="X125" s="47"/>
      <c r="Y125" s="47"/>
      <c r="Z125" s="47"/>
    </row>
    <row r="126" ht="20.25" customHeight="1">
      <c r="A126" s="66">
        <v>3.0</v>
      </c>
      <c r="B126" s="57">
        <v>46269.0</v>
      </c>
      <c r="C126" s="66" t="s">
        <v>754</v>
      </c>
      <c r="D126" s="51" t="s">
        <v>67</v>
      </c>
      <c r="E126" s="146"/>
      <c r="F126" s="162">
        <v>5.40008747E9</v>
      </c>
      <c r="G126" s="207">
        <v>45997.0</v>
      </c>
      <c r="H126" s="162">
        <v>19230.0</v>
      </c>
      <c r="I126" s="146"/>
      <c r="J126" s="50">
        <v>205904.0</v>
      </c>
      <c r="K126" s="51" t="s">
        <v>755</v>
      </c>
      <c r="L126" s="50" t="s">
        <v>258</v>
      </c>
      <c r="M126" s="122">
        <v>4000.0</v>
      </c>
      <c r="N126" s="50">
        <v>75.0</v>
      </c>
      <c r="O126" s="50">
        <v>3.0</v>
      </c>
      <c r="P126" s="50">
        <v>240.0</v>
      </c>
      <c r="Q126" s="50" t="s">
        <v>213</v>
      </c>
      <c r="R126" s="50" t="s">
        <v>656</v>
      </c>
      <c r="S126" s="50">
        <f t="shared" si="9"/>
        <v>9.375</v>
      </c>
      <c r="T126" s="50">
        <f t="shared" si="10"/>
        <v>117.9</v>
      </c>
      <c r="U126" s="69">
        <f t="shared" si="11"/>
        <v>12.576</v>
      </c>
      <c r="V126" s="70">
        <f t="shared" si="12"/>
        <v>318.0661578</v>
      </c>
      <c r="X126" s="60"/>
      <c r="Y126" s="60"/>
      <c r="Z126" s="60"/>
    </row>
    <row r="127" ht="20.25" customHeight="1">
      <c r="A127" s="66">
        <v>2.0</v>
      </c>
      <c r="B127" s="57">
        <v>46269.0</v>
      </c>
      <c r="C127" s="66" t="s">
        <v>756</v>
      </c>
      <c r="D127" s="51" t="s">
        <v>67</v>
      </c>
      <c r="E127" s="146"/>
      <c r="F127" s="162" t="s">
        <v>635</v>
      </c>
      <c r="G127" s="162" t="s">
        <v>636</v>
      </c>
      <c r="H127" s="162" t="s">
        <v>757</v>
      </c>
      <c r="I127" s="146"/>
      <c r="J127" s="50">
        <v>205902.0</v>
      </c>
      <c r="K127" s="51" t="s">
        <v>758</v>
      </c>
      <c r="L127" s="50" t="s">
        <v>258</v>
      </c>
      <c r="M127" s="122">
        <v>14800.0</v>
      </c>
      <c r="N127" s="50">
        <v>108.0</v>
      </c>
      <c r="O127" s="50">
        <v>2.0</v>
      </c>
      <c r="P127" s="50">
        <v>210.0</v>
      </c>
      <c r="Q127" s="50" t="s">
        <v>213</v>
      </c>
      <c r="R127" s="50" t="s">
        <v>759</v>
      </c>
      <c r="S127" s="50">
        <f t="shared" si="9"/>
        <v>13.5</v>
      </c>
      <c r="T127" s="50">
        <f t="shared" si="10"/>
        <v>78.6</v>
      </c>
      <c r="U127" s="69">
        <f t="shared" si="11"/>
        <v>5.822222222</v>
      </c>
      <c r="V127" s="70">
        <f t="shared" si="12"/>
        <v>2541.984733</v>
      </c>
      <c r="X127" s="60"/>
      <c r="Y127" s="60"/>
      <c r="Z127" s="60"/>
    </row>
    <row r="128" ht="20.25" customHeight="1">
      <c r="A128" s="66">
        <v>2.0</v>
      </c>
      <c r="B128" s="50" t="s">
        <v>538</v>
      </c>
      <c r="C128" s="66" t="s">
        <v>760</v>
      </c>
      <c r="D128" s="51" t="s">
        <v>67</v>
      </c>
      <c r="E128" s="146"/>
      <c r="F128" s="162">
        <v>5.400092348E9</v>
      </c>
      <c r="G128" s="162" t="s">
        <v>540</v>
      </c>
      <c r="H128" s="162">
        <v>12000.0</v>
      </c>
      <c r="I128" s="146"/>
      <c r="J128" s="134">
        <v>207488.0</v>
      </c>
      <c r="K128" s="135" t="s">
        <v>761</v>
      </c>
      <c r="L128" s="136" t="s">
        <v>258</v>
      </c>
      <c r="M128" s="192">
        <v>10900.0</v>
      </c>
      <c r="N128" s="50">
        <v>108.0</v>
      </c>
      <c r="O128" s="50">
        <v>2.0</v>
      </c>
      <c r="P128" s="50">
        <v>320.0</v>
      </c>
      <c r="Q128" s="50" t="s">
        <v>213</v>
      </c>
      <c r="R128" s="50" t="s">
        <v>149</v>
      </c>
      <c r="S128" s="50">
        <f t="shared" si="9"/>
        <v>13.5</v>
      </c>
      <c r="T128" s="50">
        <f t="shared" si="10"/>
        <v>78.6</v>
      </c>
      <c r="U128" s="69">
        <f t="shared" si="11"/>
        <v>5.822222222</v>
      </c>
      <c r="V128" s="70">
        <f t="shared" si="12"/>
        <v>1872.137405</v>
      </c>
      <c r="X128" s="60"/>
      <c r="Y128" s="60"/>
      <c r="Z128" s="60"/>
    </row>
    <row r="129" ht="20.25" customHeight="1">
      <c r="A129" s="66">
        <v>1.0</v>
      </c>
      <c r="B129" s="57">
        <v>46269.0</v>
      </c>
      <c r="C129" s="66" t="s">
        <v>762</v>
      </c>
      <c r="D129" s="51" t="s">
        <v>67</v>
      </c>
      <c r="E129" s="146"/>
      <c r="F129" s="162">
        <v>5.400091815E9</v>
      </c>
      <c r="G129" s="162" t="s">
        <v>763</v>
      </c>
      <c r="H129" s="162">
        <v>4700.0</v>
      </c>
      <c r="I129" s="146"/>
      <c r="J129" s="50">
        <v>206413.0</v>
      </c>
      <c r="K129" s="51" t="s">
        <v>764</v>
      </c>
      <c r="L129" s="50" t="s">
        <v>258</v>
      </c>
      <c r="M129" s="122">
        <v>3000.0</v>
      </c>
      <c r="N129" s="52">
        <v>92.0</v>
      </c>
      <c r="O129" s="52">
        <v>2.0</v>
      </c>
      <c r="P129" s="52">
        <v>280.0</v>
      </c>
      <c r="Q129" s="50" t="s">
        <v>213</v>
      </c>
      <c r="R129" s="52" t="s">
        <v>765</v>
      </c>
      <c r="S129" s="50">
        <f t="shared" si="9"/>
        <v>11.5</v>
      </c>
      <c r="T129" s="50">
        <f t="shared" si="10"/>
        <v>78.6</v>
      </c>
      <c r="U129" s="69">
        <f t="shared" si="11"/>
        <v>6.834782609</v>
      </c>
      <c r="V129" s="70">
        <f t="shared" si="12"/>
        <v>438.9312977</v>
      </c>
      <c r="X129" s="60"/>
      <c r="Y129" s="60"/>
      <c r="Z129" s="60"/>
    </row>
    <row r="130" ht="20.25" customHeight="1">
      <c r="A130" s="66">
        <v>3.0</v>
      </c>
      <c r="B130" s="50" t="s">
        <v>538</v>
      </c>
      <c r="C130" s="66" t="s">
        <v>766</v>
      </c>
      <c r="D130" s="51" t="s">
        <v>67</v>
      </c>
      <c r="E130" s="146"/>
      <c r="F130" s="162">
        <v>5.400092348E9</v>
      </c>
      <c r="G130" s="162" t="s">
        <v>540</v>
      </c>
      <c r="H130" s="162">
        <v>60000.0</v>
      </c>
      <c r="I130" s="146"/>
      <c r="J130" s="134">
        <v>206493.0</v>
      </c>
      <c r="K130" s="135" t="s">
        <v>767</v>
      </c>
      <c r="L130" s="136" t="s">
        <v>258</v>
      </c>
      <c r="M130" s="192">
        <v>30900.0</v>
      </c>
      <c r="N130" s="100">
        <v>94.0</v>
      </c>
      <c r="O130" s="100">
        <v>8.0</v>
      </c>
      <c r="P130" s="100">
        <v>210.0</v>
      </c>
      <c r="Q130" s="100" t="s">
        <v>243</v>
      </c>
      <c r="R130" s="100" t="s">
        <v>647</v>
      </c>
      <c r="S130" s="50">
        <f t="shared" si="9"/>
        <v>11.75</v>
      </c>
      <c r="T130" s="50">
        <f t="shared" si="10"/>
        <v>314.4</v>
      </c>
      <c r="U130" s="69">
        <f t="shared" si="11"/>
        <v>26.75744681</v>
      </c>
      <c r="V130" s="70">
        <f t="shared" si="12"/>
        <v>1154.818702</v>
      </c>
      <c r="X130" s="60"/>
      <c r="Y130" s="60"/>
      <c r="Z130" s="60"/>
    </row>
    <row r="131" ht="20.25" customHeight="1">
      <c r="A131" s="66">
        <v>4.0</v>
      </c>
      <c r="B131" s="50" t="s">
        <v>538</v>
      </c>
      <c r="C131" s="66" t="s">
        <v>768</v>
      </c>
      <c r="D131" s="51" t="s">
        <v>67</v>
      </c>
      <c r="E131" s="146"/>
      <c r="F131" s="162" t="s">
        <v>769</v>
      </c>
      <c r="G131" s="162" t="s">
        <v>770</v>
      </c>
      <c r="H131" s="162" t="s">
        <v>771</v>
      </c>
      <c r="I131" s="146"/>
      <c r="J131" s="134">
        <v>206498.0</v>
      </c>
      <c r="K131" s="135" t="s">
        <v>772</v>
      </c>
      <c r="L131" s="136" t="s">
        <v>258</v>
      </c>
      <c r="M131" s="192">
        <v>20000.0</v>
      </c>
      <c r="N131" s="100">
        <v>116.0</v>
      </c>
      <c r="O131" s="100">
        <v>6.0</v>
      </c>
      <c r="P131" s="100">
        <v>290.0</v>
      </c>
      <c r="Q131" s="100" t="s">
        <v>213</v>
      </c>
      <c r="R131" s="100" t="s">
        <v>773</v>
      </c>
      <c r="S131" s="50">
        <f t="shared" si="9"/>
        <v>14.5</v>
      </c>
      <c r="T131" s="50">
        <f t="shared" si="10"/>
        <v>235.8</v>
      </c>
      <c r="U131" s="69">
        <f t="shared" si="11"/>
        <v>16.26206897</v>
      </c>
      <c r="V131" s="70">
        <f t="shared" si="12"/>
        <v>1229.85581</v>
      </c>
      <c r="X131" s="60"/>
      <c r="Y131" s="60"/>
      <c r="Z131" s="60"/>
    </row>
    <row r="132" ht="20.25" customHeight="1">
      <c r="A132" s="66">
        <v>5.0</v>
      </c>
      <c r="B132" s="57">
        <v>46117.0</v>
      </c>
      <c r="C132" s="50" t="s">
        <v>774</v>
      </c>
      <c r="D132" s="45" t="s">
        <v>486</v>
      </c>
      <c r="E132" s="47"/>
      <c r="F132" s="189" t="s">
        <v>775</v>
      </c>
      <c r="G132" s="211">
        <v>46117.0</v>
      </c>
      <c r="H132" s="50">
        <v>210000.0</v>
      </c>
      <c r="I132" s="47"/>
      <c r="J132" s="47"/>
      <c r="K132" s="51" t="s">
        <v>776</v>
      </c>
      <c r="L132" s="60"/>
      <c r="M132" s="66">
        <v>210000.0</v>
      </c>
      <c r="N132" s="66">
        <v>92.0</v>
      </c>
      <c r="O132" s="66">
        <v>18.0</v>
      </c>
      <c r="P132" s="66">
        <v>138.0</v>
      </c>
      <c r="Q132" s="66" t="s">
        <v>63</v>
      </c>
      <c r="R132" s="66" t="s">
        <v>506</v>
      </c>
      <c r="S132" s="50">
        <f t="shared" si="9"/>
        <v>11.5</v>
      </c>
      <c r="T132" s="50">
        <f t="shared" si="10"/>
        <v>707.4</v>
      </c>
      <c r="U132" s="69">
        <f t="shared" si="11"/>
        <v>61.51304348</v>
      </c>
      <c r="V132" s="70">
        <f t="shared" si="12"/>
        <v>3413.910093</v>
      </c>
      <c r="X132" s="47"/>
      <c r="Y132" s="47"/>
      <c r="Z132" s="47"/>
    </row>
    <row r="133" ht="20.25" customHeight="1">
      <c r="A133" s="66">
        <v>1.0</v>
      </c>
      <c r="B133" s="50" t="s">
        <v>652</v>
      </c>
      <c r="C133" s="50" t="s">
        <v>777</v>
      </c>
      <c r="D133" s="45" t="s">
        <v>191</v>
      </c>
      <c r="E133" s="47"/>
      <c r="F133" s="109">
        <v>5.20003021E9</v>
      </c>
      <c r="G133" s="132" t="s">
        <v>592</v>
      </c>
      <c r="H133" s="50">
        <v>21000.0</v>
      </c>
      <c r="I133" s="47"/>
      <c r="J133" s="47"/>
      <c r="K133" s="45" t="s">
        <v>778</v>
      </c>
      <c r="L133" s="50" t="s">
        <v>49</v>
      </c>
      <c r="M133" s="50">
        <v>21000.0</v>
      </c>
      <c r="N133" s="50">
        <v>69.0</v>
      </c>
      <c r="O133" s="50">
        <v>14.0</v>
      </c>
      <c r="P133" s="50">
        <v>118.0</v>
      </c>
      <c r="Q133" s="50" t="s">
        <v>196</v>
      </c>
      <c r="R133" s="50" t="s">
        <v>197</v>
      </c>
      <c r="S133" s="50">
        <f t="shared" si="9"/>
        <v>8.625</v>
      </c>
      <c r="T133" s="50">
        <f t="shared" si="10"/>
        <v>550.2</v>
      </c>
      <c r="U133" s="69">
        <f t="shared" si="11"/>
        <v>63.79130435</v>
      </c>
      <c r="V133" s="70">
        <f t="shared" si="12"/>
        <v>329.1984733</v>
      </c>
      <c r="X133" s="47"/>
      <c r="Y133" s="47"/>
      <c r="Z133" s="47"/>
    </row>
    <row r="134" ht="20.25" customHeight="1">
      <c r="A134" s="66">
        <v>7.0</v>
      </c>
      <c r="B134" s="50" t="s">
        <v>779</v>
      </c>
      <c r="C134" s="50" t="s">
        <v>780</v>
      </c>
      <c r="D134" s="45" t="s">
        <v>78</v>
      </c>
      <c r="E134" s="47"/>
      <c r="F134" s="47"/>
      <c r="G134" s="47"/>
      <c r="H134" s="47"/>
      <c r="I134" s="47"/>
      <c r="J134" s="47"/>
      <c r="K134" s="45" t="s">
        <v>781</v>
      </c>
      <c r="L134" s="47"/>
      <c r="M134" s="50">
        <v>47850.0</v>
      </c>
      <c r="N134" s="50">
        <v>138.0</v>
      </c>
      <c r="O134" s="50">
        <v>6.0</v>
      </c>
      <c r="P134" s="50">
        <v>305.0</v>
      </c>
      <c r="Q134" s="50" t="s">
        <v>782</v>
      </c>
      <c r="R134" s="50" t="s">
        <v>783</v>
      </c>
      <c r="S134" s="50">
        <f t="shared" si="9"/>
        <v>17.25</v>
      </c>
      <c r="T134" s="50">
        <f t="shared" si="10"/>
        <v>235.8</v>
      </c>
      <c r="U134" s="69">
        <f t="shared" si="11"/>
        <v>13.66956522</v>
      </c>
      <c r="V134" s="70">
        <f t="shared" si="12"/>
        <v>3500.477099</v>
      </c>
      <c r="X134" s="47"/>
      <c r="Y134" s="47"/>
      <c r="Z134" s="47"/>
    </row>
    <row r="135" ht="20.25" customHeight="1">
      <c r="A135" s="66">
        <v>1.0</v>
      </c>
      <c r="B135" s="57">
        <v>46117.0</v>
      </c>
      <c r="C135" s="50" t="s">
        <v>784</v>
      </c>
      <c r="D135" s="45" t="s">
        <v>78</v>
      </c>
      <c r="E135" s="47"/>
      <c r="F135" s="47"/>
      <c r="G135" s="47"/>
      <c r="H135" s="47"/>
      <c r="I135" s="47"/>
      <c r="J135" s="47"/>
      <c r="K135" s="45" t="s">
        <v>785</v>
      </c>
      <c r="L135" s="47"/>
      <c r="M135" s="50">
        <v>31000.0</v>
      </c>
      <c r="N135" s="50">
        <v>116.0</v>
      </c>
      <c r="O135" s="50">
        <v>4.0</v>
      </c>
      <c r="P135" s="50">
        <v>240.0</v>
      </c>
      <c r="Q135" s="50" t="s">
        <v>50</v>
      </c>
      <c r="R135" s="50" t="s">
        <v>786</v>
      </c>
      <c r="S135" s="126">
        <f t="shared" si="9"/>
        <v>14.5</v>
      </c>
      <c r="T135" s="126">
        <f t="shared" si="10"/>
        <v>157.2</v>
      </c>
      <c r="U135" s="127">
        <f t="shared" si="11"/>
        <v>10.84137931</v>
      </c>
      <c r="V135" s="128">
        <f t="shared" si="12"/>
        <v>2859.414758</v>
      </c>
      <c r="X135" s="47"/>
      <c r="Y135" s="47"/>
      <c r="Z135" s="47"/>
    </row>
    <row r="136" ht="20.25" customHeight="1">
      <c r="A136" s="66">
        <v>2.0</v>
      </c>
      <c r="B136" s="57">
        <v>46117.0</v>
      </c>
      <c r="C136" s="50" t="s">
        <v>787</v>
      </c>
      <c r="D136" s="45" t="s">
        <v>78</v>
      </c>
      <c r="E136" s="47"/>
      <c r="F136" s="47"/>
      <c r="G136" s="47"/>
      <c r="H136" s="47"/>
      <c r="I136" s="47"/>
      <c r="J136" s="47"/>
      <c r="K136" s="45" t="s">
        <v>788</v>
      </c>
      <c r="L136" s="47"/>
      <c r="M136" s="50">
        <v>31000.0</v>
      </c>
      <c r="N136" s="50">
        <v>116.0</v>
      </c>
      <c r="O136" s="50">
        <v>4.0</v>
      </c>
      <c r="P136" s="50">
        <v>240.0</v>
      </c>
      <c r="Q136" s="50" t="s">
        <v>50</v>
      </c>
      <c r="R136" s="50" t="s">
        <v>786</v>
      </c>
      <c r="S136" s="126">
        <f t="shared" si="9"/>
        <v>14.5</v>
      </c>
      <c r="T136" s="126">
        <f t="shared" si="10"/>
        <v>157.2</v>
      </c>
      <c r="U136" s="127">
        <f t="shared" si="11"/>
        <v>10.84137931</v>
      </c>
      <c r="V136" s="128">
        <f t="shared" si="12"/>
        <v>2859.414758</v>
      </c>
      <c r="X136" s="47"/>
      <c r="Y136" s="47"/>
      <c r="Z136" s="47"/>
    </row>
    <row r="137" ht="20.25" customHeight="1">
      <c r="A137" s="50">
        <v>2.0</v>
      </c>
      <c r="B137" s="57">
        <v>46270.0</v>
      </c>
      <c r="C137" s="50" t="s">
        <v>789</v>
      </c>
      <c r="D137" s="51" t="s">
        <v>409</v>
      </c>
      <c r="E137" s="47"/>
      <c r="F137" s="66" t="s">
        <v>790</v>
      </c>
      <c r="G137" s="212">
        <v>46331.0</v>
      </c>
      <c r="H137" s="66">
        <v>10250.0</v>
      </c>
      <c r="I137" s="47"/>
      <c r="J137" s="47"/>
      <c r="K137" s="51" t="s">
        <v>791</v>
      </c>
      <c r="L137" s="47"/>
      <c r="M137" s="66">
        <v>10250.0</v>
      </c>
      <c r="N137" s="66">
        <v>108.0</v>
      </c>
      <c r="O137" s="66">
        <v>4.0</v>
      </c>
      <c r="P137" s="66">
        <v>125.0</v>
      </c>
      <c r="Q137" s="66" t="s">
        <v>50</v>
      </c>
      <c r="R137" s="66" t="s">
        <v>412</v>
      </c>
      <c r="S137" s="66">
        <f t="shared" si="9"/>
        <v>13.5</v>
      </c>
      <c r="T137" s="66">
        <f t="shared" si="10"/>
        <v>157.2</v>
      </c>
      <c r="U137" s="113">
        <f t="shared" si="11"/>
        <v>11.64444444</v>
      </c>
      <c r="V137" s="114">
        <f t="shared" si="12"/>
        <v>880.2480916</v>
      </c>
      <c r="X137" s="47"/>
      <c r="Y137" s="47"/>
      <c r="Z137" s="47"/>
    </row>
    <row r="138" ht="20.25" customHeight="1">
      <c r="A138" s="66">
        <v>3.0</v>
      </c>
      <c r="B138" s="57">
        <v>46270.0</v>
      </c>
      <c r="C138" s="50" t="s">
        <v>792</v>
      </c>
      <c r="D138" s="51" t="s">
        <v>409</v>
      </c>
      <c r="E138" s="47"/>
      <c r="F138" s="66" t="s">
        <v>793</v>
      </c>
      <c r="G138" s="212">
        <v>46361.0</v>
      </c>
      <c r="H138" s="66">
        <v>10250.0</v>
      </c>
      <c r="I138" s="47"/>
      <c r="J138" s="47"/>
      <c r="K138" s="51" t="s">
        <v>794</v>
      </c>
      <c r="L138" s="47"/>
      <c r="M138" s="66">
        <v>10250.0</v>
      </c>
      <c r="N138" s="66">
        <v>108.0</v>
      </c>
      <c r="O138" s="66">
        <v>4.0</v>
      </c>
      <c r="P138" s="66">
        <v>125.0</v>
      </c>
      <c r="Q138" s="66" t="s">
        <v>50</v>
      </c>
      <c r="R138" s="66" t="s">
        <v>412</v>
      </c>
      <c r="S138" s="66">
        <f t="shared" si="9"/>
        <v>13.5</v>
      </c>
      <c r="T138" s="66">
        <f t="shared" si="10"/>
        <v>157.2</v>
      </c>
      <c r="U138" s="113">
        <f t="shared" si="11"/>
        <v>11.64444444</v>
      </c>
      <c r="V138" s="114">
        <f t="shared" si="12"/>
        <v>880.2480916</v>
      </c>
      <c r="X138" s="47"/>
      <c r="Y138" s="47"/>
      <c r="Z138" s="47"/>
    </row>
    <row r="139" ht="20.25" customHeight="1">
      <c r="A139" s="50">
        <v>4.0</v>
      </c>
      <c r="B139" s="57">
        <v>46270.0</v>
      </c>
      <c r="C139" s="50" t="s">
        <v>795</v>
      </c>
      <c r="D139" s="51" t="s">
        <v>409</v>
      </c>
      <c r="E139" s="47"/>
      <c r="F139" s="66" t="s">
        <v>793</v>
      </c>
      <c r="G139" s="212">
        <v>46361.0</v>
      </c>
      <c r="H139" s="66">
        <v>15400.0</v>
      </c>
      <c r="I139" s="47"/>
      <c r="J139" s="47"/>
      <c r="K139" s="51" t="s">
        <v>796</v>
      </c>
      <c r="L139" s="47"/>
      <c r="M139" s="66">
        <v>15400.0</v>
      </c>
      <c r="N139" s="66">
        <v>108.0</v>
      </c>
      <c r="O139" s="66">
        <v>4.0</v>
      </c>
      <c r="P139" s="66">
        <v>125.0</v>
      </c>
      <c r="Q139" s="66" t="s">
        <v>50</v>
      </c>
      <c r="R139" s="66" t="s">
        <v>412</v>
      </c>
      <c r="S139" s="66">
        <f t="shared" si="9"/>
        <v>13.5</v>
      </c>
      <c r="T139" s="66">
        <f t="shared" si="10"/>
        <v>157.2</v>
      </c>
      <c r="U139" s="113">
        <f t="shared" si="11"/>
        <v>11.64444444</v>
      </c>
      <c r="V139" s="114">
        <f t="shared" si="12"/>
        <v>1322.519084</v>
      </c>
      <c r="X139" s="47"/>
      <c r="Y139" s="47"/>
      <c r="Z139" s="47"/>
    </row>
    <row r="140" ht="20.25" customHeight="1">
      <c r="A140" s="66">
        <v>28.0</v>
      </c>
      <c r="B140" s="57">
        <v>46361.0</v>
      </c>
      <c r="C140" s="50" t="s">
        <v>797</v>
      </c>
      <c r="D140" s="45" t="s">
        <v>798</v>
      </c>
      <c r="E140" s="47"/>
      <c r="F140" s="47"/>
      <c r="G140" s="47"/>
      <c r="H140" s="47"/>
      <c r="I140" s="47"/>
      <c r="J140" s="47"/>
      <c r="K140" s="45" t="s">
        <v>799</v>
      </c>
      <c r="L140" s="47"/>
      <c r="M140" s="50">
        <v>10000.0</v>
      </c>
      <c r="N140" s="50">
        <v>79.0</v>
      </c>
      <c r="O140" s="50">
        <v>2.0</v>
      </c>
      <c r="P140" s="50">
        <v>95.0</v>
      </c>
      <c r="Q140" s="50" t="s">
        <v>50</v>
      </c>
      <c r="R140" s="50" t="s">
        <v>800</v>
      </c>
      <c r="S140" s="50">
        <f t="shared" si="9"/>
        <v>9.875</v>
      </c>
      <c r="T140" s="50">
        <f t="shared" si="10"/>
        <v>78.6</v>
      </c>
      <c r="U140" s="69">
        <f t="shared" si="11"/>
        <v>7.959493671</v>
      </c>
      <c r="V140" s="70">
        <f t="shared" si="12"/>
        <v>1256.361323</v>
      </c>
      <c r="X140" s="47"/>
      <c r="Y140" s="47"/>
      <c r="Z140" s="47"/>
    </row>
    <row r="141" ht="20.25" customHeight="1">
      <c r="A141" s="66">
        <v>5.0</v>
      </c>
      <c r="B141" s="57">
        <v>46270.0</v>
      </c>
      <c r="C141" s="50" t="s">
        <v>801</v>
      </c>
      <c r="D141" s="45" t="s">
        <v>78</v>
      </c>
      <c r="E141" s="47"/>
      <c r="F141" s="47"/>
      <c r="G141" s="47"/>
      <c r="H141" s="47"/>
      <c r="I141" s="47"/>
      <c r="J141" s="47"/>
      <c r="K141" s="45" t="s">
        <v>802</v>
      </c>
      <c r="L141" s="47"/>
      <c r="M141" s="50">
        <v>29590.0</v>
      </c>
      <c r="N141" s="50">
        <v>85.0</v>
      </c>
      <c r="O141" s="50">
        <v>4.0</v>
      </c>
      <c r="P141" s="50">
        <v>260.0</v>
      </c>
      <c r="Q141" s="50" t="s">
        <v>115</v>
      </c>
      <c r="R141" s="45" t="s">
        <v>803</v>
      </c>
      <c r="S141" s="52">
        <f t="shared" si="9"/>
        <v>10.625</v>
      </c>
      <c r="T141" s="52">
        <f t="shared" si="10"/>
        <v>157.2</v>
      </c>
      <c r="U141" s="55">
        <f t="shared" si="11"/>
        <v>14.79529412</v>
      </c>
      <c r="V141" s="58">
        <f t="shared" si="12"/>
        <v>1999.960242</v>
      </c>
      <c r="W141" s="77"/>
      <c r="X141" s="78"/>
      <c r="Y141" s="79"/>
      <c r="Z141" s="77"/>
      <c r="AA141" s="63"/>
      <c r="AB141" s="81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82"/>
      <c r="BR141" s="82"/>
      <c r="BS141" s="82"/>
      <c r="BT141" s="82"/>
      <c r="BU141" s="82"/>
      <c r="BV141" s="82"/>
      <c r="BW141" s="82"/>
      <c r="BX141" s="82"/>
      <c r="BY141" s="82"/>
      <c r="BZ141" s="82"/>
      <c r="CA141" s="82"/>
      <c r="CB141" s="82"/>
      <c r="CC141" s="82"/>
      <c r="CD141" s="82"/>
      <c r="CE141" s="82"/>
      <c r="CF141" s="82"/>
      <c r="CG141" s="82"/>
      <c r="CH141" s="82"/>
      <c r="CI141" s="82"/>
      <c r="CJ141" s="82"/>
      <c r="CK141" s="82"/>
      <c r="CL141" s="82"/>
      <c r="CM141" s="82"/>
      <c r="CN141" s="82"/>
      <c r="CO141" s="82"/>
      <c r="CP141" s="82"/>
      <c r="CQ141" s="82"/>
      <c r="CR141" s="82"/>
      <c r="CS141" s="82"/>
      <c r="CT141" s="82"/>
      <c r="CU141" s="82"/>
      <c r="CV141" s="82"/>
    </row>
    <row r="142" ht="20.25" customHeight="1">
      <c r="A142" s="50">
        <v>1.0</v>
      </c>
      <c r="B142" s="57">
        <v>46270.0</v>
      </c>
      <c r="C142" s="50" t="s">
        <v>804</v>
      </c>
      <c r="D142" s="45" t="s">
        <v>78</v>
      </c>
      <c r="E142" s="47"/>
      <c r="F142" s="47"/>
      <c r="G142" s="47"/>
      <c r="H142" s="47"/>
      <c r="I142" s="47"/>
      <c r="J142" s="47"/>
      <c r="K142" s="45" t="s">
        <v>805</v>
      </c>
      <c r="L142" s="47"/>
      <c r="M142" s="166">
        <v>23880.0</v>
      </c>
      <c r="N142" s="50">
        <v>79.0</v>
      </c>
      <c r="O142" s="50">
        <v>3.0</v>
      </c>
      <c r="P142" s="50">
        <v>225.0</v>
      </c>
      <c r="Q142" s="50" t="s">
        <v>115</v>
      </c>
      <c r="R142" s="50" t="s">
        <v>806</v>
      </c>
      <c r="S142" s="50">
        <f t="shared" si="9"/>
        <v>9.875</v>
      </c>
      <c r="T142" s="50">
        <f t="shared" si="10"/>
        <v>117.9</v>
      </c>
      <c r="U142" s="69">
        <f t="shared" si="11"/>
        <v>11.93924051</v>
      </c>
      <c r="V142" s="70">
        <f t="shared" si="12"/>
        <v>2000.127226</v>
      </c>
      <c r="W142" s="77"/>
      <c r="X142" s="78"/>
      <c r="Y142" s="79"/>
      <c r="Z142" s="77"/>
      <c r="AA142" s="63"/>
      <c r="AB142" s="81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2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  <c r="BT142" s="82"/>
      <c r="BU142" s="82"/>
      <c r="BV142" s="82"/>
      <c r="BW142" s="82"/>
      <c r="BX142" s="82"/>
      <c r="BY142" s="82"/>
      <c r="BZ142" s="82"/>
      <c r="CA142" s="82"/>
      <c r="CB142" s="82"/>
      <c r="CC142" s="82"/>
      <c r="CD142" s="82"/>
      <c r="CE142" s="82"/>
      <c r="CF142" s="82"/>
      <c r="CG142" s="82"/>
      <c r="CH142" s="82"/>
      <c r="CI142" s="82"/>
      <c r="CJ142" s="82"/>
      <c r="CK142" s="82"/>
      <c r="CL142" s="82"/>
      <c r="CM142" s="82"/>
      <c r="CN142" s="82"/>
      <c r="CO142" s="82"/>
      <c r="CP142" s="82"/>
      <c r="CQ142" s="82"/>
      <c r="CR142" s="82"/>
      <c r="CS142" s="82"/>
      <c r="CT142" s="82"/>
      <c r="CU142" s="82"/>
      <c r="CV142" s="82"/>
    </row>
    <row r="143" ht="20.25" customHeight="1">
      <c r="A143" s="66">
        <v>6.0</v>
      </c>
      <c r="B143" s="57">
        <v>46208.0</v>
      </c>
      <c r="C143" s="66" t="s">
        <v>807</v>
      </c>
      <c r="D143" s="51" t="s">
        <v>67</v>
      </c>
      <c r="E143" s="146"/>
      <c r="F143" s="50">
        <v>5.400092627E9</v>
      </c>
      <c r="G143" s="153">
        <v>46361.0</v>
      </c>
      <c r="H143" s="149">
        <v>3000.0</v>
      </c>
      <c r="I143" s="146"/>
      <c r="J143" s="204">
        <v>207353.0</v>
      </c>
      <c r="K143" s="213" t="s">
        <v>808</v>
      </c>
      <c r="L143" s="100" t="s">
        <v>273</v>
      </c>
      <c r="M143" s="122">
        <v>3000.0</v>
      </c>
      <c r="N143" s="50">
        <v>99.0</v>
      </c>
      <c r="O143" s="50">
        <v>9.0</v>
      </c>
      <c r="P143" s="50">
        <v>150.0</v>
      </c>
      <c r="Q143" s="50" t="s">
        <v>63</v>
      </c>
      <c r="R143" s="100" t="s">
        <v>570</v>
      </c>
      <c r="S143" s="50">
        <f t="shared" si="9"/>
        <v>12.375</v>
      </c>
      <c r="T143" s="50">
        <f t="shared" si="10"/>
        <v>353.7</v>
      </c>
      <c r="U143" s="69">
        <f t="shared" si="11"/>
        <v>28.58181818</v>
      </c>
      <c r="V143" s="70">
        <f t="shared" si="12"/>
        <v>104.9618321</v>
      </c>
      <c r="W143" s="77"/>
      <c r="X143" s="78"/>
      <c r="Y143" s="79"/>
      <c r="Z143" s="77"/>
      <c r="AA143" s="63"/>
      <c r="AB143" s="81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  <c r="AM143" s="82"/>
      <c r="AN143" s="82"/>
      <c r="AO143" s="82"/>
      <c r="AP143" s="82"/>
      <c r="AQ143" s="82"/>
      <c r="AR143" s="82"/>
      <c r="AS143" s="82"/>
      <c r="AT143" s="82"/>
      <c r="AU143" s="82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  <c r="BT143" s="82"/>
      <c r="BU143" s="82"/>
      <c r="BV143" s="82"/>
      <c r="BW143" s="82"/>
      <c r="BX143" s="82"/>
      <c r="BY143" s="82"/>
      <c r="BZ143" s="82"/>
      <c r="CA143" s="82"/>
      <c r="CB143" s="82"/>
      <c r="CC143" s="82"/>
      <c r="CD143" s="82"/>
      <c r="CE143" s="82"/>
      <c r="CF143" s="82"/>
      <c r="CG143" s="82"/>
      <c r="CH143" s="82"/>
      <c r="CI143" s="82"/>
      <c r="CJ143" s="82"/>
      <c r="CK143" s="82"/>
      <c r="CL143" s="82"/>
      <c r="CM143" s="82"/>
      <c r="CN143" s="82"/>
      <c r="CO143" s="82"/>
      <c r="CP143" s="82"/>
      <c r="CQ143" s="82"/>
      <c r="CR143" s="82"/>
      <c r="CS143" s="82"/>
      <c r="CT143" s="82"/>
      <c r="CU143" s="82"/>
      <c r="CV143" s="82"/>
    </row>
    <row r="144" ht="20.25" customHeight="1">
      <c r="A144" s="66">
        <v>21.0</v>
      </c>
      <c r="B144" s="57">
        <v>46208.0</v>
      </c>
      <c r="C144" s="66" t="s">
        <v>809</v>
      </c>
      <c r="D144" s="51" t="s">
        <v>67</v>
      </c>
      <c r="E144" s="146"/>
      <c r="F144" s="50">
        <v>5.400092627E9</v>
      </c>
      <c r="G144" s="153">
        <v>46361.0</v>
      </c>
      <c r="H144" s="149">
        <v>82000.0</v>
      </c>
      <c r="I144" s="146"/>
      <c r="J144" s="204">
        <v>207042.0</v>
      </c>
      <c r="K144" s="145" t="s">
        <v>618</v>
      </c>
      <c r="L144" s="100" t="s">
        <v>258</v>
      </c>
      <c r="M144" s="122">
        <v>81400.0</v>
      </c>
      <c r="N144" s="50">
        <v>92.0</v>
      </c>
      <c r="O144" s="50">
        <v>8.0</v>
      </c>
      <c r="P144" s="50">
        <v>150.0</v>
      </c>
      <c r="Q144" s="136" t="s">
        <v>63</v>
      </c>
      <c r="R144" s="50" t="s">
        <v>619</v>
      </c>
      <c r="S144" s="50">
        <f t="shared" si="9"/>
        <v>11.5</v>
      </c>
      <c r="T144" s="50">
        <f t="shared" si="10"/>
        <v>314.4</v>
      </c>
      <c r="U144" s="69">
        <f t="shared" si="11"/>
        <v>27.33913043</v>
      </c>
      <c r="V144" s="70">
        <f t="shared" si="12"/>
        <v>2977.417303</v>
      </c>
      <c r="W144" s="77"/>
      <c r="X144" s="78"/>
      <c r="Y144" s="79"/>
      <c r="Z144" s="77"/>
      <c r="AA144" s="63"/>
      <c r="AB144" s="81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BT144" s="82"/>
      <c r="BU144" s="82"/>
      <c r="BV144" s="82"/>
      <c r="BW144" s="82"/>
      <c r="BX144" s="82"/>
      <c r="BY144" s="82"/>
      <c r="BZ144" s="82"/>
      <c r="CA144" s="82"/>
      <c r="CB144" s="82"/>
      <c r="CC144" s="82"/>
      <c r="CD144" s="82"/>
      <c r="CE144" s="82"/>
      <c r="CF144" s="82"/>
      <c r="CG144" s="82"/>
      <c r="CH144" s="82"/>
      <c r="CI144" s="82"/>
      <c r="CJ144" s="82"/>
      <c r="CK144" s="82"/>
      <c r="CL144" s="82"/>
      <c r="CM144" s="82"/>
      <c r="CN144" s="82"/>
      <c r="CO144" s="82"/>
      <c r="CP144" s="82"/>
      <c r="CQ144" s="82"/>
      <c r="CR144" s="82"/>
      <c r="CS144" s="82"/>
      <c r="CT144" s="82"/>
      <c r="CU144" s="82"/>
      <c r="CV144" s="82"/>
    </row>
    <row r="145" ht="20.25" customHeight="1">
      <c r="A145" s="50">
        <v>1.0</v>
      </c>
      <c r="B145" s="57">
        <v>46361.0</v>
      </c>
      <c r="C145" s="50" t="s">
        <v>810</v>
      </c>
      <c r="D145" s="45" t="s">
        <v>811</v>
      </c>
      <c r="E145" s="47"/>
      <c r="F145" s="47"/>
      <c r="G145" s="47"/>
      <c r="H145" s="47"/>
      <c r="I145" s="214" t="s">
        <v>812</v>
      </c>
      <c r="J145" s="85"/>
      <c r="K145" s="45" t="s">
        <v>813</v>
      </c>
      <c r="L145" s="47"/>
      <c r="M145" s="50">
        <v>1600.0</v>
      </c>
      <c r="N145" s="50">
        <v>108.0</v>
      </c>
      <c r="O145" s="50">
        <v>2.0</v>
      </c>
      <c r="P145" s="50">
        <v>110.0</v>
      </c>
      <c r="Q145" s="50" t="s">
        <v>50</v>
      </c>
      <c r="R145" s="50" t="s">
        <v>814</v>
      </c>
      <c r="S145" s="50">
        <f t="shared" si="9"/>
        <v>13.5</v>
      </c>
      <c r="T145" s="50">
        <f t="shared" si="10"/>
        <v>78.6</v>
      </c>
      <c r="U145" s="69">
        <f t="shared" si="11"/>
        <v>5.822222222</v>
      </c>
      <c r="V145" s="70">
        <f t="shared" si="12"/>
        <v>274.8091603</v>
      </c>
      <c r="W145" s="77"/>
      <c r="X145" s="78"/>
      <c r="Y145" s="79"/>
      <c r="Z145" s="77"/>
      <c r="AA145" s="63"/>
      <c r="AB145" s="81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BT145" s="82"/>
      <c r="BU145" s="82"/>
      <c r="BV145" s="82"/>
      <c r="BW145" s="82"/>
      <c r="BX145" s="82"/>
      <c r="BY145" s="82"/>
      <c r="BZ145" s="82"/>
      <c r="CA145" s="82"/>
      <c r="CB145" s="82"/>
      <c r="CC145" s="82"/>
      <c r="CD145" s="82"/>
      <c r="CE145" s="82"/>
      <c r="CF145" s="82"/>
      <c r="CG145" s="82"/>
      <c r="CH145" s="82"/>
      <c r="CI145" s="82"/>
      <c r="CJ145" s="82"/>
      <c r="CK145" s="82"/>
      <c r="CL145" s="82"/>
      <c r="CM145" s="82"/>
      <c r="CN145" s="82"/>
      <c r="CO145" s="82"/>
      <c r="CP145" s="82"/>
      <c r="CQ145" s="82"/>
      <c r="CR145" s="82"/>
      <c r="CS145" s="82"/>
      <c r="CT145" s="82"/>
      <c r="CU145" s="82"/>
      <c r="CV145" s="82"/>
    </row>
    <row r="146" ht="20.25" customHeight="1">
      <c r="A146" s="66">
        <v>7.0</v>
      </c>
      <c r="B146" s="57">
        <v>46239.0</v>
      </c>
      <c r="C146" s="50" t="s">
        <v>815</v>
      </c>
      <c r="D146" s="45" t="s">
        <v>247</v>
      </c>
      <c r="E146" s="47"/>
      <c r="F146" s="125" t="s">
        <v>816</v>
      </c>
      <c r="G146" s="155">
        <v>46178.0</v>
      </c>
      <c r="H146" s="125">
        <v>10000.0</v>
      </c>
      <c r="I146" s="47"/>
      <c r="J146" s="47"/>
      <c r="K146" s="51" t="s">
        <v>507</v>
      </c>
      <c r="L146" s="50" t="s">
        <v>252</v>
      </c>
      <c r="M146" s="50">
        <v>10000.0</v>
      </c>
      <c r="N146" s="50">
        <v>92.0</v>
      </c>
      <c r="O146" s="50">
        <v>2.0</v>
      </c>
      <c r="P146" s="50">
        <v>220.0</v>
      </c>
      <c r="Q146" s="50" t="s">
        <v>63</v>
      </c>
      <c r="R146" s="50" t="s">
        <v>330</v>
      </c>
      <c r="S146" s="126">
        <f t="shared" si="9"/>
        <v>11.5</v>
      </c>
      <c r="T146" s="126">
        <f t="shared" si="10"/>
        <v>78.6</v>
      </c>
      <c r="U146" s="127">
        <f t="shared" si="11"/>
        <v>6.834782609</v>
      </c>
      <c r="V146" s="128">
        <f t="shared" si="12"/>
        <v>1463.104326</v>
      </c>
      <c r="W146" s="77"/>
      <c r="X146" s="78"/>
      <c r="Y146" s="79"/>
      <c r="Z146" s="77"/>
      <c r="AA146" s="63"/>
      <c r="AB146" s="81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  <c r="BT146" s="82"/>
      <c r="BU146" s="82"/>
      <c r="BV146" s="82"/>
      <c r="BW146" s="82"/>
      <c r="BX146" s="82"/>
      <c r="BY146" s="82"/>
      <c r="BZ146" s="82"/>
      <c r="CA146" s="82"/>
      <c r="CB146" s="82"/>
      <c r="CC146" s="82"/>
      <c r="CD146" s="82"/>
      <c r="CE146" s="82"/>
      <c r="CF146" s="82"/>
      <c r="CG146" s="82"/>
      <c r="CH146" s="82"/>
      <c r="CI146" s="82"/>
      <c r="CJ146" s="82"/>
      <c r="CK146" s="82"/>
      <c r="CL146" s="82"/>
      <c r="CM146" s="82"/>
      <c r="CN146" s="82"/>
      <c r="CO146" s="82"/>
      <c r="CP146" s="82"/>
      <c r="CQ146" s="82"/>
      <c r="CR146" s="82"/>
      <c r="CS146" s="82"/>
      <c r="CT146" s="82"/>
      <c r="CU146" s="82"/>
      <c r="CV146" s="82"/>
    </row>
    <row r="147" ht="20.25" customHeight="1">
      <c r="A147" s="66">
        <v>3.0</v>
      </c>
      <c r="B147" s="50" t="s">
        <v>484</v>
      </c>
      <c r="C147" s="50" t="s">
        <v>817</v>
      </c>
      <c r="D147" s="45" t="s">
        <v>247</v>
      </c>
      <c r="E147" s="47"/>
      <c r="F147" s="64" t="s">
        <v>430</v>
      </c>
      <c r="G147" s="64" t="s">
        <v>431</v>
      </c>
      <c r="H147" s="125">
        <v>10000.0</v>
      </c>
      <c r="I147" s="47"/>
      <c r="J147" s="47"/>
      <c r="K147" s="45" t="s">
        <v>818</v>
      </c>
      <c r="L147" s="50" t="s">
        <v>252</v>
      </c>
      <c r="M147" s="50">
        <v>10000.0</v>
      </c>
      <c r="N147" s="100">
        <v>92.0</v>
      </c>
      <c r="O147" s="100">
        <v>4.0</v>
      </c>
      <c r="P147" s="100">
        <v>140.0</v>
      </c>
      <c r="Q147" s="50" t="s">
        <v>63</v>
      </c>
      <c r="R147" s="100" t="s">
        <v>366</v>
      </c>
      <c r="S147" s="50">
        <f t="shared" si="9"/>
        <v>11.5</v>
      </c>
      <c r="T147" s="50">
        <f t="shared" si="10"/>
        <v>157.2</v>
      </c>
      <c r="U147" s="69">
        <f t="shared" si="11"/>
        <v>13.66956522</v>
      </c>
      <c r="V147" s="70">
        <f t="shared" si="12"/>
        <v>731.5521628</v>
      </c>
      <c r="W147" s="77"/>
      <c r="X147" s="78"/>
      <c r="Y147" s="79"/>
      <c r="Z147" s="77"/>
      <c r="AA147" s="63"/>
      <c r="AB147" s="81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  <c r="BT147" s="82"/>
      <c r="BU147" s="82"/>
      <c r="BV147" s="82"/>
      <c r="BW147" s="82"/>
      <c r="BX147" s="82"/>
      <c r="BY147" s="82"/>
      <c r="BZ147" s="82"/>
      <c r="CA147" s="82"/>
      <c r="CB147" s="82"/>
      <c r="CC147" s="82"/>
      <c r="CD147" s="82"/>
      <c r="CE147" s="82"/>
      <c r="CF147" s="82"/>
      <c r="CG147" s="82"/>
      <c r="CH147" s="82"/>
      <c r="CI147" s="82"/>
      <c r="CJ147" s="82"/>
      <c r="CK147" s="82"/>
      <c r="CL147" s="82"/>
      <c r="CM147" s="82"/>
      <c r="CN147" s="82"/>
      <c r="CO147" s="82"/>
      <c r="CP147" s="82"/>
      <c r="CQ147" s="82"/>
      <c r="CR147" s="82"/>
      <c r="CS147" s="82"/>
      <c r="CT147" s="82"/>
      <c r="CU147" s="82"/>
      <c r="CV147" s="82"/>
    </row>
    <row r="148" ht="20.25" customHeight="1">
      <c r="A148" s="66">
        <v>6.0</v>
      </c>
      <c r="B148" s="50" t="s">
        <v>484</v>
      </c>
      <c r="C148" s="50" t="s">
        <v>819</v>
      </c>
      <c r="D148" s="45" t="s">
        <v>247</v>
      </c>
      <c r="E148" s="47"/>
      <c r="F148" s="64" t="s">
        <v>430</v>
      </c>
      <c r="G148" s="64" t="s">
        <v>431</v>
      </c>
      <c r="H148" s="125">
        <v>4000.0</v>
      </c>
      <c r="I148" s="47"/>
      <c r="J148" s="47"/>
      <c r="K148" s="45" t="s">
        <v>820</v>
      </c>
      <c r="L148" s="50" t="s">
        <v>252</v>
      </c>
      <c r="M148" s="50">
        <v>4000.0</v>
      </c>
      <c r="N148" s="100">
        <v>92.0</v>
      </c>
      <c r="O148" s="100">
        <v>4.0</v>
      </c>
      <c r="P148" s="100">
        <v>140.0</v>
      </c>
      <c r="Q148" s="50" t="s">
        <v>63</v>
      </c>
      <c r="R148" s="100" t="s">
        <v>366</v>
      </c>
      <c r="S148" s="50">
        <f t="shared" si="9"/>
        <v>11.5</v>
      </c>
      <c r="T148" s="50">
        <f t="shared" si="10"/>
        <v>157.2</v>
      </c>
      <c r="U148" s="69">
        <f t="shared" si="11"/>
        <v>13.66956522</v>
      </c>
      <c r="V148" s="70">
        <f t="shared" si="12"/>
        <v>292.6208651</v>
      </c>
      <c r="W148" s="77"/>
      <c r="X148" s="78"/>
      <c r="Y148" s="79"/>
      <c r="Z148" s="77"/>
      <c r="AA148" s="63"/>
      <c r="AB148" s="81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  <c r="BT148" s="82"/>
      <c r="BU148" s="82"/>
      <c r="BV148" s="82"/>
      <c r="BW148" s="82"/>
      <c r="BX148" s="82"/>
      <c r="BY148" s="82"/>
      <c r="BZ148" s="82"/>
      <c r="CA148" s="82"/>
      <c r="CB148" s="82"/>
      <c r="CC148" s="82"/>
      <c r="CD148" s="82"/>
      <c r="CE148" s="82"/>
      <c r="CF148" s="82"/>
      <c r="CG148" s="82"/>
      <c r="CH148" s="82"/>
      <c r="CI148" s="82"/>
      <c r="CJ148" s="82"/>
      <c r="CK148" s="82"/>
      <c r="CL148" s="82"/>
      <c r="CM148" s="82"/>
      <c r="CN148" s="82"/>
      <c r="CO148" s="82"/>
      <c r="CP148" s="82"/>
      <c r="CQ148" s="82"/>
      <c r="CR148" s="82"/>
      <c r="CS148" s="82"/>
      <c r="CT148" s="82"/>
      <c r="CU148" s="82"/>
      <c r="CV148" s="82"/>
    </row>
    <row r="149" ht="20.25" customHeight="1">
      <c r="A149" s="50">
        <v>10.0</v>
      </c>
      <c r="B149" s="50" t="s">
        <v>821</v>
      </c>
      <c r="C149" s="50" t="s">
        <v>822</v>
      </c>
      <c r="D149" s="45" t="s">
        <v>247</v>
      </c>
      <c r="E149" s="47"/>
      <c r="F149" s="106" t="s">
        <v>276</v>
      </c>
      <c r="G149" s="215" t="s">
        <v>277</v>
      </c>
      <c r="H149" s="215">
        <v>25000.0</v>
      </c>
      <c r="I149" s="47"/>
      <c r="J149" s="47"/>
      <c r="K149" s="56" t="s">
        <v>823</v>
      </c>
      <c r="L149" s="50" t="s">
        <v>252</v>
      </c>
      <c r="M149" s="50">
        <v>10000.0</v>
      </c>
      <c r="N149" s="66">
        <v>89.0</v>
      </c>
      <c r="O149" s="66">
        <v>1.0</v>
      </c>
      <c r="P149" s="66">
        <v>160.0</v>
      </c>
      <c r="Q149" s="50" t="s">
        <v>63</v>
      </c>
      <c r="R149" s="66" t="s">
        <v>254</v>
      </c>
      <c r="S149" s="52">
        <f t="shared" si="9"/>
        <v>11.125</v>
      </c>
      <c r="T149" s="52">
        <f t="shared" si="10"/>
        <v>39.3</v>
      </c>
      <c r="U149" s="55">
        <f t="shared" si="11"/>
        <v>3.53258427</v>
      </c>
      <c r="V149" s="58">
        <f t="shared" si="12"/>
        <v>2830.788804</v>
      </c>
      <c r="W149" s="77"/>
      <c r="X149" s="78"/>
      <c r="Y149" s="79"/>
      <c r="Z149" s="77"/>
      <c r="AA149" s="63"/>
      <c r="AB149" s="81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  <c r="BT149" s="82"/>
      <c r="BU149" s="82"/>
      <c r="BV149" s="82"/>
      <c r="BW149" s="82"/>
      <c r="BX149" s="82"/>
      <c r="BY149" s="82"/>
      <c r="BZ149" s="82"/>
      <c r="CA149" s="82"/>
      <c r="CB149" s="82"/>
      <c r="CC149" s="82"/>
      <c r="CD149" s="82"/>
      <c r="CE149" s="82"/>
      <c r="CF149" s="82"/>
      <c r="CG149" s="82"/>
      <c r="CH149" s="82"/>
      <c r="CI149" s="82"/>
      <c r="CJ149" s="82"/>
      <c r="CK149" s="82"/>
      <c r="CL149" s="82"/>
      <c r="CM149" s="82"/>
      <c r="CN149" s="82"/>
      <c r="CO149" s="82"/>
      <c r="CP149" s="82"/>
      <c r="CQ149" s="82"/>
      <c r="CR149" s="82"/>
      <c r="CS149" s="82"/>
      <c r="CT149" s="82"/>
      <c r="CU149" s="82"/>
      <c r="CV149" s="82"/>
    </row>
    <row r="150" ht="20.25" customHeight="1">
      <c r="A150" s="50">
        <v>1.0</v>
      </c>
      <c r="B150" s="50" t="s">
        <v>708</v>
      </c>
      <c r="C150" s="50" t="s">
        <v>824</v>
      </c>
      <c r="D150" s="45" t="s">
        <v>247</v>
      </c>
      <c r="E150" s="47"/>
      <c r="F150" s="64" t="s">
        <v>710</v>
      </c>
      <c r="G150" s="125" t="s">
        <v>592</v>
      </c>
      <c r="H150" s="125">
        <v>6000.0</v>
      </c>
      <c r="I150" s="47"/>
      <c r="J150" s="47"/>
      <c r="K150" s="45" t="s">
        <v>825</v>
      </c>
      <c r="L150" s="50" t="s">
        <v>252</v>
      </c>
      <c r="M150" s="50">
        <v>6000.0</v>
      </c>
      <c r="N150" s="100">
        <v>89.0</v>
      </c>
      <c r="O150" s="100">
        <v>6.0</v>
      </c>
      <c r="P150" s="100">
        <v>130.0</v>
      </c>
      <c r="Q150" s="50" t="s">
        <v>63</v>
      </c>
      <c r="R150" s="100" t="s">
        <v>826</v>
      </c>
      <c r="S150" s="50">
        <f t="shared" si="9"/>
        <v>11.125</v>
      </c>
      <c r="T150" s="50">
        <f t="shared" si="10"/>
        <v>235.8</v>
      </c>
      <c r="U150" s="69">
        <f t="shared" si="11"/>
        <v>21.19550562</v>
      </c>
      <c r="V150" s="70">
        <f t="shared" si="12"/>
        <v>283.0788804</v>
      </c>
      <c r="W150" s="77"/>
      <c r="X150" s="78"/>
      <c r="Y150" s="79"/>
      <c r="Z150" s="77"/>
      <c r="AA150" s="63"/>
      <c r="AB150" s="81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  <c r="BT150" s="82"/>
      <c r="BU150" s="82"/>
      <c r="BV150" s="82"/>
      <c r="BW150" s="82"/>
      <c r="BX150" s="82"/>
      <c r="BY150" s="82"/>
      <c r="BZ150" s="82"/>
      <c r="CA150" s="82"/>
      <c r="CB150" s="82"/>
      <c r="CC150" s="82"/>
      <c r="CD150" s="82"/>
      <c r="CE150" s="82"/>
      <c r="CF150" s="82"/>
      <c r="CG150" s="82"/>
      <c r="CH150" s="82"/>
      <c r="CI150" s="82"/>
      <c r="CJ150" s="82"/>
      <c r="CK150" s="82"/>
      <c r="CL150" s="82"/>
      <c r="CM150" s="82"/>
      <c r="CN150" s="82"/>
      <c r="CO150" s="82"/>
      <c r="CP150" s="82"/>
      <c r="CQ150" s="82"/>
      <c r="CR150" s="82"/>
      <c r="CS150" s="82"/>
      <c r="CT150" s="82"/>
      <c r="CU150" s="82"/>
      <c r="CV150" s="82"/>
    </row>
    <row r="151" ht="20.25" customHeight="1">
      <c r="A151" s="66">
        <v>2.0</v>
      </c>
      <c r="B151" s="57">
        <v>46239.0</v>
      </c>
      <c r="C151" s="50" t="s">
        <v>827</v>
      </c>
      <c r="D151" s="45" t="s">
        <v>247</v>
      </c>
      <c r="E151" s="47"/>
      <c r="F151" s="64" t="s">
        <v>816</v>
      </c>
      <c r="G151" s="153">
        <v>46178.0</v>
      </c>
      <c r="H151" s="50">
        <v>2000.0</v>
      </c>
      <c r="I151" s="47"/>
      <c r="J151" s="47"/>
      <c r="K151" s="45" t="s">
        <v>828</v>
      </c>
      <c r="L151" s="50" t="s">
        <v>252</v>
      </c>
      <c r="M151" s="50">
        <v>2000.0</v>
      </c>
      <c r="N151" s="66">
        <v>89.0</v>
      </c>
      <c r="O151" s="66">
        <v>1.0</v>
      </c>
      <c r="P151" s="66">
        <v>160.0</v>
      </c>
      <c r="Q151" s="50" t="s">
        <v>63</v>
      </c>
      <c r="R151" s="66" t="s">
        <v>254</v>
      </c>
      <c r="S151" s="52">
        <f t="shared" si="9"/>
        <v>11.125</v>
      </c>
      <c r="T151" s="52">
        <f t="shared" si="10"/>
        <v>39.3</v>
      </c>
      <c r="U151" s="55">
        <f t="shared" si="11"/>
        <v>3.53258427</v>
      </c>
      <c r="V151" s="58">
        <f t="shared" si="12"/>
        <v>566.1577608</v>
      </c>
      <c r="W151" s="77"/>
      <c r="X151" s="78"/>
      <c r="Y151" s="79"/>
      <c r="Z151" s="77"/>
      <c r="AA151" s="63"/>
      <c r="AB151" s="81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  <c r="BT151" s="82"/>
      <c r="BU151" s="82"/>
      <c r="BV151" s="82"/>
      <c r="BW151" s="82"/>
      <c r="BX151" s="82"/>
      <c r="BY151" s="82"/>
      <c r="BZ151" s="82"/>
      <c r="CA151" s="82"/>
      <c r="CB151" s="82"/>
      <c r="CC151" s="82"/>
      <c r="CD151" s="82"/>
      <c r="CE151" s="82"/>
      <c r="CF151" s="82"/>
      <c r="CG151" s="82"/>
      <c r="CH151" s="82"/>
      <c r="CI151" s="82"/>
      <c r="CJ151" s="82"/>
      <c r="CK151" s="82"/>
      <c r="CL151" s="82"/>
      <c r="CM151" s="82"/>
      <c r="CN151" s="82"/>
      <c r="CO151" s="82"/>
      <c r="CP151" s="82"/>
      <c r="CQ151" s="82"/>
      <c r="CR151" s="82"/>
      <c r="CS151" s="82"/>
      <c r="CT151" s="82"/>
      <c r="CU151" s="82"/>
      <c r="CV151" s="82"/>
    </row>
    <row r="152" ht="20.25" customHeight="1">
      <c r="A152" s="48"/>
      <c r="B152" s="216"/>
      <c r="C152" s="66"/>
      <c r="D152" s="126"/>
      <c r="E152" s="126"/>
      <c r="F152" s="80"/>
      <c r="G152" s="80"/>
      <c r="H152" s="80"/>
      <c r="I152" s="80"/>
      <c r="J152" s="80"/>
      <c r="K152" s="217"/>
      <c r="L152" s="80"/>
      <c r="M152" s="126"/>
      <c r="N152" s="126"/>
      <c r="O152" s="126"/>
      <c r="P152" s="126"/>
      <c r="Q152" s="218"/>
      <c r="R152" s="126"/>
      <c r="S152" s="218"/>
      <c r="T152" s="218"/>
      <c r="U152" s="219"/>
      <c r="V152" s="220"/>
      <c r="W152" s="77"/>
      <c r="X152" s="78"/>
      <c r="Y152" s="79"/>
      <c r="Z152" s="77"/>
      <c r="AA152" s="63"/>
      <c r="AB152" s="81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  <c r="BT152" s="82"/>
      <c r="BU152" s="82"/>
      <c r="BV152" s="82"/>
      <c r="BW152" s="82"/>
      <c r="BX152" s="82"/>
      <c r="BY152" s="82"/>
      <c r="BZ152" s="82"/>
      <c r="CA152" s="82"/>
      <c r="CB152" s="82"/>
      <c r="CC152" s="82"/>
      <c r="CD152" s="82"/>
      <c r="CE152" s="82"/>
      <c r="CF152" s="82"/>
      <c r="CG152" s="82"/>
      <c r="CH152" s="82"/>
      <c r="CI152" s="82"/>
      <c r="CJ152" s="82"/>
      <c r="CK152" s="82"/>
      <c r="CL152" s="82"/>
      <c r="CM152" s="82"/>
      <c r="CN152" s="82"/>
      <c r="CO152" s="82"/>
      <c r="CP152" s="82"/>
      <c r="CQ152" s="82"/>
      <c r="CR152" s="82"/>
      <c r="CS152" s="82"/>
      <c r="CT152" s="82"/>
      <c r="CU152" s="82"/>
      <c r="CV152" s="82"/>
    </row>
    <row r="153" ht="20.25" customHeight="1">
      <c r="A153" s="221"/>
      <c r="B153" s="222"/>
      <c r="C153" s="222"/>
      <c r="D153" s="222"/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222"/>
      <c r="AP153" s="222"/>
      <c r="AQ153" s="222"/>
      <c r="AR153" s="222"/>
      <c r="AS153" s="222"/>
      <c r="AT153" s="222"/>
      <c r="AU153" s="222"/>
      <c r="AV153" s="222"/>
      <c r="AW153" s="222"/>
      <c r="AX153" s="222"/>
      <c r="AY153" s="222"/>
      <c r="AZ153" s="222"/>
      <c r="BA153" s="222"/>
      <c r="BB153" s="222"/>
      <c r="BC153" s="222"/>
      <c r="BD153" s="222"/>
      <c r="BE153" s="222"/>
      <c r="BF153" s="222"/>
      <c r="BG153" s="222"/>
      <c r="BH153" s="222"/>
      <c r="BI153" s="222"/>
      <c r="BJ153" s="222"/>
      <c r="BK153" s="222"/>
      <c r="BL153" s="222"/>
      <c r="BM153" s="222"/>
      <c r="BN153" s="222"/>
      <c r="BO153" s="222"/>
      <c r="BP153" s="222"/>
      <c r="BQ153" s="222"/>
      <c r="BR153" s="222"/>
      <c r="BS153" s="222"/>
      <c r="BT153" s="222"/>
      <c r="BU153" s="222"/>
      <c r="BV153" s="222"/>
      <c r="BW153" s="222"/>
      <c r="BX153" s="222"/>
      <c r="BY153" s="222"/>
      <c r="BZ153" s="222"/>
      <c r="CA153" s="222"/>
      <c r="CB153" s="222"/>
      <c r="CC153" s="222"/>
      <c r="CD153" s="222"/>
      <c r="CE153" s="222"/>
      <c r="CF153" s="222"/>
      <c r="CG153" s="222"/>
      <c r="CH153" s="222"/>
      <c r="CI153" s="222"/>
      <c r="CJ153" s="222"/>
      <c r="CK153" s="222"/>
      <c r="CL153" s="222"/>
      <c r="CM153" s="222"/>
      <c r="CN153" s="222"/>
      <c r="CO153" s="222"/>
      <c r="CP153" s="222"/>
      <c r="CQ153" s="222"/>
      <c r="CR153" s="222"/>
      <c r="CS153" s="222"/>
      <c r="CT153" s="222"/>
      <c r="CU153" s="222"/>
      <c r="CV153" s="223"/>
    </row>
    <row r="154" ht="20.25" customHeight="1">
      <c r="A154" s="224"/>
      <c r="CV154" s="225"/>
    </row>
    <row r="155" ht="20.25" customHeight="1">
      <c r="A155" s="226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  <c r="AB155" s="227"/>
      <c r="AC155" s="227"/>
      <c r="AD155" s="227"/>
      <c r="AE155" s="227"/>
      <c r="AF155" s="227"/>
      <c r="AG155" s="227"/>
      <c r="AH155" s="227"/>
      <c r="AI155" s="227"/>
      <c r="AJ155" s="227"/>
      <c r="AK155" s="227"/>
      <c r="AL155" s="227"/>
      <c r="AM155" s="227"/>
      <c r="AN155" s="227"/>
      <c r="AO155" s="227"/>
      <c r="AP155" s="227"/>
      <c r="AQ155" s="227"/>
      <c r="AR155" s="227"/>
      <c r="AS155" s="227"/>
      <c r="AT155" s="227"/>
      <c r="AU155" s="227"/>
      <c r="AV155" s="227"/>
      <c r="AW155" s="227"/>
      <c r="AX155" s="227"/>
      <c r="AY155" s="227"/>
      <c r="AZ155" s="227"/>
      <c r="BA155" s="227"/>
      <c r="BB155" s="227"/>
      <c r="BC155" s="227"/>
      <c r="BD155" s="227"/>
      <c r="BE155" s="227"/>
      <c r="BF155" s="227"/>
      <c r="BG155" s="227"/>
      <c r="BH155" s="227"/>
      <c r="BI155" s="227"/>
      <c r="BJ155" s="227"/>
      <c r="BK155" s="227"/>
      <c r="BL155" s="227"/>
      <c r="BM155" s="227"/>
      <c r="BN155" s="227"/>
      <c r="BO155" s="227"/>
      <c r="BP155" s="227"/>
      <c r="BQ155" s="227"/>
      <c r="BR155" s="227"/>
      <c r="BS155" s="227"/>
      <c r="BT155" s="227"/>
      <c r="BU155" s="227"/>
      <c r="BV155" s="227"/>
      <c r="BW155" s="227"/>
      <c r="BX155" s="227"/>
      <c r="BY155" s="227"/>
      <c r="BZ155" s="227"/>
      <c r="CA155" s="227"/>
      <c r="CB155" s="227"/>
      <c r="CC155" s="227"/>
      <c r="CD155" s="227"/>
      <c r="CE155" s="227"/>
      <c r="CF155" s="227"/>
      <c r="CG155" s="227"/>
      <c r="CH155" s="227"/>
      <c r="CI155" s="227"/>
      <c r="CJ155" s="227"/>
      <c r="CK155" s="227"/>
      <c r="CL155" s="227"/>
      <c r="CM155" s="227"/>
      <c r="CN155" s="227"/>
      <c r="CO155" s="227"/>
      <c r="CP155" s="227"/>
      <c r="CQ155" s="227"/>
      <c r="CR155" s="227"/>
      <c r="CS155" s="227"/>
      <c r="CT155" s="227"/>
      <c r="CU155" s="227"/>
      <c r="CV155" s="228"/>
    </row>
    <row r="156" ht="20.25" customHeight="1">
      <c r="A156" s="48"/>
      <c r="B156" s="216"/>
      <c r="C156" s="66"/>
      <c r="D156" s="126"/>
      <c r="E156" s="126"/>
      <c r="F156" s="80"/>
      <c r="G156" s="80"/>
      <c r="H156" s="80"/>
      <c r="I156" s="80"/>
      <c r="J156" s="80"/>
      <c r="K156" s="217"/>
      <c r="L156" s="80"/>
      <c r="M156" s="126"/>
      <c r="N156" s="126"/>
      <c r="O156" s="126"/>
      <c r="P156" s="126"/>
      <c r="Q156" s="218"/>
      <c r="R156" s="126"/>
      <c r="S156" s="218"/>
      <c r="T156" s="218"/>
      <c r="U156" s="219"/>
      <c r="V156" s="220"/>
      <c r="W156" s="77"/>
      <c r="X156" s="78"/>
      <c r="Y156" s="79"/>
      <c r="Z156" s="77"/>
      <c r="AA156" s="80"/>
      <c r="AB156" s="81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2"/>
      <c r="BK156" s="82"/>
      <c r="BL156" s="82"/>
      <c r="BM156" s="82"/>
      <c r="BN156" s="82"/>
      <c r="BO156" s="82"/>
      <c r="BP156" s="82"/>
      <c r="BQ156" s="82"/>
      <c r="BR156" s="82"/>
      <c r="BS156" s="82"/>
      <c r="BT156" s="82"/>
      <c r="BU156" s="82"/>
      <c r="BV156" s="82"/>
      <c r="BW156" s="82"/>
      <c r="BX156" s="82"/>
      <c r="BY156" s="82"/>
      <c r="BZ156" s="82"/>
      <c r="CA156" s="82"/>
      <c r="CB156" s="82"/>
      <c r="CC156" s="82"/>
      <c r="CD156" s="82"/>
      <c r="CE156" s="82"/>
      <c r="CF156" s="82"/>
      <c r="CG156" s="82"/>
      <c r="CH156" s="82"/>
      <c r="CI156" s="82"/>
      <c r="CJ156" s="82"/>
      <c r="CK156" s="82"/>
      <c r="CL156" s="82"/>
      <c r="CM156" s="82"/>
      <c r="CN156" s="82"/>
      <c r="CO156" s="82"/>
      <c r="CP156" s="82"/>
      <c r="CQ156" s="82"/>
      <c r="CR156" s="82"/>
      <c r="CS156" s="82"/>
      <c r="CT156" s="82"/>
      <c r="CU156" s="82"/>
      <c r="CV156" s="82"/>
    </row>
    <row r="157">
      <c r="A157" s="48">
        <v>1.0</v>
      </c>
      <c r="B157" s="66" t="s">
        <v>829</v>
      </c>
      <c r="C157" s="50" t="s">
        <v>830</v>
      </c>
      <c r="D157" s="96" t="s">
        <v>78</v>
      </c>
      <c r="E157" s="76"/>
      <c r="F157" s="47"/>
      <c r="G157" s="47"/>
      <c r="H157" s="47"/>
      <c r="I157" s="47"/>
      <c r="J157" s="47"/>
      <c r="K157" s="51" t="s">
        <v>831</v>
      </c>
      <c r="L157" s="47"/>
      <c r="M157" s="50">
        <v>14150.0</v>
      </c>
      <c r="N157" s="50">
        <v>89.0</v>
      </c>
      <c r="O157" s="50">
        <v>2.0</v>
      </c>
      <c r="P157" s="50">
        <v>225.0</v>
      </c>
      <c r="Q157" s="66" t="s">
        <v>832</v>
      </c>
      <c r="R157" s="50" t="s">
        <v>833</v>
      </c>
      <c r="S157" s="66">
        <f t="shared" ref="S157:S180" si="13">N157/8</f>
        <v>11.125</v>
      </c>
      <c r="T157" s="66">
        <f t="shared" ref="T157:T180" si="14">39.3*O157</f>
        <v>78.6</v>
      </c>
      <c r="U157" s="113">
        <f t="shared" ref="U157:U180" si="15">T157/S157</f>
        <v>7.065168539</v>
      </c>
      <c r="V157" s="229">
        <f t="shared" ref="V157:V180" si="16">M157/U157</f>
        <v>2002.783079</v>
      </c>
      <c r="W157" s="79">
        <v>9191.0</v>
      </c>
      <c r="X157" s="47"/>
      <c r="Y157" s="79" t="s">
        <v>834</v>
      </c>
      <c r="Z157" s="230" t="s">
        <v>835</v>
      </c>
      <c r="AA157" s="47"/>
      <c r="AB157" s="81">
        <v>1.0</v>
      </c>
      <c r="AC157" s="81">
        <v>130.0</v>
      </c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</row>
    <row r="158">
      <c r="A158" s="48">
        <v>2.0</v>
      </c>
      <c r="B158" s="231" t="s">
        <v>836</v>
      </c>
      <c r="C158" s="215" t="s">
        <v>837</v>
      </c>
      <c r="D158" s="232" t="s">
        <v>247</v>
      </c>
      <c r="E158" s="76"/>
      <c r="F158" s="233" t="s">
        <v>838</v>
      </c>
      <c r="G158" s="233" t="s">
        <v>839</v>
      </c>
      <c r="H158" s="79">
        <v>60000.0</v>
      </c>
      <c r="I158" s="47"/>
      <c r="J158" s="51"/>
      <c r="K158" s="234" t="s">
        <v>840</v>
      </c>
      <c r="L158" s="53" t="s">
        <v>252</v>
      </c>
      <c r="M158" s="66">
        <v>8000.0</v>
      </c>
      <c r="N158" s="50">
        <v>92.0</v>
      </c>
      <c r="O158" s="50">
        <v>2.0</v>
      </c>
      <c r="P158" s="50">
        <v>220.0</v>
      </c>
      <c r="Q158" s="50" t="s">
        <v>63</v>
      </c>
      <c r="R158" s="50" t="s">
        <v>330</v>
      </c>
      <c r="S158" s="126">
        <f t="shared" si="13"/>
        <v>11.5</v>
      </c>
      <c r="T158" s="127">
        <f t="shared" si="14"/>
        <v>78.6</v>
      </c>
      <c r="U158" s="127">
        <f t="shared" si="15"/>
        <v>6.834782609</v>
      </c>
      <c r="V158" s="128">
        <f t="shared" si="16"/>
        <v>1170.483461</v>
      </c>
      <c r="W158" s="216">
        <v>8560.0</v>
      </c>
      <c r="X158" s="76"/>
      <c r="Y158" s="79" t="s">
        <v>834</v>
      </c>
      <c r="Z158" s="89" t="s">
        <v>841</v>
      </c>
      <c r="AA158" s="76"/>
      <c r="AB158" s="87">
        <v>2.0</v>
      </c>
      <c r="AC158" s="87">
        <v>131.0</v>
      </c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</row>
    <row r="159">
      <c r="A159" s="87">
        <v>3.0</v>
      </c>
      <c r="B159" s="231" t="s">
        <v>836</v>
      </c>
      <c r="C159" s="87" t="s">
        <v>842</v>
      </c>
      <c r="D159" s="232" t="s">
        <v>247</v>
      </c>
      <c r="E159" s="76"/>
      <c r="F159" s="233" t="s">
        <v>838</v>
      </c>
      <c r="G159" s="233" t="s">
        <v>839</v>
      </c>
      <c r="H159" s="216">
        <v>20000.0</v>
      </c>
      <c r="I159" s="76"/>
      <c r="J159" s="76"/>
      <c r="K159" s="105" t="s">
        <v>843</v>
      </c>
      <c r="L159" s="53" t="s">
        <v>252</v>
      </c>
      <c r="M159" s="50">
        <v>5000.0</v>
      </c>
      <c r="N159" s="100">
        <v>72.0</v>
      </c>
      <c r="O159" s="100">
        <v>2.0</v>
      </c>
      <c r="P159" s="100">
        <v>185.0</v>
      </c>
      <c r="Q159" s="50" t="s">
        <v>63</v>
      </c>
      <c r="R159" s="100" t="s">
        <v>384</v>
      </c>
      <c r="S159" s="126">
        <f t="shared" si="13"/>
        <v>9</v>
      </c>
      <c r="T159" s="126">
        <f t="shared" si="14"/>
        <v>78.6</v>
      </c>
      <c r="U159" s="127">
        <f t="shared" si="15"/>
        <v>8.733333333</v>
      </c>
      <c r="V159" s="128">
        <f t="shared" si="16"/>
        <v>572.519084</v>
      </c>
      <c r="W159" s="216">
        <v>5540.0</v>
      </c>
      <c r="X159" s="76"/>
      <c r="Y159" s="79" t="s">
        <v>834</v>
      </c>
      <c r="Z159" s="89" t="s">
        <v>841</v>
      </c>
      <c r="AA159" s="76"/>
      <c r="AB159" s="87">
        <v>1.0</v>
      </c>
      <c r="AC159" s="87">
        <v>131.0</v>
      </c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</row>
    <row r="160">
      <c r="A160" s="87">
        <v>4.0</v>
      </c>
      <c r="B160" s="57">
        <v>46269.0</v>
      </c>
      <c r="C160" s="66" t="s">
        <v>844</v>
      </c>
      <c r="D160" s="51" t="s">
        <v>67</v>
      </c>
      <c r="E160" s="76"/>
      <c r="F160" s="34" t="s">
        <v>526</v>
      </c>
      <c r="G160" s="34" t="s">
        <v>527</v>
      </c>
      <c r="H160" s="34" t="s">
        <v>845</v>
      </c>
      <c r="I160" s="76"/>
      <c r="J160" s="76"/>
      <c r="K160" s="51" t="s">
        <v>846</v>
      </c>
      <c r="L160" s="50" t="s">
        <v>258</v>
      </c>
      <c r="M160" s="122">
        <v>5000.0</v>
      </c>
      <c r="N160" s="50">
        <v>132.0</v>
      </c>
      <c r="O160" s="50">
        <v>2.0</v>
      </c>
      <c r="P160" s="50">
        <v>178.0</v>
      </c>
      <c r="Q160" s="50" t="s">
        <v>213</v>
      </c>
      <c r="R160" s="50" t="s">
        <v>847</v>
      </c>
      <c r="S160" s="50">
        <f t="shared" si="13"/>
        <v>16.5</v>
      </c>
      <c r="T160" s="50">
        <f t="shared" si="14"/>
        <v>78.6</v>
      </c>
      <c r="U160" s="69">
        <f t="shared" si="15"/>
        <v>4.763636364</v>
      </c>
      <c r="V160" s="70">
        <f t="shared" si="16"/>
        <v>1049.618321</v>
      </c>
      <c r="W160" s="216">
        <v>5800.0</v>
      </c>
      <c r="X160" s="76"/>
      <c r="Y160" s="79" t="s">
        <v>834</v>
      </c>
      <c r="Z160" s="89" t="s">
        <v>848</v>
      </c>
      <c r="AA160" s="76"/>
      <c r="AB160" s="87">
        <v>2.0</v>
      </c>
      <c r="AC160" s="87">
        <v>132.0</v>
      </c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</row>
    <row r="161">
      <c r="A161" s="87">
        <v>5.0</v>
      </c>
      <c r="B161" s="50" t="s">
        <v>538</v>
      </c>
      <c r="C161" s="66" t="s">
        <v>849</v>
      </c>
      <c r="D161" s="51" t="s">
        <v>67</v>
      </c>
      <c r="E161" s="76"/>
      <c r="F161" s="162">
        <v>5.400092348E9</v>
      </c>
      <c r="G161" s="162" t="s">
        <v>540</v>
      </c>
      <c r="H161" s="149">
        <v>3000.0</v>
      </c>
      <c r="I161" s="76"/>
      <c r="J161" s="76"/>
      <c r="K161" s="51" t="s">
        <v>850</v>
      </c>
      <c r="L161" s="66" t="s">
        <v>258</v>
      </c>
      <c r="M161" s="122">
        <v>3000.0</v>
      </c>
      <c r="N161" s="50">
        <v>75.0</v>
      </c>
      <c r="O161" s="100">
        <v>3.0</v>
      </c>
      <c r="P161" s="100">
        <v>240.0</v>
      </c>
      <c r="Q161" s="100" t="s">
        <v>213</v>
      </c>
      <c r="R161" s="100" t="s">
        <v>656</v>
      </c>
      <c r="S161" s="50">
        <f t="shared" si="13"/>
        <v>9.375</v>
      </c>
      <c r="T161" s="50">
        <f t="shared" si="14"/>
        <v>117.9</v>
      </c>
      <c r="U161" s="69">
        <f t="shared" si="15"/>
        <v>12.576</v>
      </c>
      <c r="V161" s="70">
        <f t="shared" si="16"/>
        <v>238.5496183</v>
      </c>
      <c r="W161" s="216">
        <v>3300.0</v>
      </c>
      <c r="X161" s="76"/>
      <c r="Y161" s="79" t="s">
        <v>834</v>
      </c>
      <c r="Z161" s="89" t="s">
        <v>848</v>
      </c>
      <c r="AA161" s="76"/>
      <c r="AB161" s="87">
        <v>1.0</v>
      </c>
      <c r="AC161" s="87">
        <v>132.0</v>
      </c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</row>
    <row r="162">
      <c r="A162" s="87">
        <v>6.0</v>
      </c>
      <c r="B162" s="57">
        <v>46208.0</v>
      </c>
      <c r="C162" s="50" t="s">
        <v>851</v>
      </c>
      <c r="D162" s="51" t="s">
        <v>67</v>
      </c>
      <c r="E162" s="76"/>
      <c r="F162" s="50">
        <v>5.400092627E9</v>
      </c>
      <c r="G162" s="153">
        <v>46361.0</v>
      </c>
      <c r="H162" s="93">
        <v>3000.0</v>
      </c>
      <c r="I162" s="76"/>
      <c r="J162" s="76"/>
      <c r="K162" s="135" t="s">
        <v>852</v>
      </c>
      <c r="L162" s="100" t="s">
        <v>258</v>
      </c>
      <c r="M162" s="122">
        <v>2700.0</v>
      </c>
      <c r="N162" s="100">
        <v>94.0</v>
      </c>
      <c r="O162" s="100">
        <v>2.0</v>
      </c>
      <c r="P162" s="100">
        <v>290.0</v>
      </c>
      <c r="Q162" s="100" t="s">
        <v>213</v>
      </c>
      <c r="R162" s="100" t="s">
        <v>853</v>
      </c>
      <c r="S162" s="50">
        <f t="shared" si="13"/>
        <v>11.75</v>
      </c>
      <c r="T162" s="50">
        <f t="shared" si="14"/>
        <v>78.6</v>
      </c>
      <c r="U162" s="69">
        <f t="shared" si="15"/>
        <v>6.689361702</v>
      </c>
      <c r="V162" s="70">
        <f t="shared" si="16"/>
        <v>403.6259542</v>
      </c>
      <c r="W162" s="216">
        <v>3000.0</v>
      </c>
      <c r="X162" s="76"/>
      <c r="Y162" s="79" t="s">
        <v>834</v>
      </c>
      <c r="Z162" s="89" t="s">
        <v>848</v>
      </c>
      <c r="AA162" s="76"/>
      <c r="AB162" s="87">
        <v>1.0</v>
      </c>
      <c r="AC162" s="87">
        <v>132.0</v>
      </c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</row>
    <row r="163">
      <c r="A163" s="87">
        <v>7.0</v>
      </c>
      <c r="B163" s="57">
        <v>46208.0</v>
      </c>
      <c r="C163" s="50" t="s">
        <v>854</v>
      </c>
      <c r="D163" s="51" t="s">
        <v>67</v>
      </c>
      <c r="E163" s="76"/>
      <c r="F163" s="50">
        <v>5.400092627E9</v>
      </c>
      <c r="G163" s="153">
        <v>46361.0</v>
      </c>
      <c r="H163" s="50">
        <v>3500.0</v>
      </c>
      <c r="I163" s="76"/>
      <c r="J163" s="76"/>
      <c r="K163" s="135" t="s">
        <v>855</v>
      </c>
      <c r="L163" s="100" t="s">
        <v>258</v>
      </c>
      <c r="M163" s="122">
        <v>3300.0</v>
      </c>
      <c r="N163" s="52">
        <v>108.0</v>
      </c>
      <c r="O163" s="52">
        <v>2.0</v>
      </c>
      <c r="P163" s="52">
        <v>125.0</v>
      </c>
      <c r="Q163" s="100" t="s">
        <v>63</v>
      </c>
      <c r="R163" s="52" t="s">
        <v>178</v>
      </c>
      <c r="S163" s="50">
        <f t="shared" si="13"/>
        <v>13.5</v>
      </c>
      <c r="T163" s="50">
        <f t="shared" si="14"/>
        <v>78.6</v>
      </c>
      <c r="U163" s="69">
        <f t="shared" si="15"/>
        <v>5.822222222</v>
      </c>
      <c r="V163" s="70">
        <f t="shared" si="16"/>
        <v>566.7938931</v>
      </c>
      <c r="W163" s="87">
        <v>3500.0</v>
      </c>
      <c r="X163" s="76"/>
      <c r="Y163" s="79" t="s">
        <v>834</v>
      </c>
      <c r="Z163" s="89" t="s">
        <v>848</v>
      </c>
      <c r="AA163" s="76"/>
      <c r="AB163" s="87">
        <v>1.0</v>
      </c>
      <c r="AC163" s="87">
        <v>132.0</v>
      </c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</row>
    <row r="164">
      <c r="A164" s="87">
        <v>8.0</v>
      </c>
      <c r="B164" s="57">
        <v>46208.0</v>
      </c>
      <c r="C164" s="50" t="s">
        <v>856</v>
      </c>
      <c r="D164" s="51" t="s">
        <v>67</v>
      </c>
      <c r="E164" s="76"/>
      <c r="F164" s="50" t="s">
        <v>857</v>
      </c>
      <c r="G164" s="50" t="s">
        <v>858</v>
      </c>
      <c r="H164" s="50" t="s">
        <v>859</v>
      </c>
      <c r="I164" s="76"/>
      <c r="J164" s="76"/>
      <c r="K164" s="135" t="s">
        <v>860</v>
      </c>
      <c r="L164" s="100" t="s">
        <v>258</v>
      </c>
      <c r="M164" s="122">
        <v>20600.0</v>
      </c>
      <c r="N164" s="50">
        <v>94.0</v>
      </c>
      <c r="O164" s="50">
        <v>8.0</v>
      </c>
      <c r="P164" s="50">
        <v>210.0</v>
      </c>
      <c r="Q164" s="50" t="s">
        <v>213</v>
      </c>
      <c r="R164" s="50" t="s">
        <v>647</v>
      </c>
      <c r="S164" s="50">
        <f t="shared" si="13"/>
        <v>11.75</v>
      </c>
      <c r="T164" s="50">
        <f t="shared" si="14"/>
        <v>314.4</v>
      </c>
      <c r="U164" s="69">
        <f t="shared" si="15"/>
        <v>26.75744681</v>
      </c>
      <c r="V164" s="70">
        <f t="shared" si="16"/>
        <v>769.8791349</v>
      </c>
      <c r="W164" s="87">
        <v>22080.0</v>
      </c>
      <c r="X164" s="76"/>
      <c r="Y164" s="79" t="s">
        <v>834</v>
      </c>
      <c r="Z164" s="89" t="s">
        <v>848</v>
      </c>
      <c r="AA164" s="76"/>
      <c r="AB164" s="87">
        <v>2.0</v>
      </c>
      <c r="AC164" s="87">
        <v>132.0</v>
      </c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</row>
    <row r="165">
      <c r="A165" s="87">
        <v>9.0</v>
      </c>
      <c r="B165" s="57">
        <v>46208.0</v>
      </c>
      <c r="C165" s="50" t="s">
        <v>861</v>
      </c>
      <c r="D165" s="51" t="s">
        <v>67</v>
      </c>
      <c r="E165" s="76"/>
      <c r="F165" s="50">
        <v>5.400092627E9</v>
      </c>
      <c r="G165" s="153">
        <v>46361.0</v>
      </c>
      <c r="H165" s="50">
        <v>8000.0</v>
      </c>
      <c r="I165" s="76"/>
      <c r="J165" s="76"/>
      <c r="K165" s="135" t="s">
        <v>862</v>
      </c>
      <c r="L165" s="100" t="s">
        <v>258</v>
      </c>
      <c r="M165" s="122">
        <v>7800.0</v>
      </c>
      <c r="N165" s="50">
        <v>116.0</v>
      </c>
      <c r="O165" s="50">
        <v>4.0</v>
      </c>
      <c r="P165" s="50">
        <v>160.0</v>
      </c>
      <c r="Q165" s="50" t="s">
        <v>213</v>
      </c>
      <c r="R165" s="50" t="s">
        <v>685</v>
      </c>
      <c r="S165" s="50">
        <f t="shared" si="13"/>
        <v>14.5</v>
      </c>
      <c r="T165" s="50">
        <f t="shared" si="14"/>
        <v>157.2</v>
      </c>
      <c r="U165" s="69">
        <f t="shared" si="15"/>
        <v>10.84137931</v>
      </c>
      <c r="V165" s="70">
        <f t="shared" si="16"/>
        <v>719.4656489</v>
      </c>
      <c r="W165" s="87">
        <v>8000.0</v>
      </c>
      <c r="X165" s="76"/>
      <c r="Y165" s="79" t="s">
        <v>834</v>
      </c>
      <c r="Z165" s="89" t="s">
        <v>848</v>
      </c>
      <c r="AA165" s="76"/>
      <c r="AB165" s="87">
        <v>1.0</v>
      </c>
      <c r="AC165" s="87">
        <v>132.0</v>
      </c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</row>
    <row r="166">
      <c r="A166" s="87">
        <v>10.0</v>
      </c>
      <c r="B166" s="57">
        <v>46208.0</v>
      </c>
      <c r="C166" s="66" t="s">
        <v>863</v>
      </c>
      <c r="D166" s="51" t="s">
        <v>67</v>
      </c>
      <c r="E166" s="76"/>
      <c r="F166" s="50">
        <v>5.400092627E9</v>
      </c>
      <c r="G166" s="153">
        <v>46361.0</v>
      </c>
      <c r="H166" s="149">
        <v>1000.0</v>
      </c>
      <c r="I166" s="76"/>
      <c r="J166" s="76"/>
      <c r="K166" s="135" t="s">
        <v>864</v>
      </c>
      <c r="L166" s="100" t="s">
        <v>258</v>
      </c>
      <c r="M166" s="66">
        <v>900.0</v>
      </c>
      <c r="N166" s="100">
        <v>108.0</v>
      </c>
      <c r="O166" s="100">
        <v>2.0</v>
      </c>
      <c r="P166" s="100">
        <v>320.0</v>
      </c>
      <c r="Q166" s="50" t="s">
        <v>213</v>
      </c>
      <c r="R166" s="100" t="s">
        <v>149</v>
      </c>
      <c r="S166" s="50">
        <f t="shared" si="13"/>
        <v>13.5</v>
      </c>
      <c r="T166" s="50">
        <f t="shared" si="14"/>
        <v>78.6</v>
      </c>
      <c r="U166" s="69">
        <f t="shared" si="15"/>
        <v>5.822222222</v>
      </c>
      <c r="V166" s="70">
        <f t="shared" si="16"/>
        <v>154.5801527</v>
      </c>
      <c r="W166" s="87">
        <v>1000.0</v>
      </c>
      <c r="X166" s="76"/>
      <c r="Y166" s="79" t="s">
        <v>834</v>
      </c>
      <c r="Z166" s="89" t="s">
        <v>848</v>
      </c>
      <c r="AA166" s="76"/>
      <c r="AB166" s="87">
        <v>1.0</v>
      </c>
      <c r="AC166" s="87">
        <v>132.0</v>
      </c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</row>
    <row r="167">
      <c r="A167" s="87">
        <v>11.0</v>
      </c>
      <c r="B167" s="57">
        <v>46208.0</v>
      </c>
      <c r="C167" s="50" t="s">
        <v>865</v>
      </c>
      <c r="D167" s="51" t="s">
        <v>67</v>
      </c>
      <c r="E167" s="76"/>
      <c r="F167" s="50">
        <v>5.400092627E9</v>
      </c>
      <c r="G167" s="153">
        <v>46361.0</v>
      </c>
      <c r="H167" s="50">
        <v>8000.0</v>
      </c>
      <c r="I167" s="76"/>
      <c r="J167" s="216">
        <v>206813.0</v>
      </c>
      <c r="K167" s="135" t="s">
        <v>866</v>
      </c>
      <c r="L167" s="100" t="s">
        <v>258</v>
      </c>
      <c r="M167" s="122">
        <v>7800.0</v>
      </c>
      <c r="N167" s="235">
        <v>124.0</v>
      </c>
      <c r="O167" s="235">
        <v>6.0</v>
      </c>
      <c r="P167" s="235">
        <v>150.0</v>
      </c>
      <c r="Q167" s="50" t="s">
        <v>213</v>
      </c>
      <c r="R167" s="235" t="s">
        <v>867</v>
      </c>
      <c r="S167" s="50">
        <f t="shared" si="13"/>
        <v>15.5</v>
      </c>
      <c r="T167" s="50">
        <f t="shared" si="14"/>
        <v>235.8</v>
      </c>
      <c r="U167" s="69">
        <f t="shared" si="15"/>
        <v>15.21290323</v>
      </c>
      <c r="V167" s="70">
        <f t="shared" si="16"/>
        <v>512.7226463</v>
      </c>
      <c r="W167" s="87">
        <v>8000.0</v>
      </c>
      <c r="X167" s="76"/>
      <c r="Y167" s="79" t="s">
        <v>834</v>
      </c>
      <c r="Z167" s="89" t="s">
        <v>848</v>
      </c>
      <c r="AA167" s="76"/>
      <c r="AB167" s="87">
        <v>1.0</v>
      </c>
      <c r="AC167" s="87">
        <v>132.0</v>
      </c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</row>
    <row r="168">
      <c r="A168" s="87">
        <v>12.0</v>
      </c>
      <c r="B168" s="57">
        <v>46208.0</v>
      </c>
      <c r="C168" s="50" t="s">
        <v>868</v>
      </c>
      <c r="D168" s="51" t="s">
        <v>67</v>
      </c>
      <c r="E168" s="76"/>
      <c r="F168" s="50">
        <v>5.400092664E9</v>
      </c>
      <c r="G168" s="50" t="s">
        <v>869</v>
      </c>
      <c r="H168" s="50">
        <v>5000.0</v>
      </c>
      <c r="I168" s="76"/>
      <c r="J168" s="76"/>
      <c r="K168" s="135" t="s">
        <v>632</v>
      </c>
      <c r="L168" s="100" t="s">
        <v>258</v>
      </c>
      <c r="M168" s="122">
        <v>4000.0</v>
      </c>
      <c r="N168" s="151">
        <v>180.0</v>
      </c>
      <c r="O168" s="151">
        <v>1.0</v>
      </c>
      <c r="P168" s="151">
        <v>145.0</v>
      </c>
      <c r="Q168" s="151" t="s">
        <v>213</v>
      </c>
      <c r="R168" s="151" t="s">
        <v>334</v>
      </c>
      <c r="S168" s="236">
        <f t="shared" si="13"/>
        <v>22.5</v>
      </c>
      <c r="T168" s="236">
        <f t="shared" si="14"/>
        <v>39.3</v>
      </c>
      <c r="U168" s="237">
        <f t="shared" si="15"/>
        <v>1.746666667</v>
      </c>
      <c r="V168" s="238">
        <f t="shared" si="16"/>
        <v>2290.076336</v>
      </c>
      <c r="W168" s="87">
        <v>9760.0</v>
      </c>
      <c r="X168" s="76"/>
      <c r="Y168" s="79" t="s">
        <v>834</v>
      </c>
      <c r="Z168" s="89" t="s">
        <v>848</v>
      </c>
      <c r="AA168" s="76"/>
      <c r="AB168" s="87">
        <v>6.0</v>
      </c>
      <c r="AC168" s="87">
        <v>132.0</v>
      </c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</row>
    <row r="169">
      <c r="A169" s="87">
        <v>13.0</v>
      </c>
      <c r="B169" s="76"/>
      <c r="C169" s="76"/>
      <c r="D169" s="76"/>
      <c r="E169" s="76"/>
      <c r="F169" s="76"/>
      <c r="G169" s="76"/>
      <c r="H169" s="239" t="s">
        <v>870</v>
      </c>
      <c r="I169" s="76"/>
      <c r="J169" s="76"/>
      <c r="K169" s="51" t="s">
        <v>871</v>
      </c>
      <c r="L169" s="136" t="s">
        <v>258</v>
      </c>
      <c r="M169" s="122">
        <v>120000.0</v>
      </c>
      <c r="N169" s="50">
        <v>94.0</v>
      </c>
      <c r="O169" s="50">
        <v>2.0</v>
      </c>
      <c r="P169" s="50">
        <v>290.0</v>
      </c>
      <c r="Q169" s="50" t="s">
        <v>213</v>
      </c>
      <c r="R169" s="50" t="s">
        <v>214</v>
      </c>
      <c r="S169" s="50">
        <f t="shared" si="13"/>
        <v>11.75</v>
      </c>
      <c r="T169" s="50">
        <f t="shared" si="14"/>
        <v>78.6</v>
      </c>
      <c r="U169" s="69">
        <f t="shared" si="15"/>
        <v>6.689361702</v>
      </c>
      <c r="V169" s="70">
        <f t="shared" si="16"/>
        <v>17938.9313</v>
      </c>
      <c r="W169" s="87">
        <v>120000.0</v>
      </c>
      <c r="X169" s="76"/>
      <c r="Y169" s="79" t="s">
        <v>834</v>
      </c>
      <c r="Z169" s="89" t="s">
        <v>848</v>
      </c>
      <c r="AA169" s="76"/>
      <c r="AB169" s="87">
        <v>34.0</v>
      </c>
      <c r="AC169" s="87">
        <v>132.0</v>
      </c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</row>
    <row r="170">
      <c r="A170" s="87">
        <v>14.0</v>
      </c>
      <c r="B170" s="50" t="s">
        <v>821</v>
      </c>
      <c r="C170" s="50" t="s">
        <v>872</v>
      </c>
      <c r="D170" s="45" t="s">
        <v>67</v>
      </c>
      <c r="E170" s="76"/>
      <c r="F170" s="50">
        <v>5.400092759E9</v>
      </c>
      <c r="G170" s="50" t="s">
        <v>873</v>
      </c>
      <c r="H170" s="50">
        <v>3000.0</v>
      </c>
      <c r="I170" s="47"/>
      <c r="J170" s="50">
        <v>206751.0</v>
      </c>
      <c r="K170" s="51" t="s">
        <v>874</v>
      </c>
      <c r="L170" s="50" t="s">
        <v>258</v>
      </c>
      <c r="M170" s="122">
        <v>3000.0</v>
      </c>
      <c r="N170" s="50">
        <v>94.0</v>
      </c>
      <c r="O170" s="50">
        <v>2.0</v>
      </c>
      <c r="P170" s="50">
        <v>290.0</v>
      </c>
      <c r="Q170" s="50" t="s">
        <v>213</v>
      </c>
      <c r="R170" s="50" t="s">
        <v>214</v>
      </c>
      <c r="S170" s="50">
        <f t="shared" si="13"/>
        <v>11.75</v>
      </c>
      <c r="T170" s="50">
        <f t="shared" si="14"/>
        <v>78.6</v>
      </c>
      <c r="U170" s="69">
        <f t="shared" si="15"/>
        <v>6.689361702</v>
      </c>
      <c r="V170" s="70">
        <f t="shared" si="16"/>
        <v>448.4732824</v>
      </c>
      <c r="W170" s="87">
        <v>3300.0</v>
      </c>
      <c r="X170" s="83"/>
      <c r="Y170" s="87" t="s">
        <v>47</v>
      </c>
      <c r="Z170" s="89" t="s">
        <v>875</v>
      </c>
      <c r="AA170" s="83"/>
      <c r="AB170" s="87">
        <v>1.0</v>
      </c>
      <c r="AC170" s="87">
        <v>139.0</v>
      </c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</row>
    <row r="171">
      <c r="A171" s="87">
        <v>15.0</v>
      </c>
      <c r="B171" s="50" t="s">
        <v>821</v>
      </c>
      <c r="C171" s="50" t="s">
        <v>876</v>
      </c>
      <c r="D171" s="45" t="s">
        <v>67</v>
      </c>
      <c r="E171" s="76"/>
      <c r="F171" s="50">
        <v>5.400092759E9</v>
      </c>
      <c r="G171" s="50" t="s">
        <v>873</v>
      </c>
      <c r="H171" s="50">
        <v>50000.0</v>
      </c>
      <c r="I171" s="47"/>
      <c r="J171" s="50">
        <v>206813.0</v>
      </c>
      <c r="K171" s="51" t="s">
        <v>866</v>
      </c>
      <c r="L171" s="100" t="s">
        <v>258</v>
      </c>
      <c r="M171" s="122">
        <v>50000.0</v>
      </c>
      <c r="N171" s="235">
        <v>124.0</v>
      </c>
      <c r="O171" s="235">
        <v>6.0</v>
      </c>
      <c r="P171" s="235">
        <v>150.0</v>
      </c>
      <c r="Q171" s="50" t="s">
        <v>213</v>
      </c>
      <c r="R171" s="235" t="s">
        <v>867</v>
      </c>
      <c r="S171" s="50">
        <f t="shared" si="13"/>
        <v>15.5</v>
      </c>
      <c r="T171" s="50">
        <f t="shared" si="14"/>
        <v>235.8</v>
      </c>
      <c r="U171" s="69">
        <f t="shared" si="15"/>
        <v>15.21290323</v>
      </c>
      <c r="V171" s="70">
        <f t="shared" si="16"/>
        <v>3286.68363</v>
      </c>
      <c r="W171" s="87">
        <v>52740.0</v>
      </c>
      <c r="X171" s="83"/>
      <c r="Y171" s="87" t="s">
        <v>47</v>
      </c>
      <c r="Z171" s="89" t="s">
        <v>875</v>
      </c>
      <c r="AA171" s="83"/>
      <c r="AB171" s="87">
        <v>5.0</v>
      </c>
      <c r="AC171" s="87">
        <v>139.0</v>
      </c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</row>
    <row r="172">
      <c r="A172" s="87">
        <v>16.0</v>
      </c>
      <c r="B172" s="50" t="s">
        <v>877</v>
      </c>
      <c r="C172" s="66" t="s">
        <v>878</v>
      </c>
      <c r="D172" s="51" t="s">
        <v>67</v>
      </c>
      <c r="E172" s="76"/>
      <c r="F172" s="34" t="s">
        <v>879</v>
      </c>
      <c r="G172" s="34" t="s">
        <v>880</v>
      </c>
      <c r="H172" s="34" t="s">
        <v>881</v>
      </c>
      <c r="J172" s="134">
        <v>207131.0</v>
      </c>
      <c r="K172" s="135" t="s">
        <v>882</v>
      </c>
      <c r="L172" s="136" t="s">
        <v>258</v>
      </c>
      <c r="M172" s="122">
        <v>3000.0</v>
      </c>
      <c r="N172" s="50">
        <v>112.0</v>
      </c>
      <c r="O172" s="50">
        <v>1.0</v>
      </c>
      <c r="P172" s="50">
        <v>205.0</v>
      </c>
      <c r="Q172" s="50" t="s">
        <v>213</v>
      </c>
      <c r="R172" s="50" t="s">
        <v>644</v>
      </c>
      <c r="S172" s="50">
        <f t="shared" si="13"/>
        <v>14</v>
      </c>
      <c r="T172" s="50">
        <f t="shared" si="14"/>
        <v>39.3</v>
      </c>
      <c r="U172" s="69">
        <f t="shared" si="15"/>
        <v>2.807142857</v>
      </c>
      <c r="V172" s="70">
        <f t="shared" si="16"/>
        <v>1068.70229</v>
      </c>
      <c r="W172" s="87">
        <v>3170.0</v>
      </c>
      <c r="X172" s="83"/>
      <c r="Y172" s="87" t="s">
        <v>47</v>
      </c>
      <c r="Z172" s="89" t="s">
        <v>875</v>
      </c>
      <c r="AA172" s="83"/>
      <c r="AB172" s="87">
        <v>2.0</v>
      </c>
      <c r="AC172" s="87">
        <v>139.0</v>
      </c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</row>
    <row r="173">
      <c r="A173" s="87">
        <v>17.0</v>
      </c>
      <c r="B173" s="50" t="s">
        <v>883</v>
      </c>
      <c r="C173" s="50" t="s">
        <v>884</v>
      </c>
      <c r="D173" s="51" t="s">
        <v>67</v>
      </c>
      <c r="E173" s="76"/>
      <c r="F173" s="66">
        <v>5.400092773E9</v>
      </c>
      <c r="G173" s="50" t="s">
        <v>885</v>
      </c>
      <c r="H173" s="50">
        <v>6100.0</v>
      </c>
      <c r="I173" s="47"/>
      <c r="J173" s="50">
        <v>202272.0</v>
      </c>
      <c r="K173" s="71" t="s">
        <v>886</v>
      </c>
      <c r="L173" s="52" t="s">
        <v>258</v>
      </c>
      <c r="M173" s="52">
        <v>10000.0</v>
      </c>
      <c r="N173" s="151">
        <v>94.0</v>
      </c>
      <c r="O173" s="151">
        <v>2.0</v>
      </c>
      <c r="P173" s="151">
        <v>290.0</v>
      </c>
      <c r="Q173" s="151" t="s">
        <v>213</v>
      </c>
      <c r="R173" s="151" t="s">
        <v>214</v>
      </c>
      <c r="S173" s="236">
        <f t="shared" si="13"/>
        <v>11.75</v>
      </c>
      <c r="T173" s="236">
        <f t="shared" si="14"/>
        <v>78.6</v>
      </c>
      <c r="U173" s="237">
        <f t="shared" si="15"/>
        <v>6.689361702</v>
      </c>
      <c r="V173" s="238">
        <f t="shared" si="16"/>
        <v>1494.910941</v>
      </c>
      <c r="W173" s="87">
        <v>10320.0</v>
      </c>
      <c r="X173" s="83"/>
      <c r="Y173" s="87" t="s">
        <v>47</v>
      </c>
      <c r="Z173" s="89" t="s">
        <v>875</v>
      </c>
      <c r="AA173" s="83"/>
      <c r="AB173" s="87">
        <v>3.0</v>
      </c>
      <c r="AC173" s="87">
        <v>139.0</v>
      </c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</row>
    <row r="174">
      <c r="A174" s="87">
        <v>18.0</v>
      </c>
      <c r="B174" s="50" t="s">
        <v>883</v>
      </c>
      <c r="C174" s="50" t="s">
        <v>887</v>
      </c>
      <c r="D174" s="51" t="s">
        <v>67</v>
      </c>
      <c r="E174" s="76"/>
      <c r="F174" s="66">
        <v>5.400092773E9</v>
      </c>
      <c r="G174" s="50" t="s">
        <v>885</v>
      </c>
      <c r="H174" s="50">
        <v>4100.0</v>
      </c>
      <c r="I174" s="47"/>
      <c r="J174" s="50">
        <v>202271.0</v>
      </c>
      <c r="K174" s="45" t="s">
        <v>888</v>
      </c>
      <c r="L174" s="50" t="s">
        <v>889</v>
      </c>
      <c r="M174" s="50">
        <v>6100.0</v>
      </c>
      <c r="N174" s="50">
        <v>92.0</v>
      </c>
      <c r="O174" s="50">
        <v>1.0</v>
      </c>
      <c r="P174" s="50">
        <v>180.0</v>
      </c>
      <c r="Q174" s="50" t="s">
        <v>213</v>
      </c>
      <c r="R174" s="50" t="s">
        <v>890</v>
      </c>
      <c r="S174" s="50">
        <f t="shared" si="13"/>
        <v>11.5</v>
      </c>
      <c r="T174" s="50">
        <f t="shared" si="14"/>
        <v>39.3</v>
      </c>
      <c r="U174" s="69">
        <f t="shared" si="15"/>
        <v>3.417391304</v>
      </c>
      <c r="V174" s="70">
        <f t="shared" si="16"/>
        <v>1784.987277</v>
      </c>
      <c r="W174" s="87">
        <v>6100.0</v>
      </c>
      <c r="X174" s="83"/>
      <c r="Y174" s="87" t="s">
        <v>47</v>
      </c>
      <c r="Z174" s="89" t="s">
        <v>875</v>
      </c>
      <c r="AA174" s="83"/>
      <c r="AB174" s="87">
        <v>3.0</v>
      </c>
      <c r="AC174" s="83"/>
      <c r="AD174" s="240"/>
      <c r="AE174" s="240"/>
      <c r="AF174" s="240"/>
      <c r="AG174" s="240"/>
      <c r="AH174" s="240"/>
      <c r="AI174" s="240"/>
      <c r="AJ174" s="240"/>
      <c r="AK174" s="240"/>
      <c r="AL174" s="240"/>
      <c r="AM174" s="240"/>
      <c r="AN174" s="240"/>
      <c r="AO174" s="240"/>
      <c r="AP174" s="240"/>
      <c r="AQ174" s="240"/>
      <c r="AR174" s="240"/>
      <c r="AS174" s="240"/>
      <c r="AT174" s="240"/>
      <c r="AU174" s="240"/>
      <c r="AV174" s="240"/>
      <c r="AW174" s="240"/>
      <c r="AX174" s="240"/>
      <c r="AY174" s="240"/>
      <c r="AZ174" s="240"/>
      <c r="BA174" s="240"/>
      <c r="BB174" s="240"/>
      <c r="BC174" s="240"/>
      <c r="BD174" s="240"/>
      <c r="BE174" s="240"/>
      <c r="BF174" s="240"/>
      <c r="BG174" s="240"/>
      <c r="BH174" s="240"/>
      <c r="BI174" s="240"/>
      <c r="BJ174" s="240"/>
      <c r="BK174" s="240"/>
      <c r="BL174" s="240"/>
      <c r="BM174" s="240"/>
      <c r="BN174" s="240"/>
      <c r="BO174" s="240"/>
      <c r="BP174" s="240"/>
      <c r="BQ174" s="240"/>
      <c r="BR174" s="240"/>
      <c r="BS174" s="240"/>
      <c r="BT174" s="240"/>
      <c r="BU174" s="240"/>
      <c r="BV174" s="240"/>
      <c r="BW174" s="240"/>
      <c r="BX174" s="240"/>
      <c r="BY174" s="240"/>
      <c r="BZ174" s="240"/>
      <c r="CA174" s="240"/>
      <c r="CB174" s="240"/>
      <c r="CC174" s="240"/>
      <c r="CD174" s="240"/>
      <c r="CE174" s="240"/>
      <c r="CF174" s="240"/>
      <c r="CG174" s="240"/>
      <c r="CH174" s="240"/>
      <c r="CI174" s="240"/>
      <c r="CJ174" s="240"/>
      <c r="CK174" s="240"/>
      <c r="CL174" s="240"/>
      <c r="CM174" s="240"/>
      <c r="CN174" s="240"/>
      <c r="CO174" s="240"/>
      <c r="CP174" s="240"/>
      <c r="CQ174" s="240"/>
      <c r="CR174" s="240"/>
      <c r="CS174" s="240"/>
      <c r="CT174" s="240"/>
      <c r="CU174" s="240"/>
      <c r="CV174" s="240"/>
    </row>
    <row r="175">
      <c r="A175" s="87">
        <v>19.0</v>
      </c>
      <c r="B175" s="50" t="s">
        <v>891</v>
      </c>
      <c r="C175" s="50" t="s">
        <v>892</v>
      </c>
      <c r="D175" s="51" t="s">
        <v>67</v>
      </c>
      <c r="E175" s="76"/>
      <c r="F175" s="93">
        <v>5.400092779E9</v>
      </c>
      <c r="G175" s="93" t="s">
        <v>885</v>
      </c>
      <c r="H175" s="93">
        <v>7000.0</v>
      </c>
      <c r="I175" s="47"/>
      <c r="J175" s="66">
        <v>206640.0</v>
      </c>
      <c r="K175" s="45" t="s">
        <v>893</v>
      </c>
      <c r="L175" s="50" t="s">
        <v>889</v>
      </c>
      <c r="M175" s="50">
        <v>4100.0</v>
      </c>
      <c r="N175" s="50">
        <v>66.0</v>
      </c>
      <c r="O175" s="50">
        <v>1.0</v>
      </c>
      <c r="P175" s="50">
        <v>180.0</v>
      </c>
      <c r="Q175" s="50" t="s">
        <v>213</v>
      </c>
      <c r="R175" s="50" t="s">
        <v>894</v>
      </c>
      <c r="S175" s="50">
        <f t="shared" si="13"/>
        <v>8.25</v>
      </c>
      <c r="T175" s="50">
        <f t="shared" si="14"/>
        <v>39.3</v>
      </c>
      <c r="U175" s="69">
        <f t="shared" si="15"/>
        <v>4.763636364</v>
      </c>
      <c r="V175" s="70">
        <f t="shared" si="16"/>
        <v>860.6870229</v>
      </c>
      <c r="W175" s="87">
        <v>4100.0</v>
      </c>
      <c r="X175" s="83"/>
      <c r="Y175" s="87" t="s">
        <v>47</v>
      </c>
      <c r="Z175" s="89" t="s">
        <v>875</v>
      </c>
      <c r="AA175" s="83"/>
      <c r="AB175" s="87">
        <v>1.0</v>
      </c>
      <c r="AC175" s="83"/>
      <c r="AD175" s="240"/>
      <c r="AE175" s="240"/>
      <c r="AF175" s="240"/>
      <c r="AG175" s="240"/>
      <c r="AH175" s="240"/>
      <c r="AI175" s="240"/>
      <c r="AJ175" s="240"/>
      <c r="AK175" s="240"/>
      <c r="AL175" s="240"/>
      <c r="AM175" s="240"/>
      <c r="AN175" s="240"/>
      <c r="AO175" s="240"/>
      <c r="AP175" s="240"/>
      <c r="AQ175" s="240"/>
      <c r="AR175" s="240"/>
      <c r="AS175" s="240"/>
      <c r="AT175" s="240"/>
      <c r="AU175" s="240"/>
      <c r="AV175" s="240"/>
      <c r="AW175" s="240"/>
      <c r="AX175" s="240"/>
      <c r="AY175" s="240"/>
      <c r="AZ175" s="240"/>
      <c r="BA175" s="240"/>
      <c r="BB175" s="240"/>
      <c r="BC175" s="240"/>
      <c r="BD175" s="240"/>
      <c r="BE175" s="240"/>
      <c r="BF175" s="240"/>
      <c r="BG175" s="240"/>
      <c r="BH175" s="240"/>
      <c r="BI175" s="240"/>
      <c r="BJ175" s="240"/>
      <c r="BK175" s="240"/>
      <c r="BL175" s="240"/>
      <c r="BM175" s="240"/>
      <c r="BN175" s="240"/>
      <c r="BO175" s="240"/>
      <c r="BP175" s="240"/>
      <c r="BQ175" s="240"/>
      <c r="BR175" s="240"/>
      <c r="BS175" s="240"/>
      <c r="BT175" s="240"/>
      <c r="BU175" s="240"/>
      <c r="BV175" s="240"/>
      <c r="BW175" s="240"/>
      <c r="BX175" s="240"/>
      <c r="BY175" s="240"/>
      <c r="BZ175" s="240"/>
      <c r="CA175" s="240"/>
      <c r="CB175" s="240"/>
      <c r="CC175" s="240"/>
      <c r="CD175" s="240"/>
      <c r="CE175" s="240"/>
      <c r="CF175" s="240"/>
      <c r="CG175" s="240"/>
      <c r="CH175" s="240"/>
      <c r="CI175" s="240"/>
      <c r="CJ175" s="240"/>
      <c r="CK175" s="240"/>
      <c r="CL175" s="240"/>
      <c r="CM175" s="240"/>
      <c r="CN175" s="240"/>
      <c r="CO175" s="240"/>
      <c r="CP175" s="240"/>
      <c r="CQ175" s="240"/>
      <c r="CR175" s="240"/>
      <c r="CS175" s="240"/>
      <c r="CT175" s="240"/>
      <c r="CU175" s="240"/>
      <c r="CV175" s="240"/>
    </row>
    <row r="176">
      <c r="A176" s="87">
        <v>20.0</v>
      </c>
      <c r="B176" s="50" t="s">
        <v>891</v>
      </c>
      <c r="C176" s="50" t="s">
        <v>895</v>
      </c>
      <c r="D176" s="51" t="s">
        <v>67</v>
      </c>
      <c r="E176" s="76"/>
      <c r="F176" s="93">
        <v>5.400092779E9</v>
      </c>
      <c r="G176" s="93" t="s">
        <v>885</v>
      </c>
      <c r="H176" s="50">
        <v>3800.0</v>
      </c>
      <c r="I176" s="47"/>
      <c r="J176" s="66">
        <v>206403.0</v>
      </c>
      <c r="K176" s="51" t="s">
        <v>896</v>
      </c>
      <c r="L176" s="136" t="s">
        <v>234</v>
      </c>
      <c r="M176" s="50">
        <v>7000.0</v>
      </c>
      <c r="N176" s="50">
        <v>66.0</v>
      </c>
      <c r="O176" s="50">
        <v>4.0</v>
      </c>
      <c r="P176" s="50">
        <v>305.0</v>
      </c>
      <c r="Q176" s="50" t="s">
        <v>213</v>
      </c>
      <c r="R176" s="50" t="s">
        <v>897</v>
      </c>
      <c r="S176" s="50">
        <f t="shared" si="13"/>
        <v>8.25</v>
      </c>
      <c r="T176" s="50">
        <f t="shared" si="14"/>
        <v>157.2</v>
      </c>
      <c r="U176" s="69">
        <f t="shared" si="15"/>
        <v>19.05454545</v>
      </c>
      <c r="V176" s="70">
        <f t="shared" si="16"/>
        <v>367.3664122</v>
      </c>
      <c r="W176" s="87">
        <v>7000.0</v>
      </c>
      <c r="X176" s="83"/>
      <c r="Y176" s="87" t="s">
        <v>47</v>
      </c>
      <c r="Z176" s="89" t="s">
        <v>898</v>
      </c>
      <c r="AA176" s="83"/>
      <c r="AB176" s="87">
        <v>1.0</v>
      </c>
      <c r="AC176" s="87">
        <v>140.0</v>
      </c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</row>
    <row r="177">
      <c r="A177" s="87">
        <v>21.0</v>
      </c>
      <c r="B177" s="50" t="s">
        <v>891</v>
      </c>
      <c r="C177" s="50" t="s">
        <v>899</v>
      </c>
      <c r="D177" s="51" t="s">
        <v>67</v>
      </c>
      <c r="E177" s="76"/>
      <c r="F177" s="93">
        <v>5.400092779E9</v>
      </c>
      <c r="G177" s="93" t="s">
        <v>900</v>
      </c>
      <c r="H177" s="93">
        <v>3200.0</v>
      </c>
      <c r="I177" s="47"/>
      <c r="J177" s="66">
        <v>206404.0</v>
      </c>
      <c r="K177" s="51" t="s">
        <v>901</v>
      </c>
      <c r="L177" s="136" t="s">
        <v>234</v>
      </c>
      <c r="M177" s="50">
        <v>3800.0</v>
      </c>
      <c r="N177" s="50">
        <v>72.0</v>
      </c>
      <c r="O177" s="50">
        <v>1.0</v>
      </c>
      <c r="P177" s="50">
        <v>125.0</v>
      </c>
      <c r="Q177" s="50" t="s">
        <v>213</v>
      </c>
      <c r="R177" s="50" t="s">
        <v>902</v>
      </c>
      <c r="S177" s="50">
        <f t="shared" si="13"/>
        <v>9</v>
      </c>
      <c r="T177" s="50">
        <f t="shared" si="14"/>
        <v>39.3</v>
      </c>
      <c r="U177" s="69">
        <f t="shared" si="15"/>
        <v>4.366666667</v>
      </c>
      <c r="V177" s="70">
        <f t="shared" si="16"/>
        <v>870.2290076</v>
      </c>
      <c r="W177" s="87">
        <v>3800.0</v>
      </c>
      <c r="X177" s="83"/>
      <c r="Y177" s="87" t="s">
        <v>47</v>
      </c>
      <c r="Z177" s="89" t="s">
        <v>898</v>
      </c>
      <c r="AA177" s="83"/>
      <c r="AB177" s="87">
        <v>1.0</v>
      </c>
      <c r="AC177" s="87">
        <v>140.0</v>
      </c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</row>
    <row r="178">
      <c r="A178" s="87">
        <v>22.0</v>
      </c>
      <c r="B178" s="50" t="s">
        <v>891</v>
      </c>
      <c r="C178" s="50" t="s">
        <v>903</v>
      </c>
      <c r="D178" s="51" t="s">
        <v>67</v>
      </c>
      <c r="E178" s="76"/>
      <c r="F178" s="93">
        <v>5.400092779E9</v>
      </c>
      <c r="G178" s="93" t="s">
        <v>900</v>
      </c>
      <c r="H178" s="93">
        <v>35500.0</v>
      </c>
      <c r="I178" s="47"/>
      <c r="J178" s="66">
        <v>206400.0</v>
      </c>
      <c r="K178" s="51" t="s">
        <v>904</v>
      </c>
      <c r="L178" s="66" t="s">
        <v>234</v>
      </c>
      <c r="M178" s="50">
        <v>3200.0</v>
      </c>
      <c r="N178" s="50">
        <v>89.0</v>
      </c>
      <c r="O178" s="50">
        <v>1.0</v>
      </c>
      <c r="P178" s="50">
        <v>160.0</v>
      </c>
      <c r="Q178" s="50" t="s">
        <v>213</v>
      </c>
      <c r="R178" s="50" t="s">
        <v>905</v>
      </c>
      <c r="S178" s="50">
        <f t="shared" si="13"/>
        <v>11.125</v>
      </c>
      <c r="T178" s="50">
        <f t="shared" si="14"/>
        <v>39.3</v>
      </c>
      <c r="U178" s="69">
        <f t="shared" si="15"/>
        <v>3.53258427</v>
      </c>
      <c r="V178" s="70">
        <f t="shared" si="16"/>
        <v>905.8524173</v>
      </c>
      <c r="W178" s="87">
        <v>3200.0</v>
      </c>
      <c r="X178" s="83"/>
      <c r="Y178" s="87" t="s">
        <v>47</v>
      </c>
      <c r="Z178" s="89" t="s">
        <v>898</v>
      </c>
      <c r="AA178" s="83"/>
      <c r="AB178" s="87">
        <v>1.0</v>
      </c>
      <c r="AC178" s="87">
        <v>140.0</v>
      </c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</row>
    <row r="179">
      <c r="A179" s="87">
        <v>23.0</v>
      </c>
      <c r="B179" s="76"/>
      <c r="C179" s="76"/>
      <c r="D179" s="76"/>
      <c r="E179" s="76"/>
      <c r="F179" s="76"/>
      <c r="G179" s="76"/>
      <c r="H179" s="76"/>
      <c r="I179" s="76"/>
      <c r="J179" s="76"/>
      <c r="K179" s="51" t="s">
        <v>906</v>
      </c>
      <c r="L179" s="66" t="s">
        <v>234</v>
      </c>
      <c r="M179" s="50">
        <v>35500.0</v>
      </c>
      <c r="N179" s="50">
        <v>108.0</v>
      </c>
      <c r="O179" s="50">
        <v>6.0</v>
      </c>
      <c r="P179" s="50">
        <v>180.0</v>
      </c>
      <c r="Q179" s="50" t="s">
        <v>213</v>
      </c>
      <c r="R179" s="50" t="s">
        <v>907</v>
      </c>
      <c r="S179" s="50">
        <f t="shared" si="13"/>
        <v>13.5</v>
      </c>
      <c r="T179" s="50">
        <f t="shared" si="14"/>
        <v>235.8</v>
      </c>
      <c r="U179" s="69">
        <f t="shared" si="15"/>
        <v>17.46666667</v>
      </c>
      <c r="V179" s="70">
        <f t="shared" si="16"/>
        <v>2032.442748</v>
      </c>
      <c r="W179" s="87">
        <v>35500.0</v>
      </c>
      <c r="X179" s="83"/>
      <c r="Y179" s="87" t="s">
        <v>47</v>
      </c>
      <c r="Z179" s="89" t="s">
        <v>898</v>
      </c>
      <c r="AA179" s="83"/>
      <c r="AB179" s="87">
        <v>3.0</v>
      </c>
      <c r="AC179" s="87">
        <v>140.0</v>
      </c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</row>
    <row r="180">
      <c r="A180" s="87">
        <v>24.0</v>
      </c>
      <c r="B180" s="50" t="s">
        <v>908</v>
      </c>
      <c r="C180" s="50" t="s">
        <v>909</v>
      </c>
      <c r="D180" s="51" t="s">
        <v>409</v>
      </c>
      <c r="E180" s="76"/>
      <c r="F180" s="241" t="s">
        <v>910</v>
      </c>
      <c r="G180" s="241" t="s">
        <v>911</v>
      </c>
      <c r="H180" s="241">
        <v>15500.0</v>
      </c>
      <c r="I180" s="76"/>
      <c r="J180" s="76"/>
      <c r="K180" s="51" t="s">
        <v>912</v>
      </c>
      <c r="L180" s="47"/>
      <c r="M180" s="66">
        <v>15500.0</v>
      </c>
      <c r="N180" s="66">
        <v>108.0</v>
      </c>
      <c r="O180" s="66">
        <v>4.0</v>
      </c>
      <c r="P180" s="66">
        <v>125.0</v>
      </c>
      <c r="Q180" s="66" t="s">
        <v>50</v>
      </c>
      <c r="R180" s="66" t="s">
        <v>412</v>
      </c>
      <c r="S180" s="66">
        <f t="shared" si="13"/>
        <v>13.5</v>
      </c>
      <c r="T180" s="66">
        <f t="shared" si="14"/>
        <v>157.2</v>
      </c>
      <c r="U180" s="113">
        <f t="shared" si="15"/>
        <v>11.64444444</v>
      </c>
      <c r="V180" s="114">
        <f t="shared" si="16"/>
        <v>1331.10687</v>
      </c>
      <c r="W180" s="87">
        <v>16080.0</v>
      </c>
      <c r="X180" s="83"/>
      <c r="Y180" s="87" t="s">
        <v>913</v>
      </c>
      <c r="Z180" s="89" t="s">
        <v>914</v>
      </c>
      <c r="AA180" s="76"/>
      <c r="AB180" s="87">
        <v>1.0</v>
      </c>
      <c r="AC180" s="83"/>
      <c r="AD180" s="240"/>
      <c r="AE180" s="240"/>
      <c r="AF180" s="240"/>
      <c r="AG180" s="240"/>
      <c r="AH180" s="240"/>
      <c r="AI180" s="240"/>
      <c r="AJ180" s="240"/>
      <c r="AK180" s="240"/>
      <c r="AL180" s="240"/>
      <c r="AM180" s="240"/>
      <c r="AN180" s="240"/>
      <c r="AO180" s="240"/>
      <c r="AP180" s="240"/>
      <c r="AQ180" s="240"/>
      <c r="AR180" s="240"/>
      <c r="AS180" s="240"/>
      <c r="AT180" s="240"/>
      <c r="AU180" s="240"/>
      <c r="AV180" s="240"/>
      <c r="AW180" s="240"/>
      <c r="AX180" s="240"/>
      <c r="AY180" s="240"/>
      <c r="AZ180" s="240"/>
      <c r="BA180" s="240"/>
      <c r="BB180" s="240"/>
      <c r="BC180" s="240"/>
      <c r="BD180" s="240"/>
      <c r="BE180" s="240"/>
      <c r="BF180" s="240"/>
      <c r="BG180" s="240"/>
      <c r="BH180" s="240"/>
      <c r="BI180" s="240"/>
      <c r="BJ180" s="240"/>
      <c r="BK180" s="240"/>
      <c r="BL180" s="240"/>
      <c r="BM180" s="240"/>
      <c r="BN180" s="240"/>
      <c r="BO180" s="240"/>
      <c r="BP180" s="240"/>
      <c r="BQ180" s="240"/>
      <c r="BR180" s="240"/>
      <c r="BS180" s="240"/>
      <c r="BT180" s="240"/>
      <c r="BU180" s="240"/>
      <c r="BV180" s="240"/>
      <c r="BW180" s="240"/>
      <c r="BX180" s="240"/>
      <c r="BY180" s="240"/>
      <c r="BZ180" s="240"/>
      <c r="CA180" s="240"/>
      <c r="CB180" s="240"/>
      <c r="CC180" s="240"/>
      <c r="CD180" s="240"/>
      <c r="CE180" s="240"/>
      <c r="CF180" s="240"/>
      <c r="CG180" s="240"/>
      <c r="CH180" s="240"/>
      <c r="CI180" s="240"/>
      <c r="CJ180" s="240"/>
      <c r="CK180" s="240"/>
      <c r="CL180" s="240"/>
      <c r="CM180" s="240"/>
      <c r="CN180" s="240"/>
      <c r="CO180" s="240"/>
      <c r="CP180" s="240"/>
      <c r="CQ180" s="240"/>
      <c r="CR180" s="240"/>
      <c r="CS180" s="240"/>
      <c r="CT180" s="240"/>
      <c r="CU180" s="240"/>
      <c r="CV180" s="240"/>
    </row>
    <row r="181">
      <c r="A181" s="87">
        <v>25.0</v>
      </c>
      <c r="B181" s="50"/>
      <c r="C181" s="45"/>
      <c r="D181" s="47"/>
      <c r="E181" s="76"/>
      <c r="F181" s="93"/>
      <c r="G181" s="93"/>
      <c r="H181" s="93"/>
      <c r="I181" s="47"/>
      <c r="J181" s="47"/>
      <c r="K181" s="45"/>
      <c r="L181" s="47"/>
      <c r="M181" s="50"/>
      <c r="N181" s="50"/>
      <c r="O181" s="50"/>
      <c r="P181" s="50"/>
      <c r="Q181" s="50"/>
      <c r="R181" s="50"/>
      <c r="S181" s="50"/>
      <c r="T181" s="50"/>
      <c r="U181" s="69"/>
      <c r="V181" s="70"/>
      <c r="W181" s="76"/>
      <c r="X181" s="76"/>
      <c r="Y181" s="76"/>
      <c r="Z181" s="76"/>
      <c r="AA181" s="76"/>
      <c r="AB181" s="76"/>
      <c r="AC181" s="83"/>
      <c r="AD181" s="240"/>
      <c r="AE181" s="240"/>
      <c r="AF181" s="240"/>
      <c r="AG181" s="240"/>
      <c r="AH181" s="240"/>
      <c r="AI181" s="240"/>
      <c r="AJ181" s="240"/>
      <c r="AK181" s="240"/>
      <c r="AL181" s="240"/>
      <c r="AM181" s="240"/>
      <c r="AN181" s="240"/>
      <c r="AO181" s="240"/>
      <c r="AP181" s="240"/>
      <c r="AQ181" s="240"/>
      <c r="AR181" s="240"/>
      <c r="AS181" s="240"/>
      <c r="AT181" s="240"/>
      <c r="AU181" s="240"/>
      <c r="AV181" s="240"/>
      <c r="AW181" s="240"/>
      <c r="AX181" s="240"/>
      <c r="AY181" s="240"/>
      <c r="AZ181" s="240"/>
      <c r="BA181" s="240"/>
      <c r="BB181" s="240"/>
      <c r="BC181" s="240"/>
      <c r="BD181" s="240"/>
      <c r="BE181" s="240"/>
      <c r="BF181" s="240"/>
      <c r="BG181" s="240"/>
      <c r="BH181" s="240"/>
      <c r="BI181" s="240"/>
      <c r="BJ181" s="240"/>
      <c r="BK181" s="240"/>
      <c r="BL181" s="240"/>
      <c r="BM181" s="240"/>
      <c r="BN181" s="240"/>
      <c r="BO181" s="240"/>
      <c r="BP181" s="240"/>
      <c r="BQ181" s="240"/>
      <c r="BR181" s="240"/>
      <c r="BS181" s="240"/>
      <c r="BT181" s="240"/>
      <c r="BU181" s="240"/>
      <c r="BV181" s="240"/>
      <c r="BW181" s="240"/>
      <c r="BX181" s="240"/>
      <c r="BY181" s="240"/>
      <c r="BZ181" s="240"/>
      <c r="CA181" s="240"/>
      <c r="CB181" s="240"/>
      <c r="CC181" s="240"/>
      <c r="CD181" s="240"/>
      <c r="CE181" s="240"/>
      <c r="CF181" s="240"/>
      <c r="CG181" s="240"/>
      <c r="CH181" s="240"/>
      <c r="CI181" s="240"/>
      <c r="CJ181" s="240"/>
      <c r="CK181" s="240"/>
      <c r="CL181" s="240"/>
      <c r="CM181" s="240"/>
      <c r="CN181" s="240"/>
      <c r="CO181" s="240"/>
      <c r="CP181" s="240"/>
      <c r="CQ181" s="240"/>
      <c r="CR181" s="240"/>
      <c r="CS181" s="240"/>
      <c r="CT181" s="240"/>
      <c r="CU181" s="240"/>
      <c r="CV181" s="240"/>
    </row>
    <row r="182">
      <c r="A182" s="87">
        <v>26.0</v>
      </c>
      <c r="B182" s="50" t="s">
        <v>915</v>
      </c>
      <c r="C182" s="50" t="s">
        <v>916</v>
      </c>
      <c r="D182" s="45" t="s">
        <v>103</v>
      </c>
      <c r="E182" s="76"/>
      <c r="F182" s="47"/>
      <c r="G182" s="93"/>
      <c r="H182" s="93"/>
      <c r="I182" s="93"/>
      <c r="J182" s="47"/>
      <c r="K182" s="45" t="s">
        <v>105</v>
      </c>
      <c r="L182" s="47"/>
      <c r="M182" s="50">
        <v>102467.0</v>
      </c>
      <c r="N182" s="50">
        <v>108.0</v>
      </c>
      <c r="O182" s="50">
        <v>10.0</v>
      </c>
      <c r="P182" s="50">
        <v>230.0</v>
      </c>
      <c r="Q182" s="50" t="s">
        <v>106</v>
      </c>
      <c r="R182" s="50" t="s">
        <v>107</v>
      </c>
      <c r="S182" s="50">
        <f t="shared" ref="S182:S239" si="17">N182/8</f>
        <v>13.5</v>
      </c>
      <c r="T182" s="50">
        <f t="shared" ref="T182:T239" si="18">39.3*O182</f>
        <v>393</v>
      </c>
      <c r="U182" s="69">
        <f t="shared" ref="U182:U239" si="19">T182/S182</f>
        <v>29.11111111</v>
      </c>
      <c r="V182" s="70">
        <f t="shared" ref="V182:V239" si="20">M182/U182</f>
        <v>3519.858779</v>
      </c>
      <c r="W182" s="81">
        <v>99847.0</v>
      </c>
      <c r="X182" s="76"/>
      <c r="Y182" s="216" t="s">
        <v>917</v>
      </c>
      <c r="Z182" s="89" t="s">
        <v>918</v>
      </c>
      <c r="AA182" s="76"/>
      <c r="AB182" s="87">
        <v>1.0</v>
      </c>
      <c r="AC182" s="83"/>
      <c r="AD182" s="240"/>
      <c r="AE182" s="240"/>
      <c r="AF182" s="240"/>
      <c r="AG182" s="240"/>
      <c r="AH182" s="240"/>
      <c r="AI182" s="240"/>
      <c r="AJ182" s="240"/>
      <c r="AK182" s="240"/>
      <c r="AL182" s="240"/>
      <c r="AM182" s="240"/>
      <c r="AN182" s="240"/>
      <c r="AO182" s="240"/>
      <c r="AP182" s="240"/>
      <c r="AQ182" s="240"/>
      <c r="AR182" s="240"/>
      <c r="AS182" s="240"/>
      <c r="AT182" s="240"/>
      <c r="AU182" s="240"/>
      <c r="AV182" s="240"/>
      <c r="AW182" s="240"/>
      <c r="AX182" s="240"/>
      <c r="AY182" s="240"/>
      <c r="AZ182" s="240"/>
      <c r="BA182" s="240"/>
      <c r="BB182" s="240"/>
      <c r="BC182" s="240"/>
      <c r="BD182" s="240"/>
      <c r="BE182" s="240"/>
      <c r="BF182" s="240"/>
      <c r="BG182" s="240"/>
      <c r="BH182" s="240"/>
      <c r="BI182" s="240"/>
      <c r="BJ182" s="240"/>
      <c r="BK182" s="240"/>
      <c r="BL182" s="240"/>
      <c r="BM182" s="240"/>
      <c r="BN182" s="240"/>
      <c r="BO182" s="240"/>
      <c r="BP182" s="240"/>
      <c r="BQ182" s="240"/>
      <c r="BR182" s="240"/>
      <c r="BS182" s="240"/>
      <c r="BT182" s="240"/>
      <c r="BU182" s="240"/>
      <c r="BV182" s="240"/>
      <c r="BW182" s="240"/>
      <c r="BX182" s="240"/>
      <c r="BY182" s="240"/>
      <c r="BZ182" s="240"/>
      <c r="CA182" s="240"/>
      <c r="CB182" s="240"/>
      <c r="CC182" s="240"/>
      <c r="CD182" s="240"/>
      <c r="CE182" s="240"/>
      <c r="CF182" s="240"/>
      <c r="CG182" s="240"/>
      <c r="CH182" s="240"/>
      <c r="CI182" s="240"/>
      <c r="CJ182" s="240"/>
      <c r="CK182" s="240"/>
      <c r="CL182" s="240"/>
      <c r="CM182" s="240"/>
      <c r="CN182" s="240"/>
      <c r="CO182" s="240"/>
      <c r="CP182" s="240"/>
      <c r="CQ182" s="240"/>
      <c r="CR182" s="240"/>
      <c r="CS182" s="240"/>
      <c r="CT182" s="240"/>
      <c r="CU182" s="240"/>
      <c r="CV182" s="240"/>
    </row>
    <row r="183">
      <c r="A183" s="87">
        <v>27.0</v>
      </c>
      <c r="B183" s="57" t="s">
        <v>595</v>
      </c>
      <c r="C183" s="50" t="s">
        <v>919</v>
      </c>
      <c r="D183" s="45" t="s">
        <v>67</v>
      </c>
      <c r="E183" s="76"/>
      <c r="F183" s="215">
        <v>5.400092822E9</v>
      </c>
      <c r="G183" s="215" t="s">
        <v>47</v>
      </c>
      <c r="H183" s="215">
        <v>30000.0</v>
      </c>
      <c r="I183" s="76"/>
      <c r="J183" s="204">
        <v>206557.0</v>
      </c>
      <c r="K183" s="145" t="s">
        <v>81</v>
      </c>
      <c r="L183" s="100" t="s">
        <v>258</v>
      </c>
      <c r="M183" s="205">
        <v>30400.0</v>
      </c>
      <c r="N183" s="50">
        <v>75.0</v>
      </c>
      <c r="O183" s="50">
        <v>3.0</v>
      </c>
      <c r="P183" s="50">
        <v>330.0</v>
      </c>
      <c r="Q183" s="50" t="s">
        <v>213</v>
      </c>
      <c r="R183" s="50" t="s">
        <v>241</v>
      </c>
      <c r="S183" s="50">
        <f t="shared" si="17"/>
        <v>9.375</v>
      </c>
      <c r="T183" s="50">
        <f t="shared" si="18"/>
        <v>117.9</v>
      </c>
      <c r="U183" s="69">
        <f t="shared" si="19"/>
        <v>12.576</v>
      </c>
      <c r="V183" s="70">
        <f t="shared" si="20"/>
        <v>2417.302799</v>
      </c>
      <c r="W183" s="87">
        <v>30500.0</v>
      </c>
      <c r="X183" s="76"/>
      <c r="Y183" s="216" t="s">
        <v>920</v>
      </c>
      <c r="Z183" s="89" t="s">
        <v>848</v>
      </c>
      <c r="AA183" s="76"/>
      <c r="AB183" s="87">
        <v>5.0</v>
      </c>
      <c r="AC183" s="87">
        <v>153.0</v>
      </c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</row>
    <row r="184">
      <c r="A184" s="87">
        <v>28.0</v>
      </c>
      <c r="B184" s="50" t="s">
        <v>595</v>
      </c>
      <c r="C184" s="50" t="s">
        <v>921</v>
      </c>
      <c r="D184" s="45" t="s">
        <v>67</v>
      </c>
      <c r="E184" s="76"/>
      <c r="F184" s="215">
        <v>5.400092822E9</v>
      </c>
      <c r="G184" s="215" t="s">
        <v>47</v>
      </c>
      <c r="H184" s="215">
        <v>20000.0</v>
      </c>
      <c r="I184" s="76"/>
      <c r="J184" s="204">
        <v>206558.0</v>
      </c>
      <c r="K184" s="145" t="s">
        <v>295</v>
      </c>
      <c r="L184" s="100" t="s">
        <v>258</v>
      </c>
      <c r="M184" s="205">
        <v>16300.0</v>
      </c>
      <c r="N184" s="151">
        <v>94.0</v>
      </c>
      <c r="O184" s="151">
        <v>2.0</v>
      </c>
      <c r="P184" s="151">
        <v>290.0</v>
      </c>
      <c r="Q184" s="50" t="s">
        <v>213</v>
      </c>
      <c r="R184" s="151" t="s">
        <v>214</v>
      </c>
      <c r="S184" s="50">
        <f t="shared" si="17"/>
        <v>11.75</v>
      </c>
      <c r="T184" s="50">
        <f t="shared" si="18"/>
        <v>78.6</v>
      </c>
      <c r="U184" s="69">
        <f t="shared" si="19"/>
        <v>6.689361702</v>
      </c>
      <c r="V184" s="70">
        <f t="shared" si="20"/>
        <v>2436.704835</v>
      </c>
      <c r="W184" s="87">
        <v>17220.0</v>
      </c>
      <c r="X184" s="76"/>
      <c r="Y184" s="216" t="s">
        <v>920</v>
      </c>
      <c r="Z184" s="89" t="s">
        <v>848</v>
      </c>
      <c r="AA184" s="76"/>
      <c r="AB184" s="87">
        <v>5.0</v>
      </c>
      <c r="AC184" s="87">
        <v>153.0</v>
      </c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</row>
    <row r="185">
      <c r="A185" s="87">
        <v>29.0</v>
      </c>
      <c r="B185" s="57" t="s">
        <v>595</v>
      </c>
      <c r="C185" s="50" t="s">
        <v>922</v>
      </c>
      <c r="D185" s="45" t="s">
        <v>67</v>
      </c>
      <c r="E185" s="76"/>
      <c r="F185" s="215">
        <v>5.400092822E9</v>
      </c>
      <c r="G185" s="215" t="s">
        <v>47</v>
      </c>
      <c r="H185" s="215">
        <v>30000.0</v>
      </c>
      <c r="I185" s="76"/>
      <c r="J185" s="204">
        <v>206556.0</v>
      </c>
      <c r="K185" s="145" t="s">
        <v>923</v>
      </c>
      <c r="L185" s="100" t="s">
        <v>258</v>
      </c>
      <c r="M185" s="205">
        <v>25300.0</v>
      </c>
      <c r="N185" s="50">
        <v>75.0</v>
      </c>
      <c r="O185" s="50">
        <v>4.0</v>
      </c>
      <c r="P185" s="50">
        <v>175.0</v>
      </c>
      <c r="Q185" s="50" t="s">
        <v>213</v>
      </c>
      <c r="R185" s="50" t="s">
        <v>737</v>
      </c>
      <c r="S185" s="50">
        <f t="shared" si="17"/>
        <v>9.375</v>
      </c>
      <c r="T185" s="50">
        <f t="shared" si="18"/>
        <v>157.2</v>
      </c>
      <c r="U185" s="69">
        <f t="shared" si="19"/>
        <v>16.768</v>
      </c>
      <c r="V185" s="70">
        <f t="shared" si="20"/>
        <v>1508.826336</v>
      </c>
      <c r="W185" s="87">
        <v>25800.0</v>
      </c>
      <c r="X185" s="76"/>
      <c r="Y185" s="216" t="s">
        <v>920</v>
      </c>
      <c r="Z185" s="89" t="s">
        <v>848</v>
      </c>
      <c r="AA185" s="76"/>
      <c r="AB185" s="87">
        <v>2.0</v>
      </c>
      <c r="AC185" s="87">
        <v>153.0</v>
      </c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</row>
    <row r="186">
      <c r="A186" s="87">
        <v>30.0</v>
      </c>
      <c r="B186" s="50" t="s">
        <v>606</v>
      </c>
      <c r="C186" s="50" t="s">
        <v>924</v>
      </c>
      <c r="D186" s="45" t="s">
        <v>67</v>
      </c>
      <c r="E186" s="76"/>
      <c r="F186" s="215">
        <v>5.400092822E9</v>
      </c>
      <c r="G186" s="215" t="s">
        <v>47</v>
      </c>
      <c r="H186" s="215">
        <v>30000.0</v>
      </c>
      <c r="I186" s="76"/>
      <c r="J186" s="204">
        <v>205845.0</v>
      </c>
      <c r="K186" s="145" t="s">
        <v>925</v>
      </c>
      <c r="L186" s="100" t="s">
        <v>258</v>
      </c>
      <c r="M186" s="205">
        <v>15000.0</v>
      </c>
      <c r="N186" s="100">
        <v>94.0</v>
      </c>
      <c r="O186" s="100">
        <v>8.0</v>
      </c>
      <c r="P186" s="100">
        <v>210.0</v>
      </c>
      <c r="Q186" s="100" t="s">
        <v>213</v>
      </c>
      <c r="R186" s="100" t="s">
        <v>647</v>
      </c>
      <c r="S186" s="50">
        <f t="shared" si="17"/>
        <v>11.75</v>
      </c>
      <c r="T186" s="50">
        <f t="shared" si="18"/>
        <v>314.4</v>
      </c>
      <c r="U186" s="69">
        <f t="shared" si="19"/>
        <v>26.75744681</v>
      </c>
      <c r="V186" s="70">
        <f t="shared" si="20"/>
        <v>560.5916031</v>
      </c>
      <c r="W186" s="87">
        <v>15280.0</v>
      </c>
      <c r="X186" s="76"/>
      <c r="Y186" s="216" t="s">
        <v>920</v>
      </c>
      <c r="Z186" s="89" t="s">
        <v>848</v>
      </c>
      <c r="AA186" s="76"/>
      <c r="AB186" s="87">
        <v>1.0</v>
      </c>
      <c r="AC186" s="87">
        <v>153.0</v>
      </c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</row>
    <row r="187">
      <c r="A187" s="87">
        <v>31.0</v>
      </c>
      <c r="B187" s="50" t="s">
        <v>595</v>
      </c>
      <c r="C187" s="50" t="s">
        <v>926</v>
      </c>
      <c r="D187" s="45" t="s">
        <v>67</v>
      </c>
      <c r="E187" s="76"/>
      <c r="F187" s="215">
        <v>5.400092822E9</v>
      </c>
      <c r="G187" s="215" t="s">
        <v>47</v>
      </c>
      <c r="H187" s="215">
        <v>6000.0</v>
      </c>
      <c r="I187" s="76"/>
      <c r="J187" s="204">
        <v>206007.0</v>
      </c>
      <c r="K187" s="145" t="s">
        <v>927</v>
      </c>
      <c r="L187" s="100" t="s">
        <v>258</v>
      </c>
      <c r="M187" s="205">
        <v>6100.0</v>
      </c>
      <c r="N187" s="50">
        <v>108.0</v>
      </c>
      <c r="O187" s="50">
        <v>2.0</v>
      </c>
      <c r="P187" s="50">
        <v>125.0</v>
      </c>
      <c r="Q187" s="100" t="s">
        <v>63</v>
      </c>
      <c r="R187" s="50" t="s">
        <v>178</v>
      </c>
      <c r="S187" s="50">
        <f t="shared" si="17"/>
        <v>13.5</v>
      </c>
      <c r="T187" s="50">
        <f t="shared" si="18"/>
        <v>78.6</v>
      </c>
      <c r="U187" s="69">
        <f t="shared" si="19"/>
        <v>5.822222222</v>
      </c>
      <c r="V187" s="70">
        <f t="shared" si="20"/>
        <v>1047.709924</v>
      </c>
      <c r="W187" s="87">
        <v>6100.0</v>
      </c>
      <c r="X187" s="76"/>
      <c r="Y187" s="216" t="s">
        <v>920</v>
      </c>
      <c r="Z187" s="89" t="s">
        <v>848</v>
      </c>
      <c r="AA187" s="76"/>
      <c r="AB187" s="87">
        <v>1.0</v>
      </c>
      <c r="AC187" s="87">
        <v>153.0</v>
      </c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</row>
    <row r="188">
      <c r="A188" s="87">
        <v>32.0</v>
      </c>
      <c r="B188" s="48" t="s">
        <v>420</v>
      </c>
      <c r="C188" s="50" t="s">
        <v>928</v>
      </c>
      <c r="D188" s="45" t="s">
        <v>67</v>
      </c>
      <c r="E188" s="76"/>
      <c r="F188" s="215">
        <v>5.400092822E9</v>
      </c>
      <c r="G188" s="215" t="s">
        <v>47</v>
      </c>
      <c r="H188" s="215">
        <v>25000.0</v>
      </c>
      <c r="I188" s="76"/>
      <c r="J188" s="76"/>
      <c r="K188" s="145" t="s">
        <v>862</v>
      </c>
      <c r="L188" s="100" t="s">
        <v>258</v>
      </c>
      <c r="M188" s="205">
        <v>25000.0</v>
      </c>
      <c r="N188" s="100">
        <v>116.0</v>
      </c>
      <c r="O188" s="100">
        <v>4.0</v>
      </c>
      <c r="P188" s="100">
        <v>160.0</v>
      </c>
      <c r="Q188" s="100" t="s">
        <v>213</v>
      </c>
      <c r="R188" s="100" t="s">
        <v>685</v>
      </c>
      <c r="S188" s="50">
        <f t="shared" si="17"/>
        <v>14.5</v>
      </c>
      <c r="T188" s="50">
        <f t="shared" si="18"/>
        <v>157.2</v>
      </c>
      <c r="U188" s="69">
        <f t="shared" si="19"/>
        <v>10.84137931</v>
      </c>
      <c r="V188" s="70">
        <f t="shared" si="20"/>
        <v>2305.979644</v>
      </c>
      <c r="W188" s="87">
        <v>25600.0</v>
      </c>
      <c r="X188" s="83"/>
      <c r="Y188" s="88">
        <v>46028.0</v>
      </c>
      <c r="Z188" s="89" t="s">
        <v>929</v>
      </c>
      <c r="AA188" s="83"/>
      <c r="AB188" s="87">
        <v>3.0</v>
      </c>
      <c r="AC188" s="87">
        <v>154.0</v>
      </c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</row>
    <row r="189">
      <c r="A189" s="87">
        <v>33.0</v>
      </c>
      <c r="B189" s="48" t="s">
        <v>420</v>
      </c>
      <c r="C189" s="50" t="s">
        <v>930</v>
      </c>
      <c r="D189" s="45" t="s">
        <v>67</v>
      </c>
      <c r="E189" s="76"/>
      <c r="F189" s="215">
        <v>5.400092822E9</v>
      </c>
      <c r="G189" s="215" t="s">
        <v>47</v>
      </c>
      <c r="H189" s="215">
        <v>10000.0</v>
      </c>
      <c r="I189" s="76"/>
      <c r="J189" s="76"/>
      <c r="K189" s="145" t="s">
        <v>850</v>
      </c>
      <c r="L189" s="100" t="s">
        <v>258</v>
      </c>
      <c r="M189" s="205">
        <v>7800.0</v>
      </c>
      <c r="N189" s="100">
        <v>75.0</v>
      </c>
      <c r="O189" s="100">
        <v>3.0</v>
      </c>
      <c r="P189" s="100">
        <v>240.0</v>
      </c>
      <c r="Q189" s="100" t="s">
        <v>213</v>
      </c>
      <c r="R189" s="100" t="s">
        <v>656</v>
      </c>
      <c r="S189" s="50">
        <f t="shared" si="17"/>
        <v>9.375</v>
      </c>
      <c r="T189" s="50">
        <f t="shared" si="18"/>
        <v>117.9</v>
      </c>
      <c r="U189" s="69">
        <f t="shared" si="19"/>
        <v>12.576</v>
      </c>
      <c r="V189" s="70">
        <f t="shared" si="20"/>
        <v>620.2290076</v>
      </c>
      <c r="W189" s="87">
        <v>9100.0</v>
      </c>
      <c r="X189" s="83"/>
      <c r="Y189" s="88">
        <v>46028.0</v>
      </c>
      <c r="Z189" s="89" t="s">
        <v>929</v>
      </c>
      <c r="AA189" s="83"/>
      <c r="AB189" s="87">
        <v>1.0</v>
      </c>
      <c r="AC189" s="87">
        <v>154.0</v>
      </c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</row>
    <row r="190">
      <c r="A190" s="87">
        <v>34.0</v>
      </c>
      <c r="B190" s="48" t="s">
        <v>420</v>
      </c>
      <c r="C190" s="50" t="s">
        <v>931</v>
      </c>
      <c r="D190" s="45" t="s">
        <v>67</v>
      </c>
      <c r="E190" s="76"/>
      <c r="F190" s="215">
        <v>5.400092822E9</v>
      </c>
      <c r="G190" s="215" t="s">
        <v>47</v>
      </c>
      <c r="H190" s="215">
        <v>3000.0</v>
      </c>
      <c r="I190" s="76"/>
      <c r="J190" s="76"/>
      <c r="K190" s="145" t="s">
        <v>932</v>
      </c>
      <c r="L190" s="100" t="s">
        <v>258</v>
      </c>
      <c r="M190" s="205">
        <v>3000.0</v>
      </c>
      <c r="N190" s="100">
        <v>75.0</v>
      </c>
      <c r="O190" s="100">
        <v>3.0</v>
      </c>
      <c r="P190" s="100">
        <v>240.0</v>
      </c>
      <c r="Q190" s="100" t="s">
        <v>213</v>
      </c>
      <c r="R190" s="100" t="s">
        <v>656</v>
      </c>
      <c r="S190" s="50">
        <f t="shared" si="17"/>
        <v>9.375</v>
      </c>
      <c r="T190" s="50">
        <f t="shared" si="18"/>
        <v>117.9</v>
      </c>
      <c r="U190" s="69">
        <f t="shared" si="19"/>
        <v>12.576</v>
      </c>
      <c r="V190" s="70">
        <f t="shared" si="20"/>
        <v>238.5496183</v>
      </c>
      <c r="W190" s="87">
        <v>3300.0</v>
      </c>
      <c r="X190" s="83"/>
      <c r="Y190" s="88">
        <v>46028.0</v>
      </c>
      <c r="Z190" s="89" t="s">
        <v>929</v>
      </c>
      <c r="AA190" s="83"/>
      <c r="AB190" s="87">
        <v>1.0</v>
      </c>
      <c r="AC190" s="87">
        <v>154.0</v>
      </c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</row>
    <row r="191">
      <c r="A191" s="87">
        <v>35.0</v>
      </c>
      <c r="B191" s="50" t="s">
        <v>606</v>
      </c>
      <c r="C191" s="50" t="s">
        <v>933</v>
      </c>
      <c r="D191" s="45" t="s">
        <v>67</v>
      </c>
      <c r="E191" s="76"/>
      <c r="F191" s="242">
        <v>5.400092171E9</v>
      </c>
      <c r="G191" s="215" t="s">
        <v>52</v>
      </c>
      <c r="H191" s="215">
        <v>27270.0</v>
      </c>
      <c r="J191" s="204">
        <v>205902.0</v>
      </c>
      <c r="K191" s="145" t="s">
        <v>934</v>
      </c>
      <c r="L191" s="100" t="s">
        <v>258</v>
      </c>
      <c r="M191" s="205">
        <v>3000.0</v>
      </c>
      <c r="N191" s="50">
        <v>108.0</v>
      </c>
      <c r="O191" s="50">
        <v>2.0</v>
      </c>
      <c r="P191" s="50">
        <v>210.0</v>
      </c>
      <c r="Q191" s="50" t="s">
        <v>213</v>
      </c>
      <c r="R191" s="50" t="s">
        <v>759</v>
      </c>
      <c r="S191" s="50">
        <f t="shared" si="17"/>
        <v>13.5</v>
      </c>
      <c r="T191" s="50">
        <f t="shared" si="18"/>
        <v>78.6</v>
      </c>
      <c r="U191" s="69">
        <f t="shared" si="19"/>
        <v>5.822222222</v>
      </c>
      <c r="V191" s="70">
        <f t="shared" si="20"/>
        <v>515.2671756</v>
      </c>
      <c r="W191" s="87">
        <v>3300.0</v>
      </c>
      <c r="X191" s="83"/>
      <c r="Y191" s="88">
        <v>46028.0</v>
      </c>
      <c r="Z191" s="89" t="s">
        <v>929</v>
      </c>
      <c r="AA191" s="83"/>
      <c r="AB191" s="87">
        <v>1.0</v>
      </c>
      <c r="AC191" s="87">
        <v>154.0</v>
      </c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</row>
    <row r="192">
      <c r="A192" s="87">
        <v>36.0</v>
      </c>
      <c r="B192" s="50" t="s">
        <v>606</v>
      </c>
      <c r="C192" s="50" t="s">
        <v>935</v>
      </c>
      <c r="D192" s="45" t="s">
        <v>67</v>
      </c>
      <c r="E192" s="76"/>
      <c r="F192" s="243">
        <v>5.400092966E9</v>
      </c>
      <c r="G192" s="244">
        <v>46028.0</v>
      </c>
      <c r="H192" s="215">
        <v>5000.0</v>
      </c>
      <c r="J192" s="204">
        <v>205904.0</v>
      </c>
      <c r="K192" s="145" t="s">
        <v>936</v>
      </c>
      <c r="L192" s="100" t="s">
        <v>258</v>
      </c>
      <c r="M192" s="136">
        <v>3000.0</v>
      </c>
      <c r="N192" s="50">
        <v>75.0</v>
      </c>
      <c r="O192" s="50">
        <v>3.0</v>
      </c>
      <c r="P192" s="50">
        <v>240.0</v>
      </c>
      <c r="Q192" s="50" t="s">
        <v>213</v>
      </c>
      <c r="R192" s="50" t="s">
        <v>656</v>
      </c>
      <c r="S192" s="50">
        <f t="shared" si="17"/>
        <v>9.375</v>
      </c>
      <c r="T192" s="50">
        <f t="shared" si="18"/>
        <v>117.9</v>
      </c>
      <c r="U192" s="69">
        <f t="shared" si="19"/>
        <v>12.576</v>
      </c>
      <c r="V192" s="70">
        <f t="shared" si="20"/>
        <v>238.5496183</v>
      </c>
      <c r="W192" s="87">
        <v>3300.0</v>
      </c>
      <c r="X192" s="83"/>
      <c r="Y192" s="88">
        <v>46028.0</v>
      </c>
      <c r="Z192" s="89" t="s">
        <v>929</v>
      </c>
      <c r="AA192" s="83"/>
      <c r="AB192" s="87">
        <v>1.0</v>
      </c>
      <c r="AC192" s="87">
        <v>154.0</v>
      </c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</row>
    <row r="193">
      <c r="A193" s="87">
        <v>37.0</v>
      </c>
      <c r="B193" s="50" t="s">
        <v>606</v>
      </c>
      <c r="C193" s="50" t="s">
        <v>937</v>
      </c>
      <c r="D193" s="45" t="s">
        <v>67</v>
      </c>
      <c r="E193" s="76"/>
      <c r="F193" s="242">
        <v>5.400092956E9</v>
      </c>
      <c r="G193" s="215" t="s">
        <v>938</v>
      </c>
      <c r="H193" s="215">
        <v>3000.0</v>
      </c>
      <c r="J193" s="204">
        <v>200476.0</v>
      </c>
      <c r="K193" s="145" t="s">
        <v>939</v>
      </c>
      <c r="L193" s="100" t="s">
        <v>258</v>
      </c>
      <c r="M193" s="136">
        <v>3000.0</v>
      </c>
      <c r="N193" s="50">
        <v>180.0</v>
      </c>
      <c r="O193" s="50">
        <v>1.0</v>
      </c>
      <c r="P193" s="50">
        <v>235.0</v>
      </c>
      <c r="Q193" s="50" t="s">
        <v>63</v>
      </c>
      <c r="R193" s="50" t="s">
        <v>940</v>
      </c>
      <c r="S193" s="50">
        <f t="shared" si="17"/>
        <v>22.5</v>
      </c>
      <c r="T193" s="50">
        <f t="shared" si="18"/>
        <v>39.3</v>
      </c>
      <c r="U193" s="69">
        <f t="shared" si="19"/>
        <v>1.746666667</v>
      </c>
      <c r="V193" s="70">
        <f t="shared" si="20"/>
        <v>1717.557252</v>
      </c>
      <c r="W193" s="87">
        <v>2880.0</v>
      </c>
      <c r="X193" s="83"/>
      <c r="Y193" s="88">
        <v>46028.0</v>
      </c>
      <c r="Z193" s="89" t="s">
        <v>929</v>
      </c>
      <c r="AA193" s="83"/>
      <c r="AB193" s="87">
        <v>3.0</v>
      </c>
      <c r="AC193" s="87">
        <v>154.0</v>
      </c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</row>
    <row r="194">
      <c r="A194" s="87">
        <v>38.0</v>
      </c>
      <c r="B194" s="50" t="s">
        <v>274</v>
      </c>
      <c r="C194" s="50" t="s">
        <v>941</v>
      </c>
      <c r="D194" s="45" t="s">
        <v>247</v>
      </c>
      <c r="E194" s="76"/>
      <c r="F194" s="215" t="s">
        <v>276</v>
      </c>
      <c r="G194" s="215" t="s">
        <v>277</v>
      </c>
      <c r="H194" s="215">
        <v>15000.0</v>
      </c>
      <c r="I194" s="76"/>
      <c r="J194" s="76"/>
      <c r="K194" s="45" t="s">
        <v>942</v>
      </c>
      <c r="L194" s="50" t="s">
        <v>252</v>
      </c>
      <c r="M194" s="50">
        <v>15000.0</v>
      </c>
      <c r="N194" s="100">
        <v>89.0</v>
      </c>
      <c r="O194" s="100">
        <v>1.0</v>
      </c>
      <c r="P194" s="100">
        <v>160.0</v>
      </c>
      <c r="Q194" s="50" t="s">
        <v>63</v>
      </c>
      <c r="R194" s="50" t="s">
        <v>254</v>
      </c>
      <c r="S194" s="50">
        <f t="shared" si="17"/>
        <v>11.125</v>
      </c>
      <c r="T194" s="50">
        <f t="shared" si="18"/>
        <v>39.3</v>
      </c>
      <c r="U194" s="69">
        <f t="shared" si="19"/>
        <v>3.53258427</v>
      </c>
      <c r="V194" s="70">
        <f t="shared" si="20"/>
        <v>4246.183206</v>
      </c>
      <c r="W194" s="87">
        <v>18600.0</v>
      </c>
      <c r="X194" s="83"/>
      <c r="Y194" s="88">
        <v>46028.0</v>
      </c>
      <c r="Z194" s="89" t="s">
        <v>841</v>
      </c>
      <c r="AA194" s="83"/>
      <c r="AB194" s="87">
        <v>6.0</v>
      </c>
      <c r="AC194" s="87">
        <v>155.0</v>
      </c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</row>
    <row r="195">
      <c r="A195" s="87">
        <v>39.0</v>
      </c>
      <c r="B195" s="50" t="s">
        <v>484</v>
      </c>
      <c r="C195" s="48" t="s">
        <v>943</v>
      </c>
      <c r="D195" s="45" t="s">
        <v>247</v>
      </c>
      <c r="E195" s="76"/>
      <c r="F195" s="64" t="s">
        <v>430</v>
      </c>
      <c r="G195" s="64" t="s">
        <v>431</v>
      </c>
      <c r="H195" s="125">
        <v>6000.0</v>
      </c>
      <c r="I195" s="76"/>
      <c r="J195" s="76"/>
      <c r="K195" s="45" t="s">
        <v>944</v>
      </c>
      <c r="L195" s="50" t="s">
        <v>252</v>
      </c>
      <c r="M195" s="50">
        <v>6000.0</v>
      </c>
      <c r="N195" s="100">
        <v>89.0</v>
      </c>
      <c r="O195" s="100">
        <v>1.0</v>
      </c>
      <c r="P195" s="100">
        <v>160.0</v>
      </c>
      <c r="Q195" s="100" t="s">
        <v>63</v>
      </c>
      <c r="R195" s="100" t="s">
        <v>254</v>
      </c>
      <c r="S195" s="126">
        <f t="shared" si="17"/>
        <v>11.125</v>
      </c>
      <c r="T195" s="126">
        <f t="shared" si="18"/>
        <v>39.3</v>
      </c>
      <c r="U195" s="127">
        <f t="shared" si="19"/>
        <v>3.53258427</v>
      </c>
      <c r="V195" s="128">
        <f t="shared" si="20"/>
        <v>1698.473282</v>
      </c>
      <c r="W195" s="87">
        <v>6810.0</v>
      </c>
      <c r="X195" s="83"/>
      <c r="Y195" s="88">
        <v>46028.0</v>
      </c>
      <c r="Z195" s="89" t="s">
        <v>841</v>
      </c>
      <c r="AA195" s="83"/>
      <c r="AB195" s="87">
        <v>3.0</v>
      </c>
      <c r="AC195" s="87">
        <v>155.0</v>
      </c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</row>
    <row r="196">
      <c r="A196" s="87">
        <v>40.0</v>
      </c>
      <c r="B196" s="50" t="s">
        <v>708</v>
      </c>
      <c r="C196" s="48" t="s">
        <v>945</v>
      </c>
      <c r="D196" s="45" t="s">
        <v>247</v>
      </c>
      <c r="E196" s="76"/>
      <c r="F196" s="64" t="s">
        <v>710</v>
      </c>
      <c r="G196" s="125" t="s">
        <v>592</v>
      </c>
      <c r="H196" s="125">
        <v>5000.0</v>
      </c>
      <c r="I196" s="76"/>
      <c r="J196" s="76"/>
      <c r="K196" s="45" t="s">
        <v>946</v>
      </c>
      <c r="L196" s="50" t="s">
        <v>252</v>
      </c>
      <c r="M196" s="50">
        <v>5000.0</v>
      </c>
      <c r="N196" s="50">
        <v>69.0</v>
      </c>
      <c r="O196" s="50">
        <v>1.0</v>
      </c>
      <c r="P196" s="50">
        <v>140.0</v>
      </c>
      <c r="Q196" s="50" t="s">
        <v>63</v>
      </c>
      <c r="R196" s="50" t="s">
        <v>324</v>
      </c>
      <c r="S196" s="50">
        <f t="shared" si="17"/>
        <v>8.625</v>
      </c>
      <c r="T196" s="50">
        <f t="shared" si="18"/>
        <v>39.3</v>
      </c>
      <c r="U196" s="69">
        <f t="shared" si="19"/>
        <v>4.556521739</v>
      </c>
      <c r="V196" s="70">
        <f t="shared" si="20"/>
        <v>1097.328244</v>
      </c>
      <c r="W196" s="87">
        <v>5665.0</v>
      </c>
      <c r="X196" s="83"/>
      <c r="Y196" s="88">
        <v>46028.0</v>
      </c>
      <c r="Z196" s="89" t="s">
        <v>841</v>
      </c>
      <c r="AA196" s="83"/>
      <c r="AB196" s="87">
        <v>2.0</v>
      </c>
      <c r="AC196" s="87">
        <v>155.0</v>
      </c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</row>
    <row r="197">
      <c r="A197" s="87">
        <v>42.0</v>
      </c>
      <c r="B197" s="50" t="s">
        <v>274</v>
      </c>
      <c r="C197" s="50" t="s">
        <v>947</v>
      </c>
      <c r="D197" s="45" t="s">
        <v>247</v>
      </c>
      <c r="E197" s="76"/>
      <c r="F197" s="98" t="s">
        <v>276</v>
      </c>
      <c r="G197" s="98" t="s">
        <v>277</v>
      </c>
      <c r="H197" s="98">
        <v>15000.0</v>
      </c>
      <c r="I197" s="76"/>
      <c r="J197" s="76"/>
      <c r="K197" s="45" t="s">
        <v>948</v>
      </c>
      <c r="L197" s="50" t="s">
        <v>252</v>
      </c>
      <c r="M197" s="100">
        <v>15000.0</v>
      </c>
      <c r="N197" s="100">
        <v>69.0</v>
      </c>
      <c r="O197" s="100">
        <v>1.0</v>
      </c>
      <c r="P197" s="100">
        <v>135.0</v>
      </c>
      <c r="Q197" s="50" t="s">
        <v>63</v>
      </c>
      <c r="R197" s="100" t="s">
        <v>324</v>
      </c>
      <c r="S197" s="50">
        <f t="shared" si="17"/>
        <v>8.625</v>
      </c>
      <c r="T197" s="50">
        <f t="shared" si="18"/>
        <v>39.3</v>
      </c>
      <c r="U197" s="69">
        <f t="shared" si="19"/>
        <v>4.556521739</v>
      </c>
      <c r="V197" s="70">
        <f t="shared" si="20"/>
        <v>3291.984733</v>
      </c>
      <c r="W197" s="87">
        <v>6850.0</v>
      </c>
      <c r="X197" s="83"/>
      <c r="Y197" s="88">
        <v>46028.0</v>
      </c>
      <c r="Z197" s="89" t="s">
        <v>841</v>
      </c>
      <c r="AA197" s="83"/>
      <c r="AB197" s="87">
        <v>2.0</v>
      </c>
      <c r="AC197" s="87">
        <v>155.0</v>
      </c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</row>
    <row r="198">
      <c r="A198" s="87">
        <v>43.0</v>
      </c>
      <c r="B198" s="50" t="s">
        <v>836</v>
      </c>
      <c r="C198" s="43" t="s">
        <v>949</v>
      </c>
      <c r="D198" s="45" t="s">
        <v>247</v>
      </c>
      <c r="E198" s="76"/>
      <c r="F198" s="64" t="s">
        <v>838</v>
      </c>
      <c r="G198" s="64" t="s">
        <v>839</v>
      </c>
      <c r="H198" s="125">
        <v>20000.0</v>
      </c>
      <c r="I198" s="76"/>
      <c r="J198" s="76"/>
      <c r="K198" s="45" t="s">
        <v>950</v>
      </c>
      <c r="L198" s="50" t="s">
        <v>252</v>
      </c>
      <c r="M198" s="50">
        <v>15000.0</v>
      </c>
      <c r="N198" s="100">
        <v>72.0</v>
      </c>
      <c r="O198" s="100">
        <v>2.0</v>
      </c>
      <c r="P198" s="100">
        <v>185.0</v>
      </c>
      <c r="Q198" s="50" t="s">
        <v>63</v>
      </c>
      <c r="R198" s="100" t="s">
        <v>384</v>
      </c>
      <c r="S198" s="126">
        <f t="shared" si="17"/>
        <v>9</v>
      </c>
      <c r="T198" s="126">
        <f t="shared" si="18"/>
        <v>78.6</v>
      </c>
      <c r="U198" s="127">
        <f t="shared" si="19"/>
        <v>8.733333333</v>
      </c>
      <c r="V198" s="128">
        <f t="shared" si="20"/>
        <v>1717.557252</v>
      </c>
      <c r="W198" s="87">
        <v>15810.0</v>
      </c>
      <c r="X198" s="83"/>
      <c r="Y198" s="88">
        <v>46028.0</v>
      </c>
      <c r="Z198" s="89" t="s">
        <v>841</v>
      </c>
      <c r="AA198" s="83"/>
      <c r="AB198" s="87">
        <v>3.0</v>
      </c>
      <c r="AC198" s="87">
        <v>155.0</v>
      </c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</row>
    <row r="199">
      <c r="A199" s="87">
        <v>44.0</v>
      </c>
      <c r="B199" s="50" t="s">
        <v>836</v>
      </c>
      <c r="C199" s="43" t="s">
        <v>951</v>
      </c>
      <c r="D199" s="45" t="s">
        <v>247</v>
      </c>
      <c r="E199" s="76"/>
      <c r="F199" s="64" t="s">
        <v>838</v>
      </c>
      <c r="G199" s="64" t="s">
        <v>839</v>
      </c>
      <c r="H199" s="125">
        <v>15000.0</v>
      </c>
      <c r="I199" s="76"/>
      <c r="J199" s="76"/>
      <c r="K199" s="45" t="s">
        <v>952</v>
      </c>
      <c r="L199" s="50" t="s">
        <v>252</v>
      </c>
      <c r="M199" s="50">
        <v>15000.0</v>
      </c>
      <c r="N199" s="100">
        <v>124.0</v>
      </c>
      <c r="O199" s="100">
        <v>6.0</v>
      </c>
      <c r="P199" s="100">
        <v>195.0</v>
      </c>
      <c r="Q199" s="50" t="s">
        <v>63</v>
      </c>
      <c r="R199" s="100" t="s">
        <v>315</v>
      </c>
      <c r="S199" s="126">
        <f t="shared" si="17"/>
        <v>15.5</v>
      </c>
      <c r="T199" s="126">
        <f t="shared" si="18"/>
        <v>235.8</v>
      </c>
      <c r="U199" s="127">
        <f t="shared" si="19"/>
        <v>15.21290323</v>
      </c>
      <c r="V199" s="128">
        <f t="shared" si="20"/>
        <v>986.0050891</v>
      </c>
      <c r="W199" s="87">
        <v>17135.0</v>
      </c>
      <c r="X199" s="83"/>
      <c r="Y199" s="88">
        <v>46028.0</v>
      </c>
      <c r="Z199" s="89" t="s">
        <v>841</v>
      </c>
      <c r="AA199" s="83"/>
      <c r="AB199" s="87">
        <v>2.0</v>
      </c>
      <c r="AC199" s="87">
        <v>155.0</v>
      </c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</row>
    <row r="200">
      <c r="A200" s="87">
        <v>45.0</v>
      </c>
      <c r="B200" s="50" t="s">
        <v>953</v>
      </c>
      <c r="C200" s="43" t="s">
        <v>954</v>
      </c>
      <c r="D200" s="45" t="s">
        <v>247</v>
      </c>
      <c r="E200" s="76"/>
      <c r="F200" s="64" t="s">
        <v>838</v>
      </c>
      <c r="G200" s="64" t="s">
        <v>839</v>
      </c>
      <c r="H200" s="64">
        <v>20000.0</v>
      </c>
      <c r="I200" s="76"/>
      <c r="J200" s="76"/>
      <c r="K200" s="90" t="s">
        <v>955</v>
      </c>
      <c r="L200" s="50" t="s">
        <v>252</v>
      </c>
      <c r="M200" s="50">
        <v>20000.0</v>
      </c>
      <c r="N200" s="50">
        <v>99.0</v>
      </c>
      <c r="O200" s="50">
        <v>6.0</v>
      </c>
      <c r="P200" s="50">
        <v>135.0</v>
      </c>
      <c r="Q200" s="50" t="s">
        <v>63</v>
      </c>
      <c r="R200" s="50" t="s">
        <v>956</v>
      </c>
      <c r="S200" s="50">
        <f t="shared" si="17"/>
        <v>12.375</v>
      </c>
      <c r="T200" s="50">
        <f t="shared" si="18"/>
        <v>235.8</v>
      </c>
      <c r="U200" s="69">
        <f t="shared" si="19"/>
        <v>19.05454545</v>
      </c>
      <c r="V200" s="70">
        <f t="shared" si="20"/>
        <v>1049.618321</v>
      </c>
      <c r="W200" s="87">
        <v>21915.0</v>
      </c>
      <c r="X200" s="83"/>
      <c r="Y200" s="88">
        <v>46028.0</v>
      </c>
      <c r="Z200" s="89" t="s">
        <v>841</v>
      </c>
      <c r="AA200" s="83"/>
      <c r="AB200" s="87">
        <v>1.0</v>
      </c>
      <c r="AC200" s="87">
        <v>155.0</v>
      </c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</row>
    <row r="201">
      <c r="A201" s="87">
        <v>46.0</v>
      </c>
      <c r="B201" s="50" t="s">
        <v>274</v>
      </c>
      <c r="C201" s="48" t="s">
        <v>957</v>
      </c>
      <c r="D201" s="45" t="s">
        <v>67</v>
      </c>
      <c r="E201" s="47"/>
      <c r="F201" s="242">
        <v>5.400092957E9</v>
      </c>
      <c r="G201" s="215" t="s">
        <v>938</v>
      </c>
      <c r="H201" s="215">
        <v>5000.0</v>
      </c>
      <c r="I201" s="47"/>
      <c r="J201" s="204">
        <v>206941.0</v>
      </c>
      <c r="K201" s="145" t="s">
        <v>958</v>
      </c>
      <c r="L201" s="100" t="s">
        <v>234</v>
      </c>
      <c r="M201" s="136">
        <v>5000.0</v>
      </c>
      <c r="N201" s="50">
        <v>116.0</v>
      </c>
      <c r="O201" s="50">
        <v>4.0</v>
      </c>
      <c r="P201" s="50">
        <v>160.0</v>
      </c>
      <c r="Q201" s="52" t="s">
        <v>213</v>
      </c>
      <c r="R201" s="50" t="s">
        <v>685</v>
      </c>
      <c r="S201" s="50">
        <f t="shared" si="17"/>
        <v>14.5</v>
      </c>
      <c r="T201" s="50">
        <f t="shared" si="18"/>
        <v>157.2</v>
      </c>
      <c r="U201" s="69">
        <f t="shared" si="19"/>
        <v>10.84137931</v>
      </c>
      <c r="V201" s="70">
        <f t="shared" si="20"/>
        <v>461.1959288</v>
      </c>
      <c r="W201" s="87">
        <v>5250.0</v>
      </c>
      <c r="X201" s="76"/>
      <c r="Y201" s="88">
        <v>46059.0</v>
      </c>
      <c r="Z201" s="89" t="s">
        <v>898</v>
      </c>
      <c r="AA201" s="83"/>
      <c r="AB201" s="87">
        <v>1.0</v>
      </c>
      <c r="AC201" s="87">
        <v>158.0</v>
      </c>
    </row>
    <row r="202">
      <c r="A202" s="87">
        <v>47.0</v>
      </c>
      <c r="B202" s="50" t="s">
        <v>274</v>
      </c>
      <c r="C202" s="48" t="s">
        <v>959</v>
      </c>
      <c r="D202" s="45" t="s">
        <v>67</v>
      </c>
      <c r="E202" s="47"/>
      <c r="F202" s="242">
        <v>5.400092957E9</v>
      </c>
      <c r="G202" s="215" t="s">
        <v>938</v>
      </c>
      <c r="H202" s="215">
        <v>45200.0</v>
      </c>
      <c r="I202" s="47"/>
      <c r="J202" s="204">
        <v>206943.0</v>
      </c>
      <c r="K202" s="145" t="s">
        <v>960</v>
      </c>
      <c r="L202" s="100" t="s">
        <v>234</v>
      </c>
      <c r="M202" s="205">
        <v>45200.0</v>
      </c>
      <c r="N202" s="52">
        <v>75.0</v>
      </c>
      <c r="O202" s="52">
        <v>3.0</v>
      </c>
      <c r="P202" s="52">
        <v>330.0</v>
      </c>
      <c r="Q202" s="52" t="s">
        <v>213</v>
      </c>
      <c r="R202" s="52" t="s">
        <v>241</v>
      </c>
      <c r="S202" s="50">
        <f t="shared" si="17"/>
        <v>9.375</v>
      </c>
      <c r="T202" s="50">
        <f t="shared" si="18"/>
        <v>117.9</v>
      </c>
      <c r="U202" s="69">
        <f t="shared" si="19"/>
        <v>12.576</v>
      </c>
      <c r="V202" s="70">
        <f t="shared" si="20"/>
        <v>3594.147583</v>
      </c>
      <c r="W202" s="87">
        <v>46770.0</v>
      </c>
      <c r="X202" s="76"/>
      <c r="Y202" s="88">
        <v>46059.0</v>
      </c>
      <c r="Z202" s="89" t="s">
        <v>898</v>
      </c>
      <c r="AA202" s="83"/>
      <c r="AB202" s="87">
        <v>8.0</v>
      </c>
      <c r="AC202" s="87">
        <v>158.0</v>
      </c>
    </row>
    <row r="203">
      <c r="A203" s="87">
        <v>48.0</v>
      </c>
      <c r="B203" s="50" t="s">
        <v>274</v>
      </c>
      <c r="C203" s="48" t="s">
        <v>961</v>
      </c>
      <c r="D203" s="45" t="s">
        <v>67</v>
      </c>
      <c r="E203" s="47"/>
      <c r="F203" s="245">
        <v>5.400092957E9</v>
      </c>
      <c r="G203" s="215" t="s">
        <v>938</v>
      </c>
      <c r="H203" s="215">
        <v>15000.0</v>
      </c>
      <c r="I203" s="47"/>
      <c r="J203" s="204">
        <v>206534.0</v>
      </c>
      <c r="K203" s="145" t="s">
        <v>962</v>
      </c>
      <c r="L203" s="100" t="s">
        <v>234</v>
      </c>
      <c r="M203" s="205">
        <v>15000.0</v>
      </c>
      <c r="N203" s="100">
        <v>75.0</v>
      </c>
      <c r="O203" s="100">
        <v>3.0</v>
      </c>
      <c r="P203" s="100">
        <v>240.0</v>
      </c>
      <c r="Q203" s="100" t="s">
        <v>213</v>
      </c>
      <c r="R203" s="100" t="s">
        <v>656</v>
      </c>
      <c r="S203" s="50">
        <f t="shared" si="17"/>
        <v>9.375</v>
      </c>
      <c r="T203" s="50">
        <f t="shared" si="18"/>
        <v>117.9</v>
      </c>
      <c r="U203" s="69">
        <f t="shared" si="19"/>
        <v>12.576</v>
      </c>
      <c r="V203" s="70">
        <f t="shared" si="20"/>
        <v>1192.748092</v>
      </c>
      <c r="W203" s="87">
        <v>15000.0</v>
      </c>
      <c r="X203" s="76"/>
      <c r="Y203" s="88">
        <v>46059.0</v>
      </c>
      <c r="Z203" s="89" t="s">
        <v>898</v>
      </c>
      <c r="AA203" s="83"/>
      <c r="AB203" s="87">
        <v>2.0</v>
      </c>
      <c r="AC203" s="87">
        <v>158.0</v>
      </c>
    </row>
    <row r="204">
      <c r="A204" s="87">
        <v>49.0</v>
      </c>
      <c r="B204" s="50" t="s">
        <v>274</v>
      </c>
      <c r="C204" s="48" t="s">
        <v>963</v>
      </c>
      <c r="D204" s="45" t="s">
        <v>67</v>
      </c>
      <c r="E204" s="47"/>
      <c r="F204" s="245">
        <v>5.400092957E9</v>
      </c>
      <c r="G204" s="215" t="s">
        <v>938</v>
      </c>
      <c r="H204" s="215">
        <v>3000.0</v>
      </c>
      <c r="I204" s="47"/>
      <c r="J204" s="204">
        <v>206535.0</v>
      </c>
      <c r="K204" s="145" t="s">
        <v>964</v>
      </c>
      <c r="L204" s="100" t="s">
        <v>234</v>
      </c>
      <c r="M204" s="205">
        <v>3000.0</v>
      </c>
      <c r="N204" s="100">
        <v>94.0</v>
      </c>
      <c r="O204" s="100">
        <v>2.0</v>
      </c>
      <c r="P204" s="100">
        <v>210.0</v>
      </c>
      <c r="Q204" s="100" t="s">
        <v>213</v>
      </c>
      <c r="R204" s="100" t="s">
        <v>965</v>
      </c>
      <c r="S204" s="50">
        <f t="shared" si="17"/>
        <v>11.75</v>
      </c>
      <c r="T204" s="50">
        <f t="shared" si="18"/>
        <v>78.6</v>
      </c>
      <c r="U204" s="69">
        <f t="shared" si="19"/>
        <v>6.689361702</v>
      </c>
      <c r="V204" s="70">
        <f t="shared" si="20"/>
        <v>448.4732824</v>
      </c>
      <c r="W204" s="87">
        <v>3150.0</v>
      </c>
      <c r="X204" s="76"/>
      <c r="Y204" s="88">
        <v>46059.0</v>
      </c>
      <c r="Z204" s="89" t="s">
        <v>898</v>
      </c>
      <c r="AA204" s="83"/>
      <c r="AB204" s="87">
        <v>1.0</v>
      </c>
      <c r="AC204" s="87">
        <v>158.0</v>
      </c>
    </row>
    <row r="205">
      <c r="A205" s="87">
        <v>50.0</v>
      </c>
      <c r="B205" s="57" t="s">
        <v>274</v>
      </c>
      <c r="C205" s="48" t="s">
        <v>966</v>
      </c>
      <c r="D205" s="45" t="s">
        <v>67</v>
      </c>
      <c r="E205" s="47"/>
      <c r="F205" s="245">
        <v>5.400092957E9</v>
      </c>
      <c r="G205" s="215" t="s">
        <v>938</v>
      </c>
      <c r="H205" s="215">
        <v>10000.0</v>
      </c>
      <c r="I205" s="47"/>
      <c r="J205" s="204">
        <v>205968.0</v>
      </c>
      <c r="K205" s="145" t="s">
        <v>967</v>
      </c>
      <c r="L205" s="100" t="s">
        <v>234</v>
      </c>
      <c r="M205" s="205">
        <v>10000.0</v>
      </c>
      <c r="N205" s="52">
        <v>116.0</v>
      </c>
      <c r="O205" s="52">
        <v>6.0</v>
      </c>
      <c r="P205" s="52">
        <v>300.0</v>
      </c>
      <c r="Q205" s="52" t="s">
        <v>213</v>
      </c>
      <c r="R205" s="52" t="s">
        <v>224</v>
      </c>
      <c r="S205" s="50">
        <f t="shared" si="17"/>
        <v>14.5</v>
      </c>
      <c r="T205" s="50">
        <f t="shared" si="18"/>
        <v>235.8</v>
      </c>
      <c r="U205" s="69">
        <f t="shared" si="19"/>
        <v>16.26206897</v>
      </c>
      <c r="V205" s="70">
        <f t="shared" si="20"/>
        <v>614.927905</v>
      </c>
      <c r="W205" s="87">
        <v>10500.0</v>
      </c>
      <c r="X205" s="76"/>
      <c r="Y205" s="88">
        <v>46059.0</v>
      </c>
      <c r="Z205" s="89" t="s">
        <v>898</v>
      </c>
      <c r="AA205" s="83"/>
      <c r="AB205" s="87">
        <v>2.0</v>
      </c>
      <c r="AC205" s="87">
        <v>158.0</v>
      </c>
    </row>
    <row r="206">
      <c r="A206" s="87">
        <v>51.0</v>
      </c>
      <c r="B206" s="133" t="s">
        <v>274</v>
      </c>
      <c r="C206" s="48" t="s">
        <v>968</v>
      </c>
      <c r="D206" s="45" t="s">
        <v>67</v>
      </c>
      <c r="E206" s="47"/>
      <c r="F206" s="245">
        <v>5.400092957E9</v>
      </c>
      <c r="G206" s="215" t="s">
        <v>938</v>
      </c>
      <c r="H206" s="215">
        <v>3000.0</v>
      </c>
      <c r="I206" s="47"/>
      <c r="J206" s="204">
        <v>206529.0</v>
      </c>
      <c r="K206" s="145" t="s">
        <v>969</v>
      </c>
      <c r="L206" s="100" t="s">
        <v>234</v>
      </c>
      <c r="M206" s="205">
        <v>3000.0</v>
      </c>
      <c r="N206" s="100">
        <v>94.0</v>
      </c>
      <c r="O206" s="100">
        <v>2.0</v>
      </c>
      <c r="P206" s="100">
        <v>210.0</v>
      </c>
      <c r="Q206" s="100" t="s">
        <v>213</v>
      </c>
      <c r="R206" s="100" t="s">
        <v>965</v>
      </c>
      <c r="S206" s="50">
        <f t="shared" si="17"/>
        <v>11.75</v>
      </c>
      <c r="T206" s="50">
        <f t="shared" si="18"/>
        <v>78.6</v>
      </c>
      <c r="U206" s="69">
        <f t="shared" si="19"/>
        <v>6.689361702</v>
      </c>
      <c r="V206" s="70">
        <f t="shared" si="20"/>
        <v>448.4732824</v>
      </c>
      <c r="W206" s="83"/>
      <c r="X206" s="76"/>
      <c r="Y206" s="83"/>
      <c r="Z206" s="246"/>
      <c r="AA206" s="83"/>
      <c r="AB206" s="83"/>
      <c r="AC206" s="83"/>
    </row>
    <row r="207">
      <c r="A207" s="87">
        <v>52.0</v>
      </c>
      <c r="B207" s="50" t="s">
        <v>970</v>
      </c>
      <c r="C207" s="48" t="s">
        <v>971</v>
      </c>
      <c r="D207" s="45" t="s">
        <v>154</v>
      </c>
      <c r="E207" s="47"/>
      <c r="F207" s="47"/>
      <c r="G207" s="47"/>
      <c r="H207" s="47"/>
      <c r="I207" s="47"/>
      <c r="J207" s="47"/>
      <c r="K207" s="45" t="s">
        <v>155</v>
      </c>
      <c r="L207" s="47"/>
      <c r="M207" s="50">
        <v>7500.0</v>
      </c>
      <c r="N207" s="50">
        <v>92.0</v>
      </c>
      <c r="O207" s="50">
        <v>8.0</v>
      </c>
      <c r="P207" s="50">
        <v>140.0</v>
      </c>
      <c r="Q207" s="100" t="s">
        <v>972</v>
      </c>
      <c r="R207" s="50" t="s">
        <v>157</v>
      </c>
      <c r="S207" s="50">
        <f t="shared" si="17"/>
        <v>11.5</v>
      </c>
      <c r="T207" s="50">
        <f t="shared" si="18"/>
        <v>314.4</v>
      </c>
      <c r="U207" s="69">
        <f t="shared" si="19"/>
        <v>27.33913043</v>
      </c>
      <c r="V207" s="70">
        <f t="shared" si="20"/>
        <v>274.3320611</v>
      </c>
      <c r="W207" s="215">
        <v>7700.0</v>
      </c>
      <c r="X207" s="47"/>
      <c r="Y207" s="244">
        <v>46087.0</v>
      </c>
      <c r="Z207" s="89" t="s">
        <v>835</v>
      </c>
      <c r="AA207" s="83"/>
      <c r="AB207" s="87">
        <v>1.0</v>
      </c>
      <c r="AC207" s="87">
        <v>157.0</v>
      </c>
    </row>
    <row r="208">
      <c r="A208" s="87">
        <v>53.0</v>
      </c>
      <c r="B208" s="133" t="s">
        <v>973</v>
      </c>
      <c r="C208" s="48" t="s">
        <v>974</v>
      </c>
      <c r="D208" s="45" t="s">
        <v>726</v>
      </c>
      <c r="E208" s="47"/>
      <c r="F208" s="93"/>
      <c r="G208" s="93"/>
      <c r="H208" s="93"/>
      <c r="I208" s="47"/>
      <c r="J208" s="47"/>
      <c r="K208" s="45" t="s">
        <v>975</v>
      </c>
      <c r="L208" s="100" t="s">
        <v>728</v>
      </c>
      <c r="M208" s="166">
        <v>3000.0</v>
      </c>
      <c r="N208" s="50">
        <v>89.0</v>
      </c>
      <c r="O208" s="50">
        <v>1.0</v>
      </c>
      <c r="P208" s="50">
        <v>160.0</v>
      </c>
      <c r="Q208" s="50" t="s">
        <v>63</v>
      </c>
      <c r="R208" s="50" t="s">
        <v>729</v>
      </c>
      <c r="S208" s="50">
        <f t="shared" si="17"/>
        <v>11.125</v>
      </c>
      <c r="T208" s="50">
        <f t="shared" si="18"/>
        <v>39.3</v>
      </c>
      <c r="U208" s="69">
        <f t="shared" si="19"/>
        <v>3.53258427</v>
      </c>
      <c r="V208" s="70">
        <f t="shared" si="20"/>
        <v>849.2366412</v>
      </c>
      <c r="W208" s="87">
        <v>3500.0</v>
      </c>
      <c r="X208" s="76"/>
      <c r="Y208" s="88">
        <v>46059.0</v>
      </c>
      <c r="Z208" s="89" t="s">
        <v>976</v>
      </c>
      <c r="AA208" s="83"/>
      <c r="AB208" s="87">
        <v>1.0</v>
      </c>
      <c r="AC208" s="83"/>
    </row>
    <row r="209">
      <c r="A209" s="87">
        <v>54.0</v>
      </c>
      <c r="B209" s="57">
        <v>46361.0</v>
      </c>
      <c r="C209" s="48" t="s">
        <v>977</v>
      </c>
      <c r="D209" s="45" t="s">
        <v>191</v>
      </c>
      <c r="E209" s="47"/>
      <c r="F209" s="215">
        <v>5.200030276E9</v>
      </c>
      <c r="G209" s="244">
        <v>46361.0</v>
      </c>
      <c r="H209" s="215">
        <v>317000.0</v>
      </c>
      <c r="I209" s="47"/>
      <c r="J209" s="47"/>
      <c r="K209" s="51" t="s">
        <v>978</v>
      </c>
      <c r="L209" s="50" t="s">
        <v>49</v>
      </c>
      <c r="M209" s="48">
        <v>317000.0</v>
      </c>
      <c r="N209" s="50">
        <v>99.0</v>
      </c>
      <c r="O209" s="50">
        <v>12.0</v>
      </c>
      <c r="P209" s="50">
        <v>190.0</v>
      </c>
      <c r="Q209" s="50" t="s">
        <v>979</v>
      </c>
      <c r="R209" s="50" t="s">
        <v>980</v>
      </c>
      <c r="S209" s="50">
        <f t="shared" si="17"/>
        <v>12.375</v>
      </c>
      <c r="T209" s="50">
        <f t="shared" si="18"/>
        <v>471.6</v>
      </c>
      <c r="U209" s="69">
        <f t="shared" si="19"/>
        <v>38.10909091</v>
      </c>
      <c r="V209" s="70">
        <f t="shared" si="20"/>
        <v>8318.225191</v>
      </c>
      <c r="W209" s="87">
        <v>318400.0</v>
      </c>
      <c r="X209" s="76"/>
      <c r="Y209" s="88">
        <v>46087.0</v>
      </c>
      <c r="Z209" s="89" t="s">
        <v>981</v>
      </c>
      <c r="AA209" s="83"/>
      <c r="AB209" s="87">
        <v>32.0</v>
      </c>
      <c r="AC209" s="83"/>
    </row>
    <row r="210">
      <c r="A210" s="87">
        <v>55.0</v>
      </c>
      <c r="B210" s="133" t="s">
        <v>274</v>
      </c>
      <c r="C210" s="48" t="s">
        <v>982</v>
      </c>
      <c r="D210" s="45" t="s">
        <v>247</v>
      </c>
      <c r="E210" s="47"/>
      <c r="F210" s="98" t="s">
        <v>276</v>
      </c>
      <c r="G210" s="98" t="s">
        <v>277</v>
      </c>
      <c r="H210" s="98">
        <v>6000.0</v>
      </c>
      <c r="I210" s="47"/>
      <c r="J210" s="47"/>
      <c r="K210" s="45" t="s">
        <v>502</v>
      </c>
      <c r="L210" s="50" t="s">
        <v>252</v>
      </c>
      <c r="M210" s="166">
        <v>6000.0</v>
      </c>
      <c r="N210" s="50">
        <v>124.0</v>
      </c>
      <c r="O210" s="50">
        <v>6.0</v>
      </c>
      <c r="P210" s="50">
        <v>230.0</v>
      </c>
      <c r="Q210" s="50" t="s">
        <v>63</v>
      </c>
      <c r="R210" s="50" t="s">
        <v>341</v>
      </c>
      <c r="S210" s="50">
        <f t="shared" si="17"/>
        <v>15.5</v>
      </c>
      <c r="T210" s="50">
        <f t="shared" si="18"/>
        <v>235.8</v>
      </c>
      <c r="U210" s="69">
        <f t="shared" si="19"/>
        <v>15.21290323</v>
      </c>
      <c r="V210" s="70">
        <f t="shared" si="20"/>
        <v>394.4020356</v>
      </c>
      <c r="W210" s="215">
        <v>7075.0</v>
      </c>
      <c r="X210" s="47"/>
      <c r="Y210" s="88">
        <v>46087.0</v>
      </c>
      <c r="Z210" s="89" t="s">
        <v>841</v>
      </c>
      <c r="AA210" s="83"/>
      <c r="AB210" s="87">
        <v>1.0</v>
      </c>
      <c r="AC210" s="87">
        <v>160.0</v>
      </c>
    </row>
    <row r="211">
      <c r="A211" s="87">
        <v>56.0</v>
      </c>
      <c r="B211" s="50" t="s">
        <v>836</v>
      </c>
      <c r="C211" s="43" t="s">
        <v>983</v>
      </c>
      <c r="D211" s="45" t="s">
        <v>247</v>
      </c>
      <c r="E211" s="47"/>
      <c r="F211" s="64" t="s">
        <v>838</v>
      </c>
      <c r="G211" s="64" t="s">
        <v>839</v>
      </c>
      <c r="H211" s="98">
        <v>17810.0</v>
      </c>
      <c r="I211" s="47"/>
      <c r="J211" s="47"/>
      <c r="K211" s="51" t="s">
        <v>449</v>
      </c>
      <c r="L211" s="50" t="s">
        <v>252</v>
      </c>
      <c r="M211" s="43">
        <v>35000.0</v>
      </c>
      <c r="N211" s="50">
        <v>92.0</v>
      </c>
      <c r="O211" s="50">
        <v>2.0</v>
      </c>
      <c r="P211" s="50">
        <v>220.0</v>
      </c>
      <c r="Q211" s="50" t="s">
        <v>63</v>
      </c>
      <c r="R211" s="48" t="s">
        <v>984</v>
      </c>
      <c r="S211" s="126">
        <f t="shared" si="17"/>
        <v>11.5</v>
      </c>
      <c r="T211" s="126">
        <f t="shared" si="18"/>
        <v>78.6</v>
      </c>
      <c r="U211" s="127">
        <f t="shared" si="19"/>
        <v>6.834782609</v>
      </c>
      <c r="V211" s="128">
        <f t="shared" si="20"/>
        <v>5120.86514</v>
      </c>
      <c r="W211" s="215">
        <v>23130.0</v>
      </c>
      <c r="X211" s="47"/>
      <c r="Y211" s="88">
        <v>46087.0</v>
      </c>
      <c r="Z211" s="89" t="s">
        <v>841</v>
      </c>
      <c r="AA211" s="83"/>
      <c r="AB211" s="87">
        <v>6.0</v>
      </c>
      <c r="AC211" s="87">
        <v>160.0</v>
      </c>
    </row>
    <row r="212">
      <c r="A212" s="87">
        <v>57.0</v>
      </c>
      <c r="B212" s="133" t="s">
        <v>274</v>
      </c>
      <c r="C212" s="48" t="s">
        <v>985</v>
      </c>
      <c r="D212" s="45" t="s">
        <v>247</v>
      </c>
      <c r="E212" s="47"/>
      <c r="F212" s="98" t="s">
        <v>276</v>
      </c>
      <c r="G212" s="215" t="s">
        <v>277</v>
      </c>
      <c r="H212" s="215">
        <v>25000.0</v>
      </c>
      <c r="I212" s="47"/>
      <c r="J212" s="47"/>
      <c r="K212" s="45" t="s">
        <v>823</v>
      </c>
      <c r="L212" s="50" t="s">
        <v>252</v>
      </c>
      <c r="M212" s="129">
        <v>17000.0</v>
      </c>
      <c r="N212" s="100">
        <v>89.0</v>
      </c>
      <c r="O212" s="100">
        <v>1.0</v>
      </c>
      <c r="P212" s="100">
        <v>160.0</v>
      </c>
      <c r="Q212" s="50" t="s">
        <v>63</v>
      </c>
      <c r="R212" s="100" t="s">
        <v>254</v>
      </c>
      <c r="S212" s="50">
        <f t="shared" si="17"/>
        <v>11.125</v>
      </c>
      <c r="T212" s="50">
        <f t="shared" si="18"/>
        <v>39.3</v>
      </c>
      <c r="U212" s="69">
        <f t="shared" si="19"/>
        <v>3.53258427</v>
      </c>
      <c r="V212" s="70">
        <f t="shared" si="20"/>
        <v>4812.340967</v>
      </c>
      <c r="W212" s="215">
        <v>7820.0</v>
      </c>
      <c r="X212" s="47"/>
      <c r="Y212" s="88">
        <v>46087.0</v>
      </c>
      <c r="Z212" s="89" t="s">
        <v>841</v>
      </c>
      <c r="AA212" s="83"/>
      <c r="AB212" s="87">
        <v>3.0</v>
      </c>
      <c r="AC212" s="87">
        <v>160.0</v>
      </c>
    </row>
    <row r="213">
      <c r="A213" s="87">
        <v>58.0</v>
      </c>
      <c r="B213" s="57">
        <v>46239.0</v>
      </c>
      <c r="C213" s="48" t="s">
        <v>986</v>
      </c>
      <c r="D213" s="45" t="s">
        <v>247</v>
      </c>
      <c r="E213" s="47"/>
      <c r="F213" s="64" t="s">
        <v>816</v>
      </c>
      <c r="G213" s="155">
        <v>46178.0</v>
      </c>
      <c r="H213" s="125">
        <v>5000.0</v>
      </c>
      <c r="I213" s="47"/>
      <c r="J213" s="47"/>
      <c r="K213" s="45" t="s">
        <v>987</v>
      </c>
      <c r="L213" s="50" t="s">
        <v>252</v>
      </c>
      <c r="M213" s="50">
        <v>5000.0</v>
      </c>
      <c r="N213" s="100">
        <v>69.0</v>
      </c>
      <c r="O213" s="100">
        <v>1.0</v>
      </c>
      <c r="P213" s="100">
        <v>135.0</v>
      </c>
      <c r="Q213" s="100" t="s">
        <v>63</v>
      </c>
      <c r="R213" s="100" t="s">
        <v>324</v>
      </c>
      <c r="S213" s="52">
        <f t="shared" si="17"/>
        <v>8.625</v>
      </c>
      <c r="T213" s="52">
        <f t="shared" si="18"/>
        <v>39.3</v>
      </c>
      <c r="U213" s="55">
        <f t="shared" si="19"/>
        <v>4.556521739</v>
      </c>
      <c r="V213" s="58">
        <f t="shared" si="20"/>
        <v>1097.328244</v>
      </c>
      <c r="W213" s="215">
        <v>5600.0</v>
      </c>
      <c r="X213" s="47"/>
      <c r="Y213" s="88">
        <v>46087.0</v>
      </c>
      <c r="Z213" s="89" t="s">
        <v>841</v>
      </c>
      <c r="AA213" s="93"/>
      <c r="AB213" s="215">
        <v>2.0</v>
      </c>
      <c r="AC213" s="87">
        <v>160.0</v>
      </c>
      <c r="AD213" s="47"/>
      <c r="AE213" s="47"/>
      <c r="AF213" s="47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  <c r="BT213" s="63"/>
      <c r="BU213" s="63"/>
      <c r="BV213" s="63"/>
      <c r="BW213" s="63"/>
      <c r="BX213" s="63"/>
      <c r="BY213" s="63"/>
      <c r="BZ213" s="63"/>
      <c r="CA213" s="63"/>
      <c r="CB213" s="63"/>
      <c r="CC213" s="63"/>
      <c r="CD213" s="63"/>
      <c r="CE213" s="63"/>
      <c r="CF213" s="63"/>
      <c r="CG213" s="63"/>
      <c r="CH213" s="63"/>
      <c r="CI213" s="63"/>
      <c r="CJ213" s="63"/>
      <c r="CK213" s="63"/>
      <c r="CL213" s="63"/>
      <c r="CM213" s="63"/>
      <c r="CN213" s="63"/>
      <c r="CO213" s="63"/>
      <c r="CP213" s="63"/>
      <c r="CQ213" s="63"/>
      <c r="CR213" s="63"/>
      <c r="CS213" s="63"/>
      <c r="CT213" s="63"/>
      <c r="CU213" s="63"/>
      <c r="CV213" s="63"/>
    </row>
    <row r="214">
      <c r="A214" s="87">
        <v>59.0</v>
      </c>
      <c r="B214" s="133" t="s">
        <v>274</v>
      </c>
      <c r="C214" s="48" t="s">
        <v>988</v>
      </c>
      <c r="D214" s="45" t="s">
        <v>247</v>
      </c>
      <c r="E214" s="47"/>
      <c r="F214" s="98" t="s">
        <v>276</v>
      </c>
      <c r="G214" s="98" t="s">
        <v>277</v>
      </c>
      <c r="H214" s="247">
        <v>20000.0</v>
      </c>
      <c r="I214" s="47"/>
      <c r="J214" s="47"/>
      <c r="K214" s="45" t="s">
        <v>989</v>
      </c>
      <c r="L214" s="50" t="s">
        <v>252</v>
      </c>
      <c r="M214" s="166">
        <v>20000.0</v>
      </c>
      <c r="N214" s="50">
        <v>89.0</v>
      </c>
      <c r="O214" s="50">
        <v>3.0</v>
      </c>
      <c r="P214" s="50">
        <v>260.0</v>
      </c>
      <c r="Q214" s="50" t="s">
        <v>63</v>
      </c>
      <c r="R214" s="50" t="s">
        <v>353</v>
      </c>
      <c r="S214" s="50">
        <f t="shared" si="17"/>
        <v>11.125</v>
      </c>
      <c r="T214" s="50">
        <f t="shared" si="18"/>
        <v>117.9</v>
      </c>
      <c r="U214" s="69">
        <f t="shared" si="19"/>
        <v>10.59775281</v>
      </c>
      <c r="V214" s="70">
        <f t="shared" si="20"/>
        <v>1887.192536</v>
      </c>
      <c r="W214" s="215">
        <v>20000.0</v>
      </c>
      <c r="X214" s="47"/>
      <c r="Y214" s="88">
        <v>46087.0</v>
      </c>
      <c r="Z214" s="89" t="s">
        <v>841</v>
      </c>
      <c r="AA214" s="93"/>
      <c r="AB214" s="215">
        <v>4.0</v>
      </c>
      <c r="AC214" s="87">
        <v>160.0</v>
      </c>
      <c r="AD214" s="47"/>
      <c r="AE214" s="47"/>
      <c r="AF214" s="47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  <c r="BV214" s="63"/>
      <c r="BW214" s="63"/>
      <c r="BX214" s="63"/>
      <c r="BY214" s="63"/>
      <c r="BZ214" s="63"/>
      <c r="CA214" s="63"/>
      <c r="CB214" s="63"/>
      <c r="CC214" s="63"/>
      <c r="CD214" s="63"/>
      <c r="CE214" s="63"/>
      <c r="CF214" s="63"/>
      <c r="CG214" s="63"/>
      <c r="CH214" s="63"/>
      <c r="CI214" s="63"/>
      <c r="CJ214" s="63"/>
      <c r="CK214" s="63"/>
      <c r="CL214" s="63"/>
      <c r="CM214" s="63"/>
      <c r="CN214" s="63"/>
      <c r="CO214" s="63"/>
      <c r="CP214" s="63"/>
      <c r="CQ214" s="63"/>
      <c r="CR214" s="63"/>
      <c r="CS214" s="63"/>
      <c r="CT214" s="63"/>
      <c r="CU214" s="63"/>
      <c r="CV214" s="63"/>
    </row>
    <row r="215">
      <c r="A215" s="87">
        <v>60.0</v>
      </c>
      <c r="B215" s="50" t="s">
        <v>990</v>
      </c>
      <c r="C215" s="48" t="s">
        <v>991</v>
      </c>
      <c r="D215" s="45" t="s">
        <v>992</v>
      </c>
      <c r="E215" s="47"/>
      <c r="F215" s="73"/>
      <c r="G215" s="45"/>
      <c r="H215" s="47"/>
      <c r="I215" s="47"/>
      <c r="J215" s="47"/>
      <c r="K215" s="45" t="s">
        <v>993</v>
      </c>
      <c r="L215" s="47"/>
      <c r="M215" s="50">
        <v>15000.0</v>
      </c>
      <c r="N215" s="136">
        <v>72.0</v>
      </c>
      <c r="O215" s="136">
        <v>6.0</v>
      </c>
      <c r="P215" s="136">
        <v>185.0</v>
      </c>
      <c r="Q215" s="66" t="s">
        <v>63</v>
      </c>
      <c r="R215" s="136" t="s">
        <v>994</v>
      </c>
      <c r="S215" s="126">
        <f t="shared" si="17"/>
        <v>9</v>
      </c>
      <c r="T215" s="126">
        <f t="shared" si="18"/>
        <v>235.8</v>
      </c>
      <c r="U215" s="127">
        <f t="shared" si="19"/>
        <v>26.2</v>
      </c>
      <c r="V215" s="128">
        <f t="shared" si="20"/>
        <v>572.519084</v>
      </c>
      <c r="W215" s="215">
        <v>15000.0</v>
      </c>
      <c r="X215" s="93"/>
      <c r="Y215" s="244">
        <v>46118.0</v>
      </c>
      <c r="Z215" s="89" t="s">
        <v>995</v>
      </c>
      <c r="AA215" s="76"/>
      <c r="AB215" s="87">
        <v>1.0</v>
      </c>
      <c r="AC215" s="87">
        <v>162.0</v>
      </c>
    </row>
    <row r="216">
      <c r="A216" s="87">
        <v>61.0</v>
      </c>
      <c r="B216" s="133" t="s">
        <v>996</v>
      </c>
      <c r="C216" s="48" t="s">
        <v>997</v>
      </c>
      <c r="D216" s="248" t="s">
        <v>998</v>
      </c>
      <c r="E216" s="164"/>
      <c r="F216" s="164"/>
      <c r="G216" s="66"/>
      <c r="H216" s="249"/>
      <c r="I216" s="164"/>
      <c r="J216" s="164"/>
      <c r="K216" s="250" t="s">
        <v>999</v>
      </c>
      <c r="L216" s="50" t="s">
        <v>350</v>
      </c>
      <c r="M216" s="251">
        <v>15850.0</v>
      </c>
      <c r="N216" s="66">
        <v>69.0</v>
      </c>
      <c r="O216" s="66">
        <v>2.0</v>
      </c>
      <c r="P216" s="66">
        <v>235.0</v>
      </c>
      <c r="Q216" s="50" t="s">
        <v>63</v>
      </c>
      <c r="R216" s="66" t="s">
        <v>1000</v>
      </c>
      <c r="S216" s="50">
        <f t="shared" si="17"/>
        <v>8.625</v>
      </c>
      <c r="T216" s="50">
        <f t="shared" si="18"/>
        <v>78.6</v>
      </c>
      <c r="U216" s="69">
        <f t="shared" si="19"/>
        <v>9.113043478</v>
      </c>
      <c r="V216" s="70">
        <f t="shared" si="20"/>
        <v>1739.265267</v>
      </c>
      <c r="W216" s="87">
        <v>16150.0</v>
      </c>
      <c r="X216" s="83"/>
      <c r="Y216" s="88">
        <v>46118.0</v>
      </c>
      <c r="Z216" s="89" t="s">
        <v>841</v>
      </c>
      <c r="AA216" s="83"/>
      <c r="AB216" s="87">
        <v>3.0</v>
      </c>
      <c r="AC216" s="83"/>
    </row>
    <row r="217">
      <c r="A217" s="87">
        <v>62.0</v>
      </c>
      <c r="B217" s="133" t="s">
        <v>996</v>
      </c>
      <c r="C217" s="48" t="s">
        <v>1001</v>
      </c>
      <c r="D217" s="248" t="s">
        <v>998</v>
      </c>
      <c r="E217" s="164"/>
      <c r="F217" s="164"/>
      <c r="G217" s="66"/>
      <c r="H217" s="249"/>
      <c r="I217" s="164"/>
      <c r="J217" s="164"/>
      <c r="K217" s="54" t="s">
        <v>1002</v>
      </c>
      <c r="L217" s="50" t="s">
        <v>350</v>
      </c>
      <c r="M217" s="251">
        <v>14820.0</v>
      </c>
      <c r="N217" s="66">
        <v>124.0</v>
      </c>
      <c r="O217" s="66">
        <v>4.0</v>
      </c>
      <c r="P217" s="66">
        <v>165.0</v>
      </c>
      <c r="Q217" s="50" t="s">
        <v>63</v>
      </c>
      <c r="R217" s="66" t="s">
        <v>1003</v>
      </c>
      <c r="S217" s="50">
        <f t="shared" si="17"/>
        <v>15.5</v>
      </c>
      <c r="T217" s="50">
        <f t="shared" si="18"/>
        <v>157.2</v>
      </c>
      <c r="U217" s="69">
        <f t="shared" si="19"/>
        <v>10.14193548</v>
      </c>
      <c r="V217" s="70">
        <f t="shared" si="20"/>
        <v>1461.259542</v>
      </c>
      <c r="W217" s="87">
        <v>14900.0</v>
      </c>
      <c r="X217" s="83"/>
      <c r="Y217" s="88">
        <v>46118.0</v>
      </c>
      <c r="Z217" s="89" t="s">
        <v>841</v>
      </c>
      <c r="AA217" s="83"/>
      <c r="AB217" s="87">
        <v>2.0</v>
      </c>
      <c r="AC217" s="83"/>
    </row>
    <row r="218">
      <c r="A218" s="87">
        <v>63.0</v>
      </c>
      <c r="B218" s="133" t="s">
        <v>274</v>
      </c>
      <c r="C218" s="48" t="s">
        <v>1004</v>
      </c>
      <c r="D218" s="51" t="s">
        <v>67</v>
      </c>
      <c r="E218" s="146"/>
      <c r="F218" s="252" t="s">
        <v>1005</v>
      </c>
      <c r="G218" s="253" t="s">
        <v>1006</v>
      </c>
      <c r="H218" s="253" t="s">
        <v>1007</v>
      </c>
      <c r="I218" s="146"/>
      <c r="J218" s="50">
        <v>207358.0</v>
      </c>
      <c r="K218" s="51" t="s">
        <v>694</v>
      </c>
      <c r="L218" s="50" t="s">
        <v>692</v>
      </c>
      <c r="M218" s="48">
        <v>3000.0</v>
      </c>
      <c r="N218" s="50">
        <v>108.0</v>
      </c>
      <c r="O218" s="50">
        <v>2.0</v>
      </c>
      <c r="P218" s="50">
        <v>125.0</v>
      </c>
      <c r="Q218" s="50" t="s">
        <v>63</v>
      </c>
      <c r="R218" s="50" t="s">
        <v>178</v>
      </c>
      <c r="S218" s="50">
        <f t="shared" si="17"/>
        <v>13.5</v>
      </c>
      <c r="T218" s="50">
        <f t="shared" si="18"/>
        <v>78.6</v>
      </c>
      <c r="U218" s="69">
        <f t="shared" si="19"/>
        <v>5.822222222</v>
      </c>
      <c r="V218" s="70">
        <f t="shared" si="20"/>
        <v>515.2671756</v>
      </c>
      <c r="W218" s="241">
        <v>3690.0</v>
      </c>
      <c r="X218" s="164"/>
      <c r="Y218" s="254">
        <v>46118.0</v>
      </c>
      <c r="Z218" s="89" t="s">
        <v>898</v>
      </c>
      <c r="AA218" s="83"/>
      <c r="AB218" s="87">
        <v>1.0</v>
      </c>
      <c r="AC218" s="87">
        <v>165.0</v>
      </c>
    </row>
    <row r="219">
      <c r="A219" s="87">
        <v>64.0</v>
      </c>
      <c r="B219" s="133" t="s">
        <v>274</v>
      </c>
      <c r="C219" s="43" t="s">
        <v>1008</v>
      </c>
      <c r="D219" s="51" t="s">
        <v>67</v>
      </c>
      <c r="E219" s="146"/>
      <c r="F219" s="233">
        <v>5.400092955E9</v>
      </c>
      <c r="G219" s="253" t="s">
        <v>938</v>
      </c>
      <c r="H219" s="253">
        <v>101000.0</v>
      </c>
      <c r="I219" s="146"/>
      <c r="J219" s="66">
        <v>207515.0</v>
      </c>
      <c r="K219" s="156" t="s">
        <v>1009</v>
      </c>
      <c r="L219" s="255" t="s">
        <v>692</v>
      </c>
      <c r="M219" s="157">
        <v>101000.0</v>
      </c>
      <c r="N219" s="100">
        <v>118.0</v>
      </c>
      <c r="O219" s="100">
        <v>6.0</v>
      </c>
      <c r="P219" s="100">
        <v>165.0</v>
      </c>
      <c r="Q219" s="100" t="s">
        <v>213</v>
      </c>
      <c r="R219" s="100" t="s">
        <v>1010</v>
      </c>
      <c r="S219" s="50">
        <f t="shared" si="17"/>
        <v>14.75</v>
      </c>
      <c r="T219" s="50">
        <f t="shared" si="18"/>
        <v>235.8</v>
      </c>
      <c r="U219" s="69">
        <f t="shared" si="19"/>
        <v>15.98644068</v>
      </c>
      <c r="V219" s="70">
        <f t="shared" si="20"/>
        <v>6317.854114</v>
      </c>
      <c r="W219" s="241">
        <v>103700.0</v>
      </c>
      <c r="X219" s="164"/>
      <c r="Y219" s="254">
        <v>46118.0</v>
      </c>
      <c r="Z219" s="89" t="s">
        <v>898</v>
      </c>
      <c r="AA219" s="83"/>
      <c r="AB219" s="87">
        <v>7.0</v>
      </c>
      <c r="AC219" s="87">
        <v>165.0</v>
      </c>
    </row>
    <row r="220">
      <c r="A220" s="87">
        <v>65.0</v>
      </c>
      <c r="B220" s="50" t="s">
        <v>821</v>
      </c>
      <c r="C220" s="50" t="s">
        <v>1011</v>
      </c>
      <c r="D220" s="256" t="s">
        <v>1012</v>
      </c>
      <c r="E220" s="60"/>
      <c r="F220" s="106" t="s">
        <v>1013</v>
      </c>
      <c r="G220" s="241" t="s">
        <v>1014</v>
      </c>
      <c r="H220" s="241">
        <v>30000.0</v>
      </c>
      <c r="I220" s="60"/>
      <c r="J220" s="60"/>
      <c r="K220" s="51" t="s">
        <v>62</v>
      </c>
      <c r="L220" s="60"/>
      <c r="M220" s="122">
        <v>30000.0</v>
      </c>
      <c r="N220" s="136">
        <v>72.0</v>
      </c>
      <c r="O220" s="136">
        <v>28.0</v>
      </c>
      <c r="P220" s="136">
        <v>145.0</v>
      </c>
      <c r="Q220" s="100" t="s">
        <v>63</v>
      </c>
      <c r="R220" s="136" t="s">
        <v>64</v>
      </c>
      <c r="S220" s="50">
        <f t="shared" si="17"/>
        <v>9</v>
      </c>
      <c r="T220" s="50">
        <f t="shared" si="18"/>
        <v>1100.4</v>
      </c>
      <c r="U220" s="69">
        <f t="shared" si="19"/>
        <v>122.2666667</v>
      </c>
      <c r="V220" s="70">
        <f t="shared" si="20"/>
        <v>245.3653217</v>
      </c>
      <c r="W220" s="215">
        <v>30000.0</v>
      </c>
      <c r="X220" s="93"/>
      <c r="Y220" s="254">
        <v>46118.0</v>
      </c>
      <c r="Z220" s="89" t="s">
        <v>841</v>
      </c>
      <c r="AA220" s="83"/>
      <c r="AB220" s="87">
        <v>1.0</v>
      </c>
      <c r="AC220" s="87">
        <v>164.0</v>
      </c>
    </row>
    <row r="221">
      <c r="A221" s="87">
        <v>66.0</v>
      </c>
      <c r="B221" s="50" t="s">
        <v>821</v>
      </c>
      <c r="C221" s="48" t="s">
        <v>1015</v>
      </c>
      <c r="D221" s="256" t="s">
        <v>1012</v>
      </c>
      <c r="E221" s="60"/>
      <c r="F221" s="106" t="s">
        <v>1013</v>
      </c>
      <c r="G221" s="241" t="s">
        <v>1014</v>
      </c>
      <c r="H221" s="241">
        <v>30000.0</v>
      </c>
      <c r="I221" s="60"/>
      <c r="J221" s="60"/>
      <c r="K221" s="163" t="s">
        <v>1016</v>
      </c>
      <c r="L221" s="60"/>
      <c r="M221" s="122">
        <v>30000.0</v>
      </c>
      <c r="N221" s="136">
        <v>72.0</v>
      </c>
      <c r="O221" s="136">
        <v>28.0</v>
      </c>
      <c r="P221" s="136">
        <v>145.0</v>
      </c>
      <c r="Q221" s="100" t="s">
        <v>63</v>
      </c>
      <c r="R221" s="136" t="s">
        <v>64</v>
      </c>
      <c r="S221" s="50">
        <f t="shared" si="17"/>
        <v>9</v>
      </c>
      <c r="T221" s="50">
        <f t="shared" si="18"/>
        <v>1100.4</v>
      </c>
      <c r="U221" s="69">
        <f t="shared" si="19"/>
        <v>122.2666667</v>
      </c>
      <c r="V221" s="70">
        <f t="shared" si="20"/>
        <v>245.3653217</v>
      </c>
      <c r="W221" s="87">
        <v>30000.0</v>
      </c>
      <c r="X221" s="83"/>
      <c r="Y221" s="254">
        <v>46118.0</v>
      </c>
      <c r="Z221" s="89" t="s">
        <v>841</v>
      </c>
      <c r="AA221" s="83"/>
      <c r="AB221" s="83"/>
      <c r="AC221" s="83"/>
    </row>
    <row r="222">
      <c r="A222" s="87">
        <v>67.0</v>
      </c>
      <c r="B222" s="50" t="s">
        <v>274</v>
      </c>
      <c r="C222" s="48" t="s">
        <v>1017</v>
      </c>
      <c r="D222" s="45" t="s">
        <v>67</v>
      </c>
      <c r="E222" s="47"/>
      <c r="F222" s="245">
        <v>5.400092957E9</v>
      </c>
      <c r="G222" s="215" t="s">
        <v>938</v>
      </c>
      <c r="H222" s="215">
        <v>41800.0</v>
      </c>
      <c r="I222" s="47"/>
      <c r="J222" s="204">
        <v>206944.0</v>
      </c>
      <c r="K222" s="145" t="s">
        <v>1018</v>
      </c>
      <c r="L222" s="100" t="s">
        <v>234</v>
      </c>
      <c r="M222" s="205">
        <v>41800.0</v>
      </c>
      <c r="N222" s="100">
        <v>94.0</v>
      </c>
      <c r="O222" s="100">
        <v>2.0</v>
      </c>
      <c r="P222" s="100">
        <v>290.0</v>
      </c>
      <c r="Q222" s="100" t="s">
        <v>213</v>
      </c>
      <c r="R222" s="100" t="s">
        <v>214</v>
      </c>
      <c r="S222" s="50">
        <f t="shared" si="17"/>
        <v>11.75</v>
      </c>
      <c r="T222" s="50">
        <f t="shared" si="18"/>
        <v>78.6</v>
      </c>
      <c r="U222" s="69">
        <f t="shared" si="19"/>
        <v>6.689361702</v>
      </c>
      <c r="V222" s="70">
        <f t="shared" si="20"/>
        <v>6248.727735</v>
      </c>
      <c r="W222" s="87">
        <v>43440.0</v>
      </c>
      <c r="X222" s="83"/>
      <c r="Y222" s="88">
        <v>46148.0</v>
      </c>
      <c r="Z222" s="89" t="s">
        <v>898</v>
      </c>
      <c r="AA222" s="83"/>
      <c r="AB222" s="87">
        <v>12.0</v>
      </c>
      <c r="AC222" s="87">
        <v>166.0</v>
      </c>
    </row>
    <row r="223">
      <c r="A223" s="87">
        <v>68.0</v>
      </c>
      <c r="B223" s="133" t="s">
        <v>973</v>
      </c>
      <c r="C223" s="257" t="s">
        <v>1019</v>
      </c>
      <c r="D223" s="45" t="s">
        <v>78</v>
      </c>
      <c r="E223" s="76"/>
      <c r="F223" s="76"/>
      <c r="G223" s="76"/>
      <c r="H223" s="76"/>
      <c r="I223" s="111" t="s">
        <v>148</v>
      </c>
      <c r="J223" s="85"/>
      <c r="K223" s="45" t="s">
        <v>1020</v>
      </c>
      <c r="L223" s="47"/>
      <c r="M223" s="258">
        <v>11095.0</v>
      </c>
      <c r="N223" s="50">
        <v>85.0</v>
      </c>
      <c r="O223" s="50">
        <v>6.0</v>
      </c>
      <c r="P223" s="50">
        <v>170.0</v>
      </c>
      <c r="Q223" s="50" t="s">
        <v>63</v>
      </c>
      <c r="R223" s="50" t="s">
        <v>83</v>
      </c>
      <c r="S223" s="50">
        <f t="shared" si="17"/>
        <v>10.625</v>
      </c>
      <c r="T223" s="50">
        <f t="shared" si="18"/>
        <v>235.8</v>
      </c>
      <c r="U223" s="69">
        <f t="shared" si="19"/>
        <v>22.19294118</v>
      </c>
      <c r="V223" s="70">
        <f t="shared" si="20"/>
        <v>499.9337362</v>
      </c>
      <c r="W223" s="87">
        <v>6000.0</v>
      </c>
      <c r="X223" s="83"/>
      <c r="Y223" s="88">
        <v>46179.0</v>
      </c>
      <c r="Z223" s="89" t="s">
        <v>918</v>
      </c>
      <c r="AA223" s="83"/>
      <c r="AB223" s="87">
        <v>1.0</v>
      </c>
      <c r="AC223" s="83"/>
    </row>
    <row r="224">
      <c r="A224" s="87">
        <v>69.0</v>
      </c>
      <c r="B224" s="50" t="s">
        <v>973</v>
      </c>
      <c r="C224" s="257" t="s">
        <v>1021</v>
      </c>
      <c r="D224" s="45" t="s">
        <v>78</v>
      </c>
      <c r="E224" s="76"/>
      <c r="F224" s="76"/>
      <c r="G224" s="76"/>
      <c r="H224" s="76"/>
      <c r="I224" s="111" t="s">
        <v>148</v>
      </c>
      <c r="J224" s="85"/>
      <c r="K224" s="56" t="s">
        <v>167</v>
      </c>
      <c r="L224" s="47"/>
      <c r="M224" s="48">
        <v>22190.0</v>
      </c>
      <c r="N224" s="50">
        <v>85.0</v>
      </c>
      <c r="O224" s="50">
        <v>6.0</v>
      </c>
      <c r="P224" s="50">
        <v>170.0</v>
      </c>
      <c r="Q224" s="50" t="s">
        <v>63</v>
      </c>
      <c r="R224" s="50" t="s">
        <v>83</v>
      </c>
      <c r="S224" s="50">
        <f t="shared" si="17"/>
        <v>10.625</v>
      </c>
      <c r="T224" s="50">
        <f t="shared" si="18"/>
        <v>235.8</v>
      </c>
      <c r="U224" s="69">
        <f t="shared" si="19"/>
        <v>22.19294118</v>
      </c>
      <c r="V224" s="70">
        <f t="shared" si="20"/>
        <v>999.8674724</v>
      </c>
      <c r="W224" s="87">
        <v>14468.0</v>
      </c>
      <c r="X224" s="83"/>
      <c r="Y224" s="88">
        <v>46179.0</v>
      </c>
      <c r="Z224" s="89" t="s">
        <v>918</v>
      </c>
      <c r="AA224" s="83"/>
      <c r="AB224" s="83"/>
      <c r="AC224" s="83"/>
    </row>
    <row r="225">
      <c r="A225" s="87">
        <v>70.0</v>
      </c>
      <c r="B225" s="48" t="s">
        <v>1022</v>
      </c>
      <c r="C225" s="257" t="s">
        <v>1023</v>
      </c>
      <c r="D225" s="45" t="s">
        <v>78</v>
      </c>
      <c r="E225" s="76"/>
      <c r="F225" s="76"/>
      <c r="G225" s="76"/>
      <c r="H225" s="76"/>
      <c r="I225" s="111" t="s">
        <v>148</v>
      </c>
      <c r="J225" s="85"/>
      <c r="K225" s="56" t="s">
        <v>1024</v>
      </c>
      <c r="L225" s="47"/>
      <c r="M225" s="258">
        <v>33500.0</v>
      </c>
      <c r="N225" s="50">
        <v>85.0</v>
      </c>
      <c r="O225" s="50">
        <v>6.0</v>
      </c>
      <c r="P225" s="50">
        <v>170.0</v>
      </c>
      <c r="Q225" s="50" t="s">
        <v>63</v>
      </c>
      <c r="R225" s="50" t="s">
        <v>83</v>
      </c>
      <c r="S225" s="50">
        <f t="shared" si="17"/>
        <v>10.625</v>
      </c>
      <c r="T225" s="50">
        <f t="shared" si="18"/>
        <v>235.8</v>
      </c>
      <c r="U225" s="69">
        <f t="shared" si="19"/>
        <v>22.19294118</v>
      </c>
      <c r="V225" s="70">
        <f t="shared" si="20"/>
        <v>1509.488974</v>
      </c>
      <c r="W225" s="87">
        <v>25900.0</v>
      </c>
      <c r="X225" s="83"/>
      <c r="Y225" s="88">
        <v>46179.0</v>
      </c>
      <c r="Z225" s="89" t="s">
        <v>918</v>
      </c>
      <c r="AA225" s="83"/>
      <c r="AB225" s="87">
        <v>2.0</v>
      </c>
      <c r="AC225" s="83"/>
    </row>
    <row r="226">
      <c r="A226" s="87">
        <v>71.0</v>
      </c>
      <c r="B226" s="48" t="s">
        <v>1022</v>
      </c>
      <c r="C226" s="257" t="s">
        <v>1025</v>
      </c>
      <c r="D226" s="45" t="s">
        <v>78</v>
      </c>
      <c r="E226" s="76"/>
      <c r="F226" s="76"/>
      <c r="G226" s="76"/>
      <c r="H226" s="76"/>
      <c r="I226" s="111" t="s">
        <v>148</v>
      </c>
      <c r="J226" s="85"/>
      <c r="K226" s="56" t="s">
        <v>1026</v>
      </c>
      <c r="L226" s="47"/>
      <c r="M226" s="258">
        <v>13200.0</v>
      </c>
      <c r="N226" s="50">
        <v>85.0</v>
      </c>
      <c r="O226" s="50">
        <v>6.0</v>
      </c>
      <c r="P226" s="50">
        <v>170.0</v>
      </c>
      <c r="Q226" s="50" t="s">
        <v>63</v>
      </c>
      <c r="R226" s="50" t="s">
        <v>83</v>
      </c>
      <c r="S226" s="50">
        <f t="shared" si="17"/>
        <v>10.625</v>
      </c>
      <c r="T226" s="50">
        <f t="shared" si="18"/>
        <v>235.8</v>
      </c>
      <c r="U226" s="69">
        <f t="shared" si="19"/>
        <v>22.19294118</v>
      </c>
      <c r="V226" s="70">
        <f t="shared" si="20"/>
        <v>594.783715</v>
      </c>
      <c r="W226" s="87">
        <v>8920.0</v>
      </c>
      <c r="X226" s="83"/>
      <c r="Y226" s="88">
        <v>46179.0</v>
      </c>
      <c r="Z226" s="89" t="s">
        <v>918</v>
      </c>
      <c r="AA226" s="83"/>
      <c r="AB226" s="87">
        <v>1.0</v>
      </c>
      <c r="AC226" s="83"/>
    </row>
    <row r="227">
      <c r="A227" s="87">
        <v>72.0</v>
      </c>
      <c r="B227" s="43" t="s">
        <v>1027</v>
      </c>
      <c r="C227" s="257" t="s">
        <v>1028</v>
      </c>
      <c r="D227" s="45" t="s">
        <v>78</v>
      </c>
      <c r="E227" s="76"/>
      <c r="F227" s="76"/>
      <c r="G227" s="76"/>
      <c r="H227" s="76"/>
      <c r="I227" s="111" t="s">
        <v>148</v>
      </c>
      <c r="J227" s="85"/>
      <c r="K227" s="45" t="s">
        <v>319</v>
      </c>
      <c r="L227" s="47"/>
      <c r="M227" s="48">
        <v>25400.0</v>
      </c>
      <c r="N227" s="50">
        <v>99.0</v>
      </c>
      <c r="O227" s="50">
        <v>4.0</v>
      </c>
      <c r="P227" s="50">
        <v>140.0</v>
      </c>
      <c r="Q227" s="66" t="s">
        <v>63</v>
      </c>
      <c r="R227" s="50" t="s">
        <v>302</v>
      </c>
      <c r="S227" s="66">
        <f t="shared" si="17"/>
        <v>12.375</v>
      </c>
      <c r="T227" s="66">
        <f t="shared" si="18"/>
        <v>157.2</v>
      </c>
      <c r="U227" s="113">
        <f t="shared" si="19"/>
        <v>12.7030303</v>
      </c>
      <c r="V227" s="114">
        <f t="shared" si="20"/>
        <v>1999.522901</v>
      </c>
      <c r="W227" s="87">
        <v>23825.0</v>
      </c>
      <c r="X227" s="83"/>
      <c r="Y227" s="88">
        <v>46179.0</v>
      </c>
      <c r="Z227" s="89" t="s">
        <v>918</v>
      </c>
      <c r="AA227" s="83"/>
      <c r="AB227" s="87">
        <v>3.0</v>
      </c>
      <c r="AC227" s="83"/>
    </row>
    <row r="228">
      <c r="A228" s="87">
        <v>73.0</v>
      </c>
      <c r="B228" s="48" t="s">
        <v>1029</v>
      </c>
      <c r="C228" s="53" t="s">
        <v>1030</v>
      </c>
      <c r="D228" s="96" t="s">
        <v>78</v>
      </c>
      <c r="E228" s="83"/>
      <c r="F228" s="83"/>
      <c r="G228" s="83"/>
      <c r="H228" s="83"/>
      <c r="I228" s="111" t="s">
        <v>148</v>
      </c>
      <c r="J228" s="85"/>
      <c r="K228" s="48" t="s">
        <v>1031</v>
      </c>
      <c r="L228" s="93"/>
      <c r="M228" s="258">
        <v>22200.0</v>
      </c>
      <c r="N228" s="50">
        <v>85.0</v>
      </c>
      <c r="O228" s="50">
        <v>6.0</v>
      </c>
      <c r="P228" s="50">
        <v>170.0</v>
      </c>
      <c r="Q228" s="50" t="s">
        <v>63</v>
      </c>
      <c r="R228" s="50" t="s">
        <v>83</v>
      </c>
      <c r="S228" s="50">
        <f t="shared" si="17"/>
        <v>10.625</v>
      </c>
      <c r="T228" s="50">
        <f t="shared" si="18"/>
        <v>235.8</v>
      </c>
      <c r="U228" s="69">
        <f t="shared" si="19"/>
        <v>22.19294118</v>
      </c>
      <c r="V228" s="70">
        <f t="shared" si="20"/>
        <v>1000.318066</v>
      </c>
      <c r="W228" s="87">
        <v>16320.0</v>
      </c>
      <c r="X228" s="83"/>
      <c r="Y228" s="88">
        <v>46271.0</v>
      </c>
      <c r="Z228" s="89" t="s">
        <v>918</v>
      </c>
      <c r="AA228" s="83"/>
      <c r="AB228" s="87">
        <v>2.0</v>
      </c>
      <c r="AC228" s="83"/>
    </row>
    <row r="229">
      <c r="A229" s="87">
        <v>74.0</v>
      </c>
      <c r="B229" s="48" t="s">
        <v>1029</v>
      </c>
      <c r="C229" s="53" t="s">
        <v>1032</v>
      </c>
      <c r="D229" s="96" t="s">
        <v>78</v>
      </c>
      <c r="E229" s="83"/>
      <c r="F229" s="83"/>
      <c r="G229" s="83"/>
      <c r="H229" s="83"/>
      <c r="I229" s="111" t="s">
        <v>148</v>
      </c>
      <c r="J229" s="85"/>
      <c r="K229" s="48" t="s">
        <v>1033</v>
      </c>
      <c r="L229" s="93"/>
      <c r="M229" s="258">
        <v>22200.0</v>
      </c>
      <c r="N229" s="50">
        <v>85.0</v>
      </c>
      <c r="O229" s="50">
        <v>6.0</v>
      </c>
      <c r="P229" s="50">
        <v>170.0</v>
      </c>
      <c r="Q229" s="50" t="s">
        <v>63</v>
      </c>
      <c r="R229" s="50" t="s">
        <v>83</v>
      </c>
      <c r="S229" s="50">
        <f t="shared" si="17"/>
        <v>10.625</v>
      </c>
      <c r="T229" s="50">
        <f t="shared" si="18"/>
        <v>235.8</v>
      </c>
      <c r="U229" s="69">
        <f t="shared" si="19"/>
        <v>22.19294118</v>
      </c>
      <c r="V229" s="70">
        <f t="shared" si="20"/>
        <v>1000.318066</v>
      </c>
      <c r="W229" s="87">
        <v>15770.0</v>
      </c>
      <c r="X229" s="83"/>
      <c r="Y229" s="88">
        <v>46271.0</v>
      </c>
      <c r="Z229" s="89" t="s">
        <v>918</v>
      </c>
      <c r="AA229" s="83"/>
      <c r="AB229" s="87">
        <v>2.0</v>
      </c>
      <c r="AC229" s="83"/>
    </row>
    <row r="230">
      <c r="A230" s="87">
        <v>75.0</v>
      </c>
      <c r="B230" s="50" t="s">
        <v>1034</v>
      </c>
      <c r="C230" s="48" t="s">
        <v>1035</v>
      </c>
      <c r="D230" s="51" t="s">
        <v>67</v>
      </c>
      <c r="E230" s="76"/>
      <c r="F230" s="215">
        <v>5.400093104E9</v>
      </c>
      <c r="G230" s="244">
        <v>46240.0</v>
      </c>
      <c r="H230" s="215">
        <v>5000.0</v>
      </c>
      <c r="I230" s="164"/>
      <c r="J230" s="66">
        <v>200459.0</v>
      </c>
      <c r="K230" s="248" t="s">
        <v>1036</v>
      </c>
      <c r="L230" s="43" t="s">
        <v>273</v>
      </c>
      <c r="M230" s="157">
        <v>5000.0</v>
      </c>
      <c r="N230" s="52">
        <v>108.0</v>
      </c>
      <c r="O230" s="52">
        <v>2.0</v>
      </c>
      <c r="P230" s="52">
        <v>125.0</v>
      </c>
      <c r="Q230" s="50" t="s">
        <v>63</v>
      </c>
      <c r="R230" s="52" t="s">
        <v>178</v>
      </c>
      <c r="S230" s="126">
        <f t="shared" si="17"/>
        <v>13.5</v>
      </c>
      <c r="T230" s="126">
        <f t="shared" si="18"/>
        <v>78.6</v>
      </c>
      <c r="U230" s="127">
        <f t="shared" si="19"/>
        <v>5.822222222</v>
      </c>
      <c r="V230" s="128">
        <f t="shared" si="20"/>
        <v>858.778626</v>
      </c>
      <c r="W230" s="87">
        <v>5000.0</v>
      </c>
      <c r="X230" s="83"/>
      <c r="Y230" s="88">
        <v>46271.0</v>
      </c>
      <c r="Z230" s="89" t="s">
        <v>1037</v>
      </c>
      <c r="AA230" s="83"/>
      <c r="AB230" s="87">
        <v>1.0</v>
      </c>
      <c r="AC230" s="87">
        <v>168.0</v>
      </c>
    </row>
    <row r="231">
      <c r="A231" s="87">
        <v>76.0</v>
      </c>
      <c r="B231" s="50" t="s">
        <v>606</v>
      </c>
      <c r="C231" s="48" t="s">
        <v>1038</v>
      </c>
      <c r="D231" s="45" t="s">
        <v>67</v>
      </c>
      <c r="E231" s="76"/>
      <c r="F231" s="245">
        <v>5.400092956E9</v>
      </c>
      <c r="G231" s="48" t="s">
        <v>938</v>
      </c>
      <c r="H231" s="215">
        <v>3000.0</v>
      </c>
      <c r="I231" s="76"/>
      <c r="J231" s="50">
        <v>206356.0</v>
      </c>
      <c r="K231" s="51" t="s">
        <v>1039</v>
      </c>
      <c r="L231" s="50" t="s">
        <v>258</v>
      </c>
      <c r="M231" s="122">
        <v>3000.0</v>
      </c>
      <c r="N231" s="52">
        <v>112.0</v>
      </c>
      <c r="O231" s="52">
        <v>1.0</v>
      </c>
      <c r="P231" s="52">
        <v>150.0</v>
      </c>
      <c r="Q231" s="52" t="s">
        <v>213</v>
      </c>
      <c r="R231" s="52" t="s">
        <v>1040</v>
      </c>
      <c r="S231" s="50">
        <f t="shared" si="17"/>
        <v>14</v>
      </c>
      <c r="T231" s="50">
        <f t="shared" si="18"/>
        <v>39.3</v>
      </c>
      <c r="U231" s="69">
        <f t="shared" si="19"/>
        <v>2.807142857</v>
      </c>
      <c r="V231" s="70">
        <f t="shared" si="20"/>
        <v>1068.70229</v>
      </c>
      <c r="W231" s="87">
        <v>3300.0</v>
      </c>
      <c r="X231" s="83"/>
      <c r="Y231" s="88">
        <v>46332.0</v>
      </c>
      <c r="Z231" s="89" t="s">
        <v>1041</v>
      </c>
      <c r="AA231" s="83"/>
      <c r="AB231" s="87">
        <v>1.0</v>
      </c>
      <c r="AC231" s="87">
        <v>172.0</v>
      </c>
    </row>
    <row r="232">
      <c r="A232" s="87">
        <v>77.0</v>
      </c>
      <c r="B232" s="66" t="s">
        <v>1042</v>
      </c>
      <c r="C232" s="48" t="s">
        <v>1043</v>
      </c>
      <c r="D232" s="45" t="s">
        <v>1044</v>
      </c>
      <c r="E232" s="47"/>
      <c r="F232" s="79"/>
      <c r="G232" s="259"/>
      <c r="H232" s="79"/>
      <c r="I232" s="47"/>
      <c r="J232" s="47"/>
      <c r="K232" s="45" t="s">
        <v>1045</v>
      </c>
      <c r="L232" s="50" t="s">
        <v>1046</v>
      </c>
      <c r="M232" s="50">
        <v>10000.0</v>
      </c>
      <c r="N232" s="50">
        <v>72.0</v>
      </c>
      <c r="O232" s="50">
        <v>2.0</v>
      </c>
      <c r="P232" s="50">
        <v>240.0</v>
      </c>
      <c r="Q232" s="50" t="s">
        <v>73</v>
      </c>
      <c r="R232" s="50" t="s">
        <v>1047</v>
      </c>
      <c r="S232" s="50">
        <f t="shared" si="17"/>
        <v>9</v>
      </c>
      <c r="T232" s="50">
        <f t="shared" si="18"/>
        <v>78.6</v>
      </c>
      <c r="U232" s="69">
        <f t="shared" si="19"/>
        <v>8.733333333</v>
      </c>
      <c r="V232" s="70">
        <f t="shared" si="20"/>
        <v>1145.038168</v>
      </c>
      <c r="W232" s="216">
        <v>10500.0</v>
      </c>
      <c r="X232" s="76"/>
      <c r="Y232" s="88">
        <v>46332.0</v>
      </c>
      <c r="Z232" s="89" t="s">
        <v>841</v>
      </c>
      <c r="AA232" s="76"/>
      <c r="AB232" s="76"/>
      <c r="AC232" s="87">
        <v>170.0</v>
      </c>
    </row>
    <row r="233">
      <c r="A233" s="87">
        <v>78.0</v>
      </c>
      <c r="B233" s="50" t="s">
        <v>606</v>
      </c>
      <c r="C233" s="48" t="s">
        <v>1048</v>
      </c>
      <c r="D233" s="45" t="s">
        <v>67</v>
      </c>
      <c r="E233" s="76"/>
      <c r="F233" s="98">
        <v>5.400092822E9</v>
      </c>
      <c r="G233" s="215" t="s">
        <v>47</v>
      </c>
      <c r="H233" s="215">
        <v>100000.0</v>
      </c>
      <c r="I233" s="76"/>
      <c r="J233" s="50">
        <v>206555.0</v>
      </c>
      <c r="K233" s="51" t="s">
        <v>643</v>
      </c>
      <c r="L233" s="50" t="s">
        <v>258</v>
      </c>
      <c r="M233" s="122">
        <v>70000.0</v>
      </c>
      <c r="N233" s="50">
        <v>112.0</v>
      </c>
      <c r="O233" s="50">
        <v>1.0</v>
      </c>
      <c r="P233" s="50">
        <v>205.0</v>
      </c>
      <c r="Q233" s="50" t="s">
        <v>213</v>
      </c>
      <c r="R233" s="50" t="s">
        <v>644</v>
      </c>
      <c r="S233" s="50">
        <f t="shared" si="17"/>
        <v>14</v>
      </c>
      <c r="T233" s="50">
        <f t="shared" si="18"/>
        <v>39.3</v>
      </c>
      <c r="U233" s="69">
        <f t="shared" si="19"/>
        <v>2.807142857</v>
      </c>
      <c r="V233" s="70">
        <f t="shared" si="20"/>
        <v>24936.38677</v>
      </c>
      <c r="W233" s="87">
        <v>71100.0</v>
      </c>
      <c r="X233" s="83"/>
      <c r="Y233" s="88">
        <v>46332.0</v>
      </c>
      <c r="Z233" s="89" t="s">
        <v>1049</v>
      </c>
      <c r="AA233" s="83"/>
      <c r="AB233" s="87">
        <v>36.0</v>
      </c>
      <c r="AC233" s="87" t="s">
        <v>1050</v>
      </c>
    </row>
    <row r="234">
      <c r="A234" s="87">
        <v>79.0</v>
      </c>
      <c r="B234" s="50" t="s">
        <v>606</v>
      </c>
      <c r="C234" s="48" t="s">
        <v>1051</v>
      </c>
      <c r="D234" s="45" t="s">
        <v>67</v>
      </c>
      <c r="E234" s="76"/>
      <c r="F234" s="98">
        <v>5.400092822E9</v>
      </c>
      <c r="G234" s="215" t="s">
        <v>47</v>
      </c>
      <c r="H234" s="215">
        <v>40000.0</v>
      </c>
      <c r="I234" s="76"/>
      <c r="J234" s="50">
        <v>206562.0</v>
      </c>
      <c r="K234" s="163" t="s">
        <v>1052</v>
      </c>
      <c r="L234" s="50" t="s">
        <v>258</v>
      </c>
      <c r="M234" s="122">
        <v>36000.0</v>
      </c>
      <c r="N234" s="50">
        <v>94.0</v>
      </c>
      <c r="O234" s="48">
        <v>1.0</v>
      </c>
      <c r="P234" s="48">
        <v>150.0</v>
      </c>
      <c r="Q234" s="50" t="s">
        <v>213</v>
      </c>
      <c r="R234" s="50" t="s">
        <v>214</v>
      </c>
      <c r="S234" s="50">
        <f t="shared" si="17"/>
        <v>11.75</v>
      </c>
      <c r="T234" s="50">
        <f t="shared" si="18"/>
        <v>39.3</v>
      </c>
      <c r="U234" s="69">
        <f t="shared" si="19"/>
        <v>3.344680851</v>
      </c>
      <c r="V234" s="70">
        <f t="shared" si="20"/>
        <v>10763.35878</v>
      </c>
      <c r="W234" s="87">
        <v>38550.0</v>
      </c>
      <c r="X234" s="83"/>
      <c r="Y234" s="88">
        <v>46332.0</v>
      </c>
      <c r="Z234" s="89" t="s">
        <v>1053</v>
      </c>
      <c r="AA234" s="83"/>
      <c r="AB234" s="87">
        <v>11.0</v>
      </c>
      <c r="AC234" s="87">
        <v>173.0</v>
      </c>
    </row>
    <row r="235">
      <c r="A235" s="87">
        <v>80.0</v>
      </c>
      <c r="B235" s="48" t="s">
        <v>1054</v>
      </c>
      <c r="C235" s="48" t="s">
        <v>1055</v>
      </c>
      <c r="D235" s="45" t="s">
        <v>67</v>
      </c>
      <c r="E235" s="76"/>
      <c r="F235" s="76"/>
      <c r="G235" s="76"/>
      <c r="H235" s="76"/>
      <c r="I235" s="76"/>
      <c r="J235" s="50">
        <v>208125.0</v>
      </c>
      <c r="K235" s="260" t="s">
        <v>1056</v>
      </c>
      <c r="L235" s="45"/>
      <c r="M235" s="261">
        <v>1300.0</v>
      </c>
      <c r="N235" s="48">
        <v>116.0</v>
      </c>
      <c r="O235" s="48">
        <v>2.0</v>
      </c>
      <c r="P235" s="48">
        <v>235.0</v>
      </c>
      <c r="Q235" s="50" t="s">
        <v>63</v>
      </c>
      <c r="R235" s="48" t="s">
        <v>555</v>
      </c>
      <c r="S235" s="50">
        <f t="shared" si="17"/>
        <v>14.5</v>
      </c>
      <c r="T235" s="50">
        <f t="shared" si="18"/>
        <v>78.6</v>
      </c>
      <c r="U235" s="69">
        <f t="shared" si="19"/>
        <v>5.420689655</v>
      </c>
      <c r="V235" s="70">
        <f t="shared" si="20"/>
        <v>239.821883</v>
      </c>
      <c r="W235" s="87">
        <v>1300.0</v>
      </c>
      <c r="X235" s="83"/>
      <c r="Y235" s="88">
        <v>46332.0</v>
      </c>
      <c r="Z235" s="89" t="s">
        <v>1041</v>
      </c>
      <c r="AA235" s="83"/>
      <c r="AB235" s="87">
        <v>1.0</v>
      </c>
      <c r="AC235" s="87">
        <v>172.0</v>
      </c>
    </row>
    <row r="236">
      <c r="A236" s="87">
        <v>81.0</v>
      </c>
      <c r="B236" s="50" t="s">
        <v>1034</v>
      </c>
      <c r="C236" s="48" t="s">
        <v>1057</v>
      </c>
      <c r="D236" s="51" t="s">
        <v>67</v>
      </c>
      <c r="E236" s="76"/>
      <c r="F236" s="76"/>
      <c r="G236" s="76"/>
      <c r="H236" s="76"/>
      <c r="I236" s="76"/>
      <c r="J236" s="50">
        <v>207739.0</v>
      </c>
      <c r="K236" s="163" t="s">
        <v>1058</v>
      </c>
      <c r="L236" s="47"/>
      <c r="M236" s="50">
        <v>4100.0</v>
      </c>
      <c r="N236" s="50">
        <v>108.0</v>
      </c>
      <c r="O236" s="50">
        <v>2.0</v>
      </c>
      <c r="P236" s="48">
        <v>160.0</v>
      </c>
      <c r="Q236" s="50" t="s">
        <v>63</v>
      </c>
      <c r="R236" s="50" t="s">
        <v>149</v>
      </c>
      <c r="S236" s="50">
        <f t="shared" si="17"/>
        <v>13.5</v>
      </c>
      <c r="T236" s="50">
        <f t="shared" si="18"/>
        <v>78.6</v>
      </c>
      <c r="U236" s="69">
        <f t="shared" si="19"/>
        <v>5.822222222</v>
      </c>
      <c r="V236" s="70">
        <f t="shared" si="20"/>
        <v>704.1984733</v>
      </c>
      <c r="W236" s="87">
        <v>4100.0</v>
      </c>
      <c r="X236" s="76"/>
      <c r="Y236" s="88">
        <v>46332.0</v>
      </c>
      <c r="Z236" s="89" t="s">
        <v>1041</v>
      </c>
      <c r="AA236" s="76"/>
      <c r="AB236" s="87">
        <v>1.0</v>
      </c>
      <c r="AC236" s="87">
        <v>172.0</v>
      </c>
    </row>
    <row r="237">
      <c r="A237" s="87">
        <v>82.0</v>
      </c>
      <c r="B237" s="50" t="s">
        <v>1054</v>
      </c>
      <c r="C237" s="48" t="s">
        <v>1059</v>
      </c>
      <c r="D237" s="45" t="s">
        <v>67</v>
      </c>
      <c r="E237" s="76"/>
      <c r="F237" s="76"/>
      <c r="G237" s="76"/>
      <c r="H237" s="76"/>
      <c r="I237" s="76"/>
      <c r="J237" s="48">
        <v>208267.0</v>
      </c>
      <c r="K237" s="163" t="s">
        <v>1060</v>
      </c>
      <c r="L237" s="47"/>
      <c r="M237" s="66">
        <v>3400.0</v>
      </c>
      <c r="N237" s="48">
        <v>92.0</v>
      </c>
      <c r="O237" s="48">
        <v>1.0</v>
      </c>
      <c r="P237" s="48">
        <v>165.0</v>
      </c>
      <c r="Q237" s="50" t="s">
        <v>63</v>
      </c>
      <c r="R237" s="48" t="s">
        <v>1061</v>
      </c>
      <c r="S237" s="50">
        <f t="shared" si="17"/>
        <v>11.5</v>
      </c>
      <c r="T237" s="50">
        <f t="shared" si="18"/>
        <v>39.3</v>
      </c>
      <c r="U237" s="69">
        <f t="shared" si="19"/>
        <v>3.417391304</v>
      </c>
      <c r="V237" s="70">
        <f t="shared" si="20"/>
        <v>994.9109415</v>
      </c>
      <c r="W237" s="87">
        <v>3400.0</v>
      </c>
      <c r="X237" s="76"/>
      <c r="Y237" s="88">
        <v>46332.0</v>
      </c>
      <c r="Z237" s="89" t="s">
        <v>1041</v>
      </c>
      <c r="AA237" s="76"/>
      <c r="AB237" s="87">
        <v>1.0</v>
      </c>
      <c r="AC237" s="87">
        <v>172.0</v>
      </c>
    </row>
    <row r="238">
      <c r="A238" s="87">
        <v>83.0</v>
      </c>
      <c r="B238" s="50" t="s">
        <v>1054</v>
      </c>
      <c r="C238" s="48" t="s">
        <v>1062</v>
      </c>
      <c r="D238" s="45" t="s">
        <v>67</v>
      </c>
      <c r="E238" s="76"/>
      <c r="F238" s="76"/>
      <c r="G238" s="76"/>
      <c r="H238" s="76"/>
      <c r="I238" s="76"/>
      <c r="J238" s="48">
        <v>208266.0</v>
      </c>
      <c r="K238" s="163" t="s">
        <v>1063</v>
      </c>
      <c r="L238" s="47"/>
      <c r="M238" s="66">
        <v>2400.0</v>
      </c>
      <c r="N238" s="48">
        <v>108.0</v>
      </c>
      <c r="O238" s="48">
        <v>2.0</v>
      </c>
      <c r="P238" s="48">
        <v>320.0</v>
      </c>
      <c r="Q238" s="50" t="s">
        <v>63</v>
      </c>
      <c r="R238" s="50" t="s">
        <v>149</v>
      </c>
      <c r="S238" s="50">
        <f t="shared" si="17"/>
        <v>13.5</v>
      </c>
      <c r="T238" s="50">
        <f t="shared" si="18"/>
        <v>78.6</v>
      </c>
      <c r="U238" s="69">
        <f t="shared" si="19"/>
        <v>5.822222222</v>
      </c>
      <c r="V238" s="70">
        <f t="shared" si="20"/>
        <v>412.2137405</v>
      </c>
      <c r="W238" s="87">
        <v>2400.0</v>
      </c>
      <c r="X238" s="76"/>
      <c r="Y238" s="88">
        <v>46332.0</v>
      </c>
      <c r="Z238" s="89" t="s">
        <v>1041</v>
      </c>
      <c r="AA238" s="76"/>
      <c r="AB238" s="87">
        <v>1.0</v>
      </c>
      <c r="AC238" s="87">
        <v>172.0</v>
      </c>
    </row>
    <row r="239">
      <c r="A239" s="87">
        <v>84.0</v>
      </c>
      <c r="B239" s="48" t="s">
        <v>1054</v>
      </c>
      <c r="C239" s="48" t="s">
        <v>1064</v>
      </c>
      <c r="D239" s="45" t="s">
        <v>67</v>
      </c>
      <c r="E239" s="76"/>
      <c r="F239" s="76"/>
      <c r="G239" s="76"/>
      <c r="H239" s="76"/>
      <c r="I239" s="76"/>
      <c r="J239" s="48">
        <v>208125.0</v>
      </c>
      <c r="K239" s="260" t="s">
        <v>1065</v>
      </c>
      <c r="L239" s="45"/>
      <c r="M239" s="261">
        <v>1300.0</v>
      </c>
      <c r="N239" s="48">
        <v>116.0</v>
      </c>
      <c r="O239" s="48">
        <v>2.0</v>
      </c>
      <c r="P239" s="48">
        <v>235.0</v>
      </c>
      <c r="Q239" s="50" t="s">
        <v>63</v>
      </c>
      <c r="R239" s="48" t="s">
        <v>555</v>
      </c>
      <c r="S239" s="50">
        <f t="shared" si="17"/>
        <v>14.5</v>
      </c>
      <c r="T239" s="50">
        <f t="shared" si="18"/>
        <v>78.6</v>
      </c>
      <c r="U239" s="69">
        <f t="shared" si="19"/>
        <v>5.420689655</v>
      </c>
      <c r="V239" s="70">
        <f t="shared" si="20"/>
        <v>239.821883</v>
      </c>
      <c r="W239" s="87">
        <v>1300.0</v>
      </c>
      <c r="X239" s="76"/>
      <c r="Y239" s="88">
        <v>46332.0</v>
      </c>
      <c r="Z239" s="89" t="s">
        <v>1041</v>
      </c>
      <c r="AA239" s="76"/>
      <c r="AB239" s="87">
        <v>1.0</v>
      </c>
      <c r="AC239" s="87">
        <v>172.0</v>
      </c>
    </row>
    <row r="240">
      <c r="A240" s="87">
        <v>85.0</v>
      </c>
      <c r="B240" s="48" t="s">
        <v>1054</v>
      </c>
      <c r="C240" s="48" t="s">
        <v>1066</v>
      </c>
      <c r="D240" s="45" t="s">
        <v>67</v>
      </c>
      <c r="E240" s="76"/>
      <c r="F240" s="76"/>
      <c r="G240" s="76"/>
      <c r="H240" s="76"/>
      <c r="I240" s="99">
        <v>208264.0</v>
      </c>
      <c r="J240" s="85"/>
      <c r="K240" s="260" t="s">
        <v>1067</v>
      </c>
      <c r="L240" s="45"/>
      <c r="M240" s="261">
        <v>650.0</v>
      </c>
      <c r="N240" s="45"/>
      <c r="O240" s="45"/>
      <c r="P240" s="45"/>
      <c r="Q240" s="50" t="s">
        <v>63</v>
      </c>
      <c r="R240" s="48" t="s">
        <v>178</v>
      </c>
      <c r="S240" s="45"/>
      <c r="T240" s="45"/>
      <c r="U240" s="45"/>
      <c r="V240" s="45"/>
      <c r="W240" s="87">
        <v>650.0</v>
      </c>
      <c r="X240" s="76"/>
      <c r="Y240" s="88">
        <v>46332.0</v>
      </c>
      <c r="Z240" s="89" t="s">
        <v>1041</v>
      </c>
      <c r="AA240" s="76"/>
      <c r="AB240" s="262">
        <v>1.0</v>
      </c>
      <c r="AC240" s="262">
        <v>172.0</v>
      </c>
    </row>
    <row r="241">
      <c r="A241" s="87">
        <v>86.0</v>
      </c>
      <c r="B241" s="48" t="s">
        <v>1054</v>
      </c>
      <c r="C241" s="48" t="s">
        <v>1068</v>
      </c>
      <c r="D241" s="45" t="s">
        <v>67</v>
      </c>
      <c r="E241" s="76"/>
      <c r="F241" s="76"/>
      <c r="G241" s="76"/>
      <c r="H241" s="76"/>
      <c r="I241" s="99">
        <v>208264.0</v>
      </c>
      <c r="J241" s="85"/>
      <c r="K241" s="260" t="s">
        <v>1067</v>
      </c>
      <c r="L241" s="45"/>
      <c r="M241" s="261">
        <v>370.0</v>
      </c>
      <c r="N241" s="45"/>
      <c r="O241" s="45"/>
      <c r="P241" s="45"/>
      <c r="Q241" s="50" t="s">
        <v>63</v>
      </c>
      <c r="R241" s="48" t="s">
        <v>178</v>
      </c>
      <c r="S241" s="45"/>
      <c r="T241" s="45"/>
      <c r="U241" s="45"/>
      <c r="V241" s="45"/>
      <c r="W241" s="87">
        <v>370.0</v>
      </c>
      <c r="X241" s="76"/>
      <c r="Y241" s="88">
        <v>46332.0</v>
      </c>
      <c r="Z241" s="89" t="s">
        <v>1041</v>
      </c>
      <c r="AA241" s="76"/>
      <c r="AB241" s="104"/>
      <c r="AC241" s="104"/>
    </row>
    <row r="242">
      <c r="A242" s="87">
        <v>87.0</v>
      </c>
      <c r="B242" s="48" t="s">
        <v>1069</v>
      </c>
      <c r="C242" s="48" t="s">
        <v>1070</v>
      </c>
      <c r="D242" s="96" t="s">
        <v>515</v>
      </c>
      <c r="E242" s="76"/>
      <c r="F242" s="215" t="s">
        <v>1071</v>
      </c>
      <c r="G242" s="244">
        <v>46148.0</v>
      </c>
      <c r="H242" s="215">
        <v>10250.0</v>
      </c>
      <c r="I242" s="76"/>
      <c r="J242" s="76"/>
      <c r="K242" s="56" t="s">
        <v>1072</v>
      </c>
      <c r="L242" s="50" t="s">
        <v>518</v>
      </c>
      <c r="M242" s="50">
        <v>10250.0</v>
      </c>
      <c r="N242" s="50">
        <v>108.0</v>
      </c>
      <c r="O242" s="50">
        <v>4.0</v>
      </c>
      <c r="P242" s="50">
        <v>125.0</v>
      </c>
      <c r="Q242" s="100" t="s">
        <v>50</v>
      </c>
      <c r="R242" s="50" t="s">
        <v>520</v>
      </c>
      <c r="S242" s="126">
        <f t="shared" ref="S242:S275" si="21">N242/8</f>
        <v>13.5</v>
      </c>
      <c r="T242" s="126">
        <f t="shared" ref="T242:T275" si="22">39.3*O242</f>
        <v>157.2</v>
      </c>
      <c r="U242" s="127">
        <f t="shared" ref="U242:U275" si="23">T242/S242</f>
        <v>11.64444444</v>
      </c>
      <c r="V242" s="128">
        <f t="shared" ref="V242:V275" si="24">M242/U242</f>
        <v>880.2480916</v>
      </c>
      <c r="W242" s="87">
        <v>10600.0</v>
      </c>
      <c r="X242" s="76"/>
      <c r="Y242" s="88">
        <v>46332.0</v>
      </c>
      <c r="Z242" s="89" t="s">
        <v>914</v>
      </c>
      <c r="AA242" s="76"/>
      <c r="AB242" s="87">
        <v>1.0</v>
      </c>
      <c r="AC242" s="76"/>
    </row>
    <row r="243">
      <c r="A243" s="87">
        <v>88.0</v>
      </c>
      <c r="B243" s="50" t="s">
        <v>1034</v>
      </c>
      <c r="C243" s="48" t="s">
        <v>1073</v>
      </c>
      <c r="D243" s="45" t="s">
        <v>247</v>
      </c>
      <c r="E243" s="76"/>
      <c r="F243" s="76"/>
      <c r="J243" s="76"/>
      <c r="K243" s="51" t="s">
        <v>449</v>
      </c>
      <c r="L243" s="50" t="s">
        <v>252</v>
      </c>
      <c r="M243" s="43">
        <v>30000.0</v>
      </c>
      <c r="N243" s="50">
        <v>92.0</v>
      </c>
      <c r="O243" s="50">
        <v>2.0</v>
      </c>
      <c r="P243" s="50">
        <v>220.0</v>
      </c>
      <c r="Q243" s="50" t="s">
        <v>63</v>
      </c>
      <c r="R243" s="48" t="s">
        <v>984</v>
      </c>
      <c r="S243" s="126">
        <f t="shared" si="21"/>
        <v>11.5</v>
      </c>
      <c r="T243" s="126">
        <f t="shared" si="22"/>
        <v>78.6</v>
      </c>
      <c r="U243" s="127">
        <f t="shared" si="23"/>
        <v>6.834782609</v>
      </c>
      <c r="V243" s="128">
        <f t="shared" si="24"/>
        <v>4389.312977</v>
      </c>
      <c r="W243" s="87">
        <v>32295.0</v>
      </c>
      <c r="X243" s="83"/>
      <c r="Y243" s="87" t="s">
        <v>1074</v>
      </c>
      <c r="Z243" s="89" t="s">
        <v>841</v>
      </c>
      <c r="AA243" s="83"/>
      <c r="AB243" s="87">
        <v>8.0</v>
      </c>
      <c r="AC243" s="87">
        <v>175.0</v>
      </c>
    </row>
    <row r="244">
      <c r="A244" s="87">
        <v>89.0</v>
      </c>
      <c r="B244" s="48" t="s">
        <v>1075</v>
      </c>
      <c r="C244" s="53" t="s">
        <v>1076</v>
      </c>
      <c r="D244" s="45" t="s">
        <v>247</v>
      </c>
      <c r="E244" s="76"/>
      <c r="F244" s="48" t="s">
        <v>1077</v>
      </c>
      <c r="G244" s="48" t="s">
        <v>1078</v>
      </c>
      <c r="H244" s="48">
        <v>10000.0</v>
      </c>
      <c r="I244" s="76"/>
      <c r="J244" s="76"/>
      <c r="K244" s="145" t="s">
        <v>361</v>
      </c>
      <c r="L244" s="50" t="s">
        <v>252</v>
      </c>
      <c r="M244" s="100">
        <v>10000.0</v>
      </c>
      <c r="N244" s="100">
        <v>124.0</v>
      </c>
      <c r="O244" s="154">
        <v>6.0</v>
      </c>
      <c r="P244" s="154">
        <v>195.0</v>
      </c>
      <c r="Q244" s="50" t="s">
        <v>63</v>
      </c>
      <c r="R244" s="154" t="s">
        <v>315</v>
      </c>
      <c r="S244" s="50">
        <f t="shared" si="21"/>
        <v>15.5</v>
      </c>
      <c r="T244" s="50">
        <f t="shared" si="22"/>
        <v>235.8</v>
      </c>
      <c r="U244" s="69">
        <f t="shared" si="23"/>
        <v>15.21290323</v>
      </c>
      <c r="V244" s="70">
        <f t="shared" si="24"/>
        <v>657.336726</v>
      </c>
      <c r="W244" s="87">
        <v>10465.0</v>
      </c>
      <c r="X244" s="83"/>
      <c r="Y244" s="87" t="s">
        <v>1074</v>
      </c>
      <c r="Z244" s="89" t="s">
        <v>841</v>
      </c>
      <c r="AA244" s="83"/>
      <c r="AB244" s="87">
        <v>1.0</v>
      </c>
      <c r="AC244" s="87">
        <v>175.0</v>
      </c>
    </row>
    <row r="245">
      <c r="A245" s="87">
        <v>90.0</v>
      </c>
      <c r="B245" s="48" t="s">
        <v>1075</v>
      </c>
      <c r="C245" s="53" t="s">
        <v>1079</v>
      </c>
      <c r="D245" s="45" t="s">
        <v>247</v>
      </c>
      <c r="E245" s="76"/>
      <c r="F245" s="48" t="s">
        <v>1077</v>
      </c>
      <c r="G245" s="48" t="s">
        <v>1078</v>
      </c>
      <c r="H245" s="48">
        <v>15000.0</v>
      </c>
      <c r="I245" s="76"/>
      <c r="J245" s="76"/>
      <c r="K245" s="45" t="s">
        <v>1080</v>
      </c>
      <c r="L245" s="50" t="s">
        <v>252</v>
      </c>
      <c r="M245" s="48">
        <v>15000.0</v>
      </c>
      <c r="N245" s="50">
        <v>99.0</v>
      </c>
      <c r="O245" s="50">
        <v>6.0</v>
      </c>
      <c r="P245" s="50">
        <v>135.0</v>
      </c>
      <c r="Q245" s="50" t="s">
        <v>63</v>
      </c>
      <c r="R245" s="50" t="s">
        <v>956</v>
      </c>
      <c r="S245" s="50">
        <f t="shared" si="21"/>
        <v>12.375</v>
      </c>
      <c r="T245" s="50">
        <f t="shared" si="22"/>
        <v>235.8</v>
      </c>
      <c r="U245" s="69">
        <f t="shared" si="23"/>
        <v>19.05454545</v>
      </c>
      <c r="V245" s="70">
        <f t="shared" si="24"/>
        <v>787.2137405</v>
      </c>
      <c r="W245" s="87">
        <v>15920.0</v>
      </c>
      <c r="X245" s="83"/>
      <c r="Y245" s="87" t="s">
        <v>1074</v>
      </c>
      <c r="Z245" s="89" t="s">
        <v>841</v>
      </c>
      <c r="AA245" s="83"/>
      <c r="AB245" s="87">
        <v>1.0</v>
      </c>
      <c r="AC245" s="87">
        <v>175.0</v>
      </c>
    </row>
    <row r="246">
      <c r="A246" s="87">
        <v>91.0</v>
      </c>
      <c r="B246" s="43" t="s">
        <v>602</v>
      </c>
      <c r="C246" s="53" t="s">
        <v>1081</v>
      </c>
      <c r="D246" s="45" t="s">
        <v>67</v>
      </c>
      <c r="E246" s="76"/>
      <c r="F246" s="263">
        <v>5.400093219E9</v>
      </c>
      <c r="G246" s="87" t="s">
        <v>1074</v>
      </c>
      <c r="H246" s="87">
        <v>3000.0</v>
      </c>
      <c r="I246" s="76"/>
      <c r="J246" s="204">
        <v>206007.0</v>
      </c>
      <c r="K246" s="145" t="s">
        <v>927</v>
      </c>
      <c r="L246" s="100" t="s">
        <v>258</v>
      </c>
      <c r="M246" s="264">
        <v>3000.0</v>
      </c>
      <c r="N246" s="50">
        <v>108.0</v>
      </c>
      <c r="O246" s="50">
        <v>2.0</v>
      </c>
      <c r="P246" s="50">
        <v>125.0</v>
      </c>
      <c r="Q246" s="100" t="s">
        <v>63</v>
      </c>
      <c r="R246" s="50" t="s">
        <v>178</v>
      </c>
      <c r="S246" s="50">
        <f t="shared" si="21"/>
        <v>13.5</v>
      </c>
      <c r="T246" s="50">
        <f t="shared" si="22"/>
        <v>78.6</v>
      </c>
      <c r="U246" s="69">
        <f t="shared" si="23"/>
        <v>5.822222222</v>
      </c>
      <c r="V246" s="70">
        <f t="shared" si="24"/>
        <v>515.2671756</v>
      </c>
      <c r="W246" s="87">
        <v>3300.0</v>
      </c>
      <c r="X246" s="76"/>
      <c r="Y246" s="87" t="s">
        <v>1074</v>
      </c>
      <c r="Z246" s="216" t="s">
        <v>1082</v>
      </c>
      <c r="AA246" s="76"/>
      <c r="AB246" s="87">
        <v>1.0</v>
      </c>
      <c r="AC246" s="87">
        <v>176.0</v>
      </c>
    </row>
    <row r="247">
      <c r="A247" s="87">
        <v>92.0</v>
      </c>
      <c r="B247" s="43" t="s">
        <v>602</v>
      </c>
      <c r="C247" s="53" t="s">
        <v>1083</v>
      </c>
      <c r="D247" s="45" t="s">
        <v>67</v>
      </c>
      <c r="E247" s="76"/>
      <c r="F247" s="87" t="s">
        <v>1084</v>
      </c>
      <c r="G247" s="87" t="s">
        <v>1085</v>
      </c>
      <c r="H247" s="87" t="s">
        <v>1086</v>
      </c>
      <c r="I247" s="76"/>
      <c r="J247" s="204">
        <v>205845.0</v>
      </c>
      <c r="K247" s="145" t="s">
        <v>925</v>
      </c>
      <c r="L247" s="100" t="s">
        <v>258</v>
      </c>
      <c r="M247" s="264">
        <v>20000.0</v>
      </c>
      <c r="N247" s="100">
        <v>94.0</v>
      </c>
      <c r="O247" s="100">
        <v>8.0</v>
      </c>
      <c r="P247" s="100">
        <v>210.0</v>
      </c>
      <c r="Q247" s="100" t="s">
        <v>213</v>
      </c>
      <c r="R247" s="100" t="s">
        <v>647</v>
      </c>
      <c r="S247" s="50">
        <f t="shared" si="21"/>
        <v>11.75</v>
      </c>
      <c r="T247" s="50">
        <f t="shared" si="22"/>
        <v>314.4</v>
      </c>
      <c r="U247" s="69">
        <f t="shared" si="23"/>
        <v>26.75744681</v>
      </c>
      <c r="V247" s="70">
        <f t="shared" si="24"/>
        <v>747.4554707</v>
      </c>
      <c r="W247" s="87">
        <v>21720.0</v>
      </c>
      <c r="X247" s="76"/>
      <c r="Y247" s="87" t="s">
        <v>1074</v>
      </c>
      <c r="Z247" s="216" t="s">
        <v>1082</v>
      </c>
      <c r="AA247" s="76"/>
      <c r="AB247" s="87">
        <v>2.0</v>
      </c>
      <c r="AC247" s="87">
        <v>176.0</v>
      </c>
    </row>
    <row r="248">
      <c r="A248" s="87">
        <v>93.0</v>
      </c>
      <c r="B248" s="43" t="s">
        <v>602</v>
      </c>
      <c r="C248" s="53" t="s">
        <v>1087</v>
      </c>
      <c r="D248" s="45" t="s">
        <v>67</v>
      </c>
      <c r="E248" s="76"/>
      <c r="F248" s="263">
        <v>5.400091672E9</v>
      </c>
      <c r="G248" s="87" t="s">
        <v>535</v>
      </c>
      <c r="H248" s="87">
        <v>20000.0</v>
      </c>
      <c r="I248" s="76"/>
      <c r="J248" s="134">
        <v>204446.0</v>
      </c>
      <c r="K248" s="156" t="s">
        <v>1088</v>
      </c>
      <c r="L248" s="100" t="s">
        <v>258</v>
      </c>
      <c r="M248" s="157">
        <v>15000.0</v>
      </c>
      <c r="N248" s="100">
        <v>92.0</v>
      </c>
      <c r="O248" s="100">
        <v>8.0</v>
      </c>
      <c r="P248" s="100">
        <v>150.0</v>
      </c>
      <c r="Q248" s="52" t="s">
        <v>213</v>
      </c>
      <c r="R248" s="100" t="s">
        <v>259</v>
      </c>
      <c r="S248" s="50">
        <f t="shared" si="21"/>
        <v>11.5</v>
      </c>
      <c r="T248" s="50">
        <f t="shared" si="22"/>
        <v>314.4</v>
      </c>
      <c r="U248" s="69">
        <f t="shared" si="23"/>
        <v>27.33913043</v>
      </c>
      <c r="V248" s="70">
        <f t="shared" si="24"/>
        <v>548.6641221</v>
      </c>
      <c r="W248" s="87">
        <v>16500.0</v>
      </c>
      <c r="X248" s="76"/>
      <c r="Y248" s="87" t="s">
        <v>1074</v>
      </c>
      <c r="Z248" s="216" t="s">
        <v>1082</v>
      </c>
      <c r="AA248" s="76"/>
      <c r="AB248" s="87">
        <v>1.0</v>
      </c>
      <c r="AC248" s="87">
        <v>176.0</v>
      </c>
    </row>
    <row r="249">
      <c r="A249" s="87">
        <v>94.0</v>
      </c>
      <c r="B249" s="43" t="s">
        <v>602</v>
      </c>
      <c r="C249" s="53" t="s">
        <v>1089</v>
      </c>
      <c r="D249" s="45" t="s">
        <v>67</v>
      </c>
      <c r="E249" s="76"/>
      <c r="F249" s="87">
        <v>5.40009319E9</v>
      </c>
      <c r="G249" s="88">
        <v>46332.0</v>
      </c>
      <c r="H249" s="87">
        <v>4200.0</v>
      </c>
      <c r="I249" s="76"/>
      <c r="J249" s="48">
        <v>207846.0</v>
      </c>
      <c r="K249" s="163" t="s">
        <v>1090</v>
      </c>
      <c r="L249" s="100" t="s">
        <v>258</v>
      </c>
      <c r="M249" s="264">
        <v>4200.0</v>
      </c>
      <c r="N249" s="255">
        <v>89.0</v>
      </c>
      <c r="O249" s="255">
        <v>1.0</v>
      </c>
      <c r="P249" s="255">
        <v>160.0</v>
      </c>
      <c r="Q249" s="50" t="s">
        <v>213</v>
      </c>
      <c r="R249" s="255" t="s">
        <v>905</v>
      </c>
      <c r="S249" s="126">
        <f t="shared" si="21"/>
        <v>11.125</v>
      </c>
      <c r="T249" s="126">
        <f t="shared" si="22"/>
        <v>39.3</v>
      </c>
      <c r="U249" s="127">
        <f t="shared" si="23"/>
        <v>3.53258427</v>
      </c>
      <c r="V249" s="128">
        <f t="shared" si="24"/>
        <v>1188.931298</v>
      </c>
      <c r="W249" s="87">
        <v>4200.0</v>
      </c>
      <c r="X249" s="76"/>
      <c r="Y249" s="87" t="s">
        <v>1074</v>
      </c>
      <c r="Z249" s="216" t="s">
        <v>1082</v>
      </c>
      <c r="AA249" s="76"/>
      <c r="AB249" s="87">
        <v>2.0</v>
      </c>
      <c r="AC249" s="87">
        <v>176.0</v>
      </c>
    </row>
    <row r="250">
      <c r="A250" s="87">
        <v>95.0</v>
      </c>
      <c r="B250" s="43" t="s">
        <v>602</v>
      </c>
      <c r="C250" s="53" t="s">
        <v>1091</v>
      </c>
      <c r="D250" s="45" t="s">
        <v>67</v>
      </c>
      <c r="E250" s="76"/>
      <c r="F250" s="263">
        <v>5.400093219E9</v>
      </c>
      <c r="G250" s="87" t="s">
        <v>1074</v>
      </c>
      <c r="H250" s="87">
        <v>5000.0</v>
      </c>
      <c r="I250" s="76"/>
      <c r="J250" s="134">
        <v>206363.0</v>
      </c>
      <c r="K250" s="135" t="s">
        <v>1092</v>
      </c>
      <c r="L250" s="100" t="s">
        <v>258</v>
      </c>
      <c r="M250" s="157">
        <v>5000.0</v>
      </c>
      <c r="N250" s="151">
        <v>75.0</v>
      </c>
      <c r="O250" s="151">
        <v>3.0</v>
      </c>
      <c r="P250" s="151">
        <v>240.0</v>
      </c>
      <c r="Q250" s="151" t="s">
        <v>213</v>
      </c>
      <c r="R250" s="151" t="s">
        <v>656</v>
      </c>
      <c r="S250" s="50">
        <f t="shared" si="21"/>
        <v>9.375</v>
      </c>
      <c r="T250" s="50">
        <f t="shared" si="22"/>
        <v>117.9</v>
      </c>
      <c r="U250" s="69">
        <f t="shared" si="23"/>
        <v>12.576</v>
      </c>
      <c r="V250" s="70">
        <f t="shared" si="24"/>
        <v>397.5826972</v>
      </c>
      <c r="W250" s="87">
        <v>5500.0</v>
      </c>
      <c r="X250" s="76"/>
      <c r="Y250" s="87" t="s">
        <v>1074</v>
      </c>
      <c r="Z250" s="216" t="s">
        <v>1082</v>
      </c>
      <c r="AA250" s="76"/>
      <c r="AB250" s="87">
        <v>1.0</v>
      </c>
      <c r="AC250" s="87">
        <v>176.0</v>
      </c>
    </row>
    <row r="251">
      <c r="A251" s="87">
        <v>96.0</v>
      </c>
      <c r="B251" s="43" t="s">
        <v>602</v>
      </c>
      <c r="C251" s="53" t="s">
        <v>1093</v>
      </c>
      <c r="D251" s="45" t="s">
        <v>67</v>
      </c>
      <c r="E251" s="76"/>
      <c r="F251" s="263">
        <v>5.400093219E9</v>
      </c>
      <c r="G251" s="87" t="s">
        <v>1074</v>
      </c>
      <c r="H251" s="87">
        <v>5000.0</v>
      </c>
      <c r="I251" s="76"/>
      <c r="J251" s="50">
        <v>208044.0</v>
      </c>
      <c r="K251" s="163" t="s">
        <v>1094</v>
      </c>
      <c r="L251" s="50" t="s">
        <v>264</v>
      </c>
      <c r="M251" s="264">
        <v>5000.0</v>
      </c>
      <c r="N251" s="136">
        <v>116.0</v>
      </c>
      <c r="O251" s="136">
        <v>6.0</v>
      </c>
      <c r="P251" s="136">
        <v>300.0</v>
      </c>
      <c r="Q251" s="50" t="s">
        <v>213</v>
      </c>
      <c r="R251" s="136" t="s">
        <v>224</v>
      </c>
      <c r="S251" s="126">
        <f t="shared" si="21"/>
        <v>14.5</v>
      </c>
      <c r="T251" s="126">
        <f t="shared" si="22"/>
        <v>235.8</v>
      </c>
      <c r="U251" s="127">
        <f t="shared" si="23"/>
        <v>16.26206897</v>
      </c>
      <c r="V251" s="128">
        <f t="shared" si="24"/>
        <v>307.4639525</v>
      </c>
      <c r="W251" s="87">
        <v>5340.0</v>
      </c>
      <c r="X251" s="76"/>
      <c r="Y251" s="87" t="s">
        <v>1074</v>
      </c>
      <c r="Z251" s="216" t="s">
        <v>1082</v>
      </c>
      <c r="AA251" s="76"/>
      <c r="AB251" s="87">
        <v>1.0</v>
      </c>
      <c r="AC251" s="87">
        <v>176.0</v>
      </c>
    </row>
    <row r="252">
      <c r="A252" s="87">
        <v>97.0</v>
      </c>
      <c r="B252" s="43" t="s">
        <v>602</v>
      </c>
      <c r="C252" s="53" t="s">
        <v>1095</v>
      </c>
      <c r="D252" s="45" t="s">
        <v>67</v>
      </c>
      <c r="E252" s="76"/>
      <c r="F252" s="263">
        <v>5.400093219E9</v>
      </c>
      <c r="G252" s="87" t="s">
        <v>1074</v>
      </c>
      <c r="H252" s="87">
        <v>5000.0</v>
      </c>
      <c r="I252" s="76"/>
      <c r="J252" s="53">
        <v>206023.0</v>
      </c>
      <c r="K252" s="163" t="s">
        <v>1096</v>
      </c>
      <c r="L252" s="50" t="s">
        <v>258</v>
      </c>
      <c r="M252" s="48">
        <v>5000.0</v>
      </c>
      <c r="N252" s="100">
        <v>99.0</v>
      </c>
      <c r="O252" s="100">
        <v>6.0</v>
      </c>
      <c r="P252" s="100">
        <v>180.0</v>
      </c>
      <c r="Q252" s="50" t="s">
        <v>213</v>
      </c>
      <c r="R252" s="100" t="s">
        <v>233</v>
      </c>
      <c r="S252" s="126">
        <f t="shared" si="21"/>
        <v>12.375</v>
      </c>
      <c r="T252" s="126">
        <f t="shared" si="22"/>
        <v>235.8</v>
      </c>
      <c r="U252" s="127">
        <f t="shared" si="23"/>
        <v>19.05454545</v>
      </c>
      <c r="V252" s="128">
        <f t="shared" si="24"/>
        <v>262.4045802</v>
      </c>
      <c r="W252" s="87">
        <v>5100.0</v>
      </c>
      <c r="X252" s="76"/>
      <c r="Y252" s="87" t="s">
        <v>1074</v>
      </c>
      <c r="Z252" s="216" t="s">
        <v>1082</v>
      </c>
      <c r="AA252" s="76"/>
      <c r="AB252" s="87">
        <v>1.0</v>
      </c>
      <c r="AC252" s="87">
        <v>176.0</v>
      </c>
    </row>
    <row r="253">
      <c r="A253" s="87">
        <v>98.0</v>
      </c>
      <c r="B253" s="43" t="s">
        <v>602</v>
      </c>
      <c r="C253" s="53" t="s">
        <v>1097</v>
      </c>
      <c r="D253" s="45" t="s">
        <v>67</v>
      </c>
      <c r="E253" s="76"/>
      <c r="F253" s="263">
        <v>5.400093219E9</v>
      </c>
      <c r="G253" s="87" t="s">
        <v>1074</v>
      </c>
      <c r="H253" s="87">
        <v>1500.0</v>
      </c>
      <c r="I253" s="76"/>
      <c r="J253" s="204">
        <v>206745.0</v>
      </c>
      <c r="K253" s="135" t="s">
        <v>1098</v>
      </c>
      <c r="L253" s="100" t="s">
        <v>258</v>
      </c>
      <c r="M253" s="157">
        <v>1500.0</v>
      </c>
      <c r="N253" s="50">
        <v>94.0</v>
      </c>
      <c r="O253" s="50">
        <v>2.0</v>
      </c>
      <c r="P253" s="50">
        <v>290.0</v>
      </c>
      <c r="Q253" s="100" t="s">
        <v>213</v>
      </c>
      <c r="R253" s="50" t="s">
        <v>214</v>
      </c>
      <c r="S253" s="50">
        <f t="shared" si="21"/>
        <v>11.75</v>
      </c>
      <c r="T253" s="50">
        <f t="shared" si="22"/>
        <v>78.6</v>
      </c>
      <c r="U253" s="69">
        <f t="shared" si="23"/>
        <v>6.689361702</v>
      </c>
      <c r="V253" s="70">
        <f t="shared" si="24"/>
        <v>224.2366412</v>
      </c>
      <c r="W253" s="87">
        <v>1650.0</v>
      </c>
      <c r="X253" s="76"/>
      <c r="Y253" s="87" t="s">
        <v>1074</v>
      </c>
      <c r="Z253" s="216" t="s">
        <v>1082</v>
      </c>
      <c r="AA253" s="76"/>
      <c r="AB253" s="87">
        <v>1.0</v>
      </c>
      <c r="AC253" s="87">
        <v>176.0</v>
      </c>
    </row>
    <row r="254">
      <c r="A254" s="87">
        <v>99.0</v>
      </c>
      <c r="B254" s="43" t="s">
        <v>602</v>
      </c>
      <c r="C254" s="53" t="s">
        <v>1099</v>
      </c>
      <c r="D254" s="45" t="s">
        <v>67</v>
      </c>
      <c r="E254" s="76"/>
      <c r="F254" s="87">
        <v>5.40009319E9</v>
      </c>
      <c r="G254" s="88">
        <v>46332.0</v>
      </c>
      <c r="H254" s="87">
        <v>400.0</v>
      </c>
      <c r="I254" s="76"/>
      <c r="J254" s="265">
        <v>204869.0</v>
      </c>
      <c r="K254" s="105" t="s">
        <v>1100</v>
      </c>
      <c r="L254" s="100" t="s">
        <v>258</v>
      </c>
      <c r="M254" s="87">
        <v>400.0</v>
      </c>
      <c r="N254" s="100">
        <v>108.0</v>
      </c>
      <c r="O254" s="100">
        <v>4.0</v>
      </c>
      <c r="P254" s="100">
        <v>155.0</v>
      </c>
      <c r="Q254" s="100" t="s">
        <v>63</v>
      </c>
      <c r="R254" s="50" t="s">
        <v>1101</v>
      </c>
      <c r="S254" s="50">
        <f t="shared" si="21"/>
        <v>13.5</v>
      </c>
      <c r="T254" s="50">
        <f t="shared" si="22"/>
        <v>157.2</v>
      </c>
      <c r="U254" s="69">
        <f t="shared" si="23"/>
        <v>11.64444444</v>
      </c>
      <c r="V254" s="70">
        <f t="shared" si="24"/>
        <v>34.35114504</v>
      </c>
      <c r="W254" s="87">
        <v>400.0</v>
      </c>
      <c r="X254" s="76"/>
      <c r="Y254" s="87" t="s">
        <v>1074</v>
      </c>
      <c r="Z254" s="216" t="s">
        <v>1082</v>
      </c>
      <c r="AA254" s="76"/>
      <c r="AB254" s="87">
        <v>1.0</v>
      </c>
      <c r="AC254" s="87">
        <v>176.0</v>
      </c>
    </row>
    <row r="255">
      <c r="A255" s="87">
        <v>100.0</v>
      </c>
      <c r="B255" s="48" t="s">
        <v>1102</v>
      </c>
      <c r="C255" s="116" t="s">
        <v>1103</v>
      </c>
      <c r="D255" s="51" t="s">
        <v>67</v>
      </c>
      <c r="E255" s="47"/>
      <c r="F255" s="109"/>
      <c r="G255" s="132"/>
      <c r="H255" s="72"/>
      <c r="I255" s="47"/>
      <c r="J255" s="50">
        <v>204317.0</v>
      </c>
      <c r="K255" s="51" t="s">
        <v>272</v>
      </c>
      <c r="L255" s="50" t="s">
        <v>273</v>
      </c>
      <c r="M255" s="50">
        <v>3000.0</v>
      </c>
      <c r="N255" s="50">
        <v>108.0</v>
      </c>
      <c r="O255" s="50">
        <v>2.0</v>
      </c>
      <c r="P255" s="50">
        <v>125.0</v>
      </c>
      <c r="Q255" s="50" t="s">
        <v>63</v>
      </c>
      <c r="R255" s="50" t="s">
        <v>178</v>
      </c>
      <c r="S255" s="50">
        <f t="shared" si="21"/>
        <v>13.5</v>
      </c>
      <c r="T255" s="50">
        <f t="shared" si="22"/>
        <v>78.6</v>
      </c>
      <c r="U255" s="69">
        <f t="shared" si="23"/>
        <v>5.822222222</v>
      </c>
      <c r="V255" s="70">
        <f t="shared" si="24"/>
        <v>515.2671756</v>
      </c>
      <c r="W255" s="87">
        <v>3000.0</v>
      </c>
      <c r="X255" s="83"/>
      <c r="Y255" s="87" t="s">
        <v>1104</v>
      </c>
      <c r="Z255" s="89" t="s">
        <v>898</v>
      </c>
      <c r="AA255" s="83"/>
      <c r="AB255" s="87">
        <v>1.0</v>
      </c>
      <c r="AC255" s="87">
        <v>177.0</v>
      </c>
    </row>
    <row r="256">
      <c r="A256" s="87">
        <v>101.0</v>
      </c>
      <c r="B256" s="43" t="s">
        <v>1034</v>
      </c>
      <c r="C256" s="48" t="s">
        <v>1105</v>
      </c>
      <c r="D256" s="45" t="s">
        <v>78</v>
      </c>
      <c r="E256" s="47"/>
      <c r="F256" s="47"/>
      <c r="G256" s="47"/>
      <c r="H256" s="47"/>
      <c r="I256" s="111" t="s">
        <v>148</v>
      </c>
      <c r="J256" s="85"/>
      <c r="K256" s="56" t="s">
        <v>1106</v>
      </c>
      <c r="L256" s="47"/>
      <c r="M256" s="48">
        <v>32500.0</v>
      </c>
      <c r="N256" s="48">
        <v>85.0</v>
      </c>
      <c r="O256" s="48">
        <v>6.0</v>
      </c>
      <c r="P256" s="48">
        <v>170.0</v>
      </c>
      <c r="Q256" s="66" t="s">
        <v>63</v>
      </c>
      <c r="R256" s="50" t="s">
        <v>302</v>
      </c>
      <c r="S256" s="66">
        <f t="shared" si="21"/>
        <v>10.625</v>
      </c>
      <c r="T256" s="66">
        <f t="shared" si="22"/>
        <v>235.8</v>
      </c>
      <c r="U256" s="113">
        <f t="shared" si="23"/>
        <v>22.19294118</v>
      </c>
      <c r="V256" s="114">
        <f t="shared" si="24"/>
        <v>1464.429601</v>
      </c>
      <c r="W256" s="87">
        <v>32450.0</v>
      </c>
      <c r="X256" s="83"/>
      <c r="Y256" s="87" t="s">
        <v>1107</v>
      </c>
      <c r="Z256" s="89" t="s">
        <v>918</v>
      </c>
      <c r="AA256" s="76"/>
      <c r="AB256" s="87">
        <v>3.0</v>
      </c>
      <c r="AC256" s="76"/>
    </row>
    <row r="257">
      <c r="A257" s="87">
        <v>102.0</v>
      </c>
      <c r="B257" s="43" t="s">
        <v>1108</v>
      </c>
      <c r="C257" s="48" t="s">
        <v>1109</v>
      </c>
      <c r="D257" s="45" t="s">
        <v>78</v>
      </c>
      <c r="E257" s="47"/>
      <c r="F257" s="47"/>
      <c r="G257" s="47"/>
      <c r="H257" s="47"/>
      <c r="I257" s="111" t="s">
        <v>148</v>
      </c>
      <c r="J257" s="85"/>
      <c r="K257" s="56" t="s">
        <v>185</v>
      </c>
      <c r="L257" s="47"/>
      <c r="M257" s="48">
        <v>18000.0</v>
      </c>
      <c r="N257" s="48">
        <v>85.0</v>
      </c>
      <c r="O257" s="48">
        <v>6.0</v>
      </c>
      <c r="P257" s="48">
        <v>170.0</v>
      </c>
      <c r="Q257" s="66" t="s">
        <v>63</v>
      </c>
      <c r="R257" s="50" t="s">
        <v>302</v>
      </c>
      <c r="S257" s="66">
        <f t="shared" si="21"/>
        <v>10.625</v>
      </c>
      <c r="T257" s="66">
        <f t="shared" si="22"/>
        <v>235.8</v>
      </c>
      <c r="U257" s="113">
        <f t="shared" si="23"/>
        <v>22.19294118</v>
      </c>
      <c r="V257" s="114">
        <f t="shared" si="24"/>
        <v>811.0687023</v>
      </c>
      <c r="W257" s="87">
        <v>19670.0</v>
      </c>
      <c r="X257" s="76"/>
      <c r="Y257" s="87" t="s">
        <v>1107</v>
      </c>
      <c r="Z257" s="89" t="s">
        <v>918</v>
      </c>
      <c r="AA257" s="76"/>
      <c r="AB257" s="87">
        <v>2.0</v>
      </c>
      <c r="AC257" s="76"/>
    </row>
    <row r="258">
      <c r="A258" s="87">
        <v>103.0</v>
      </c>
      <c r="B258" s="43" t="s">
        <v>1108</v>
      </c>
      <c r="C258" s="53" t="s">
        <v>1110</v>
      </c>
      <c r="D258" s="96" t="s">
        <v>1111</v>
      </c>
      <c r="E258" s="45"/>
      <c r="F258" s="45"/>
      <c r="G258" s="45"/>
      <c r="H258" s="45"/>
      <c r="I258" s="45"/>
      <c r="J258" s="45"/>
      <c r="K258" s="56" t="s">
        <v>1112</v>
      </c>
      <c r="L258" s="47"/>
      <c r="M258" s="48">
        <v>20000.0</v>
      </c>
      <c r="N258" s="50">
        <v>116.0</v>
      </c>
      <c r="O258" s="50">
        <v>4.0</v>
      </c>
      <c r="P258" s="50">
        <v>150.0</v>
      </c>
      <c r="Q258" s="50" t="s">
        <v>63</v>
      </c>
      <c r="R258" s="50" t="s">
        <v>1113</v>
      </c>
      <c r="S258" s="50">
        <f t="shared" si="21"/>
        <v>14.5</v>
      </c>
      <c r="T258" s="50">
        <f t="shared" si="22"/>
        <v>157.2</v>
      </c>
      <c r="U258" s="69">
        <f t="shared" si="23"/>
        <v>10.84137931</v>
      </c>
      <c r="V258" s="70">
        <f t="shared" si="24"/>
        <v>1844.783715</v>
      </c>
      <c r="W258" s="87">
        <v>20600.0</v>
      </c>
      <c r="X258" s="76"/>
      <c r="Y258" s="87" t="s">
        <v>1107</v>
      </c>
      <c r="Z258" s="76"/>
      <c r="AA258" s="76"/>
      <c r="AB258" s="87">
        <v>2.0</v>
      </c>
      <c r="AC258" s="76"/>
    </row>
    <row r="259">
      <c r="A259" s="87">
        <v>104.0</v>
      </c>
      <c r="B259" s="43" t="s">
        <v>447</v>
      </c>
      <c r="C259" s="53" t="s">
        <v>1114</v>
      </c>
      <c r="D259" s="45" t="s">
        <v>247</v>
      </c>
      <c r="E259" s="47"/>
      <c r="F259" s="106" t="s">
        <v>448</v>
      </c>
      <c r="G259" s="266">
        <v>46362.0</v>
      </c>
      <c r="H259" s="98">
        <v>15000.0</v>
      </c>
      <c r="I259" s="47"/>
      <c r="J259" s="47"/>
      <c r="K259" s="56" t="s">
        <v>483</v>
      </c>
      <c r="L259" s="50" t="s">
        <v>252</v>
      </c>
      <c r="M259" s="48">
        <v>20000.0</v>
      </c>
      <c r="N259" s="66">
        <v>89.0</v>
      </c>
      <c r="O259" s="66">
        <v>1.0</v>
      </c>
      <c r="P259" s="66">
        <v>160.0</v>
      </c>
      <c r="Q259" s="50" t="s">
        <v>63</v>
      </c>
      <c r="R259" s="66" t="s">
        <v>254</v>
      </c>
      <c r="S259" s="50">
        <f t="shared" si="21"/>
        <v>11.125</v>
      </c>
      <c r="T259" s="50">
        <f t="shared" si="22"/>
        <v>39.3</v>
      </c>
      <c r="U259" s="69">
        <f t="shared" si="23"/>
        <v>3.53258427</v>
      </c>
      <c r="V259" s="70">
        <f t="shared" si="24"/>
        <v>5661.577608</v>
      </c>
      <c r="W259" s="87">
        <v>20460.0</v>
      </c>
      <c r="X259" s="83"/>
      <c r="Y259" s="87" t="s">
        <v>1115</v>
      </c>
      <c r="Z259" s="216" t="s">
        <v>841</v>
      </c>
      <c r="AA259" s="76"/>
      <c r="AB259" s="87">
        <v>7.0</v>
      </c>
      <c r="AC259" s="87">
        <v>183.0</v>
      </c>
    </row>
    <row r="260">
      <c r="A260" s="87">
        <v>105.0</v>
      </c>
      <c r="B260" s="43" t="s">
        <v>447</v>
      </c>
      <c r="C260" s="53" t="s">
        <v>1116</v>
      </c>
      <c r="D260" s="45" t="s">
        <v>247</v>
      </c>
      <c r="E260" s="47"/>
      <c r="F260" s="106" t="s">
        <v>448</v>
      </c>
      <c r="G260" s="266">
        <v>46362.0</v>
      </c>
      <c r="H260" s="98">
        <v>10000.0</v>
      </c>
      <c r="I260" s="47"/>
      <c r="J260" s="47"/>
      <c r="K260" s="56" t="s">
        <v>494</v>
      </c>
      <c r="L260" s="50" t="s">
        <v>252</v>
      </c>
      <c r="M260" s="48">
        <v>10000.0</v>
      </c>
      <c r="N260" s="100">
        <v>69.0</v>
      </c>
      <c r="O260" s="100">
        <v>1.0</v>
      </c>
      <c r="P260" s="100">
        <v>135.0</v>
      </c>
      <c r="Q260" s="50" t="s">
        <v>63</v>
      </c>
      <c r="R260" s="100" t="s">
        <v>324</v>
      </c>
      <c r="S260" s="126">
        <f t="shared" si="21"/>
        <v>8.625</v>
      </c>
      <c r="T260" s="126">
        <f t="shared" si="22"/>
        <v>39.3</v>
      </c>
      <c r="U260" s="127">
        <f t="shared" si="23"/>
        <v>4.556521739</v>
      </c>
      <c r="V260" s="128">
        <f t="shared" si="24"/>
        <v>2194.656489</v>
      </c>
      <c r="W260" s="87">
        <v>10990.0</v>
      </c>
      <c r="X260" s="83"/>
      <c r="Y260" s="87" t="s">
        <v>1115</v>
      </c>
      <c r="Z260" s="216" t="s">
        <v>841</v>
      </c>
      <c r="AA260" s="76"/>
      <c r="AB260" s="87">
        <v>3.0</v>
      </c>
      <c r="AC260" s="87">
        <v>183.0</v>
      </c>
    </row>
    <row r="261">
      <c r="A261" s="87">
        <v>106.0</v>
      </c>
      <c r="B261" s="43" t="s">
        <v>447</v>
      </c>
      <c r="C261" s="53" t="s">
        <v>1117</v>
      </c>
      <c r="D261" s="45" t="s">
        <v>247</v>
      </c>
      <c r="E261" s="45"/>
      <c r="F261" s="106" t="s">
        <v>448</v>
      </c>
      <c r="G261" s="266">
        <v>46362.0</v>
      </c>
      <c r="H261" s="98">
        <v>8000.0</v>
      </c>
      <c r="I261" s="47"/>
      <c r="J261" s="47"/>
      <c r="K261" s="56" t="s">
        <v>946</v>
      </c>
      <c r="L261" s="50" t="s">
        <v>252</v>
      </c>
      <c r="M261" s="129">
        <v>8000.0</v>
      </c>
      <c r="N261" s="100">
        <v>69.0</v>
      </c>
      <c r="O261" s="100">
        <v>1.0</v>
      </c>
      <c r="P261" s="100">
        <v>135.0</v>
      </c>
      <c r="Q261" s="50" t="s">
        <v>63</v>
      </c>
      <c r="R261" s="100" t="s">
        <v>324</v>
      </c>
      <c r="S261" s="50">
        <f t="shared" si="21"/>
        <v>8.625</v>
      </c>
      <c r="T261" s="50">
        <f t="shared" si="22"/>
        <v>39.3</v>
      </c>
      <c r="U261" s="69">
        <f t="shared" si="23"/>
        <v>4.556521739</v>
      </c>
      <c r="V261" s="70">
        <f t="shared" si="24"/>
        <v>1755.725191</v>
      </c>
      <c r="W261" s="87">
        <v>8975.0</v>
      </c>
      <c r="X261" s="83"/>
      <c r="Y261" s="87" t="s">
        <v>1115</v>
      </c>
      <c r="Z261" s="216" t="s">
        <v>841</v>
      </c>
      <c r="AA261" s="76"/>
      <c r="AB261" s="87">
        <v>3.0</v>
      </c>
      <c r="AC261" s="87">
        <v>183.0</v>
      </c>
    </row>
    <row r="262">
      <c r="A262" s="87">
        <v>107.0</v>
      </c>
      <c r="B262" s="43" t="s">
        <v>447</v>
      </c>
      <c r="C262" s="53" t="s">
        <v>1118</v>
      </c>
      <c r="D262" s="45" t="s">
        <v>247</v>
      </c>
      <c r="E262" s="45"/>
      <c r="F262" s="106" t="s">
        <v>448</v>
      </c>
      <c r="G262" s="266">
        <v>46362.0</v>
      </c>
      <c r="H262" s="98">
        <v>20000.0</v>
      </c>
      <c r="I262" s="47"/>
      <c r="J262" s="47"/>
      <c r="K262" s="56" t="s">
        <v>950</v>
      </c>
      <c r="L262" s="50" t="s">
        <v>252</v>
      </c>
      <c r="M262" s="48">
        <v>20000.0</v>
      </c>
      <c r="N262" s="100">
        <v>72.0</v>
      </c>
      <c r="O262" s="100">
        <v>2.0</v>
      </c>
      <c r="P262" s="100">
        <v>185.0</v>
      </c>
      <c r="Q262" s="50" t="s">
        <v>63</v>
      </c>
      <c r="R262" s="100" t="s">
        <v>384</v>
      </c>
      <c r="S262" s="126">
        <f t="shared" si="21"/>
        <v>9</v>
      </c>
      <c r="T262" s="126">
        <f t="shared" si="22"/>
        <v>78.6</v>
      </c>
      <c r="U262" s="127">
        <f t="shared" si="23"/>
        <v>8.733333333</v>
      </c>
      <c r="V262" s="128">
        <f t="shared" si="24"/>
        <v>2290.076336</v>
      </c>
      <c r="W262" s="87">
        <v>21630.0</v>
      </c>
      <c r="X262" s="83"/>
      <c r="Y262" s="87" t="s">
        <v>1115</v>
      </c>
      <c r="Z262" s="216" t="s">
        <v>841</v>
      </c>
      <c r="AA262" s="76"/>
      <c r="AB262" s="87">
        <v>4.0</v>
      </c>
      <c r="AC262" s="87">
        <v>183.0</v>
      </c>
    </row>
    <row r="263">
      <c r="A263" s="87">
        <v>108.0</v>
      </c>
      <c r="B263" s="43" t="s">
        <v>447</v>
      </c>
      <c r="C263" s="53" t="s">
        <v>1119</v>
      </c>
      <c r="D263" s="45" t="s">
        <v>247</v>
      </c>
      <c r="E263" s="45"/>
      <c r="F263" s="106" t="s">
        <v>448</v>
      </c>
      <c r="G263" s="266">
        <v>46362.0</v>
      </c>
      <c r="H263" s="98">
        <v>20000.0</v>
      </c>
      <c r="I263" s="47"/>
      <c r="J263" s="47"/>
      <c r="K263" s="45" t="s">
        <v>952</v>
      </c>
      <c r="L263" s="50" t="s">
        <v>252</v>
      </c>
      <c r="M263" s="48">
        <v>20000.0</v>
      </c>
      <c r="N263" s="100">
        <v>124.0</v>
      </c>
      <c r="O263" s="100">
        <v>6.0</v>
      </c>
      <c r="P263" s="100">
        <v>195.0</v>
      </c>
      <c r="Q263" s="50" t="s">
        <v>63</v>
      </c>
      <c r="R263" s="100" t="s">
        <v>315</v>
      </c>
      <c r="S263" s="50">
        <f t="shared" si="21"/>
        <v>15.5</v>
      </c>
      <c r="T263" s="50">
        <f t="shared" si="22"/>
        <v>235.8</v>
      </c>
      <c r="U263" s="69">
        <f t="shared" si="23"/>
        <v>15.21290323</v>
      </c>
      <c r="V263" s="70">
        <f t="shared" si="24"/>
        <v>1314.673452</v>
      </c>
      <c r="W263" s="87">
        <v>23080.0</v>
      </c>
      <c r="X263" s="83"/>
      <c r="Y263" s="87" t="s">
        <v>1115</v>
      </c>
      <c r="Z263" s="216" t="s">
        <v>841</v>
      </c>
      <c r="AA263" s="76"/>
      <c r="AB263" s="87">
        <v>3.0</v>
      </c>
      <c r="AC263" s="87">
        <v>183.0</v>
      </c>
    </row>
    <row r="264">
      <c r="A264" s="87">
        <v>109.0</v>
      </c>
      <c r="B264" s="66" t="s">
        <v>1042</v>
      </c>
      <c r="C264" s="48" t="s">
        <v>1120</v>
      </c>
      <c r="D264" s="45" t="s">
        <v>1044</v>
      </c>
      <c r="E264" s="47"/>
      <c r="F264" s="47"/>
      <c r="G264" s="47"/>
      <c r="H264" s="47"/>
      <c r="I264" s="47"/>
      <c r="J264" s="47"/>
      <c r="K264" s="45" t="s">
        <v>1121</v>
      </c>
      <c r="L264" s="50" t="s">
        <v>1046</v>
      </c>
      <c r="M264" s="50">
        <v>10000.0</v>
      </c>
      <c r="N264" s="50">
        <v>72.0</v>
      </c>
      <c r="O264" s="50">
        <v>2.0</v>
      </c>
      <c r="P264" s="50">
        <v>240.0</v>
      </c>
      <c r="Q264" s="50" t="s">
        <v>73</v>
      </c>
      <c r="R264" s="50" t="s">
        <v>1047</v>
      </c>
      <c r="S264" s="50">
        <f t="shared" si="21"/>
        <v>9</v>
      </c>
      <c r="T264" s="50">
        <f t="shared" si="22"/>
        <v>78.6</v>
      </c>
      <c r="U264" s="69">
        <f t="shared" si="23"/>
        <v>8.733333333</v>
      </c>
      <c r="V264" s="70">
        <f t="shared" si="24"/>
        <v>1145.038168</v>
      </c>
      <c r="W264" s="87">
        <v>10200.0</v>
      </c>
      <c r="X264" s="76"/>
      <c r="Y264" s="87" t="s">
        <v>1115</v>
      </c>
      <c r="Z264" s="216" t="s">
        <v>1037</v>
      </c>
      <c r="AA264" s="76"/>
      <c r="AB264" s="87">
        <v>1.0</v>
      </c>
      <c r="AC264" s="87">
        <v>184.0</v>
      </c>
    </row>
    <row r="265">
      <c r="A265" s="87">
        <v>110.0</v>
      </c>
      <c r="B265" s="66" t="s">
        <v>1042</v>
      </c>
      <c r="C265" s="48" t="s">
        <v>1122</v>
      </c>
      <c r="D265" s="45" t="s">
        <v>1044</v>
      </c>
      <c r="E265" s="47"/>
      <c r="F265" s="47"/>
      <c r="G265" s="47"/>
      <c r="H265" s="47"/>
      <c r="I265" s="47"/>
      <c r="J265" s="47"/>
      <c r="K265" s="65" t="s">
        <v>1123</v>
      </c>
      <c r="L265" s="50" t="s">
        <v>1046</v>
      </c>
      <c r="M265" s="50">
        <v>5000.0</v>
      </c>
      <c r="N265" s="50">
        <v>72.0</v>
      </c>
      <c r="O265" s="50">
        <v>2.0</v>
      </c>
      <c r="P265" s="50">
        <v>240.0</v>
      </c>
      <c r="Q265" s="50" t="s">
        <v>73</v>
      </c>
      <c r="R265" s="50" t="s">
        <v>1047</v>
      </c>
      <c r="S265" s="50">
        <f t="shared" si="21"/>
        <v>9</v>
      </c>
      <c r="T265" s="50">
        <f t="shared" si="22"/>
        <v>78.6</v>
      </c>
      <c r="U265" s="69">
        <f t="shared" si="23"/>
        <v>8.733333333</v>
      </c>
      <c r="V265" s="70">
        <f t="shared" si="24"/>
        <v>572.519084</v>
      </c>
      <c r="W265" s="87">
        <v>5500.0</v>
      </c>
      <c r="X265" s="76"/>
      <c r="Y265" s="87" t="s">
        <v>1115</v>
      </c>
      <c r="Z265" s="216" t="s">
        <v>1037</v>
      </c>
      <c r="AA265" s="76"/>
      <c r="AB265" s="87">
        <v>1.0</v>
      </c>
      <c r="AC265" s="87">
        <v>184.0</v>
      </c>
    </row>
    <row r="266">
      <c r="A266" s="87">
        <v>111.0</v>
      </c>
      <c r="B266" s="66" t="s">
        <v>1042</v>
      </c>
      <c r="C266" s="48" t="s">
        <v>1124</v>
      </c>
      <c r="D266" s="45" t="s">
        <v>1044</v>
      </c>
      <c r="E266" s="47"/>
      <c r="F266" s="47"/>
      <c r="G266" s="47"/>
      <c r="H266" s="47"/>
      <c r="I266" s="47"/>
      <c r="J266" s="47"/>
      <c r="K266" s="45" t="s">
        <v>1125</v>
      </c>
      <c r="L266" s="50" t="s">
        <v>1046</v>
      </c>
      <c r="M266" s="50">
        <v>5000.0</v>
      </c>
      <c r="N266" s="50">
        <v>72.0</v>
      </c>
      <c r="O266" s="50">
        <v>2.0</v>
      </c>
      <c r="P266" s="50">
        <v>240.0</v>
      </c>
      <c r="Q266" s="50" t="s">
        <v>73</v>
      </c>
      <c r="R266" s="50" t="s">
        <v>1047</v>
      </c>
      <c r="S266" s="50">
        <f t="shared" si="21"/>
        <v>9</v>
      </c>
      <c r="T266" s="50">
        <f t="shared" si="22"/>
        <v>78.6</v>
      </c>
      <c r="U266" s="69">
        <f t="shared" si="23"/>
        <v>8.733333333</v>
      </c>
      <c r="V266" s="70">
        <f t="shared" si="24"/>
        <v>572.519084</v>
      </c>
      <c r="W266" s="87">
        <v>5500.0</v>
      </c>
      <c r="X266" s="76"/>
      <c r="Y266" s="87" t="s">
        <v>1115</v>
      </c>
      <c r="Z266" s="216" t="s">
        <v>1037</v>
      </c>
      <c r="AA266" s="76"/>
      <c r="AB266" s="87">
        <v>1.0</v>
      </c>
      <c r="AC266" s="87">
        <v>184.0</v>
      </c>
    </row>
    <row r="267">
      <c r="A267" s="87">
        <v>112.0</v>
      </c>
      <c r="B267" s="66" t="s">
        <v>1042</v>
      </c>
      <c r="C267" s="48" t="s">
        <v>1126</v>
      </c>
      <c r="D267" s="45" t="s">
        <v>1044</v>
      </c>
      <c r="E267" s="47"/>
      <c r="F267" s="47"/>
      <c r="G267" s="47"/>
      <c r="H267" s="47"/>
      <c r="I267" s="47"/>
      <c r="J267" s="47"/>
      <c r="K267" s="45" t="s">
        <v>1127</v>
      </c>
      <c r="L267" s="50" t="s">
        <v>1046</v>
      </c>
      <c r="M267" s="50">
        <v>5000.0</v>
      </c>
      <c r="N267" s="50">
        <v>72.0</v>
      </c>
      <c r="O267" s="50">
        <v>2.0</v>
      </c>
      <c r="P267" s="50">
        <v>240.0</v>
      </c>
      <c r="Q267" s="50" t="s">
        <v>73</v>
      </c>
      <c r="R267" s="50" t="s">
        <v>1047</v>
      </c>
      <c r="S267" s="50">
        <f t="shared" si="21"/>
        <v>9</v>
      </c>
      <c r="T267" s="50">
        <f t="shared" si="22"/>
        <v>78.6</v>
      </c>
      <c r="U267" s="69">
        <f t="shared" si="23"/>
        <v>8.733333333</v>
      </c>
      <c r="V267" s="70">
        <f t="shared" si="24"/>
        <v>572.519084</v>
      </c>
      <c r="W267" s="87">
        <v>5500.0</v>
      </c>
      <c r="X267" s="76"/>
      <c r="Y267" s="87" t="s">
        <v>1115</v>
      </c>
      <c r="Z267" s="216" t="s">
        <v>1037</v>
      </c>
      <c r="AA267" s="76"/>
      <c r="AB267" s="87">
        <v>1.0</v>
      </c>
      <c r="AC267" s="87">
        <v>184.0</v>
      </c>
    </row>
    <row r="268">
      <c r="A268" s="87">
        <v>113.0</v>
      </c>
      <c r="B268" s="48" t="s">
        <v>1108</v>
      </c>
      <c r="C268" s="43" t="s">
        <v>1128</v>
      </c>
      <c r="D268" s="51" t="s">
        <v>67</v>
      </c>
      <c r="E268" s="146"/>
      <c r="F268" s="87">
        <v>5.40009319E9</v>
      </c>
      <c r="G268" s="88">
        <v>46332.0</v>
      </c>
      <c r="H268" s="253">
        <v>10000.0</v>
      </c>
      <c r="I268" s="146"/>
      <c r="J268" s="50">
        <v>206508.0</v>
      </c>
      <c r="K268" s="51" t="s">
        <v>529</v>
      </c>
      <c r="L268" s="50" t="s">
        <v>258</v>
      </c>
      <c r="M268" s="157">
        <v>10000.0</v>
      </c>
      <c r="N268" s="50">
        <v>108.0</v>
      </c>
      <c r="O268" s="50">
        <v>2.0</v>
      </c>
      <c r="P268" s="50">
        <v>125.0</v>
      </c>
      <c r="Q268" s="50" t="s">
        <v>524</v>
      </c>
      <c r="R268" s="50" t="s">
        <v>178</v>
      </c>
      <c r="S268" s="50">
        <f t="shared" si="21"/>
        <v>13.5</v>
      </c>
      <c r="T268" s="50">
        <f t="shared" si="22"/>
        <v>78.6</v>
      </c>
      <c r="U268" s="69">
        <f t="shared" si="23"/>
        <v>5.822222222</v>
      </c>
      <c r="V268" s="70">
        <f t="shared" si="24"/>
        <v>1717.557252</v>
      </c>
      <c r="W268" s="87">
        <v>10850.0</v>
      </c>
      <c r="X268" s="76"/>
      <c r="Y268" s="87" t="s">
        <v>1129</v>
      </c>
      <c r="Z268" s="216" t="s">
        <v>1130</v>
      </c>
      <c r="AA268" s="76"/>
      <c r="AB268" s="87">
        <v>2.0</v>
      </c>
      <c r="AC268" s="87">
        <v>188.0</v>
      </c>
    </row>
    <row r="269">
      <c r="A269" s="87">
        <v>114.0</v>
      </c>
      <c r="B269" s="43" t="s">
        <v>447</v>
      </c>
      <c r="C269" s="53" t="s">
        <v>1131</v>
      </c>
      <c r="D269" s="45" t="s">
        <v>78</v>
      </c>
      <c r="E269" s="47"/>
      <c r="F269" s="47"/>
      <c r="G269" s="47"/>
      <c r="H269" s="47"/>
      <c r="I269" s="111" t="s">
        <v>148</v>
      </c>
      <c r="J269" s="85"/>
      <c r="K269" s="56" t="s">
        <v>1132</v>
      </c>
      <c r="L269" s="47"/>
      <c r="M269" s="48">
        <v>6000.0</v>
      </c>
      <c r="N269" s="50">
        <v>85.0</v>
      </c>
      <c r="O269" s="50">
        <v>6.0</v>
      </c>
      <c r="P269" s="50">
        <v>170.0</v>
      </c>
      <c r="Q269" s="50" t="s">
        <v>63</v>
      </c>
      <c r="R269" s="50" t="s">
        <v>83</v>
      </c>
      <c r="S269" s="66">
        <f t="shared" si="21"/>
        <v>10.625</v>
      </c>
      <c r="T269" s="66">
        <f t="shared" si="22"/>
        <v>235.8</v>
      </c>
      <c r="U269" s="113">
        <f t="shared" si="23"/>
        <v>22.19294118</v>
      </c>
      <c r="V269" s="114">
        <f t="shared" si="24"/>
        <v>270.3562341</v>
      </c>
      <c r="W269" s="87">
        <v>7960.0</v>
      </c>
      <c r="X269" s="76"/>
      <c r="Y269" s="87" t="s">
        <v>1129</v>
      </c>
      <c r="Z269" s="89" t="s">
        <v>918</v>
      </c>
      <c r="AA269" s="76"/>
      <c r="AB269" s="87">
        <v>1.0</v>
      </c>
      <c r="AC269" s="76"/>
    </row>
    <row r="270">
      <c r="A270" s="87">
        <v>115.0</v>
      </c>
      <c r="B270" s="43" t="s">
        <v>1108</v>
      </c>
      <c r="C270" s="53" t="s">
        <v>1133</v>
      </c>
      <c r="D270" s="45" t="s">
        <v>78</v>
      </c>
      <c r="E270" s="171"/>
      <c r="F270" s="171"/>
      <c r="G270" s="171"/>
      <c r="H270" s="171"/>
      <c r="I270" s="171"/>
      <c r="J270" s="71"/>
      <c r="K270" s="51" t="s">
        <v>1134</v>
      </c>
      <c r="L270" s="71"/>
      <c r="M270" s="48">
        <v>118350.0</v>
      </c>
      <c r="N270" s="267">
        <v>85.0</v>
      </c>
      <c r="O270" s="66">
        <v>16.0</v>
      </c>
      <c r="P270" s="66">
        <v>165.0</v>
      </c>
      <c r="Q270" s="100" t="s">
        <v>115</v>
      </c>
      <c r="R270" s="136" t="s">
        <v>1135</v>
      </c>
      <c r="S270" s="126">
        <f t="shared" si="21"/>
        <v>10.625</v>
      </c>
      <c r="T270" s="126">
        <f t="shared" si="22"/>
        <v>628.8</v>
      </c>
      <c r="U270" s="127">
        <f t="shared" si="23"/>
        <v>59.18117647</v>
      </c>
      <c r="V270" s="128">
        <f t="shared" si="24"/>
        <v>1999.791269</v>
      </c>
      <c r="W270" s="87">
        <v>98560.0</v>
      </c>
      <c r="X270" s="76"/>
      <c r="Y270" s="87" t="s">
        <v>1129</v>
      </c>
      <c r="Z270" s="89" t="s">
        <v>918</v>
      </c>
      <c r="AA270" s="76"/>
      <c r="AB270" s="87">
        <v>1.0</v>
      </c>
      <c r="AC270" s="76"/>
    </row>
    <row r="271">
      <c r="A271" s="87">
        <v>116.0</v>
      </c>
      <c r="B271" s="43" t="s">
        <v>447</v>
      </c>
      <c r="C271" s="53" t="s">
        <v>1136</v>
      </c>
      <c r="D271" s="45" t="s">
        <v>78</v>
      </c>
      <c r="E271" s="47"/>
      <c r="F271" s="47"/>
      <c r="G271" s="47"/>
      <c r="H271" s="47"/>
      <c r="I271" s="111" t="s">
        <v>148</v>
      </c>
      <c r="J271" s="85"/>
      <c r="K271" s="56" t="s">
        <v>150</v>
      </c>
      <c r="L271" s="47"/>
      <c r="M271" s="48">
        <v>4000.0</v>
      </c>
      <c r="N271" s="50">
        <v>85.0</v>
      </c>
      <c r="O271" s="50">
        <v>6.0</v>
      </c>
      <c r="P271" s="50">
        <v>170.0</v>
      </c>
      <c r="Q271" s="50" t="s">
        <v>63</v>
      </c>
      <c r="R271" s="50" t="s">
        <v>83</v>
      </c>
      <c r="S271" s="66">
        <f t="shared" si="21"/>
        <v>10.625</v>
      </c>
      <c r="T271" s="66">
        <f t="shared" si="22"/>
        <v>235.8</v>
      </c>
      <c r="U271" s="113">
        <f t="shared" si="23"/>
        <v>22.19294118</v>
      </c>
      <c r="V271" s="114">
        <f t="shared" si="24"/>
        <v>180.2374894</v>
      </c>
      <c r="W271" s="87">
        <v>5030.0</v>
      </c>
      <c r="X271" s="76"/>
      <c r="Y271" s="87" t="s">
        <v>1129</v>
      </c>
      <c r="Z271" s="89" t="s">
        <v>918</v>
      </c>
      <c r="AA271" s="76"/>
      <c r="AB271" s="87">
        <v>1.0</v>
      </c>
      <c r="AC271" s="76"/>
    </row>
    <row r="272">
      <c r="A272" s="87">
        <v>117.0</v>
      </c>
      <c r="B272" s="43" t="s">
        <v>447</v>
      </c>
      <c r="C272" s="53" t="s">
        <v>1137</v>
      </c>
      <c r="D272" s="45" t="s">
        <v>78</v>
      </c>
      <c r="E272" s="47"/>
      <c r="F272" s="47"/>
      <c r="G272" s="47"/>
      <c r="H272" s="47"/>
      <c r="I272" s="111" t="s">
        <v>148</v>
      </c>
      <c r="J272" s="85"/>
      <c r="K272" s="56" t="s">
        <v>1138</v>
      </c>
      <c r="L272" s="47"/>
      <c r="M272" s="48">
        <v>4000.0</v>
      </c>
      <c r="N272" s="50">
        <v>85.0</v>
      </c>
      <c r="O272" s="50">
        <v>6.0</v>
      </c>
      <c r="P272" s="50">
        <v>170.0</v>
      </c>
      <c r="Q272" s="50" t="s">
        <v>63</v>
      </c>
      <c r="R272" s="50" t="s">
        <v>83</v>
      </c>
      <c r="S272" s="66">
        <f t="shared" si="21"/>
        <v>10.625</v>
      </c>
      <c r="T272" s="66">
        <f t="shared" si="22"/>
        <v>235.8</v>
      </c>
      <c r="U272" s="113">
        <f t="shared" si="23"/>
        <v>22.19294118</v>
      </c>
      <c r="V272" s="114">
        <f t="shared" si="24"/>
        <v>180.2374894</v>
      </c>
      <c r="W272" s="87">
        <v>5480.0</v>
      </c>
      <c r="X272" s="76"/>
      <c r="Y272" s="87" t="s">
        <v>1129</v>
      </c>
      <c r="Z272" s="89" t="s">
        <v>918</v>
      </c>
      <c r="AA272" s="76"/>
      <c r="AB272" s="87">
        <v>1.0</v>
      </c>
      <c r="AC272" s="76"/>
    </row>
    <row r="273">
      <c r="A273" s="87">
        <v>118.0</v>
      </c>
      <c r="B273" s="43" t="s">
        <v>1139</v>
      </c>
      <c r="C273" s="53" t="s">
        <v>1140</v>
      </c>
      <c r="D273" s="45" t="s">
        <v>67</v>
      </c>
      <c r="E273" s="76"/>
      <c r="F273" s="87">
        <v>5.40009324E9</v>
      </c>
      <c r="G273" s="87" t="s">
        <v>1104</v>
      </c>
      <c r="H273" s="87">
        <v>3100.0</v>
      </c>
      <c r="I273" s="76"/>
      <c r="J273" s="53">
        <v>208244.0</v>
      </c>
      <c r="K273" s="105" t="s">
        <v>1141</v>
      </c>
      <c r="L273" s="71"/>
      <c r="M273" s="53">
        <v>3100.0</v>
      </c>
      <c r="N273" s="53">
        <v>94.0</v>
      </c>
      <c r="O273" s="53">
        <v>2.0</v>
      </c>
      <c r="P273" s="53">
        <v>290.0</v>
      </c>
      <c r="Q273" s="50" t="s">
        <v>63</v>
      </c>
      <c r="R273" s="53" t="s">
        <v>214</v>
      </c>
      <c r="S273" s="50">
        <f t="shared" si="21"/>
        <v>11.75</v>
      </c>
      <c r="T273" s="50">
        <f t="shared" si="22"/>
        <v>78.6</v>
      </c>
      <c r="U273" s="69">
        <f t="shared" si="23"/>
        <v>6.689361702</v>
      </c>
      <c r="V273" s="70">
        <f t="shared" si="24"/>
        <v>463.4223919</v>
      </c>
      <c r="W273" s="87">
        <v>3100.0</v>
      </c>
      <c r="X273" s="76"/>
      <c r="Y273" s="87" t="s">
        <v>1129</v>
      </c>
      <c r="Z273" s="216" t="s">
        <v>1130</v>
      </c>
      <c r="AA273" s="76"/>
      <c r="AB273" s="87">
        <v>1.0</v>
      </c>
      <c r="AC273" s="87">
        <v>188.0</v>
      </c>
    </row>
    <row r="274">
      <c r="A274" s="87">
        <v>119.0</v>
      </c>
      <c r="B274" s="43" t="s">
        <v>1139</v>
      </c>
      <c r="C274" s="53" t="s">
        <v>1142</v>
      </c>
      <c r="D274" s="45" t="s">
        <v>67</v>
      </c>
      <c r="E274" s="76"/>
      <c r="F274" s="87">
        <v>5.40009324E9</v>
      </c>
      <c r="G274" s="87" t="s">
        <v>1104</v>
      </c>
      <c r="H274" s="87">
        <v>1100.0</v>
      </c>
      <c r="I274" s="76"/>
      <c r="J274" s="53">
        <v>208243.0</v>
      </c>
      <c r="K274" s="105" t="s">
        <v>1143</v>
      </c>
      <c r="L274" s="71"/>
      <c r="M274" s="53">
        <v>1100.0</v>
      </c>
      <c r="N274" s="53">
        <v>118.0</v>
      </c>
      <c r="O274" s="53">
        <v>2.0</v>
      </c>
      <c r="P274" s="53">
        <v>200.0</v>
      </c>
      <c r="Q274" s="50" t="s">
        <v>63</v>
      </c>
      <c r="R274" s="53" t="s">
        <v>1144</v>
      </c>
      <c r="S274" s="50">
        <f t="shared" si="21"/>
        <v>14.75</v>
      </c>
      <c r="T274" s="50">
        <f t="shared" si="22"/>
        <v>78.6</v>
      </c>
      <c r="U274" s="69">
        <f t="shared" si="23"/>
        <v>5.328813559</v>
      </c>
      <c r="V274" s="70">
        <f t="shared" si="24"/>
        <v>206.4249364</v>
      </c>
      <c r="W274" s="87">
        <v>1100.0</v>
      </c>
      <c r="X274" s="76"/>
      <c r="Y274" s="87" t="s">
        <v>1129</v>
      </c>
      <c r="Z274" s="216" t="s">
        <v>1130</v>
      </c>
      <c r="AA274" s="76"/>
      <c r="AB274" s="262">
        <v>1.0</v>
      </c>
      <c r="AC274" s="87">
        <v>188.0</v>
      </c>
    </row>
    <row r="275">
      <c r="A275" s="87">
        <v>120.0</v>
      </c>
      <c r="B275" s="43" t="s">
        <v>1139</v>
      </c>
      <c r="C275" s="53" t="s">
        <v>1145</v>
      </c>
      <c r="D275" s="45" t="s">
        <v>67</v>
      </c>
      <c r="E275" s="76"/>
      <c r="F275" s="87">
        <v>5.40009324E9</v>
      </c>
      <c r="G275" s="87" t="s">
        <v>1104</v>
      </c>
      <c r="H275" s="87">
        <v>1100.0</v>
      </c>
      <c r="I275" s="76"/>
      <c r="J275" s="53">
        <v>208243.0</v>
      </c>
      <c r="K275" s="105" t="s">
        <v>1146</v>
      </c>
      <c r="L275" s="71"/>
      <c r="M275" s="53">
        <v>1100.0</v>
      </c>
      <c r="N275" s="53">
        <v>118.0</v>
      </c>
      <c r="O275" s="53">
        <v>2.0</v>
      </c>
      <c r="P275" s="53">
        <v>200.0</v>
      </c>
      <c r="Q275" s="50" t="s">
        <v>63</v>
      </c>
      <c r="R275" s="53" t="s">
        <v>1144</v>
      </c>
      <c r="S275" s="50">
        <f t="shared" si="21"/>
        <v>14.75</v>
      </c>
      <c r="T275" s="50">
        <f t="shared" si="22"/>
        <v>78.6</v>
      </c>
      <c r="U275" s="69">
        <f t="shared" si="23"/>
        <v>5.328813559</v>
      </c>
      <c r="V275" s="70">
        <f t="shared" si="24"/>
        <v>206.4249364</v>
      </c>
      <c r="W275" s="87">
        <v>1100.0</v>
      </c>
      <c r="X275" s="76"/>
      <c r="Y275" s="87" t="s">
        <v>1129</v>
      </c>
      <c r="Z275" s="216" t="s">
        <v>1130</v>
      </c>
      <c r="AA275" s="76"/>
      <c r="AB275" s="104"/>
      <c r="AC275" s="76"/>
    </row>
    <row r="276">
      <c r="A276" s="87">
        <v>121.0</v>
      </c>
      <c r="B276" s="43" t="s">
        <v>1139</v>
      </c>
      <c r="C276" s="53" t="s">
        <v>1147</v>
      </c>
      <c r="D276" s="45" t="s">
        <v>67</v>
      </c>
      <c r="E276" s="76"/>
      <c r="F276" s="87">
        <v>5.40009324E9</v>
      </c>
      <c r="G276" s="87" t="s">
        <v>1104</v>
      </c>
      <c r="H276" s="268" t="s">
        <v>417</v>
      </c>
      <c r="I276" s="85"/>
      <c r="J276" s="53">
        <v>208246.0</v>
      </c>
      <c r="K276" s="105" t="s">
        <v>1148</v>
      </c>
      <c r="L276" s="71"/>
      <c r="M276" s="53">
        <v>320.0</v>
      </c>
      <c r="N276" s="52"/>
      <c r="O276" s="52"/>
      <c r="P276" s="52"/>
      <c r="Q276" s="50" t="s">
        <v>63</v>
      </c>
      <c r="R276" s="53" t="s">
        <v>178</v>
      </c>
      <c r="S276" s="52"/>
      <c r="T276" s="52"/>
      <c r="U276" s="52"/>
      <c r="V276" s="52"/>
      <c r="W276" s="87">
        <v>320.0</v>
      </c>
      <c r="X276" s="76"/>
      <c r="Y276" s="87" t="s">
        <v>1129</v>
      </c>
      <c r="Z276" s="216" t="s">
        <v>1130</v>
      </c>
      <c r="AA276" s="76"/>
      <c r="AB276" s="262">
        <v>1.0</v>
      </c>
      <c r="AC276" s="87">
        <v>188.0</v>
      </c>
    </row>
    <row r="277">
      <c r="A277" s="87">
        <v>122.0</v>
      </c>
      <c r="B277" s="43" t="s">
        <v>1139</v>
      </c>
      <c r="C277" s="48" t="s">
        <v>1149</v>
      </c>
      <c r="D277" s="45" t="s">
        <v>67</v>
      </c>
      <c r="E277" s="47"/>
      <c r="F277" s="87">
        <v>5.40009324E9</v>
      </c>
      <c r="G277" s="87" t="s">
        <v>1104</v>
      </c>
      <c r="H277" s="268" t="s">
        <v>417</v>
      </c>
      <c r="I277" s="85"/>
      <c r="J277" s="48">
        <v>208245.0</v>
      </c>
      <c r="K277" s="56" t="s">
        <v>1150</v>
      </c>
      <c r="L277" s="45"/>
      <c r="M277" s="48">
        <v>270.0</v>
      </c>
      <c r="N277" s="50"/>
      <c r="O277" s="50"/>
      <c r="P277" s="50"/>
      <c r="Q277" s="50" t="s">
        <v>63</v>
      </c>
      <c r="R277" s="53" t="s">
        <v>178</v>
      </c>
      <c r="S277" s="50"/>
      <c r="T277" s="50"/>
      <c r="U277" s="50"/>
      <c r="V277" s="50"/>
      <c r="W277" s="87">
        <v>272.0</v>
      </c>
      <c r="X277" s="76"/>
      <c r="Y277" s="87" t="s">
        <v>1129</v>
      </c>
      <c r="Z277" s="216" t="s">
        <v>1130</v>
      </c>
      <c r="AA277" s="76"/>
      <c r="AB277" s="104"/>
      <c r="AC277" s="76"/>
    </row>
    <row r="278">
      <c r="A278" s="87">
        <v>123.0</v>
      </c>
      <c r="B278" s="53" t="s">
        <v>395</v>
      </c>
      <c r="C278" s="269" t="s">
        <v>1151</v>
      </c>
      <c r="D278" s="270" t="s">
        <v>67</v>
      </c>
      <c r="E278" s="171"/>
      <c r="F278" s="47"/>
      <c r="G278" s="171"/>
      <c r="H278" s="271"/>
      <c r="I278" s="171"/>
      <c r="J278" s="171"/>
      <c r="K278" s="206" t="s">
        <v>1152</v>
      </c>
      <c r="L278" s="136" t="s">
        <v>264</v>
      </c>
      <c r="M278" s="100">
        <v>500000.0</v>
      </c>
      <c r="N278" s="100">
        <v>79.0</v>
      </c>
      <c r="O278" s="100">
        <v>40.0</v>
      </c>
      <c r="P278" s="100">
        <v>155.0</v>
      </c>
      <c r="Q278" s="50" t="s">
        <v>63</v>
      </c>
      <c r="R278" s="100" t="s">
        <v>268</v>
      </c>
      <c r="S278" s="126">
        <f t="shared" ref="S278:S434" si="25">N278/8</f>
        <v>9.875</v>
      </c>
      <c r="T278" s="126">
        <f t="shared" ref="T278:T434" si="26">39.3*O278</f>
        <v>1572</v>
      </c>
      <c r="U278" s="127">
        <f t="shared" ref="U278:U434" si="27">T278/S278</f>
        <v>159.1898734</v>
      </c>
      <c r="V278" s="128">
        <f t="shared" ref="V278:V434" si="28">M278/U278</f>
        <v>3140.903308</v>
      </c>
      <c r="W278" s="87">
        <v>500000.0</v>
      </c>
      <c r="X278" s="76"/>
      <c r="Y278" s="87" t="s">
        <v>1129</v>
      </c>
      <c r="Z278" s="216" t="s">
        <v>1130</v>
      </c>
      <c r="AA278" s="76"/>
      <c r="AB278" s="87">
        <v>10.0</v>
      </c>
      <c r="AC278" s="87">
        <v>188.0</v>
      </c>
    </row>
    <row r="279">
      <c r="A279" s="87">
        <v>124.0</v>
      </c>
      <c r="B279" s="43" t="s">
        <v>1153</v>
      </c>
      <c r="C279" s="53" t="s">
        <v>1154</v>
      </c>
      <c r="D279" s="96" t="s">
        <v>1155</v>
      </c>
      <c r="E279" s="47"/>
      <c r="F279" s="272"/>
      <c r="G279" s="273"/>
      <c r="H279" s="272"/>
      <c r="I279" s="179"/>
      <c r="J279" s="179"/>
      <c r="K279" s="45" t="s">
        <v>1156</v>
      </c>
      <c r="L279" s="179"/>
      <c r="M279" s="48">
        <v>1600.0</v>
      </c>
      <c r="N279" s="50">
        <v>81.0</v>
      </c>
      <c r="O279" s="50">
        <v>3.0</v>
      </c>
      <c r="P279" s="50">
        <v>140.0</v>
      </c>
      <c r="Q279" s="48" t="s">
        <v>1157</v>
      </c>
      <c r="R279" s="48" t="s">
        <v>1158</v>
      </c>
      <c r="S279" s="50">
        <f t="shared" si="25"/>
        <v>10.125</v>
      </c>
      <c r="T279" s="50">
        <f t="shared" si="26"/>
        <v>117.9</v>
      </c>
      <c r="U279" s="69">
        <f t="shared" si="27"/>
        <v>11.64444444</v>
      </c>
      <c r="V279" s="70">
        <f t="shared" si="28"/>
        <v>137.4045802</v>
      </c>
      <c r="W279" s="81">
        <v>1620.0</v>
      </c>
      <c r="X279" s="83"/>
      <c r="Y279" s="87" t="s">
        <v>1159</v>
      </c>
      <c r="Z279" s="216" t="s">
        <v>1160</v>
      </c>
      <c r="AA279" s="76"/>
      <c r="AB279" s="87">
        <v>1.0</v>
      </c>
      <c r="AC279" s="76"/>
    </row>
    <row r="280">
      <c r="A280" s="87">
        <v>125.0</v>
      </c>
      <c r="B280" s="43" t="s">
        <v>1108</v>
      </c>
      <c r="C280" s="53" t="s">
        <v>1161</v>
      </c>
      <c r="D280" s="45" t="s">
        <v>154</v>
      </c>
      <c r="E280" s="47"/>
      <c r="F280" s="47"/>
      <c r="G280" s="47"/>
      <c r="H280" s="47"/>
      <c r="I280" s="47"/>
      <c r="J280" s="47"/>
      <c r="K280" s="45" t="s">
        <v>155</v>
      </c>
      <c r="L280" s="47"/>
      <c r="M280" s="48">
        <v>27000.0</v>
      </c>
      <c r="N280" s="50">
        <v>92.0</v>
      </c>
      <c r="O280" s="50">
        <v>8.0</v>
      </c>
      <c r="P280" s="50">
        <v>140.0</v>
      </c>
      <c r="Q280" s="100" t="s">
        <v>1162</v>
      </c>
      <c r="R280" s="50" t="s">
        <v>157</v>
      </c>
      <c r="S280" s="50">
        <f t="shared" si="25"/>
        <v>11.5</v>
      </c>
      <c r="T280" s="50">
        <f t="shared" si="26"/>
        <v>314.4</v>
      </c>
      <c r="U280" s="69">
        <f t="shared" si="27"/>
        <v>27.33913043</v>
      </c>
      <c r="V280" s="70">
        <f t="shared" si="28"/>
        <v>987.5954198</v>
      </c>
      <c r="W280" s="76"/>
      <c r="X280" s="76"/>
      <c r="Y280" s="76"/>
      <c r="Z280" s="76"/>
      <c r="AA280" s="76"/>
      <c r="AB280" s="87">
        <v>1.0</v>
      </c>
      <c r="AC280" s="76"/>
    </row>
    <row r="281">
      <c r="A281" s="87">
        <v>126.0</v>
      </c>
      <c r="B281" s="43" t="s">
        <v>395</v>
      </c>
      <c r="C281" s="53" t="s">
        <v>1163</v>
      </c>
      <c r="D281" s="96" t="s">
        <v>515</v>
      </c>
      <c r="E281" s="71"/>
      <c r="F281" s="48" t="s">
        <v>1164</v>
      </c>
      <c r="G281" s="48" t="s">
        <v>1165</v>
      </c>
      <c r="H281" s="48">
        <v>10250.0</v>
      </c>
      <c r="I281" s="71"/>
      <c r="J281" s="71"/>
      <c r="K281" s="56" t="s">
        <v>1166</v>
      </c>
      <c r="L281" s="50" t="s">
        <v>518</v>
      </c>
      <c r="M281" s="50">
        <v>10250.0</v>
      </c>
      <c r="N281" s="50">
        <v>108.0</v>
      </c>
      <c r="O281" s="50">
        <v>4.0</v>
      </c>
      <c r="P281" s="50">
        <v>125.0</v>
      </c>
      <c r="Q281" s="100" t="s">
        <v>50</v>
      </c>
      <c r="R281" s="50" t="s">
        <v>520</v>
      </c>
      <c r="S281" s="126">
        <f t="shared" si="25"/>
        <v>13.5</v>
      </c>
      <c r="T281" s="126">
        <f t="shared" si="26"/>
        <v>157.2</v>
      </c>
      <c r="U281" s="127">
        <f t="shared" si="27"/>
        <v>11.64444444</v>
      </c>
      <c r="V281" s="128">
        <f t="shared" si="28"/>
        <v>880.2480916</v>
      </c>
      <c r="W281" s="216">
        <v>10700.0</v>
      </c>
      <c r="X281" s="76"/>
      <c r="Y281" s="216" t="s">
        <v>1167</v>
      </c>
      <c r="Z281" s="216" t="s">
        <v>1168</v>
      </c>
      <c r="AA281" s="76"/>
      <c r="AB281" s="87">
        <v>1.0</v>
      </c>
      <c r="AC281" s="76"/>
    </row>
    <row r="282">
      <c r="A282" s="87">
        <v>127.0</v>
      </c>
      <c r="B282" s="43" t="s">
        <v>395</v>
      </c>
      <c r="C282" s="53" t="s">
        <v>1169</v>
      </c>
      <c r="D282" s="96" t="s">
        <v>515</v>
      </c>
      <c r="E282" s="71"/>
      <c r="F282" s="48" t="s">
        <v>1164</v>
      </c>
      <c r="G282" s="48" t="s">
        <v>1165</v>
      </c>
      <c r="H282" s="48">
        <v>10250.0</v>
      </c>
      <c r="I282" s="71"/>
      <c r="J282" s="71"/>
      <c r="K282" s="56" t="s">
        <v>1170</v>
      </c>
      <c r="L282" s="50" t="s">
        <v>518</v>
      </c>
      <c r="M282" s="50">
        <v>10250.0</v>
      </c>
      <c r="N282" s="50">
        <v>108.0</v>
      </c>
      <c r="O282" s="50">
        <v>4.0</v>
      </c>
      <c r="P282" s="50">
        <v>125.0</v>
      </c>
      <c r="Q282" s="100" t="s">
        <v>50</v>
      </c>
      <c r="R282" s="50" t="s">
        <v>520</v>
      </c>
      <c r="S282" s="126">
        <f t="shared" si="25"/>
        <v>13.5</v>
      </c>
      <c r="T282" s="126">
        <f t="shared" si="26"/>
        <v>157.2</v>
      </c>
      <c r="U282" s="127">
        <f t="shared" si="27"/>
        <v>11.64444444</v>
      </c>
      <c r="V282" s="128">
        <f t="shared" si="28"/>
        <v>880.2480916</v>
      </c>
      <c r="W282" s="216">
        <v>10700.0</v>
      </c>
      <c r="X282" s="76"/>
      <c r="Y282" s="216" t="s">
        <v>1167</v>
      </c>
      <c r="Z282" s="216" t="s">
        <v>1168</v>
      </c>
      <c r="AA282" s="76"/>
      <c r="AB282" s="87">
        <v>1.0</v>
      </c>
      <c r="AC282" s="76"/>
    </row>
    <row r="283">
      <c r="A283" s="87">
        <v>128.0</v>
      </c>
      <c r="B283" s="43" t="s">
        <v>447</v>
      </c>
      <c r="C283" s="53" t="s">
        <v>1171</v>
      </c>
      <c r="D283" s="45" t="s">
        <v>247</v>
      </c>
      <c r="E283" s="45"/>
      <c r="F283" s="43" t="s">
        <v>448</v>
      </c>
      <c r="G283" s="137">
        <v>46362.0</v>
      </c>
      <c r="H283" s="48">
        <v>6000.0</v>
      </c>
      <c r="I283" s="111" t="s">
        <v>340</v>
      </c>
      <c r="J283" s="85"/>
      <c r="K283" s="45" t="s">
        <v>351</v>
      </c>
      <c r="L283" s="50" t="s">
        <v>252</v>
      </c>
      <c r="M283" s="48">
        <v>7000.0</v>
      </c>
      <c r="N283" s="100">
        <v>85.0</v>
      </c>
      <c r="O283" s="100">
        <v>2.0</v>
      </c>
      <c r="P283" s="100">
        <v>170.0</v>
      </c>
      <c r="Q283" s="50" t="s">
        <v>162</v>
      </c>
      <c r="R283" s="50" t="s">
        <v>353</v>
      </c>
      <c r="S283" s="50">
        <f t="shared" si="25"/>
        <v>10.625</v>
      </c>
      <c r="T283" s="50">
        <f t="shared" si="26"/>
        <v>78.6</v>
      </c>
      <c r="U283" s="69">
        <f t="shared" si="27"/>
        <v>7.397647059</v>
      </c>
      <c r="V283" s="70">
        <f t="shared" si="28"/>
        <v>946.2468193</v>
      </c>
      <c r="W283" s="216">
        <v>7940.0</v>
      </c>
      <c r="X283" s="76"/>
      <c r="Y283" s="216" t="s">
        <v>1172</v>
      </c>
      <c r="Z283" s="216" t="s">
        <v>841</v>
      </c>
      <c r="AA283" s="76"/>
      <c r="AB283" s="87">
        <v>2.0</v>
      </c>
      <c r="AC283" s="87">
        <v>197.0</v>
      </c>
    </row>
    <row r="284">
      <c r="A284" s="87">
        <v>129.0</v>
      </c>
      <c r="B284" s="43" t="s">
        <v>447</v>
      </c>
      <c r="C284" s="53" t="s">
        <v>1173</v>
      </c>
      <c r="D284" s="45" t="s">
        <v>247</v>
      </c>
      <c r="E284" s="45"/>
      <c r="F284" s="106" t="s">
        <v>448</v>
      </c>
      <c r="G284" s="266">
        <v>46362.0</v>
      </c>
      <c r="H284" s="98">
        <v>8000.0</v>
      </c>
      <c r="I284" s="47"/>
      <c r="J284" s="47"/>
      <c r="K284" s="56" t="s">
        <v>1174</v>
      </c>
      <c r="L284" s="50" t="s">
        <v>252</v>
      </c>
      <c r="M284" s="48">
        <v>8000.0</v>
      </c>
      <c r="N284" s="66">
        <v>89.0</v>
      </c>
      <c r="O284" s="66">
        <v>1.0</v>
      </c>
      <c r="P284" s="66">
        <v>160.0</v>
      </c>
      <c r="Q284" s="50" t="s">
        <v>63</v>
      </c>
      <c r="R284" s="66" t="s">
        <v>254</v>
      </c>
      <c r="S284" s="50">
        <f t="shared" si="25"/>
        <v>11.125</v>
      </c>
      <c r="T284" s="50">
        <f t="shared" si="26"/>
        <v>39.3</v>
      </c>
      <c r="U284" s="69">
        <f t="shared" si="27"/>
        <v>3.53258427</v>
      </c>
      <c r="V284" s="70">
        <f t="shared" si="28"/>
        <v>2264.631043</v>
      </c>
      <c r="W284" s="216">
        <v>8675.0</v>
      </c>
      <c r="X284" s="76"/>
      <c r="Y284" s="216" t="s">
        <v>1172</v>
      </c>
      <c r="Z284" s="216" t="s">
        <v>841</v>
      </c>
      <c r="AA284" s="76"/>
      <c r="AB284" s="87">
        <v>3.0</v>
      </c>
      <c r="AC284" s="87">
        <v>197.0</v>
      </c>
    </row>
    <row r="285">
      <c r="A285" s="87">
        <v>130.0</v>
      </c>
      <c r="B285" s="43" t="s">
        <v>447</v>
      </c>
      <c r="C285" s="53" t="s">
        <v>1175</v>
      </c>
      <c r="D285" s="45" t="s">
        <v>247</v>
      </c>
      <c r="E285" s="45"/>
      <c r="F285" s="106" t="s">
        <v>448</v>
      </c>
      <c r="G285" s="266">
        <v>46362.0</v>
      </c>
      <c r="H285" s="98">
        <v>20000.0</v>
      </c>
      <c r="I285" s="47"/>
      <c r="J285" s="47"/>
      <c r="K285" s="56" t="s">
        <v>942</v>
      </c>
      <c r="L285" s="50" t="s">
        <v>252</v>
      </c>
      <c r="M285" s="48">
        <v>20000.0</v>
      </c>
      <c r="N285" s="66">
        <v>89.0</v>
      </c>
      <c r="O285" s="66">
        <v>1.0</v>
      </c>
      <c r="P285" s="66">
        <v>160.0</v>
      </c>
      <c r="Q285" s="50" t="s">
        <v>63</v>
      </c>
      <c r="R285" s="66" t="s">
        <v>254</v>
      </c>
      <c r="S285" s="50">
        <f t="shared" si="25"/>
        <v>11.125</v>
      </c>
      <c r="T285" s="50">
        <f t="shared" si="26"/>
        <v>39.3</v>
      </c>
      <c r="U285" s="69">
        <f t="shared" si="27"/>
        <v>3.53258427</v>
      </c>
      <c r="V285" s="70">
        <f t="shared" si="28"/>
        <v>5661.577608</v>
      </c>
      <c r="W285" s="216">
        <v>20110.0</v>
      </c>
      <c r="X285" s="76"/>
      <c r="Y285" s="216" t="s">
        <v>1172</v>
      </c>
      <c r="Z285" s="216" t="s">
        <v>841</v>
      </c>
      <c r="AA285" s="76"/>
      <c r="AB285" s="87">
        <v>7.0</v>
      </c>
      <c r="AC285" s="87">
        <v>197.0</v>
      </c>
    </row>
    <row r="286">
      <c r="A286" s="87">
        <v>131.0</v>
      </c>
      <c r="B286" s="43" t="s">
        <v>447</v>
      </c>
      <c r="C286" s="53" t="s">
        <v>1176</v>
      </c>
      <c r="D286" s="45" t="s">
        <v>247</v>
      </c>
      <c r="E286" s="45"/>
      <c r="F286" s="48" t="s">
        <v>448</v>
      </c>
      <c r="G286" s="176">
        <v>46362.0</v>
      </c>
      <c r="H286" s="48">
        <v>15000.0</v>
      </c>
      <c r="I286" s="47"/>
      <c r="J286" s="47"/>
      <c r="K286" s="45" t="s">
        <v>1177</v>
      </c>
      <c r="L286" s="50" t="s">
        <v>252</v>
      </c>
      <c r="M286" s="129">
        <v>18000.0</v>
      </c>
      <c r="N286" s="50">
        <v>89.0</v>
      </c>
      <c r="O286" s="50">
        <v>3.0</v>
      </c>
      <c r="P286" s="50">
        <v>260.0</v>
      </c>
      <c r="Q286" s="50" t="s">
        <v>63</v>
      </c>
      <c r="R286" s="50" t="s">
        <v>353</v>
      </c>
      <c r="S286" s="50">
        <f t="shared" si="25"/>
        <v>11.125</v>
      </c>
      <c r="T286" s="50">
        <f t="shared" si="26"/>
        <v>117.9</v>
      </c>
      <c r="U286" s="69">
        <f t="shared" si="27"/>
        <v>10.59775281</v>
      </c>
      <c r="V286" s="70">
        <f t="shared" si="28"/>
        <v>1698.473282</v>
      </c>
      <c r="W286" s="216">
        <v>16575.0</v>
      </c>
      <c r="X286" s="76"/>
      <c r="Y286" s="216" t="s">
        <v>1172</v>
      </c>
      <c r="Z286" s="216" t="s">
        <v>841</v>
      </c>
      <c r="AA286" s="76"/>
      <c r="AB286" s="87">
        <v>3.0</v>
      </c>
      <c r="AC286" s="87">
        <v>197.0</v>
      </c>
    </row>
    <row r="287">
      <c r="A287" s="87">
        <v>132.0</v>
      </c>
      <c r="B287" s="133" t="s">
        <v>274</v>
      </c>
      <c r="C287" s="48" t="s">
        <v>1178</v>
      </c>
      <c r="D287" s="45" t="s">
        <v>247</v>
      </c>
      <c r="E287" s="47"/>
      <c r="F287" s="48" t="s">
        <v>276</v>
      </c>
      <c r="G287" s="48" t="s">
        <v>277</v>
      </c>
      <c r="H287" s="48">
        <v>10000.0</v>
      </c>
      <c r="I287" s="47"/>
      <c r="J287" s="47"/>
      <c r="K287" s="163" t="s">
        <v>1179</v>
      </c>
      <c r="L287" s="50" t="s">
        <v>252</v>
      </c>
      <c r="M287" s="157">
        <v>12000.0</v>
      </c>
      <c r="N287" s="66">
        <v>108.0</v>
      </c>
      <c r="O287" s="66">
        <v>8.0</v>
      </c>
      <c r="P287" s="66">
        <v>145.0</v>
      </c>
      <c r="Q287" s="50" t="s">
        <v>63</v>
      </c>
      <c r="R287" s="66" t="s">
        <v>1180</v>
      </c>
      <c r="S287" s="50">
        <f t="shared" si="25"/>
        <v>13.5</v>
      </c>
      <c r="T287" s="50">
        <f t="shared" si="26"/>
        <v>314.4</v>
      </c>
      <c r="U287" s="69">
        <f t="shared" si="27"/>
        <v>23.28888889</v>
      </c>
      <c r="V287" s="70">
        <f t="shared" si="28"/>
        <v>515.2671756</v>
      </c>
      <c r="W287" s="216">
        <v>13570.0</v>
      </c>
      <c r="X287" s="76"/>
      <c r="Y287" s="216" t="s">
        <v>1172</v>
      </c>
      <c r="Z287" s="216" t="s">
        <v>841</v>
      </c>
      <c r="AA287" s="76"/>
      <c r="AB287" s="216">
        <v>1.0</v>
      </c>
      <c r="AC287" s="87">
        <v>197.0</v>
      </c>
    </row>
    <row r="288">
      <c r="A288" s="87">
        <v>133.0</v>
      </c>
      <c r="B288" s="43" t="s">
        <v>447</v>
      </c>
      <c r="C288" s="53" t="s">
        <v>1181</v>
      </c>
      <c r="D288" s="45" t="s">
        <v>247</v>
      </c>
      <c r="E288" s="45"/>
      <c r="F288" s="43" t="s">
        <v>448</v>
      </c>
      <c r="G288" s="137">
        <v>46362.0</v>
      </c>
      <c r="H288" s="48">
        <v>4000.0</v>
      </c>
      <c r="I288" s="47"/>
      <c r="J288" s="47"/>
      <c r="K288" s="45" t="s">
        <v>1182</v>
      </c>
      <c r="L288" s="100" t="s">
        <v>252</v>
      </c>
      <c r="M288" s="50">
        <v>4000.0</v>
      </c>
      <c r="N288" s="50">
        <v>85.0</v>
      </c>
      <c r="O288" s="50">
        <v>1.0</v>
      </c>
      <c r="P288" s="48">
        <v>165.0</v>
      </c>
      <c r="Q288" s="50" t="s">
        <v>63</v>
      </c>
      <c r="R288" s="48" t="s">
        <v>1183</v>
      </c>
      <c r="S288" s="50">
        <f t="shared" si="25"/>
        <v>10.625</v>
      </c>
      <c r="T288" s="50">
        <f t="shared" si="26"/>
        <v>39.3</v>
      </c>
      <c r="U288" s="69">
        <f t="shared" si="27"/>
        <v>3.698823529</v>
      </c>
      <c r="V288" s="70">
        <f t="shared" si="28"/>
        <v>1081.424936</v>
      </c>
      <c r="W288" s="216">
        <v>4490.0</v>
      </c>
      <c r="X288" s="76"/>
      <c r="Y288" s="216" t="s">
        <v>1172</v>
      </c>
      <c r="Z288" s="216" t="s">
        <v>841</v>
      </c>
      <c r="AA288" s="76"/>
      <c r="AB288" s="216">
        <v>2.0</v>
      </c>
      <c r="AC288" s="87">
        <v>197.0</v>
      </c>
    </row>
    <row r="289">
      <c r="A289" s="87">
        <v>134.0</v>
      </c>
      <c r="B289" s="43" t="s">
        <v>447</v>
      </c>
      <c r="C289" s="53" t="s">
        <v>1184</v>
      </c>
      <c r="D289" s="45" t="s">
        <v>247</v>
      </c>
      <c r="E289" s="45"/>
      <c r="F289" s="43" t="s">
        <v>448</v>
      </c>
      <c r="G289" s="137">
        <v>46362.0</v>
      </c>
      <c r="H289" s="48">
        <v>5000.0</v>
      </c>
      <c r="I289" s="47"/>
      <c r="J289" s="47"/>
      <c r="K289" s="56" t="s">
        <v>1185</v>
      </c>
      <c r="L289" s="100" t="s">
        <v>252</v>
      </c>
      <c r="M289" s="48">
        <v>5000.0</v>
      </c>
      <c r="N289" s="50">
        <v>85.0</v>
      </c>
      <c r="O289" s="50">
        <v>1.0</v>
      </c>
      <c r="P289" s="48">
        <v>165.0</v>
      </c>
      <c r="Q289" s="50" t="s">
        <v>63</v>
      </c>
      <c r="R289" s="48" t="s">
        <v>1183</v>
      </c>
      <c r="S289" s="50">
        <f t="shared" si="25"/>
        <v>10.625</v>
      </c>
      <c r="T289" s="50">
        <f t="shared" si="26"/>
        <v>39.3</v>
      </c>
      <c r="U289" s="69">
        <f t="shared" si="27"/>
        <v>3.698823529</v>
      </c>
      <c r="V289" s="70">
        <f t="shared" si="28"/>
        <v>1351.78117</v>
      </c>
      <c r="W289" s="216">
        <v>5595.0</v>
      </c>
      <c r="X289" s="76"/>
      <c r="Y289" s="216" t="s">
        <v>1172</v>
      </c>
      <c r="Z289" s="216" t="s">
        <v>841</v>
      </c>
      <c r="AA289" s="76"/>
      <c r="AB289" s="216">
        <v>2.0</v>
      </c>
      <c r="AC289" s="87">
        <v>197.0</v>
      </c>
    </row>
    <row r="290">
      <c r="A290" s="87">
        <v>135.0</v>
      </c>
      <c r="B290" s="43" t="s">
        <v>447</v>
      </c>
      <c r="C290" s="53" t="s">
        <v>1186</v>
      </c>
      <c r="D290" s="45" t="s">
        <v>247</v>
      </c>
      <c r="E290" s="45"/>
      <c r="F290" s="43" t="s">
        <v>448</v>
      </c>
      <c r="G290" s="137">
        <v>46362.0</v>
      </c>
      <c r="H290" s="48">
        <v>5000.0</v>
      </c>
      <c r="I290" s="47"/>
      <c r="J290" s="47"/>
      <c r="K290" s="56" t="s">
        <v>1187</v>
      </c>
      <c r="L290" s="100" t="s">
        <v>252</v>
      </c>
      <c r="M290" s="48">
        <v>5000.0</v>
      </c>
      <c r="N290" s="50">
        <v>85.0</v>
      </c>
      <c r="O290" s="50">
        <v>1.0</v>
      </c>
      <c r="P290" s="48">
        <v>165.0</v>
      </c>
      <c r="Q290" s="50" t="s">
        <v>63</v>
      </c>
      <c r="R290" s="48" t="s">
        <v>1183</v>
      </c>
      <c r="S290" s="50">
        <f t="shared" si="25"/>
        <v>10.625</v>
      </c>
      <c r="T290" s="50">
        <f t="shared" si="26"/>
        <v>39.3</v>
      </c>
      <c r="U290" s="69">
        <f t="shared" si="27"/>
        <v>3.698823529</v>
      </c>
      <c r="V290" s="70">
        <f t="shared" si="28"/>
        <v>1351.78117</v>
      </c>
      <c r="W290" s="216">
        <v>5500.0</v>
      </c>
      <c r="X290" s="76"/>
      <c r="Y290" s="216" t="s">
        <v>1172</v>
      </c>
      <c r="Z290" s="216" t="s">
        <v>841</v>
      </c>
      <c r="AA290" s="76"/>
      <c r="AB290" s="216">
        <v>3.0</v>
      </c>
      <c r="AC290" s="87">
        <v>197.0</v>
      </c>
    </row>
    <row r="291">
      <c r="A291" s="87">
        <v>136.0</v>
      </c>
      <c r="B291" s="43" t="s">
        <v>65</v>
      </c>
      <c r="C291" s="53" t="s">
        <v>1188</v>
      </c>
      <c r="D291" s="51" t="s">
        <v>67</v>
      </c>
      <c r="E291" s="47"/>
      <c r="F291" s="242" t="s">
        <v>1189</v>
      </c>
      <c r="G291" s="242" t="s">
        <v>1190</v>
      </c>
      <c r="H291" s="242" t="s">
        <v>1191</v>
      </c>
      <c r="I291" s="47"/>
      <c r="J291" s="261">
        <v>206556.0</v>
      </c>
      <c r="K291" s="274" t="s">
        <v>923</v>
      </c>
      <c r="L291" s="261" t="s">
        <v>258</v>
      </c>
      <c r="M291" s="275">
        <v>42500.0</v>
      </c>
      <c r="N291" s="50">
        <v>75.0</v>
      </c>
      <c r="O291" s="50">
        <v>4.0</v>
      </c>
      <c r="P291" s="50">
        <v>175.0</v>
      </c>
      <c r="Q291" s="50" t="s">
        <v>213</v>
      </c>
      <c r="R291" s="50" t="s">
        <v>737</v>
      </c>
      <c r="S291" s="50">
        <f t="shared" si="25"/>
        <v>9.375</v>
      </c>
      <c r="T291" s="50">
        <f t="shared" si="26"/>
        <v>157.2</v>
      </c>
      <c r="U291" s="69">
        <f t="shared" si="27"/>
        <v>16.768</v>
      </c>
      <c r="V291" s="70">
        <f t="shared" si="28"/>
        <v>2534.589695</v>
      </c>
      <c r="W291" s="216">
        <v>43600.0</v>
      </c>
      <c r="X291" s="76"/>
      <c r="Y291" s="216" t="s">
        <v>1172</v>
      </c>
      <c r="Z291" s="216" t="s">
        <v>875</v>
      </c>
      <c r="AA291" s="76"/>
      <c r="AB291" s="216">
        <v>3.0</v>
      </c>
      <c r="AC291" s="87">
        <v>198.0</v>
      </c>
    </row>
    <row r="292">
      <c r="A292" s="87">
        <v>137.0</v>
      </c>
      <c r="B292" s="43" t="s">
        <v>65</v>
      </c>
      <c r="C292" s="48" t="s">
        <v>1192</v>
      </c>
      <c r="D292" s="51" t="s">
        <v>67</v>
      </c>
      <c r="E292" s="47"/>
      <c r="F292" s="242" t="s">
        <v>1189</v>
      </c>
      <c r="G292" s="242" t="s">
        <v>1190</v>
      </c>
      <c r="H292" s="242" t="s">
        <v>1193</v>
      </c>
      <c r="I292" s="47"/>
      <c r="J292" s="261">
        <v>206558.0</v>
      </c>
      <c r="K292" s="274" t="s">
        <v>295</v>
      </c>
      <c r="L292" s="261" t="s">
        <v>258</v>
      </c>
      <c r="M292" s="275">
        <v>9500.0</v>
      </c>
      <c r="N292" s="151">
        <v>94.0</v>
      </c>
      <c r="O292" s="151">
        <v>2.0</v>
      </c>
      <c r="P292" s="151">
        <v>290.0</v>
      </c>
      <c r="Q292" s="50" t="s">
        <v>213</v>
      </c>
      <c r="R292" s="151" t="s">
        <v>214</v>
      </c>
      <c r="S292" s="50">
        <f t="shared" si="25"/>
        <v>11.75</v>
      </c>
      <c r="T292" s="50">
        <f t="shared" si="26"/>
        <v>78.6</v>
      </c>
      <c r="U292" s="69">
        <f t="shared" si="27"/>
        <v>6.689361702</v>
      </c>
      <c r="V292" s="70">
        <f t="shared" si="28"/>
        <v>1420.165394</v>
      </c>
      <c r="W292" s="216">
        <v>10000.0</v>
      </c>
      <c r="X292" s="76"/>
      <c r="Y292" s="216" t="s">
        <v>1172</v>
      </c>
      <c r="Z292" s="216" t="s">
        <v>875</v>
      </c>
      <c r="AA292" s="76"/>
      <c r="AB292" s="216">
        <v>3.0</v>
      </c>
      <c r="AC292" s="87">
        <v>198.0</v>
      </c>
    </row>
    <row r="293">
      <c r="A293" s="87">
        <v>138.0</v>
      </c>
      <c r="B293" s="43" t="s">
        <v>65</v>
      </c>
      <c r="C293" s="48" t="s">
        <v>1194</v>
      </c>
      <c r="D293" s="51" t="s">
        <v>67</v>
      </c>
      <c r="E293" s="47"/>
      <c r="F293" s="242" t="s">
        <v>1189</v>
      </c>
      <c r="G293" s="242" t="s">
        <v>1190</v>
      </c>
      <c r="H293" s="242" t="s">
        <v>1195</v>
      </c>
      <c r="I293" s="47"/>
      <c r="J293" s="261">
        <v>207131.0</v>
      </c>
      <c r="K293" s="274" t="s">
        <v>882</v>
      </c>
      <c r="L293" s="261" t="s">
        <v>258</v>
      </c>
      <c r="M293" s="275">
        <v>4000.0</v>
      </c>
      <c r="N293" s="50">
        <v>112.0</v>
      </c>
      <c r="O293" s="50">
        <v>1.0</v>
      </c>
      <c r="P293" s="50">
        <v>205.0</v>
      </c>
      <c r="Q293" s="50" t="s">
        <v>213</v>
      </c>
      <c r="R293" s="50" t="s">
        <v>644</v>
      </c>
      <c r="S293" s="50">
        <f t="shared" si="25"/>
        <v>14</v>
      </c>
      <c r="T293" s="50">
        <f t="shared" si="26"/>
        <v>39.3</v>
      </c>
      <c r="U293" s="69">
        <f t="shared" si="27"/>
        <v>2.807142857</v>
      </c>
      <c r="V293" s="70">
        <f t="shared" si="28"/>
        <v>1424.936387</v>
      </c>
      <c r="W293" s="216">
        <v>4000.0</v>
      </c>
      <c r="X293" s="76"/>
      <c r="Y293" s="216" t="s">
        <v>1172</v>
      </c>
      <c r="Z293" s="216" t="s">
        <v>875</v>
      </c>
      <c r="AA293" s="76"/>
      <c r="AB293" s="216">
        <v>2.0</v>
      </c>
      <c r="AC293" s="87">
        <v>198.0</v>
      </c>
    </row>
    <row r="294">
      <c r="A294" s="87">
        <v>139.0</v>
      </c>
      <c r="B294" s="43" t="s">
        <v>65</v>
      </c>
      <c r="C294" s="53" t="s">
        <v>1196</v>
      </c>
      <c r="D294" s="51" t="s">
        <v>67</v>
      </c>
      <c r="E294" s="47"/>
      <c r="F294" s="276">
        <v>5.400093351E9</v>
      </c>
      <c r="G294" s="277" t="s">
        <v>1159</v>
      </c>
      <c r="H294" s="48">
        <v>4100.0</v>
      </c>
      <c r="I294" s="47"/>
      <c r="J294" s="50">
        <v>207739.0</v>
      </c>
      <c r="K294" s="51" t="s">
        <v>146</v>
      </c>
      <c r="L294" s="47"/>
      <c r="M294" s="50">
        <v>4100.0</v>
      </c>
      <c r="N294" s="50">
        <v>108.0</v>
      </c>
      <c r="O294" s="50">
        <v>2.0</v>
      </c>
      <c r="P294" s="50">
        <v>320.0</v>
      </c>
      <c r="Q294" s="50" t="s">
        <v>63</v>
      </c>
      <c r="R294" s="50" t="s">
        <v>149</v>
      </c>
      <c r="S294" s="50">
        <f t="shared" si="25"/>
        <v>13.5</v>
      </c>
      <c r="T294" s="50">
        <f t="shared" si="26"/>
        <v>78.6</v>
      </c>
      <c r="U294" s="69">
        <f t="shared" si="27"/>
        <v>5.822222222</v>
      </c>
      <c r="V294" s="70">
        <f t="shared" si="28"/>
        <v>704.1984733</v>
      </c>
      <c r="W294" s="216">
        <v>4100.0</v>
      </c>
      <c r="X294" s="76"/>
      <c r="Y294" s="216" t="s">
        <v>1172</v>
      </c>
      <c r="Z294" s="216" t="s">
        <v>875</v>
      </c>
      <c r="AA294" s="76"/>
      <c r="AB294" s="216">
        <v>2.0</v>
      </c>
      <c r="AC294" s="87">
        <v>198.0</v>
      </c>
    </row>
    <row r="295">
      <c r="A295" s="87">
        <v>140.0</v>
      </c>
      <c r="B295" s="43" t="s">
        <v>65</v>
      </c>
      <c r="C295" s="53" t="s">
        <v>1197</v>
      </c>
      <c r="D295" s="51" t="s">
        <v>67</v>
      </c>
      <c r="E295" s="47"/>
      <c r="F295" s="278" t="s">
        <v>1198</v>
      </c>
      <c r="G295" s="279" t="s">
        <v>1199</v>
      </c>
      <c r="H295" s="280" t="s">
        <v>1200</v>
      </c>
      <c r="I295" s="47"/>
      <c r="J295" s="50">
        <v>207741.0</v>
      </c>
      <c r="K295" s="51" t="s">
        <v>124</v>
      </c>
      <c r="L295" s="47"/>
      <c r="M295" s="50">
        <v>2050.0</v>
      </c>
      <c r="N295" s="50">
        <v>89.0</v>
      </c>
      <c r="O295" s="50">
        <v>1.0</v>
      </c>
      <c r="P295" s="50">
        <v>205.0</v>
      </c>
      <c r="Q295" s="50" t="s">
        <v>63</v>
      </c>
      <c r="R295" s="50" t="s">
        <v>125</v>
      </c>
      <c r="S295" s="50">
        <f t="shared" si="25"/>
        <v>11.125</v>
      </c>
      <c r="T295" s="50">
        <f t="shared" si="26"/>
        <v>39.3</v>
      </c>
      <c r="U295" s="69">
        <f t="shared" si="27"/>
        <v>3.53258427</v>
      </c>
      <c r="V295" s="70">
        <f t="shared" si="28"/>
        <v>580.3117048</v>
      </c>
      <c r="W295" s="216">
        <v>2050.0</v>
      </c>
      <c r="X295" s="76"/>
      <c r="Y295" s="216" t="s">
        <v>1172</v>
      </c>
      <c r="Z295" s="216" t="s">
        <v>875</v>
      </c>
      <c r="AA295" s="76"/>
      <c r="AB295" s="216">
        <v>1.0</v>
      </c>
      <c r="AC295" s="87">
        <v>198.0</v>
      </c>
    </row>
    <row r="296">
      <c r="A296" s="87">
        <v>141.0</v>
      </c>
      <c r="B296" s="43" t="s">
        <v>65</v>
      </c>
      <c r="C296" s="48" t="s">
        <v>1201</v>
      </c>
      <c r="D296" s="51" t="s">
        <v>67</v>
      </c>
      <c r="E296" s="47"/>
      <c r="F296" s="104"/>
      <c r="G296" s="104"/>
      <c r="H296" s="104"/>
      <c r="I296" s="47"/>
      <c r="J296" s="50">
        <v>207741.0</v>
      </c>
      <c r="K296" s="51" t="s">
        <v>130</v>
      </c>
      <c r="L296" s="47"/>
      <c r="M296" s="50">
        <v>2050.0</v>
      </c>
      <c r="N296" s="50">
        <v>89.0</v>
      </c>
      <c r="O296" s="50">
        <v>1.0</v>
      </c>
      <c r="P296" s="50">
        <v>205.0</v>
      </c>
      <c r="Q296" s="50" t="s">
        <v>63</v>
      </c>
      <c r="R296" s="50" t="s">
        <v>125</v>
      </c>
      <c r="S296" s="50">
        <f t="shared" si="25"/>
        <v>11.125</v>
      </c>
      <c r="T296" s="50">
        <f t="shared" si="26"/>
        <v>39.3</v>
      </c>
      <c r="U296" s="69">
        <f t="shared" si="27"/>
        <v>3.53258427</v>
      </c>
      <c r="V296" s="70">
        <f t="shared" si="28"/>
        <v>580.3117048</v>
      </c>
      <c r="W296" s="216">
        <v>2050.0</v>
      </c>
      <c r="X296" s="76"/>
      <c r="Y296" s="216" t="s">
        <v>1172</v>
      </c>
      <c r="Z296" s="216" t="s">
        <v>875</v>
      </c>
      <c r="AA296" s="76"/>
      <c r="AB296" s="216">
        <v>1.0</v>
      </c>
      <c r="AC296" s="87">
        <v>198.0</v>
      </c>
    </row>
    <row r="297">
      <c r="A297" s="87">
        <v>142.0</v>
      </c>
      <c r="B297" s="43" t="s">
        <v>395</v>
      </c>
      <c r="C297" s="53" t="s">
        <v>1202</v>
      </c>
      <c r="D297" s="96" t="s">
        <v>515</v>
      </c>
      <c r="E297" s="71"/>
      <c r="F297" s="48" t="s">
        <v>1164</v>
      </c>
      <c r="G297" s="48" t="s">
        <v>1165</v>
      </c>
      <c r="H297" s="48">
        <v>10250.0</v>
      </c>
      <c r="I297" s="71"/>
      <c r="J297" s="71"/>
      <c r="K297" s="56" t="s">
        <v>1203</v>
      </c>
      <c r="L297" s="50" t="s">
        <v>518</v>
      </c>
      <c r="M297" s="50">
        <v>10250.0</v>
      </c>
      <c r="N297" s="50">
        <v>108.0</v>
      </c>
      <c r="O297" s="50">
        <v>4.0</v>
      </c>
      <c r="P297" s="50">
        <v>125.0</v>
      </c>
      <c r="Q297" s="100" t="s">
        <v>50</v>
      </c>
      <c r="R297" s="50" t="s">
        <v>520</v>
      </c>
      <c r="S297" s="126">
        <f t="shared" si="25"/>
        <v>13.5</v>
      </c>
      <c r="T297" s="126">
        <f t="shared" si="26"/>
        <v>157.2</v>
      </c>
      <c r="U297" s="127">
        <f t="shared" si="27"/>
        <v>11.64444444</v>
      </c>
      <c r="V297" s="128">
        <f t="shared" si="28"/>
        <v>880.2480916</v>
      </c>
      <c r="W297" s="216">
        <v>10700.0</v>
      </c>
      <c r="X297" s="76"/>
      <c r="Y297" s="216" t="s">
        <v>1204</v>
      </c>
      <c r="Z297" s="216" t="s">
        <v>1168</v>
      </c>
      <c r="AA297" s="76"/>
      <c r="AB297" s="216">
        <v>1.0</v>
      </c>
      <c r="AC297" s="76"/>
    </row>
    <row r="298">
      <c r="A298" s="87">
        <v>143.0</v>
      </c>
      <c r="B298" s="43" t="s">
        <v>395</v>
      </c>
      <c r="C298" s="53" t="s">
        <v>1205</v>
      </c>
      <c r="D298" s="96" t="s">
        <v>515</v>
      </c>
      <c r="E298" s="71"/>
      <c r="F298" s="48" t="s">
        <v>1164</v>
      </c>
      <c r="G298" s="48" t="s">
        <v>1165</v>
      </c>
      <c r="H298" s="48">
        <v>10250.0</v>
      </c>
      <c r="I298" s="71"/>
      <c r="J298" s="71"/>
      <c r="K298" s="56" t="s">
        <v>1206</v>
      </c>
      <c r="L298" s="50" t="s">
        <v>518</v>
      </c>
      <c r="M298" s="50">
        <v>10250.0</v>
      </c>
      <c r="N298" s="50">
        <v>108.0</v>
      </c>
      <c r="O298" s="50">
        <v>4.0</v>
      </c>
      <c r="P298" s="50">
        <v>125.0</v>
      </c>
      <c r="Q298" s="100" t="s">
        <v>50</v>
      </c>
      <c r="R298" s="50" t="s">
        <v>520</v>
      </c>
      <c r="S298" s="126">
        <f t="shared" si="25"/>
        <v>13.5</v>
      </c>
      <c r="T298" s="126">
        <f t="shared" si="26"/>
        <v>157.2</v>
      </c>
      <c r="U298" s="127">
        <f t="shared" si="27"/>
        <v>11.64444444</v>
      </c>
      <c r="V298" s="128">
        <f t="shared" si="28"/>
        <v>880.2480916</v>
      </c>
      <c r="W298" s="216">
        <v>10700.0</v>
      </c>
      <c r="X298" s="76"/>
      <c r="Y298" s="216" t="s">
        <v>1204</v>
      </c>
      <c r="Z298" s="216" t="s">
        <v>1168</v>
      </c>
      <c r="AA298" s="76"/>
      <c r="AB298" s="216">
        <v>1.0</v>
      </c>
      <c r="AC298" s="76"/>
    </row>
    <row r="299">
      <c r="A299" s="87">
        <v>144.0</v>
      </c>
      <c r="B299" s="43" t="s">
        <v>65</v>
      </c>
      <c r="C299" s="48" t="s">
        <v>1207</v>
      </c>
      <c r="D299" s="51" t="s">
        <v>67</v>
      </c>
      <c r="E299" s="47"/>
      <c r="F299" s="242" t="s">
        <v>1208</v>
      </c>
      <c r="G299" s="242" t="s">
        <v>1209</v>
      </c>
      <c r="H299" s="242" t="s">
        <v>1210</v>
      </c>
      <c r="I299" s="47"/>
      <c r="J299" s="261">
        <v>206557.0</v>
      </c>
      <c r="K299" s="274" t="s">
        <v>81</v>
      </c>
      <c r="L299" s="261" t="s">
        <v>258</v>
      </c>
      <c r="M299" s="275">
        <v>8100.0</v>
      </c>
      <c r="N299" s="50">
        <v>75.0</v>
      </c>
      <c r="O299" s="50">
        <v>3.0</v>
      </c>
      <c r="P299" s="50">
        <v>330.0</v>
      </c>
      <c r="Q299" s="50" t="s">
        <v>213</v>
      </c>
      <c r="R299" s="50" t="s">
        <v>241</v>
      </c>
      <c r="S299" s="50">
        <f t="shared" si="25"/>
        <v>9.375</v>
      </c>
      <c r="T299" s="50">
        <f t="shared" si="26"/>
        <v>117.9</v>
      </c>
      <c r="U299" s="69">
        <f t="shared" si="27"/>
        <v>12.576</v>
      </c>
      <c r="V299" s="70">
        <f t="shared" si="28"/>
        <v>644.0839695</v>
      </c>
      <c r="W299" s="216">
        <v>8400.0</v>
      </c>
      <c r="X299" s="76"/>
      <c r="Y299" s="216" t="s">
        <v>1211</v>
      </c>
      <c r="Z299" s="216" t="s">
        <v>848</v>
      </c>
      <c r="AA299" s="76"/>
      <c r="AB299" s="216">
        <v>2.0</v>
      </c>
      <c r="AC299" s="87">
        <v>205.0</v>
      </c>
    </row>
    <row r="300">
      <c r="A300" s="87">
        <v>145.0</v>
      </c>
      <c r="B300" s="43" t="s">
        <v>65</v>
      </c>
      <c r="C300" s="48" t="s">
        <v>1212</v>
      </c>
      <c r="D300" s="51" t="s">
        <v>67</v>
      </c>
      <c r="E300" s="47"/>
      <c r="F300" s="242">
        <v>5.40009338E9</v>
      </c>
      <c r="G300" s="215" t="s">
        <v>1213</v>
      </c>
      <c r="H300" s="215">
        <v>25000.0</v>
      </c>
      <c r="I300" s="47"/>
      <c r="J300" s="261">
        <v>208043.0</v>
      </c>
      <c r="K300" s="274" t="s">
        <v>1214</v>
      </c>
      <c r="L300" s="261" t="s">
        <v>258</v>
      </c>
      <c r="M300" s="275">
        <v>25000.0</v>
      </c>
      <c r="N300" s="50">
        <v>75.0</v>
      </c>
      <c r="O300" s="50">
        <v>3.0</v>
      </c>
      <c r="P300" s="50">
        <v>330.0</v>
      </c>
      <c r="Q300" s="50" t="s">
        <v>213</v>
      </c>
      <c r="R300" s="50" t="s">
        <v>241</v>
      </c>
      <c r="S300" s="50">
        <f t="shared" si="25"/>
        <v>9.375</v>
      </c>
      <c r="T300" s="50">
        <f t="shared" si="26"/>
        <v>117.9</v>
      </c>
      <c r="U300" s="69">
        <f t="shared" si="27"/>
        <v>12.576</v>
      </c>
      <c r="V300" s="70">
        <f t="shared" si="28"/>
        <v>1987.913486</v>
      </c>
      <c r="W300" s="216">
        <v>27000.0</v>
      </c>
      <c r="X300" s="76"/>
      <c r="Y300" s="216" t="s">
        <v>1211</v>
      </c>
      <c r="Z300" s="216" t="s">
        <v>848</v>
      </c>
      <c r="AA300" s="76"/>
      <c r="AB300" s="216">
        <v>5.0</v>
      </c>
      <c r="AC300" s="87">
        <v>205.0</v>
      </c>
    </row>
    <row r="301">
      <c r="A301" s="87">
        <v>146.0</v>
      </c>
      <c r="B301" s="43" t="s">
        <v>65</v>
      </c>
      <c r="C301" s="48" t="s">
        <v>1215</v>
      </c>
      <c r="D301" s="51" t="s">
        <v>67</v>
      </c>
      <c r="E301" s="47"/>
      <c r="F301" s="242">
        <v>5.40009338E9</v>
      </c>
      <c r="G301" s="242" t="s">
        <v>1213</v>
      </c>
      <c r="H301" s="242">
        <v>3000.0</v>
      </c>
      <c r="I301" s="47"/>
      <c r="J301" s="261">
        <v>206448.0</v>
      </c>
      <c r="K301" s="274" t="s">
        <v>1216</v>
      </c>
      <c r="L301" s="261" t="s">
        <v>258</v>
      </c>
      <c r="M301" s="275">
        <v>3000.0</v>
      </c>
      <c r="N301" s="50">
        <v>94.0</v>
      </c>
      <c r="O301" s="50">
        <v>2.0</v>
      </c>
      <c r="P301" s="50">
        <v>290.0</v>
      </c>
      <c r="Q301" s="50" t="s">
        <v>213</v>
      </c>
      <c r="R301" s="50" t="s">
        <v>214</v>
      </c>
      <c r="S301" s="50">
        <f t="shared" si="25"/>
        <v>11.75</v>
      </c>
      <c r="T301" s="50">
        <f t="shared" si="26"/>
        <v>78.6</v>
      </c>
      <c r="U301" s="69">
        <f t="shared" si="27"/>
        <v>6.689361702</v>
      </c>
      <c r="V301" s="70">
        <f t="shared" si="28"/>
        <v>448.4732824</v>
      </c>
      <c r="W301" s="216">
        <v>3300.0</v>
      </c>
      <c r="X301" s="76"/>
      <c r="Y301" s="216" t="s">
        <v>1211</v>
      </c>
      <c r="Z301" s="216" t="s">
        <v>848</v>
      </c>
      <c r="AA301" s="76"/>
      <c r="AB301" s="216">
        <v>1.0</v>
      </c>
      <c r="AC301" s="87">
        <v>205.0</v>
      </c>
    </row>
    <row r="302">
      <c r="A302" s="87">
        <v>147.0</v>
      </c>
      <c r="B302" s="43" t="s">
        <v>65</v>
      </c>
      <c r="C302" s="48" t="s">
        <v>1217</v>
      </c>
      <c r="D302" s="51" t="s">
        <v>67</v>
      </c>
      <c r="E302" s="47"/>
      <c r="F302" s="242">
        <v>5.40009338E9</v>
      </c>
      <c r="G302" s="242" t="s">
        <v>1213</v>
      </c>
      <c r="H302" s="242">
        <v>3000.0</v>
      </c>
      <c r="I302" s="47"/>
      <c r="J302" s="261">
        <v>206748.0</v>
      </c>
      <c r="K302" s="274" t="s">
        <v>1218</v>
      </c>
      <c r="L302" s="261" t="s">
        <v>258</v>
      </c>
      <c r="M302" s="275">
        <v>3000.0</v>
      </c>
      <c r="N302" s="50">
        <v>94.0</v>
      </c>
      <c r="O302" s="50">
        <v>2.0</v>
      </c>
      <c r="P302" s="50">
        <v>290.0</v>
      </c>
      <c r="Q302" s="50" t="s">
        <v>213</v>
      </c>
      <c r="R302" s="50" t="s">
        <v>214</v>
      </c>
      <c r="S302" s="50">
        <f t="shared" si="25"/>
        <v>11.75</v>
      </c>
      <c r="T302" s="50">
        <f t="shared" si="26"/>
        <v>78.6</v>
      </c>
      <c r="U302" s="69">
        <f t="shared" si="27"/>
        <v>6.689361702</v>
      </c>
      <c r="V302" s="70">
        <f t="shared" si="28"/>
        <v>448.4732824</v>
      </c>
      <c r="W302" s="216">
        <v>3300.0</v>
      </c>
      <c r="X302" s="76"/>
      <c r="Y302" s="216" t="s">
        <v>1211</v>
      </c>
      <c r="Z302" s="216" t="s">
        <v>848</v>
      </c>
      <c r="AA302" s="76"/>
      <c r="AB302" s="216">
        <v>1.0</v>
      </c>
      <c r="AC302" s="87">
        <v>205.0</v>
      </c>
    </row>
    <row r="303">
      <c r="A303" s="87">
        <v>148.0</v>
      </c>
      <c r="B303" s="43" t="s">
        <v>65</v>
      </c>
      <c r="C303" s="48" t="s">
        <v>1219</v>
      </c>
      <c r="D303" s="51" t="s">
        <v>67</v>
      </c>
      <c r="E303" s="47"/>
      <c r="F303" s="242" t="s">
        <v>1189</v>
      </c>
      <c r="G303" s="242" t="s">
        <v>1190</v>
      </c>
      <c r="H303" s="242" t="s">
        <v>1220</v>
      </c>
      <c r="I303" s="47"/>
      <c r="J303" s="261">
        <v>206737.0</v>
      </c>
      <c r="K303" s="274" t="s">
        <v>850</v>
      </c>
      <c r="L303" s="261" t="s">
        <v>258</v>
      </c>
      <c r="M303" s="275">
        <v>8000.0</v>
      </c>
      <c r="N303" s="100">
        <v>75.0</v>
      </c>
      <c r="O303" s="100">
        <v>3.0</v>
      </c>
      <c r="P303" s="100">
        <v>240.0</v>
      </c>
      <c r="Q303" s="100" t="s">
        <v>213</v>
      </c>
      <c r="R303" s="100" t="s">
        <v>656</v>
      </c>
      <c r="S303" s="50">
        <f t="shared" si="25"/>
        <v>9.375</v>
      </c>
      <c r="T303" s="50">
        <f t="shared" si="26"/>
        <v>117.9</v>
      </c>
      <c r="U303" s="69">
        <f t="shared" si="27"/>
        <v>12.576</v>
      </c>
      <c r="V303" s="70">
        <f t="shared" si="28"/>
        <v>636.1323155</v>
      </c>
      <c r="W303" s="216">
        <v>8640.0</v>
      </c>
      <c r="X303" s="76"/>
      <c r="Y303" s="216" t="s">
        <v>1211</v>
      </c>
      <c r="Z303" s="216" t="s">
        <v>848</v>
      </c>
      <c r="AA303" s="76"/>
      <c r="AB303" s="216">
        <v>1.0</v>
      </c>
      <c r="AC303" s="87">
        <v>205.0</v>
      </c>
    </row>
    <row r="304">
      <c r="A304" s="87">
        <v>149.0</v>
      </c>
      <c r="B304" s="43" t="s">
        <v>65</v>
      </c>
      <c r="C304" s="48" t="s">
        <v>1221</v>
      </c>
      <c r="D304" s="51" t="s">
        <v>67</v>
      </c>
      <c r="E304" s="47"/>
      <c r="F304" s="242">
        <v>5.40009338E9</v>
      </c>
      <c r="G304" s="242" t="s">
        <v>1213</v>
      </c>
      <c r="H304" s="242">
        <v>6000.0</v>
      </c>
      <c r="I304" s="47"/>
      <c r="J304" s="261">
        <v>206741.0</v>
      </c>
      <c r="K304" s="274" t="s">
        <v>932</v>
      </c>
      <c r="L304" s="261" t="s">
        <v>258</v>
      </c>
      <c r="M304" s="275">
        <v>6000.0</v>
      </c>
      <c r="N304" s="100">
        <v>75.0</v>
      </c>
      <c r="O304" s="100">
        <v>3.0</v>
      </c>
      <c r="P304" s="100">
        <v>240.0</v>
      </c>
      <c r="Q304" s="100" t="s">
        <v>213</v>
      </c>
      <c r="R304" s="100" t="s">
        <v>656</v>
      </c>
      <c r="S304" s="50">
        <f t="shared" si="25"/>
        <v>9.375</v>
      </c>
      <c r="T304" s="50">
        <f t="shared" si="26"/>
        <v>117.9</v>
      </c>
      <c r="U304" s="69">
        <f t="shared" si="27"/>
        <v>12.576</v>
      </c>
      <c r="V304" s="70">
        <f t="shared" si="28"/>
        <v>477.0992366</v>
      </c>
      <c r="W304" s="216">
        <v>6600.0</v>
      </c>
      <c r="X304" s="76"/>
      <c r="Y304" s="216" t="s">
        <v>1211</v>
      </c>
      <c r="Z304" s="216" t="s">
        <v>848</v>
      </c>
      <c r="AA304" s="76"/>
      <c r="AB304" s="216">
        <v>1.0</v>
      </c>
      <c r="AC304" s="87">
        <v>205.0</v>
      </c>
    </row>
    <row r="305">
      <c r="A305" s="87">
        <v>150.0</v>
      </c>
      <c r="B305" s="43" t="s">
        <v>65</v>
      </c>
      <c r="C305" s="48" t="s">
        <v>1222</v>
      </c>
      <c r="D305" s="51" t="s">
        <v>67</v>
      </c>
      <c r="E305" s="47"/>
      <c r="F305" s="242">
        <v>5.40009338E9</v>
      </c>
      <c r="G305" s="242" t="s">
        <v>1213</v>
      </c>
      <c r="H305" s="242">
        <v>3000.0</v>
      </c>
      <c r="I305" s="47"/>
      <c r="J305" s="261">
        <v>206749.0</v>
      </c>
      <c r="K305" s="274" t="s">
        <v>1223</v>
      </c>
      <c r="L305" s="261" t="s">
        <v>258</v>
      </c>
      <c r="M305" s="275">
        <v>3000.0</v>
      </c>
      <c r="N305" s="50">
        <v>94.0</v>
      </c>
      <c r="O305" s="50">
        <v>2.0</v>
      </c>
      <c r="P305" s="50">
        <v>290.0</v>
      </c>
      <c r="Q305" s="50" t="s">
        <v>213</v>
      </c>
      <c r="R305" s="50" t="s">
        <v>214</v>
      </c>
      <c r="S305" s="50">
        <f t="shared" si="25"/>
        <v>11.75</v>
      </c>
      <c r="T305" s="50">
        <f t="shared" si="26"/>
        <v>78.6</v>
      </c>
      <c r="U305" s="69">
        <f t="shared" si="27"/>
        <v>6.689361702</v>
      </c>
      <c r="V305" s="70">
        <f t="shared" si="28"/>
        <v>448.4732824</v>
      </c>
      <c r="W305" s="216">
        <v>3000.0</v>
      </c>
      <c r="X305" s="76"/>
      <c r="Y305" s="216" t="s">
        <v>1211</v>
      </c>
      <c r="Z305" s="216" t="s">
        <v>848</v>
      </c>
      <c r="AA305" s="76"/>
      <c r="AB305" s="216">
        <v>1.0</v>
      </c>
      <c r="AC305" s="87">
        <v>205.0</v>
      </c>
    </row>
    <row r="306">
      <c r="A306" s="87">
        <v>151.0</v>
      </c>
      <c r="B306" s="43" t="s">
        <v>65</v>
      </c>
      <c r="C306" s="48" t="s">
        <v>1224</v>
      </c>
      <c r="D306" s="51" t="s">
        <v>67</v>
      </c>
      <c r="E306" s="47"/>
      <c r="F306" s="242">
        <v>5.40009338E9</v>
      </c>
      <c r="G306" s="242" t="s">
        <v>1213</v>
      </c>
      <c r="H306" s="242">
        <v>20000.0</v>
      </c>
      <c r="I306" s="47"/>
      <c r="J306" s="261">
        <v>205726.0</v>
      </c>
      <c r="K306" s="274" t="s">
        <v>1225</v>
      </c>
      <c r="L306" s="261" t="s">
        <v>258</v>
      </c>
      <c r="M306" s="275">
        <v>20000.0</v>
      </c>
      <c r="N306" s="151">
        <v>94.0</v>
      </c>
      <c r="O306" s="151">
        <v>8.0</v>
      </c>
      <c r="P306" s="151">
        <v>210.0</v>
      </c>
      <c r="Q306" s="50" t="s">
        <v>213</v>
      </c>
      <c r="R306" s="151" t="s">
        <v>647</v>
      </c>
      <c r="S306" s="50">
        <f t="shared" si="25"/>
        <v>11.75</v>
      </c>
      <c r="T306" s="50">
        <f t="shared" si="26"/>
        <v>314.4</v>
      </c>
      <c r="U306" s="69">
        <f t="shared" si="27"/>
        <v>26.75744681</v>
      </c>
      <c r="V306" s="70">
        <f t="shared" si="28"/>
        <v>747.4554707</v>
      </c>
      <c r="W306" s="216">
        <v>21600.0</v>
      </c>
      <c r="X306" s="76"/>
      <c r="Y306" s="216" t="s">
        <v>1211</v>
      </c>
      <c r="Z306" s="216" t="s">
        <v>848</v>
      </c>
      <c r="AA306" s="76"/>
      <c r="AB306" s="216">
        <v>1.0</v>
      </c>
      <c r="AC306" s="87">
        <v>205.0</v>
      </c>
    </row>
    <row r="307">
      <c r="A307" s="87">
        <v>152.0</v>
      </c>
      <c r="B307" s="43" t="s">
        <v>65</v>
      </c>
      <c r="C307" s="48" t="s">
        <v>1226</v>
      </c>
      <c r="D307" s="51" t="s">
        <v>67</v>
      </c>
      <c r="E307" s="47"/>
      <c r="F307" s="242">
        <v>5.40009338E9</v>
      </c>
      <c r="G307" s="242" t="s">
        <v>1213</v>
      </c>
      <c r="H307" s="242">
        <v>4000.0</v>
      </c>
      <c r="I307" s="47"/>
      <c r="J307" s="261">
        <v>205727.0</v>
      </c>
      <c r="K307" s="274" t="s">
        <v>1227</v>
      </c>
      <c r="L307" s="261" t="s">
        <v>258</v>
      </c>
      <c r="M307" s="275">
        <v>4000.0</v>
      </c>
      <c r="N307" s="162">
        <v>116.0</v>
      </c>
      <c r="O307" s="162">
        <v>6.0</v>
      </c>
      <c r="P307" s="162">
        <v>290.0</v>
      </c>
      <c r="Q307" s="281" t="s">
        <v>63</v>
      </c>
      <c r="R307" s="162" t="s">
        <v>1228</v>
      </c>
      <c r="S307" s="50">
        <f t="shared" si="25"/>
        <v>14.5</v>
      </c>
      <c r="T307" s="50">
        <f t="shared" si="26"/>
        <v>235.8</v>
      </c>
      <c r="U307" s="69">
        <f t="shared" si="27"/>
        <v>16.26206897</v>
      </c>
      <c r="V307" s="70">
        <f t="shared" si="28"/>
        <v>245.971162</v>
      </c>
      <c r="W307" s="216">
        <v>4350.0</v>
      </c>
      <c r="X307" s="76"/>
      <c r="Y307" s="216" t="s">
        <v>1211</v>
      </c>
      <c r="Z307" s="216" t="s">
        <v>848</v>
      </c>
      <c r="AA307" s="76"/>
      <c r="AB307" s="216">
        <v>1.0</v>
      </c>
      <c r="AC307" s="87">
        <v>205.0</v>
      </c>
    </row>
    <row r="308">
      <c r="A308" s="87">
        <v>153.0</v>
      </c>
      <c r="B308" s="43" t="s">
        <v>65</v>
      </c>
      <c r="C308" s="48" t="s">
        <v>1229</v>
      </c>
      <c r="D308" s="51" t="s">
        <v>67</v>
      </c>
      <c r="E308" s="47"/>
      <c r="F308" s="242">
        <v>5.40009338E9</v>
      </c>
      <c r="G308" s="242" t="s">
        <v>1213</v>
      </c>
      <c r="H308" s="242">
        <v>10000.0</v>
      </c>
      <c r="I308" s="47"/>
      <c r="J308" s="261">
        <v>203270.0</v>
      </c>
      <c r="K308" s="274" t="s">
        <v>1230</v>
      </c>
      <c r="L308" s="261" t="s">
        <v>258</v>
      </c>
      <c r="M308" s="275">
        <v>10000.0</v>
      </c>
      <c r="N308" s="151">
        <v>118.0</v>
      </c>
      <c r="O308" s="151">
        <v>4.0</v>
      </c>
      <c r="P308" s="151">
        <v>250.0</v>
      </c>
      <c r="Q308" s="52" t="s">
        <v>213</v>
      </c>
      <c r="R308" s="151" t="s">
        <v>1231</v>
      </c>
      <c r="S308" s="50">
        <f t="shared" si="25"/>
        <v>14.75</v>
      </c>
      <c r="T308" s="50">
        <f t="shared" si="26"/>
        <v>157.2</v>
      </c>
      <c r="U308" s="69">
        <f t="shared" si="27"/>
        <v>10.65762712</v>
      </c>
      <c r="V308" s="70">
        <f t="shared" si="28"/>
        <v>938.2951654</v>
      </c>
      <c r="W308" s="216">
        <v>10000.0</v>
      </c>
      <c r="X308" s="76"/>
      <c r="Y308" s="216" t="s">
        <v>1211</v>
      </c>
      <c r="Z308" s="216" t="s">
        <v>848</v>
      </c>
      <c r="AA308" s="76"/>
      <c r="AB308" s="216">
        <v>2.0</v>
      </c>
      <c r="AC308" s="87">
        <v>205.0</v>
      </c>
    </row>
    <row r="309">
      <c r="A309" s="87">
        <v>154.0</v>
      </c>
      <c r="B309" s="43" t="s">
        <v>65</v>
      </c>
      <c r="C309" s="48" t="s">
        <v>1232</v>
      </c>
      <c r="D309" s="51" t="s">
        <v>67</v>
      </c>
      <c r="E309" s="47"/>
      <c r="F309" s="242" t="s">
        <v>1233</v>
      </c>
      <c r="G309" s="242" t="s">
        <v>1234</v>
      </c>
      <c r="H309" s="242" t="s">
        <v>1235</v>
      </c>
      <c r="I309" s="47"/>
      <c r="J309" s="261">
        <v>207046.0</v>
      </c>
      <c r="K309" s="274" t="s">
        <v>613</v>
      </c>
      <c r="L309" s="261" t="s">
        <v>258</v>
      </c>
      <c r="M309" s="275">
        <v>22100.0</v>
      </c>
      <c r="N309" s="52">
        <v>116.0</v>
      </c>
      <c r="O309" s="52">
        <v>6.0</v>
      </c>
      <c r="P309" s="52">
        <v>300.0</v>
      </c>
      <c r="Q309" s="52" t="s">
        <v>213</v>
      </c>
      <c r="R309" s="52" t="s">
        <v>224</v>
      </c>
      <c r="S309" s="50">
        <f t="shared" si="25"/>
        <v>14.5</v>
      </c>
      <c r="T309" s="50">
        <f t="shared" si="26"/>
        <v>235.8</v>
      </c>
      <c r="U309" s="69">
        <f t="shared" si="27"/>
        <v>16.26206897</v>
      </c>
      <c r="V309" s="70">
        <f t="shared" si="28"/>
        <v>1358.99067</v>
      </c>
      <c r="W309" s="216">
        <v>23610.0</v>
      </c>
      <c r="X309" s="76"/>
      <c r="Y309" s="216" t="s">
        <v>1211</v>
      </c>
      <c r="Z309" s="216" t="s">
        <v>848</v>
      </c>
      <c r="AA309" s="76"/>
      <c r="AB309" s="216">
        <v>3.0</v>
      </c>
      <c r="AC309" s="87">
        <v>205.0</v>
      </c>
    </row>
    <row r="310">
      <c r="A310" s="87">
        <v>155.0</v>
      </c>
      <c r="B310" s="43" t="s">
        <v>65</v>
      </c>
      <c r="C310" s="48" t="s">
        <v>1236</v>
      </c>
      <c r="D310" s="51" t="s">
        <v>67</v>
      </c>
      <c r="E310" s="47"/>
      <c r="F310" s="242">
        <v>5.40009338E9</v>
      </c>
      <c r="G310" s="242" t="s">
        <v>1213</v>
      </c>
      <c r="H310" s="242">
        <v>7000.0</v>
      </c>
      <c r="I310" s="47"/>
      <c r="J310" s="261">
        <v>207047.0</v>
      </c>
      <c r="K310" s="274" t="s">
        <v>615</v>
      </c>
      <c r="L310" s="261" t="s">
        <v>258</v>
      </c>
      <c r="M310" s="275">
        <v>7000.0</v>
      </c>
      <c r="N310" s="100">
        <v>75.0</v>
      </c>
      <c r="O310" s="100">
        <v>3.0</v>
      </c>
      <c r="P310" s="100">
        <v>330.0</v>
      </c>
      <c r="Q310" s="100" t="s">
        <v>213</v>
      </c>
      <c r="R310" s="100" t="s">
        <v>616</v>
      </c>
      <c r="S310" s="50">
        <f t="shared" si="25"/>
        <v>9.375</v>
      </c>
      <c r="T310" s="50">
        <f t="shared" si="26"/>
        <v>117.9</v>
      </c>
      <c r="U310" s="69">
        <f t="shared" si="27"/>
        <v>12.576</v>
      </c>
      <c r="V310" s="70">
        <f t="shared" si="28"/>
        <v>556.6157761</v>
      </c>
      <c r="W310" s="216">
        <v>7500.0</v>
      </c>
      <c r="X310" s="76"/>
      <c r="Y310" s="216" t="s">
        <v>1211</v>
      </c>
      <c r="Z310" s="216" t="s">
        <v>848</v>
      </c>
      <c r="AA310" s="76"/>
      <c r="AB310" s="216">
        <v>2.0</v>
      </c>
      <c r="AC310" s="87">
        <v>205.0</v>
      </c>
    </row>
    <row r="311">
      <c r="A311" s="76"/>
      <c r="B311" s="43" t="s">
        <v>1139</v>
      </c>
      <c r="C311" s="48" t="s">
        <v>1237</v>
      </c>
      <c r="D311" s="56" t="s">
        <v>78</v>
      </c>
      <c r="E311" s="45"/>
      <c r="F311" s="45"/>
      <c r="G311" s="45"/>
      <c r="H311" s="45"/>
      <c r="I311" s="111" t="s">
        <v>148</v>
      </c>
      <c r="J311" s="85"/>
      <c r="K311" s="56" t="s">
        <v>1238</v>
      </c>
      <c r="L311" s="47"/>
      <c r="M311" s="129">
        <v>20000.0</v>
      </c>
      <c r="N311" s="50">
        <v>85.0</v>
      </c>
      <c r="O311" s="215">
        <v>12.0</v>
      </c>
      <c r="P311" s="215">
        <v>180.0</v>
      </c>
      <c r="Q311" s="50" t="s">
        <v>63</v>
      </c>
      <c r="R311" s="215" t="s">
        <v>1239</v>
      </c>
      <c r="S311" s="50">
        <f t="shared" si="25"/>
        <v>10.625</v>
      </c>
      <c r="T311" s="50">
        <f t="shared" si="26"/>
        <v>471.6</v>
      </c>
      <c r="U311" s="69">
        <f t="shared" si="27"/>
        <v>44.38588235</v>
      </c>
      <c r="V311" s="70">
        <f t="shared" si="28"/>
        <v>450.5937235</v>
      </c>
      <c r="W311" s="76"/>
      <c r="X311" s="76"/>
      <c r="Y311" s="76"/>
      <c r="Z311" s="76"/>
      <c r="AA311" s="76"/>
      <c r="AB311" s="76"/>
      <c r="AC311" s="76"/>
    </row>
    <row r="312">
      <c r="A312" s="76"/>
      <c r="B312" s="43" t="s">
        <v>395</v>
      </c>
      <c r="C312" s="53" t="s">
        <v>1240</v>
      </c>
      <c r="D312" s="56" t="s">
        <v>78</v>
      </c>
      <c r="E312" s="76"/>
      <c r="F312" s="76"/>
      <c r="G312" s="76"/>
      <c r="H312" s="76"/>
      <c r="I312" s="84" t="s">
        <v>79</v>
      </c>
      <c r="J312" s="85"/>
      <c r="K312" s="105" t="s">
        <v>1241</v>
      </c>
      <c r="L312" s="76"/>
      <c r="M312" s="53">
        <v>1000.0</v>
      </c>
      <c r="N312" s="50">
        <v>85.0</v>
      </c>
      <c r="O312" s="50">
        <v>6.0</v>
      </c>
      <c r="P312" s="50">
        <v>170.0</v>
      </c>
      <c r="Q312" s="50" t="s">
        <v>63</v>
      </c>
      <c r="R312" s="50" t="s">
        <v>83</v>
      </c>
      <c r="S312" s="50">
        <f t="shared" si="25"/>
        <v>10.625</v>
      </c>
      <c r="T312" s="50">
        <f t="shared" si="26"/>
        <v>235.8</v>
      </c>
      <c r="U312" s="69">
        <f t="shared" si="27"/>
        <v>22.19294118</v>
      </c>
      <c r="V312" s="70">
        <f t="shared" si="28"/>
        <v>45.05937235</v>
      </c>
      <c r="W312" s="76"/>
      <c r="X312" s="76"/>
      <c r="Y312" s="76"/>
      <c r="Z312" s="76"/>
      <c r="AA312" s="76"/>
      <c r="AB312" s="76"/>
      <c r="AC312" s="76"/>
    </row>
    <row r="313">
      <c r="A313" s="76"/>
      <c r="B313" s="43" t="s">
        <v>65</v>
      </c>
      <c r="C313" s="53" t="s">
        <v>1242</v>
      </c>
      <c r="D313" s="56" t="s">
        <v>78</v>
      </c>
      <c r="E313" s="76"/>
      <c r="F313" s="76"/>
      <c r="G313" s="76"/>
      <c r="H313" s="76"/>
      <c r="I313" s="84" t="s">
        <v>79</v>
      </c>
      <c r="J313" s="85"/>
      <c r="K313" s="105" t="s">
        <v>1243</v>
      </c>
      <c r="L313" s="76"/>
      <c r="M313" s="282">
        <v>20000.0</v>
      </c>
      <c r="N313" s="50">
        <v>85.0</v>
      </c>
      <c r="O313" s="50">
        <v>6.0</v>
      </c>
      <c r="P313" s="50">
        <v>170.0</v>
      </c>
      <c r="Q313" s="50" t="s">
        <v>63</v>
      </c>
      <c r="R313" s="50" t="s">
        <v>83</v>
      </c>
      <c r="S313" s="50">
        <f t="shared" si="25"/>
        <v>10.625</v>
      </c>
      <c r="T313" s="50">
        <f t="shared" si="26"/>
        <v>235.8</v>
      </c>
      <c r="U313" s="69">
        <f t="shared" si="27"/>
        <v>22.19294118</v>
      </c>
      <c r="V313" s="70">
        <f t="shared" si="28"/>
        <v>901.187447</v>
      </c>
      <c r="W313" s="76"/>
      <c r="X313" s="76"/>
      <c r="Y313" s="76"/>
      <c r="Z313" s="76"/>
      <c r="AA313" s="76"/>
      <c r="AB313" s="76"/>
      <c r="AC313" s="76"/>
    </row>
    <row r="314">
      <c r="A314" s="76"/>
      <c r="B314" s="43" t="s">
        <v>65</v>
      </c>
      <c r="C314" s="53" t="s">
        <v>1244</v>
      </c>
      <c r="D314" s="56" t="s">
        <v>78</v>
      </c>
      <c r="E314" s="76"/>
      <c r="F314" s="76"/>
      <c r="G314" s="76"/>
      <c r="H314" s="76"/>
      <c r="I314" s="84" t="s">
        <v>79</v>
      </c>
      <c r="J314" s="85"/>
      <c r="K314" s="105" t="s">
        <v>1245</v>
      </c>
      <c r="L314" s="76"/>
      <c r="M314" s="53">
        <v>20000.0</v>
      </c>
      <c r="N314" s="50">
        <v>85.0</v>
      </c>
      <c r="O314" s="50">
        <v>6.0</v>
      </c>
      <c r="P314" s="50">
        <v>170.0</v>
      </c>
      <c r="Q314" s="50" t="s">
        <v>63</v>
      </c>
      <c r="R314" s="50" t="s">
        <v>83</v>
      </c>
      <c r="S314" s="50">
        <f t="shared" si="25"/>
        <v>10.625</v>
      </c>
      <c r="T314" s="50">
        <f t="shared" si="26"/>
        <v>235.8</v>
      </c>
      <c r="U314" s="69">
        <f t="shared" si="27"/>
        <v>22.19294118</v>
      </c>
      <c r="V314" s="70">
        <f t="shared" si="28"/>
        <v>901.187447</v>
      </c>
      <c r="W314" s="76"/>
      <c r="X314" s="76"/>
      <c r="Y314" s="76"/>
      <c r="Z314" s="76"/>
      <c r="AA314" s="76"/>
      <c r="AB314" s="76"/>
      <c r="AC314" s="76"/>
    </row>
    <row r="315">
      <c r="A315" s="76"/>
      <c r="B315" s="43" t="s">
        <v>1246</v>
      </c>
      <c r="C315" s="53" t="s">
        <v>1247</v>
      </c>
      <c r="D315" s="105" t="s">
        <v>78</v>
      </c>
      <c r="E315" s="76"/>
      <c r="F315" s="76"/>
      <c r="G315" s="76"/>
      <c r="H315" s="76"/>
      <c r="I315" s="84" t="s">
        <v>79</v>
      </c>
      <c r="J315" s="85"/>
      <c r="K315" s="105" t="s">
        <v>1248</v>
      </c>
      <c r="L315" s="76"/>
      <c r="M315" s="53">
        <v>33500.0</v>
      </c>
      <c r="N315" s="50">
        <v>85.0</v>
      </c>
      <c r="O315" s="50">
        <v>6.0</v>
      </c>
      <c r="P315" s="50">
        <v>170.0</v>
      </c>
      <c r="Q315" s="50" t="s">
        <v>63</v>
      </c>
      <c r="R315" s="50" t="s">
        <v>83</v>
      </c>
      <c r="S315" s="50">
        <f t="shared" si="25"/>
        <v>10.625</v>
      </c>
      <c r="T315" s="50">
        <f t="shared" si="26"/>
        <v>235.8</v>
      </c>
      <c r="U315" s="69">
        <f t="shared" si="27"/>
        <v>22.19294118</v>
      </c>
      <c r="V315" s="70">
        <f t="shared" si="28"/>
        <v>1509.488974</v>
      </c>
      <c r="W315" s="76"/>
      <c r="X315" s="76"/>
      <c r="Y315" s="76"/>
      <c r="Z315" s="76"/>
      <c r="AA315" s="76"/>
      <c r="AB315" s="76"/>
      <c r="AC315" s="76"/>
    </row>
    <row r="316">
      <c r="A316" s="76"/>
      <c r="B316" s="43" t="s">
        <v>65</v>
      </c>
      <c r="C316" s="53" t="s">
        <v>1249</v>
      </c>
      <c r="D316" s="45" t="s">
        <v>78</v>
      </c>
      <c r="E316" s="47"/>
      <c r="F316" s="47"/>
      <c r="G316" s="47"/>
      <c r="H316" s="47"/>
      <c r="I316" s="111" t="s">
        <v>148</v>
      </c>
      <c r="J316" s="85"/>
      <c r="K316" s="56" t="s">
        <v>185</v>
      </c>
      <c r="L316" s="47"/>
      <c r="M316" s="48">
        <v>21000.0</v>
      </c>
      <c r="N316" s="48">
        <v>85.0</v>
      </c>
      <c r="O316" s="48">
        <v>6.0</v>
      </c>
      <c r="P316" s="48">
        <v>170.0</v>
      </c>
      <c r="Q316" s="66" t="s">
        <v>63</v>
      </c>
      <c r="R316" s="50" t="s">
        <v>83</v>
      </c>
      <c r="S316" s="66">
        <f t="shared" si="25"/>
        <v>10.625</v>
      </c>
      <c r="T316" s="66">
        <f t="shared" si="26"/>
        <v>235.8</v>
      </c>
      <c r="U316" s="113">
        <f t="shared" si="27"/>
        <v>22.19294118</v>
      </c>
      <c r="V316" s="114">
        <f t="shared" si="28"/>
        <v>946.2468193</v>
      </c>
      <c r="W316" s="76"/>
      <c r="X316" s="76"/>
      <c r="Y316" s="76"/>
      <c r="Z316" s="76"/>
      <c r="AA316" s="76"/>
      <c r="AB316" s="76"/>
      <c r="AC316" s="76"/>
    </row>
    <row r="317">
      <c r="A317" s="76"/>
      <c r="B317" s="43" t="s">
        <v>65</v>
      </c>
      <c r="C317" s="53" t="s">
        <v>1250</v>
      </c>
      <c r="D317" s="45" t="s">
        <v>78</v>
      </c>
      <c r="E317" s="47"/>
      <c r="F317" s="47"/>
      <c r="G317" s="47"/>
      <c r="H317" s="47"/>
      <c r="I317" s="111" t="s">
        <v>148</v>
      </c>
      <c r="J317" s="85"/>
      <c r="K317" s="56" t="s">
        <v>1251</v>
      </c>
      <c r="L317" s="47"/>
      <c r="M317" s="48">
        <v>5000.0</v>
      </c>
      <c r="N317" s="48">
        <v>85.0</v>
      </c>
      <c r="O317" s="48">
        <v>6.0</v>
      </c>
      <c r="P317" s="48">
        <v>170.0</v>
      </c>
      <c r="Q317" s="66" t="s">
        <v>63</v>
      </c>
      <c r="R317" s="50" t="s">
        <v>83</v>
      </c>
      <c r="S317" s="66">
        <f t="shared" si="25"/>
        <v>10.625</v>
      </c>
      <c r="T317" s="66">
        <f t="shared" si="26"/>
        <v>235.8</v>
      </c>
      <c r="U317" s="113">
        <f t="shared" si="27"/>
        <v>22.19294118</v>
      </c>
      <c r="V317" s="114">
        <f t="shared" si="28"/>
        <v>225.2968617</v>
      </c>
      <c r="W317" s="76"/>
      <c r="X317" s="76"/>
      <c r="Y317" s="76"/>
      <c r="Z317" s="76"/>
      <c r="AA317" s="76"/>
      <c r="AB317" s="76"/>
      <c r="AC317" s="76"/>
    </row>
    <row r="318">
      <c r="A318" s="76"/>
      <c r="B318" s="43" t="s">
        <v>65</v>
      </c>
      <c r="C318" s="53" t="s">
        <v>1252</v>
      </c>
      <c r="D318" s="45" t="s">
        <v>78</v>
      </c>
      <c r="E318" s="47"/>
      <c r="F318" s="47"/>
      <c r="G318" s="47"/>
      <c r="H318" s="47"/>
      <c r="I318" s="111" t="s">
        <v>148</v>
      </c>
      <c r="J318" s="85"/>
      <c r="K318" s="56" t="s">
        <v>167</v>
      </c>
      <c r="L318" s="47"/>
      <c r="M318" s="48">
        <v>13150.0</v>
      </c>
      <c r="N318" s="50">
        <v>85.0</v>
      </c>
      <c r="O318" s="50">
        <v>6.0</v>
      </c>
      <c r="P318" s="50">
        <v>170.0</v>
      </c>
      <c r="Q318" s="50" t="s">
        <v>63</v>
      </c>
      <c r="R318" s="50" t="s">
        <v>83</v>
      </c>
      <c r="S318" s="50">
        <f t="shared" si="25"/>
        <v>10.625</v>
      </c>
      <c r="T318" s="50">
        <f t="shared" si="26"/>
        <v>235.8</v>
      </c>
      <c r="U318" s="69">
        <f t="shared" si="27"/>
        <v>22.19294118</v>
      </c>
      <c r="V318" s="70">
        <f t="shared" si="28"/>
        <v>592.5307464</v>
      </c>
      <c r="W318" s="76"/>
      <c r="X318" s="76"/>
      <c r="Y318" s="76"/>
      <c r="Z318" s="76"/>
      <c r="AA318" s="76"/>
      <c r="AB318" s="76"/>
      <c r="AC318" s="76"/>
    </row>
    <row r="319">
      <c r="A319" s="76"/>
      <c r="B319" s="43" t="s">
        <v>65</v>
      </c>
      <c r="C319" s="53" t="s">
        <v>1253</v>
      </c>
      <c r="D319" s="56" t="s">
        <v>78</v>
      </c>
      <c r="E319" s="76"/>
      <c r="F319" s="76"/>
      <c r="G319" s="76"/>
      <c r="H319" s="76"/>
      <c r="I319" s="111" t="s">
        <v>148</v>
      </c>
      <c r="J319" s="85"/>
      <c r="K319" s="56" t="s">
        <v>1024</v>
      </c>
      <c r="L319" s="47"/>
      <c r="M319" s="258">
        <v>15000.0</v>
      </c>
      <c r="N319" s="50">
        <v>85.0</v>
      </c>
      <c r="O319" s="50">
        <v>6.0</v>
      </c>
      <c r="P319" s="50">
        <v>170.0</v>
      </c>
      <c r="Q319" s="50" t="s">
        <v>63</v>
      </c>
      <c r="R319" s="50" t="s">
        <v>83</v>
      </c>
      <c r="S319" s="50">
        <f t="shared" si="25"/>
        <v>10.625</v>
      </c>
      <c r="T319" s="50">
        <f t="shared" si="26"/>
        <v>235.8</v>
      </c>
      <c r="U319" s="69">
        <f t="shared" si="27"/>
        <v>22.19294118</v>
      </c>
      <c r="V319" s="70">
        <f t="shared" si="28"/>
        <v>675.8905852</v>
      </c>
      <c r="W319" s="76"/>
      <c r="X319" s="76"/>
      <c r="Y319" s="76"/>
      <c r="Z319" s="76"/>
      <c r="AA319" s="76"/>
      <c r="AB319" s="76"/>
      <c r="AC319" s="76"/>
    </row>
    <row r="320">
      <c r="A320" s="76"/>
      <c r="B320" s="43" t="s">
        <v>65</v>
      </c>
      <c r="C320" s="53" t="s">
        <v>1254</v>
      </c>
      <c r="D320" s="56" t="s">
        <v>78</v>
      </c>
      <c r="E320" s="76"/>
      <c r="F320" s="76"/>
      <c r="G320" s="76"/>
      <c r="H320" s="76"/>
      <c r="I320" s="84" t="s">
        <v>79</v>
      </c>
      <c r="J320" s="85"/>
      <c r="K320" s="105" t="s">
        <v>1255</v>
      </c>
      <c r="L320" s="76"/>
      <c r="M320" s="53">
        <v>6100.0</v>
      </c>
      <c r="N320" s="50">
        <v>85.0</v>
      </c>
      <c r="O320" s="48">
        <v>12.0</v>
      </c>
      <c r="P320" s="48">
        <v>180.0</v>
      </c>
      <c r="Q320" s="50" t="s">
        <v>63</v>
      </c>
      <c r="R320" s="48" t="s">
        <v>1239</v>
      </c>
      <c r="S320" s="50">
        <f t="shared" si="25"/>
        <v>10.625</v>
      </c>
      <c r="T320" s="50">
        <f t="shared" si="26"/>
        <v>471.6</v>
      </c>
      <c r="U320" s="69">
        <f t="shared" si="27"/>
        <v>44.38588235</v>
      </c>
      <c r="V320" s="70">
        <f t="shared" si="28"/>
        <v>137.4310857</v>
      </c>
      <c r="W320" s="76"/>
      <c r="X320" s="76"/>
      <c r="Y320" s="76"/>
      <c r="Z320" s="76"/>
      <c r="AA320" s="76"/>
      <c r="AB320" s="76"/>
      <c r="AC320" s="76"/>
    </row>
    <row r="321">
      <c r="A321" s="76"/>
      <c r="B321" s="43" t="s">
        <v>1256</v>
      </c>
      <c r="C321" s="53" t="s">
        <v>1257</v>
      </c>
      <c r="D321" s="45" t="s">
        <v>78</v>
      </c>
      <c r="E321" s="76"/>
      <c r="F321" s="76"/>
      <c r="G321" s="76"/>
      <c r="H321" s="76"/>
      <c r="I321" s="111" t="s">
        <v>148</v>
      </c>
      <c r="J321" s="85"/>
      <c r="K321" s="45" t="s">
        <v>319</v>
      </c>
      <c r="L321" s="47"/>
      <c r="M321" s="48">
        <v>6500.0</v>
      </c>
      <c r="N321" s="50">
        <v>99.0</v>
      </c>
      <c r="O321" s="50">
        <v>4.0</v>
      </c>
      <c r="P321" s="50">
        <v>140.0</v>
      </c>
      <c r="Q321" s="66" t="s">
        <v>63</v>
      </c>
      <c r="R321" s="50" t="s">
        <v>302</v>
      </c>
      <c r="S321" s="66">
        <f t="shared" si="25"/>
        <v>12.375</v>
      </c>
      <c r="T321" s="66">
        <f t="shared" si="26"/>
        <v>157.2</v>
      </c>
      <c r="U321" s="113">
        <f t="shared" si="27"/>
        <v>12.7030303</v>
      </c>
      <c r="V321" s="114">
        <f t="shared" si="28"/>
        <v>511.6889313</v>
      </c>
      <c r="W321" s="76"/>
      <c r="X321" s="76"/>
      <c r="Y321" s="76"/>
      <c r="Z321" s="76"/>
      <c r="AA321" s="76"/>
      <c r="AB321" s="76"/>
      <c r="AC321" s="76"/>
    </row>
    <row r="322">
      <c r="A322" s="48">
        <v>1.0</v>
      </c>
      <c r="B322" s="43" t="s">
        <v>1258</v>
      </c>
      <c r="C322" s="48" t="s">
        <v>1259</v>
      </c>
      <c r="D322" s="45" t="s">
        <v>67</v>
      </c>
      <c r="E322" s="47"/>
      <c r="F322" s="283">
        <v>5.400093573E9</v>
      </c>
      <c r="G322" s="244">
        <v>46149.0</v>
      </c>
      <c r="H322" s="215">
        <v>900.0</v>
      </c>
      <c r="I322" s="47"/>
      <c r="J322" s="50">
        <v>207447.0</v>
      </c>
      <c r="K322" s="51" t="s">
        <v>1260</v>
      </c>
      <c r="L322" s="66" t="s">
        <v>273</v>
      </c>
      <c r="M322" s="66">
        <v>900.0</v>
      </c>
      <c r="N322" s="50">
        <v>72.0</v>
      </c>
      <c r="O322" s="50">
        <v>2.0</v>
      </c>
      <c r="P322" s="50">
        <v>185.0</v>
      </c>
      <c r="Q322" s="50" t="s">
        <v>243</v>
      </c>
      <c r="R322" s="100" t="s">
        <v>1261</v>
      </c>
      <c r="S322" s="50">
        <f t="shared" si="25"/>
        <v>9</v>
      </c>
      <c r="T322" s="50">
        <f t="shared" si="26"/>
        <v>78.6</v>
      </c>
      <c r="U322" s="69">
        <f t="shared" si="27"/>
        <v>8.733333333</v>
      </c>
      <c r="V322" s="70">
        <f t="shared" si="28"/>
        <v>103.0534351</v>
      </c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  <c r="BU322" s="63"/>
      <c r="BV322" s="63"/>
      <c r="BW322" s="63"/>
      <c r="BX322" s="63"/>
      <c r="BY322" s="63"/>
      <c r="BZ322" s="63"/>
      <c r="CA322" s="63"/>
      <c r="CB322" s="63"/>
      <c r="CC322" s="63"/>
      <c r="CD322" s="63"/>
      <c r="CE322" s="63"/>
      <c r="CF322" s="63"/>
      <c r="CG322" s="63"/>
      <c r="CH322" s="63"/>
      <c r="CI322" s="63"/>
      <c r="CJ322" s="63"/>
      <c r="CK322" s="63"/>
      <c r="CL322" s="63"/>
      <c r="CM322" s="63"/>
      <c r="CN322" s="63"/>
      <c r="CO322" s="63"/>
      <c r="CP322" s="63"/>
      <c r="CQ322" s="63"/>
      <c r="CR322" s="63"/>
      <c r="CS322" s="63"/>
      <c r="CT322" s="63"/>
      <c r="CU322" s="63"/>
      <c r="CV322" s="63"/>
    </row>
    <row r="323">
      <c r="A323" s="50">
        <v>27.0</v>
      </c>
      <c r="B323" s="43" t="s">
        <v>1262</v>
      </c>
      <c r="C323" s="53" t="s">
        <v>1263</v>
      </c>
      <c r="D323" s="51" t="s">
        <v>67</v>
      </c>
      <c r="E323" s="76"/>
      <c r="F323" s="87">
        <v>5.400093637E9</v>
      </c>
      <c r="G323" s="88">
        <v>46241.0</v>
      </c>
      <c r="H323" s="87">
        <v>630.0</v>
      </c>
      <c r="I323" s="284" t="s">
        <v>1264</v>
      </c>
      <c r="J323" s="285">
        <v>207344.0</v>
      </c>
      <c r="K323" s="286" t="s">
        <v>1265</v>
      </c>
      <c r="L323" s="87" t="s">
        <v>234</v>
      </c>
      <c r="M323" s="287">
        <v>624.0</v>
      </c>
      <c r="N323" s="50">
        <v>94.0</v>
      </c>
      <c r="O323" s="50">
        <v>2.0</v>
      </c>
      <c r="P323" s="50">
        <v>300.0</v>
      </c>
      <c r="Q323" s="100" t="s">
        <v>213</v>
      </c>
      <c r="R323" s="50" t="s">
        <v>1266</v>
      </c>
      <c r="S323" s="50">
        <f t="shared" si="25"/>
        <v>11.75</v>
      </c>
      <c r="T323" s="50">
        <f t="shared" si="26"/>
        <v>78.6</v>
      </c>
      <c r="U323" s="69">
        <f t="shared" si="27"/>
        <v>6.689361702</v>
      </c>
      <c r="V323" s="70">
        <f t="shared" si="28"/>
        <v>93.28244275</v>
      </c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</row>
    <row r="324">
      <c r="A324" s="50">
        <v>28.0</v>
      </c>
      <c r="B324" s="43" t="s">
        <v>1262</v>
      </c>
      <c r="C324" s="53" t="s">
        <v>1267</v>
      </c>
      <c r="D324" s="51" t="s">
        <v>67</v>
      </c>
      <c r="E324" s="76"/>
      <c r="F324" s="87">
        <v>5.400093637E9</v>
      </c>
      <c r="G324" s="88">
        <v>46241.0</v>
      </c>
      <c r="H324" s="87">
        <v>625.0</v>
      </c>
      <c r="I324" s="284" t="s">
        <v>1264</v>
      </c>
      <c r="J324" s="285">
        <v>207347.0</v>
      </c>
      <c r="K324" s="286" t="s">
        <v>1268</v>
      </c>
      <c r="L324" s="87" t="s">
        <v>234</v>
      </c>
      <c r="M324" s="287">
        <v>625.0</v>
      </c>
      <c r="N324" s="100">
        <v>108.0</v>
      </c>
      <c r="O324" s="100">
        <v>2.0</v>
      </c>
      <c r="P324" s="100">
        <v>125.0</v>
      </c>
      <c r="Q324" s="50" t="s">
        <v>63</v>
      </c>
      <c r="R324" s="50" t="s">
        <v>178</v>
      </c>
      <c r="S324" s="50">
        <f t="shared" si="25"/>
        <v>13.5</v>
      </c>
      <c r="T324" s="50">
        <f t="shared" si="26"/>
        <v>78.6</v>
      </c>
      <c r="U324" s="69">
        <f t="shared" si="27"/>
        <v>5.822222222</v>
      </c>
      <c r="V324" s="70">
        <f t="shared" si="28"/>
        <v>107.3473282</v>
      </c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</row>
    <row r="325">
      <c r="A325" s="48">
        <v>29.0</v>
      </c>
      <c r="B325" s="43" t="s">
        <v>1262</v>
      </c>
      <c r="C325" s="53" t="s">
        <v>1269</v>
      </c>
      <c r="D325" s="51" t="s">
        <v>67</v>
      </c>
      <c r="E325" s="76"/>
      <c r="F325" s="87">
        <v>5.400093637E9</v>
      </c>
      <c r="G325" s="88">
        <v>46241.0</v>
      </c>
      <c r="H325" s="87">
        <v>350.0</v>
      </c>
      <c r="I325" s="284" t="s">
        <v>1264</v>
      </c>
      <c r="J325" s="285">
        <v>206436.0</v>
      </c>
      <c r="K325" s="288" t="s">
        <v>1270</v>
      </c>
      <c r="L325" s="87" t="s">
        <v>234</v>
      </c>
      <c r="M325" s="289">
        <v>350.0</v>
      </c>
      <c r="N325" s="50">
        <v>108.0</v>
      </c>
      <c r="O325" s="50">
        <v>2.0</v>
      </c>
      <c r="P325" s="50">
        <v>125.0</v>
      </c>
      <c r="Q325" s="50" t="s">
        <v>63</v>
      </c>
      <c r="R325" s="48" t="s">
        <v>1271</v>
      </c>
      <c r="S325" s="50">
        <f t="shared" si="25"/>
        <v>13.5</v>
      </c>
      <c r="T325" s="50">
        <f t="shared" si="26"/>
        <v>78.6</v>
      </c>
      <c r="U325" s="69">
        <f t="shared" si="27"/>
        <v>5.822222222</v>
      </c>
      <c r="V325" s="70">
        <f t="shared" si="28"/>
        <v>60.11450382</v>
      </c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</row>
    <row r="326">
      <c r="A326" s="48">
        <v>3.0</v>
      </c>
      <c r="B326" s="43" t="s">
        <v>65</v>
      </c>
      <c r="C326" s="48" t="s">
        <v>1272</v>
      </c>
      <c r="D326" s="51" t="s">
        <v>67</v>
      </c>
      <c r="E326" s="47"/>
      <c r="F326" s="242" t="s">
        <v>1273</v>
      </c>
      <c r="G326" s="242" t="s">
        <v>1274</v>
      </c>
      <c r="H326" s="242" t="s">
        <v>1275</v>
      </c>
      <c r="I326" s="47"/>
      <c r="J326" s="261">
        <v>206778.0</v>
      </c>
      <c r="K326" s="274" t="s">
        <v>860</v>
      </c>
      <c r="L326" s="261" t="s">
        <v>258</v>
      </c>
      <c r="M326" s="275">
        <v>5000.0</v>
      </c>
      <c r="N326" s="50">
        <v>94.0</v>
      </c>
      <c r="O326" s="50">
        <v>8.0</v>
      </c>
      <c r="P326" s="50">
        <v>210.0</v>
      </c>
      <c r="Q326" s="50" t="s">
        <v>213</v>
      </c>
      <c r="R326" s="50" t="s">
        <v>647</v>
      </c>
      <c r="S326" s="50">
        <f t="shared" si="25"/>
        <v>11.75</v>
      </c>
      <c r="T326" s="50">
        <f t="shared" si="26"/>
        <v>314.4</v>
      </c>
      <c r="U326" s="69">
        <f t="shared" si="27"/>
        <v>26.75744681</v>
      </c>
      <c r="V326" s="70">
        <f t="shared" si="28"/>
        <v>186.8638677</v>
      </c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  <c r="BT326" s="63"/>
      <c r="BU326" s="63"/>
      <c r="BV326" s="63"/>
      <c r="BW326" s="63"/>
      <c r="BX326" s="63"/>
      <c r="BY326" s="63"/>
      <c r="BZ326" s="63"/>
      <c r="CA326" s="63"/>
      <c r="CB326" s="63"/>
      <c r="CC326" s="63"/>
      <c r="CD326" s="63"/>
      <c r="CE326" s="63"/>
      <c r="CF326" s="63"/>
      <c r="CG326" s="63"/>
      <c r="CH326" s="63"/>
      <c r="CI326" s="63"/>
      <c r="CJ326" s="63"/>
      <c r="CK326" s="63"/>
      <c r="CL326" s="63"/>
      <c r="CM326" s="63"/>
      <c r="CN326" s="63"/>
      <c r="CO326" s="63"/>
      <c r="CP326" s="63"/>
      <c r="CQ326" s="63"/>
      <c r="CR326" s="63"/>
      <c r="CS326" s="63"/>
      <c r="CT326" s="63"/>
      <c r="CU326" s="63"/>
      <c r="CV326" s="63"/>
    </row>
    <row r="327">
      <c r="A327" s="48">
        <v>4.0</v>
      </c>
      <c r="B327" s="43" t="s">
        <v>65</v>
      </c>
      <c r="C327" s="48" t="s">
        <v>1276</v>
      </c>
      <c r="D327" s="51" t="s">
        <v>67</v>
      </c>
      <c r="E327" s="47"/>
      <c r="F327" s="242">
        <v>5.40009338E9</v>
      </c>
      <c r="G327" s="242" t="s">
        <v>1213</v>
      </c>
      <c r="H327" s="242">
        <v>60000.0</v>
      </c>
      <c r="I327" s="47"/>
      <c r="J327" s="261">
        <v>206779.0</v>
      </c>
      <c r="K327" s="274" t="s">
        <v>1277</v>
      </c>
      <c r="L327" s="261" t="s">
        <v>258</v>
      </c>
      <c r="M327" s="275">
        <v>55900.0</v>
      </c>
      <c r="N327" s="66">
        <v>94.0</v>
      </c>
      <c r="O327" s="66">
        <v>4.0</v>
      </c>
      <c r="P327" s="66">
        <v>165.0</v>
      </c>
      <c r="Q327" s="50" t="s">
        <v>63</v>
      </c>
      <c r="R327" s="66" t="s">
        <v>305</v>
      </c>
      <c r="S327" s="50">
        <f t="shared" si="25"/>
        <v>11.75</v>
      </c>
      <c r="T327" s="50">
        <f t="shared" si="26"/>
        <v>157.2</v>
      </c>
      <c r="U327" s="69">
        <f t="shared" si="27"/>
        <v>13.3787234</v>
      </c>
      <c r="V327" s="70">
        <f t="shared" si="28"/>
        <v>4178.276081</v>
      </c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  <c r="BT327" s="63"/>
      <c r="BU327" s="63"/>
      <c r="BV327" s="63"/>
      <c r="BW327" s="63"/>
      <c r="BX327" s="63"/>
      <c r="BY327" s="63"/>
      <c r="BZ327" s="63"/>
      <c r="CA327" s="63"/>
      <c r="CB327" s="63"/>
      <c r="CC327" s="63"/>
      <c r="CD327" s="63"/>
      <c r="CE327" s="63"/>
      <c r="CF327" s="63"/>
      <c r="CG327" s="63"/>
      <c r="CH327" s="63"/>
      <c r="CI327" s="63"/>
      <c r="CJ327" s="63"/>
      <c r="CK327" s="63"/>
      <c r="CL327" s="63"/>
      <c r="CM327" s="63"/>
      <c r="CN327" s="63"/>
      <c r="CO327" s="63"/>
      <c r="CP327" s="63"/>
      <c r="CQ327" s="63"/>
      <c r="CR327" s="63"/>
      <c r="CS327" s="63"/>
      <c r="CT327" s="63"/>
      <c r="CU327" s="63"/>
      <c r="CV327" s="63"/>
    </row>
    <row r="328">
      <c r="A328" s="48">
        <v>2.0</v>
      </c>
      <c r="B328" s="43" t="s">
        <v>65</v>
      </c>
      <c r="C328" s="48" t="s">
        <v>1278</v>
      </c>
      <c r="D328" s="51" t="s">
        <v>67</v>
      </c>
      <c r="E328" s="47"/>
      <c r="F328" s="242">
        <v>5.400092423E9</v>
      </c>
      <c r="G328" s="290">
        <v>46117.0</v>
      </c>
      <c r="H328" s="242">
        <v>30000.0</v>
      </c>
      <c r="I328" s="47"/>
      <c r="J328" s="261">
        <v>206346.0</v>
      </c>
      <c r="K328" s="274" t="s">
        <v>736</v>
      </c>
      <c r="L328" s="261" t="s">
        <v>258</v>
      </c>
      <c r="M328" s="275">
        <v>20000.0</v>
      </c>
      <c r="N328" s="52">
        <v>75.0</v>
      </c>
      <c r="O328" s="52">
        <v>4.0</v>
      </c>
      <c r="P328" s="52">
        <v>175.0</v>
      </c>
      <c r="Q328" s="52" t="s">
        <v>213</v>
      </c>
      <c r="R328" s="52" t="s">
        <v>737</v>
      </c>
      <c r="S328" s="50">
        <f t="shared" si="25"/>
        <v>9.375</v>
      </c>
      <c r="T328" s="50">
        <f t="shared" si="26"/>
        <v>157.2</v>
      </c>
      <c r="U328" s="69">
        <f t="shared" si="27"/>
        <v>16.768</v>
      </c>
      <c r="V328" s="70">
        <f t="shared" si="28"/>
        <v>1192.748092</v>
      </c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  <c r="BT328" s="63"/>
      <c r="BU328" s="63"/>
      <c r="BV328" s="63"/>
      <c r="BW328" s="63"/>
      <c r="BX328" s="63"/>
      <c r="BY328" s="63"/>
      <c r="BZ328" s="63"/>
      <c r="CA328" s="63"/>
      <c r="CB328" s="63"/>
      <c r="CC328" s="63"/>
      <c r="CD328" s="63"/>
      <c r="CE328" s="63"/>
      <c r="CF328" s="63"/>
      <c r="CG328" s="63"/>
      <c r="CH328" s="63"/>
      <c r="CI328" s="63"/>
      <c r="CJ328" s="63"/>
      <c r="CK328" s="63"/>
      <c r="CL328" s="63"/>
      <c r="CM328" s="63"/>
      <c r="CN328" s="63"/>
      <c r="CO328" s="63"/>
      <c r="CP328" s="63"/>
      <c r="CQ328" s="63"/>
      <c r="CR328" s="63"/>
      <c r="CS328" s="63"/>
      <c r="CT328" s="63"/>
      <c r="CU328" s="63"/>
      <c r="CV328" s="63"/>
    </row>
    <row r="329">
      <c r="A329" s="48">
        <v>6.0</v>
      </c>
      <c r="B329" s="43" t="s">
        <v>1262</v>
      </c>
      <c r="C329" s="53" t="s">
        <v>1279</v>
      </c>
      <c r="D329" s="51" t="s">
        <v>67</v>
      </c>
      <c r="E329" s="76"/>
      <c r="F329" s="87">
        <v>5.400093637E9</v>
      </c>
      <c r="G329" s="88">
        <v>46241.0</v>
      </c>
      <c r="H329" s="87">
        <v>4300.0</v>
      </c>
      <c r="I329" s="76"/>
      <c r="J329" s="285">
        <v>206472.0</v>
      </c>
      <c r="K329" s="163" t="s">
        <v>1280</v>
      </c>
      <c r="L329" s="48" t="s">
        <v>234</v>
      </c>
      <c r="M329" s="48">
        <v>4300.0</v>
      </c>
      <c r="N329" s="50">
        <v>89.0</v>
      </c>
      <c r="O329" s="291">
        <v>2.0</v>
      </c>
      <c r="P329" s="291">
        <v>265.0</v>
      </c>
      <c r="Q329" s="50" t="s">
        <v>63</v>
      </c>
      <c r="R329" s="50" t="s">
        <v>1281</v>
      </c>
      <c r="S329" s="50">
        <f t="shared" si="25"/>
        <v>11.125</v>
      </c>
      <c r="T329" s="50">
        <f t="shared" si="26"/>
        <v>78.6</v>
      </c>
      <c r="U329" s="69">
        <f t="shared" si="27"/>
        <v>7.065168539</v>
      </c>
      <c r="V329" s="70">
        <f t="shared" si="28"/>
        <v>608.6195929</v>
      </c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</row>
    <row r="330">
      <c r="A330" s="48">
        <v>5.0</v>
      </c>
      <c r="B330" s="43" t="s">
        <v>1262</v>
      </c>
      <c r="C330" s="53" t="s">
        <v>1282</v>
      </c>
      <c r="D330" s="51" t="s">
        <v>67</v>
      </c>
      <c r="E330" s="76"/>
      <c r="F330" s="87">
        <v>5.400093637E9</v>
      </c>
      <c r="G330" s="88">
        <v>46241.0</v>
      </c>
      <c r="H330" s="87">
        <v>1360.0</v>
      </c>
      <c r="I330" s="76"/>
      <c r="J330" s="285">
        <v>206599.0</v>
      </c>
      <c r="K330" s="286" t="s">
        <v>1283</v>
      </c>
      <c r="L330" s="48" t="s">
        <v>234</v>
      </c>
      <c r="M330" s="287">
        <v>1360.0</v>
      </c>
      <c r="N330" s="100">
        <v>108.0</v>
      </c>
      <c r="O330" s="100">
        <v>2.0</v>
      </c>
      <c r="P330" s="100">
        <v>125.0</v>
      </c>
      <c r="Q330" s="50" t="s">
        <v>63</v>
      </c>
      <c r="R330" s="50" t="s">
        <v>178</v>
      </c>
      <c r="S330" s="50">
        <f t="shared" si="25"/>
        <v>13.5</v>
      </c>
      <c r="T330" s="50">
        <f t="shared" si="26"/>
        <v>78.6</v>
      </c>
      <c r="U330" s="69">
        <f t="shared" si="27"/>
        <v>5.822222222</v>
      </c>
      <c r="V330" s="70">
        <f t="shared" si="28"/>
        <v>233.5877863</v>
      </c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</row>
    <row r="331">
      <c r="A331" s="48">
        <v>4.0</v>
      </c>
      <c r="B331" s="43" t="s">
        <v>1262</v>
      </c>
      <c r="C331" s="53" t="s">
        <v>1284</v>
      </c>
      <c r="D331" s="51" t="s">
        <v>67</v>
      </c>
      <c r="E331" s="76"/>
      <c r="F331" s="87">
        <v>5.400093637E9</v>
      </c>
      <c r="G331" s="88">
        <v>46241.0</v>
      </c>
      <c r="H331" s="87">
        <v>22000.0</v>
      </c>
      <c r="I331" s="76"/>
      <c r="J331" s="285">
        <v>206466.0</v>
      </c>
      <c r="K331" s="286" t="s">
        <v>1285</v>
      </c>
      <c r="L331" s="48" t="s">
        <v>234</v>
      </c>
      <c r="M331" s="287">
        <v>22000.0</v>
      </c>
      <c r="N331" s="100">
        <v>81.0</v>
      </c>
      <c r="O331" s="100">
        <v>1.0</v>
      </c>
      <c r="P331" s="100">
        <v>145.0</v>
      </c>
      <c r="Q331" s="50" t="s">
        <v>63</v>
      </c>
      <c r="R331" s="50" t="s">
        <v>1286</v>
      </c>
      <c r="S331" s="50">
        <f t="shared" si="25"/>
        <v>10.125</v>
      </c>
      <c r="T331" s="50">
        <f t="shared" si="26"/>
        <v>39.3</v>
      </c>
      <c r="U331" s="69">
        <f t="shared" si="27"/>
        <v>3.881481481</v>
      </c>
      <c r="V331" s="70">
        <f t="shared" si="28"/>
        <v>5667.938931</v>
      </c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</row>
    <row r="332">
      <c r="A332" s="48">
        <v>7.0</v>
      </c>
      <c r="B332" s="43" t="s">
        <v>65</v>
      </c>
      <c r="C332" s="48" t="s">
        <v>1287</v>
      </c>
      <c r="D332" s="51" t="s">
        <v>67</v>
      </c>
      <c r="E332" s="47"/>
      <c r="F332" s="292">
        <v>5.40009338E9</v>
      </c>
      <c r="G332" s="292" t="s">
        <v>1213</v>
      </c>
      <c r="H332" s="292">
        <v>100000.0</v>
      </c>
      <c r="I332" s="47"/>
      <c r="J332" s="261">
        <v>205940.0</v>
      </c>
      <c r="K332" s="274" t="s">
        <v>270</v>
      </c>
      <c r="L332" s="261" t="s">
        <v>258</v>
      </c>
      <c r="M332" s="275">
        <v>100000.0</v>
      </c>
      <c r="N332" s="100">
        <v>94.0</v>
      </c>
      <c r="O332" s="100">
        <v>2.0</v>
      </c>
      <c r="P332" s="100">
        <v>290.0</v>
      </c>
      <c r="Q332" s="50" t="s">
        <v>213</v>
      </c>
      <c r="R332" s="100" t="s">
        <v>214</v>
      </c>
      <c r="S332" s="50">
        <f t="shared" si="25"/>
        <v>11.75</v>
      </c>
      <c r="T332" s="50">
        <f t="shared" si="26"/>
        <v>78.6</v>
      </c>
      <c r="U332" s="69">
        <f t="shared" si="27"/>
        <v>6.689361702</v>
      </c>
      <c r="V332" s="70">
        <f t="shared" si="28"/>
        <v>14949.10941</v>
      </c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  <c r="BT332" s="63"/>
      <c r="BU332" s="63"/>
      <c r="BV332" s="63"/>
      <c r="BW332" s="63"/>
      <c r="BX332" s="63"/>
      <c r="BY332" s="63"/>
      <c r="BZ332" s="63"/>
      <c r="CA332" s="63"/>
      <c r="CB332" s="63"/>
      <c r="CC332" s="63"/>
      <c r="CD332" s="63"/>
      <c r="CE332" s="63"/>
      <c r="CF332" s="63"/>
      <c r="CG332" s="63"/>
      <c r="CH332" s="63"/>
      <c r="CI332" s="63"/>
      <c r="CJ332" s="63"/>
      <c r="CK332" s="63"/>
      <c r="CL332" s="63"/>
      <c r="CM332" s="63"/>
      <c r="CN332" s="63"/>
      <c r="CO332" s="63"/>
      <c r="CP332" s="63"/>
      <c r="CQ332" s="63"/>
      <c r="CR332" s="63"/>
      <c r="CS332" s="63"/>
      <c r="CT332" s="63"/>
      <c r="CU332" s="63"/>
      <c r="CV332" s="63"/>
    </row>
    <row r="333">
      <c r="A333" s="50">
        <v>22.0</v>
      </c>
      <c r="B333" s="43" t="s">
        <v>1262</v>
      </c>
      <c r="C333" s="53" t="s">
        <v>1288</v>
      </c>
      <c r="D333" s="51" t="s">
        <v>67</v>
      </c>
      <c r="E333" s="76"/>
      <c r="F333" s="87">
        <v>5.400093637E9</v>
      </c>
      <c r="G333" s="88">
        <v>46241.0</v>
      </c>
      <c r="H333" s="87">
        <v>21000.0</v>
      </c>
      <c r="I333" s="76"/>
      <c r="J333" s="285">
        <v>207477.0</v>
      </c>
      <c r="K333" s="286" t="s">
        <v>1289</v>
      </c>
      <c r="L333" s="48" t="s">
        <v>234</v>
      </c>
      <c r="M333" s="287">
        <v>21000.0</v>
      </c>
      <c r="N333" s="50">
        <v>72.0</v>
      </c>
      <c r="O333" s="50">
        <v>1.0</v>
      </c>
      <c r="P333" s="50">
        <v>125.0</v>
      </c>
      <c r="Q333" s="50" t="s">
        <v>63</v>
      </c>
      <c r="R333" s="50" t="s">
        <v>902</v>
      </c>
      <c r="S333" s="50">
        <f t="shared" si="25"/>
        <v>9</v>
      </c>
      <c r="T333" s="50">
        <f t="shared" si="26"/>
        <v>39.3</v>
      </c>
      <c r="U333" s="69">
        <f t="shared" si="27"/>
        <v>4.366666667</v>
      </c>
      <c r="V333" s="70">
        <f t="shared" si="28"/>
        <v>4809.160305</v>
      </c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</row>
    <row r="334">
      <c r="A334" s="48">
        <v>1.0</v>
      </c>
      <c r="B334" s="43" t="s">
        <v>1262</v>
      </c>
      <c r="C334" s="48" t="s">
        <v>1290</v>
      </c>
      <c r="D334" s="51" t="s">
        <v>67</v>
      </c>
      <c r="E334" s="47"/>
      <c r="F334" s="87">
        <v>5.400093637E9</v>
      </c>
      <c r="G334" s="88">
        <v>46241.0</v>
      </c>
      <c r="H334" s="215">
        <v>22900.0</v>
      </c>
      <c r="I334" s="47"/>
      <c r="J334" s="285">
        <v>208280.0</v>
      </c>
      <c r="K334" s="286" t="s">
        <v>1291</v>
      </c>
      <c r="L334" s="48" t="s">
        <v>234</v>
      </c>
      <c r="M334" s="287">
        <v>22900.0</v>
      </c>
      <c r="N334" s="50">
        <v>89.0</v>
      </c>
      <c r="O334" s="50">
        <v>1.0</v>
      </c>
      <c r="P334" s="50">
        <v>160.0</v>
      </c>
      <c r="Q334" s="50" t="s">
        <v>213</v>
      </c>
      <c r="R334" s="50" t="s">
        <v>905</v>
      </c>
      <c r="S334" s="50">
        <f t="shared" si="25"/>
        <v>11.125</v>
      </c>
      <c r="T334" s="50">
        <f t="shared" si="26"/>
        <v>39.3</v>
      </c>
      <c r="U334" s="69">
        <f t="shared" si="27"/>
        <v>3.53258427</v>
      </c>
      <c r="V334" s="70">
        <f t="shared" si="28"/>
        <v>6482.506361</v>
      </c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  <c r="BT334" s="63"/>
      <c r="BU334" s="63"/>
      <c r="BV334" s="63"/>
      <c r="BW334" s="63"/>
      <c r="BX334" s="63"/>
      <c r="BY334" s="63"/>
      <c r="BZ334" s="63"/>
      <c r="CA334" s="63"/>
      <c r="CB334" s="63"/>
      <c r="CC334" s="63"/>
      <c r="CD334" s="63"/>
      <c r="CE334" s="63"/>
      <c r="CF334" s="63"/>
      <c r="CG334" s="63"/>
      <c r="CH334" s="63"/>
      <c r="CI334" s="63"/>
      <c r="CJ334" s="63"/>
      <c r="CK334" s="63"/>
      <c r="CL334" s="63"/>
      <c r="CM334" s="63"/>
      <c r="CN334" s="63"/>
      <c r="CO334" s="63"/>
      <c r="CP334" s="63"/>
      <c r="CQ334" s="63"/>
      <c r="CR334" s="63"/>
      <c r="CS334" s="63"/>
      <c r="CT334" s="63"/>
      <c r="CU334" s="63"/>
      <c r="CV334" s="63"/>
    </row>
    <row r="335">
      <c r="A335" s="48">
        <v>2.0</v>
      </c>
      <c r="B335" s="43" t="s">
        <v>1262</v>
      </c>
      <c r="C335" s="48" t="s">
        <v>1292</v>
      </c>
      <c r="D335" s="51" t="s">
        <v>67</v>
      </c>
      <c r="E335" s="47"/>
      <c r="F335" s="87">
        <v>5.400093637E9</v>
      </c>
      <c r="G335" s="88">
        <v>46241.0</v>
      </c>
      <c r="H335" s="215">
        <v>2250.0</v>
      </c>
      <c r="I335" s="47"/>
      <c r="J335" s="285">
        <v>208281.0</v>
      </c>
      <c r="K335" s="286" t="s">
        <v>1293</v>
      </c>
      <c r="L335" s="48" t="s">
        <v>234</v>
      </c>
      <c r="M335" s="287">
        <v>2250.0</v>
      </c>
      <c r="N335" s="100">
        <v>108.0</v>
      </c>
      <c r="O335" s="100">
        <v>2.0</v>
      </c>
      <c r="P335" s="100">
        <v>125.0</v>
      </c>
      <c r="Q335" s="50" t="s">
        <v>63</v>
      </c>
      <c r="R335" s="50" t="s">
        <v>178</v>
      </c>
      <c r="S335" s="50">
        <f t="shared" si="25"/>
        <v>13.5</v>
      </c>
      <c r="T335" s="50">
        <f t="shared" si="26"/>
        <v>78.6</v>
      </c>
      <c r="U335" s="69">
        <f t="shared" si="27"/>
        <v>5.822222222</v>
      </c>
      <c r="V335" s="70">
        <f t="shared" si="28"/>
        <v>386.4503817</v>
      </c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  <c r="BT335" s="63"/>
      <c r="BU335" s="63"/>
      <c r="BV335" s="63"/>
      <c r="BW335" s="63"/>
      <c r="BX335" s="63"/>
      <c r="BY335" s="63"/>
      <c r="BZ335" s="63"/>
      <c r="CA335" s="63"/>
      <c r="CB335" s="63"/>
      <c r="CC335" s="63"/>
      <c r="CD335" s="63"/>
      <c r="CE335" s="63"/>
      <c r="CF335" s="63"/>
      <c r="CG335" s="63"/>
      <c r="CH335" s="63"/>
      <c r="CI335" s="63"/>
      <c r="CJ335" s="63"/>
      <c r="CK335" s="63"/>
      <c r="CL335" s="63"/>
      <c r="CM335" s="63"/>
      <c r="CN335" s="63"/>
      <c r="CO335" s="63"/>
      <c r="CP335" s="63"/>
      <c r="CQ335" s="63"/>
      <c r="CR335" s="63"/>
      <c r="CS335" s="63"/>
      <c r="CT335" s="63"/>
      <c r="CU335" s="63"/>
      <c r="CV335" s="63"/>
    </row>
    <row r="336">
      <c r="A336" s="48">
        <v>3.0</v>
      </c>
      <c r="B336" s="43" t="s">
        <v>1262</v>
      </c>
      <c r="C336" s="53" t="s">
        <v>1294</v>
      </c>
      <c r="D336" s="51" t="s">
        <v>67</v>
      </c>
      <c r="E336" s="76"/>
      <c r="F336" s="87">
        <v>5.400093637E9</v>
      </c>
      <c r="G336" s="88">
        <v>46241.0</v>
      </c>
      <c r="H336" s="87">
        <v>1060.0</v>
      </c>
      <c r="I336" s="76"/>
      <c r="J336" s="285">
        <v>207478.0</v>
      </c>
      <c r="K336" s="286" t="s">
        <v>1295</v>
      </c>
      <c r="L336" s="87" t="s">
        <v>234</v>
      </c>
      <c r="M336" s="287">
        <v>1060.0</v>
      </c>
      <c r="N336" s="100">
        <v>108.0</v>
      </c>
      <c r="O336" s="100">
        <v>2.0</v>
      </c>
      <c r="P336" s="100">
        <v>125.0</v>
      </c>
      <c r="Q336" s="50" t="s">
        <v>63</v>
      </c>
      <c r="R336" s="50" t="s">
        <v>178</v>
      </c>
      <c r="S336" s="50">
        <f t="shared" si="25"/>
        <v>13.5</v>
      </c>
      <c r="T336" s="50">
        <f t="shared" si="26"/>
        <v>78.6</v>
      </c>
      <c r="U336" s="69">
        <f t="shared" si="27"/>
        <v>5.822222222</v>
      </c>
      <c r="V336" s="70">
        <f t="shared" si="28"/>
        <v>182.0610687</v>
      </c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</row>
    <row r="337">
      <c r="A337" s="48">
        <v>6.0</v>
      </c>
      <c r="B337" s="43" t="s">
        <v>65</v>
      </c>
      <c r="C337" s="53" t="s">
        <v>1296</v>
      </c>
      <c r="D337" s="45" t="s">
        <v>247</v>
      </c>
      <c r="E337" s="76"/>
      <c r="F337" s="43" t="s">
        <v>321</v>
      </c>
      <c r="G337" s="176">
        <v>46060.0</v>
      </c>
      <c r="H337" s="48">
        <v>30000.0</v>
      </c>
      <c r="I337" s="76"/>
      <c r="J337" s="76"/>
      <c r="K337" s="45" t="s">
        <v>950</v>
      </c>
      <c r="L337" s="50" t="s">
        <v>252</v>
      </c>
      <c r="M337" s="48">
        <v>20000.0</v>
      </c>
      <c r="N337" s="100">
        <v>72.0</v>
      </c>
      <c r="O337" s="100">
        <v>2.0</v>
      </c>
      <c r="P337" s="100">
        <v>185.0</v>
      </c>
      <c r="Q337" s="50" t="s">
        <v>63</v>
      </c>
      <c r="R337" s="100" t="s">
        <v>384</v>
      </c>
      <c r="S337" s="126">
        <f t="shared" si="25"/>
        <v>9</v>
      </c>
      <c r="T337" s="126">
        <f t="shared" si="26"/>
        <v>78.6</v>
      </c>
      <c r="U337" s="127">
        <f t="shared" si="27"/>
        <v>8.733333333</v>
      </c>
      <c r="V337" s="128">
        <f t="shared" si="28"/>
        <v>2290.076336</v>
      </c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</row>
    <row r="338">
      <c r="A338" s="48">
        <v>1.0</v>
      </c>
      <c r="B338" s="50" t="s">
        <v>274</v>
      </c>
      <c r="C338" s="53" t="s">
        <v>1297</v>
      </c>
      <c r="D338" s="45" t="s">
        <v>247</v>
      </c>
      <c r="E338" s="76"/>
      <c r="F338" s="48" t="s">
        <v>276</v>
      </c>
      <c r="G338" s="48" t="s">
        <v>277</v>
      </c>
      <c r="H338" s="48">
        <v>15000.0</v>
      </c>
      <c r="I338" s="76"/>
      <c r="J338" s="76"/>
      <c r="K338" s="45" t="s">
        <v>948</v>
      </c>
      <c r="L338" s="50" t="s">
        <v>252</v>
      </c>
      <c r="M338" s="154">
        <v>11000.0</v>
      </c>
      <c r="N338" s="100">
        <v>69.0</v>
      </c>
      <c r="O338" s="100">
        <v>1.0</v>
      </c>
      <c r="P338" s="100">
        <v>135.0</v>
      </c>
      <c r="Q338" s="50" t="s">
        <v>63</v>
      </c>
      <c r="R338" s="100" t="s">
        <v>324</v>
      </c>
      <c r="S338" s="50">
        <f t="shared" si="25"/>
        <v>8.625</v>
      </c>
      <c r="T338" s="50">
        <f t="shared" si="26"/>
        <v>39.3</v>
      </c>
      <c r="U338" s="69">
        <f t="shared" si="27"/>
        <v>4.556521739</v>
      </c>
      <c r="V338" s="70">
        <f t="shared" si="28"/>
        <v>2414.122137</v>
      </c>
      <c r="W338" s="87"/>
      <c r="X338" s="83"/>
      <c r="Y338" s="88"/>
      <c r="Z338" s="89"/>
      <c r="AA338" s="83"/>
      <c r="AB338" s="87"/>
      <c r="AC338" s="87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</row>
    <row r="339">
      <c r="A339" s="48">
        <v>11.0</v>
      </c>
      <c r="B339" s="43" t="s">
        <v>174</v>
      </c>
      <c r="C339" s="53" t="s">
        <v>1298</v>
      </c>
      <c r="D339" s="45" t="s">
        <v>247</v>
      </c>
      <c r="E339" s="76"/>
      <c r="F339" s="43" t="s">
        <v>1299</v>
      </c>
      <c r="G339" s="43" t="s">
        <v>1115</v>
      </c>
      <c r="H339" s="48">
        <v>5000.0</v>
      </c>
      <c r="I339" s="76"/>
      <c r="J339" s="76"/>
      <c r="K339" s="56" t="s">
        <v>1300</v>
      </c>
      <c r="L339" s="50" t="s">
        <v>252</v>
      </c>
      <c r="M339" s="129">
        <v>5000.0</v>
      </c>
      <c r="N339" s="100">
        <v>69.0</v>
      </c>
      <c r="O339" s="100">
        <v>1.0</v>
      </c>
      <c r="P339" s="100">
        <v>135.0</v>
      </c>
      <c r="Q339" s="50" t="s">
        <v>63</v>
      </c>
      <c r="R339" s="100" t="s">
        <v>324</v>
      </c>
      <c r="S339" s="50">
        <f t="shared" si="25"/>
        <v>8.625</v>
      </c>
      <c r="T339" s="50">
        <f t="shared" si="26"/>
        <v>39.3</v>
      </c>
      <c r="U339" s="69">
        <f t="shared" si="27"/>
        <v>4.556521739</v>
      </c>
      <c r="V339" s="70">
        <f t="shared" si="28"/>
        <v>1097.328244</v>
      </c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</row>
    <row r="340">
      <c r="A340" s="48">
        <v>8.0</v>
      </c>
      <c r="B340" s="133" t="s">
        <v>274</v>
      </c>
      <c r="C340" s="48" t="s">
        <v>1301</v>
      </c>
      <c r="D340" s="45" t="s">
        <v>247</v>
      </c>
      <c r="E340" s="47"/>
      <c r="F340" s="48" t="s">
        <v>448</v>
      </c>
      <c r="G340" s="176">
        <v>46362.0</v>
      </c>
      <c r="H340" s="48">
        <v>20000.0</v>
      </c>
      <c r="I340" s="47"/>
      <c r="J340" s="47"/>
      <c r="K340" s="45" t="s">
        <v>823</v>
      </c>
      <c r="L340" s="50" t="s">
        <v>252</v>
      </c>
      <c r="M340" s="129">
        <v>20000.0</v>
      </c>
      <c r="N340" s="100">
        <v>89.0</v>
      </c>
      <c r="O340" s="100">
        <v>1.0</v>
      </c>
      <c r="P340" s="100">
        <v>160.0</v>
      </c>
      <c r="Q340" s="50" t="s">
        <v>63</v>
      </c>
      <c r="R340" s="100" t="s">
        <v>254</v>
      </c>
      <c r="S340" s="50">
        <f t="shared" si="25"/>
        <v>11.125</v>
      </c>
      <c r="T340" s="50">
        <f t="shared" si="26"/>
        <v>39.3</v>
      </c>
      <c r="U340" s="69">
        <f t="shared" si="27"/>
        <v>3.53258427</v>
      </c>
      <c r="V340" s="70">
        <f t="shared" si="28"/>
        <v>5661.577608</v>
      </c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  <c r="BT340" s="63"/>
      <c r="BU340" s="63"/>
      <c r="BV340" s="63"/>
      <c r="BW340" s="63"/>
      <c r="BX340" s="63"/>
      <c r="BY340" s="63"/>
      <c r="BZ340" s="63"/>
      <c r="CA340" s="63"/>
      <c r="CB340" s="63"/>
      <c r="CC340" s="63"/>
      <c r="CD340" s="63"/>
      <c r="CE340" s="63"/>
      <c r="CF340" s="63"/>
      <c r="CG340" s="63"/>
      <c r="CH340" s="63"/>
      <c r="CI340" s="63"/>
      <c r="CJ340" s="63"/>
      <c r="CK340" s="63"/>
      <c r="CL340" s="63"/>
      <c r="CM340" s="63"/>
      <c r="CN340" s="63"/>
      <c r="CO340" s="63"/>
      <c r="CP340" s="63"/>
      <c r="CQ340" s="63"/>
      <c r="CR340" s="63"/>
      <c r="CS340" s="63"/>
      <c r="CT340" s="63"/>
      <c r="CU340" s="63"/>
      <c r="CV340" s="63"/>
    </row>
    <row r="341">
      <c r="A341" s="48">
        <v>9.0</v>
      </c>
      <c r="B341" s="133" t="s">
        <v>274</v>
      </c>
      <c r="C341" s="53" t="s">
        <v>1302</v>
      </c>
      <c r="D341" s="45" t="s">
        <v>247</v>
      </c>
      <c r="E341" s="47"/>
      <c r="F341" s="48" t="s">
        <v>276</v>
      </c>
      <c r="G341" s="48" t="s">
        <v>277</v>
      </c>
      <c r="H341" s="48">
        <v>15000.0</v>
      </c>
      <c r="I341" s="47"/>
      <c r="J341" s="47"/>
      <c r="K341" s="45" t="s">
        <v>1303</v>
      </c>
      <c r="L341" s="50" t="s">
        <v>252</v>
      </c>
      <c r="M341" s="166">
        <v>15000.0</v>
      </c>
      <c r="N341" s="100">
        <v>69.0</v>
      </c>
      <c r="O341" s="100">
        <v>1.0</v>
      </c>
      <c r="P341" s="100">
        <v>135.0</v>
      </c>
      <c r="Q341" s="50" t="s">
        <v>63</v>
      </c>
      <c r="R341" s="100" t="s">
        <v>324</v>
      </c>
      <c r="S341" s="50">
        <f t="shared" si="25"/>
        <v>8.625</v>
      </c>
      <c r="T341" s="50">
        <f t="shared" si="26"/>
        <v>39.3</v>
      </c>
      <c r="U341" s="69">
        <f t="shared" si="27"/>
        <v>4.556521739</v>
      </c>
      <c r="V341" s="70">
        <f t="shared" si="28"/>
        <v>3291.984733</v>
      </c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  <c r="BT341" s="63"/>
      <c r="BU341" s="63"/>
      <c r="BV341" s="63"/>
      <c r="BW341" s="63"/>
      <c r="BX341" s="63"/>
      <c r="BY341" s="63"/>
      <c r="BZ341" s="63"/>
      <c r="CA341" s="63"/>
      <c r="CB341" s="63"/>
      <c r="CC341" s="63"/>
      <c r="CD341" s="63"/>
      <c r="CE341" s="63"/>
      <c r="CF341" s="63"/>
      <c r="CG341" s="63"/>
      <c r="CH341" s="63"/>
      <c r="CI341" s="63"/>
      <c r="CJ341" s="63"/>
      <c r="CK341" s="63"/>
      <c r="CL341" s="63"/>
      <c r="CM341" s="63"/>
      <c r="CN341" s="63"/>
      <c r="CO341" s="63"/>
      <c r="CP341" s="63"/>
      <c r="CQ341" s="63"/>
      <c r="CR341" s="63"/>
      <c r="CS341" s="63"/>
      <c r="CT341" s="63"/>
      <c r="CU341" s="63"/>
      <c r="CV341" s="63"/>
    </row>
    <row r="342">
      <c r="A342" s="48">
        <v>6.0</v>
      </c>
      <c r="B342" s="43" t="s">
        <v>174</v>
      </c>
      <c r="C342" s="53" t="s">
        <v>1304</v>
      </c>
      <c r="D342" s="45" t="s">
        <v>247</v>
      </c>
      <c r="E342" s="76"/>
      <c r="F342" s="43" t="s">
        <v>1299</v>
      </c>
      <c r="G342" s="43" t="s">
        <v>1115</v>
      </c>
      <c r="H342" s="48">
        <v>8000.0</v>
      </c>
      <c r="I342" s="76"/>
      <c r="J342" s="76"/>
      <c r="K342" s="56" t="s">
        <v>1305</v>
      </c>
      <c r="L342" s="50" t="s">
        <v>252</v>
      </c>
      <c r="M342" s="129">
        <v>8000.0</v>
      </c>
      <c r="N342" s="100">
        <v>92.0</v>
      </c>
      <c r="O342" s="100">
        <v>4.0</v>
      </c>
      <c r="P342" s="100">
        <v>140.0</v>
      </c>
      <c r="Q342" s="50" t="s">
        <v>63</v>
      </c>
      <c r="R342" s="100" t="s">
        <v>366</v>
      </c>
      <c r="S342" s="50">
        <f t="shared" si="25"/>
        <v>11.5</v>
      </c>
      <c r="T342" s="50">
        <f t="shared" si="26"/>
        <v>157.2</v>
      </c>
      <c r="U342" s="69">
        <f t="shared" si="27"/>
        <v>13.66956522</v>
      </c>
      <c r="V342" s="70">
        <f t="shared" si="28"/>
        <v>585.2417303</v>
      </c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</row>
    <row r="343">
      <c r="A343" s="48">
        <v>7.0</v>
      </c>
      <c r="B343" s="43" t="s">
        <v>447</v>
      </c>
      <c r="C343" s="53" t="s">
        <v>1306</v>
      </c>
      <c r="D343" s="45" t="s">
        <v>247</v>
      </c>
      <c r="E343" s="45"/>
      <c r="F343" s="48" t="s">
        <v>448</v>
      </c>
      <c r="G343" s="176">
        <v>46362.0</v>
      </c>
      <c r="H343" s="48">
        <v>6000.0</v>
      </c>
      <c r="I343" s="47"/>
      <c r="J343" s="47"/>
      <c r="K343" s="56" t="s">
        <v>1307</v>
      </c>
      <c r="L343" s="50" t="s">
        <v>252</v>
      </c>
      <c r="M343" s="48">
        <v>6000.0</v>
      </c>
      <c r="N343" s="66">
        <v>89.0</v>
      </c>
      <c r="O343" s="66">
        <v>1.0</v>
      </c>
      <c r="P343" s="66">
        <v>160.0</v>
      </c>
      <c r="Q343" s="50" t="s">
        <v>63</v>
      </c>
      <c r="R343" s="66" t="s">
        <v>254</v>
      </c>
      <c r="S343" s="50">
        <f t="shared" si="25"/>
        <v>11.125</v>
      </c>
      <c r="T343" s="50">
        <f t="shared" si="26"/>
        <v>39.3</v>
      </c>
      <c r="U343" s="69">
        <f t="shared" si="27"/>
        <v>3.53258427</v>
      </c>
      <c r="V343" s="70">
        <f t="shared" si="28"/>
        <v>1698.473282</v>
      </c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</row>
    <row r="344">
      <c r="A344" s="48">
        <v>10.0</v>
      </c>
      <c r="B344" s="43" t="s">
        <v>174</v>
      </c>
      <c r="C344" s="53" t="s">
        <v>1308</v>
      </c>
      <c r="D344" s="45" t="s">
        <v>247</v>
      </c>
      <c r="E344" s="76"/>
      <c r="F344" s="43" t="s">
        <v>1299</v>
      </c>
      <c r="G344" s="43" t="s">
        <v>1115</v>
      </c>
      <c r="H344" s="48">
        <v>5000.0</v>
      </c>
      <c r="I344" s="76"/>
      <c r="J344" s="76"/>
      <c r="K344" s="56" t="s">
        <v>1309</v>
      </c>
      <c r="L344" s="50" t="s">
        <v>252</v>
      </c>
      <c r="M344" s="129">
        <v>5000.0</v>
      </c>
      <c r="N344" s="100">
        <v>89.0</v>
      </c>
      <c r="O344" s="100">
        <v>1.0</v>
      </c>
      <c r="P344" s="100">
        <v>160.0</v>
      </c>
      <c r="Q344" s="50" t="s">
        <v>63</v>
      </c>
      <c r="R344" s="100" t="s">
        <v>254</v>
      </c>
      <c r="S344" s="50">
        <f t="shared" si="25"/>
        <v>11.125</v>
      </c>
      <c r="T344" s="50">
        <f t="shared" si="26"/>
        <v>39.3</v>
      </c>
      <c r="U344" s="69">
        <f t="shared" si="27"/>
        <v>3.53258427</v>
      </c>
      <c r="V344" s="70">
        <f t="shared" si="28"/>
        <v>1415.394402</v>
      </c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</row>
    <row r="345" ht="22.5" customHeight="1">
      <c r="A345" s="43">
        <v>2.0</v>
      </c>
      <c r="B345" s="115">
        <v>46029.0</v>
      </c>
      <c r="C345" s="48" t="s">
        <v>1310</v>
      </c>
      <c r="D345" s="293" t="s">
        <v>1311</v>
      </c>
      <c r="E345" s="208"/>
      <c r="F345" s="208"/>
      <c r="G345" s="208"/>
      <c r="H345" s="208"/>
      <c r="I345" s="171"/>
      <c r="J345" s="171"/>
      <c r="K345" s="145" t="s">
        <v>1312</v>
      </c>
      <c r="L345" s="100" t="s">
        <v>1313</v>
      </c>
      <c r="M345" s="100">
        <v>20000.0</v>
      </c>
      <c r="N345" s="100">
        <v>79.0</v>
      </c>
      <c r="O345" s="100">
        <v>15.0</v>
      </c>
      <c r="P345" s="100">
        <v>170.0</v>
      </c>
      <c r="Q345" s="50" t="s">
        <v>63</v>
      </c>
      <c r="R345" s="100" t="s">
        <v>1314</v>
      </c>
      <c r="S345" s="126">
        <f t="shared" si="25"/>
        <v>9.875</v>
      </c>
      <c r="T345" s="126">
        <f t="shared" si="26"/>
        <v>589.5</v>
      </c>
      <c r="U345" s="127">
        <f t="shared" si="27"/>
        <v>59.69620253</v>
      </c>
      <c r="V345" s="128">
        <f t="shared" si="28"/>
        <v>335.0296862</v>
      </c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  <c r="BT345" s="63"/>
      <c r="BU345" s="63"/>
      <c r="BV345" s="63"/>
      <c r="BW345" s="63"/>
      <c r="BX345" s="63"/>
      <c r="BY345" s="63"/>
      <c r="BZ345" s="63"/>
      <c r="CA345" s="63"/>
      <c r="CB345" s="63"/>
      <c r="CC345" s="63"/>
      <c r="CD345" s="63"/>
      <c r="CE345" s="63"/>
      <c r="CF345" s="63"/>
      <c r="CG345" s="63"/>
      <c r="CH345" s="63"/>
      <c r="CI345" s="63"/>
      <c r="CJ345" s="63"/>
      <c r="CK345" s="63"/>
      <c r="CL345" s="63"/>
      <c r="CM345" s="63"/>
      <c r="CN345" s="63"/>
      <c r="CO345" s="63"/>
      <c r="CP345" s="63"/>
      <c r="CQ345" s="63"/>
      <c r="CR345" s="63"/>
      <c r="CS345" s="63"/>
      <c r="CT345" s="63"/>
      <c r="CU345" s="63"/>
      <c r="CV345" s="63"/>
    </row>
    <row r="346">
      <c r="A346" s="48">
        <v>6.0</v>
      </c>
      <c r="B346" s="43" t="s">
        <v>53</v>
      </c>
      <c r="C346" s="53" t="s">
        <v>1315</v>
      </c>
      <c r="D346" s="96" t="s">
        <v>515</v>
      </c>
      <c r="E346" s="71"/>
      <c r="F346" s="48" t="s">
        <v>1316</v>
      </c>
      <c r="G346" s="176">
        <v>46210.0</v>
      </c>
      <c r="H346" s="48">
        <v>14300.0</v>
      </c>
      <c r="I346" s="71"/>
      <c r="J346" s="71"/>
      <c r="K346" s="56" t="s">
        <v>1317</v>
      </c>
      <c r="L346" s="50" t="s">
        <v>518</v>
      </c>
      <c r="M346" s="48">
        <v>14300.0</v>
      </c>
      <c r="N346" s="50">
        <v>108.0</v>
      </c>
      <c r="O346" s="50">
        <v>4.0</v>
      </c>
      <c r="P346" s="50">
        <v>125.0</v>
      </c>
      <c r="Q346" s="100" t="s">
        <v>50</v>
      </c>
      <c r="R346" s="50" t="s">
        <v>520</v>
      </c>
      <c r="S346" s="126">
        <f t="shared" si="25"/>
        <v>13.5</v>
      </c>
      <c r="T346" s="126">
        <f t="shared" si="26"/>
        <v>157.2</v>
      </c>
      <c r="U346" s="127">
        <f t="shared" si="27"/>
        <v>11.64444444</v>
      </c>
      <c r="V346" s="128">
        <f t="shared" si="28"/>
        <v>1228.053435</v>
      </c>
      <c r="W346" s="216"/>
      <c r="X346" s="76"/>
      <c r="Y346" s="216"/>
      <c r="Z346" s="216"/>
      <c r="AA346" s="76"/>
      <c r="AB346" s="216"/>
      <c r="AC346" s="76"/>
      <c r="AD346" s="76"/>
      <c r="AE346" s="76"/>
      <c r="AF346" s="76"/>
    </row>
    <row r="347">
      <c r="A347" s="48">
        <v>1.0</v>
      </c>
      <c r="B347" s="43" t="s">
        <v>395</v>
      </c>
      <c r="C347" s="53" t="s">
        <v>1318</v>
      </c>
      <c r="D347" s="56" t="s">
        <v>78</v>
      </c>
      <c r="E347" s="76"/>
      <c r="F347" s="76"/>
      <c r="G347" s="76"/>
      <c r="H347" s="76"/>
      <c r="I347" s="76"/>
      <c r="J347" s="76"/>
      <c r="K347" s="168" t="s">
        <v>1319</v>
      </c>
      <c r="L347" s="52"/>
      <c r="M347" s="129">
        <v>150900.0</v>
      </c>
      <c r="N347" s="53">
        <v>79.0</v>
      </c>
      <c r="O347" s="53">
        <v>24.0</v>
      </c>
      <c r="P347" s="53">
        <v>175.0</v>
      </c>
      <c r="Q347" s="53" t="s">
        <v>115</v>
      </c>
      <c r="R347" s="53" t="s">
        <v>1320</v>
      </c>
      <c r="S347" s="50">
        <f t="shared" si="25"/>
        <v>9.875</v>
      </c>
      <c r="T347" s="50">
        <f t="shared" si="26"/>
        <v>943.2</v>
      </c>
      <c r="U347" s="69">
        <f t="shared" si="27"/>
        <v>95.51392405</v>
      </c>
      <c r="V347" s="70">
        <f t="shared" si="28"/>
        <v>1579.874364</v>
      </c>
      <c r="W347" s="52"/>
      <c r="X347" s="52"/>
      <c r="Y347" s="52"/>
      <c r="Z347" s="52"/>
      <c r="AA347" s="47"/>
      <c r="AB347" s="47"/>
      <c r="AC347" s="47"/>
      <c r="AD347" s="47"/>
      <c r="AE347" s="47"/>
      <c r="AF347" s="47"/>
    </row>
    <row r="348">
      <c r="A348" s="43">
        <v>2.0</v>
      </c>
      <c r="B348" s="48" t="s">
        <v>75</v>
      </c>
      <c r="C348" s="48" t="s">
        <v>1321</v>
      </c>
      <c r="D348" s="45" t="s">
        <v>78</v>
      </c>
      <c r="E348" s="76"/>
      <c r="F348" s="76"/>
      <c r="G348" s="76"/>
      <c r="H348" s="76"/>
      <c r="I348" s="76"/>
      <c r="J348" s="76"/>
      <c r="K348" s="56" t="s">
        <v>292</v>
      </c>
      <c r="L348" s="47"/>
      <c r="M348" s="48">
        <v>20500.0</v>
      </c>
      <c r="N348" s="48">
        <v>92.0</v>
      </c>
      <c r="O348" s="48">
        <v>3.0</v>
      </c>
      <c r="P348" s="48">
        <v>200.0</v>
      </c>
      <c r="Q348" s="48" t="s">
        <v>243</v>
      </c>
      <c r="R348" s="48" t="s">
        <v>244</v>
      </c>
      <c r="S348" s="50">
        <f t="shared" si="25"/>
        <v>11.5</v>
      </c>
      <c r="T348" s="50">
        <f t="shared" si="26"/>
        <v>117.9</v>
      </c>
      <c r="U348" s="69">
        <f t="shared" si="27"/>
        <v>10.25217391</v>
      </c>
      <c r="V348" s="70">
        <f t="shared" si="28"/>
        <v>1999.575912</v>
      </c>
      <c r="W348" s="87"/>
      <c r="X348" s="83"/>
      <c r="Y348" s="88"/>
      <c r="Z348" s="89"/>
      <c r="AA348" s="83"/>
      <c r="AB348" s="87"/>
      <c r="AC348" s="83"/>
      <c r="AD348" s="76"/>
      <c r="AE348" s="76"/>
      <c r="AF348" s="76"/>
    </row>
    <row r="349">
      <c r="A349" s="48">
        <v>3.0</v>
      </c>
      <c r="B349" s="43" t="s">
        <v>65</v>
      </c>
      <c r="C349" s="48" t="s">
        <v>1322</v>
      </c>
      <c r="D349" s="51" t="s">
        <v>67</v>
      </c>
      <c r="E349" s="47"/>
      <c r="F349" s="139">
        <v>5.400093382E9</v>
      </c>
      <c r="G349" s="242" t="s">
        <v>1213</v>
      </c>
      <c r="H349" s="242">
        <v>3000.0</v>
      </c>
      <c r="I349" s="47"/>
      <c r="J349" s="261">
        <v>201880.0</v>
      </c>
      <c r="K349" s="274" t="s">
        <v>1323</v>
      </c>
      <c r="L349" s="261" t="s">
        <v>234</v>
      </c>
      <c r="M349" s="275">
        <v>5000.0</v>
      </c>
      <c r="N349" s="100">
        <v>92.0</v>
      </c>
      <c r="O349" s="100">
        <v>8.0</v>
      </c>
      <c r="P349" s="100">
        <v>150.0</v>
      </c>
      <c r="Q349" s="100" t="s">
        <v>213</v>
      </c>
      <c r="R349" s="100" t="s">
        <v>619</v>
      </c>
      <c r="S349" s="50">
        <f t="shared" si="25"/>
        <v>11.5</v>
      </c>
      <c r="T349" s="50">
        <f t="shared" si="26"/>
        <v>314.4</v>
      </c>
      <c r="U349" s="69">
        <f t="shared" si="27"/>
        <v>27.33913043</v>
      </c>
      <c r="V349" s="70">
        <f t="shared" si="28"/>
        <v>182.8880407</v>
      </c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  <c r="BT349" s="63"/>
      <c r="BU349" s="63"/>
      <c r="BV349" s="63"/>
      <c r="BW349" s="63"/>
      <c r="BX349" s="63"/>
      <c r="BY349" s="63"/>
      <c r="BZ349" s="63"/>
      <c r="CA349" s="63"/>
      <c r="CB349" s="63"/>
      <c r="CC349" s="63"/>
      <c r="CD349" s="63"/>
      <c r="CE349" s="63"/>
      <c r="CF349" s="63"/>
      <c r="CG349" s="63"/>
      <c r="CH349" s="63"/>
      <c r="CI349" s="63"/>
      <c r="CJ349" s="63"/>
      <c r="CK349" s="63"/>
      <c r="CL349" s="63"/>
      <c r="CM349" s="63"/>
      <c r="CN349" s="63"/>
      <c r="CO349" s="63"/>
      <c r="CP349" s="63"/>
      <c r="CQ349" s="63"/>
      <c r="CR349" s="63"/>
      <c r="CS349" s="63"/>
      <c r="CT349" s="63"/>
      <c r="CU349" s="63"/>
      <c r="CV349" s="63"/>
    </row>
    <row r="350">
      <c r="A350" s="48">
        <v>4.0</v>
      </c>
      <c r="B350" s="43" t="s">
        <v>1324</v>
      </c>
      <c r="C350" s="48" t="s">
        <v>1325</v>
      </c>
      <c r="D350" s="51" t="s">
        <v>67</v>
      </c>
      <c r="E350" s="47"/>
      <c r="F350" s="242" t="s">
        <v>1326</v>
      </c>
      <c r="G350" s="242" t="s">
        <v>1327</v>
      </c>
      <c r="H350" s="242" t="s">
        <v>1328</v>
      </c>
      <c r="I350" s="47"/>
      <c r="J350" s="261">
        <v>207046.0</v>
      </c>
      <c r="K350" s="274" t="s">
        <v>613</v>
      </c>
      <c r="L350" s="261" t="s">
        <v>258</v>
      </c>
      <c r="M350" s="275">
        <v>12000.0</v>
      </c>
      <c r="N350" s="52">
        <v>116.0</v>
      </c>
      <c r="O350" s="52">
        <v>6.0</v>
      </c>
      <c r="P350" s="52">
        <v>300.0</v>
      </c>
      <c r="Q350" s="52" t="s">
        <v>213</v>
      </c>
      <c r="R350" s="52" t="s">
        <v>224</v>
      </c>
      <c r="S350" s="50">
        <f t="shared" si="25"/>
        <v>14.5</v>
      </c>
      <c r="T350" s="50">
        <f t="shared" si="26"/>
        <v>235.8</v>
      </c>
      <c r="U350" s="69">
        <f t="shared" si="27"/>
        <v>16.26206897</v>
      </c>
      <c r="V350" s="70">
        <f t="shared" si="28"/>
        <v>737.913486</v>
      </c>
      <c r="W350" s="216"/>
      <c r="X350" s="76"/>
      <c r="Y350" s="216"/>
      <c r="Z350" s="216"/>
      <c r="AA350" s="76"/>
      <c r="AB350" s="216"/>
      <c r="AC350" s="87"/>
      <c r="AD350" s="76"/>
      <c r="AE350" s="76"/>
      <c r="AF350" s="76"/>
    </row>
    <row r="351">
      <c r="A351" s="48">
        <v>5.0</v>
      </c>
      <c r="B351" s="43" t="s">
        <v>1324</v>
      </c>
      <c r="C351" s="48" t="s">
        <v>1329</v>
      </c>
      <c r="D351" s="51" t="s">
        <v>67</v>
      </c>
      <c r="E351" s="47"/>
      <c r="F351" s="242">
        <v>5.400093774E9</v>
      </c>
      <c r="G351" s="215" t="s">
        <v>269</v>
      </c>
      <c r="H351" s="242">
        <v>7000.0</v>
      </c>
      <c r="I351" s="47"/>
      <c r="J351" s="261">
        <v>207047.0</v>
      </c>
      <c r="K351" s="274" t="s">
        <v>615</v>
      </c>
      <c r="L351" s="261" t="s">
        <v>258</v>
      </c>
      <c r="M351" s="275">
        <v>5000.0</v>
      </c>
      <c r="N351" s="100">
        <v>75.0</v>
      </c>
      <c r="O351" s="100">
        <v>3.0</v>
      </c>
      <c r="P351" s="100">
        <v>330.0</v>
      </c>
      <c r="Q351" s="100" t="s">
        <v>213</v>
      </c>
      <c r="R351" s="100" t="s">
        <v>616</v>
      </c>
      <c r="S351" s="50">
        <f t="shared" si="25"/>
        <v>9.375</v>
      </c>
      <c r="T351" s="50">
        <f t="shared" si="26"/>
        <v>117.9</v>
      </c>
      <c r="U351" s="69">
        <f t="shared" si="27"/>
        <v>12.576</v>
      </c>
      <c r="V351" s="70">
        <f t="shared" si="28"/>
        <v>397.5826972</v>
      </c>
      <c r="W351" s="216"/>
      <c r="X351" s="76"/>
      <c r="Y351" s="216"/>
      <c r="Z351" s="216"/>
      <c r="AA351" s="76"/>
      <c r="AB351" s="216"/>
      <c r="AC351" s="87"/>
      <c r="AD351" s="76"/>
      <c r="AE351" s="76"/>
      <c r="AF351" s="76"/>
    </row>
    <row r="352">
      <c r="A352" s="48">
        <v>17.0</v>
      </c>
      <c r="B352" s="43" t="s">
        <v>53</v>
      </c>
      <c r="C352" s="48" t="s">
        <v>1330</v>
      </c>
      <c r="D352" s="56" t="s">
        <v>67</v>
      </c>
      <c r="E352" s="47"/>
      <c r="F352" s="242">
        <v>5.400093774E9</v>
      </c>
      <c r="G352" s="215" t="s">
        <v>269</v>
      </c>
      <c r="H352" s="215">
        <v>20000.0</v>
      </c>
      <c r="I352" s="47"/>
      <c r="J352" s="261">
        <v>205726.0</v>
      </c>
      <c r="K352" s="274" t="s">
        <v>1225</v>
      </c>
      <c r="L352" s="261" t="s">
        <v>258</v>
      </c>
      <c r="M352" s="275">
        <v>20000.0</v>
      </c>
      <c r="N352" s="151">
        <v>94.0</v>
      </c>
      <c r="O352" s="151">
        <v>8.0</v>
      </c>
      <c r="P352" s="151">
        <v>210.0</v>
      </c>
      <c r="Q352" s="50" t="s">
        <v>213</v>
      </c>
      <c r="R352" s="151" t="s">
        <v>647</v>
      </c>
      <c r="S352" s="50">
        <f t="shared" si="25"/>
        <v>11.75</v>
      </c>
      <c r="T352" s="50">
        <f t="shared" si="26"/>
        <v>314.4</v>
      </c>
      <c r="U352" s="69">
        <f t="shared" si="27"/>
        <v>26.75744681</v>
      </c>
      <c r="V352" s="70">
        <f t="shared" si="28"/>
        <v>747.4554707</v>
      </c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  <c r="BT352" s="63"/>
      <c r="BU352" s="63"/>
      <c r="BV352" s="63"/>
      <c r="BW352" s="63"/>
      <c r="BX352" s="63"/>
      <c r="BY352" s="63"/>
      <c r="BZ352" s="63"/>
      <c r="CA352" s="63"/>
      <c r="CB352" s="63"/>
      <c r="CC352" s="63"/>
      <c r="CD352" s="63"/>
      <c r="CE352" s="63"/>
      <c r="CF352" s="63"/>
      <c r="CG352" s="63"/>
      <c r="CH352" s="63"/>
      <c r="CI352" s="63"/>
      <c r="CJ352" s="63"/>
      <c r="CK352" s="63"/>
      <c r="CL352" s="63"/>
      <c r="CM352" s="63"/>
      <c r="CN352" s="63"/>
      <c r="CO352" s="63"/>
      <c r="CP352" s="63"/>
      <c r="CQ352" s="63"/>
      <c r="CR352" s="63"/>
      <c r="CS352" s="63"/>
      <c r="CT352" s="63"/>
      <c r="CU352" s="63"/>
      <c r="CV352" s="63"/>
    </row>
    <row r="353">
      <c r="A353" s="50">
        <v>19.0</v>
      </c>
      <c r="B353" s="43" t="s">
        <v>53</v>
      </c>
      <c r="C353" s="48" t="s">
        <v>1331</v>
      </c>
      <c r="D353" s="56" t="s">
        <v>67</v>
      </c>
      <c r="E353" s="47"/>
      <c r="F353" s="215" t="s">
        <v>1332</v>
      </c>
      <c r="G353" s="215" t="s">
        <v>1333</v>
      </c>
      <c r="H353" s="215" t="s">
        <v>1334</v>
      </c>
      <c r="I353" s="47"/>
      <c r="J353" s="261">
        <v>205845.0</v>
      </c>
      <c r="K353" s="274" t="s">
        <v>925</v>
      </c>
      <c r="L353" s="261" t="s">
        <v>258</v>
      </c>
      <c r="M353" s="275">
        <v>12000.0</v>
      </c>
      <c r="N353" s="100">
        <v>94.0</v>
      </c>
      <c r="O353" s="100">
        <v>8.0</v>
      </c>
      <c r="P353" s="100">
        <v>210.0</v>
      </c>
      <c r="Q353" s="100" t="s">
        <v>213</v>
      </c>
      <c r="R353" s="100" t="s">
        <v>647</v>
      </c>
      <c r="S353" s="50">
        <f t="shared" si="25"/>
        <v>11.75</v>
      </c>
      <c r="T353" s="50">
        <f t="shared" si="26"/>
        <v>314.4</v>
      </c>
      <c r="U353" s="69">
        <f t="shared" si="27"/>
        <v>26.75744681</v>
      </c>
      <c r="V353" s="70">
        <f t="shared" si="28"/>
        <v>448.4732824</v>
      </c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  <c r="BT353" s="63"/>
      <c r="BU353" s="63"/>
      <c r="BV353" s="63"/>
      <c r="BW353" s="63"/>
      <c r="BX353" s="63"/>
      <c r="BY353" s="63"/>
      <c r="BZ353" s="63"/>
      <c r="CA353" s="63"/>
      <c r="CB353" s="63"/>
      <c r="CC353" s="63"/>
      <c r="CD353" s="63"/>
      <c r="CE353" s="63"/>
      <c r="CF353" s="63"/>
      <c r="CG353" s="63"/>
      <c r="CH353" s="63"/>
      <c r="CI353" s="63"/>
      <c r="CJ353" s="63"/>
      <c r="CK353" s="63"/>
      <c r="CL353" s="63"/>
      <c r="CM353" s="63"/>
      <c r="CN353" s="63"/>
      <c r="CO353" s="63"/>
      <c r="CP353" s="63"/>
      <c r="CQ353" s="63"/>
      <c r="CR353" s="63"/>
      <c r="CS353" s="63"/>
      <c r="CT353" s="63"/>
      <c r="CU353" s="63"/>
      <c r="CV353" s="63"/>
    </row>
    <row r="354">
      <c r="A354" s="43">
        <v>4.0</v>
      </c>
      <c r="B354" s="43" t="s">
        <v>53</v>
      </c>
      <c r="C354" s="48" t="s">
        <v>1335</v>
      </c>
      <c r="D354" s="56" t="s">
        <v>67</v>
      </c>
      <c r="E354" s="47"/>
      <c r="F354" s="242">
        <v>5.400093774E9</v>
      </c>
      <c r="G354" s="215" t="s">
        <v>269</v>
      </c>
      <c r="H354" s="215">
        <v>15000.0</v>
      </c>
      <c r="I354" s="47"/>
      <c r="J354" s="261">
        <v>205727.0</v>
      </c>
      <c r="K354" s="274" t="s">
        <v>1227</v>
      </c>
      <c r="L354" s="261" t="s">
        <v>258</v>
      </c>
      <c r="M354" s="275">
        <v>15000.0</v>
      </c>
      <c r="N354" s="162">
        <v>116.0</v>
      </c>
      <c r="O354" s="162">
        <v>6.0</v>
      </c>
      <c r="P354" s="162">
        <v>290.0</v>
      </c>
      <c r="Q354" s="281" t="s">
        <v>63</v>
      </c>
      <c r="R354" s="162" t="s">
        <v>1228</v>
      </c>
      <c r="S354" s="50">
        <f t="shared" si="25"/>
        <v>14.5</v>
      </c>
      <c r="T354" s="50">
        <f t="shared" si="26"/>
        <v>235.8</v>
      </c>
      <c r="U354" s="69">
        <f t="shared" si="27"/>
        <v>16.26206897</v>
      </c>
      <c r="V354" s="70">
        <f t="shared" si="28"/>
        <v>922.3918575</v>
      </c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  <c r="BT354" s="63"/>
      <c r="BU354" s="63"/>
      <c r="BV354" s="63"/>
      <c r="BW354" s="63"/>
      <c r="BX354" s="63"/>
      <c r="BY354" s="63"/>
      <c r="BZ354" s="63"/>
      <c r="CA354" s="63"/>
      <c r="CB354" s="63"/>
      <c r="CC354" s="63"/>
      <c r="CD354" s="63"/>
      <c r="CE354" s="63"/>
      <c r="CF354" s="63"/>
      <c r="CG354" s="63"/>
      <c r="CH354" s="63"/>
      <c r="CI354" s="63"/>
      <c r="CJ354" s="63"/>
      <c r="CK354" s="63"/>
      <c r="CL354" s="63"/>
      <c r="CM354" s="63"/>
      <c r="CN354" s="63"/>
      <c r="CO354" s="63"/>
      <c r="CP354" s="63"/>
      <c r="CQ354" s="63"/>
      <c r="CR354" s="63"/>
      <c r="CS354" s="63"/>
      <c r="CT354" s="63"/>
      <c r="CU354" s="63"/>
      <c r="CV354" s="63"/>
    </row>
    <row r="355">
      <c r="A355" s="43">
        <v>8.0</v>
      </c>
      <c r="B355" s="43" t="s">
        <v>53</v>
      </c>
      <c r="C355" s="48" t="s">
        <v>1336</v>
      </c>
      <c r="D355" s="56" t="s">
        <v>67</v>
      </c>
      <c r="E355" s="47"/>
      <c r="F355" s="242" t="s">
        <v>1337</v>
      </c>
      <c r="G355" s="242" t="s">
        <v>1338</v>
      </c>
      <c r="H355" s="242" t="s">
        <v>1339</v>
      </c>
      <c r="I355" s="47"/>
      <c r="J355" s="261">
        <v>206779.0</v>
      </c>
      <c r="K355" s="274" t="s">
        <v>1277</v>
      </c>
      <c r="L355" s="261" t="s">
        <v>258</v>
      </c>
      <c r="M355" s="275">
        <v>14100.0</v>
      </c>
      <c r="N355" s="66">
        <v>94.0</v>
      </c>
      <c r="O355" s="66">
        <v>4.0</v>
      </c>
      <c r="P355" s="66">
        <v>165.0</v>
      </c>
      <c r="Q355" s="50" t="s">
        <v>63</v>
      </c>
      <c r="R355" s="66" t="s">
        <v>305</v>
      </c>
      <c r="S355" s="50">
        <f t="shared" si="25"/>
        <v>11.75</v>
      </c>
      <c r="T355" s="50">
        <f t="shared" si="26"/>
        <v>157.2</v>
      </c>
      <c r="U355" s="69">
        <f t="shared" si="27"/>
        <v>13.3787234</v>
      </c>
      <c r="V355" s="70">
        <f t="shared" si="28"/>
        <v>1053.912214</v>
      </c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  <c r="BT355" s="63"/>
      <c r="BU355" s="63"/>
      <c r="BV355" s="63"/>
      <c r="BW355" s="63"/>
      <c r="BX355" s="63"/>
      <c r="BY355" s="63"/>
      <c r="BZ355" s="63"/>
      <c r="CA355" s="63"/>
      <c r="CB355" s="63"/>
      <c r="CC355" s="63"/>
      <c r="CD355" s="63"/>
      <c r="CE355" s="63"/>
      <c r="CF355" s="63"/>
      <c r="CG355" s="63"/>
      <c r="CH355" s="63"/>
      <c r="CI355" s="63"/>
      <c r="CJ355" s="63"/>
      <c r="CK355" s="63"/>
      <c r="CL355" s="63"/>
      <c r="CM355" s="63"/>
      <c r="CN355" s="63"/>
      <c r="CO355" s="63"/>
      <c r="CP355" s="63"/>
      <c r="CQ355" s="63"/>
      <c r="CR355" s="63"/>
      <c r="CS355" s="63"/>
      <c r="CT355" s="63"/>
      <c r="CU355" s="63"/>
      <c r="CV355" s="63"/>
    </row>
    <row r="356">
      <c r="A356" s="53">
        <v>4.0</v>
      </c>
      <c r="B356" s="43" t="s">
        <v>53</v>
      </c>
      <c r="C356" s="48" t="s">
        <v>1340</v>
      </c>
      <c r="D356" s="56" t="s">
        <v>67</v>
      </c>
      <c r="E356" s="47"/>
      <c r="F356" s="242">
        <v>5.400093774E9</v>
      </c>
      <c r="G356" s="242" t="s">
        <v>269</v>
      </c>
      <c r="H356" s="242">
        <v>3000.0</v>
      </c>
      <c r="I356" s="47"/>
      <c r="J356" s="261">
        <v>206745.0</v>
      </c>
      <c r="K356" s="274" t="s">
        <v>1098</v>
      </c>
      <c r="L356" s="261" t="s">
        <v>258</v>
      </c>
      <c r="M356" s="275">
        <v>3000.0</v>
      </c>
      <c r="N356" s="50">
        <v>94.0</v>
      </c>
      <c r="O356" s="50">
        <v>2.0</v>
      </c>
      <c r="P356" s="50">
        <v>290.0</v>
      </c>
      <c r="Q356" s="50" t="s">
        <v>213</v>
      </c>
      <c r="R356" s="50" t="s">
        <v>214</v>
      </c>
      <c r="S356" s="50">
        <f t="shared" si="25"/>
        <v>11.75</v>
      </c>
      <c r="T356" s="50">
        <f t="shared" si="26"/>
        <v>78.6</v>
      </c>
      <c r="U356" s="69">
        <f t="shared" si="27"/>
        <v>6.689361702</v>
      </c>
      <c r="V356" s="70">
        <f t="shared" si="28"/>
        <v>448.4732824</v>
      </c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  <c r="BT356" s="63"/>
      <c r="BU356" s="63"/>
      <c r="BV356" s="63"/>
      <c r="BW356" s="63"/>
      <c r="BX356" s="63"/>
      <c r="BY356" s="63"/>
      <c r="BZ356" s="63"/>
      <c r="CA356" s="63"/>
      <c r="CB356" s="63"/>
      <c r="CC356" s="63"/>
      <c r="CD356" s="63"/>
      <c r="CE356" s="63"/>
      <c r="CF356" s="63"/>
      <c r="CG356" s="63"/>
      <c r="CH356" s="63"/>
      <c r="CI356" s="63"/>
      <c r="CJ356" s="63"/>
      <c r="CK356" s="63"/>
      <c r="CL356" s="63"/>
      <c r="CM356" s="63"/>
      <c r="CN356" s="63"/>
      <c r="CO356" s="63"/>
      <c r="CP356" s="63"/>
      <c r="CQ356" s="63"/>
      <c r="CR356" s="63"/>
      <c r="CS356" s="63"/>
      <c r="CT356" s="63"/>
      <c r="CU356" s="63"/>
      <c r="CV356" s="63"/>
    </row>
    <row r="357">
      <c r="A357" s="43">
        <v>5.0</v>
      </c>
      <c r="B357" s="43" t="s">
        <v>53</v>
      </c>
      <c r="C357" s="48" t="s">
        <v>1341</v>
      </c>
      <c r="D357" s="56" t="s">
        <v>67</v>
      </c>
      <c r="E357" s="47"/>
      <c r="F357" s="242" t="s">
        <v>1326</v>
      </c>
      <c r="G357" s="242" t="s">
        <v>1327</v>
      </c>
      <c r="H357" s="242" t="s">
        <v>1342</v>
      </c>
      <c r="I357" s="47"/>
      <c r="J357" s="261">
        <v>206737.0</v>
      </c>
      <c r="K357" s="274" t="s">
        <v>850</v>
      </c>
      <c r="L357" s="261" t="s">
        <v>258</v>
      </c>
      <c r="M357" s="275">
        <v>21000.0</v>
      </c>
      <c r="N357" s="100">
        <v>75.0</v>
      </c>
      <c r="O357" s="100">
        <v>3.0</v>
      </c>
      <c r="P357" s="100">
        <v>240.0</v>
      </c>
      <c r="Q357" s="100" t="s">
        <v>213</v>
      </c>
      <c r="R357" s="100" t="s">
        <v>656</v>
      </c>
      <c r="S357" s="50">
        <f t="shared" si="25"/>
        <v>9.375</v>
      </c>
      <c r="T357" s="50">
        <f t="shared" si="26"/>
        <v>117.9</v>
      </c>
      <c r="U357" s="69">
        <f t="shared" si="27"/>
        <v>12.576</v>
      </c>
      <c r="V357" s="70">
        <f t="shared" si="28"/>
        <v>1669.847328</v>
      </c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  <c r="BT357" s="63"/>
      <c r="BU357" s="63"/>
      <c r="BV357" s="63"/>
      <c r="BW357" s="63"/>
      <c r="BX357" s="63"/>
      <c r="BY357" s="63"/>
      <c r="BZ357" s="63"/>
      <c r="CA357" s="63"/>
      <c r="CB357" s="63"/>
      <c r="CC357" s="63"/>
      <c r="CD357" s="63"/>
      <c r="CE357" s="63"/>
      <c r="CF357" s="63"/>
      <c r="CG357" s="63"/>
      <c r="CH357" s="63"/>
      <c r="CI357" s="63"/>
      <c r="CJ357" s="63"/>
      <c r="CK357" s="63"/>
      <c r="CL357" s="63"/>
      <c r="CM357" s="63"/>
      <c r="CN357" s="63"/>
      <c r="CO357" s="63"/>
      <c r="CP357" s="63"/>
      <c r="CQ357" s="63"/>
      <c r="CR357" s="63"/>
      <c r="CS357" s="63"/>
      <c r="CT357" s="63"/>
      <c r="CU357" s="63"/>
      <c r="CV357" s="63"/>
    </row>
    <row r="358">
      <c r="A358" s="53">
        <v>1.0</v>
      </c>
      <c r="B358" s="43" t="s">
        <v>53</v>
      </c>
      <c r="C358" s="48" t="s">
        <v>1343</v>
      </c>
      <c r="D358" s="56" t="s">
        <v>67</v>
      </c>
      <c r="E358" s="47"/>
      <c r="F358" s="242" t="s">
        <v>1344</v>
      </c>
      <c r="G358" s="242" t="s">
        <v>1345</v>
      </c>
      <c r="H358" s="242" t="s">
        <v>1346</v>
      </c>
      <c r="I358" s="47"/>
      <c r="J358" s="261">
        <v>206557.0</v>
      </c>
      <c r="K358" s="274" t="s">
        <v>81</v>
      </c>
      <c r="L358" s="261" t="s">
        <v>258</v>
      </c>
      <c r="M358" s="275">
        <v>13000.0</v>
      </c>
      <c r="N358" s="50">
        <v>75.0</v>
      </c>
      <c r="O358" s="50">
        <v>3.0</v>
      </c>
      <c r="P358" s="50">
        <v>330.0</v>
      </c>
      <c r="Q358" s="50" t="s">
        <v>213</v>
      </c>
      <c r="R358" s="50" t="s">
        <v>241</v>
      </c>
      <c r="S358" s="50">
        <f t="shared" si="25"/>
        <v>9.375</v>
      </c>
      <c r="T358" s="50">
        <f t="shared" si="26"/>
        <v>117.9</v>
      </c>
      <c r="U358" s="69">
        <f t="shared" si="27"/>
        <v>12.576</v>
      </c>
      <c r="V358" s="70">
        <f t="shared" si="28"/>
        <v>1033.715013</v>
      </c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  <c r="BT358" s="63"/>
      <c r="BU358" s="63"/>
      <c r="BV358" s="63"/>
      <c r="BW358" s="63"/>
      <c r="BX358" s="63"/>
      <c r="BY358" s="63"/>
      <c r="BZ358" s="63"/>
      <c r="CA358" s="63"/>
      <c r="CB358" s="63"/>
      <c r="CC358" s="63"/>
      <c r="CD358" s="63"/>
      <c r="CE358" s="63"/>
      <c r="CF358" s="63"/>
      <c r="CG358" s="63"/>
      <c r="CH358" s="63"/>
      <c r="CI358" s="63"/>
      <c r="CJ358" s="63"/>
      <c r="CK358" s="63"/>
      <c r="CL358" s="63"/>
      <c r="CM358" s="63"/>
      <c r="CN358" s="63"/>
      <c r="CO358" s="63"/>
      <c r="CP358" s="63"/>
      <c r="CQ358" s="63"/>
      <c r="CR358" s="63"/>
      <c r="CS358" s="63"/>
      <c r="CT358" s="63"/>
      <c r="CU358" s="63"/>
      <c r="CV358" s="63"/>
    </row>
    <row r="359">
      <c r="A359" s="43">
        <v>3.0</v>
      </c>
      <c r="B359" s="43" t="s">
        <v>53</v>
      </c>
      <c r="C359" s="48" t="s">
        <v>1347</v>
      </c>
      <c r="D359" s="56" t="s">
        <v>67</v>
      </c>
      <c r="E359" s="47"/>
      <c r="F359" s="242">
        <v>5.400093774E9</v>
      </c>
      <c r="G359" s="242" t="s">
        <v>269</v>
      </c>
      <c r="H359" s="242">
        <v>3000.0</v>
      </c>
      <c r="I359" s="47"/>
      <c r="J359" s="261">
        <v>206749.0</v>
      </c>
      <c r="K359" s="274" t="s">
        <v>1223</v>
      </c>
      <c r="L359" s="261" t="s">
        <v>258</v>
      </c>
      <c r="M359" s="275">
        <v>3000.0</v>
      </c>
      <c r="N359" s="50">
        <v>94.0</v>
      </c>
      <c r="O359" s="50">
        <v>2.0</v>
      </c>
      <c r="P359" s="50">
        <v>290.0</v>
      </c>
      <c r="Q359" s="50" t="s">
        <v>213</v>
      </c>
      <c r="R359" s="50" t="s">
        <v>214</v>
      </c>
      <c r="S359" s="50">
        <f t="shared" si="25"/>
        <v>11.75</v>
      </c>
      <c r="T359" s="50">
        <f t="shared" si="26"/>
        <v>78.6</v>
      </c>
      <c r="U359" s="69">
        <f t="shared" si="27"/>
        <v>6.689361702</v>
      </c>
      <c r="V359" s="70">
        <f t="shared" si="28"/>
        <v>448.4732824</v>
      </c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  <c r="BT359" s="63"/>
      <c r="BU359" s="63"/>
      <c r="BV359" s="63"/>
      <c r="BW359" s="63"/>
      <c r="BX359" s="63"/>
      <c r="BY359" s="63"/>
      <c r="BZ359" s="63"/>
      <c r="CA359" s="63"/>
      <c r="CB359" s="63"/>
      <c r="CC359" s="63"/>
      <c r="CD359" s="63"/>
      <c r="CE359" s="63"/>
      <c r="CF359" s="63"/>
      <c r="CG359" s="63"/>
      <c r="CH359" s="63"/>
      <c r="CI359" s="63"/>
      <c r="CJ359" s="63"/>
      <c r="CK359" s="63"/>
      <c r="CL359" s="63"/>
      <c r="CM359" s="63"/>
      <c r="CN359" s="63"/>
      <c r="CO359" s="63"/>
      <c r="CP359" s="63"/>
      <c r="CQ359" s="63"/>
      <c r="CR359" s="63"/>
      <c r="CS359" s="63"/>
      <c r="CT359" s="63"/>
      <c r="CU359" s="63"/>
      <c r="CV359" s="63"/>
    </row>
    <row r="360">
      <c r="A360" s="43">
        <v>6.0</v>
      </c>
      <c r="B360" s="43" t="s">
        <v>53</v>
      </c>
      <c r="C360" s="48" t="s">
        <v>1348</v>
      </c>
      <c r="D360" s="56" t="s">
        <v>67</v>
      </c>
      <c r="E360" s="47"/>
      <c r="F360" s="215" t="s">
        <v>1349</v>
      </c>
      <c r="G360" s="215" t="s">
        <v>1350</v>
      </c>
      <c r="H360" s="215" t="s">
        <v>1351</v>
      </c>
      <c r="I360" s="47"/>
      <c r="J360" s="261">
        <v>205963.0</v>
      </c>
      <c r="K360" s="274" t="s">
        <v>1352</v>
      </c>
      <c r="L360" s="261" t="s">
        <v>258</v>
      </c>
      <c r="M360" s="275">
        <v>15000.0</v>
      </c>
      <c r="N360" s="151">
        <v>99.0</v>
      </c>
      <c r="O360" s="151">
        <v>6.0</v>
      </c>
      <c r="P360" s="151">
        <v>180.0</v>
      </c>
      <c r="Q360" s="151" t="s">
        <v>213</v>
      </c>
      <c r="R360" s="151" t="s">
        <v>1353</v>
      </c>
      <c r="S360" s="50">
        <f t="shared" si="25"/>
        <v>12.375</v>
      </c>
      <c r="T360" s="50">
        <f t="shared" si="26"/>
        <v>235.8</v>
      </c>
      <c r="U360" s="69">
        <f t="shared" si="27"/>
        <v>19.05454545</v>
      </c>
      <c r="V360" s="70">
        <f t="shared" si="28"/>
        <v>787.2137405</v>
      </c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  <c r="BT360" s="63"/>
      <c r="BU360" s="63"/>
      <c r="BV360" s="63"/>
      <c r="BW360" s="63"/>
      <c r="BX360" s="63"/>
      <c r="BY360" s="63"/>
      <c r="BZ360" s="63"/>
      <c r="CA360" s="63"/>
      <c r="CB360" s="63"/>
      <c r="CC360" s="63"/>
      <c r="CD360" s="63"/>
      <c r="CE360" s="63"/>
      <c r="CF360" s="63"/>
      <c r="CG360" s="63"/>
      <c r="CH360" s="63"/>
      <c r="CI360" s="63"/>
      <c r="CJ360" s="63"/>
      <c r="CK360" s="63"/>
      <c r="CL360" s="63"/>
      <c r="CM360" s="63"/>
      <c r="CN360" s="63"/>
      <c r="CO360" s="63"/>
      <c r="CP360" s="63"/>
      <c r="CQ360" s="63"/>
      <c r="CR360" s="63"/>
      <c r="CS360" s="63"/>
      <c r="CT360" s="63"/>
      <c r="CU360" s="63"/>
      <c r="CV360" s="63"/>
    </row>
    <row r="361">
      <c r="A361" s="43">
        <v>5.0</v>
      </c>
      <c r="B361" s="43" t="s">
        <v>53</v>
      </c>
      <c r="C361" s="48" t="s">
        <v>1354</v>
      </c>
      <c r="D361" s="56" t="s">
        <v>67</v>
      </c>
      <c r="E361" s="47"/>
      <c r="F361" s="242">
        <v>5.400093774E9</v>
      </c>
      <c r="G361" s="242" t="s">
        <v>269</v>
      </c>
      <c r="H361" s="242">
        <v>3000.0</v>
      </c>
      <c r="I361" s="47"/>
      <c r="J361" s="261">
        <v>205902.0</v>
      </c>
      <c r="K361" s="274" t="s">
        <v>934</v>
      </c>
      <c r="L361" s="261" t="s">
        <v>258</v>
      </c>
      <c r="M361" s="275">
        <v>3000.0</v>
      </c>
      <c r="N361" s="50">
        <v>108.0</v>
      </c>
      <c r="O361" s="50">
        <v>2.0</v>
      </c>
      <c r="P361" s="50">
        <v>210.0</v>
      </c>
      <c r="Q361" s="50" t="s">
        <v>213</v>
      </c>
      <c r="R361" s="50" t="s">
        <v>759</v>
      </c>
      <c r="S361" s="50">
        <f t="shared" si="25"/>
        <v>13.5</v>
      </c>
      <c r="T361" s="50">
        <f t="shared" si="26"/>
        <v>78.6</v>
      </c>
      <c r="U361" s="69">
        <f t="shared" si="27"/>
        <v>5.822222222</v>
      </c>
      <c r="V361" s="70">
        <f t="shared" si="28"/>
        <v>515.2671756</v>
      </c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  <c r="BT361" s="63"/>
      <c r="BU361" s="63"/>
      <c r="BV361" s="63"/>
      <c r="BW361" s="63"/>
      <c r="BX361" s="63"/>
      <c r="BY361" s="63"/>
      <c r="BZ361" s="63"/>
      <c r="CA361" s="63"/>
      <c r="CB361" s="63"/>
      <c r="CC361" s="63"/>
      <c r="CD361" s="63"/>
      <c r="CE361" s="63"/>
      <c r="CF361" s="63"/>
      <c r="CG361" s="63"/>
      <c r="CH361" s="63"/>
      <c r="CI361" s="63"/>
      <c r="CJ361" s="63"/>
      <c r="CK361" s="63"/>
      <c r="CL361" s="63"/>
      <c r="CM361" s="63"/>
      <c r="CN361" s="63"/>
      <c r="CO361" s="63"/>
      <c r="CP361" s="63"/>
      <c r="CQ361" s="63"/>
      <c r="CR361" s="63"/>
      <c r="CS361" s="63"/>
      <c r="CT361" s="63"/>
      <c r="CU361" s="63"/>
      <c r="CV361" s="63"/>
    </row>
    <row r="362">
      <c r="A362" s="53">
        <v>5.0</v>
      </c>
      <c r="B362" s="43" t="s">
        <v>53</v>
      </c>
      <c r="C362" s="53" t="s">
        <v>1355</v>
      </c>
      <c r="D362" s="96" t="s">
        <v>515</v>
      </c>
      <c r="E362" s="71"/>
      <c r="F362" s="48" t="s">
        <v>1316</v>
      </c>
      <c r="G362" s="176">
        <v>46210.0</v>
      </c>
      <c r="H362" s="48">
        <v>12250.0</v>
      </c>
      <c r="I362" s="71"/>
      <c r="J362" s="71"/>
      <c r="K362" s="56" t="s">
        <v>1356</v>
      </c>
      <c r="L362" s="50" t="s">
        <v>518</v>
      </c>
      <c r="M362" s="48">
        <v>12250.0</v>
      </c>
      <c r="N362" s="50">
        <v>108.0</v>
      </c>
      <c r="O362" s="50">
        <v>4.0</v>
      </c>
      <c r="P362" s="50">
        <v>125.0</v>
      </c>
      <c r="Q362" s="100" t="s">
        <v>50</v>
      </c>
      <c r="R362" s="50" t="s">
        <v>520</v>
      </c>
      <c r="S362" s="126">
        <f t="shared" si="25"/>
        <v>13.5</v>
      </c>
      <c r="T362" s="126">
        <f t="shared" si="26"/>
        <v>157.2</v>
      </c>
      <c r="U362" s="127">
        <f t="shared" si="27"/>
        <v>11.64444444</v>
      </c>
      <c r="V362" s="128">
        <f t="shared" si="28"/>
        <v>1052.003817</v>
      </c>
      <c r="W362" s="216"/>
      <c r="X362" s="76"/>
      <c r="Y362" s="216"/>
      <c r="Z362" s="216"/>
      <c r="AA362" s="76"/>
      <c r="AB362" s="216"/>
      <c r="AC362" s="76"/>
      <c r="AD362" s="76"/>
      <c r="AE362" s="76"/>
      <c r="AF362" s="76"/>
    </row>
    <row r="363">
      <c r="A363" s="48">
        <v>12.0</v>
      </c>
      <c r="B363" s="43" t="s">
        <v>108</v>
      </c>
      <c r="C363" s="48" t="s">
        <v>1357</v>
      </c>
      <c r="D363" s="96" t="s">
        <v>110</v>
      </c>
      <c r="E363" s="47"/>
      <c r="F363" s="215">
        <v>5100.0</v>
      </c>
      <c r="G363" s="277" t="s">
        <v>111</v>
      </c>
      <c r="H363" s="215">
        <v>5600.0</v>
      </c>
      <c r="I363" s="99" t="s">
        <v>112</v>
      </c>
      <c r="J363" s="85"/>
      <c r="K363" s="56" t="s">
        <v>1358</v>
      </c>
      <c r="L363" s="76"/>
      <c r="M363" s="53">
        <v>5600.0</v>
      </c>
      <c r="N363" s="50">
        <v>118.0</v>
      </c>
      <c r="O363" s="50">
        <v>8.0</v>
      </c>
      <c r="P363" s="50">
        <v>210.0</v>
      </c>
      <c r="Q363" s="50" t="s">
        <v>303</v>
      </c>
      <c r="R363" s="50" t="s">
        <v>304</v>
      </c>
      <c r="S363" s="50">
        <f t="shared" si="25"/>
        <v>14.75</v>
      </c>
      <c r="T363" s="50">
        <f t="shared" si="26"/>
        <v>314.4</v>
      </c>
      <c r="U363" s="69">
        <f t="shared" si="27"/>
        <v>21.31525424</v>
      </c>
      <c r="V363" s="70">
        <f t="shared" si="28"/>
        <v>262.7226463</v>
      </c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</row>
    <row r="364">
      <c r="A364" s="66">
        <v>19.0</v>
      </c>
      <c r="B364" s="43" t="s">
        <v>108</v>
      </c>
      <c r="C364" s="48" t="s">
        <v>1359</v>
      </c>
      <c r="D364" s="96" t="s">
        <v>110</v>
      </c>
      <c r="E364" s="47"/>
      <c r="F364" s="93"/>
      <c r="G364" s="110"/>
      <c r="H364" s="93"/>
      <c r="I364" s="99" t="s">
        <v>112</v>
      </c>
      <c r="J364" s="85"/>
      <c r="K364" s="56" t="s">
        <v>1360</v>
      </c>
      <c r="L364" s="76"/>
      <c r="M364" s="53">
        <v>5600.0</v>
      </c>
      <c r="N364" s="50">
        <v>118.0</v>
      </c>
      <c r="O364" s="50">
        <v>10.0</v>
      </c>
      <c r="P364" s="50">
        <v>210.0</v>
      </c>
      <c r="Q364" s="100" t="s">
        <v>115</v>
      </c>
      <c r="R364" s="50" t="s">
        <v>116</v>
      </c>
      <c r="S364" s="50">
        <f t="shared" si="25"/>
        <v>14.75</v>
      </c>
      <c r="T364" s="50">
        <f t="shared" si="26"/>
        <v>393</v>
      </c>
      <c r="U364" s="69">
        <f t="shared" si="27"/>
        <v>26.6440678</v>
      </c>
      <c r="V364" s="70">
        <f t="shared" si="28"/>
        <v>210.178117</v>
      </c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</row>
    <row r="365">
      <c r="A365" s="43">
        <v>12.0</v>
      </c>
      <c r="B365" s="43" t="s">
        <v>53</v>
      </c>
      <c r="C365" s="48" t="s">
        <v>1361</v>
      </c>
      <c r="D365" s="56" t="s">
        <v>67</v>
      </c>
      <c r="E365" s="47"/>
      <c r="F365" s="242">
        <v>5.400093765E9</v>
      </c>
      <c r="G365" s="242" t="s">
        <v>269</v>
      </c>
      <c r="H365" s="242">
        <v>3000.0</v>
      </c>
      <c r="I365" s="47"/>
      <c r="J365" s="261">
        <v>206941.0</v>
      </c>
      <c r="K365" s="274" t="s">
        <v>958</v>
      </c>
      <c r="L365" s="261" t="s">
        <v>234</v>
      </c>
      <c r="M365" s="275">
        <v>2800.0</v>
      </c>
      <c r="N365" s="50">
        <v>116.0</v>
      </c>
      <c r="O365" s="50">
        <v>4.0</v>
      </c>
      <c r="P365" s="50">
        <v>160.0</v>
      </c>
      <c r="Q365" s="52" t="s">
        <v>213</v>
      </c>
      <c r="R365" s="50" t="s">
        <v>685</v>
      </c>
      <c r="S365" s="50">
        <f t="shared" si="25"/>
        <v>14.5</v>
      </c>
      <c r="T365" s="50">
        <f t="shared" si="26"/>
        <v>157.2</v>
      </c>
      <c r="U365" s="69">
        <f t="shared" si="27"/>
        <v>10.84137931</v>
      </c>
      <c r="V365" s="70">
        <f t="shared" si="28"/>
        <v>258.2697201</v>
      </c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  <c r="BT365" s="63"/>
      <c r="BU365" s="63"/>
      <c r="BV365" s="63"/>
      <c r="BW365" s="63"/>
      <c r="BX365" s="63"/>
      <c r="BY365" s="63"/>
      <c r="BZ365" s="63"/>
      <c r="CA365" s="63"/>
      <c r="CB365" s="63"/>
      <c r="CC365" s="63"/>
      <c r="CD365" s="63"/>
      <c r="CE365" s="63"/>
      <c r="CF365" s="63"/>
      <c r="CG365" s="63"/>
      <c r="CH365" s="63"/>
      <c r="CI365" s="63"/>
      <c r="CJ365" s="63"/>
      <c r="CK365" s="63"/>
      <c r="CL365" s="63"/>
      <c r="CM365" s="63"/>
      <c r="CN365" s="63"/>
      <c r="CO365" s="63"/>
      <c r="CP365" s="63"/>
      <c r="CQ365" s="63"/>
      <c r="CR365" s="63"/>
      <c r="CS365" s="63"/>
      <c r="CT365" s="63"/>
      <c r="CU365" s="63"/>
      <c r="CV365" s="63"/>
    </row>
    <row r="366">
      <c r="A366" s="48">
        <v>3.0</v>
      </c>
      <c r="B366" s="43" t="s">
        <v>245</v>
      </c>
      <c r="C366" s="53" t="s">
        <v>1362</v>
      </c>
      <c r="D366" s="45" t="s">
        <v>247</v>
      </c>
      <c r="E366" s="45"/>
      <c r="F366" s="43" t="s">
        <v>248</v>
      </c>
      <c r="G366" s="137">
        <v>46088.0</v>
      </c>
      <c r="H366" s="48">
        <v>8000.0</v>
      </c>
      <c r="I366" s="47"/>
      <c r="J366" s="47"/>
      <c r="K366" s="56" t="s">
        <v>1363</v>
      </c>
      <c r="L366" s="50" t="s">
        <v>252</v>
      </c>
      <c r="M366" s="48">
        <v>8000.0</v>
      </c>
      <c r="N366" s="50">
        <v>89.0</v>
      </c>
      <c r="O366" s="50">
        <v>1.0</v>
      </c>
      <c r="P366" s="50">
        <v>160.0</v>
      </c>
      <c r="Q366" s="50" t="s">
        <v>63</v>
      </c>
      <c r="R366" s="50" t="s">
        <v>254</v>
      </c>
      <c r="S366" s="50">
        <f t="shared" si="25"/>
        <v>11.125</v>
      </c>
      <c r="T366" s="50">
        <f t="shared" si="26"/>
        <v>39.3</v>
      </c>
      <c r="U366" s="69">
        <f t="shared" si="27"/>
        <v>3.53258427</v>
      </c>
      <c r="V366" s="70">
        <f t="shared" si="28"/>
        <v>2264.631043</v>
      </c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  <c r="BT366" s="63"/>
      <c r="BU366" s="63"/>
      <c r="BV366" s="63"/>
      <c r="BW366" s="63"/>
      <c r="BX366" s="63"/>
      <c r="BY366" s="63"/>
      <c r="BZ366" s="63"/>
      <c r="CA366" s="63"/>
      <c r="CB366" s="63"/>
      <c r="CC366" s="63"/>
      <c r="CD366" s="63"/>
      <c r="CE366" s="63"/>
      <c r="CF366" s="63"/>
      <c r="CG366" s="63"/>
      <c r="CH366" s="63"/>
      <c r="CI366" s="63"/>
      <c r="CJ366" s="63"/>
      <c r="CK366" s="63"/>
      <c r="CL366" s="63"/>
      <c r="CM366" s="63"/>
      <c r="CN366" s="63"/>
      <c r="CO366" s="63"/>
      <c r="CP366" s="63"/>
      <c r="CQ366" s="63"/>
      <c r="CR366" s="63"/>
      <c r="CS366" s="63"/>
      <c r="CT366" s="63"/>
      <c r="CU366" s="63"/>
      <c r="CV366" s="63"/>
    </row>
    <row r="367">
      <c r="A367" s="43">
        <v>10.0</v>
      </c>
      <c r="B367" s="43" t="s">
        <v>447</v>
      </c>
      <c r="C367" s="53" t="s">
        <v>1364</v>
      </c>
      <c r="D367" s="45" t="s">
        <v>247</v>
      </c>
      <c r="E367" s="47"/>
      <c r="F367" s="294" t="s">
        <v>1365</v>
      </c>
      <c r="G367" s="106" t="s">
        <v>1366</v>
      </c>
      <c r="H367" s="98" t="s">
        <v>1367</v>
      </c>
      <c r="I367" s="47"/>
      <c r="J367" s="47"/>
      <c r="K367" s="163" t="s">
        <v>329</v>
      </c>
      <c r="L367" s="50" t="s">
        <v>252</v>
      </c>
      <c r="M367" s="43">
        <v>6000.0</v>
      </c>
      <c r="N367" s="50">
        <v>92.0</v>
      </c>
      <c r="O367" s="50">
        <v>2.0</v>
      </c>
      <c r="P367" s="50">
        <v>220.0</v>
      </c>
      <c r="Q367" s="50" t="s">
        <v>63</v>
      </c>
      <c r="R367" s="48" t="s">
        <v>330</v>
      </c>
      <c r="S367" s="126">
        <f t="shared" si="25"/>
        <v>11.5</v>
      </c>
      <c r="T367" s="126">
        <f t="shared" si="26"/>
        <v>78.6</v>
      </c>
      <c r="U367" s="127">
        <f t="shared" si="27"/>
        <v>6.834782609</v>
      </c>
      <c r="V367" s="128">
        <f t="shared" si="28"/>
        <v>877.8625954</v>
      </c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  <c r="BT367" s="63"/>
      <c r="BU367" s="63"/>
      <c r="BV367" s="63"/>
      <c r="BW367" s="63"/>
      <c r="BX367" s="63"/>
      <c r="BY367" s="63"/>
      <c r="BZ367" s="63"/>
      <c r="CA367" s="63"/>
      <c r="CB367" s="63"/>
      <c r="CC367" s="63"/>
      <c r="CD367" s="63"/>
      <c r="CE367" s="63"/>
      <c r="CF367" s="63"/>
      <c r="CG367" s="63"/>
      <c r="CH367" s="63"/>
      <c r="CI367" s="63"/>
      <c r="CJ367" s="63"/>
      <c r="CK367" s="63"/>
      <c r="CL367" s="63"/>
      <c r="CM367" s="63"/>
      <c r="CN367" s="63"/>
      <c r="CO367" s="63"/>
      <c r="CP367" s="63"/>
      <c r="CQ367" s="63"/>
      <c r="CR367" s="63"/>
      <c r="CS367" s="63"/>
      <c r="CT367" s="63"/>
      <c r="CU367" s="63"/>
      <c r="CV367" s="63"/>
    </row>
    <row r="368">
      <c r="A368" s="43">
        <v>10.0</v>
      </c>
      <c r="B368" s="66" t="s">
        <v>447</v>
      </c>
      <c r="C368" s="48" t="s">
        <v>1368</v>
      </c>
      <c r="D368" s="45" t="s">
        <v>247</v>
      </c>
      <c r="E368" s="47"/>
      <c r="F368" s="50" t="s">
        <v>448</v>
      </c>
      <c r="G368" s="153">
        <v>46362.0</v>
      </c>
      <c r="H368" s="50">
        <v>50000.0</v>
      </c>
      <c r="I368" s="47"/>
      <c r="J368" s="47"/>
      <c r="K368" s="51" t="s">
        <v>449</v>
      </c>
      <c r="L368" s="50" t="s">
        <v>252</v>
      </c>
      <c r="M368" s="43">
        <v>15000.0</v>
      </c>
      <c r="N368" s="50">
        <v>92.0</v>
      </c>
      <c r="O368" s="50">
        <v>2.0</v>
      </c>
      <c r="P368" s="50">
        <v>220.0</v>
      </c>
      <c r="Q368" s="50" t="s">
        <v>63</v>
      </c>
      <c r="R368" s="50" t="s">
        <v>330</v>
      </c>
      <c r="S368" s="126">
        <f t="shared" si="25"/>
        <v>11.5</v>
      </c>
      <c r="T368" s="126">
        <f t="shared" si="26"/>
        <v>78.6</v>
      </c>
      <c r="U368" s="127">
        <f t="shared" si="27"/>
        <v>6.834782609</v>
      </c>
      <c r="V368" s="128">
        <f t="shared" si="28"/>
        <v>2194.656489</v>
      </c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  <c r="BT368" s="63"/>
      <c r="BU368" s="63"/>
      <c r="BV368" s="63"/>
      <c r="BW368" s="63"/>
      <c r="BX368" s="63"/>
      <c r="BY368" s="63"/>
      <c r="BZ368" s="63"/>
      <c r="CA368" s="63"/>
      <c r="CB368" s="63"/>
      <c r="CC368" s="63"/>
      <c r="CD368" s="63"/>
      <c r="CE368" s="63"/>
      <c r="CF368" s="63"/>
      <c r="CG368" s="63"/>
      <c r="CH368" s="63"/>
      <c r="CI368" s="63"/>
      <c r="CJ368" s="63"/>
      <c r="CK368" s="63"/>
      <c r="CL368" s="63"/>
      <c r="CM368" s="63"/>
      <c r="CN368" s="63"/>
      <c r="CO368" s="63"/>
      <c r="CP368" s="63"/>
      <c r="CQ368" s="63"/>
      <c r="CR368" s="63"/>
      <c r="CS368" s="63"/>
      <c r="CT368" s="63"/>
      <c r="CU368" s="63"/>
      <c r="CV368" s="63"/>
    </row>
    <row r="369">
      <c r="A369" s="48">
        <v>11.0</v>
      </c>
      <c r="B369" s="43" t="s">
        <v>261</v>
      </c>
      <c r="C369" s="53" t="s">
        <v>1369</v>
      </c>
      <c r="D369" s="45" t="s">
        <v>247</v>
      </c>
      <c r="E369" s="76"/>
      <c r="F369" s="48" t="s">
        <v>265</v>
      </c>
      <c r="G369" s="153" t="s">
        <v>266</v>
      </c>
      <c r="H369" s="50">
        <v>10000.0</v>
      </c>
      <c r="I369" s="76"/>
      <c r="J369" s="76"/>
      <c r="K369" s="45" t="s">
        <v>382</v>
      </c>
      <c r="L369" s="50" t="s">
        <v>252</v>
      </c>
      <c r="M369" s="48">
        <v>10000.0</v>
      </c>
      <c r="N369" s="100">
        <v>72.0</v>
      </c>
      <c r="O369" s="100">
        <v>2.0</v>
      </c>
      <c r="P369" s="100">
        <v>185.0</v>
      </c>
      <c r="Q369" s="50" t="s">
        <v>63</v>
      </c>
      <c r="R369" s="100" t="s">
        <v>384</v>
      </c>
      <c r="S369" s="72">
        <f t="shared" si="25"/>
        <v>9</v>
      </c>
      <c r="T369" s="72">
        <f t="shared" si="26"/>
        <v>78.6</v>
      </c>
      <c r="U369" s="74">
        <f t="shared" si="27"/>
        <v>8.733333333</v>
      </c>
      <c r="V369" s="75">
        <f t="shared" si="28"/>
        <v>1145.038168</v>
      </c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</row>
    <row r="370">
      <c r="A370" s="43">
        <v>12.0</v>
      </c>
      <c r="B370" s="43" t="s">
        <v>261</v>
      </c>
      <c r="C370" s="53" t="s">
        <v>1370</v>
      </c>
      <c r="D370" s="45" t="s">
        <v>247</v>
      </c>
      <c r="E370" s="76"/>
      <c r="F370" s="48" t="s">
        <v>265</v>
      </c>
      <c r="G370" s="153" t="s">
        <v>266</v>
      </c>
      <c r="H370" s="50">
        <v>10000.0</v>
      </c>
      <c r="I370" s="76"/>
      <c r="J370" s="76"/>
      <c r="K370" s="56" t="s">
        <v>507</v>
      </c>
      <c r="L370" s="50" t="s">
        <v>252</v>
      </c>
      <c r="M370" s="48">
        <v>10000.0</v>
      </c>
      <c r="N370" s="50">
        <v>92.0</v>
      </c>
      <c r="O370" s="50">
        <v>2.0</v>
      </c>
      <c r="P370" s="50">
        <v>220.0</v>
      </c>
      <c r="Q370" s="50" t="s">
        <v>63</v>
      </c>
      <c r="R370" s="48" t="s">
        <v>330</v>
      </c>
      <c r="S370" s="72">
        <f t="shared" si="25"/>
        <v>11.5</v>
      </c>
      <c r="T370" s="72">
        <f t="shared" si="26"/>
        <v>78.6</v>
      </c>
      <c r="U370" s="74">
        <f t="shared" si="27"/>
        <v>6.834782609</v>
      </c>
      <c r="V370" s="75">
        <f t="shared" si="28"/>
        <v>1463.104326</v>
      </c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</row>
    <row r="371">
      <c r="A371" s="216"/>
      <c r="B371" s="48" t="s">
        <v>75</v>
      </c>
      <c r="C371" s="48" t="s">
        <v>1371</v>
      </c>
      <c r="D371" s="45" t="s">
        <v>78</v>
      </c>
      <c r="E371" s="76"/>
      <c r="F371" s="83"/>
      <c r="G371" s="83"/>
      <c r="H371" s="83"/>
      <c r="I371" s="84" t="s">
        <v>79</v>
      </c>
      <c r="J371" s="85"/>
      <c r="K371" s="56" t="s">
        <v>1372</v>
      </c>
      <c r="L371" s="47"/>
      <c r="M371" s="86">
        <v>13000.0</v>
      </c>
      <c r="N371" s="50">
        <v>85.0</v>
      </c>
      <c r="O371" s="50">
        <v>6.0</v>
      </c>
      <c r="P371" s="50">
        <v>170.0</v>
      </c>
      <c r="Q371" s="50" t="s">
        <v>63</v>
      </c>
      <c r="R371" s="50" t="s">
        <v>83</v>
      </c>
      <c r="S371" s="50">
        <f t="shared" si="25"/>
        <v>10.625</v>
      </c>
      <c r="T371" s="50">
        <f t="shared" si="26"/>
        <v>235.8</v>
      </c>
      <c r="U371" s="69">
        <f t="shared" si="27"/>
        <v>22.19294118</v>
      </c>
      <c r="V371" s="70">
        <f t="shared" si="28"/>
        <v>585.7718405</v>
      </c>
      <c r="W371" s="87">
        <v>12220.0</v>
      </c>
      <c r="X371" s="83"/>
      <c r="Y371" s="87" t="s">
        <v>1373</v>
      </c>
      <c r="Z371" s="76"/>
      <c r="AA371" s="83"/>
      <c r="AB371" s="87">
        <v>1.0</v>
      </c>
      <c r="AC371" s="76"/>
    </row>
    <row r="372">
      <c r="A372" s="216"/>
      <c r="B372" s="43" t="s">
        <v>65</v>
      </c>
      <c r="C372" s="53" t="s">
        <v>1374</v>
      </c>
      <c r="D372" s="45" t="s">
        <v>78</v>
      </c>
      <c r="E372" s="47"/>
      <c r="F372" s="93"/>
      <c r="G372" s="93"/>
      <c r="H372" s="93"/>
      <c r="I372" s="111" t="s">
        <v>148</v>
      </c>
      <c r="J372" s="85"/>
      <c r="K372" s="56" t="s">
        <v>185</v>
      </c>
      <c r="L372" s="47"/>
      <c r="M372" s="48">
        <v>15000.0</v>
      </c>
      <c r="N372" s="48">
        <v>85.0</v>
      </c>
      <c r="O372" s="48">
        <v>6.0</v>
      </c>
      <c r="P372" s="48">
        <v>170.0</v>
      </c>
      <c r="Q372" s="66" t="s">
        <v>63</v>
      </c>
      <c r="R372" s="50" t="s">
        <v>83</v>
      </c>
      <c r="S372" s="66">
        <f t="shared" si="25"/>
        <v>10.625</v>
      </c>
      <c r="T372" s="66">
        <f t="shared" si="26"/>
        <v>235.8</v>
      </c>
      <c r="U372" s="113">
        <f t="shared" si="27"/>
        <v>22.19294118</v>
      </c>
      <c r="V372" s="114">
        <f t="shared" si="28"/>
        <v>675.8905852</v>
      </c>
      <c r="W372" s="87">
        <v>22580.0</v>
      </c>
      <c r="X372" s="83"/>
      <c r="Y372" s="87" t="s">
        <v>1373</v>
      </c>
      <c r="Z372" s="76"/>
      <c r="AA372" s="83"/>
      <c r="AB372" s="87">
        <v>2.0</v>
      </c>
      <c r="AC372" s="76"/>
    </row>
    <row r="373">
      <c r="A373" s="216"/>
      <c r="B373" s="43" t="s">
        <v>395</v>
      </c>
      <c r="C373" s="53" t="s">
        <v>1375</v>
      </c>
      <c r="D373" s="56" t="s">
        <v>78</v>
      </c>
      <c r="E373" s="76"/>
      <c r="F373" s="83"/>
      <c r="G373" s="83"/>
      <c r="H373" s="83"/>
      <c r="I373" s="76"/>
      <c r="J373" s="76"/>
      <c r="K373" s="168" t="s">
        <v>1376</v>
      </c>
      <c r="L373" s="52"/>
      <c r="M373" s="48">
        <v>147540.0</v>
      </c>
      <c r="N373" s="53">
        <v>75.0</v>
      </c>
      <c r="O373" s="53">
        <v>16.0</v>
      </c>
      <c r="P373" s="53">
        <v>125.0</v>
      </c>
      <c r="Q373" s="53" t="s">
        <v>115</v>
      </c>
      <c r="R373" s="53" t="s">
        <v>1377</v>
      </c>
      <c r="S373" s="50">
        <f t="shared" si="25"/>
        <v>9.375</v>
      </c>
      <c r="T373" s="50">
        <f t="shared" si="26"/>
        <v>628.8</v>
      </c>
      <c r="U373" s="69">
        <f t="shared" si="27"/>
        <v>67.072</v>
      </c>
      <c r="V373" s="70">
        <f t="shared" si="28"/>
        <v>2199.725668</v>
      </c>
      <c r="W373" s="87">
        <v>114000.0</v>
      </c>
      <c r="X373" s="83"/>
      <c r="Y373" s="87" t="s">
        <v>562</v>
      </c>
      <c r="Z373" s="76"/>
      <c r="AA373" s="83"/>
      <c r="AB373" s="83"/>
      <c r="AC373" s="76"/>
    </row>
    <row r="374">
      <c r="A374" s="216"/>
      <c r="B374" s="48" t="s">
        <v>75</v>
      </c>
      <c r="C374" s="48" t="s">
        <v>1378</v>
      </c>
      <c r="D374" s="45" t="s">
        <v>78</v>
      </c>
      <c r="E374" s="76"/>
      <c r="F374" s="83"/>
      <c r="G374" s="83"/>
      <c r="H374" s="83"/>
      <c r="I374" s="76"/>
      <c r="J374" s="76"/>
      <c r="K374" s="45" t="s">
        <v>1379</v>
      </c>
      <c r="L374" s="179"/>
      <c r="M374" s="48">
        <v>85750.0</v>
      </c>
      <c r="N374" s="50">
        <v>66.0</v>
      </c>
      <c r="O374" s="50">
        <v>12.0</v>
      </c>
      <c r="P374" s="50">
        <v>210.0</v>
      </c>
      <c r="Q374" s="50" t="s">
        <v>1380</v>
      </c>
      <c r="R374" s="50" t="s">
        <v>1381</v>
      </c>
      <c r="S374" s="50">
        <f t="shared" si="25"/>
        <v>8.25</v>
      </c>
      <c r="T374" s="50">
        <f t="shared" si="26"/>
        <v>471.6</v>
      </c>
      <c r="U374" s="69">
        <f t="shared" si="27"/>
        <v>57.16363636</v>
      </c>
      <c r="V374" s="70">
        <f t="shared" si="28"/>
        <v>1500.079517</v>
      </c>
      <c r="W374" s="87">
        <v>48696.0</v>
      </c>
      <c r="X374" s="83"/>
      <c r="Y374" s="87" t="s">
        <v>1382</v>
      </c>
      <c r="Z374" s="76"/>
      <c r="AA374" s="87">
        <v>37054.0</v>
      </c>
      <c r="AB374" s="87">
        <v>1.0</v>
      </c>
      <c r="AC374" s="76"/>
    </row>
    <row r="375">
      <c r="A375" s="216"/>
      <c r="B375" s="115">
        <v>46029.0</v>
      </c>
      <c r="C375" s="48" t="s">
        <v>1383</v>
      </c>
      <c r="D375" s="45" t="s">
        <v>191</v>
      </c>
      <c r="E375" s="47"/>
      <c r="F375" s="215">
        <v>8.80001522E9</v>
      </c>
      <c r="G375" s="215" t="s">
        <v>1204</v>
      </c>
      <c r="H375" s="215">
        <v>110000.0</v>
      </c>
      <c r="I375" s="47"/>
      <c r="J375" s="47"/>
      <c r="K375" s="163" t="s">
        <v>1384</v>
      </c>
      <c r="L375" s="50" t="s">
        <v>49</v>
      </c>
      <c r="M375" s="48">
        <v>110000.0</v>
      </c>
      <c r="N375" s="48">
        <v>99.0</v>
      </c>
      <c r="O375" s="48">
        <v>12.0</v>
      </c>
      <c r="P375" s="48">
        <v>190.0</v>
      </c>
      <c r="Q375" s="50" t="s">
        <v>979</v>
      </c>
      <c r="R375" s="48" t="s">
        <v>1385</v>
      </c>
      <c r="S375" s="50">
        <f t="shared" si="25"/>
        <v>12.375</v>
      </c>
      <c r="T375" s="50">
        <f t="shared" si="26"/>
        <v>471.6</v>
      </c>
      <c r="U375" s="69">
        <f t="shared" si="27"/>
        <v>38.10909091</v>
      </c>
      <c r="V375" s="70">
        <f t="shared" si="28"/>
        <v>2886.450382</v>
      </c>
      <c r="W375" s="87">
        <v>111200.0</v>
      </c>
      <c r="X375" s="83"/>
      <c r="Y375" s="87" t="s">
        <v>1386</v>
      </c>
      <c r="Z375" s="76"/>
      <c r="AA375" s="76"/>
      <c r="AB375" s="87">
        <v>11.0</v>
      </c>
      <c r="AC375" s="76"/>
    </row>
    <row r="376">
      <c r="A376" s="216"/>
      <c r="B376" s="43" t="s">
        <v>1373</v>
      </c>
      <c r="C376" s="48" t="s">
        <v>1387</v>
      </c>
      <c r="D376" s="295" t="s">
        <v>67</v>
      </c>
      <c r="E376" s="146"/>
      <c r="F376" s="296" t="s">
        <v>1388</v>
      </c>
      <c r="G376" s="297"/>
      <c r="H376" s="297"/>
      <c r="I376" s="146"/>
      <c r="J376" s="298">
        <v>207234.0</v>
      </c>
      <c r="K376" s="299" t="s">
        <v>1389</v>
      </c>
      <c r="L376" s="95" t="s">
        <v>1390</v>
      </c>
      <c r="M376" s="300">
        <v>9000.0</v>
      </c>
      <c r="N376" s="301">
        <v>116.0</v>
      </c>
      <c r="O376" s="301">
        <v>6.0</v>
      </c>
      <c r="P376" s="301">
        <v>300.0</v>
      </c>
      <c r="Q376" s="301" t="s">
        <v>213</v>
      </c>
      <c r="R376" s="72" t="s">
        <v>224</v>
      </c>
      <c r="S376" s="72">
        <f t="shared" si="25"/>
        <v>14.5</v>
      </c>
      <c r="T376" s="72">
        <f t="shared" si="26"/>
        <v>235.8</v>
      </c>
      <c r="U376" s="74">
        <f t="shared" si="27"/>
        <v>16.26206897</v>
      </c>
      <c r="V376" s="75">
        <f t="shared" si="28"/>
        <v>553.4351145</v>
      </c>
      <c r="W376" s="87">
        <v>9150.0</v>
      </c>
      <c r="X376" s="83"/>
      <c r="Y376" s="87" t="s">
        <v>1391</v>
      </c>
      <c r="Z376" s="76"/>
      <c r="AA376" s="76"/>
      <c r="AB376" s="87">
        <v>1.0</v>
      </c>
      <c r="AC376" s="76"/>
    </row>
    <row r="377">
      <c r="A377" s="216"/>
      <c r="B377" s="43" t="s">
        <v>53</v>
      </c>
      <c r="C377" s="53" t="s">
        <v>1392</v>
      </c>
      <c r="D377" s="96" t="s">
        <v>515</v>
      </c>
      <c r="E377" s="71"/>
      <c r="F377" s="48" t="s">
        <v>1316</v>
      </c>
      <c r="G377" s="176">
        <v>46210.0</v>
      </c>
      <c r="H377" s="48">
        <v>14300.0</v>
      </c>
      <c r="I377" s="71"/>
      <c r="J377" s="71"/>
      <c r="K377" s="56" t="s">
        <v>1393</v>
      </c>
      <c r="L377" s="50" t="s">
        <v>518</v>
      </c>
      <c r="M377" s="48">
        <v>14300.0</v>
      </c>
      <c r="N377" s="50">
        <v>108.0</v>
      </c>
      <c r="O377" s="50">
        <v>4.0</v>
      </c>
      <c r="P377" s="50">
        <v>125.0</v>
      </c>
      <c r="Q377" s="100" t="s">
        <v>50</v>
      </c>
      <c r="R377" s="50" t="s">
        <v>520</v>
      </c>
      <c r="S377" s="126">
        <f t="shared" si="25"/>
        <v>13.5</v>
      </c>
      <c r="T377" s="126">
        <f t="shared" si="26"/>
        <v>157.2</v>
      </c>
      <c r="U377" s="127">
        <f t="shared" si="27"/>
        <v>11.64444444</v>
      </c>
      <c r="V377" s="128">
        <f t="shared" si="28"/>
        <v>1228.053435</v>
      </c>
      <c r="W377" s="87">
        <v>13540.0</v>
      </c>
      <c r="X377" s="76"/>
      <c r="Y377" s="87" t="s">
        <v>1394</v>
      </c>
      <c r="Z377" s="76"/>
      <c r="AA377" s="216">
        <v>760.0</v>
      </c>
      <c r="AB377" s="87">
        <v>1.0</v>
      </c>
      <c r="AC377" s="87">
        <v>248.0</v>
      </c>
    </row>
    <row r="378">
      <c r="A378" s="216"/>
      <c r="B378" s="43" t="s">
        <v>1373</v>
      </c>
      <c r="C378" s="53" t="s">
        <v>1395</v>
      </c>
      <c r="D378" s="45" t="s">
        <v>798</v>
      </c>
      <c r="E378" s="47"/>
      <c r="F378" s="47"/>
      <c r="G378" s="47"/>
      <c r="H378" s="47"/>
      <c r="I378" s="47"/>
      <c r="J378" s="47"/>
      <c r="K378" s="45" t="s">
        <v>799</v>
      </c>
      <c r="L378" s="47"/>
      <c r="M378" s="48">
        <v>8000.0</v>
      </c>
      <c r="N378" s="50">
        <v>79.0</v>
      </c>
      <c r="O378" s="50">
        <v>2.0</v>
      </c>
      <c r="P378" s="50">
        <v>95.0</v>
      </c>
      <c r="Q378" s="50" t="s">
        <v>50</v>
      </c>
      <c r="R378" s="50" t="s">
        <v>800</v>
      </c>
      <c r="S378" s="50">
        <f t="shared" si="25"/>
        <v>9.875</v>
      </c>
      <c r="T378" s="50">
        <f t="shared" si="26"/>
        <v>78.6</v>
      </c>
      <c r="U378" s="69">
        <f t="shared" si="27"/>
        <v>7.959493671</v>
      </c>
      <c r="V378" s="70">
        <f t="shared" si="28"/>
        <v>1005.089059</v>
      </c>
      <c r="W378" s="87">
        <v>9400.0</v>
      </c>
      <c r="X378" s="76"/>
      <c r="Y378" s="87" t="s">
        <v>1391</v>
      </c>
      <c r="Z378" s="76"/>
      <c r="AA378" s="216"/>
      <c r="AB378" s="87"/>
      <c r="AC378" s="87"/>
    </row>
    <row r="379">
      <c r="A379" s="216"/>
      <c r="B379" s="43" t="s">
        <v>53</v>
      </c>
      <c r="C379" s="53" t="s">
        <v>1396</v>
      </c>
      <c r="D379" s="96" t="s">
        <v>515</v>
      </c>
      <c r="E379" s="71"/>
      <c r="F379" s="48" t="s">
        <v>1316</v>
      </c>
      <c r="G379" s="176">
        <v>46210.0</v>
      </c>
      <c r="H379" s="48">
        <v>15300.0</v>
      </c>
      <c r="I379" s="71"/>
      <c r="J379" s="71"/>
      <c r="K379" s="56" t="s">
        <v>1397</v>
      </c>
      <c r="L379" s="50" t="s">
        <v>518</v>
      </c>
      <c r="M379" s="48">
        <v>15300.0</v>
      </c>
      <c r="N379" s="50">
        <v>108.0</v>
      </c>
      <c r="O379" s="50">
        <v>4.0</v>
      </c>
      <c r="P379" s="50">
        <v>125.0</v>
      </c>
      <c r="Q379" s="100" t="s">
        <v>50</v>
      </c>
      <c r="R379" s="50" t="s">
        <v>520</v>
      </c>
      <c r="S379" s="126">
        <f t="shared" si="25"/>
        <v>13.5</v>
      </c>
      <c r="T379" s="126">
        <f t="shared" si="26"/>
        <v>157.2</v>
      </c>
      <c r="U379" s="127">
        <f t="shared" si="27"/>
        <v>11.64444444</v>
      </c>
      <c r="V379" s="128">
        <f t="shared" si="28"/>
        <v>1313.931298</v>
      </c>
      <c r="W379" s="87">
        <v>15480.0</v>
      </c>
      <c r="X379" s="76"/>
      <c r="Y379" s="87" t="s">
        <v>1394</v>
      </c>
      <c r="Z379" s="76"/>
      <c r="AA379" s="76"/>
      <c r="AB379" s="87">
        <v>1.0</v>
      </c>
      <c r="AC379" s="87">
        <v>248.0</v>
      </c>
    </row>
    <row r="380">
      <c r="A380" s="76"/>
      <c r="B380" s="43" t="s">
        <v>108</v>
      </c>
      <c r="C380" s="48" t="s">
        <v>1398</v>
      </c>
      <c r="D380" s="248" t="s">
        <v>78</v>
      </c>
      <c r="E380" s="47"/>
      <c r="F380" s="47"/>
      <c r="G380" s="47"/>
      <c r="H380" s="47"/>
      <c r="I380" s="47"/>
      <c r="J380" s="302" t="s">
        <v>1399</v>
      </c>
      <c r="K380" s="45" t="s">
        <v>1400</v>
      </c>
      <c r="L380" s="63"/>
      <c r="M380" s="48">
        <v>9000.0</v>
      </c>
      <c r="N380" s="50">
        <v>92.0</v>
      </c>
      <c r="O380" s="50">
        <v>2.0</v>
      </c>
      <c r="P380" s="50">
        <v>225.0</v>
      </c>
      <c r="Q380" s="66" t="s">
        <v>63</v>
      </c>
      <c r="R380" s="50" t="s">
        <v>1401</v>
      </c>
      <c r="S380" s="50">
        <f t="shared" si="25"/>
        <v>11.5</v>
      </c>
      <c r="T380" s="50">
        <f t="shared" si="26"/>
        <v>78.6</v>
      </c>
      <c r="U380" s="69">
        <f t="shared" si="27"/>
        <v>6.834782609</v>
      </c>
      <c r="V380" s="70">
        <f t="shared" si="28"/>
        <v>1316.793893</v>
      </c>
      <c r="W380" s="87">
        <v>5646.0</v>
      </c>
      <c r="X380" s="76"/>
      <c r="Y380" s="87" t="s">
        <v>1394</v>
      </c>
      <c r="Z380" s="76"/>
      <c r="AA380" s="76"/>
      <c r="AB380" s="87">
        <v>1.0</v>
      </c>
      <c r="AC380" s="76"/>
    </row>
    <row r="381">
      <c r="A381" s="76"/>
      <c r="B381" s="43" t="s">
        <v>1402</v>
      </c>
      <c r="C381" s="53" t="s">
        <v>1403</v>
      </c>
      <c r="D381" s="45" t="s">
        <v>78</v>
      </c>
      <c r="E381" s="47"/>
      <c r="F381" s="93"/>
      <c r="G381" s="93"/>
      <c r="H381" s="93"/>
      <c r="I381" s="47"/>
      <c r="J381" s="47"/>
      <c r="K381" s="45" t="s">
        <v>383</v>
      </c>
      <c r="L381" s="47"/>
      <c r="M381" s="129">
        <v>67500.0</v>
      </c>
      <c r="N381" s="50">
        <v>94.0</v>
      </c>
      <c r="O381" s="50">
        <v>6.0</v>
      </c>
      <c r="P381" s="50">
        <v>190.0</v>
      </c>
      <c r="Q381" s="50" t="s">
        <v>63</v>
      </c>
      <c r="R381" s="50" t="s">
        <v>385</v>
      </c>
      <c r="S381" s="50">
        <f t="shared" si="25"/>
        <v>11.75</v>
      </c>
      <c r="T381" s="50">
        <f t="shared" si="26"/>
        <v>235.8</v>
      </c>
      <c r="U381" s="69">
        <f t="shared" si="27"/>
        <v>20.06808511</v>
      </c>
      <c r="V381" s="70">
        <f t="shared" si="28"/>
        <v>3363.549618</v>
      </c>
      <c r="W381" s="87">
        <v>78000.0</v>
      </c>
      <c r="X381" s="83"/>
      <c r="Y381" s="87" t="s">
        <v>1404</v>
      </c>
      <c r="Z381" s="76"/>
      <c r="AA381" s="76"/>
      <c r="AB381" s="87">
        <v>7.0</v>
      </c>
      <c r="AC381" s="87">
        <v>252.0</v>
      </c>
    </row>
    <row r="382">
      <c r="A382" s="76"/>
      <c r="B382" s="43" t="s">
        <v>1402</v>
      </c>
      <c r="C382" s="53" t="s">
        <v>1405</v>
      </c>
      <c r="D382" s="45" t="s">
        <v>78</v>
      </c>
      <c r="E382" s="47"/>
      <c r="F382" s="93"/>
      <c r="G382" s="93"/>
      <c r="H382" s="93"/>
      <c r="I382" s="47"/>
      <c r="J382" s="47"/>
      <c r="K382" s="45" t="s">
        <v>394</v>
      </c>
      <c r="L382" s="47"/>
      <c r="M382" s="129">
        <v>10000.0</v>
      </c>
      <c r="N382" s="50">
        <v>94.0</v>
      </c>
      <c r="O382" s="50">
        <v>6.0</v>
      </c>
      <c r="P382" s="50">
        <v>190.0</v>
      </c>
      <c r="Q382" s="50" t="s">
        <v>63</v>
      </c>
      <c r="R382" s="50" t="s">
        <v>385</v>
      </c>
      <c r="S382" s="50">
        <f t="shared" si="25"/>
        <v>11.75</v>
      </c>
      <c r="T382" s="50">
        <f t="shared" si="26"/>
        <v>235.8</v>
      </c>
      <c r="U382" s="69">
        <f t="shared" si="27"/>
        <v>20.06808511</v>
      </c>
      <c r="V382" s="70">
        <f t="shared" si="28"/>
        <v>498.3036472</v>
      </c>
      <c r="W382" s="87">
        <v>20200.0</v>
      </c>
      <c r="X382" s="83"/>
      <c r="Y382" s="87" t="s">
        <v>1404</v>
      </c>
      <c r="Z382" s="76"/>
      <c r="AA382" s="76"/>
      <c r="AB382" s="87">
        <v>2.0</v>
      </c>
      <c r="AC382" s="87">
        <v>252.0</v>
      </c>
    </row>
    <row r="383">
      <c r="A383" s="76"/>
      <c r="B383" s="43" t="s">
        <v>245</v>
      </c>
      <c r="C383" s="53" t="s">
        <v>1406</v>
      </c>
      <c r="D383" s="45" t="s">
        <v>247</v>
      </c>
      <c r="E383" s="45"/>
      <c r="F383" s="43" t="s">
        <v>248</v>
      </c>
      <c r="G383" s="137">
        <v>46088.0</v>
      </c>
      <c r="H383" s="48">
        <v>10000.0</v>
      </c>
      <c r="I383" s="47"/>
      <c r="J383" s="47"/>
      <c r="K383" s="56" t="s">
        <v>1407</v>
      </c>
      <c r="L383" s="50" t="s">
        <v>252</v>
      </c>
      <c r="M383" s="48">
        <v>10000.0</v>
      </c>
      <c r="N383" s="50">
        <v>89.0</v>
      </c>
      <c r="O383" s="50">
        <v>1.0</v>
      </c>
      <c r="P383" s="50">
        <v>160.0</v>
      </c>
      <c r="Q383" s="50" t="s">
        <v>63</v>
      </c>
      <c r="R383" s="50" t="s">
        <v>254</v>
      </c>
      <c r="S383" s="50">
        <f t="shared" si="25"/>
        <v>11.125</v>
      </c>
      <c r="T383" s="50">
        <f t="shared" si="26"/>
        <v>39.3</v>
      </c>
      <c r="U383" s="69">
        <f t="shared" si="27"/>
        <v>3.53258427</v>
      </c>
      <c r="V383" s="70">
        <f t="shared" si="28"/>
        <v>2830.788804</v>
      </c>
      <c r="W383" s="87">
        <v>11330.0</v>
      </c>
      <c r="X383" s="76"/>
      <c r="Y383" s="87" t="s">
        <v>1404</v>
      </c>
      <c r="Z383" s="76"/>
      <c r="AA383" s="76"/>
      <c r="AB383" s="87">
        <v>2.0</v>
      </c>
      <c r="AC383" s="83"/>
    </row>
    <row r="384">
      <c r="A384" s="76"/>
      <c r="B384" s="43" t="s">
        <v>261</v>
      </c>
      <c r="C384" s="53" t="s">
        <v>1408</v>
      </c>
      <c r="D384" s="45" t="s">
        <v>67</v>
      </c>
      <c r="E384" s="47"/>
      <c r="F384" s="48">
        <v>5.400093726E9</v>
      </c>
      <c r="G384" s="48" t="s">
        <v>266</v>
      </c>
      <c r="H384" s="48">
        <v>10000.0</v>
      </c>
      <c r="I384" s="47"/>
      <c r="J384" s="50">
        <v>208117.0</v>
      </c>
      <c r="K384" s="51" t="s">
        <v>1409</v>
      </c>
      <c r="L384" s="48" t="s">
        <v>258</v>
      </c>
      <c r="M384" s="48">
        <v>10000.0</v>
      </c>
      <c r="N384" s="50">
        <v>94.0</v>
      </c>
      <c r="O384" s="50">
        <v>2.0</v>
      </c>
      <c r="P384" s="50">
        <v>290.0</v>
      </c>
      <c r="Q384" s="52" t="s">
        <v>213</v>
      </c>
      <c r="R384" s="50" t="s">
        <v>214</v>
      </c>
      <c r="S384" s="50">
        <f t="shared" si="25"/>
        <v>11.75</v>
      </c>
      <c r="T384" s="50">
        <f t="shared" si="26"/>
        <v>78.6</v>
      </c>
      <c r="U384" s="69">
        <f t="shared" si="27"/>
        <v>6.689361702</v>
      </c>
      <c r="V384" s="70">
        <f t="shared" si="28"/>
        <v>1494.910941</v>
      </c>
      <c r="W384" s="87">
        <v>10480.0</v>
      </c>
      <c r="X384" s="76"/>
      <c r="Y384" s="216" t="s">
        <v>1391</v>
      </c>
      <c r="Z384" s="76"/>
      <c r="AA384" s="76"/>
      <c r="AB384" s="87">
        <v>3.0</v>
      </c>
      <c r="AC384" s="87">
        <v>244.0</v>
      </c>
    </row>
    <row r="385">
      <c r="A385" s="76"/>
      <c r="B385" s="43" t="s">
        <v>261</v>
      </c>
      <c r="C385" s="53" t="s">
        <v>1410</v>
      </c>
      <c r="D385" s="45" t="s">
        <v>67</v>
      </c>
      <c r="E385" s="47"/>
      <c r="F385" s="48">
        <v>5.400093726E9</v>
      </c>
      <c r="G385" s="48" t="s">
        <v>266</v>
      </c>
      <c r="H385" s="48">
        <v>10000.0</v>
      </c>
      <c r="I385" s="47"/>
      <c r="J385" s="50">
        <v>208118.0</v>
      </c>
      <c r="K385" s="51" t="s">
        <v>1411</v>
      </c>
      <c r="L385" s="48" t="s">
        <v>258</v>
      </c>
      <c r="M385" s="48">
        <v>10000.0</v>
      </c>
      <c r="N385" s="100">
        <v>75.0</v>
      </c>
      <c r="O385" s="100">
        <v>3.0</v>
      </c>
      <c r="P385" s="100">
        <v>330.0</v>
      </c>
      <c r="Q385" s="52" t="s">
        <v>213</v>
      </c>
      <c r="R385" s="100" t="s">
        <v>241</v>
      </c>
      <c r="S385" s="50">
        <f t="shared" si="25"/>
        <v>9.375</v>
      </c>
      <c r="T385" s="50">
        <f t="shared" si="26"/>
        <v>117.9</v>
      </c>
      <c r="U385" s="69">
        <f t="shared" si="27"/>
        <v>12.576</v>
      </c>
      <c r="V385" s="70">
        <f t="shared" si="28"/>
        <v>795.1653944</v>
      </c>
      <c r="W385" s="87">
        <v>10160.0</v>
      </c>
      <c r="X385" s="76"/>
      <c r="Y385" s="216" t="s">
        <v>1391</v>
      </c>
      <c r="Z385" s="76"/>
      <c r="AA385" s="76"/>
      <c r="AB385" s="87">
        <v>2.0</v>
      </c>
      <c r="AC385" s="87">
        <v>244.0</v>
      </c>
    </row>
    <row r="386">
      <c r="A386" s="76"/>
      <c r="B386" s="43" t="s">
        <v>245</v>
      </c>
      <c r="C386" s="48" t="s">
        <v>1412</v>
      </c>
      <c r="D386" s="45" t="s">
        <v>247</v>
      </c>
      <c r="E386" s="47"/>
      <c r="F386" s="43" t="s">
        <v>321</v>
      </c>
      <c r="G386" s="137">
        <v>46060.0</v>
      </c>
      <c r="H386" s="48">
        <v>10000.0</v>
      </c>
      <c r="I386" s="47"/>
      <c r="J386" s="47"/>
      <c r="K386" s="56" t="s">
        <v>1413</v>
      </c>
      <c r="L386" s="50" t="s">
        <v>252</v>
      </c>
      <c r="M386" s="48">
        <v>10000.0</v>
      </c>
      <c r="N386" s="133">
        <v>124.0</v>
      </c>
      <c r="O386" s="50">
        <v>6.0</v>
      </c>
      <c r="P386" s="133">
        <v>230.0</v>
      </c>
      <c r="Q386" s="50" t="s">
        <v>63</v>
      </c>
      <c r="R386" s="50" t="s">
        <v>341</v>
      </c>
      <c r="S386" s="50">
        <f t="shared" si="25"/>
        <v>15.5</v>
      </c>
      <c r="T386" s="50">
        <f t="shared" si="26"/>
        <v>235.8</v>
      </c>
      <c r="U386" s="69">
        <f t="shared" si="27"/>
        <v>15.21290323</v>
      </c>
      <c r="V386" s="70">
        <f t="shared" si="28"/>
        <v>657.336726</v>
      </c>
      <c r="W386" s="87">
        <v>9585.0</v>
      </c>
      <c r="X386" s="83"/>
      <c r="Y386" s="87" t="s">
        <v>1404</v>
      </c>
      <c r="Z386" s="76"/>
      <c r="AA386" s="76"/>
      <c r="AB386" s="87">
        <v>1.0</v>
      </c>
      <c r="AC386" s="76"/>
    </row>
    <row r="387">
      <c r="A387" s="76"/>
      <c r="B387" s="48" t="s">
        <v>1075</v>
      </c>
      <c r="C387" s="53" t="s">
        <v>1414</v>
      </c>
      <c r="D387" s="45" t="s">
        <v>247</v>
      </c>
      <c r="E387" s="76"/>
      <c r="F387" s="48" t="s">
        <v>1077</v>
      </c>
      <c r="G387" s="48" t="s">
        <v>1078</v>
      </c>
      <c r="H387" s="48">
        <v>5000.0</v>
      </c>
      <c r="I387" s="76"/>
      <c r="J387" s="76"/>
      <c r="K387" s="56" t="s">
        <v>1415</v>
      </c>
      <c r="L387" s="50" t="s">
        <v>252</v>
      </c>
      <c r="M387" s="48">
        <v>5000.0</v>
      </c>
      <c r="N387" s="50">
        <v>99.0</v>
      </c>
      <c r="O387" s="50">
        <v>6.0</v>
      </c>
      <c r="P387" s="50">
        <v>135.0</v>
      </c>
      <c r="Q387" s="50" t="s">
        <v>63</v>
      </c>
      <c r="R387" s="50" t="s">
        <v>956</v>
      </c>
      <c r="S387" s="50">
        <f t="shared" si="25"/>
        <v>12.375</v>
      </c>
      <c r="T387" s="50">
        <f t="shared" si="26"/>
        <v>235.8</v>
      </c>
      <c r="U387" s="69">
        <f t="shared" si="27"/>
        <v>19.05454545</v>
      </c>
      <c r="V387" s="70">
        <f t="shared" si="28"/>
        <v>262.4045802</v>
      </c>
      <c r="W387" s="87">
        <v>5835.0</v>
      </c>
      <c r="X387" s="83"/>
      <c r="Y387" s="87" t="s">
        <v>1404</v>
      </c>
      <c r="Z387" s="76"/>
      <c r="AA387" s="76"/>
      <c r="AB387" s="87">
        <v>1.0</v>
      </c>
      <c r="AC387" s="76"/>
    </row>
    <row r="388">
      <c r="A388" s="76"/>
      <c r="B388" s="43" t="s">
        <v>261</v>
      </c>
      <c r="C388" s="53" t="s">
        <v>1416</v>
      </c>
      <c r="D388" s="45" t="s">
        <v>247</v>
      </c>
      <c r="E388" s="76"/>
      <c r="F388" s="48" t="s">
        <v>1417</v>
      </c>
      <c r="G388" s="216" t="s">
        <v>1418</v>
      </c>
      <c r="H388" s="216" t="s">
        <v>1419</v>
      </c>
      <c r="I388" s="76"/>
      <c r="J388" s="76"/>
      <c r="K388" s="56" t="s">
        <v>950</v>
      </c>
      <c r="L388" s="50" t="s">
        <v>252</v>
      </c>
      <c r="M388" s="48">
        <v>30000.0</v>
      </c>
      <c r="N388" s="100">
        <v>72.0</v>
      </c>
      <c r="O388" s="100">
        <v>2.0</v>
      </c>
      <c r="P388" s="100">
        <v>185.0</v>
      </c>
      <c r="Q388" s="50" t="s">
        <v>63</v>
      </c>
      <c r="R388" s="100" t="s">
        <v>384</v>
      </c>
      <c r="S388" s="72">
        <f t="shared" si="25"/>
        <v>9</v>
      </c>
      <c r="T388" s="72">
        <f t="shared" si="26"/>
        <v>78.6</v>
      </c>
      <c r="U388" s="74">
        <f t="shared" si="27"/>
        <v>8.733333333</v>
      </c>
      <c r="V388" s="75">
        <f t="shared" si="28"/>
        <v>3435.114504</v>
      </c>
      <c r="W388" s="87">
        <v>31060.0</v>
      </c>
      <c r="X388" s="83"/>
      <c r="Y388" s="87" t="s">
        <v>1404</v>
      </c>
      <c r="Z388" s="76"/>
      <c r="AA388" s="76"/>
      <c r="AB388" s="87">
        <v>5.0</v>
      </c>
      <c r="AC388" s="76"/>
    </row>
    <row r="389">
      <c r="A389" s="76"/>
      <c r="B389" s="43" t="s">
        <v>261</v>
      </c>
      <c r="C389" s="53" t="s">
        <v>1420</v>
      </c>
      <c r="D389" s="45" t="s">
        <v>247</v>
      </c>
      <c r="E389" s="76"/>
      <c r="F389" s="48" t="s">
        <v>265</v>
      </c>
      <c r="G389" s="153" t="s">
        <v>266</v>
      </c>
      <c r="H389" s="87">
        <v>20000.0</v>
      </c>
      <c r="I389" s="76"/>
      <c r="J389" s="76"/>
      <c r="K389" s="90" t="s">
        <v>955</v>
      </c>
      <c r="L389" s="50" t="s">
        <v>252</v>
      </c>
      <c r="M389" s="50">
        <v>20000.0</v>
      </c>
      <c r="N389" s="50">
        <v>99.0</v>
      </c>
      <c r="O389" s="50">
        <v>6.0</v>
      </c>
      <c r="P389" s="50">
        <v>135.0</v>
      </c>
      <c r="Q389" s="50" t="s">
        <v>63</v>
      </c>
      <c r="R389" s="50" t="s">
        <v>956</v>
      </c>
      <c r="S389" s="72">
        <f t="shared" si="25"/>
        <v>12.375</v>
      </c>
      <c r="T389" s="72">
        <f t="shared" si="26"/>
        <v>235.8</v>
      </c>
      <c r="U389" s="74">
        <f t="shared" si="27"/>
        <v>19.05454545</v>
      </c>
      <c r="V389" s="75">
        <f t="shared" si="28"/>
        <v>1049.618321</v>
      </c>
      <c r="W389" s="87">
        <v>20535.0</v>
      </c>
      <c r="X389" s="83"/>
      <c r="Y389" s="87" t="s">
        <v>1404</v>
      </c>
      <c r="Z389" s="76"/>
      <c r="AA389" s="76"/>
      <c r="AB389" s="87">
        <v>1.0</v>
      </c>
      <c r="AC389" s="76"/>
    </row>
    <row r="390">
      <c r="A390" s="76"/>
      <c r="B390" s="43" t="s">
        <v>261</v>
      </c>
      <c r="C390" s="53" t="s">
        <v>1421</v>
      </c>
      <c r="D390" s="45" t="s">
        <v>247</v>
      </c>
      <c r="E390" s="76"/>
      <c r="F390" s="48" t="s">
        <v>265</v>
      </c>
      <c r="G390" s="153" t="s">
        <v>266</v>
      </c>
      <c r="H390" s="87">
        <v>8000.0</v>
      </c>
      <c r="I390" s="76"/>
      <c r="J390" s="76"/>
      <c r="K390" s="56" t="s">
        <v>494</v>
      </c>
      <c r="L390" s="50" t="s">
        <v>252</v>
      </c>
      <c r="M390" s="48">
        <v>8000.0</v>
      </c>
      <c r="N390" s="100">
        <v>69.0</v>
      </c>
      <c r="O390" s="100">
        <v>1.0</v>
      </c>
      <c r="P390" s="100">
        <v>135.0</v>
      </c>
      <c r="Q390" s="50" t="s">
        <v>63</v>
      </c>
      <c r="R390" s="100" t="s">
        <v>324</v>
      </c>
      <c r="S390" s="72">
        <f t="shared" si="25"/>
        <v>8.625</v>
      </c>
      <c r="T390" s="72">
        <f t="shared" si="26"/>
        <v>39.3</v>
      </c>
      <c r="U390" s="74">
        <f t="shared" si="27"/>
        <v>4.556521739</v>
      </c>
      <c r="V390" s="75">
        <f t="shared" si="28"/>
        <v>1755.725191</v>
      </c>
      <c r="W390" s="87">
        <v>7950.0</v>
      </c>
      <c r="X390" s="83"/>
      <c r="Y390" s="87" t="s">
        <v>1404</v>
      </c>
      <c r="Z390" s="76"/>
      <c r="AA390" s="216">
        <v>50.0</v>
      </c>
      <c r="AB390" s="87">
        <v>2.0</v>
      </c>
      <c r="AC390" s="76"/>
    </row>
    <row r="391">
      <c r="A391" s="76"/>
      <c r="B391" s="43" t="s">
        <v>261</v>
      </c>
      <c r="C391" s="53" t="s">
        <v>1422</v>
      </c>
      <c r="D391" s="45" t="s">
        <v>247</v>
      </c>
      <c r="E391" s="76"/>
      <c r="F391" s="48" t="s">
        <v>265</v>
      </c>
      <c r="G391" s="153" t="s">
        <v>266</v>
      </c>
      <c r="H391" s="48">
        <v>25000.0</v>
      </c>
      <c r="I391" s="76"/>
      <c r="J391" s="303" t="s">
        <v>1423</v>
      </c>
      <c r="K391" s="45" t="s">
        <v>1424</v>
      </c>
      <c r="L391" s="50" t="s">
        <v>252</v>
      </c>
      <c r="M391" s="129">
        <v>28000.0</v>
      </c>
      <c r="N391" s="50">
        <v>89.0</v>
      </c>
      <c r="O391" s="50">
        <v>3.0</v>
      </c>
      <c r="P391" s="50">
        <v>260.0</v>
      </c>
      <c r="Q391" s="50" t="s">
        <v>63</v>
      </c>
      <c r="R391" s="50" t="s">
        <v>353</v>
      </c>
      <c r="S391" s="72">
        <f t="shared" si="25"/>
        <v>11.125</v>
      </c>
      <c r="T391" s="72">
        <f t="shared" si="26"/>
        <v>117.9</v>
      </c>
      <c r="U391" s="74">
        <f t="shared" si="27"/>
        <v>10.59775281</v>
      </c>
      <c r="V391" s="75">
        <f t="shared" si="28"/>
        <v>2642.06955</v>
      </c>
      <c r="W391" s="87">
        <v>26770.0</v>
      </c>
      <c r="X391" s="83"/>
      <c r="Y391" s="87" t="s">
        <v>1404</v>
      </c>
      <c r="Z391" s="76"/>
      <c r="AA391" s="216">
        <v>1230.0</v>
      </c>
      <c r="AB391" s="87">
        <v>3.0</v>
      </c>
      <c r="AC391" s="76"/>
    </row>
    <row r="392">
      <c r="A392" s="76"/>
      <c r="B392" s="43" t="s">
        <v>261</v>
      </c>
      <c r="C392" s="53" t="s">
        <v>1425</v>
      </c>
      <c r="D392" s="45" t="s">
        <v>247</v>
      </c>
      <c r="E392" s="76"/>
      <c r="F392" s="48" t="s">
        <v>265</v>
      </c>
      <c r="G392" s="153" t="s">
        <v>266</v>
      </c>
      <c r="H392" s="48">
        <v>5000.0</v>
      </c>
      <c r="I392" s="76"/>
      <c r="J392" s="76"/>
      <c r="K392" s="56" t="s">
        <v>1426</v>
      </c>
      <c r="L392" s="50" t="s">
        <v>252</v>
      </c>
      <c r="M392" s="48">
        <v>7000.0</v>
      </c>
      <c r="N392" s="100">
        <v>69.0</v>
      </c>
      <c r="O392" s="100">
        <v>1.0</v>
      </c>
      <c r="P392" s="100">
        <v>135.0</v>
      </c>
      <c r="Q392" s="50" t="s">
        <v>63</v>
      </c>
      <c r="R392" s="100" t="s">
        <v>324</v>
      </c>
      <c r="S392" s="72">
        <f t="shared" si="25"/>
        <v>8.625</v>
      </c>
      <c r="T392" s="72">
        <f t="shared" si="26"/>
        <v>39.3</v>
      </c>
      <c r="U392" s="74">
        <f t="shared" si="27"/>
        <v>4.556521739</v>
      </c>
      <c r="V392" s="75">
        <f t="shared" si="28"/>
        <v>1536.259542</v>
      </c>
      <c r="W392" s="87">
        <v>7510.0</v>
      </c>
      <c r="X392" s="83"/>
      <c r="Y392" s="87" t="s">
        <v>1404</v>
      </c>
      <c r="Z392" s="76"/>
      <c r="AA392" s="76"/>
      <c r="AB392" s="87">
        <v>2.0</v>
      </c>
      <c r="AC392" s="76"/>
    </row>
    <row r="393">
      <c r="A393" s="76"/>
      <c r="B393" s="43" t="s">
        <v>447</v>
      </c>
      <c r="C393" s="53" t="s">
        <v>1427</v>
      </c>
      <c r="D393" s="45" t="s">
        <v>247</v>
      </c>
      <c r="E393" s="45"/>
      <c r="F393" s="43" t="s">
        <v>448</v>
      </c>
      <c r="G393" s="137">
        <v>46362.0</v>
      </c>
      <c r="H393" s="48">
        <v>4000.0</v>
      </c>
      <c r="I393" s="47"/>
      <c r="J393" s="47"/>
      <c r="K393" s="56" t="s">
        <v>1428</v>
      </c>
      <c r="L393" s="50" t="s">
        <v>252</v>
      </c>
      <c r="M393" s="48">
        <v>4000.0</v>
      </c>
      <c r="N393" s="50">
        <v>89.0</v>
      </c>
      <c r="O393" s="50">
        <v>6.0</v>
      </c>
      <c r="P393" s="50">
        <v>130.0</v>
      </c>
      <c r="Q393" s="50" t="s">
        <v>63</v>
      </c>
      <c r="R393" s="50" t="s">
        <v>826</v>
      </c>
      <c r="S393" s="50">
        <f t="shared" si="25"/>
        <v>11.125</v>
      </c>
      <c r="T393" s="50">
        <f t="shared" si="26"/>
        <v>235.8</v>
      </c>
      <c r="U393" s="69">
        <f t="shared" si="27"/>
        <v>21.19550562</v>
      </c>
      <c r="V393" s="70">
        <f t="shared" si="28"/>
        <v>188.7192536</v>
      </c>
      <c r="W393" s="87">
        <v>4400.0</v>
      </c>
      <c r="X393" s="83"/>
      <c r="Y393" s="87" t="s">
        <v>1404</v>
      </c>
      <c r="Z393" s="76"/>
      <c r="AA393" s="76"/>
      <c r="AB393" s="87">
        <v>1.0</v>
      </c>
      <c r="AC393" s="76"/>
    </row>
    <row r="394">
      <c r="A394" s="76"/>
      <c r="B394" s="43" t="s">
        <v>245</v>
      </c>
      <c r="C394" s="48" t="s">
        <v>1429</v>
      </c>
      <c r="D394" s="45" t="s">
        <v>247</v>
      </c>
      <c r="E394" s="47"/>
      <c r="F394" s="43" t="s">
        <v>248</v>
      </c>
      <c r="G394" s="137">
        <v>46088.0</v>
      </c>
      <c r="H394" s="48">
        <v>4000.0</v>
      </c>
      <c r="I394" s="47"/>
      <c r="J394" s="47"/>
      <c r="K394" s="56" t="s">
        <v>1430</v>
      </c>
      <c r="L394" s="50" t="s">
        <v>252</v>
      </c>
      <c r="M394" s="48">
        <v>4000.0</v>
      </c>
      <c r="N394" s="100">
        <v>69.0</v>
      </c>
      <c r="O394" s="100">
        <v>1.0</v>
      </c>
      <c r="P394" s="100">
        <v>135.0</v>
      </c>
      <c r="Q394" s="50" t="s">
        <v>63</v>
      </c>
      <c r="R394" s="100" t="s">
        <v>324</v>
      </c>
      <c r="S394" s="50">
        <f t="shared" si="25"/>
        <v>8.625</v>
      </c>
      <c r="T394" s="50">
        <f t="shared" si="26"/>
        <v>39.3</v>
      </c>
      <c r="U394" s="69">
        <f t="shared" si="27"/>
        <v>4.556521739</v>
      </c>
      <c r="V394" s="70">
        <f t="shared" si="28"/>
        <v>877.8625954</v>
      </c>
      <c r="W394" s="87">
        <v>4560.0</v>
      </c>
      <c r="X394" s="83"/>
      <c r="Y394" s="87" t="s">
        <v>1404</v>
      </c>
      <c r="Z394" s="76"/>
      <c r="AA394" s="76"/>
      <c r="AB394" s="87">
        <v>1.0</v>
      </c>
      <c r="AC394" s="76"/>
    </row>
    <row r="395">
      <c r="A395" s="76"/>
      <c r="B395" s="43" t="s">
        <v>245</v>
      </c>
      <c r="C395" s="48" t="s">
        <v>1431</v>
      </c>
      <c r="D395" s="45" t="s">
        <v>247</v>
      </c>
      <c r="E395" s="47"/>
      <c r="F395" s="48" t="s">
        <v>248</v>
      </c>
      <c r="G395" s="137">
        <v>46088.0</v>
      </c>
      <c r="H395" s="48">
        <v>4000.0</v>
      </c>
      <c r="I395" s="47"/>
      <c r="J395" s="47"/>
      <c r="K395" s="56" t="s">
        <v>1432</v>
      </c>
      <c r="L395" s="50" t="s">
        <v>252</v>
      </c>
      <c r="M395" s="48">
        <v>4000.0</v>
      </c>
      <c r="N395" s="133">
        <v>124.0</v>
      </c>
      <c r="O395" s="50">
        <v>6.0</v>
      </c>
      <c r="P395" s="133">
        <v>230.0</v>
      </c>
      <c r="Q395" s="50" t="s">
        <v>63</v>
      </c>
      <c r="R395" s="50" t="s">
        <v>341</v>
      </c>
      <c r="S395" s="50">
        <f t="shared" si="25"/>
        <v>15.5</v>
      </c>
      <c r="T395" s="50">
        <f t="shared" si="26"/>
        <v>235.8</v>
      </c>
      <c r="U395" s="69">
        <f t="shared" si="27"/>
        <v>15.21290323</v>
      </c>
      <c r="V395" s="70">
        <f t="shared" si="28"/>
        <v>262.9346904</v>
      </c>
      <c r="W395" s="87">
        <v>5030.0</v>
      </c>
      <c r="X395" s="83"/>
      <c r="Y395" s="87" t="s">
        <v>1404</v>
      </c>
      <c r="Z395" s="76"/>
      <c r="AA395" s="76"/>
      <c r="AB395" s="87">
        <v>1.0</v>
      </c>
      <c r="AC395" s="76"/>
    </row>
    <row r="396">
      <c r="A396" s="76"/>
      <c r="B396" s="43" t="s">
        <v>245</v>
      </c>
      <c r="C396" s="53" t="s">
        <v>1433</v>
      </c>
      <c r="D396" s="45" t="s">
        <v>247</v>
      </c>
      <c r="E396" s="45"/>
      <c r="F396" s="43" t="s">
        <v>248</v>
      </c>
      <c r="G396" s="137">
        <v>46088.0</v>
      </c>
      <c r="H396" s="48">
        <v>4000.0</v>
      </c>
      <c r="I396" s="47"/>
      <c r="J396" s="47"/>
      <c r="K396" s="56" t="s">
        <v>1434</v>
      </c>
      <c r="L396" s="50" t="s">
        <v>252</v>
      </c>
      <c r="M396" s="48">
        <v>4000.0</v>
      </c>
      <c r="N396" s="50">
        <v>89.0</v>
      </c>
      <c r="O396" s="50">
        <v>1.0</v>
      </c>
      <c r="P396" s="50">
        <v>160.0</v>
      </c>
      <c r="Q396" s="50" t="s">
        <v>63</v>
      </c>
      <c r="R396" s="50" t="s">
        <v>254</v>
      </c>
      <c r="S396" s="50">
        <f t="shared" si="25"/>
        <v>11.125</v>
      </c>
      <c r="T396" s="50">
        <f t="shared" si="26"/>
        <v>39.3</v>
      </c>
      <c r="U396" s="69">
        <f t="shared" si="27"/>
        <v>3.53258427</v>
      </c>
      <c r="V396" s="70">
        <f t="shared" si="28"/>
        <v>1132.315522</v>
      </c>
      <c r="W396" s="87">
        <v>4700.0</v>
      </c>
      <c r="X396" s="83"/>
      <c r="Y396" s="87" t="s">
        <v>1404</v>
      </c>
      <c r="Z396" s="76"/>
      <c r="AA396" s="76"/>
      <c r="AB396" s="87">
        <v>2.0</v>
      </c>
      <c r="AC396" s="76"/>
    </row>
    <row r="397">
      <c r="A397" s="76"/>
      <c r="B397" s="43" t="s">
        <v>53</v>
      </c>
      <c r="C397" s="48" t="s">
        <v>1435</v>
      </c>
      <c r="D397" s="56" t="s">
        <v>67</v>
      </c>
      <c r="E397" s="47"/>
      <c r="F397" s="242">
        <v>5.400093774E9</v>
      </c>
      <c r="G397" s="242" t="s">
        <v>269</v>
      </c>
      <c r="H397" s="242">
        <v>50000.0</v>
      </c>
      <c r="I397" s="47"/>
      <c r="J397" s="261">
        <v>203270.0</v>
      </c>
      <c r="K397" s="274" t="s">
        <v>1230</v>
      </c>
      <c r="L397" s="261" t="s">
        <v>258</v>
      </c>
      <c r="M397" s="275">
        <v>50000.0</v>
      </c>
      <c r="N397" s="151">
        <v>118.0</v>
      </c>
      <c r="O397" s="151">
        <v>4.0</v>
      </c>
      <c r="P397" s="151">
        <v>250.0</v>
      </c>
      <c r="Q397" s="52" t="s">
        <v>213</v>
      </c>
      <c r="R397" s="151" t="s">
        <v>1231</v>
      </c>
      <c r="S397" s="50">
        <f t="shared" si="25"/>
        <v>14.75</v>
      </c>
      <c r="T397" s="50">
        <f t="shared" si="26"/>
        <v>157.2</v>
      </c>
      <c r="U397" s="69">
        <f t="shared" si="27"/>
        <v>10.65762712</v>
      </c>
      <c r="V397" s="70">
        <f t="shared" si="28"/>
        <v>4691.475827</v>
      </c>
      <c r="W397" s="87">
        <v>52250.0</v>
      </c>
      <c r="X397" s="83"/>
      <c r="Y397" s="87" t="s">
        <v>1436</v>
      </c>
      <c r="Z397" s="83"/>
      <c r="AA397" s="83"/>
      <c r="AB397" s="87">
        <v>7.0</v>
      </c>
      <c r="AC397" s="87">
        <v>255.0</v>
      </c>
    </row>
    <row r="398">
      <c r="A398" s="76"/>
      <c r="B398" s="43" t="s">
        <v>53</v>
      </c>
      <c r="C398" s="53" t="s">
        <v>1437</v>
      </c>
      <c r="D398" s="96" t="s">
        <v>515</v>
      </c>
      <c r="E398" s="71"/>
      <c r="F398" s="48" t="s">
        <v>1316</v>
      </c>
      <c r="G398" s="176">
        <v>46210.0</v>
      </c>
      <c r="H398" s="48">
        <v>14300.0</v>
      </c>
      <c r="I398" s="71"/>
      <c r="J398" s="71"/>
      <c r="K398" s="56" t="s">
        <v>1438</v>
      </c>
      <c r="L398" s="50" t="s">
        <v>518</v>
      </c>
      <c r="M398" s="48">
        <v>760.0</v>
      </c>
      <c r="N398" s="50">
        <v>108.0</v>
      </c>
      <c r="O398" s="50">
        <v>4.0</v>
      </c>
      <c r="P398" s="50">
        <v>125.0</v>
      </c>
      <c r="Q398" s="50" t="s">
        <v>50</v>
      </c>
      <c r="R398" s="50" t="s">
        <v>520</v>
      </c>
      <c r="S398" s="50">
        <f t="shared" si="25"/>
        <v>13.5</v>
      </c>
      <c r="T398" s="50">
        <f t="shared" si="26"/>
        <v>157.2</v>
      </c>
      <c r="U398" s="69">
        <f t="shared" si="27"/>
        <v>11.64444444</v>
      </c>
      <c r="V398" s="70">
        <f t="shared" si="28"/>
        <v>65.26717557</v>
      </c>
      <c r="W398" s="87">
        <v>840.0</v>
      </c>
      <c r="X398" s="76"/>
      <c r="Y398" s="87" t="s">
        <v>1436</v>
      </c>
      <c r="Z398" s="76"/>
      <c r="AA398" s="76"/>
      <c r="AB398" s="87">
        <v>1.0</v>
      </c>
      <c r="AC398" s="76"/>
    </row>
    <row r="399">
      <c r="A399" s="66">
        <v>1.0</v>
      </c>
      <c r="B399" s="57">
        <v>46119.0</v>
      </c>
      <c r="C399" s="50" t="s">
        <v>1439</v>
      </c>
      <c r="D399" s="45" t="s">
        <v>200</v>
      </c>
      <c r="E399" s="47"/>
      <c r="F399" s="47"/>
      <c r="G399" s="47"/>
      <c r="H399" s="47"/>
      <c r="I399" s="47"/>
      <c r="J399" s="47"/>
      <c r="K399" s="45" t="s">
        <v>1440</v>
      </c>
      <c r="L399" s="47"/>
      <c r="M399" s="50">
        <v>3000.0</v>
      </c>
      <c r="N399" s="50">
        <v>116.0</v>
      </c>
      <c r="O399" s="50">
        <v>4.0</v>
      </c>
      <c r="P399" s="50">
        <v>250.0</v>
      </c>
      <c r="Q399" s="50" t="s">
        <v>73</v>
      </c>
      <c r="R399" s="50" t="s">
        <v>1441</v>
      </c>
      <c r="S399" s="50">
        <f t="shared" si="25"/>
        <v>14.5</v>
      </c>
      <c r="T399" s="50">
        <f t="shared" si="26"/>
        <v>157.2</v>
      </c>
      <c r="U399" s="69">
        <f t="shared" si="27"/>
        <v>10.84137931</v>
      </c>
      <c r="V399" s="70">
        <f t="shared" si="28"/>
        <v>276.7175573</v>
      </c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  <c r="BT399" s="63"/>
      <c r="BU399" s="63"/>
      <c r="BV399" s="63"/>
      <c r="BW399" s="63"/>
      <c r="BX399" s="63"/>
      <c r="BY399" s="63"/>
      <c r="BZ399" s="63"/>
      <c r="CA399" s="63"/>
      <c r="CB399" s="63"/>
      <c r="CC399" s="63"/>
      <c r="CD399" s="63"/>
      <c r="CE399" s="63"/>
      <c r="CF399" s="63"/>
      <c r="CG399" s="63"/>
      <c r="CH399" s="63"/>
      <c r="CI399" s="63"/>
      <c r="CJ399" s="63"/>
      <c r="CK399" s="63"/>
      <c r="CL399" s="63"/>
      <c r="CM399" s="63"/>
      <c r="CN399" s="63"/>
      <c r="CO399" s="63"/>
      <c r="CP399" s="63"/>
      <c r="CQ399" s="63"/>
      <c r="CR399" s="63"/>
      <c r="CS399" s="63"/>
      <c r="CT399" s="63"/>
      <c r="CU399" s="63"/>
      <c r="CV399" s="63"/>
    </row>
    <row r="400">
      <c r="A400" s="50">
        <v>2.0</v>
      </c>
      <c r="B400" s="57">
        <v>46119.0</v>
      </c>
      <c r="C400" s="50" t="s">
        <v>1442</v>
      </c>
      <c r="D400" s="45" t="s">
        <v>200</v>
      </c>
      <c r="E400" s="47"/>
      <c r="F400" s="47"/>
      <c r="G400" s="47"/>
      <c r="H400" s="47"/>
      <c r="I400" s="47"/>
      <c r="J400" s="47"/>
      <c r="K400" s="45" t="s">
        <v>1443</v>
      </c>
      <c r="L400" s="47"/>
      <c r="M400" s="50">
        <v>3000.0</v>
      </c>
      <c r="N400" s="50">
        <v>116.0</v>
      </c>
      <c r="O400" s="50">
        <v>4.0</v>
      </c>
      <c r="P400" s="50">
        <v>250.0</v>
      </c>
      <c r="Q400" s="50" t="s">
        <v>73</v>
      </c>
      <c r="R400" s="50" t="s">
        <v>1441</v>
      </c>
      <c r="S400" s="50">
        <f t="shared" si="25"/>
        <v>14.5</v>
      </c>
      <c r="T400" s="50">
        <f t="shared" si="26"/>
        <v>157.2</v>
      </c>
      <c r="U400" s="69">
        <f t="shared" si="27"/>
        <v>10.84137931</v>
      </c>
      <c r="V400" s="70">
        <f t="shared" si="28"/>
        <v>276.7175573</v>
      </c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  <c r="BT400" s="63"/>
      <c r="BU400" s="63"/>
      <c r="BV400" s="63"/>
      <c r="BW400" s="63"/>
      <c r="BX400" s="63"/>
      <c r="BY400" s="63"/>
      <c r="BZ400" s="63"/>
      <c r="CA400" s="63"/>
      <c r="CB400" s="63"/>
      <c r="CC400" s="63"/>
      <c r="CD400" s="63"/>
      <c r="CE400" s="63"/>
      <c r="CF400" s="63"/>
      <c r="CG400" s="63"/>
      <c r="CH400" s="63"/>
      <c r="CI400" s="63"/>
      <c r="CJ400" s="63"/>
      <c r="CK400" s="63"/>
      <c r="CL400" s="63"/>
      <c r="CM400" s="63"/>
      <c r="CN400" s="63"/>
      <c r="CO400" s="63"/>
      <c r="CP400" s="63"/>
      <c r="CQ400" s="63"/>
      <c r="CR400" s="63"/>
      <c r="CS400" s="63"/>
      <c r="CT400" s="63"/>
      <c r="CU400" s="63"/>
      <c r="CV400" s="63"/>
    </row>
    <row r="401">
      <c r="A401" s="66">
        <v>3.0</v>
      </c>
      <c r="B401" s="57">
        <v>46119.0</v>
      </c>
      <c r="C401" s="50" t="s">
        <v>1444</v>
      </c>
      <c r="D401" s="45" t="s">
        <v>200</v>
      </c>
      <c r="E401" s="47"/>
      <c r="F401" s="47"/>
      <c r="G401" s="47"/>
      <c r="H401" s="47"/>
      <c r="I401" s="47"/>
      <c r="J401" s="47"/>
      <c r="K401" s="45" t="s">
        <v>1445</v>
      </c>
      <c r="L401" s="47"/>
      <c r="M401" s="50">
        <v>6000.0</v>
      </c>
      <c r="N401" s="50">
        <v>116.0</v>
      </c>
      <c r="O401" s="50">
        <v>4.0</v>
      </c>
      <c r="P401" s="50">
        <v>250.0</v>
      </c>
      <c r="Q401" s="50" t="s">
        <v>73</v>
      </c>
      <c r="R401" s="50" t="s">
        <v>1441</v>
      </c>
      <c r="S401" s="50">
        <f t="shared" si="25"/>
        <v>14.5</v>
      </c>
      <c r="T401" s="50">
        <f t="shared" si="26"/>
        <v>157.2</v>
      </c>
      <c r="U401" s="69">
        <f t="shared" si="27"/>
        <v>10.84137931</v>
      </c>
      <c r="V401" s="70">
        <f t="shared" si="28"/>
        <v>553.4351145</v>
      </c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  <c r="BT401" s="63"/>
      <c r="BU401" s="63"/>
      <c r="BV401" s="63"/>
      <c r="BW401" s="63"/>
      <c r="BX401" s="63"/>
      <c r="BY401" s="63"/>
      <c r="BZ401" s="63"/>
      <c r="CA401" s="63"/>
      <c r="CB401" s="63"/>
      <c r="CC401" s="63"/>
      <c r="CD401" s="63"/>
      <c r="CE401" s="63"/>
      <c r="CF401" s="63"/>
      <c r="CG401" s="63"/>
      <c r="CH401" s="63"/>
      <c r="CI401" s="63"/>
      <c r="CJ401" s="63"/>
      <c r="CK401" s="63"/>
      <c r="CL401" s="63"/>
      <c r="CM401" s="63"/>
      <c r="CN401" s="63"/>
      <c r="CO401" s="63"/>
      <c r="CP401" s="63"/>
      <c r="CQ401" s="63"/>
      <c r="CR401" s="63"/>
      <c r="CS401" s="63"/>
      <c r="CT401" s="63"/>
      <c r="CU401" s="63"/>
      <c r="CV401" s="63"/>
    </row>
    <row r="402">
      <c r="A402" s="43">
        <v>21.0</v>
      </c>
      <c r="B402" s="43" t="s">
        <v>108</v>
      </c>
      <c r="C402" s="48" t="s">
        <v>1446</v>
      </c>
      <c r="D402" s="96" t="s">
        <v>110</v>
      </c>
      <c r="E402" s="47"/>
      <c r="F402" s="97">
        <v>5100.0</v>
      </c>
      <c r="G402" s="98" t="s">
        <v>111</v>
      </c>
      <c r="H402" s="97">
        <v>4000.0</v>
      </c>
      <c r="I402" s="99" t="s">
        <v>112</v>
      </c>
      <c r="J402" s="85"/>
      <c r="K402" s="56" t="s">
        <v>1447</v>
      </c>
      <c r="L402" s="76"/>
      <c r="M402" s="53">
        <v>4000.0</v>
      </c>
      <c r="N402" s="50">
        <v>118.0</v>
      </c>
      <c r="O402" s="50">
        <v>10.0</v>
      </c>
      <c r="P402" s="50">
        <v>210.0</v>
      </c>
      <c r="Q402" s="100" t="s">
        <v>115</v>
      </c>
      <c r="R402" s="50" t="s">
        <v>116</v>
      </c>
      <c r="S402" s="50">
        <f t="shared" si="25"/>
        <v>14.75</v>
      </c>
      <c r="T402" s="50">
        <f t="shared" si="26"/>
        <v>393</v>
      </c>
      <c r="U402" s="69">
        <f t="shared" si="27"/>
        <v>26.6440678</v>
      </c>
      <c r="V402" s="70">
        <f t="shared" si="28"/>
        <v>150.1272265</v>
      </c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</row>
    <row r="403">
      <c r="A403" s="43">
        <v>7.0</v>
      </c>
      <c r="B403" s="43" t="s">
        <v>108</v>
      </c>
      <c r="C403" s="48" t="s">
        <v>1448</v>
      </c>
      <c r="D403" s="96" t="s">
        <v>110</v>
      </c>
      <c r="E403" s="47"/>
      <c r="F403" s="97">
        <v>5100.0</v>
      </c>
      <c r="G403" s="98" t="s">
        <v>111</v>
      </c>
      <c r="H403" s="97">
        <v>5000.0</v>
      </c>
      <c r="I403" s="99" t="s">
        <v>112</v>
      </c>
      <c r="J403" s="85"/>
      <c r="K403" s="56" t="s">
        <v>1449</v>
      </c>
      <c r="L403" s="76"/>
      <c r="M403" s="53">
        <v>5000.0</v>
      </c>
      <c r="N403" s="50">
        <v>118.0</v>
      </c>
      <c r="O403" s="50">
        <v>10.0</v>
      </c>
      <c r="P403" s="50">
        <v>210.0</v>
      </c>
      <c r="Q403" s="100" t="s">
        <v>115</v>
      </c>
      <c r="R403" s="50" t="s">
        <v>116</v>
      </c>
      <c r="S403" s="50">
        <f t="shared" si="25"/>
        <v>14.75</v>
      </c>
      <c r="T403" s="50">
        <f t="shared" si="26"/>
        <v>393</v>
      </c>
      <c r="U403" s="69">
        <f t="shared" si="27"/>
        <v>26.6440678</v>
      </c>
      <c r="V403" s="70">
        <f t="shared" si="28"/>
        <v>187.6590331</v>
      </c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</row>
    <row r="404">
      <c r="A404" s="53">
        <v>6.0</v>
      </c>
      <c r="B404" s="43" t="s">
        <v>108</v>
      </c>
      <c r="C404" s="48" t="s">
        <v>1450</v>
      </c>
      <c r="D404" s="96" t="s">
        <v>110</v>
      </c>
      <c r="E404" s="47"/>
      <c r="F404" s="97">
        <v>5100.0</v>
      </c>
      <c r="G404" s="98" t="s">
        <v>111</v>
      </c>
      <c r="H404" s="97">
        <v>7400.0</v>
      </c>
      <c r="I404" s="99" t="s">
        <v>112</v>
      </c>
      <c r="J404" s="85"/>
      <c r="K404" s="56" t="s">
        <v>1451</v>
      </c>
      <c r="L404" s="47"/>
      <c r="M404" s="48">
        <v>7400.0</v>
      </c>
      <c r="N404" s="50">
        <v>118.0</v>
      </c>
      <c r="O404" s="50">
        <v>10.0</v>
      </c>
      <c r="P404" s="50">
        <v>210.0</v>
      </c>
      <c r="Q404" s="100" t="s">
        <v>115</v>
      </c>
      <c r="R404" s="50" t="s">
        <v>116</v>
      </c>
      <c r="S404" s="50">
        <f t="shared" si="25"/>
        <v>14.75</v>
      </c>
      <c r="T404" s="50">
        <f t="shared" si="26"/>
        <v>393</v>
      </c>
      <c r="U404" s="69">
        <f t="shared" si="27"/>
        <v>26.6440678</v>
      </c>
      <c r="V404" s="70">
        <f t="shared" si="28"/>
        <v>277.735369</v>
      </c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</row>
    <row r="405">
      <c r="A405" s="43">
        <v>1.0</v>
      </c>
      <c r="B405" s="43" t="s">
        <v>108</v>
      </c>
      <c r="C405" s="48" t="s">
        <v>1452</v>
      </c>
      <c r="D405" s="96" t="s">
        <v>110</v>
      </c>
      <c r="E405" s="47"/>
      <c r="F405" s="97">
        <v>5100.0</v>
      </c>
      <c r="G405" s="98" t="s">
        <v>111</v>
      </c>
      <c r="H405" s="97">
        <v>3700.0</v>
      </c>
      <c r="I405" s="99" t="s">
        <v>112</v>
      </c>
      <c r="J405" s="85"/>
      <c r="K405" s="56" t="s">
        <v>1453</v>
      </c>
      <c r="L405" s="76"/>
      <c r="M405" s="53">
        <v>3700.0</v>
      </c>
      <c r="N405" s="50">
        <v>118.0</v>
      </c>
      <c r="O405" s="50">
        <v>10.0</v>
      </c>
      <c r="P405" s="50">
        <v>210.0</v>
      </c>
      <c r="Q405" s="100" t="s">
        <v>115</v>
      </c>
      <c r="R405" s="50" t="s">
        <v>116</v>
      </c>
      <c r="S405" s="50">
        <f t="shared" si="25"/>
        <v>14.75</v>
      </c>
      <c r="T405" s="50">
        <f t="shared" si="26"/>
        <v>393</v>
      </c>
      <c r="U405" s="69">
        <f t="shared" si="27"/>
        <v>26.6440678</v>
      </c>
      <c r="V405" s="70">
        <f t="shared" si="28"/>
        <v>138.8676845</v>
      </c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</row>
    <row r="406">
      <c r="A406" s="53">
        <v>9.0</v>
      </c>
      <c r="B406" s="43" t="s">
        <v>108</v>
      </c>
      <c r="C406" s="48" t="s">
        <v>1454</v>
      </c>
      <c r="D406" s="96" t="s">
        <v>110</v>
      </c>
      <c r="E406" s="47"/>
      <c r="F406" s="97">
        <v>5100.0</v>
      </c>
      <c r="G406" s="98" t="s">
        <v>111</v>
      </c>
      <c r="H406" s="97">
        <v>5000.0</v>
      </c>
      <c r="I406" s="99" t="s">
        <v>112</v>
      </c>
      <c r="J406" s="85"/>
      <c r="K406" s="56" t="s">
        <v>1455</v>
      </c>
      <c r="L406" s="76"/>
      <c r="M406" s="53">
        <v>5000.0</v>
      </c>
      <c r="N406" s="50">
        <v>118.0</v>
      </c>
      <c r="O406" s="50">
        <v>10.0</v>
      </c>
      <c r="P406" s="50">
        <v>210.0</v>
      </c>
      <c r="Q406" s="100" t="s">
        <v>115</v>
      </c>
      <c r="R406" s="50" t="s">
        <v>116</v>
      </c>
      <c r="S406" s="50">
        <f t="shared" si="25"/>
        <v>14.75</v>
      </c>
      <c r="T406" s="50">
        <f t="shared" si="26"/>
        <v>393</v>
      </c>
      <c r="U406" s="69">
        <f t="shared" si="27"/>
        <v>26.6440678</v>
      </c>
      <c r="V406" s="70">
        <f t="shared" si="28"/>
        <v>187.6590331</v>
      </c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</row>
    <row r="407">
      <c r="A407" s="43">
        <v>1.0</v>
      </c>
      <c r="B407" s="43" t="s">
        <v>108</v>
      </c>
      <c r="C407" s="48" t="s">
        <v>1456</v>
      </c>
      <c r="D407" s="96" t="s">
        <v>110</v>
      </c>
      <c r="E407" s="47"/>
      <c r="F407" s="97">
        <v>5100.0</v>
      </c>
      <c r="G407" s="98" t="s">
        <v>111</v>
      </c>
      <c r="H407" s="97">
        <v>3700.0</v>
      </c>
      <c r="I407" s="99" t="s">
        <v>112</v>
      </c>
      <c r="J407" s="85"/>
      <c r="K407" s="56" t="s">
        <v>1457</v>
      </c>
      <c r="L407" s="76"/>
      <c r="M407" s="53">
        <v>3700.0</v>
      </c>
      <c r="N407" s="50">
        <v>118.0</v>
      </c>
      <c r="O407" s="50">
        <v>8.0</v>
      </c>
      <c r="P407" s="50">
        <v>210.0</v>
      </c>
      <c r="Q407" s="50" t="s">
        <v>303</v>
      </c>
      <c r="R407" s="50" t="s">
        <v>304</v>
      </c>
      <c r="S407" s="50">
        <f t="shared" si="25"/>
        <v>14.75</v>
      </c>
      <c r="T407" s="50">
        <f t="shared" si="26"/>
        <v>314.4</v>
      </c>
      <c r="U407" s="69">
        <f t="shared" si="27"/>
        <v>21.31525424</v>
      </c>
      <c r="V407" s="70">
        <f t="shared" si="28"/>
        <v>173.5846056</v>
      </c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</row>
    <row r="408">
      <c r="A408" s="43">
        <v>3.0</v>
      </c>
      <c r="B408" s="43" t="s">
        <v>108</v>
      </c>
      <c r="C408" s="48" t="s">
        <v>1458</v>
      </c>
      <c r="D408" s="96" t="s">
        <v>110</v>
      </c>
      <c r="E408" s="47"/>
      <c r="F408" s="97">
        <v>5100.0</v>
      </c>
      <c r="G408" s="98" t="s">
        <v>111</v>
      </c>
      <c r="H408" s="97">
        <v>7400.0</v>
      </c>
      <c r="I408" s="99" t="s">
        <v>112</v>
      </c>
      <c r="J408" s="85"/>
      <c r="K408" s="56" t="s">
        <v>1459</v>
      </c>
      <c r="L408" s="47"/>
      <c r="M408" s="48">
        <v>7400.0</v>
      </c>
      <c r="N408" s="50">
        <v>118.0</v>
      </c>
      <c r="O408" s="50">
        <v>8.0</v>
      </c>
      <c r="P408" s="50">
        <v>210.0</v>
      </c>
      <c r="Q408" s="50" t="s">
        <v>303</v>
      </c>
      <c r="R408" s="50" t="s">
        <v>304</v>
      </c>
      <c r="S408" s="50">
        <f t="shared" si="25"/>
        <v>14.75</v>
      </c>
      <c r="T408" s="50">
        <f t="shared" si="26"/>
        <v>314.4</v>
      </c>
      <c r="U408" s="69">
        <f t="shared" si="27"/>
        <v>21.31525424</v>
      </c>
      <c r="V408" s="70">
        <f t="shared" si="28"/>
        <v>347.1692112</v>
      </c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</row>
    <row r="409">
      <c r="A409" s="48">
        <v>1.0</v>
      </c>
      <c r="B409" s="43" t="s">
        <v>1382</v>
      </c>
      <c r="C409" s="53" t="s">
        <v>1460</v>
      </c>
      <c r="D409" s="248" t="s">
        <v>998</v>
      </c>
      <c r="E409" s="164"/>
      <c r="F409" s="164"/>
      <c r="G409" s="66"/>
      <c r="H409" s="249"/>
      <c r="I409" s="164"/>
      <c r="J409" s="164"/>
      <c r="K409" s="250" t="s">
        <v>999</v>
      </c>
      <c r="L409" s="50" t="s">
        <v>350</v>
      </c>
      <c r="M409" s="251">
        <v>21000.0</v>
      </c>
      <c r="N409" s="66">
        <v>69.0</v>
      </c>
      <c r="O409" s="66">
        <v>2.0</v>
      </c>
      <c r="P409" s="66">
        <v>235.0</v>
      </c>
      <c r="Q409" s="50" t="s">
        <v>63</v>
      </c>
      <c r="R409" s="66" t="s">
        <v>1000</v>
      </c>
      <c r="S409" s="50">
        <f t="shared" si="25"/>
        <v>8.625</v>
      </c>
      <c r="T409" s="50">
        <f t="shared" si="26"/>
        <v>78.6</v>
      </c>
      <c r="U409" s="69">
        <f t="shared" si="27"/>
        <v>9.113043478</v>
      </c>
      <c r="V409" s="70">
        <f t="shared" si="28"/>
        <v>2304.389313</v>
      </c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304"/>
      <c r="AH409" s="304"/>
      <c r="AI409" s="304"/>
      <c r="AJ409" s="304"/>
      <c r="AK409" s="304"/>
      <c r="AL409" s="304"/>
      <c r="AM409" s="304"/>
      <c r="AN409" s="304"/>
      <c r="AO409" s="304"/>
      <c r="AP409" s="304"/>
      <c r="AQ409" s="304"/>
      <c r="AR409" s="304"/>
      <c r="AS409" s="304"/>
      <c r="AT409" s="304"/>
      <c r="AU409" s="304"/>
      <c r="AV409" s="304"/>
      <c r="AW409" s="304"/>
      <c r="AX409" s="304"/>
      <c r="AY409" s="304"/>
      <c r="AZ409" s="304"/>
      <c r="BA409" s="304"/>
      <c r="BB409" s="304"/>
      <c r="BC409" s="304"/>
      <c r="BD409" s="304"/>
      <c r="BE409" s="304"/>
      <c r="BF409" s="304"/>
      <c r="BG409" s="304"/>
      <c r="BH409" s="304"/>
      <c r="BI409" s="304"/>
      <c r="BJ409" s="304"/>
      <c r="BK409" s="304"/>
      <c r="BL409" s="304"/>
      <c r="BM409" s="304"/>
      <c r="BN409" s="304"/>
      <c r="BO409" s="304"/>
      <c r="BP409" s="304"/>
      <c r="BQ409" s="304"/>
      <c r="BR409" s="304"/>
      <c r="BS409" s="304"/>
      <c r="BT409" s="304"/>
      <c r="BU409" s="304"/>
      <c r="BV409" s="304"/>
      <c r="BW409" s="304"/>
      <c r="BX409" s="304"/>
      <c r="BY409" s="304"/>
      <c r="BZ409" s="304"/>
      <c r="CA409" s="304"/>
      <c r="CB409" s="304"/>
      <c r="CC409" s="304"/>
      <c r="CD409" s="304"/>
      <c r="CE409" s="304"/>
      <c r="CF409" s="304"/>
      <c r="CG409" s="304"/>
      <c r="CH409" s="304"/>
      <c r="CI409" s="304"/>
      <c r="CJ409" s="304"/>
      <c r="CK409" s="304"/>
      <c r="CL409" s="304"/>
      <c r="CM409" s="304"/>
      <c r="CN409" s="304"/>
      <c r="CO409" s="304"/>
      <c r="CP409" s="304"/>
      <c r="CQ409" s="304"/>
      <c r="CR409" s="304"/>
      <c r="CS409" s="304"/>
      <c r="CT409" s="304"/>
      <c r="CU409" s="304"/>
      <c r="CV409" s="304"/>
    </row>
    <row r="410">
      <c r="A410" s="48">
        <v>2.0</v>
      </c>
      <c r="B410" s="43" t="s">
        <v>1382</v>
      </c>
      <c r="C410" s="53" t="s">
        <v>1461</v>
      </c>
      <c r="D410" s="248" t="s">
        <v>998</v>
      </c>
      <c r="E410" s="164"/>
      <c r="F410" s="164"/>
      <c r="G410" s="66"/>
      <c r="H410" s="249"/>
      <c r="I410" s="164"/>
      <c r="J410" s="164"/>
      <c r="K410" s="54" t="s">
        <v>1002</v>
      </c>
      <c r="L410" s="50" t="s">
        <v>350</v>
      </c>
      <c r="M410" s="251">
        <v>19536.0</v>
      </c>
      <c r="N410" s="66">
        <v>124.0</v>
      </c>
      <c r="O410" s="66">
        <v>4.0</v>
      </c>
      <c r="P410" s="66">
        <v>165.0</v>
      </c>
      <c r="Q410" s="50" t="s">
        <v>63</v>
      </c>
      <c r="R410" s="66" t="s">
        <v>1003</v>
      </c>
      <c r="S410" s="50">
        <f t="shared" si="25"/>
        <v>15.5</v>
      </c>
      <c r="T410" s="50">
        <f t="shared" si="26"/>
        <v>157.2</v>
      </c>
      <c r="U410" s="69">
        <f t="shared" si="27"/>
        <v>10.14193548</v>
      </c>
      <c r="V410" s="70">
        <f t="shared" si="28"/>
        <v>1926.259542</v>
      </c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304"/>
      <c r="AH410" s="304"/>
      <c r="AI410" s="304"/>
      <c r="AJ410" s="304"/>
      <c r="AK410" s="304"/>
      <c r="AL410" s="304"/>
      <c r="AM410" s="304"/>
      <c r="AN410" s="304"/>
      <c r="AO410" s="304"/>
      <c r="AP410" s="304"/>
      <c r="AQ410" s="304"/>
      <c r="AR410" s="304"/>
      <c r="AS410" s="304"/>
      <c r="AT410" s="304"/>
      <c r="AU410" s="304"/>
      <c r="AV410" s="304"/>
      <c r="AW410" s="304"/>
      <c r="AX410" s="304"/>
      <c r="AY410" s="304"/>
      <c r="AZ410" s="304"/>
      <c r="BA410" s="304"/>
      <c r="BB410" s="304"/>
      <c r="BC410" s="304"/>
      <c r="BD410" s="304"/>
      <c r="BE410" s="304"/>
      <c r="BF410" s="304"/>
      <c r="BG410" s="304"/>
      <c r="BH410" s="304"/>
      <c r="BI410" s="304"/>
      <c r="BJ410" s="304"/>
      <c r="BK410" s="304"/>
      <c r="BL410" s="304"/>
      <c r="BM410" s="304"/>
      <c r="BN410" s="304"/>
      <c r="BO410" s="304"/>
      <c r="BP410" s="304"/>
      <c r="BQ410" s="304"/>
      <c r="BR410" s="304"/>
      <c r="BS410" s="304"/>
      <c r="BT410" s="304"/>
      <c r="BU410" s="304"/>
      <c r="BV410" s="304"/>
      <c r="BW410" s="304"/>
      <c r="BX410" s="304"/>
      <c r="BY410" s="304"/>
      <c r="BZ410" s="304"/>
      <c r="CA410" s="304"/>
      <c r="CB410" s="304"/>
      <c r="CC410" s="304"/>
      <c r="CD410" s="304"/>
      <c r="CE410" s="304"/>
      <c r="CF410" s="304"/>
      <c r="CG410" s="304"/>
      <c r="CH410" s="304"/>
      <c r="CI410" s="304"/>
      <c r="CJ410" s="304"/>
      <c r="CK410" s="304"/>
      <c r="CL410" s="304"/>
      <c r="CM410" s="304"/>
      <c r="CN410" s="304"/>
      <c r="CO410" s="304"/>
      <c r="CP410" s="304"/>
      <c r="CQ410" s="304"/>
      <c r="CR410" s="304"/>
      <c r="CS410" s="304"/>
      <c r="CT410" s="304"/>
      <c r="CU410" s="304"/>
      <c r="CV410" s="304"/>
    </row>
    <row r="411">
      <c r="A411" s="50">
        <v>16.0</v>
      </c>
      <c r="B411" s="43" t="s">
        <v>245</v>
      </c>
      <c r="C411" s="53" t="s">
        <v>1462</v>
      </c>
      <c r="D411" s="45" t="s">
        <v>247</v>
      </c>
      <c r="E411" s="45"/>
      <c r="F411" s="43" t="s">
        <v>321</v>
      </c>
      <c r="G411" s="137">
        <v>46060.0</v>
      </c>
      <c r="H411" s="48">
        <v>5000.0</v>
      </c>
      <c r="I411" s="56"/>
      <c r="J411" s="138" t="s">
        <v>1463</v>
      </c>
      <c r="K411" s="56" t="s">
        <v>1464</v>
      </c>
      <c r="L411" s="50" t="s">
        <v>252</v>
      </c>
      <c r="M411" s="48">
        <v>5000.0</v>
      </c>
      <c r="N411" s="50">
        <v>89.0</v>
      </c>
      <c r="O411" s="50">
        <v>1.0</v>
      </c>
      <c r="P411" s="50">
        <v>160.0</v>
      </c>
      <c r="Q411" s="50" t="s">
        <v>63</v>
      </c>
      <c r="R411" s="50" t="s">
        <v>254</v>
      </c>
      <c r="S411" s="50">
        <f t="shared" si="25"/>
        <v>11.125</v>
      </c>
      <c r="T411" s="50">
        <f t="shared" si="26"/>
        <v>39.3</v>
      </c>
      <c r="U411" s="69">
        <f t="shared" si="27"/>
        <v>3.53258427</v>
      </c>
      <c r="V411" s="70">
        <f t="shared" si="28"/>
        <v>1415.394402</v>
      </c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  <c r="AQ411" s="65"/>
      <c r="AR411" s="65"/>
      <c r="AS411" s="65"/>
      <c r="AT411" s="65"/>
      <c r="AU411" s="65"/>
      <c r="AV411" s="65"/>
      <c r="AW411" s="65"/>
      <c r="AX411" s="65"/>
      <c r="AY411" s="65"/>
      <c r="AZ411" s="65"/>
      <c r="BA411" s="65"/>
      <c r="BB411" s="65"/>
      <c r="BC411" s="65"/>
      <c r="BD411" s="65"/>
      <c r="BE411" s="65"/>
      <c r="BF411" s="65"/>
      <c r="BG411" s="65"/>
      <c r="BH411" s="65"/>
      <c r="BI411" s="65"/>
      <c r="BJ411" s="65"/>
      <c r="BK411" s="65"/>
      <c r="BL411" s="65"/>
      <c r="BM411" s="65"/>
      <c r="BN411" s="65"/>
      <c r="BO411" s="65"/>
      <c r="BP411" s="65"/>
      <c r="BQ411" s="65"/>
      <c r="BR411" s="65"/>
      <c r="BS411" s="65"/>
      <c r="BT411" s="65"/>
      <c r="BU411" s="65"/>
      <c r="BV411" s="65"/>
      <c r="BW411" s="65"/>
      <c r="BX411" s="65"/>
      <c r="BY411" s="65"/>
      <c r="BZ411" s="65"/>
      <c r="CA411" s="65"/>
      <c r="CB411" s="65"/>
      <c r="CC411" s="65"/>
      <c r="CD411" s="65"/>
      <c r="CE411" s="65"/>
      <c r="CF411" s="65"/>
      <c r="CG411" s="65"/>
      <c r="CH411" s="65"/>
      <c r="CI411" s="65"/>
      <c r="CJ411" s="65"/>
      <c r="CK411" s="65"/>
      <c r="CL411" s="65"/>
      <c r="CM411" s="65"/>
      <c r="CN411" s="65"/>
      <c r="CO411" s="65"/>
      <c r="CP411" s="65"/>
      <c r="CQ411" s="65"/>
      <c r="CR411" s="65"/>
      <c r="CS411" s="65"/>
      <c r="CT411" s="65"/>
      <c r="CU411" s="65"/>
      <c r="CV411" s="65"/>
    </row>
    <row r="412">
      <c r="A412" s="50">
        <v>19.0</v>
      </c>
      <c r="B412" s="43" t="s">
        <v>245</v>
      </c>
      <c r="C412" s="53" t="s">
        <v>1465</v>
      </c>
      <c r="D412" s="45" t="s">
        <v>247</v>
      </c>
      <c r="E412" s="45"/>
      <c r="F412" s="43" t="s">
        <v>248</v>
      </c>
      <c r="G412" s="137">
        <v>46088.0</v>
      </c>
      <c r="H412" s="48">
        <v>6000.0</v>
      </c>
      <c r="I412" s="45"/>
      <c r="J412" s="138" t="s">
        <v>250</v>
      </c>
      <c r="K412" s="56" t="s">
        <v>1466</v>
      </c>
      <c r="L412" s="50" t="s">
        <v>252</v>
      </c>
      <c r="M412" s="48">
        <v>6000.0</v>
      </c>
      <c r="N412" s="50">
        <v>89.0</v>
      </c>
      <c r="O412" s="50">
        <v>1.0</v>
      </c>
      <c r="P412" s="50">
        <v>160.0</v>
      </c>
      <c r="Q412" s="50" t="s">
        <v>63</v>
      </c>
      <c r="R412" s="50" t="s">
        <v>254</v>
      </c>
      <c r="S412" s="50">
        <f t="shared" si="25"/>
        <v>11.125</v>
      </c>
      <c r="T412" s="50">
        <f t="shared" si="26"/>
        <v>39.3</v>
      </c>
      <c r="U412" s="69">
        <f t="shared" si="27"/>
        <v>3.53258427</v>
      </c>
      <c r="V412" s="70">
        <f t="shared" si="28"/>
        <v>1698.473282</v>
      </c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  <c r="AQ412" s="65"/>
      <c r="AR412" s="65"/>
      <c r="AS412" s="65"/>
      <c r="AT412" s="65"/>
      <c r="AU412" s="65"/>
      <c r="AV412" s="65"/>
      <c r="AW412" s="65"/>
      <c r="AX412" s="65"/>
      <c r="AY412" s="65"/>
      <c r="AZ412" s="65"/>
      <c r="BA412" s="65"/>
      <c r="BB412" s="65"/>
      <c r="BC412" s="65"/>
      <c r="BD412" s="65"/>
      <c r="BE412" s="65"/>
      <c r="BF412" s="65"/>
      <c r="BG412" s="65"/>
      <c r="BH412" s="65"/>
      <c r="BI412" s="65"/>
      <c r="BJ412" s="65"/>
      <c r="BK412" s="65"/>
      <c r="BL412" s="65"/>
      <c r="BM412" s="65"/>
      <c r="BN412" s="65"/>
      <c r="BO412" s="65"/>
      <c r="BP412" s="65"/>
      <c r="BQ412" s="65"/>
      <c r="BR412" s="65"/>
      <c r="BS412" s="65"/>
      <c r="BT412" s="65"/>
      <c r="BU412" s="65"/>
      <c r="BV412" s="65"/>
      <c r="BW412" s="65"/>
      <c r="BX412" s="65"/>
      <c r="BY412" s="65"/>
      <c r="BZ412" s="65"/>
      <c r="CA412" s="65"/>
      <c r="CB412" s="65"/>
      <c r="CC412" s="65"/>
      <c r="CD412" s="65"/>
      <c r="CE412" s="65"/>
      <c r="CF412" s="65"/>
      <c r="CG412" s="65"/>
      <c r="CH412" s="65"/>
      <c r="CI412" s="65"/>
      <c r="CJ412" s="65"/>
      <c r="CK412" s="65"/>
      <c r="CL412" s="65"/>
      <c r="CM412" s="65"/>
      <c r="CN412" s="65"/>
      <c r="CO412" s="65"/>
      <c r="CP412" s="65"/>
      <c r="CQ412" s="65"/>
      <c r="CR412" s="65"/>
      <c r="CS412" s="65"/>
      <c r="CT412" s="65"/>
      <c r="CU412" s="65"/>
      <c r="CV412" s="65"/>
    </row>
    <row r="413">
      <c r="A413" s="48">
        <v>20.0</v>
      </c>
      <c r="B413" s="43" t="s">
        <v>245</v>
      </c>
      <c r="C413" s="53" t="s">
        <v>1467</v>
      </c>
      <c r="D413" s="45" t="s">
        <v>247</v>
      </c>
      <c r="E413" s="45"/>
      <c r="F413" s="43" t="s">
        <v>248</v>
      </c>
      <c r="G413" s="137">
        <v>46088.0</v>
      </c>
      <c r="H413" s="48">
        <v>5000.0</v>
      </c>
      <c r="I413" s="45"/>
      <c r="J413" s="138" t="s">
        <v>250</v>
      </c>
      <c r="K413" s="56" t="s">
        <v>1468</v>
      </c>
      <c r="L413" s="50" t="s">
        <v>252</v>
      </c>
      <c r="M413" s="48">
        <v>5000.0</v>
      </c>
      <c r="N413" s="50">
        <v>89.0</v>
      </c>
      <c r="O413" s="50">
        <v>1.0</v>
      </c>
      <c r="P413" s="50">
        <v>160.0</v>
      </c>
      <c r="Q413" s="50" t="s">
        <v>63</v>
      </c>
      <c r="R413" s="50" t="s">
        <v>254</v>
      </c>
      <c r="S413" s="50">
        <f t="shared" si="25"/>
        <v>11.125</v>
      </c>
      <c r="T413" s="50">
        <f t="shared" si="26"/>
        <v>39.3</v>
      </c>
      <c r="U413" s="69">
        <f t="shared" si="27"/>
        <v>3.53258427</v>
      </c>
      <c r="V413" s="70">
        <f t="shared" si="28"/>
        <v>1415.394402</v>
      </c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  <c r="AQ413" s="65"/>
      <c r="AR413" s="65"/>
      <c r="AS413" s="65"/>
      <c r="AT413" s="65"/>
      <c r="AU413" s="65"/>
      <c r="AV413" s="65"/>
      <c r="AW413" s="65"/>
      <c r="AX413" s="65"/>
      <c r="AY413" s="65"/>
      <c r="AZ413" s="65"/>
      <c r="BA413" s="65"/>
      <c r="BB413" s="65"/>
      <c r="BC413" s="65"/>
      <c r="BD413" s="65"/>
      <c r="BE413" s="65"/>
      <c r="BF413" s="65"/>
      <c r="BG413" s="65"/>
      <c r="BH413" s="65"/>
      <c r="BI413" s="65"/>
      <c r="BJ413" s="65"/>
      <c r="BK413" s="65"/>
      <c r="BL413" s="65"/>
      <c r="BM413" s="65"/>
      <c r="BN413" s="65"/>
      <c r="BO413" s="65"/>
      <c r="BP413" s="65"/>
      <c r="BQ413" s="65"/>
      <c r="BR413" s="65"/>
      <c r="BS413" s="65"/>
      <c r="BT413" s="65"/>
      <c r="BU413" s="65"/>
      <c r="BV413" s="65"/>
      <c r="BW413" s="65"/>
      <c r="BX413" s="65"/>
      <c r="BY413" s="65"/>
      <c r="BZ413" s="65"/>
      <c r="CA413" s="65"/>
      <c r="CB413" s="65"/>
      <c r="CC413" s="65"/>
      <c r="CD413" s="65"/>
      <c r="CE413" s="65"/>
      <c r="CF413" s="65"/>
      <c r="CG413" s="65"/>
      <c r="CH413" s="65"/>
      <c r="CI413" s="65"/>
      <c r="CJ413" s="65"/>
      <c r="CK413" s="65"/>
      <c r="CL413" s="65"/>
      <c r="CM413" s="65"/>
      <c r="CN413" s="65"/>
      <c r="CO413" s="65"/>
      <c r="CP413" s="65"/>
      <c r="CQ413" s="65"/>
      <c r="CR413" s="65"/>
      <c r="CS413" s="65"/>
      <c r="CT413" s="65"/>
      <c r="CU413" s="65"/>
      <c r="CV413" s="65"/>
    </row>
    <row r="414">
      <c r="A414" s="48">
        <v>23.0</v>
      </c>
      <c r="B414" s="43" t="s">
        <v>261</v>
      </c>
      <c r="C414" s="53" t="s">
        <v>1469</v>
      </c>
      <c r="D414" s="45" t="s">
        <v>247</v>
      </c>
      <c r="E414" s="71"/>
      <c r="F414" s="48" t="s">
        <v>265</v>
      </c>
      <c r="G414" s="53" t="s">
        <v>266</v>
      </c>
      <c r="H414" s="53">
        <v>3000.0</v>
      </c>
      <c r="I414" s="71"/>
      <c r="J414" s="138"/>
      <c r="K414" s="56" t="s">
        <v>1470</v>
      </c>
      <c r="L414" s="50" t="s">
        <v>252</v>
      </c>
      <c r="M414" s="48">
        <v>3000.0</v>
      </c>
      <c r="N414" s="50">
        <v>89.0</v>
      </c>
      <c r="O414" s="50">
        <v>1.0</v>
      </c>
      <c r="P414" s="50">
        <v>160.0</v>
      </c>
      <c r="Q414" s="50" t="s">
        <v>63</v>
      </c>
      <c r="R414" s="50" t="s">
        <v>254</v>
      </c>
      <c r="S414" s="50">
        <f t="shared" si="25"/>
        <v>11.125</v>
      </c>
      <c r="T414" s="50">
        <f t="shared" si="26"/>
        <v>39.3</v>
      </c>
      <c r="U414" s="69">
        <f t="shared" si="27"/>
        <v>3.53258427</v>
      </c>
      <c r="V414" s="70">
        <f t="shared" si="28"/>
        <v>849.2366412</v>
      </c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  <c r="BW414" s="40"/>
      <c r="BX414" s="40"/>
      <c r="BY414" s="40"/>
      <c r="BZ414" s="40"/>
      <c r="CA414" s="40"/>
      <c r="CB414" s="40"/>
      <c r="CC414" s="40"/>
      <c r="CD414" s="40"/>
      <c r="CE414" s="40"/>
      <c r="CF414" s="40"/>
      <c r="CG414" s="40"/>
      <c r="CH414" s="40"/>
      <c r="CI414" s="40"/>
      <c r="CJ414" s="40"/>
      <c r="CK414" s="40"/>
      <c r="CL414" s="40"/>
      <c r="CM414" s="40"/>
      <c r="CN414" s="40"/>
      <c r="CO414" s="40"/>
      <c r="CP414" s="40"/>
      <c r="CQ414" s="40"/>
      <c r="CR414" s="40"/>
      <c r="CS414" s="40"/>
      <c r="CT414" s="40"/>
      <c r="CU414" s="40"/>
      <c r="CV414" s="40"/>
    </row>
    <row r="415">
      <c r="A415" s="48">
        <v>14.0</v>
      </c>
      <c r="B415" s="43" t="s">
        <v>245</v>
      </c>
      <c r="C415" s="48" t="s">
        <v>1471</v>
      </c>
      <c r="D415" s="45" t="s">
        <v>247</v>
      </c>
      <c r="E415" s="45"/>
      <c r="F415" s="43" t="s">
        <v>248</v>
      </c>
      <c r="G415" s="137">
        <v>46088.0</v>
      </c>
      <c r="H415" s="48">
        <v>10000.0</v>
      </c>
      <c r="I415" s="45"/>
      <c r="J415" s="138" t="s">
        <v>1463</v>
      </c>
      <c r="K415" s="56" t="s">
        <v>1472</v>
      </c>
      <c r="L415" s="50" t="s">
        <v>252</v>
      </c>
      <c r="M415" s="48">
        <v>10000.0</v>
      </c>
      <c r="N415" s="100">
        <v>92.0</v>
      </c>
      <c r="O415" s="100">
        <v>4.0</v>
      </c>
      <c r="P415" s="100">
        <v>140.0</v>
      </c>
      <c r="Q415" s="50" t="s">
        <v>63</v>
      </c>
      <c r="R415" s="100" t="s">
        <v>366</v>
      </c>
      <c r="S415" s="50">
        <f t="shared" si="25"/>
        <v>11.5</v>
      </c>
      <c r="T415" s="50">
        <f t="shared" si="26"/>
        <v>157.2</v>
      </c>
      <c r="U415" s="69">
        <f t="shared" si="27"/>
        <v>13.66956522</v>
      </c>
      <c r="V415" s="70">
        <f t="shared" si="28"/>
        <v>731.5521628</v>
      </c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  <c r="AQ415" s="65"/>
      <c r="AR415" s="65"/>
      <c r="AS415" s="65"/>
      <c r="AT415" s="65"/>
      <c r="AU415" s="65"/>
      <c r="AV415" s="65"/>
      <c r="AW415" s="65"/>
      <c r="AX415" s="65"/>
      <c r="AY415" s="65"/>
      <c r="AZ415" s="65"/>
      <c r="BA415" s="65"/>
      <c r="BB415" s="65"/>
      <c r="BC415" s="65"/>
      <c r="BD415" s="65"/>
      <c r="BE415" s="65"/>
      <c r="BF415" s="65"/>
      <c r="BG415" s="65"/>
      <c r="BH415" s="65"/>
      <c r="BI415" s="65"/>
      <c r="BJ415" s="65"/>
      <c r="BK415" s="65"/>
      <c r="BL415" s="65"/>
      <c r="BM415" s="65"/>
      <c r="BN415" s="65"/>
      <c r="BO415" s="65"/>
      <c r="BP415" s="65"/>
      <c r="BQ415" s="65"/>
      <c r="BR415" s="65"/>
      <c r="BS415" s="65"/>
      <c r="BT415" s="65"/>
      <c r="BU415" s="65"/>
      <c r="BV415" s="65"/>
      <c r="BW415" s="65"/>
      <c r="BX415" s="65"/>
      <c r="BY415" s="65"/>
      <c r="BZ415" s="65"/>
      <c r="CA415" s="65"/>
      <c r="CB415" s="65"/>
      <c r="CC415" s="65"/>
      <c r="CD415" s="65"/>
      <c r="CE415" s="65"/>
      <c r="CF415" s="65"/>
      <c r="CG415" s="65"/>
      <c r="CH415" s="65"/>
      <c r="CI415" s="65"/>
      <c r="CJ415" s="65"/>
      <c r="CK415" s="65"/>
      <c r="CL415" s="65"/>
      <c r="CM415" s="65"/>
      <c r="CN415" s="65"/>
      <c r="CO415" s="65"/>
      <c r="CP415" s="65"/>
      <c r="CQ415" s="65"/>
      <c r="CR415" s="65"/>
      <c r="CS415" s="65"/>
      <c r="CT415" s="65"/>
      <c r="CU415" s="65"/>
      <c r="CV415" s="65"/>
    </row>
    <row r="416">
      <c r="A416" s="48">
        <v>1.0</v>
      </c>
      <c r="B416" s="43" t="s">
        <v>346</v>
      </c>
      <c r="C416" s="43" t="s">
        <v>1473</v>
      </c>
      <c r="D416" s="305" t="s">
        <v>58</v>
      </c>
      <c r="E416" s="51"/>
      <c r="F416" s="106" t="s">
        <v>1474</v>
      </c>
      <c r="G416" s="106" t="s">
        <v>1436</v>
      </c>
      <c r="H416" s="106">
        <v>15000.0</v>
      </c>
      <c r="I416" s="51"/>
      <c r="J416" s="51"/>
      <c r="K416" s="51" t="s">
        <v>1475</v>
      </c>
      <c r="L416" s="51"/>
      <c r="M416" s="43">
        <v>15000.0</v>
      </c>
      <c r="N416" s="136">
        <v>72.0</v>
      </c>
      <c r="O416" s="136">
        <v>28.0</v>
      </c>
      <c r="P416" s="136">
        <v>145.0</v>
      </c>
      <c r="Q416" s="100" t="s">
        <v>63</v>
      </c>
      <c r="R416" s="136" t="s">
        <v>64</v>
      </c>
      <c r="S416" s="50">
        <f t="shared" si="25"/>
        <v>9</v>
      </c>
      <c r="T416" s="50">
        <f t="shared" si="26"/>
        <v>1100.4</v>
      </c>
      <c r="U416" s="69">
        <f t="shared" si="27"/>
        <v>122.2666667</v>
      </c>
      <c r="V416" s="70">
        <f t="shared" si="28"/>
        <v>122.6826609</v>
      </c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7"/>
      <c r="BU416" s="37"/>
      <c r="BV416" s="37"/>
      <c r="BW416" s="37"/>
      <c r="BX416" s="37"/>
      <c r="BY416" s="37"/>
      <c r="BZ416" s="37"/>
      <c r="CA416" s="37"/>
      <c r="CB416" s="37"/>
      <c r="CC416" s="37"/>
      <c r="CD416" s="37"/>
      <c r="CE416" s="37"/>
      <c r="CF416" s="37"/>
      <c r="CG416" s="37"/>
      <c r="CH416" s="37"/>
      <c r="CI416" s="37"/>
      <c r="CJ416" s="37"/>
      <c r="CK416" s="37"/>
      <c r="CL416" s="37"/>
      <c r="CM416" s="37"/>
      <c r="CN416" s="37"/>
      <c r="CO416" s="37"/>
      <c r="CP416" s="37"/>
      <c r="CQ416" s="37"/>
      <c r="CR416" s="37"/>
      <c r="CS416" s="37"/>
      <c r="CT416" s="37"/>
      <c r="CU416" s="37"/>
      <c r="CV416" s="37"/>
    </row>
    <row r="417">
      <c r="A417" s="48">
        <v>4.0</v>
      </c>
      <c r="B417" s="43" t="s">
        <v>562</v>
      </c>
      <c r="C417" s="53" t="s">
        <v>1476</v>
      </c>
      <c r="D417" s="56" t="s">
        <v>1477</v>
      </c>
      <c r="E417" s="45"/>
      <c r="F417" s="45"/>
      <c r="G417" s="45"/>
      <c r="H417" s="45"/>
      <c r="I417" s="45"/>
      <c r="J417" s="71"/>
      <c r="K417" s="56" t="s">
        <v>1478</v>
      </c>
      <c r="L417" s="50" t="s">
        <v>728</v>
      </c>
      <c r="M417" s="50">
        <v>3000.0</v>
      </c>
      <c r="N417" s="100">
        <v>92.0</v>
      </c>
      <c r="O417" s="100">
        <v>6.0</v>
      </c>
      <c r="P417" s="100">
        <v>125.0</v>
      </c>
      <c r="Q417" s="100" t="s">
        <v>63</v>
      </c>
      <c r="R417" s="306" t="s">
        <v>1479</v>
      </c>
      <c r="S417" s="50">
        <f t="shared" si="25"/>
        <v>11.5</v>
      </c>
      <c r="T417" s="50">
        <f t="shared" si="26"/>
        <v>235.8</v>
      </c>
      <c r="U417" s="69">
        <f t="shared" si="27"/>
        <v>20.50434783</v>
      </c>
      <c r="V417" s="70">
        <f t="shared" si="28"/>
        <v>146.3104326</v>
      </c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  <c r="BW417" s="40"/>
      <c r="BX417" s="40"/>
      <c r="BY417" s="40"/>
      <c r="BZ417" s="40"/>
      <c r="CA417" s="40"/>
      <c r="CB417" s="40"/>
      <c r="CC417" s="40"/>
      <c r="CD417" s="40"/>
      <c r="CE417" s="40"/>
      <c r="CF417" s="40"/>
      <c r="CG417" s="40"/>
      <c r="CH417" s="40"/>
      <c r="CI417" s="40"/>
      <c r="CJ417" s="40"/>
      <c r="CK417" s="40"/>
      <c r="CL417" s="40"/>
      <c r="CM417" s="40"/>
      <c r="CN417" s="40"/>
      <c r="CO417" s="40"/>
      <c r="CP417" s="40"/>
      <c r="CQ417" s="40"/>
      <c r="CR417" s="40"/>
      <c r="CS417" s="40"/>
      <c r="CT417" s="40"/>
      <c r="CU417" s="40"/>
      <c r="CV417" s="40"/>
    </row>
    <row r="418">
      <c r="A418" s="48">
        <v>3.0</v>
      </c>
      <c r="B418" s="43" t="s">
        <v>562</v>
      </c>
      <c r="C418" s="53" t="s">
        <v>1480</v>
      </c>
      <c r="D418" s="56" t="s">
        <v>1477</v>
      </c>
      <c r="E418" s="45"/>
      <c r="F418" s="45"/>
      <c r="G418" s="45"/>
      <c r="H418" s="45"/>
      <c r="I418" s="45"/>
      <c r="J418" s="71"/>
      <c r="K418" s="56" t="s">
        <v>1481</v>
      </c>
      <c r="L418" s="50" t="s">
        <v>728</v>
      </c>
      <c r="M418" s="50">
        <v>3000.0</v>
      </c>
      <c r="N418" s="43">
        <v>85.0</v>
      </c>
      <c r="O418" s="43">
        <v>4.0</v>
      </c>
      <c r="P418" s="43">
        <v>210.0</v>
      </c>
      <c r="Q418" s="50" t="s">
        <v>63</v>
      </c>
      <c r="R418" s="66" t="s">
        <v>1482</v>
      </c>
      <c r="S418" s="50">
        <f t="shared" si="25"/>
        <v>10.625</v>
      </c>
      <c r="T418" s="50">
        <f t="shared" si="26"/>
        <v>157.2</v>
      </c>
      <c r="U418" s="69">
        <f t="shared" si="27"/>
        <v>14.79529412</v>
      </c>
      <c r="V418" s="70">
        <f t="shared" si="28"/>
        <v>202.7671756</v>
      </c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  <c r="BW418" s="40"/>
      <c r="BX418" s="40"/>
      <c r="BY418" s="40"/>
      <c r="BZ418" s="40"/>
      <c r="CA418" s="40"/>
      <c r="CB418" s="40"/>
      <c r="CC418" s="40"/>
      <c r="CD418" s="40"/>
      <c r="CE418" s="40"/>
      <c r="CF418" s="40"/>
      <c r="CG418" s="40"/>
      <c r="CH418" s="40"/>
      <c r="CI418" s="40"/>
      <c r="CJ418" s="40"/>
      <c r="CK418" s="40"/>
      <c r="CL418" s="40"/>
      <c r="CM418" s="40"/>
      <c r="CN418" s="40"/>
      <c r="CO418" s="40"/>
      <c r="CP418" s="40"/>
      <c r="CQ418" s="40"/>
      <c r="CR418" s="40"/>
      <c r="CS418" s="40"/>
      <c r="CT418" s="40"/>
      <c r="CU418" s="40"/>
      <c r="CV418" s="40"/>
    </row>
    <row r="419">
      <c r="A419" s="48">
        <v>6.0</v>
      </c>
      <c r="B419" s="43" t="s">
        <v>562</v>
      </c>
      <c r="C419" s="53" t="s">
        <v>1483</v>
      </c>
      <c r="D419" s="56" t="s">
        <v>1477</v>
      </c>
      <c r="E419" s="45"/>
      <c r="F419" s="45"/>
      <c r="G419" s="45"/>
      <c r="H419" s="45"/>
      <c r="I419" s="45"/>
      <c r="J419" s="71"/>
      <c r="K419" s="56" t="s">
        <v>1484</v>
      </c>
      <c r="L419" s="50" t="s">
        <v>728</v>
      </c>
      <c r="M419" s="50">
        <v>3000.0</v>
      </c>
      <c r="N419" s="43">
        <v>85.0</v>
      </c>
      <c r="O419" s="43">
        <v>4.0</v>
      </c>
      <c r="P419" s="43">
        <v>210.0</v>
      </c>
      <c r="Q419" s="50" t="s">
        <v>63</v>
      </c>
      <c r="R419" s="66" t="s">
        <v>1482</v>
      </c>
      <c r="S419" s="50">
        <f t="shared" si="25"/>
        <v>10.625</v>
      </c>
      <c r="T419" s="50">
        <f t="shared" si="26"/>
        <v>157.2</v>
      </c>
      <c r="U419" s="69">
        <f t="shared" si="27"/>
        <v>14.79529412</v>
      </c>
      <c r="V419" s="70">
        <f t="shared" si="28"/>
        <v>202.7671756</v>
      </c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  <c r="BW419" s="40"/>
      <c r="BX419" s="40"/>
      <c r="BY419" s="40"/>
      <c r="BZ419" s="40"/>
      <c r="CA419" s="40"/>
      <c r="CB419" s="40"/>
      <c r="CC419" s="40"/>
      <c r="CD419" s="40"/>
      <c r="CE419" s="40"/>
      <c r="CF419" s="40"/>
      <c r="CG419" s="40"/>
      <c r="CH419" s="40"/>
      <c r="CI419" s="40"/>
      <c r="CJ419" s="40"/>
      <c r="CK419" s="40"/>
      <c r="CL419" s="40"/>
      <c r="CM419" s="40"/>
      <c r="CN419" s="40"/>
      <c r="CO419" s="40"/>
      <c r="CP419" s="40"/>
      <c r="CQ419" s="40"/>
      <c r="CR419" s="40"/>
      <c r="CS419" s="40"/>
      <c r="CT419" s="40"/>
      <c r="CU419" s="40"/>
      <c r="CV419" s="40"/>
    </row>
    <row r="420">
      <c r="A420" s="48">
        <v>2.0</v>
      </c>
      <c r="B420" s="43" t="s">
        <v>562</v>
      </c>
      <c r="C420" s="53" t="s">
        <v>1485</v>
      </c>
      <c r="D420" s="56" t="s">
        <v>1477</v>
      </c>
      <c r="E420" s="45"/>
      <c r="F420" s="45"/>
      <c r="G420" s="45"/>
      <c r="H420" s="45"/>
      <c r="I420" s="45"/>
      <c r="J420" s="45"/>
      <c r="K420" s="56" t="s">
        <v>1486</v>
      </c>
      <c r="L420" s="50" t="s">
        <v>728</v>
      </c>
      <c r="M420" s="50">
        <v>3000.0</v>
      </c>
      <c r="N420" s="50">
        <v>69.0</v>
      </c>
      <c r="O420" s="50">
        <v>5.0</v>
      </c>
      <c r="P420" s="50">
        <v>175.0</v>
      </c>
      <c r="Q420" s="50" t="s">
        <v>63</v>
      </c>
      <c r="R420" s="50" t="s">
        <v>1487</v>
      </c>
      <c r="S420" s="50">
        <f t="shared" si="25"/>
        <v>8.625</v>
      </c>
      <c r="T420" s="50">
        <f t="shared" si="26"/>
        <v>196.5</v>
      </c>
      <c r="U420" s="69">
        <f t="shared" si="27"/>
        <v>22.7826087</v>
      </c>
      <c r="V420" s="70">
        <f t="shared" si="28"/>
        <v>131.6793893</v>
      </c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  <c r="BW420" s="40"/>
      <c r="BX420" s="40"/>
      <c r="BY420" s="40"/>
      <c r="BZ420" s="40"/>
      <c r="CA420" s="40"/>
      <c r="CB420" s="40"/>
      <c r="CC420" s="40"/>
      <c r="CD420" s="40"/>
      <c r="CE420" s="40"/>
      <c r="CF420" s="40"/>
      <c r="CG420" s="40"/>
      <c r="CH420" s="40"/>
      <c r="CI420" s="40"/>
      <c r="CJ420" s="40"/>
      <c r="CK420" s="40"/>
      <c r="CL420" s="40"/>
      <c r="CM420" s="40"/>
      <c r="CN420" s="40"/>
      <c r="CO420" s="40"/>
      <c r="CP420" s="40"/>
      <c r="CQ420" s="40"/>
      <c r="CR420" s="40"/>
      <c r="CS420" s="40"/>
      <c r="CT420" s="40"/>
      <c r="CU420" s="40"/>
      <c r="CV420" s="40"/>
    </row>
    <row r="421">
      <c r="A421" s="48">
        <v>1.0</v>
      </c>
      <c r="B421" s="43" t="s">
        <v>562</v>
      </c>
      <c r="C421" s="53" t="s">
        <v>1488</v>
      </c>
      <c r="D421" s="56" t="s">
        <v>1477</v>
      </c>
      <c r="E421" s="45"/>
      <c r="F421" s="45"/>
      <c r="G421" s="45"/>
      <c r="H421" s="45"/>
      <c r="I421" s="45"/>
      <c r="J421" s="71"/>
      <c r="K421" s="56" t="s">
        <v>1489</v>
      </c>
      <c r="L421" s="50" t="s">
        <v>728</v>
      </c>
      <c r="M421" s="50">
        <v>3000.0</v>
      </c>
      <c r="N421" s="50">
        <v>69.0</v>
      </c>
      <c r="O421" s="50">
        <v>5.0</v>
      </c>
      <c r="P421" s="50">
        <v>175.0</v>
      </c>
      <c r="Q421" s="50" t="s">
        <v>63</v>
      </c>
      <c r="R421" s="50" t="s">
        <v>1487</v>
      </c>
      <c r="S421" s="50">
        <f t="shared" si="25"/>
        <v>8.625</v>
      </c>
      <c r="T421" s="50">
        <f t="shared" si="26"/>
        <v>196.5</v>
      </c>
      <c r="U421" s="69">
        <f t="shared" si="27"/>
        <v>22.7826087</v>
      </c>
      <c r="V421" s="70">
        <f t="shared" si="28"/>
        <v>131.6793893</v>
      </c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  <c r="BW421" s="40"/>
      <c r="BX421" s="40"/>
      <c r="BY421" s="40"/>
      <c r="BZ421" s="40"/>
      <c r="CA421" s="40"/>
      <c r="CB421" s="40"/>
      <c r="CC421" s="40"/>
      <c r="CD421" s="40"/>
      <c r="CE421" s="40"/>
      <c r="CF421" s="40"/>
      <c r="CG421" s="40"/>
      <c r="CH421" s="40"/>
      <c r="CI421" s="40"/>
      <c r="CJ421" s="40"/>
      <c r="CK421" s="40"/>
      <c r="CL421" s="40"/>
      <c r="CM421" s="40"/>
      <c r="CN421" s="40"/>
      <c r="CO421" s="40"/>
      <c r="CP421" s="40"/>
      <c r="CQ421" s="40"/>
      <c r="CR421" s="40"/>
      <c r="CS421" s="40"/>
      <c r="CT421" s="40"/>
      <c r="CU421" s="40"/>
      <c r="CV421" s="40"/>
    </row>
    <row r="422">
      <c r="A422" s="48">
        <v>2.0</v>
      </c>
      <c r="B422" s="43" t="s">
        <v>346</v>
      </c>
      <c r="C422" s="53" t="s">
        <v>1490</v>
      </c>
      <c r="D422" s="45" t="s">
        <v>621</v>
      </c>
      <c r="E422" s="45"/>
      <c r="F422" s="45"/>
      <c r="G422" s="45"/>
      <c r="H422" s="45"/>
      <c r="I422" s="45"/>
      <c r="J422" s="45"/>
      <c r="K422" s="163" t="s">
        <v>1491</v>
      </c>
      <c r="L422" s="45"/>
      <c r="M422" s="48">
        <v>6000.0</v>
      </c>
      <c r="N422" s="50">
        <v>75.0</v>
      </c>
      <c r="O422" s="50">
        <v>4.0</v>
      </c>
      <c r="P422" s="50">
        <v>170.0</v>
      </c>
      <c r="Q422" s="50" t="s">
        <v>63</v>
      </c>
      <c r="R422" s="50" t="s">
        <v>623</v>
      </c>
      <c r="S422" s="126">
        <f t="shared" si="25"/>
        <v>9.375</v>
      </c>
      <c r="T422" s="126">
        <f t="shared" si="26"/>
        <v>157.2</v>
      </c>
      <c r="U422" s="69">
        <f t="shared" si="27"/>
        <v>16.768</v>
      </c>
      <c r="V422" s="70">
        <f t="shared" si="28"/>
        <v>357.8244275</v>
      </c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  <c r="BW422" s="40"/>
      <c r="BX422" s="40"/>
      <c r="BY422" s="40"/>
      <c r="BZ422" s="40"/>
      <c r="CA422" s="40"/>
      <c r="CB422" s="40"/>
      <c r="CC422" s="40"/>
      <c r="CD422" s="40"/>
      <c r="CE422" s="40"/>
      <c r="CF422" s="40"/>
      <c r="CG422" s="40"/>
      <c r="CH422" s="40"/>
      <c r="CI422" s="40"/>
      <c r="CJ422" s="40"/>
      <c r="CK422" s="40"/>
      <c r="CL422" s="40"/>
      <c r="CM422" s="40"/>
      <c r="CN422" s="40"/>
      <c r="CO422" s="40"/>
      <c r="CP422" s="40"/>
      <c r="CQ422" s="40"/>
      <c r="CR422" s="40"/>
      <c r="CS422" s="40"/>
      <c r="CT422" s="40"/>
      <c r="CU422" s="40"/>
      <c r="CV422" s="40"/>
    </row>
    <row r="423">
      <c r="A423" s="48">
        <v>4.0</v>
      </c>
      <c r="B423" s="43" t="s">
        <v>237</v>
      </c>
      <c r="C423" s="48" t="s">
        <v>1492</v>
      </c>
      <c r="D423" s="51" t="s">
        <v>67</v>
      </c>
      <c r="E423" s="47"/>
      <c r="F423" s="242">
        <v>5.400093774E9</v>
      </c>
      <c r="G423" s="242" t="s">
        <v>269</v>
      </c>
      <c r="H423" s="242">
        <v>22640.0</v>
      </c>
      <c r="I423" s="165" t="s">
        <v>372</v>
      </c>
      <c r="J423" s="261">
        <v>207046.0</v>
      </c>
      <c r="K423" s="274" t="s">
        <v>613</v>
      </c>
      <c r="L423" s="261" t="s">
        <v>258</v>
      </c>
      <c r="M423" s="275">
        <v>8000.0</v>
      </c>
      <c r="N423" s="52">
        <v>116.0</v>
      </c>
      <c r="O423" s="52">
        <v>6.0</v>
      </c>
      <c r="P423" s="52">
        <v>300.0</v>
      </c>
      <c r="Q423" s="52" t="s">
        <v>213</v>
      </c>
      <c r="R423" s="52" t="s">
        <v>224</v>
      </c>
      <c r="S423" s="50">
        <f t="shared" si="25"/>
        <v>14.5</v>
      </c>
      <c r="T423" s="50">
        <f t="shared" si="26"/>
        <v>235.8</v>
      </c>
      <c r="U423" s="69">
        <f t="shared" si="27"/>
        <v>16.26206897</v>
      </c>
      <c r="V423" s="70">
        <f t="shared" si="28"/>
        <v>491.942324</v>
      </c>
      <c r="W423" s="216"/>
      <c r="X423" s="76"/>
      <c r="Y423" s="216"/>
      <c r="Z423" s="216"/>
      <c r="AA423" s="76"/>
      <c r="AB423" s="216"/>
      <c r="AC423" s="87"/>
      <c r="AD423" s="76"/>
      <c r="AE423" s="76"/>
      <c r="AF423" s="76"/>
    </row>
    <row r="424">
      <c r="A424" s="48">
        <v>38.0</v>
      </c>
      <c r="B424" s="43" t="s">
        <v>356</v>
      </c>
      <c r="C424" s="53" t="s">
        <v>1493</v>
      </c>
      <c r="D424" s="45" t="s">
        <v>247</v>
      </c>
      <c r="E424" s="76"/>
      <c r="F424" s="76"/>
      <c r="G424" s="76"/>
      <c r="H424" s="76"/>
      <c r="I424" s="76"/>
      <c r="J424" s="165" t="s">
        <v>372</v>
      </c>
      <c r="K424" s="51" t="s">
        <v>507</v>
      </c>
      <c r="L424" s="50" t="s">
        <v>252</v>
      </c>
      <c r="M424" s="50">
        <v>15000.0</v>
      </c>
      <c r="N424" s="50">
        <v>92.0</v>
      </c>
      <c r="O424" s="50">
        <v>2.0</v>
      </c>
      <c r="P424" s="50">
        <v>220.0</v>
      </c>
      <c r="Q424" s="50" t="s">
        <v>63</v>
      </c>
      <c r="R424" s="50" t="s">
        <v>330</v>
      </c>
      <c r="S424" s="50">
        <f t="shared" si="25"/>
        <v>11.5</v>
      </c>
      <c r="T424" s="50">
        <f t="shared" si="26"/>
        <v>78.6</v>
      </c>
      <c r="U424" s="69">
        <f t="shared" si="27"/>
        <v>6.834782609</v>
      </c>
      <c r="V424" s="70">
        <f t="shared" si="28"/>
        <v>2194.656489</v>
      </c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</row>
    <row r="425">
      <c r="A425" s="48">
        <v>1.0</v>
      </c>
      <c r="B425" s="43" t="s">
        <v>386</v>
      </c>
      <c r="C425" s="53" t="s">
        <v>1494</v>
      </c>
      <c r="D425" s="96" t="s">
        <v>998</v>
      </c>
      <c r="E425" s="45"/>
      <c r="F425" s="50"/>
      <c r="G425" s="50"/>
      <c r="H425" s="50"/>
      <c r="I425" s="45"/>
      <c r="J425" s="45"/>
      <c r="K425" s="56" t="s">
        <v>1495</v>
      </c>
      <c r="L425" s="45"/>
      <c r="M425" s="48">
        <v>50000.0</v>
      </c>
      <c r="N425" s="48">
        <v>124.0</v>
      </c>
      <c r="O425" s="50">
        <v>3.0</v>
      </c>
      <c r="P425" s="48">
        <v>240.0</v>
      </c>
      <c r="Q425" s="50" t="s">
        <v>63</v>
      </c>
      <c r="R425" s="48" t="s">
        <v>1496</v>
      </c>
      <c r="S425" s="50">
        <f t="shared" si="25"/>
        <v>15.5</v>
      </c>
      <c r="T425" s="50">
        <f t="shared" si="26"/>
        <v>117.9</v>
      </c>
      <c r="U425" s="69">
        <f t="shared" si="27"/>
        <v>7.606451613</v>
      </c>
      <c r="V425" s="70">
        <f t="shared" si="28"/>
        <v>6573.36726</v>
      </c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  <c r="BW425" s="40"/>
      <c r="BX425" s="40"/>
      <c r="BY425" s="40"/>
      <c r="BZ425" s="40"/>
      <c r="CA425" s="40"/>
      <c r="CB425" s="40"/>
      <c r="CC425" s="40"/>
      <c r="CD425" s="40"/>
      <c r="CE425" s="40"/>
      <c r="CF425" s="40"/>
      <c r="CG425" s="40"/>
      <c r="CH425" s="40"/>
      <c r="CI425" s="40"/>
      <c r="CJ425" s="40"/>
      <c r="CK425" s="40"/>
      <c r="CL425" s="40"/>
      <c r="CM425" s="40"/>
      <c r="CN425" s="40"/>
      <c r="CO425" s="40"/>
      <c r="CP425" s="40"/>
      <c r="CQ425" s="40"/>
      <c r="CR425" s="40"/>
      <c r="CS425" s="40"/>
      <c r="CT425" s="40"/>
      <c r="CU425" s="40"/>
      <c r="CV425" s="40"/>
    </row>
    <row r="426">
      <c r="A426" s="48">
        <v>1.0</v>
      </c>
      <c r="B426" s="43" t="s">
        <v>386</v>
      </c>
      <c r="C426" s="53" t="s">
        <v>1497</v>
      </c>
      <c r="D426" s="96" t="s">
        <v>998</v>
      </c>
      <c r="E426" s="45"/>
      <c r="F426" s="50"/>
      <c r="G426" s="50"/>
      <c r="H426" s="50"/>
      <c r="I426" s="45"/>
      <c r="J426" s="45"/>
      <c r="K426" s="45" t="s">
        <v>1498</v>
      </c>
      <c r="L426" s="45"/>
      <c r="M426" s="48">
        <v>50000.0</v>
      </c>
      <c r="N426" s="50">
        <v>112.0</v>
      </c>
      <c r="O426" s="50">
        <v>3.0</v>
      </c>
      <c r="P426" s="50">
        <v>225.0</v>
      </c>
      <c r="Q426" s="50" t="s">
        <v>63</v>
      </c>
      <c r="R426" s="50" t="s">
        <v>1499</v>
      </c>
      <c r="S426" s="50">
        <f t="shared" si="25"/>
        <v>14</v>
      </c>
      <c r="T426" s="50">
        <f t="shared" si="26"/>
        <v>117.9</v>
      </c>
      <c r="U426" s="69">
        <f t="shared" si="27"/>
        <v>8.421428571</v>
      </c>
      <c r="V426" s="70">
        <f t="shared" si="28"/>
        <v>5937.234945</v>
      </c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  <c r="BW426" s="40"/>
      <c r="BX426" s="40"/>
      <c r="BY426" s="40"/>
      <c r="BZ426" s="40"/>
      <c r="CA426" s="40"/>
      <c r="CB426" s="40"/>
      <c r="CC426" s="40"/>
      <c r="CD426" s="40"/>
      <c r="CE426" s="40"/>
      <c r="CF426" s="40"/>
      <c r="CG426" s="40"/>
      <c r="CH426" s="40"/>
      <c r="CI426" s="40"/>
      <c r="CJ426" s="40"/>
      <c r="CK426" s="40"/>
      <c r="CL426" s="40"/>
      <c r="CM426" s="40"/>
      <c r="CN426" s="40"/>
      <c r="CO426" s="40"/>
      <c r="CP426" s="40"/>
      <c r="CQ426" s="40"/>
      <c r="CR426" s="40"/>
      <c r="CS426" s="40"/>
      <c r="CT426" s="40"/>
      <c r="CU426" s="40"/>
      <c r="CV426" s="40"/>
    </row>
    <row r="427">
      <c r="A427" s="48">
        <v>11.0</v>
      </c>
      <c r="B427" s="43" t="s">
        <v>1139</v>
      </c>
      <c r="C427" s="48" t="s">
        <v>1500</v>
      </c>
      <c r="D427" s="56" t="s">
        <v>78</v>
      </c>
      <c r="E427" s="45"/>
      <c r="F427" s="45"/>
      <c r="G427" s="45"/>
      <c r="H427" s="45"/>
      <c r="I427" s="111" t="s">
        <v>148</v>
      </c>
      <c r="J427" s="85"/>
      <c r="K427" s="54" t="s">
        <v>1501</v>
      </c>
      <c r="L427" s="93"/>
      <c r="M427" s="129">
        <v>17750.0</v>
      </c>
      <c r="N427" s="50">
        <v>85.0</v>
      </c>
      <c r="O427" s="50">
        <v>6.0</v>
      </c>
      <c r="P427" s="50">
        <v>170.0</v>
      </c>
      <c r="Q427" s="50" t="s">
        <v>63</v>
      </c>
      <c r="R427" s="50" t="s">
        <v>83</v>
      </c>
      <c r="S427" s="50">
        <f t="shared" si="25"/>
        <v>10.625</v>
      </c>
      <c r="T427" s="50">
        <f t="shared" si="26"/>
        <v>235.8</v>
      </c>
      <c r="U427" s="69">
        <f t="shared" si="27"/>
        <v>22.19294118</v>
      </c>
      <c r="V427" s="70">
        <f t="shared" si="28"/>
        <v>799.8038592</v>
      </c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  <c r="BT427" s="63"/>
      <c r="BU427" s="63"/>
      <c r="BV427" s="63"/>
      <c r="BW427" s="63"/>
      <c r="BX427" s="63"/>
      <c r="BY427" s="63"/>
      <c r="BZ427" s="63"/>
      <c r="CA427" s="63"/>
      <c r="CB427" s="63"/>
      <c r="CC427" s="63"/>
      <c r="CD427" s="63"/>
      <c r="CE427" s="63"/>
      <c r="CF427" s="63"/>
      <c r="CG427" s="63"/>
      <c r="CH427" s="63"/>
      <c r="CI427" s="63"/>
      <c r="CJ427" s="63"/>
      <c r="CK427" s="63"/>
      <c r="CL427" s="63"/>
      <c r="CM427" s="63"/>
      <c r="CN427" s="63"/>
      <c r="CO427" s="63"/>
      <c r="CP427" s="63"/>
      <c r="CQ427" s="63"/>
      <c r="CR427" s="63"/>
      <c r="CS427" s="63"/>
      <c r="CT427" s="63"/>
      <c r="CU427" s="63"/>
      <c r="CV427" s="63"/>
    </row>
    <row r="428">
      <c r="A428" s="48">
        <v>10.0</v>
      </c>
      <c r="B428" s="43" t="s">
        <v>1382</v>
      </c>
      <c r="C428" s="53" t="s">
        <v>1502</v>
      </c>
      <c r="D428" s="45" t="s">
        <v>78</v>
      </c>
      <c r="E428" s="76"/>
      <c r="F428" s="83"/>
      <c r="G428" s="83"/>
      <c r="H428" s="83"/>
      <c r="I428" s="84" t="s">
        <v>79</v>
      </c>
      <c r="J428" s="85"/>
      <c r="K428" s="105" t="s">
        <v>1503</v>
      </c>
      <c r="L428" s="76"/>
      <c r="M428" s="53">
        <v>2600.0</v>
      </c>
      <c r="N428" s="50">
        <v>85.0</v>
      </c>
      <c r="O428" s="50">
        <v>6.0</v>
      </c>
      <c r="P428" s="50">
        <v>170.0</v>
      </c>
      <c r="Q428" s="50" t="s">
        <v>63</v>
      </c>
      <c r="R428" s="50" t="s">
        <v>83</v>
      </c>
      <c r="S428" s="50">
        <f t="shared" si="25"/>
        <v>10.625</v>
      </c>
      <c r="T428" s="50">
        <f t="shared" si="26"/>
        <v>235.8</v>
      </c>
      <c r="U428" s="69">
        <f t="shared" si="27"/>
        <v>22.19294118</v>
      </c>
      <c r="V428" s="70">
        <f t="shared" si="28"/>
        <v>117.1543681</v>
      </c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</row>
    <row r="429">
      <c r="A429" s="48">
        <v>1.0</v>
      </c>
      <c r="B429" s="43" t="s">
        <v>1382</v>
      </c>
      <c r="C429" s="53" t="s">
        <v>1504</v>
      </c>
      <c r="D429" s="45" t="s">
        <v>78</v>
      </c>
      <c r="E429" s="76"/>
      <c r="F429" s="83"/>
      <c r="G429" s="83"/>
      <c r="H429" s="83"/>
      <c r="I429" s="84" t="s">
        <v>79</v>
      </c>
      <c r="J429" s="85"/>
      <c r="K429" s="105" t="s">
        <v>1505</v>
      </c>
      <c r="L429" s="76"/>
      <c r="M429" s="53">
        <v>5000.0</v>
      </c>
      <c r="N429" s="50">
        <v>85.0</v>
      </c>
      <c r="O429" s="50">
        <v>6.0</v>
      </c>
      <c r="P429" s="50">
        <v>170.0</v>
      </c>
      <c r="Q429" s="50" t="s">
        <v>63</v>
      </c>
      <c r="R429" s="50" t="s">
        <v>83</v>
      </c>
      <c r="S429" s="50">
        <f t="shared" si="25"/>
        <v>10.625</v>
      </c>
      <c r="T429" s="50">
        <f t="shared" si="26"/>
        <v>235.8</v>
      </c>
      <c r="U429" s="69">
        <f t="shared" si="27"/>
        <v>22.19294118</v>
      </c>
      <c r="V429" s="70">
        <f t="shared" si="28"/>
        <v>225.2968617</v>
      </c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</row>
    <row r="430">
      <c r="A430" s="48">
        <v>2.0</v>
      </c>
      <c r="B430" s="43" t="s">
        <v>142</v>
      </c>
      <c r="C430" s="53" t="s">
        <v>1506</v>
      </c>
      <c r="D430" s="96" t="s">
        <v>78</v>
      </c>
      <c r="E430" s="45"/>
      <c r="F430" s="45"/>
      <c r="G430" s="45"/>
      <c r="H430" s="45"/>
      <c r="I430" s="84" t="s">
        <v>148</v>
      </c>
      <c r="J430" s="85"/>
      <c r="K430" s="105" t="s">
        <v>1255</v>
      </c>
      <c r="L430" s="76"/>
      <c r="M430" s="53">
        <v>9000.0</v>
      </c>
      <c r="N430" s="50">
        <v>85.0</v>
      </c>
      <c r="O430" s="48">
        <v>12.0</v>
      </c>
      <c r="P430" s="48">
        <v>180.0</v>
      </c>
      <c r="Q430" s="50" t="s">
        <v>63</v>
      </c>
      <c r="R430" s="48" t="s">
        <v>1239</v>
      </c>
      <c r="S430" s="50">
        <f t="shared" si="25"/>
        <v>10.625</v>
      </c>
      <c r="T430" s="50">
        <f t="shared" si="26"/>
        <v>471.6</v>
      </c>
      <c r="U430" s="69">
        <f t="shared" si="27"/>
        <v>44.38588235</v>
      </c>
      <c r="V430" s="70">
        <f t="shared" si="28"/>
        <v>202.7671756</v>
      </c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7"/>
      <c r="BN430" s="37"/>
      <c r="BO430" s="37"/>
      <c r="BP430" s="37"/>
      <c r="BQ430" s="37"/>
      <c r="BR430" s="37"/>
      <c r="BS430" s="37"/>
      <c r="BT430" s="37"/>
      <c r="BU430" s="37"/>
      <c r="BV430" s="37"/>
      <c r="BW430" s="37"/>
      <c r="BX430" s="37"/>
      <c r="BY430" s="37"/>
      <c r="BZ430" s="37"/>
      <c r="CA430" s="37"/>
      <c r="CB430" s="37"/>
      <c r="CC430" s="37"/>
      <c r="CD430" s="37"/>
      <c r="CE430" s="37"/>
      <c r="CF430" s="37"/>
      <c r="CG430" s="37"/>
      <c r="CH430" s="37"/>
      <c r="CI430" s="37"/>
      <c r="CJ430" s="37"/>
      <c r="CK430" s="37"/>
      <c r="CL430" s="37"/>
      <c r="CM430" s="37"/>
      <c r="CN430" s="37"/>
      <c r="CO430" s="37"/>
      <c r="CP430" s="37"/>
      <c r="CQ430" s="37"/>
      <c r="CR430" s="37"/>
      <c r="CS430" s="37"/>
      <c r="CT430" s="37"/>
      <c r="CU430" s="37"/>
      <c r="CV430" s="37"/>
    </row>
    <row r="431">
      <c r="A431" s="48">
        <v>3.0</v>
      </c>
      <c r="B431" s="43" t="s">
        <v>1382</v>
      </c>
      <c r="C431" s="53" t="s">
        <v>1507</v>
      </c>
      <c r="D431" s="45" t="s">
        <v>78</v>
      </c>
      <c r="E431" s="71"/>
      <c r="F431" s="52"/>
      <c r="G431" s="52"/>
      <c r="H431" s="52"/>
      <c r="I431" s="84" t="s">
        <v>148</v>
      </c>
      <c r="J431" s="85"/>
      <c r="K431" s="105" t="s">
        <v>1508</v>
      </c>
      <c r="L431" s="71"/>
      <c r="M431" s="53">
        <v>6000.0</v>
      </c>
      <c r="N431" s="50">
        <v>85.0</v>
      </c>
      <c r="O431" s="50">
        <v>6.0</v>
      </c>
      <c r="P431" s="50">
        <v>170.0</v>
      </c>
      <c r="Q431" s="50" t="s">
        <v>63</v>
      </c>
      <c r="R431" s="50" t="s">
        <v>83</v>
      </c>
      <c r="S431" s="50">
        <f t="shared" si="25"/>
        <v>10.625</v>
      </c>
      <c r="T431" s="50">
        <f t="shared" si="26"/>
        <v>235.8</v>
      </c>
      <c r="U431" s="69">
        <f t="shared" si="27"/>
        <v>22.19294118</v>
      </c>
      <c r="V431" s="70">
        <f t="shared" si="28"/>
        <v>270.3562341</v>
      </c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  <c r="BW431" s="40"/>
      <c r="BX431" s="40"/>
      <c r="BY431" s="40"/>
      <c r="BZ431" s="40"/>
      <c r="CA431" s="40"/>
      <c r="CB431" s="40"/>
      <c r="CC431" s="40"/>
      <c r="CD431" s="40"/>
      <c r="CE431" s="40"/>
      <c r="CF431" s="40"/>
      <c r="CG431" s="40"/>
      <c r="CH431" s="40"/>
      <c r="CI431" s="40"/>
      <c r="CJ431" s="40"/>
      <c r="CK431" s="40"/>
      <c r="CL431" s="40"/>
      <c r="CM431" s="40"/>
      <c r="CN431" s="40"/>
      <c r="CO431" s="40"/>
      <c r="CP431" s="40"/>
      <c r="CQ431" s="40"/>
      <c r="CR431" s="40"/>
      <c r="CS431" s="40"/>
      <c r="CT431" s="40"/>
      <c r="CU431" s="40"/>
      <c r="CV431" s="40"/>
    </row>
    <row r="432">
      <c r="A432" s="48">
        <v>4.0</v>
      </c>
      <c r="B432" s="48" t="s">
        <v>237</v>
      </c>
      <c r="C432" s="53" t="s">
        <v>1509</v>
      </c>
      <c r="D432" s="96" t="s">
        <v>78</v>
      </c>
      <c r="E432" s="83"/>
      <c r="F432" s="83"/>
      <c r="G432" s="83"/>
      <c r="H432" s="83"/>
      <c r="I432" s="111" t="s">
        <v>148</v>
      </c>
      <c r="J432" s="85"/>
      <c r="K432" s="54" t="s">
        <v>1033</v>
      </c>
      <c r="L432" s="93"/>
      <c r="M432" s="258">
        <v>20000.0</v>
      </c>
      <c r="N432" s="50">
        <v>85.0</v>
      </c>
      <c r="O432" s="50">
        <v>6.0</v>
      </c>
      <c r="P432" s="50">
        <v>170.0</v>
      </c>
      <c r="Q432" s="50" t="s">
        <v>63</v>
      </c>
      <c r="R432" s="50" t="s">
        <v>83</v>
      </c>
      <c r="S432" s="50">
        <f t="shared" si="25"/>
        <v>10.625</v>
      </c>
      <c r="T432" s="50">
        <f t="shared" si="26"/>
        <v>235.8</v>
      </c>
      <c r="U432" s="69">
        <f t="shared" si="27"/>
        <v>22.19294118</v>
      </c>
      <c r="V432" s="70">
        <f t="shared" si="28"/>
        <v>901.187447</v>
      </c>
      <c r="W432" s="87"/>
      <c r="X432" s="83"/>
      <c r="Y432" s="88"/>
      <c r="Z432" s="89"/>
      <c r="AA432" s="83"/>
      <c r="AB432" s="87"/>
      <c r="AC432" s="83"/>
      <c r="AD432" s="76"/>
      <c r="AE432" s="76"/>
      <c r="AF432" s="76"/>
    </row>
    <row r="433">
      <c r="A433" s="48">
        <v>4.0</v>
      </c>
      <c r="B433" s="43" t="s">
        <v>245</v>
      </c>
      <c r="C433" s="53" t="s">
        <v>1510</v>
      </c>
      <c r="D433" s="96" t="s">
        <v>45</v>
      </c>
      <c r="E433" s="45"/>
      <c r="F433" s="43">
        <v>5.200030733E9</v>
      </c>
      <c r="G433" s="137">
        <v>46088.0</v>
      </c>
      <c r="H433" s="48">
        <v>22000.0</v>
      </c>
      <c r="I433" s="45"/>
      <c r="J433" s="45"/>
      <c r="K433" s="45" t="s">
        <v>1511</v>
      </c>
      <c r="L433" s="45"/>
      <c r="M433" s="129">
        <v>22000.0</v>
      </c>
      <c r="N433" s="52">
        <v>99.0</v>
      </c>
      <c r="O433" s="52">
        <v>12.0</v>
      </c>
      <c r="P433" s="52">
        <v>180.0</v>
      </c>
      <c r="Q433" s="52" t="s">
        <v>1512</v>
      </c>
      <c r="R433" s="53" t="s">
        <v>1513</v>
      </c>
      <c r="S433" s="50">
        <f t="shared" si="25"/>
        <v>12.375</v>
      </c>
      <c r="T433" s="50">
        <f t="shared" si="26"/>
        <v>471.6</v>
      </c>
      <c r="U433" s="69">
        <f t="shared" si="27"/>
        <v>38.10909091</v>
      </c>
      <c r="V433" s="70">
        <f t="shared" si="28"/>
        <v>577.2900763</v>
      </c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  <c r="BW433" s="40"/>
      <c r="BX433" s="40"/>
      <c r="BY433" s="40"/>
      <c r="BZ433" s="40"/>
      <c r="CA433" s="40"/>
      <c r="CB433" s="40"/>
      <c r="CC433" s="40"/>
      <c r="CD433" s="40"/>
      <c r="CE433" s="40"/>
      <c r="CF433" s="40"/>
      <c r="CG433" s="40"/>
      <c r="CH433" s="40"/>
      <c r="CI433" s="40"/>
      <c r="CJ433" s="40"/>
      <c r="CK433" s="40"/>
      <c r="CL433" s="40"/>
      <c r="CM433" s="40"/>
      <c r="CN433" s="40"/>
      <c r="CO433" s="40"/>
      <c r="CP433" s="40"/>
      <c r="CQ433" s="40"/>
      <c r="CR433" s="40"/>
      <c r="CS433" s="40"/>
      <c r="CT433" s="40"/>
      <c r="CU433" s="40"/>
      <c r="CV433" s="40"/>
    </row>
    <row r="434">
      <c r="A434" s="48">
        <v>2.0</v>
      </c>
      <c r="B434" s="43" t="s">
        <v>255</v>
      </c>
      <c r="C434" s="53" t="s">
        <v>1514</v>
      </c>
      <c r="D434" s="96" t="s">
        <v>515</v>
      </c>
      <c r="E434" s="71"/>
      <c r="F434" s="48" t="s">
        <v>1515</v>
      </c>
      <c r="G434" s="48" t="s">
        <v>1516</v>
      </c>
      <c r="H434" s="48">
        <v>15300.0</v>
      </c>
      <c r="I434" s="71"/>
      <c r="J434" s="71"/>
      <c r="K434" s="56" t="s">
        <v>1517</v>
      </c>
      <c r="L434" s="50" t="s">
        <v>518</v>
      </c>
      <c r="M434" s="48">
        <v>15300.0</v>
      </c>
      <c r="N434" s="50">
        <v>108.0</v>
      </c>
      <c r="O434" s="50">
        <v>4.0</v>
      </c>
      <c r="P434" s="50">
        <v>125.0</v>
      </c>
      <c r="Q434" s="100" t="s">
        <v>50</v>
      </c>
      <c r="R434" s="50" t="s">
        <v>520</v>
      </c>
      <c r="S434" s="126">
        <f t="shared" si="25"/>
        <v>13.5</v>
      </c>
      <c r="T434" s="126">
        <f t="shared" si="26"/>
        <v>157.2</v>
      </c>
      <c r="U434" s="69">
        <f t="shared" si="27"/>
        <v>11.64444444</v>
      </c>
      <c r="V434" s="70">
        <f t="shared" si="28"/>
        <v>1313.931298</v>
      </c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  <c r="BW434" s="40"/>
      <c r="BX434" s="40"/>
      <c r="BY434" s="40"/>
      <c r="BZ434" s="40"/>
      <c r="CA434" s="40"/>
      <c r="CB434" s="40"/>
      <c r="CC434" s="40"/>
      <c r="CD434" s="40"/>
      <c r="CE434" s="40"/>
      <c r="CF434" s="40"/>
      <c r="CG434" s="40"/>
      <c r="CH434" s="40"/>
      <c r="CI434" s="40"/>
      <c r="CJ434" s="40"/>
      <c r="CK434" s="40"/>
      <c r="CL434" s="40"/>
      <c r="CM434" s="40"/>
      <c r="CN434" s="40"/>
      <c r="CO434" s="40"/>
      <c r="CP434" s="40"/>
      <c r="CQ434" s="40"/>
      <c r="CR434" s="40"/>
      <c r="CS434" s="40"/>
      <c r="CT434" s="40"/>
      <c r="CU434" s="40"/>
      <c r="CV434" s="40"/>
    </row>
  </sheetData>
  <mergeCells count="66"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63:J363"/>
    <mergeCell ref="I364:J364"/>
    <mergeCell ref="I371:J371"/>
    <mergeCell ref="I372:J372"/>
    <mergeCell ref="I429:J429"/>
    <mergeCell ref="I430:J430"/>
    <mergeCell ref="I431:J431"/>
    <mergeCell ref="I432:J432"/>
    <mergeCell ref="I404:J404"/>
    <mergeCell ref="I405:J405"/>
    <mergeCell ref="I406:J406"/>
    <mergeCell ref="I407:J407"/>
    <mergeCell ref="I408:J408"/>
    <mergeCell ref="I427:J427"/>
    <mergeCell ref="I428:J428"/>
    <mergeCell ref="I25:J25"/>
    <mergeCell ref="I34:J34"/>
    <mergeCell ref="I44:J44"/>
    <mergeCell ref="I85:J85"/>
    <mergeCell ref="I86:J86"/>
    <mergeCell ref="I145:J145"/>
    <mergeCell ref="A153:CV155"/>
    <mergeCell ref="F5:F6"/>
    <mergeCell ref="G5:G6"/>
    <mergeCell ref="H5:H6"/>
    <mergeCell ref="I20:J20"/>
    <mergeCell ref="I21:J21"/>
    <mergeCell ref="I22:J22"/>
    <mergeCell ref="I24:J24"/>
    <mergeCell ref="I240:J240"/>
    <mergeCell ref="AB240:AB241"/>
    <mergeCell ref="AC240:AC241"/>
    <mergeCell ref="I241:J241"/>
    <mergeCell ref="I223:J223"/>
    <mergeCell ref="I224:J224"/>
    <mergeCell ref="I225:J225"/>
    <mergeCell ref="I226:J226"/>
    <mergeCell ref="I227:J227"/>
    <mergeCell ref="I228:J228"/>
    <mergeCell ref="I229:J229"/>
    <mergeCell ref="I256:J256"/>
    <mergeCell ref="I257:J257"/>
    <mergeCell ref="I269:J269"/>
    <mergeCell ref="I271:J271"/>
    <mergeCell ref="I272:J272"/>
    <mergeCell ref="AB274:AB275"/>
    <mergeCell ref="AB276:AB277"/>
    <mergeCell ref="H276:I276"/>
    <mergeCell ref="H277:I277"/>
    <mergeCell ref="I283:J283"/>
    <mergeCell ref="F295:F296"/>
    <mergeCell ref="G295:G296"/>
    <mergeCell ref="H295:H296"/>
    <mergeCell ref="I311:J311"/>
    <mergeCell ref="I402:J402"/>
    <mergeCell ref="I403:J40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.75"/>
    <col customWidth="1" min="3" max="3" width="15.88"/>
    <col customWidth="1" min="4" max="4" width="16.5"/>
  </cols>
  <sheetData>
    <row r="1">
      <c r="A1" s="177" t="s">
        <v>459</v>
      </c>
      <c r="B1" s="178" t="s">
        <v>460</v>
      </c>
      <c r="C1" s="178" t="s">
        <v>462</v>
      </c>
      <c r="D1" s="180" t="s">
        <v>463</v>
      </c>
      <c r="E1" s="181" t="s">
        <v>465</v>
      </c>
      <c r="F1" s="182"/>
      <c r="G1" s="182"/>
      <c r="H1" s="182"/>
      <c r="I1" s="182"/>
      <c r="J1" s="85"/>
      <c r="K1" s="183"/>
      <c r="L1" s="181" t="s">
        <v>467</v>
      </c>
      <c r="M1" s="182"/>
      <c r="N1" s="182"/>
      <c r="O1" s="182"/>
      <c r="P1" s="182"/>
      <c r="Q1" s="85"/>
      <c r="R1" s="183"/>
      <c r="S1" s="178" t="s">
        <v>469</v>
      </c>
    </row>
    <row r="2">
      <c r="A2" s="104"/>
      <c r="B2" s="104"/>
      <c r="C2" s="104"/>
      <c r="D2" s="104"/>
      <c r="E2" s="184" t="s">
        <v>470</v>
      </c>
      <c r="F2" s="184" t="s">
        <v>471</v>
      </c>
      <c r="G2" s="184" t="s">
        <v>470</v>
      </c>
      <c r="H2" s="184" t="s">
        <v>471</v>
      </c>
      <c r="I2" s="184" t="s">
        <v>470</v>
      </c>
      <c r="J2" s="184" t="s">
        <v>471</v>
      </c>
      <c r="K2" s="185"/>
      <c r="L2" s="184" t="s">
        <v>470</v>
      </c>
      <c r="M2" s="184" t="s">
        <v>471</v>
      </c>
      <c r="N2" s="184" t="s">
        <v>470</v>
      </c>
      <c r="O2" s="184" t="s">
        <v>471</v>
      </c>
      <c r="P2" s="184" t="s">
        <v>470</v>
      </c>
      <c r="Q2" s="184" t="s">
        <v>471</v>
      </c>
      <c r="R2" s="185"/>
      <c r="S2" s="104"/>
    </row>
  </sheetData>
  <mergeCells count="7">
    <mergeCell ref="A1:A2"/>
    <mergeCell ref="B1:B2"/>
    <mergeCell ref="C1:C2"/>
    <mergeCell ref="D1:D2"/>
    <mergeCell ref="E1:J1"/>
    <mergeCell ref="L1:Q1"/>
    <mergeCell ref="S1:S2"/>
  </mergeCells>
  <drawing r:id="rId1"/>
</worksheet>
</file>